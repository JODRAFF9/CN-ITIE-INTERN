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20"/>
  <workbookPr codeName="ThisWorkbook" hidePivotFieldList="1"/>
  <mc:AlternateContent xmlns:mc="http://schemas.openxmlformats.org/markup-compatibility/2006">
    <mc:Choice Requires="x15">
      <x15ac:absPath xmlns:x15ac="http://schemas.microsoft.com/office/spreadsheetml/2010/11/ac" url="C:\Users\Bmd\Documents\ISE\Cours\ISE3\Stage ITIE\rapports\2023\"/>
    </mc:Choice>
  </mc:AlternateContent>
  <xr:revisionPtr revIDLastSave="0" documentId="13_ncr:1_{AAF7CD6B-38EF-439B-9E92-4D2BA9673AEA}" xr6:coauthVersionLast="47" xr6:coauthVersionMax="47" xr10:uidLastSave="{00000000-0000-0000-0000-000000000000}"/>
  <bookViews>
    <workbookView xWindow="-110" yWindow="-110" windowWidth="19420" windowHeight="10300" tabRatio="925" xr2:uid="{00000000-000D-0000-FFFF-FFFF00000000}"/>
  </bookViews>
  <sheets>
    <sheet name="Sommaire" sheetId="121" r:id="rId1"/>
    <sheet name="1" sheetId="61" r:id="rId2"/>
    <sheet name="2" sheetId="49" r:id="rId3"/>
    <sheet name="3" sheetId="3" r:id="rId4"/>
    <sheet name="4" sheetId="4" r:id="rId5"/>
    <sheet name="5" sheetId="169" r:id="rId6"/>
    <sheet name="6" sheetId="78" r:id="rId7"/>
    <sheet name="7" sheetId="165" r:id="rId8"/>
    <sheet name="8" sheetId="80" r:id="rId9"/>
    <sheet name="9" sheetId="157" r:id="rId10"/>
    <sheet name="10" sheetId="50" r:id="rId11"/>
    <sheet name="11" sheetId="46" r:id="rId12"/>
    <sheet name="11-1" sheetId="244" r:id="rId13"/>
    <sheet name="11-2" sheetId="245" r:id="rId14"/>
    <sheet name="11-3" sheetId="246" r:id="rId15"/>
    <sheet name="11-4" sheetId="247" r:id="rId16"/>
    <sheet name="11-5" sheetId="248" r:id="rId17"/>
    <sheet name="11-6" sheetId="249" r:id="rId18"/>
    <sheet name="11-7" sheetId="250" r:id="rId19"/>
    <sheet name="11-8" sheetId="251" r:id="rId20"/>
    <sheet name="11-9" sheetId="252" r:id="rId21"/>
    <sheet name="11-10" sheetId="253" r:id="rId22"/>
    <sheet name="11-11" sheetId="254" r:id="rId23"/>
    <sheet name="11-12" sheetId="255" r:id="rId24"/>
    <sheet name="11-13" sheetId="256" r:id="rId25"/>
    <sheet name="11-14" sheetId="257" r:id="rId26"/>
    <sheet name="11-15" sheetId="258" r:id="rId27"/>
    <sheet name="11-16" sheetId="259" r:id="rId28"/>
    <sheet name="11-17" sheetId="260" r:id="rId29"/>
    <sheet name="11-18" sheetId="261" r:id="rId30"/>
    <sheet name="11-19" sheetId="262" r:id="rId31"/>
    <sheet name="11-20" sheetId="263" r:id="rId32"/>
    <sheet name="11-21" sheetId="264" r:id="rId33"/>
    <sheet name="11-22" sheetId="265" r:id="rId34"/>
    <sheet name="11-23" sheetId="266" r:id="rId35"/>
    <sheet name="11-24" sheetId="267" r:id="rId36"/>
    <sheet name="11-25" sheetId="268" r:id="rId37"/>
    <sheet name="11-26" sheetId="269" r:id="rId38"/>
    <sheet name="11-27" sheetId="270" r:id="rId39"/>
    <sheet name="11-28" sheetId="271" r:id="rId40"/>
    <sheet name="11-29" sheetId="272" r:id="rId41"/>
    <sheet name="12" sheetId="111" r:id="rId42"/>
    <sheet name="13" sheetId="112" r:id="rId43"/>
    <sheet name="14" sheetId="114" r:id="rId44"/>
    <sheet name="15" sheetId="113" r:id="rId45"/>
    <sheet name="16" sheetId="115" r:id="rId46"/>
    <sheet name="17" sheetId="116" r:id="rId47"/>
    <sheet name="18-1" sheetId="117" r:id="rId48"/>
    <sheet name="18-2" sheetId="172" r:id="rId49"/>
    <sheet name="18-3" sheetId="122" r:id="rId50"/>
    <sheet name="19" sheetId="118" r:id="rId51"/>
    <sheet name="20" sheetId="119" r:id="rId52"/>
    <sheet name="21" sheetId="120" r:id="rId53"/>
    <sheet name="22" sheetId="69" r:id="rId54"/>
    <sheet name="23" sheetId="70" r:id="rId55"/>
    <sheet name="24" sheetId="71" r:id="rId56"/>
    <sheet name="25" sheetId="74" r:id="rId57"/>
    <sheet name="26" sheetId="158" r:id="rId58"/>
    <sheet name="27" sheetId="174" r:id="rId59"/>
    <sheet name="28" sheetId="175" r:id="rId60"/>
    <sheet name="29" sheetId="176" r:id="rId61"/>
    <sheet name="30" sheetId="177" r:id="rId62"/>
    <sheet name="31" sheetId="178" r:id="rId63"/>
    <sheet name="32" sheetId="179" r:id="rId64"/>
    <sheet name="33" sheetId="180" r:id="rId65"/>
    <sheet name="34" sheetId="241" r:id="rId66"/>
    <sheet name="35" sheetId="242" r:id="rId67"/>
    <sheet name="36" sheetId="243" r:id="rId68"/>
    <sheet name="37" sheetId="273" r:id="rId69"/>
    <sheet name="38" sheetId="276" r:id="rId70"/>
  </sheets>
  <definedNames>
    <definedName name="_xlnm._FilterDatabase" localSheetId="12" hidden="1">'11-1'!#REF!</definedName>
    <definedName name="_xlnm._FilterDatabase" localSheetId="21" hidden="1">#REF!</definedName>
    <definedName name="_xlnm._FilterDatabase" localSheetId="22" hidden="1">#REF!</definedName>
    <definedName name="_xlnm._FilterDatabase" localSheetId="24" hidden="1">#REF!</definedName>
    <definedName name="_xlnm._FilterDatabase" localSheetId="26" hidden="1">#REF!</definedName>
    <definedName name="_xlnm._FilterDatabase" localSheetId="28" hidden="1">#REF!</definedName>
    <definedName name="_xlnm._FilterDatabase" localSheetId="29" hidden="1">#REF!</definedName>
    <definedName name="_xlnm._FilterDatabase" localSheetId="13" hidden="1">'11-2'!#REF!</definedName>
    <definedName name="_xlnm._FilterDatabase" localSheetId="31" hidden="1">#REF!</definedName>
    <definedName name="_xlnm._FilterDatabase" localSheetId="32" hidden="1">'11-21'!$A$78:$G$79</definedName>
    <definedName name="_xlnm._FilterDatabase" localSheetId="33" hidden="1">#REF!</definedName>
    <definedName name="_xlnm._FilterDatabase" localSheetId="35" hidden="1">#REF!</definedName>
    <definedName name="_xlnm._FilterDatabase" localSheetId="15" hidden="1">#REF!</definedName>
    <definedName name="_xlnm._FilterDatabase" localSheetId="17" hidden="1">'11-6'!#REF!</definedName>
    <definedName name="_xlnm._FilterDatabase" localSheetId="18" hidden="1">'11-7'!#REF!</definedName>
    <definedName name="_xlnm._FilterDatabase" localSheetId="19" hidden="1">#REF!</definedName>
    <definedName name="_xlnm._FilterDatabase" localSheetId="41" hidden="1">'12'!$A$4:$D$114</definedName>
    <definedName name="_xlnm._FilterDatabase" localSheetId="47" hidden="1">'18-1'!$A$4:$J$162</definedName>
    <definedName name="_xlnm._FilterDatabase" localSheetId="50" hidden="1">'19'!$A$96:$AY$96</definedName>
    <definedName name="_xlnm._FilterDatabase" localSheetId="2" hidden="1">'2'!$B$4:$D$306</definedName>
    <definedName name="_xlnm._FilterDatabase" localSheetId="65" hidden="1">'34'!$A$5:$P$2741</definedName>
    <definedName name="_xlnm._FilterDatabase" localSheetId="68" hidden="1">'37'!$B$5:$J$81</definedName>
    <definedName name="_xlnm._FilterDatabase" localSheetId="6" hidden="1">'6'!$A$7:$M$565</definedName>
    <definedName name="_xlnm._FilterDatabase" localSheetId="7" hidden="1">'7'!$A$8:$M$1204</definedName>
    <definedName name="_xlnm._FilterDatabase" localSheetId="9" hidden="1">'9'!$A$5:$J$622</definedName>
    <definedName name="_xlnm._FilterDatabase" hidden="1">#REF!</definedName>
    <definedName name="_FilterDatabase1" localSheetId="21" hidden="1">#REF!</definedName>
    <definedName name="_FilterDatabase1" localSheetId="22" hidden="1">#REF!</definedName>
    <definedName name="_FilterDatabase1" localSheetId="24" hidden="1">#REF!</definedName>
    <definedName name="_FilterDatabase1" localSheetId="26" hidden="1">#REF!</definedName>
    <definedName name="_FilterDatabase1" localSheetId="28" hidden="1">#REF!</definedName>
    <definedName name="_FilterDatabase1" localSheetId="29" hidden="1">#REF!</definedName>
    <definedName name="_FilterDatabase1" localSheetId="13" hidden="1">#REF!</definedName>
    <definedName name="_FilterDatabase1" localSheetId="31" hidden="1">#REF!</definedName>
    <definedName name="_FilterDatabase1" localSheetId="33" hidden="1">#REF!</definedName>
    <definedName name="_FilterDatabase1" localSheetId="35" hidden="1">#REF!</definedName>
    <definedName name="_FilterDatabase1" localSheetId="15" hidden="1">#REF!</definedName>
    <definedName name="_FilterDatabase1" localSheetId="17" hidden="1">#REF!</definedName>
    <definedName name="_FilterDatabase1" localSheetId="19" hidden="1">#REF!</definedName>
    <definedName name="_FilterDatabase1" hidden="1">#REF!</definedName>
    <definedName name="_ftn1" localSheetId="53">'22'!$A$128</definedName>
    <definedName name="_ftn10" localSheetId="59">'28'!$B$26</definedName>
    <definedName name="_ftn11" localSheetId="59">'28'!$B$27</definedName>
    <definedName name="_ftn12" localSheetId="59">'28'!$B$28</definedName>
    <definedName name="_ftn13" localSheetId="59">'28'!$B$29</definedName>
    <definedName name="_ftn14" localSheetId="59">'28'!$B$30</definedName>
    <definedName name="_ftn15" localSheetId="59">'28'!$B$31</definedName>
    <definedName name="_ftn16" localSheetId="60">'29'!$B$32</definedName>
    <definedName name="_ftn17" localSheetId="63">'32'!$B$33</definedName>
    <definedName name="_ftn2" localSheetId="53">'22'!$A$129</definedName>
    <definedName name="_ftn3" localSheetId="53">'22'!$A$130</definedName>
    <definedName name="_ftn4" localSheetId="53">'22'!$A$131</definedName>
    <definedName name="_ftn5" localSheetId="53">'22'!$A$132</definedName>
    <definedName name="_ftn6" localSheetId="56">'25'!#REF!</definedName>
    <definedName name="_ftn7" localSheetId="56">'25'!#REF!</definedName>
    <definedName name="_ftn8" localSheetId="59">'28'!$B$24</definedName>
    <definedName name="_ftn9" localSheetId="59">'28'!$B$25</definedName>
    <definedName name="_ftnref1" localSheetId="53">'22'!$A$5</definedName>
    <definedName name="_ftnref10" localSheetId="59">'28'!$F$11</definedName>
    <definedName name="_ftnref11" localSheetId="59">'28'!$F$12</definedName>
    <definedName name="_ftnref12" localSheetId="59">'28'!$E$13</definedName>
    <definedName name="_ftnref13" localSheetId="59">'28'!$F$13</definedName>
    <definedName name="_ftnref14" localSheetId="59">'28'!$F$14</definedName>
    <definedName name="_ftnref15" localSheetId="59">'28'!$F$15</definedName>
    <definedName name="_ftnref16" localSheetId="60">'29'!$F$14</definedName>
    <definedName name="_ftnref17" localSheetId="63">'32'!$F$13</definedName>
    <definedName name="_ftnref2" localSheetId="53">'22'!$A$15</definedName>
    <definedName name="_ftnref3" localSheetId="53">'22'!$A$30</definedName>
    <definedName name="_ftnref4" localSheetId="53">'22'!$A$52</definedName>
    <definedName name="_ftnref5" localSheetId="53">'22'!$A$81</definedName>
    <definedName name="_ftnref6" localSheetId="56">'25'!$B$46</definedName>
    <definedName name="_ftnref7" localSheetId="56">'25'!$B$58</definedName>
    <definedName name="_ftnref8" localSheetId="59">'28'!$E$10</definedName>
    <definedName name="_ftnref9" localSheetId="59">'28'!$E$11</definedName>
    <definedName name="_Hlk43823825" localSheetId="53">'22'!$A$4</definedName>
    <definedName name="_Hlk53563649" localSheetId="61">'30'!$B$6</definedName>
    <definedName name="_Hlk53563656" localSheetId="61">'30'!$B$9</definedName>
    <definedName name="_Hlk53743023" localSheetId="59">'28'!$F$14</definedName>
    <definedName name="az" localSheetId="21">#REF!</definedName>
    <definedName name="az" localSheetId="22">#REF!</definedName>
    <definedName name="az" localSheetId="24">#REF!</definedName>
    <definedName name="az" localSheetId="26">#REF!</definedName>
    <definedName name="az" localSheetId="28">#REF!</definedName>
    <definedName name="az" localSheetId="29">#REF!</definedName>
    <definedName name="az" localSheetId="13">#REF!</definedName>
    <definedName name="az" localSheetId="31">#REF!</definedName>
    <definedName name="az" localSheetId="33">#REF!</definedName>
    <definedName name="az" localSheetId="35">#REF!</definedName>
    <definedName name="az" localSheetId="15">#REF!</definedName>
    <definedName name="az" localSheetId="17">#REF!</definedName>
    <definedName name="az" localSheetId="19">#REF!</definedName>
    <definedName name="az">#REF!</definedName>
    <definedName name="_xlnm.Database" localSheetId="21">#REF!</definedName>
    <definedName name="_xlnm.Database" localSheetId="22">#REF!</definedName>
    <definedName name="_xlnm.Database" localSheetId="24">#REF!</definedName>
    <definedName name="_xlnm.Database" localSheetId="26">#REF!</definedName>
    <definedName name="_xlnm.Database" localSheetId="28">#REF!</definedName>
    <definedName name="_xlnm.Database" localSheetId="29">#REF!</definedName>
    <definedName name="_xlnm.Database" localSheetId="13">#REF!</definedName>
    <definedName name="_xlnm.Database" localSheetId="31">#REF!</definedName>
    <definedName name="_xlnm.Database" localSheetId="35">#REF!</definedName>
    <definedName name="_xlnm.Database" localSheetId="15">#REF!</definedName>
    <definedName name="_xlnm.Database" localSheetId="17">#REF!</definedName>
    <definedName name="_xlnm.Database" localSheetId="19">#REF!</definedName>
    <definedName name="_xlnm.Database">#REF!</definedName>
    <definedName name="BATNA" localSheetId="21">#REF!</definedName>
    <definedName name="BATNA" localSheetId="22">#REF!</definedName>
    <definedName name="BATNA" localSheetId="24">#REF!</definedName>
    <definedName name="BATNA" localSheetId="26">#REF!</definedName>
    <definedName name="BATNA" localSheetId="28">#REF!</definedName>
    <definedName name="BATNA" localSheetId="29">#REF!</definedName>
    <definedName name="BATNA" localSheetId="13">#REF!</definedName>
    <definedName name="BATNA" localSheetId="31">#REF!</definedName>
    <definedName name="BATNA" localSheetId="33">#REF!</definedName>
    <definedName name="BATNA" localSheetId="35">#REF!</definedName>
    <definedName name="BATNA" localSheetId="15">#REF!</definedName>
    <definedName name="BATNA" localSheetId="17">#REF!</definedName>
    <definedName name="BATNA" localSheetId="19">#REF!</definedName>
    <definedName name="BATNA">#REF!</definedName>
    <definedName name="BISKRA" localSheetId="21">#REF!</definedName>
    <definedName name="BISKRA" localSheetId="22">#REF!</definedName>
    <definedName name="BISKRA" localSheetId="24">#REF!</definedName>
    <definedName name="BISKRA" localSheetId="26">#REF!</definedName>
    <definedName name="BISKRA" localSheetId="28">#REF!</definedName>
    <definedName name="BISKRA" localSheetId="29">#REF!</definedName>
    <definedName name="BISKRA" localSheetId="13">#REF!</definedName>
    <definedName name="BISKRA" localSheetId="31">#REF!</definedName>
    <definedName name="BISKRA" localSheetId="33">#REF!</definedName>
    <definedName name="BISKRA" localSheetId="35">#REF!</definedName>
    <definedName name="BISKRA" localSheetId="15">#REF!</definedName>
    <definedName name="BISKRA" localSheetId="17">#REF!</definedName>
    <definedName name="BISKRA" localSheetId="19">#REF!</definedName>
    <definedName name="BISKRA">#REF!</definedName>
    <definedName name="Compadjust">#REF!</definedName>
    <definedName name="DATA5">#REF!</definedName>
    <definedName name="FD" localSheetId="21" hidden="1">#REF!</definedName>
    <definedName name="FD" localSheetId="22" hidden="1">#REF!</definedName>
    <definedName name="FD" localSheetId="24" hidden="1">#REF!</definedName>
    <definedName name="FD" localSheetId="26" hidden="1">#REF!</definedName>
    <definedName name="FD" localSheetId="28" hidden="1">#REF!</definedName>
    <definedName name="FD" localSheetId="29" hidden="1">#REF!</definedName>
    <definedName name="FD" localSheetId="13" hidden="1">#REF!</definedName>
    <definedName name="FD" localSheetId="31" hidden="1">#REF!</definedName>
    <definedName name="FD" localSheetId="33" hidden="1">#REF!</definedName>
    <definedName name="FD" localSheetId="35" hidden="1">#REF!</definedName>
    <definedName name="FD" localSheetId="15" hidden="1">#REF!</definedName>
    <definedName name="FD" localSheetId="17" hidden="1">#REF!</definedName>
    <definedName name="FD" localSheetId="19" hidden="1">#REF!</definedName>
    <definedName name="FD" hidden="1">#REF!</definedName>
    <definedName name="fdb" localSheetId="21" hidden="1">#REF!</definedName>
    <definedName name="fdb" localSheetId="22" hidden="1">#REF!</definedName>
    <definedName name="fdb" localSheetId="24" hidden="1">#REF!</definedName>
    <definedName name="fdb" localSheetId="26" hidden="1">#REF!</definedName>
    <definedName name="fdb" localSheetId="28" hidden="1">#REF!</definedName>
    <definedName name="fdb" localSheetId="29" hidden="1">#REF!</definedName>
    <definedName name="fdb" localSheetId="13" hidden="1">#REF!</definedName>
    <definedName name="fdb" localSheetId="31" hidden="1">#REF!</definedName>
    <definedName name="fdb" localSheetId="33" hidden="1">#REF!</definedName>
    <definedName name="fdb" localSheetId="35" hidden="1">#REF!</definedName>
    <definedName name="fdb" localSheetId="15" hidden="1">#REF!</definedName>
    <definedName name="fdb" localSheetId="17" hidden="1">#REF!</definedName>
    <definedName name="fdb" localSheetId="19" hidden="1">#REF!</definedName>
    <definedName name="fdb" hidden="1">#REF!</definedName>
    <definedName name="FinalDiff">#REF!</definedName>
    <definedName name="Govadjust">#REF!</definedName>
    <definedName name="JIJEL" localSheetId="21">#REF!</definedName>
    <definedName name="JIJEL" localSheetId="22">#REF!</definedName>
    <definedName name="JIJEL" localSheetId="24">#REF!</definedName>
    <definedName name="JIJEL" localSheetId="26">#REF!</definedName>
    <definedName name="JIJEL" localSheetId="28">#REF!</definedName>
    <definedName name="JIJEL" localSheetId="29">#REF!</definedName>
    <definedName name="JIJEL" localSheetId="13">#REF!</definedName>
    <definedName name="JIJEL" localSheetId="31">#REF!</definedName>
    <definedName name="JIJEL" localSheetId="33">#REF!</definedName>
    <definedName name="JIJEL" localSheetId="35">#REF!</definedName>
    <definedName name="JIJEL" localSheetId="15">#REF!</definedName>
    <definedName name="JIJEL" localSheetId="17">#REF!</definedName>
    <definedName name="JIJEL" localSheetId="19">#REF!</definedName>
    <definedName name="JIJEL">#REF!</definedName>
    <definedName name="KHENCHELA" localSheetId="21">#REF!</definedName>
    <definedName name="KHENCHELA" localSheetId="22">#REF!</definedName>
    <definedName name="KHENCHELA" localSheetId="24">#REF!</definedName>
    <definedName name="KHENCHELA" localSheetId="26">#REF!</definedName>
    <definedName name="KHENCHELA" localSheetId="28">#REF!</definedName>
    <definedName name="KHENCHELA" localSheetId="29">#REF!</definedName>
    <definedName name="KHENCHELA" localSheetId="13">#REF!</definedName>
    <definedName name="KHENCHELA" localSheetId="31">#REF!</definedName>
    <definedName name="KHENCHELA" localSheetId="33">#REF!</definedName>
    <definedName name="KHENCHELA" localSheetId="35">#REF!</definedName>
    <definedName name="KHENCHELA" localSheetId="15">#REF!</definedName>
    <definedName name="KHENCHELA" localSheetId="17">#REF!</definedName>
    <definedName name="KHENCHELA" localSheetId="19">#REF!</definedName>
    <definedName name="KHENCHELA">#REF!</definedName>
    <definedName name="MARI">#REF!</definedName>
    <definedName name="MILA" localSheetId="21">#REF!</definedName>
    <definedName name="MILA" localSheetId="22">#REF!</definedName>
    <definedName name="MILA" localSheetId="24">#REF!</definedName>
    <definedName name="MILA" localSheetId="26">#REF!</definedName>
    <definedName name="MILA" localSheetId="28">#REF!</definedName>
    <definedName name="MILA" localSheetId="29">#REF!</definedName>
    <definedName name="MILA" localSheetId="13">#REF!</definedName>
    <definedName name="MILA" localSheetId="31">#REF!</definedName>
    <definedName name="MILA" localSheetId="33">#REF!</definedName>
    <definedName name="MILA" localSheetId="35">#REF!</definedName>
    <definedName name="MILA" localSheetId="15">#REF!</definedName>
    <definedName name="MILA" localSheetId="17">#REF!</definedName>
    <definedName name="MILA" localSheetId="19">#REF!</definedName>
    <definedName name="MILA">#REF!</definedName>
    <definedName name="miseenplace03prjpilotes" localSheetId="21">#REF!</definedName>
    <definedName name="miseenplace03prjpilotes" localSheetId="22">#REF!</definedName>
    <definedName name="miseenplace03prjpilotes" localSheetId="24">#REF!</definedName>
    <definedName name="miseenplace03prjpilotes" localSheetId="26">#REF!</definedName>
    <definedName name="miseenplace03prjpilotes" localSheetId="28">#REF!</definedName>
    <definedName name="miseenplace03prjpilotes" localSheetId="29">#REF!</definedName>
    <definedName name="miseenplace03prjpilotes" localSheetId="13">#REF!</definedName>
    <definedName name="miseenplace03prjpilotes" localSheetId="31">#REF!</definedName>
    <definedName name="miseenplace03prjpilotes" localSheetId="33">#REF!</definedName>
    <definedName name="miseenplace03prjpilotes" localSheetId="35">#REF!</definedName>
    <definedName name="miseenplace03prjpilotes" localSheetId="15">#REF!</definedName>
    <definedName name="miseenplace03prjpilotes" localSheetId="17">#REF!</definedName>
    <definedName name="miseenplace03prjpilotes" localSheetId="19">#REF!</definedName>
    <definedName name="miseenplace03prjpilotes">#REF!</definedName>
    <definedName name="MS" localSheetId="21">#REF!</definedName>
    <definedName name="MS" localSheetId="22">#REF!</definedName>
    <definedName name="MS" localSheetId="24">#REF!</definedName>
    <definedName name="MS" localSheetId="26">#REF!</definedName>
    <definedName name="MS" localSheetId="28">#REF!</definedName>
    <definedName name="MS" localSheetId="29">#REF!</definedName>
    <definedName name="MS" localSheetId="13">#REF!</definedName>
    <definedName name="MS" localSheetId="31">#REF!</definedName>
    <definedName name="MS" localSheetId="33">#REF!</definedName>
    <definedName name="MS" localSheetId="35">#REF!</definedName>
    <definedName name="MS" localSheetId="15">#REF!</definedName>
    <definedName name="MS" localSheetId="17">#REF!</definedName>
    <definedName name="MS" localSheetId="19">#REF!</definedName>
    <definedName name="MS">#REF!</definedName>
    <definedName name="msp" localSheetId="21">#REF!</definedName>
    <definedName name="msp" localSheetId="22">#REF!</definedName>
    <definedName name="msp" localSheetId="24">#REF!</definedName>
    <definedName name="msp" localSheetId="26">#REF!</definedName>
    <definedName name="msp" localSheetId="28">#REF!</definedName>
    <definedName name="msp" localSheetId="29">#REF!</definedName>
    <definedName name="msp" localSheetId="13">#REF!</definedName>
    <definedName name="msp" localSheetId="31">#REF!</definedName>
    <definedName name="msp" localSheetId="33">#REF!</definedName>
    <definedName name="msp" localSheetId="35">#REF!</definedName>
    <definedName name="msp" localSheetId="15">#REF!</definedName>
    <definedName name="msp" localSheetId="17">#REF!</definedName>
    <definedName name="msp" localSheetId="19">#REF!</definedName>
    <definedName name="msp">#REF!</definedName>
    <definedName name="P" localSheetId="21">#REF!</definedName>
    <definedName name="P" localSheetId="22">#REF!</definedName>
    <definedName name="P" localSheetId="24">#REF!</definedName>
    <definedName name="P" localSheetId="26">#REF!</definedName>
    <definedName name="P" localSheetId="28">#REF!</definedName>
    <definedName name="P" localSheetId="29">#REF!</definedName>
    <definedName name="P" localSheetId="13">#REF!</definedName>
    <definedName name="P" localSheetId="31">#REF!</definedName>
    <definedName name="P" localSheetId="33">#REF!</definedName>
    <definedName name="P" localSheetId="35">#REF!</definedName>
    <definedName name="P" localSheetId="15">#REF!</definedName>
    <definedName name="P" localSheetId="17">#REF!</definedName>
    <definedName name="P" localSheetId="19">#REF!</definedName>
    <definedName name="P">#REF!</definedName>
    <definedName name="po" localSheetId="21">#REF!</definedName>
    <definedName name="po" localSheetId="22">#REF!</definedName>
    <definedName name="po" localSheetId="24">#REF!</definedName>
    <definedName name="po" localSheetId="26">#REF!</definedName>
    <definedName name="po" localSheetId="28">#REF!</definedName>
    <definedName name="po" localSheetId="29">#REF!</definedName>
    <definedName name="po" localSheetId="13">#REF!</definedName>
    <definedName name="po" localSheetId="31">#REF!</definedName>
    <definedName name="po" localSheetId="33">#REF!</definedName>
    <definedName name="po" localSheetId="35">#REF!</definedName>
    <definedName name="po" localSheetId="15">#REF!</definedName>
    <definedName name="po" localSheetId="17">#REF!</definedName>
    <definedName name="po" localSheetId="19">#REF!</definedName>
    <definedName name="po">#REF!</definedName>
    <definedName name="POP" localSheetId="21">#REF!</definedName>
    <definedName name="POP" localSheetId="22">#REF!</definedName>
    <definedName name="POP" localSheetId="24">#REF!</definedName>
    <definedName name="POP" localSheetId="26">#REF!</definedName>
    <definedName name="POP" localSheetId="28">#REF!</definedName>
    <definedName name="POP" localSheetId="29">#REF!</definedName>
    <definedName name="POP" localSheetId="13">#REF!</definedName>
    <definedName name="POP" localSheetId="31">#REF!</definedName>
    <definedName name="POP" localSheetId="33">#REF!</definedName>
    <definedName name="POP" localSheetId="35">#REF!</definedName>
    <definedName name="POP" localSheetId="15">#REF!</definedName>
    <definedName name="POP" localSheetId="17">#REF!</definedName>
    <definedName name="POP" localSheetId="19">#REF!</definedName>
    <definedName name="POP">#REF!</definedName>
    <definedName name="RECAP" localSheetId="21">#REF!</definedName>
    <definedName name="RECAP" localSheetId="22">#REF!</definedName>
    <definedName name="RECAP" localSheetId="24">#REF!</definedName>
    <definedName name="RECAP" localSheetId="26">#REF!</definedName>
    <definedName name="RECAP" localSheetId="28">#REF!</definedName>
    <definedName name="RECAP" localSheetId="29">#REF!</definedName>
    <definedName name="RECAP" localSheetId="13">#REF!</definedName>
    <definedName name="RECAP" localSheetId="31">#REF!</definedName>
    <definedName name="RECAP" localSheetId="33">#REF!</definedName>
    <definedName name="RECAP" localSheetId="35">#REF!</definedName>
    <definedName name="RECAP" localSheetId="15">#REF!</definedName>
    <definedName name="RECAP" localSheetId="17">#REF!</definedName>
    <definedName name="RECAP" localSheetId="19">#REF!</definedName>
    <definedName name="RECAP">#REF!</definedName>
    <definedName name="SOUKAHARS" localSheetId="21">#REF!</definedName>
    <definedName name="SOUKAHARS" localSheetId="22">#REF!</definedName>
    <definedName name="SOUKAHARS" localSheetId="24">#REF!</definedName>
    <definedName name="SOUKAHARS" localSheetId="26">#REF!</definedName>
    <definedName name="SOUKAHARS" localSheetId="28">#REF!</definedName>
    <definedName name="SOUKAHARS" localSheetId="29">#REF!</definedName>
    <definedName name="SOUKAHARS" localSheetId="13">#REF!</definedName>
    <definedName name="SOUKAHARS" localSheetId="31">#REF!</definedName>
    <definedName name="SOUKAHARS" localSheetId="33">#REF!</definedName>
    <definedName name="SOUKAHARS" localSheetId="35">#REF!</definedName>
    <definedName name="SOUKAHARS" localSheetId="15">#REF!</definedName>
    <definedName name="SOUKAHARS" localSheetId="17">#REF!</definedName>
    <definedName name="SOUKAHARS" localSheetId="19">#REF!</definedName>
    <definedName name="SOUKAHARS">#REF!</definedName>
    <definedName name="Taxes">#REF!</definedName>
    <definedName name="TRAVAUX01" localSheetId="21">#REF!</definedName>
    <definedName name="TRAVAUX01" localSheetId="22">#REF!</definedName>
    <definedName name="TRAVAUX01" localSheetId="24">#REF!</definedName>
    <definedName name="TRAVAUX01" localSheetId="26">#REF!</definedName>
    <definedName name="TRAVAUX01" localSheetId="28">#REF!</definedName>
    <definedName name="TRAVAUX01" localSheetId="29">#REF!</definedName>
    <definedName name="TRAVAUX01" localSheetId="13">#REF!</definedName>
    <definedName name="TRAVAUX01" localSheetId="31">#REF!</definedName>
    <definedName name="TRAVAUX01" localSheetId="33">#REF!</definedName>
    <definedName name="TRAVAUX01" localSheetId="35">#REF!</definedName>
    <definedName name="TRAVAUX01" localSheetId="15">#REF!</definedName>
    <definedName name="TRAVAUX01" localSheetId="17">#REF!</definedName>
    <definedName name="TRAVAUX01" localSheetId="19">#REF!</definedName>
    <definedName name="TRAVAUX01">#REF!</definedName>
    <definedName name="TRAVAUX07" localSheetId="21">#REF!</definedName>
    <definedName name="TRAVAUX07" localSheetId="22">#REF!</definedName>
    <definedName name="TRAVAUX07" localSheetId="24">#REF!</definedName>
    <definedName name="TRAVAUX07" localSheetId="26">#REF!</definedName>
    <definedName name="TRAVAUX07" localSheetId="28">#REF!</definedName>
    <definedName name="TRAVAUX07" localSheetId="29">#REF!</definedName>
    <definedName name="TRAVAUX07" localSheetId="13">#REF!</definedName>
    <definedName name="TRAVAUX07" localSheetId="31">#REF!</definedName>
    <definedName name="TRAVAUX07" localSheetId="33">#REF!</definedName>
    <definedName name="TRAVAUX07" localSheetId="35">#REF!</definedName>
    <definedName name="TRAVAUX07" localSheetId="15">#REF!</definedName>
    <definedName name="TRAVAUX07" localSheetId="17">#REF!</definedName>
    <definedName name="TRAVAUX07" localSheetId="19">#REF!</definedName>
    <definedName name="TRAVAUX07">#REF!</definedName>
    <definedName name="TRAVAUX08" localSheetId="21">#REF!</definedName>
    <definedName name="TRAVAUX08" localSheetId="22">#REF!</definedName>
    <definedName name="TRAVAUX08" localSheetId="24">#REF!</definedName>
    <definedName name="TRAVAUX08" localSheetId="26">#REF!</definedName>
    <definedName name="TRAVAUX08" localSheetId="28">#REF!</definedName>
    <definedName name="TRAVAUX08" localSheetId="29">#REF!</definedName>
    <definedName name="TRAVAUX08" localSheetId="13">#REF!</definedName>
    <definedName name="TRAVAUX08" localSheetId="31">#REF!</definedName>
    <definedName name="TRAVAUX08" localSheetId="33">#REF!</definedName>
    <definedName name="TRAVAUX08" localSheetId="35">#REF!</definedName>
    <definedName name="TRAVAUX08" localSheetId="15">#REF!</definedName>
    <definedName name="TRAVAUX08" localSheetId="17">#REF!</definedName>
    <definedName name="TRAVAUX08" localSheetId="19">#REF!</definedName>
    <definedName name="TRAVAUX08">#REF!</definedName>
    <definedName name="TRAVAUX10" localSheetId="21">#REF!</definedName>
    <definedName name="TRAVAUX10" localSheetId="22">#REF!</definedName>
    <definedName name="TRAVAUX10" localSheetId="24">#REF!</definedName>
    <definedName name="TRAVAUX10" localSheetId="26">#REF!</definedName>
    <definedName name="TRAVAUX10" localSheetId="28">#REF!</definedName>
    <definedName name="TRAVAUX10" localSheetId="29">#REF!</definedName>
    <definedName name="TRAVAUX10" localSheetId="13">#REF!</definedName>
    <definedName name="TRAVAUX10" localSheetId="31">#REF!</definedName>
    <definedName name="TRAVAUX10" localSheetId="33">#REF!</definedName>
    <definedName name="TRAVAUX10" localSheetId="35">#REF!</definedName>
    <definedName name="TRAVAUX10" localSheetId="15">#REF!</definedName>
    <definedName name="TRAVAUX10" localSheetId="17">#REF!</definedName>
    <definedName name="TRAVAUX10" localSheetId="19">#REF!</definedName>
    <definedName name="TRAVAUX10">#REF!</definedName>
    <definedName name="TRAVAUX11" localSheetId="21">#REF!</definedName>
    <definedName name="TRAVAUX11" localSheetId="22">#REF!</definedName>
    <definedName name="TRAVAUX11" localSheetId="24">#REF!</definedName>
    <definedName name="TRAVAUX11" localSheetId="26">#REF!</definedName>
    <definedName name="TRAVAUX11" localSheetId="28">#REF!</definedName>
    <definedName name="TRAVAUX11" localSheetId="29">#REF!</definedName>
    <definedName name="TRAVAUX11" localSheetId="13">#REF!</definedName>
    <definedName name="TRAVAUX11" localSheetId="31">#REF!</definedName>
    <definedName name="TRAVAUX11" localSheetId="33">#REF!</definedName>
    <definedName name="TRAVAUX11" localSheetId="35">#REF!</definedName>
    <definedName name="TRAVAUX11" localSheetId="15">#REF!</definedName>
    <definedName name="TRAVAUX11" localSheetId="17">#REF!</definedName>
    <definedName name="TRAVAUX11" localSheetId="19">#REF!</definedName>
    <definedName name="TRAVAUX11">#REF!</definedName>
    <definedName name="TRAVAUX12" localSheetId="21">#REF!</definedName>
    <definedName name="TRAVAUX12" localSheetId="22">#REF!</definedName>
    <definedName name="TRAVAUX12" localSheetId="24">#REF!</definedName>
    <definedName name="TRAVAUX12" localSheetId="26">#REF!</definedName>
    <definedName name="TRAVAUX12" localSheetId="28">#REF!</definedName>
    <definedName name="TRAVAUX12" localSheetId="29">#REF!</definedName>
    <definedName name="TRAVAUX12" localSheetId="13">#REF!</definedName>
    <definedName name="TRAVAUX12" localSheetId="31">#REF!</definedName>
    <definedName name="TRAVAUX12" localSheetId="33">#REF!</definedName>
    <definedName name="TRAVAUX12" localSheetId="35">#REF!</definedName>
    <definedName name="TRAVAUX12" localSheetId="15">#REF!</definedName>
    <definedName name="TRAVAUX12" localSheetId="17">#REF!</definedName>
    <definedName name="TRAVAUX12" localSheetId="19">#REF!</definedName>
    <definedName name="TRAVAUX12">#REF!</definedName>
    <definedName name="TRAVAUX13" localSheetId="21">#REF!</definedName>
    <definedName name="TRAVAUX13" localSheetId="22">#REF!</definedName>
    <definedName name="TRAVAUX13" localSheetId="24">#REF!</definedName>
    <definedName name="TRAVAUX13" localSheetId="26">#REF!</definedName>
    <definedName name="TRAVAUX13" localSheetId="28">#REF!</definedName>
    <definedName name="TRAVAUX13" localSheetId="29">#REF!</definedName>
    <definedName name="TRAVAUX13" localSheetId="13">#REF!</definedName>
    <definedName name="TRAVAUX13" localSheetId="31">#REF!</definedName>
    <definedName name="TRAVAUX13" localSheetId="33">#REF!</definedName>
    <definedName name="TRAVAUX13" localSheetId="35">#REF!</definedName>
    <definedName name="TRAVAUX13" localSheetId="15">#REF!</definedName>
    <definedName name="TRAVAUX13" localSheetId="17">#REF!</definedName>
    <definedName name="TRAVAUX13" localSheetId="19">#REF!</definedName>
    <definedName name="TRAVAUX13">#REF!</definedName>
    <definedName name="TRAVAUX14" localSheetId="21">#REF!</definedName>
    <definedName name="TRAVAUX14" localSheetId="22">#REF!</definedName>
    <definedName name="TRAVAUX14" localSheetId="24">#REF!</definedName>
    <definedName name="TRAVAUX14" localSheetId="26">#REF!</definedName>
    <definedName name="TRAVAUX14" localSheetId="28">#REF!</definedName>
    <definedName name="TRAVAUX14" localSheetId="29">#REF!</definedName>
    <definedName name="TRAVAUX14" localSheetId="13">#REF!</definedName>
    <definedName name="TRAVAUX14" localSheetId="31">#REF!</definedName>
    <definedName name="TRAVAUX14" localSheetId="33">#REF!</definedName>
    <definedName name="TRAVAUX14" localSheetId="35">#REF!</definedName>
    <definedName name="TRAVAUX14" localSheetId="15">#REF!</definedName>
    <definedName name="TRAVAUX14" localSheetId="17">#REF!</definedName>
    <definedName name="TRAVAUX14" localSheetId="19">#REF!</definedName>
    <definedName name="TRAVAUX14">#REF!</definedName>
    <definedName name="TRAVAUX15" localSheetId="21">#REF!</definedName>
    <definedName name="TRAVAUX15" localSheetId="22">#REF!</definedName>
    <definedName name="TRAVAUX15" localSheetId="24">#REF!</definedName>
    <definedName name="TRAVAUX15" localSheetId="26">#REF!</definedName>
    <definedName name="TRAVAUX15" localSheetId="28">#REF!</definedName>
    <definedName name="TRAVAUX15" localSheetId="29">#REF!</definedName>
    <definedName name="TRAVAUX15" localSheetId="13">#REF!</definedName>
    <definedName name="TRAVAUX15" localSheetId="31">#REF!</definedName>
    <definedName name="TRAVAUX15" localSheetId="33">#REF!</definedName>
    <definedName name="TRAVAUX15" localSheetId="35">#REF!</definedName>
    <definedName name="TRAVAUX15" localSheetId="15">#REF!</definedName>
    <definedName name="TRAVAUX15" localSheetId="17">#REF!</definedName>
    <definedName name="TRAVAUX15" localSheetId="19">#REF!</definedName>
    <definedName name="TRAVAUX15">#REF!</definedName>
    <definedName name="TRAVAUX20" localSheetId="21">#REF!</definedName>
    <definedName name="TRAVAUX20" localSheetId="22">#REF!</definedName>
    <definedName name="TRAVAUX20" localSheetId="24">#REF!</definedName>
    <definedName name="TRAVAUX20" localSheetId="26">#REF!</definedName>
    <definedName name="TRAVAUX20" localSheetId="28">#REF!</definedName>
    <definedName name="TRAVAUX20" localSheetId="29">#REF!</definedName>
    <definedName name="TRAVAUX20" localSheetId="13">#REF!</definedName>
    <definedName name="TRAVAUX20" localSheetId="31">#REF!</definedName>
    <definedName name="TRAVAUX20" localSheetId="33">#REF!</definedName>
    <definedName name="TRAVAUX20" localSheetId="35">#REF!</definedName>
    <definedName name="TRAVAUX20" localSheetId="15">#REF!</definedName>
    <definedName name="TRAVAUX20" localSheetId="17">#REF!</definedName>
    <definedName name="TRAVAUX20" localSheetId="19">#REF!</definedName>
    <definedName name="TRAVAUX20">#REF!</definedName>
    <definedName name="TRAVAUX21" localSheetId="21">#REF!</definedName>
    <definedName name="TRAVAUX21" localSheetId="22">#REF!</definedName>
    <definedName name="TRAVAUX21" localSheetId="24">#REF!</definedName>
    <definedName name="TRAVAUX21" localSheetId="26">#REF!</definedName>
    <definedName name="TRAVAUX21" localSheetId="28">#REF!</definedName>
    <definedName name="TRAVAUX21" localSheetId="29">#REF!</definedName>
    <definedName name="TRAVAUX21" localSheetId="13">#REF!</definedName>
    <definedName name="TRAVAUX21" localSheetId="31">#REF!</definedName>
    <definedName name="TRAVAUX21" localSheetId="33">#REF!</definedName>
    <definedName name="TRAVAUX21" localSheetId="35">#REF!</definedName>
    <definedName name="TRAVAUX21" localSheetId="15">#REF!</definedName>
    <definedName name="TRAVAUX21" localSheetId="17">#REF!</definedName>
    <definedName name="TRAVAUX21" localSheetId="19">#REF!</definedName>
    <definedName name="TRAVAUX21">#REF!</definedName>
    <definedName name="TRAVAUX22" localSheetId="21">#REF!</definedName>
    <definedName name="TRAVAUX22" localSheetId="22">#REF!</definedName>
    <definedName name="TRAVAUX22" localSheetId="24">#REF!</definedName>
    <definedName name="TRAVAUX22" localSheetId="26">#REF!</definedName>
    <definedName name="TRAVAUX22" localSheetId="28">#REF!</definedName>
    <definedName name="TRAVAUX22" localSheetId="29">#REF!</definedName>
    <definedName name="TRAVAUX22" localSheetId="13">#REF!</definedName>
    <definedName name="TRAVAUX22" localSheetId="31">#REF!</definedName>
    <definedName name="TRAVAUX22" localSheetId="33">#REF!</definedName>
    <definedName name="TRAVAUX22" localSheetId="35">#REF!</definedName>
    <definedName name="TRAVAUX22" localSheetId="15">#REF!</definedName>
    <definedName name="TRAVAUX22" localSheetId="17">#REF!</definedName>
    <definedName name="TRAVAUX22" localSheetId="19">#REF!</definedName>
    <definedName name="TRAVAUX22">#REF!</definedName>
    <definedName name="TRAVAUX25" localSheetId="21">#REF!</definedName>
    <definedName name="TRAVAUX25" localSheetId="22">#REF!</definedName>
    <definedName name="TRAVAUX25" localSheetId="24">#REF!</definedName>
    <definedName name="TRAVAUX25" localSheetId="26">#REF!</definedName>
    <definedName name="TRAVAUX25" localSheetId="28">#REF!</definedName>
    <definedName name="TRAVAUX25" localSheetId="29">#REF!</definedName>
    <definedName name="TRAVAUX25" localSheetId="13">#REF!</definedName>
    <definedName name="TRAVAUX25" localSheetId="31">#REF!</definedName>
    <definedName name="TRAVAUX25" localSheetId="33">#REF!</definedName>
    <definedName name="TRAVAUX25" localSheetId="35">#REF!</definedName>
    <definedName name="TRAVAUX25" localSheetId="15">#REF!</definedName>
    <definedName name="TRAVAUX25" localSheetId="17">#REF!</definedName>
    <definedName name="TRAVAUX25" localSheetId="19">#REF!</definedName>
    <definedName name="TRAVAUX25">#REF!</definedName>
    <definedName name="TRAVAUX27" localSheetId="21">#REF!</definedName>
    <definedName name="TRAVAUX27" localSheetId="22">#REF!</definedName>
    <definedName name="TRAVAUX27" localSheetId="24">#REF!</definedName>
    <definedName name="TRAVAUX27" localSheetId="26">#REF!</definedName>
    <definedName name="TRAVAUX27" localSheetId="28">#REF!</definedName>
    <definedName name="TRAVAUX27" localSheetId="29">#REF!</definedName>
    <definedName name="TRAVAUX27" localSheetId="13">#REF!</definedName>
    <definedName name="TRAVAUX27" localSheetId="31">#REF!</definedName>
    <definedName name="TRAVAUX27" localSheetId="33">#REF!</definedName>
    <definedName name="TRAVAUX27" localSheetId="35">#REF!</definedName>
    <definedName name="TRAVAUX27" localSheetId="15">#REF!</definedName>
    <definedName name="TRAVAUX27" localSheetId="17">#REF!</definedName>
    <definedName name="TRAVAUX27" localSheetId="19">#REF!</definedName>
    <definedName name="TRAVAUX27">#REF!</definedName>
    <definedName name="TRAVAUX28" localSheetId="21">#REF!</definedName>
    <definedName name="TRAVAUX28" localSheetId="22">#REF!</definedName>
    <definedName name="TRAVAUX28" localSheetId="24">#REF!</definedName>
    <definedName name="TRAVAUX28" localSheetId="26">#REF!</definedName>
    <definedName name="TRAVAUX28" localSheetId="28">#REF!</definedName>
    <definedName name="TRAVAUX28" localSheetId="29">#REF!</definedName>
    <definedName name="TRAVAUX28" localSheetId="13">#REF!</definedName>
    <definedName name="TRAVAUX28" localSheetId="31">#REF!</definedName>
    <definedName name="TRAVAUX28" localSheetId="33">#REF!</definedName>
    <definedName name="TRAVAUX28" localSheetId="35">#REF!</definedName>
    <definedName name="TRAVAUX28" localSheetId="15">#REF!</definedName>
    <definedName name="TRAVAUX28" localSheetId="17">#REF!</definedName>
    <definedName name="TRAVAUX28" localSheetId="19">#REF!</definedName>
    <definedName name="TRAVAUX28">#REF!</definedName>
    <definedName name="TRAVAUX29" localSheetId="21">#REF!</definedName>
    <definedName name="TRAVAUX29" localSheetId="22">#REF!</definedName>
    <definedName name="TRAVAUX29" localSheetId="24">#REF!</definedName>
    <definedName name="TRAVAUX29" localSheetId="26">#REF!</definedName>
    <definedName name="TRAVAUX29" localSheetId="28">#REF!</definedName>
    <definedName name="TRAVAUX29" localSheetId="29">#REF!</definedName>
    <definedName name="TRAVAUX29" localSheetId="13">#REF!</definedName>
    <definedName name="TRAVAUX29" localSheetId="31">#REF!</definedName>
    <definedName name="TRAVAUX29" localSheetId="33">#REF!</definedName>
    <definedName name="TRAVAUX29" localSheetId="35">#REF!</definedName>
    <definedName name="TRAVAUX29" localSheetId="15">#REF!</definedName>
    <definedName name="TRAVAUX29" localSheetId="17">#REF!</definedName>
    <definedName name="TRAVAUX29" localSheetId="19">#REF!</definedName>
    <definedName name="TRAVAUX29">#REF!</definedName>
    <definedName name="TRAVAUX31" localSheetId="21">#REF!</definedName>
    <definedName name="TRAVAUX31" localSheetId="22">#REF!</definedName>
    <definedName name="TRAVAUX31" localSheetId="24">#REF!</definedName>
    <definedName name="TRAVAUX31" localSheetId="26">#REF!</definedName>
    <definedName name="TRAVAUX31" localSheetId="28">#REF!</definedName>
    <definedName name="TRAVAUX31" localSheetId="29">#REF!</definedName>
    <definedName name="TRAVAUX31" localSheetId="13">#REF!</definedName>
    <definedName name="TRAVAUX31" localSheetId="31">#REF!</definedName>
    <definedName name="TRAVAUX31" localSheetId="33">#REF!</definedName>
    <definedName name="TRAVAUX31" localSheetId="35">#REF!</definedName>
    <definedName name="TRAVAUX31" localSheetId="15">#REF!</definedName>
    <definedName name="TRAVAUX31" localSheetId="17">#REF!</definedName>
    <definedName name="TRAVAUX31" localSheetId="19">#REF!</definedName>
    <definedName name="TRAVAUX31">#REF!</definedName>
    <definedName name="TRAVAUX32" localSheetId="21">#REF!</definedName>
    <definedName name="TRAVAUX32" localSheetId="22">#REF!</definedName>
    <definedName name="TRAVAUX32" localSheetId="24">#REF!</definedName>
    <definedName name="TRAVAUX32" localSheetId="26">#REF!</definedName>
    <definedName name="TRAVAUX32" localSheetId="28">#REF!</definedName>
    <definedName name="TRAVAUX32" localSheetId="29">#REF!</definedName>
    <definedName name="TRAVAUX32" localSheetId="13">#REF!</definedName>
    <definedName name="TRAVAUX32" localSheetId="31">#REF!</definedName>
    <definedName name="TRAVAUX32" localSheetId="33">#REF!</definedName>
    <definedName name="TRAVAUX32" localSheetId="35">#REF!</definedName>
    <definedName name="TRAVAUX32" localSheetId="15">#REF!</definedName>
    <definedName name="TRAVAUX32" localSheetId="17">#REF!</definedName>
    <definedName name="TRAVAUX32" localSheetId="19">#REF!</definedName>
    <definedName name="TRAVAUX32">#REF!</definedName>
    <definedName name="TRAVAUX33" localSheetId="21">#REF!</definedName>
    <definedName name="TRAVAUX33" localSheetId="22">#REF!</definedName>
    <definedName name="TRAVAUX33" localSheetId="24">#REF!</definedName>
    <definedName name="TRAVAUX33" localSheetId="26">#REF!</definedName>
    <definedName name="TRAVAUX33" localSheetId="28">#REF!</definedName>
    <definedName name="TRAVAUX33" localSheetId="29">#REF!</definedName>
    <definedName name="TRAVAUX33" localSheetId="13">#REF!</definedName>
    <definedName name="TRAVAUX33" localSheetId="31">#REF!</definedName>
    <definedName name="TRAVAUX33" localSheetId="33">#REF!</definedName>
    <definedName name="TRAVAUX33" localSheetId="35">#REF!</definedName>
    <definedName name="TRAVAUX33" localSheetId="15">#REF!</definedName>
    <definedName name="TRAVAUX33" localSheetId="17">#REF!</definedName>
    <definedName name="TRAVAUX33" localSheetId="19">#REF!</definedName>
    <definedName name="TRAVAUX33">#REF!</definedName>
    <definedName name="TRAVAUX34" localSheetId="21">#REF!</definedName>
    <definedName name="TRAVAUX34" localSheetId="22">#REF!</definedName>
    <definedName name="TRAVAUX34" localSheetId="24">#REF!</definedName>
    <definedName name="TRAVAUX34" localSheetId="26">#REF!</definedName>
    <definedName name="TRAVAUX34" localSheetId="28">#REF!</definedName>
    <definedName name="TRAVAUX34" localSheetId="29">#REF!</definedName>
    <definedName name="TRAVAUX34" localSheetId="13">#REF!</definedName>
    <definedName name="TRAVAUX34" localSheetId="31">#REF!</definedName>
    <definedName name="TRAVAUX34" localSheetId="33">#REF!</definedName>
    <definedName name="TRAVAUX34" localSheetId="35">#REF!</definedName>
    <definedName name="TRAVAUX34" localSheetId="15">#REF!</definedName>
    <definedName name="TRAVAUX34" localSheetId="17">#REF!</definedName>
    <definedName name="TRAVAUX34" localSheetId="19">#REF!</definedName>
    <definedName name="TRAVAUX34">#REF!</definedName>
    <definedName name="TRAVAUX35" localSheetId="21">#REF!</definedName>
    <definedName name="TRAVAUX35" localSheetId="22">#REF!</definedName>
    <definedName name="TRAVAUX35" localSheetId="24">#REF!</definedName>
    <definedName name="TRAVAUX35" localSheetId="26">#REF!</definedName>
    <definedName name="TRAVAUX35" localSheetId="28">#REF!</definedName>
    <definedName name="TRAVAUX35" localSheetId="29">#REF!</definedName>
    <definedName name="TRAVAUX35" localSheetId="13">#REF!</definedName>
    <definedName name="TRAVAUX35" localSheetId="31">#REF!</definedName>
    <definedName name="TRAVAUX35" localSheetId="33">#REF!</definedName>
    <definedName name="TRAVAUX35" localSheetId="35">#REF!</definedName>
    <definedName name="TRAVAUX35" localSheetId="15">#REF!</definedName>
    <definedName name="TRAVAUX35" localSheetId="17">#REF!</definedName>
    <definedName name="TRAVAUX35" localSheetId="19">#REF!</definedName>
    <definedName name="TRAVAUX35">#REF!</definedName>
    <definedName name="TRAVAUX36" localSheetId="21">#REF!</definedName>
    <definedName name="TRAVAUX36" localSheetId="22">#REF!</definedName>
    <definedName name="TRAVAUX36" localSheetId="24">#REF!</definedName>
    <definedName name="TRAVAUX36" localSheetId="26">#REF!</definedName>
    <definedName name="TRAVAUX36" localSheetId="28">#REF!</definedName>
    <definedName name="TRAVAUX36" localSheetId="29">#REF!</definedName>
    <definedName name="TRAVAUX36" localSheetId="13">#REF!</definedName>
    <definedName name="TRAVAUX36" localSheetId="31">#REF!</definedName>
    <definedName name="TRAVAUX36" localSheetId="33">#REF!</definedName>
    <definedName name="TRAVAUX36" localSheetId="35">#REF!</definedName>
    <definedName name="TRAVAUX36" localSheetId="15">#REF!</definedName>
    <definedName name="TRAVAUX36" localSheetId="17">#REF!</definedName>
    <definedName name="TRAVAUX36" localSheetId="19">#REF!</definedName>
    <definedName name="TRAVAUX36">#REF!</definedName>
    <definedName name="TRAVAUX38" localSheetId="21">#REF!</definedName>
    <definedName name="TRAVAUX38" localSheetId="22">#REF!</definedName>
    <definedName name="TRAVAUX38" localSheetId="24">#REF!</definedName>
    <definedName name="TRAVAUX38" localSheetId="26">#REF!</definedName>
    <definedName name="TRAVAUX38" localSheetId="28">#REF!</definedName>
    <definedName name="TRAVAUX38" localSheetId="29">#REF!</definedName>
    <definedName name="TRAVAUX38" localSheetId="13">#REF!</definedName>
    <definedName name="TRAVAUX38" localSheetId="31">#REF!</definedName>
    <definedName name="TRAVAUX38" localSheetId="33">#REF!</definedName>
    <definedName name="TRAVAUX38" localSheetId="35">#REF!</definedName>
    <definedName name="TRAVAUX38" localSheetId="15">#REF!</definedName>
    <definedName name="TRAVAUX38" localSheetId="17">#REF!</definedName>
    <definedName name="TRAVAUX38" localSheetId="19">#REF!</definedName>
    <definedName name="TRAVAUX38">#REF!</definedName>
    <definedName name="TRAVAUX39" localSheetId="21">#REF!</definedName>
    <definedName name="TRAVAUX39" localSheetId="22">#REF!</definedName>
    <definedName name="TRAVAUX39" localSheetId="24">#REF!</definedName>
    <definedName name="TRAVAUX39" localSheetId="26">#REF!</definedName>
    <definedName name="TRAVAUX39" localSheetId="28">#REF!</definedName>
    <definedName name="TRAVAUX39" localSheetId="29">#REF!</definedName>
    <definedName name="TRAVAUX39" localSheetId="13">#REF!</definedName>
    <definedName name="TRAVAUX39" localSheetId="31">#REF!</definedName>
    <definedName name="TRAVAUX39" localSheetId="33">#REF!</definedName>
    <definedName name="TRAVAUX39" localSheetId="35">#REF!</definedName>
    <definedName name="TRAVAUX39" localSheetId="15">#REF!</definedName>
    <definedName name="TRAVAUX39" localSheetId="17">#REF!</definedName>
    <definedName name="TRAVAUX39" localSheetId="19">#REF!</definedName>
    <definedName name="TRAVAUX39">#REF!</definedName>
    <definedName name="TRAVAUX40" localSheetId="21">#REF!</definedName>
    <definedName name="TRAVAUX40" localSheetId="22">#REF!</definedName>
    <definedName name="TRAVAUX40" localSheetId="24">#REF!</definedName>
    <definedName name="TRAVAUX40" localSheetId="26">#REF!</definedName>
    <definedName name="TRAVAUX40" localSheetId="28">#REF!</definedName>
    <definedName name="TRAVAUX40" localSheetId="29">#REF!</definedName>
    <definedName name="TRAVAUX40" localSheetId="13">#REF!</definedName>
    <definedName name="TRAVAUX40" localSheetId="31">#REF!</definedName>
    <definedName name="TRAVAUX40" localSheetId="33">#REF!</definedName>
    <definedName name="TRAVAUX40" localSheetId="35">#REF!</definedName>
    <definedName name="TRAVAUX40" localSheetId="15">#REF!</definedName>
    <definedName name="TRAVAUX40" localSheetId="17">#REF!</definedName>
    <definedName name="TRAVAUX40" localSheetId="19">#REF!</definedName>
    <definedName name="TRAVAUX40">#REF!</definedName>
    <definedName name="TRAVAUX41" localSheetId="21">#REF!</definedName>
    <definedName name="TRAVAUX41" localSheetId="22">#REF!</definedName>
    <definedName name="TRAVAUX41" localSheetId="24">#REF!</definedName>
    <definedName name="TRAVAUX41" localSheetId="26">#REF!</definedName>
    <definedName name="TRAVAUX41" localSheetId="28">#REF!</definedName>
    <definedName name="TRAVAUX41" localSheetId="29">#REF!</definedName>
    <definedName name="TRAVAUX41" localSheetId="13">#REF!</definedName>
    <definedName name="TRAVAUX41" localSheetId="31">#REF!</definedName>
    <definedName name="TRAVAUX41" localSheetId="33">#REF!</definedName>
    <definedName name="TRAVAUX41" localSheetId="35">#REF!</definedName>
    <definedName name="TRAVAUX41" localSheetId="15">#REF!</definedName>
    <definedName name="TRAVAUX41" localSheetId="17">#REF!</definedName>
    <definedName name="TRAVAUX41" localSheetId="19">#REF!</definedName>
    <definedName name="TRAVAUX41">#REF!</definedName>
    <definedName name="TRAVAUX42" localSheetId="21">#REF!</definedName>
    <definedName name="TRAVAUX42" localSheetId="22">#REF!</definedName>
    <definedName name="TRAVAUX42" localSheetId="24">#REF!</definedName>
    <definedName name="TRAVAUX42" localSheetId="26">#REF!</definedName>
    <definedName name="TRAVAUX42" localSheetId="28">#REF!</definedName>
    <definedName name="TRAVAUX42" localSheetId="29">#REF!</definedName>
    <definedName name="TRAVAUX42" localSheetId="13">#REF!</definedName>
    <definedName name="TRAVAUX42" localSheetId="31">#REF!</definedName>
    <definedName name="TRAVAUX42" localSheetId="33">#REF!</definedName>
    <definedName name="TRAVAUX42" localSheetId="35">#REF!</definedName>
    <definedName name="TRAVAUX42" localSheetId="15">#REF!</definedName>
    <definedName name="TRAVAUX42" localSheetId="17">#REF!</definedName>
    <definedName name="TRAVAUX42" localSheetId="19">#REF!</definedName>
    <definedName name="TRAVAUX42">#REF!</definedName>
    <definedName name="TRAVAUX43" localSheetId="21">#REF!</definedName>
    <definedName name="TRAVAUX43" localSheetId="22">#REF!</definedName>
    <definedName name="TRAVAUX43" localSheetId="24">#REF!</definedName>
    <definedName name="TRAVAUX43" localSheetId="26">#REF!</definedName>
    <definedName name="TRAVAUX43" localSheetId="28">#REF!</definedName>
    <definedName name="TRAVAUX43" localSheetId="29">#REF!</definedName>
    <definedName name="TRAVAUX43" localSheetId="13">#REF!</definedName>
    <definedName name="TRAVAUX43" localSheetId="31">#REF!</definedName>
    <definedName name="TRAVAUX43" localSheetId="33">#REF!</definedName>
    <definedName name="TRAVAUX43" localSheetId="35">#REF!</definedName>
    <definedName name="TRAVAUX43" localSheetId="15">#REF!</definedName>
    <definedName name="TRAVAUX43" localSheetId="17">#REF!</definedName>
    <definedName name="TRAVAUX43" localSheetId="19">#REF!</definedName>
    <definedName name="TRAVAUX43">#REF!</definedName>
    <definedName name="TRAVAUX44" localSheetId="21">#REF!</definedName>
    <definedName name="TRAVAUX44" localSheetId="22">#REF!</definedName>
    <definedName name="TRAVAUX44" localSheetId="24">#REF!</definedName>
    <definedName name="TRAVAUX44" localSheetId="26">#REF!</definedName>
    <definedName name="TRAVAUX44" localSheetId="28">#REF!</definedName>
    <definedName name="TRAVAUX44" localSheetId="29">#REF!</definedName>
    <definedName name="TRAVAUX44" localSheetId="13">#REF!</definedName>
    <definedName name="TRAVAUX44" localSheetId="31">#REF!</definedName>
    <definedName name="TRAVAUX44" localSheetId="33">#REF!</definedName>
    <definedName name="TRAVAUX44" localSheetId="35">#REF!</definedName>
    <definedName name="TRAVAUX44" localSheetId="15">#REF!</definedName>
    <definedName name="TRAVAUX44" localSheetId="17">#REF!</definedName>
    <definedName name="TRAVAUX44" localSheetId="19">#REF!</definedName>
    <definedName name="TRAVAUX44">#REF!</definedName>
    <definedName name="TRAVAUX45" localSheetId="21">#REF!</definedName>
    <definedName name="TRAVAUX45" localSheetId="22">#REF!</definedName>
    <definedName name="TRAVAUX45" localSheetId="24">#REF!</definedName>
    <definedName name="TRAVAUX45" localSheetId="26">#REF!</definedName>
    <definedName name="TRAVAUX45" localSheetId="28">#REF!</definedName>
    <definedName name="TRAVAUX45" localSheetId="29">#REF!</definedName>
    <definedName name="TRAVAUX45" localSheetId="13">#REF!</definedName>
    <definedName name="TRAVAUX45" localSheetId="31">#REF!</definedName>
    <definedName name="TRAVAUX45" localSheetId="33">#REF!</definedName>
    <definedName name="TRAVAUX45" localSheetId="35">#REF!</definedName>
    <definedName name="TRAVAUX45" localSheetId="15">#REF!</definedName>
    <definedName name="TRAVAUX45" localSheetId="17">#REF!</definedName>
    <definedName name="TRAVAUX45" localSheetId="19">#REF!</definedName>
    <definedName name="TRAVAUX45">#REF!</definedName>
    <definedName name="TRAVAUX47" localSheetId="21">#REF!</definedName>
    <definedName name="TRAVAUX47" localSheetId="22">#REF!</definedName>
    <definedName name="TRAVAUX47" localSheetId="24">#REF!</definedName>
    <definedName name="TRAVAUX47" localSheetId="26">#REF!</definedName>
    <definedName name="TRAVAUX47" localSheetId="28">#REF!</definedName>
    <definedName name="TRAVAUX47" localSheetId="29">#REF!</definedName>
    <definedName name="TRAVAUX47" localSheetId="13">#REF!</definedName>
    <definedName name="TRAVAUX47" localSheetId="31">#REF!</definedName>
    <definedName name="TRAVAUX47" localSheetId="33">#REF!</definedName>
    <definedName name="TRAVAUX47" localSheetId="35">#REF!</definedName>
    <definedName name="TRAVAUX47" localSheetId="15">#REF!</definedName>
    <definedName name="TRAVAUX47" localSheetId="17">#REF!</definedName>
    <definedName name="TRAVAUX47" localSheetId="19">#REF!</definedName>
    <definedName name="TRAVAUX47">#REF!</definedName>
    <definedName name="TRAVAUX48" localSheetId="21">#REF!</definedName>
    <definedName name="TRAVAUX48" localSheetId="22">#REF!</definedName>
    <definedName name="TRAVAUX48" localSheetId="24">#REF!</definedName>
    <definedName name="TRAVAUX48" localSheetId="26">#REF!</definedName>
    <definedName name="TRAVAUX48" localSheetId="28">#REF!</definedName>
    <definedName name="TRAVAUX48" localSheetId="29">#REF!</definedName>
    <definedName name="TRAVAUX48" localSheetId="13">#REF!</definedName>
    <definedName name="TRAVAUX48" localSheetId="31">#REF!</definedName>
    <definedName name="TRAVAUX48" localSheetId="33">#REF!</definedName>
    <definedName name="TRAVAUX48" localSheetId="35">#REF!</definedName>
    <definedName name="TRAVAUX48" localSheetId="15">#REF!</definedName>
    <definedName name="TRAVAUX48" localSheetId="17">#REF!</definedName>
    <definedName name="TRAVAUX48" localSheetId="19">#REF!</definedName>
    <definedName name="TRAVAUX48">#REF!</definedName>
    <definedName name="TRAVAUX49" localSheetId="21">#REF!</definedName>
    <definedName name="TRAVAUX49" localSheetId="22">#REF!</definedName>
    <definedName name="TRAVAUX49" localSheetId="24">#REF!</definedName>
    <definedName name="TRAVAUX49" localSheetId="26">#REF!</definedName>
    <definedName name="TRAVAUX49" localSheetId="28">#REF!</definedName>
    <definedName name="TRAVAUX49" localSheetId="29">#REF!</definedName>
    <definedName name="TRAVAUX49" localSheetId="13">#REF!</definedName>
    <definedName name="TRAVAUX49" localSheetId="31">#REF!</definedName>
    <definedName name="TRAVAUX49" localSheetId="33">#REF!</definedName>
    <definedName name="TRAVAUX49" localSheetId="35">#REF!</definedName>
    <definedName name="TRAVAUX49" localSheetId="15">#REF!</definedName>
    <definedName name="TRAVAUX49" localSheetId="17">#REF!</definedName>
    <definedName name="TRAVAUX49" localSheetId="19">#REF!</definedName>
    <definedName name="TRAVAUX49">#REF!</definedName>
    <definedName name="TRAVAUX50" localSheetId="21">#REF!</definedName>
    <definedName name="TRAVAUX50" localSheetId="22">#REF!</definedName>
    <definedName name="TRAVAUX50" localSheetId="24">#REF!</definedName>
    <definedName name="TRAVAUX50" localSheetId="26">#REF!</definedName>
    <definedName name="TRAVAUX50" localSheetId="28">#REF!</definedName>
    <definedName name="TRAVAUX50" localSheetId="29">#REF!</definedName>
    <definedName name="TRAVAUX50" localSheetId="13">#REF!</definedName>
    <definedName name="TRAVAUX50" localSheetId="31">#REF!</definedName>
    <definedName name="TRAVAUX50" localSheetId="33">#REF!</definedName>
    <definedName name="TRAVAUX50" localSheetId="35">#REF!</definedName>
    <definedName name="TRAVAUX50" localSheetId="15">#REF!</definedName>
    <definedName name="TRAVAUX50" localSheetId="17">#REF!</definedName>
    <definedName name="TRAVAUX50" localSheetId="19">#REF!</definedName>
    <definedName name="TRAVAUX50">#REF!</definedName>
    <definedName name="TRAVAUX51" localSheetId="21">#REF!</definedName>
    <definedName name="TRAVAUX51" localSheetId="22">#REF!</definedName>
    <definedName name="TRAVAUX51" localSheetId="24">#REF!</definedName>
    <definedName name="TRAVAUX51" localSheetId="26">#REF!</definedName>
    <definedName name="TRAVAUX51" localSheetId="28">#REF!</definedName>
    <definedName name="TRAVAUX51" localSheetId="29">#REF!</definedName>
    <definedName name="TRAVAUX51" localSheetId="13">#REF!</definedName>
    <definedName name="TRAVAUX51" localSheetId="31">#REF!</definedName>
    <definedName name="TRAVAUX51" localSheetId="33">#REF!</definedName>
    <definedName name="TRAVAUX51" localSheetId="35">#REF!</definedName>
    <definedName name="TRAVAUX51" localSheetId="15">#REF!</definedName>
    <definedName name="TRAVAUX51" localSheetId="17">#REF!</definedName>
    <definedName name="TRAVAUX51" localSheetId="19">#REF!</definedName>
    <definedName name="TRAVAUX51">#REF!</definedName>
    <definedName name="TRAVAUX53" localSheetId="21">#REF!</definedName>
    <definedName name="TRAVAUX53" localSheetId="22">#REF!</definedName>
    <definedName name="TRAVAUX53" localSheetId="24">#REF!</definedName>
    <definedName name="TRAVAUX53" localSheetId="26">#REF!</definedName>
    <definedName name="TRAVAUX53" localSheetId="28">#REF!</definedName>
    <definedName name="TRAVAUX53" localSheetId="29">#REF!</definedName>
    <definedName name="TRAVAUX53" localSheetId="13">#REF!</definedName>
    <definedName name="TRAVAUX53" localSheetId="31">#REF!</definedName>
    <definedName name="TRAVAUX53" localSheetId="33">#REF!</definedName>
    <definedName name="TRAVAUX53" localSheetId="35">#REF!</definedName>
    <definedName name="TRAVAUX53" localSheetId="15">#REF!</definedName>
    <definedName name="TRAVAUX53" localSheetId="17">#REF!</definedName>
    <definedName name="TRAVAUX53" localSheetId="19">#REF!</definedName>
    <definedName name="TRAVAUX53">#REF!</definedName>
    <definedName name="TRAVAUX58" localSheetId="21">#REF!</definedName>
    <definedName name="TRAVAUX58" localSheetId="22">#REF!</definedName>
    <definedName name="TRAVAUX58" localSheetId="24">#REF!</definedName>
    <definedName name="TRAVAUX58" localSheetId="26">#REF!</definedName>
    <definedName name="TRAVAUX58" localSheetId="28">#REF!</definedName>
    <definedName name="TRAVAUX58" localSheetId="29">#REF!</definedName>
    <definedName name="TRAVAUX58" localSheetId="13">#REF!</definedName>
    <definedName name="TRAVAUX58" localSheetId="31">#REF!</definedName>
    <definedName name="TRAVAUX58" localSheetId="33">#REF!</definedName>
    <definedName name="TRAVAUX58" localSheetId="35">#REF!</definedName>
    <definedName name="TRAVAUX58" localSheetId="15">#REF!</definedName>
    <definedName name="TRAVAUX58" localSheetId="17">#REF!</definedName>
    <definedName name="TRAVAUX58" localSheetId="19">#REF!</definedName>
    <definedName name="TRAVAUX58">#REF!</definedName>
    <definedName name="TRAVAUX59" localSheetId="21">#REF!</definedName>
    <definedName name="TRAVAUX59" localSheetId="22">#REF!</definedName>
    <definedName name="TRAVAUX59" localSheetId="24">#REF!</definedName>
    <definedName name="TRAVAUX59" localSheetId="26">#REF!</definedName>
    <definedName name="TRAVAUX59" localSheetId="28">#REF!</definedName>
    <definedName name="TRAVAUX59" localSheetId="29">#REF!</definedName>
    <definedName name="TRAVAUX59" localSheetId="13">#REF!</definedName>
    <definedName name="TRAVAUX59" localSheetId="31">#REF!</definedName>
    <definedName name="TRAVAUX59" localSheetId="33">#REF!</definedName>
    <definedName name="TRAVAUX59" localSheetId="35">#REF!</definedName>
    <definedName name="TRAVAUX59" localSheetId="15">#REF!</definedName>
    <definedName name="TRAVAUX59" localSheetId="17">#REF!</definedName>
    <definedName name="TRAVAUX59" localSheetId="19">#REF!</definedName>
    <definedName name="TRAVAUX59">#REF!</definedName>
    <definedName name="TRAVAUX67" localSheetId="21">#REF!</definedName>
    <definedName name="TRAVAUX67" localSheetId="22">#REF!</definedName>
    <definedName name="TRAVAUX67" localSheetId="24">#REF!</definedName>
    <definedName name="TRAVAUX67" localSheetId="26">#REF!</definedName>
    <definedName name="TRAVAUX67" localSheetId="28">#REF!</definedName>
    <definedName name="TRAVAUX67" localSheetId="29">#REF!</definedName>
    <definedName name="TRAVAUX67" localSheetId="13">#REF!</definedName>
    <definedName name="TRAVAUX67" localSheetId="31">#REF!</definedName>
    <definedName name="TRAVAUX67" localSheetId="33">#REF!</definedName>
    <definedName name="TRAVAUX67" localSheetId="35">#REF!</definedName>
    <definedName name="TRAVAUX67" localSheetId="15">#REF!</definedName>
    <definedName name="TRAVAUX67" localSheetId="17">#REF!</definedName>
    <definedName name="TRAVAUX67" localSheetId="19">#REF!</definedName>
    <definedName name="TRAVAUX67">#REF!</definedName>
    <definedName name="ZI" localSheetId="21">#REF!</definedName>
    <definedName name="ZI" localSheetId="22">#REF!</definedName>
    <definedName name="ZI" localSheetId="24">#REF!</definedName>
    <definedName name="ZI" localSheetId="26">#REF!</definedName>
    <definedName name="ZI" localSheetId="28">#REF!</definedName>
    <definedName name="ZI" localSheetId="29">#REF!</definedName>
    <definedName name="ZI" localSheetId="13">#REF!</definedName>
    <definedName name="ZI" localSheetId="31">#REF!</definedName>
    <definedName name="ZI" localSheetId="33">#REF!</definedName>
    <definedName name="ZI" localSheetId="35">#REF!</definedName>
    <definedName name="ZI" localSheetId="15">#REF!</definedName>
    <definedName name="ZI" localSheetId="17">#REF!</definedName>
    <definedName name="ZI" localSheetId="19">#REF!</definedName>
    <definedName name="ZI">#REF!</definedName>
    <definedName name="_xlnm.Print_Area" localSheetId="21">#REF!</definedName>
    <definedName name="_xlnm.Print_Area" localSheetId="22">#REF!</definedName>
    <definedName name="_xlnm.Print_Area" localSheetId="24">#REF!</definedName>
    <definedName name="_xlnm.Print_Area" localSheetId="26">#REF!</definedName>
    <definedName name="_xlnm.Print_Area" localSheetId="28">#REF!</definedName>
    <definedName name="_xlnm.Print_Area" localSheetId="29">#REF!</definedName>
    <definedName name="_xlnm.Print_Area" localSheetId="13">#REF!</definedName>
    <definedName name="_xlnm.Print_Area" localSheetId="31">#REF!</definedName>
    <definedName name="_xlnm.Print_Area" localSheetId="33">#REF!</definedName>
    <definedName name="_xlnm.Print_Area" localSheetId="35">#REF!</definedName>
    <definedName name="_xlnm.Print_Area" localSheetId="15">#REF!</definedName>
    <definedName name="_xlnm.Print_Area" localSheetId="17">#REF!</definedName>
    <definedName name="_xlnm.Print_Area" localSheetId="19">#REF!</definedName>
    <definedName name="_xlnm.Print_Are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L37" i="4" l="1"/>
  <c r="O37" i="4" s="1"/>
  <c r="K37" i="4"/>
  <c r="N37" i="4" s="1"/>
  <c r="J37" i="4"/>
  <c r="M37" i="4" s="1"/>
  <c r="L36" i="4"/>
  <c r="O36" i="4" s="1"/>
  <c r="K36" i="4"/>
  <c r="N36" i="4" s="1"/>
  <c r="J36" i="4"/>
  <c r="M36" i="4" s="1"/>
  <c r="L35" i="4"/>
  <c r="O35" i="4" s="1"/>
  <c r="K35" i="4"/>
  <c r="N35" i="4" s="1"/>
  <c r="J35" i="4"/>
  <c r="M35" i="4" s="1"/>
  <c r="L34" i="4"/>
  <c r="O34" i="4" s="1"/>
  <c r="K34" i="4"/>
  <c r="N34" i="4" s="1"/>
  <c r="J34" i="4"/>
  <c r="M34" i="4" s="1"/>
  <c r="L33" i="4"/>
  <c r="O33" i="4" s="1"/>
  <c r="K33" i="4"/>
  <c r="N33" i="4" s="1"/>
  <c r="J33" i="4"/>
  <c r="M33" i="4" s="1"/>
  <c r="L32" i="4"/>
  <c r="O32" i="4" s="1"/>
  <c r="K32" i="4"/>
  <c r="N32" i="4" s="1"/>
  <c r="J32" i="4"/>
  <c r="M32" i="4" s="1"/>
  <c r="L31" i="4"/>
  <c r="O31" i="4" s="1"/>
  <c r="K31" i="4"/>
  <c r="N31" i="4" s="1"/>
  <c r="J31" i="4"/>
  <c r="M31" i="4" s="1"/>
  <c r="L29" i="4"/>
  <c r="O29" i="4" s="1"/>
  <c r="K29" i="4"/>
  <c r="N29" i="4" s="1"/>
  <c r="J29" i="4"/>
  <c r="M29" i="4" s="1"/>
  <c r="L28" i="4"/>
  <c r="O28" i="4" s="1"/>
  <c r="K28" i="4"/>
  <c r="N28" i="4" s="1"/>
  <c r="J28" i="4"/>
  <c r="M28" i="4" s="1"/>
  <c r="L27" i="4"/>
  <c r="O27" i="4" s="1"/>
  <c r="K27" i="4"/>
  <c r="N27" i="4" s="1"/>
  <c r="J27" i="4"/>
  <c r="M27" i="4" s="1"/>
  <c r="L26" i="4"/>
  <c r="O26" i="4" s="1"/>
  <c r="K26" i="4"/>
  <c r="N26" i="4" s="1"/>
  <c r="J26" i="4"/>
  <c r="M26" i="4" s="1"/>
  <c r="L25" i="4"/>
  <c r="O25" i="4" s="1"/>
  <c r="K25" i="4"/>
  <c r="N25" i="4" s="1"/>
  <c r="J25" i="4"/>
  <c r="M25" i="4" s="1"/>
  <c r="L24" i="4"/>
  <c r="O24" i="4" s="1"/>
  <c r="K24" i="4"/>
  <c r="N24" i="4" s="1"/>
  <c r="J24" i="4"/>
  <c r="M24" i="4" s="1"/>
  <c r="L23" i="4"/>
  <c r="O23" i="4" s="1"/>
  <c r="K23" i="4"/>
  <c r="N23" i="4" s="1"/>
  <c r="J23" i="4"/>
  <c r="M23" i="4" s="1"/>
  <c r="L22" i="4"/>
  <c r="O22" i="4" s="1"/>
  <c r="K22" i="4"/>
  <c r="N22" i="4" s="1"/>
  <c r="J22" i="4"/>
  <c r="M22" i="4" s="1"/>
  <c r="L21" i="4"/>
  <c r="O21" i="4" s="1"/>
  <c r="K21" i="4"/>
  <c r="N21" i="4" s="1"/>
  <c r="J21" i="4"/>
  <c r="M21" i="4" s="1"/>
  <c r="L20" i="4"/>
  <c r="O20" i="4" s="1"/>
  <c r="K20" i="4"/>
  <c r="N20" i="4" s="1"/>
  <c r="J20" i="4"/>
  <c r="M20" i="4" s="1"/>
  <c r="L19" i="4"/>
  <c r="O19" i="4" s="1"/>
  <c r="K19" i="4"/>
  <c r="N19" i="4" s="1"/>
  <c r="J19" i="4"/>
  <c r="M19" i="4" s="1"/>
  <c r="L18" i="4"/>
  <c r="O18" i="4" s="1"/>
  <c r="K18" i="4"/>
  <c r="N18" i="4" s="1"/>
  <c r="J18" i="4"/>
  <c r="M18" i="4" s="1"/>
  <c r="L17" i="4"/>
  <c r="O17" i="4" s="1"/>
  <c r="K17" i="4"/>
  <c r="N17" i="4" s="1"/>
  <c r="J17" i="4"/>
  <c r="M17" i="4" s="1"/>
  <c r="L16" i="4"/>
  <c r="O16" i="4" s="1"/>
  <c r="K16" i="4"/>
  <c r="N16" i="4" s="1"/>
  <c r="J16" i="4"/>
  <c r="M16" i="4" s="1"/>
  <c r="L15" i="4"/>
  <c r="O15" i="4" s="1"/>
  <c r="K15" i="4"/>
  <c r="N15" i="4" s="1"/>
  <c r="J15" i="4"/>
  <c r="M15" i="4" s="1"/>
  <c r="L14" i="4"/>
  <c r="O14" i="4" s="1"/>
  <c r="K14" i="4"/>
  <c r="N14" i="4" s="1"/>
  <c r="J14" i="4"/>
  <c r="M14" i="4" s="1"/>
  <c r="L13" i="4"/>
  <c r="O13" i="4" s="1"/>
  <c r="K13" i="4"/>
  <c r="N13" i="4" s="1"/>
  <c r="J13" i="4"/>
  <c r="M13" i="4" s="1"/>
  <c r="L12" i="4"/>
  <c r="O12" i="4" s="1"/>
  <c r="K12" i="4"/>
  <c r="N12" i="4" s="1"/>
  <c r="J12" i="4"/>
  <c r="M12" i="4" s="1"/>
  <c r="L11" i="4"/>
  <c r="O11" i="4" s="1"/>
  <c r="K11" i="4"/>
  <c r="N11" i="4" s="1"/>
  <c r="J11" i="4"/>
  <c r="M11" i="4" s="1"/>
  <c r="L10" i="4"/>
  <c r="O10" i="4" s="1"/>
  <c r="K10" i="4"/>
  <c r="N10" i="4" s="1"/>
  <c r="J10" i="4"/>
  <c r="M10" i="4" s="1"/>
  <c r="L9" i="4"/>
  <c r="O9" i="4" s="1"/>
  <c r="K9" i="4"/>
  <c r="N9" i="4" s="1"/>
  <c r="J9" i="4"/>
  <c r="M9" i="4" s="1"/>
  <c r="L8" i="4"/>
  <c r="O8" i="4" s="1"/>
  <c r="K8" i="4"/>
  <c r="N8" i="4" s="1"/>
  <c r="J8" i="4"/>
  <c r="M8" i="4" s="1"/>
  <c r="O38" i="4" l="1"/>
  <c r="N38" i="4"/>
  <c r="M38" i="4"/>
  <c r="C56" i="113" l="1"/>
  <c r="D159" i="114"/>
  <c r="D40" i="112"/>
  <c r="D124" i="111"/>
  <c r="J13" i="243"/>
  <c r="G13" i="243"/>
  <c r="D13" i="243"/>
  <c r="C13" i="243"/>
  <c r="K12" i="243"/>
  <c r="H12" i="243"/>
  <c r="E12" i="243"/>
  <c r="K11" i="243"/>
  <c r="H11" i="243"/>
  <c r="E11" i="243"/>
  <c r="K10" i="243"/>
  <c r="H10" i="243"/>
  <c r="E10" i="243"/>
  <c r="K9" i="243"/>
  <c r="H9" i="243"/>
  <c r="E9" i="243"/>
  <c r="K8" i="243"/>
  <c r="H8" i="243"/>
  <c r="E8" i="243"/>
  <c r="K7" i="243"/>
  <c r="H7" i="243"/>
  <c r="E7" i="243"/>
  <c r="K13" i="243" l="1"/>
  <c r="E13" i="243"/>
  <c r="H13" i="243"/>
  <c r="G162" i="119" l="1"/>
  <c r="J89" i="80" l="1"/>
  <c r="F89" i="80"/>
  <c r="J1233" i="165"/>
  <c r="F1233" i="165"/>
  <c r="J573" i="78"/>
  <c r="F573" i="78"/>
  <c r="F1204" i="165" l="1"/>
  <c r="J26" i="80" l="1"/>
  <c r="F26" i="80"/>
  <c r="J1204" i="165"/>
  <c r="K160" i="169" l="1"/>
  <c r="J160" i="169"/>
  <c r="I160" i="169"/>
  <c r="H160" i="169"/>
  <c r="G160" i="169"/>
  <c r="F160" i="169"/>
  <c r="E160" i="169"/>
  <c r="D160" i="169"/>
  <c r="K139" i="169"/>
  <c r="J139" i="169"/>
  <c r="I139" i="169"/>
  <c r="H139" i="169"/>
  <c r="G139" i="169"/>
  <c r="F139" i="169"/>
  <c r="E139" i="169"/>
  <c r="D139" i="169"/>
  <c r="K83" i="169"/>
  <c r="J83" i="169"/>
  <c r="I83" i="169"/>
  <c r="H83" i="169"/>
  <c r="G83" i="169"/>
  <c r="F83" i="169"/>
  <c r="E83" i="169"/>
  <c r="D83" i="169"/>
  <c r="K13" i="169"/>
  <c r="J13" i="169"/>
  <c r="I13" i="169"/>
  <c r="H13" i="169"/>
  <c r="G13" i="169"/>
  <c r="F13" i="169"/>
  <c r="E13" i="169"/>
  <c r="D13" i="169"/>
  <c r="J565" i="78" l="1"/>
  <c r="F565" i="78"/>
  <c r="M20" i="120" l="1"/>
  <c r="L20" i="120"/>
</calcChain>
</file>

<file path=xl/sharedStrings.xml><?xml version="1.0" encoding="utf-8"?>
<sst xmlns="http://schemas.openxmlformats.org/spreadsheetml/2006/main" count="51013" uniqueCount="5080">
  <si>
    <t>Annexes</t>
  </si>
  <si>
    <t>Titres des annexes</t>
  </si>
  <si>
    <t>Annexe 1</t>
  </si>
  <si>
    <t>Profil des sociétés retenues dans le périmètre de rapprochement</t>
  </si>
  <si>
    <t>Annexe 2</t>
  </si>
  <si>
    <t>Sociétés retenues pour une déclaration unilatérale</t>
  </si>
  <si>
    <t>Annexe 3</t>
  </si>
  <si>
    <t>Structure de capital des sociétés retenues dans le périmètre de rapprochement</t>
  </si>
  <si>
    <t>Annexe 4</t>
  </si>
  <si>
    <t>Fiabilisation des déclarations</t>
  </si>
  <si>
    <t>Annexe 5</t>
  </si>
  <si>
    <t>Effectif des employés</t>
  </si>
  <si>
    <t>Annexe 6</t>
  </si>
  <si>
    <t>Paiements sociaux obligatoires</t>
  </si>
  <si>
    <t>Annexe 7</t>
  </si>
  <si>
    <t>Paiements sociaux volontaires</t>
  </si>
  <si>
    <t>Annexe 8</t>
  </si>
  <si>
    <t>Paiements environnementaux</t>
  </si>
  <si>
    <t>Annexe 9</t>
  </si>
  <si>
    <t>Cadastre Minier</t>
  </si>
  <si>
    <t>Annexe 10</t>
  </si>
  <si>
    <t>Définitions des flux</t>
  </si>
  <si>
    <t>Annexe 11</t>
  </si>
  <si>
    <t>Fiche de conciliation par société</t>
  </si>
  <si>
    <t>Annexe 11-1</t>
  </si>
  <si>
    <t>Fiche de conciliation par société - La Société des Mines de Fer du Sénégal Oriental (MIFERSO)</t>
  </si>
  <si>
    <t>Annexe 11-2</t>
  </si>
  <si>
    <t>Fiche de conciliation par société - Société de Commercialisation du Ciment (SOCOCIM)</t>
  </si>
  <si>
    <t>Annexe 11-3</t>
  </si>
  <si>
    <t>Fiche de conciliation par société - Sabodala Gold Operations (SGO)</t>
  </si>
  <si>
    <t>Annexe 11-4</t>
  </si>
  <si>
    <t>Fiche de conciliation par société - Ciments du Sahel (CDS)</t>
  </si>
  <si>
    <t>Annexe 11-5</t>
  </si>
  <si>
    <t>Fiche de conciliation par société - Grande Côte Opérations (GCO)</t>
  </si>
  <si>
    <t>Annexe 11-6</t>
  </si>
  <si>
    <t>Fiche de conciliation par société - Société Sénégalaise des Phosphates de Thiès (SSPT)</t>
  </si>
  <si>
    <t>Annexe 11-7</t>
  </si>
  <si>
    <t>Fiche de conciliation par société - Industries Chimiques du Sénégal (ICS)</t>
  </si>
  <si>
    <t>Annexe 11-8</t>
  </si>
  <si>
    <t>Fiche de conciliation par société - Dangote Industries Sénégal SA (DANGOTE)</t>
  </si>
  <si>
    <t>Annexe 11-9</t>
  </si>
  <si>
    <t>Fiche de conciliation par société - Petowal Mining Company (PMC) SA</t>
  </si>
  <si>
    <t>Annexe 11-10</t>
  </si>
  <si>
    <t>Fiche de conciliation par société - Société Minière de la Vallée du fleuve Sénégal (SOMIVA)</t>
  </si>
  <si>
    <t>Annexe 11-11</t>
  </si>
  <si>
    <t>Fiche de conciliation par société - SORED Mines</t>
  </si>
  <si>
    <t>Annexe 11-12</t>
  </si>
  <si>
    <t>Fiche de conciliation par société - Iamgold BOTO</t>
  </si>
  <si>
    <t>Annexe 11-13</t>
  </si>
  <si>
    <t>Fiche de conciliation par société - G-PHOS SA</t>
  </si>
  <si>
    <t>Annexe 11-14</t>
  </si>
  <si>
    <t>Fiche de conciliation par société - Baobab Mining and Chemical Corp SA</t>
  </si>
  <si>
    <t>Annexe 11-15</t>
  </si>
  <si>
    <t>Fiche de conciliation par société - Agem Sénégal Exploration SUARL (AGEM)</t>
  </si>
  <si>
    <t>Annexe 11-16</t>
  </si>
  <si>
    <t>Fiche de conciliation par société - Sabodala Mining Company (SMC)</t>
  </si>
  <si>
    <t>Annexe 11-17</t>
  </si>
  <si>
    <t>Fiche de conciliation par société - Barrick Gold</t>
  </si>
  <si>
    <t>Annexe 11-18</t>
  </si>
  <si>
    <t>Fiche de conciliation par société - Sephos Senegal SA (SEPHOS)</t>
  </si>
  <si>
    <t>Annexe 11-19</t>
  </si>
  <si>
    <t>Fiche de conciliation par société - African Investment Group SA (AIG)</t>
  </si>
  <si>
    <t>Annexe 11-20</t>
  </si>
  <si>
    <t>Fiche de conciliation par société - Compagnie Générale d'Exploitation de Carrière (COGECA)</t>
  </si>
  <si>
    <t>Annexe 11-21</t>
  </si>
  <si>
    <t>Fiche de conciliation par société - Gécamines (GECAMINES)</t>
  </si>
  <si>
    <t>Annexe 11-22</t>
  </si>
  <si>
    <t>Fiche de conciliation par société - Talix Mines</t>
  </si>
  <si>
    <t>Annexe 11-23</t>
  </si>
  <si>
    <t>Fiche de conciliation par société - Société des Pétroles du Sénégal (PETROSEN)</t>
  </si>
  <si>
    <t>Annexe 11-24</t>
  </si>
  <si>
    <t>Fiche de conciliation par société - Fortesa International Senegal</t>
  </si>
  <si>
    <t>Annexe 11-25</t>
  </si>
  <si>
    <t xml:space="preserve">Fiche de conciliation par société - Kosmos Energy Senegal </t>
  </si>
  <si>
    <t>Annexe 11-26</t>
  </si>
  <si>
    <t xml:space="preserve">Fiche de conciliation par société - Oranto Petroleum </t>
  </si>
  <si>
    <t>Annexe 11-27</t>
  </si>
  <si>
    <t xml:space="preserve">Fiche de conciliation par société - Total E&amp;P Sénégal </t>
  </si>
  <si>
    <t>Annexe 11-28</t>
  </si>
  <si>
    <t>Fiche de conciliation par société - BP Sénégal Investments Limited</t>
  </si>
  <si>
    <t>Annexe 11-29</t>
  </si>
  <si>
    <t xml:space="preserve">Fiche de conciliation par société - Woodside Energy Senegal </t>
  </si>
  <si>
    <t>Annexe 12</t>
  </si>
  <si>
    <t>Détail des revenus budgétaires par société extractive</t>
  </si>
  <si>
    <t>Annexe 13</t>
  </si>
  <si>
    <t>Détail des revenus budgétaires par flux de paiement</t>
  </si>
  <si>
    <t>Annexe 14</t>
  </si>
  <si>
    <t>Détail des paiements des entreprises par société extractive</t>
  </si>
  <si>
    <t>Annexe 15</t>
  </si>
  <si>
    <t>Détail des paiements des entreprises par flux de paiement</t>
  </si>
  <si>
    <t>Annexe 16</t>
  </si>
  <si>
    <t>Détail de la déclaration Unilatérale de l’Etat</t>
  </si>
  <si>
    <t>Annexe 17</t>
  </si>
  <si>
    <t>Formulaire de déclaration 2023</t>
  </si>
  <si>
    <t>Annexe 18.1</t>
  </si>
  <si>
    <t>Etat des permis octroyés et des permis renouvelés en 2023</t>
  </si>
  <si>
    <t>Annexe 18.2</t>
  </si>
  <si>
    <t>Etat des titres en cours de renouvellement en 2023</t>
  </si>
  <si>
    <t>Annexe 18.3</t>
  </si>
  <si>
    <t>Etat des Transferts_arretes 2023</t>
  </si>
  <si>
    <t>Annexe 19</t>
  </si>
  <si>
    <t>Détail des transactions effectuées avec les fournisseurs locaux</t>
  </si>
  <si>
    <t>Annexe 20</t>
  </si>
  <si>
    <t>Détail des transactions effectuées avec les fournisseurs étrangers</t>
  </si>
  <si>
    <t>Annexe 21</t>
  </si>
  <si>
    <t>Les volumes commercialisés et des prix pratiqués</t>
  </si>
  <si>
    <t>Annexe 22</t>
  </si>
  <si>
    <t>Critères d’attribution des titres miniers</t>
  </si>
  <si>
    <t>Annexe 23</t>
  </si>
  <si>
    <t>Critères de transfert des titres miniers</t>
  </si>
  <si>
    <t>Annexe 24</t>
  </si>
  <si>
    <t>Critères de renouvellement des titres miniers</t>
  </si>
  <si>
    <t>Annexe 25</t>
  </si>
  <si>
    <t>Critères techniques et financiers d’attribution des titres pétroliers</t>
  </si>
  <si>
    <t>Annexe 26</t>
  </si>
  <si>
    <t>Attestation de conformité de la DGM de 2023</t>
  </si>
  <si>
    <t>Annexe 27</t>
  </si>
  <si>
    <t>Les modalités d’octroi par nature de permis  (minier)</t>
  </si>
  <si>
    <t xml:space="preserve">Annexe 28 </t>
  </si>
  <si>
    <t>Modalités de transferts</t>
  </si>
  <si>
    <t>Annexe 29</t>
  </si>
  <si>
    <t>Les modalités de renouvellement du secteur minier</t>
  </si>
  <si>
    <t>Annexe 30</t>
  </si>
  <si>
    <t xml:space="preserve">Les modalités d’octroi par nature de permis </t>
  </si>
  <si>
    <t>Annexe 31</t>
  </si>
  <si>
    <t>Les modalités de renouvellement du secteur des hydrocarbures</t>
  </si>
  <si>
    <t>Annexe 32</t>
  </si>
  <si>
    <t>Types des titres miniers</t>
  </si>
  <si>
    <t>Annexe 33</t>
  </si>
  <si>
    <t>Types des titres pétroliers</t>
  </si>
  <si>
    <t>Annexe 34</t>
  </si>
  <si>
    <t>Détails des exportations reportés par les sociétés extractives</t>
  </si>
  <si>
    <t>Annexe 35</t>
  </si>
  <si>
    <t>Détails des Prêts et garanties octroyées</t>
  </si>
  <si>
    <t xml:space="preserve">Annexe 36 </t>
  </si>
  <si>
    <t>Résultat de l'analyse du rapport de la cour des comptes</t>
  </si>
  <si>
    <t>Annexe 37</t>
  </si>
  <si>
    <t>Les titres miniers en exploitation avec la date de fin de validité antérieure à 2023</t>
  </si>
  <si>
    <t>Annexe 38</t>
  </si>
  <si>
    <t xml:space="preserve">Les titres miniers qui font l'objet d'un renouvellement en cours pour les années antérieures à 2023 </t>
  </si>
  <si>
    <t>Sommaire</t>
  </si>
  <si>
    <t>Annexe 1 - Profil des sociétés retenues dans le périmètre de rapprochement</t>
  </si>
  <si>
    <t>Secteur des hydrocarbures :</t>
  </si>
  <si>
    <t>N°</t>
  </si>
  <si>
    <t>Société</t>
  </si>
  <si>
    <t>Denomination officielle complete de I'entreprise</t>
  </si>
  <si>
    <t>NINEA (radical uniquement)</t>
  </si>
  <si>
    <t>Date de création</t>
  </si>
  <si>
    <t>Date d'entrée en production</t>
  </si>
  <si>
    <t>Montant du Capital Social (En FCFA)</t>
  </si>
  <si>
    <t>Montant du Chiffre d'Affaires (En FCFA)</t>
  </si>
  <si>
    <t>Adresse de contact (Adresse officielle pour les entites juridiques)</t>
  </si>
  <si>
    <t>L'entreprise est-elle cotée en bourse, ou filiale à 100 % d'une entreprise cotée en bourse ?</t>
  </si>
  <si>
    <t>Société des Pétroles du Sénégal (PETROSEN)</t>
  </si>
  <si>
    <t>NON</t>
  </si>
  <si>
    <t>Fortesa International Senegal</t>
  </si>
  <si>
    <t>0004157 70</t>
  </si>
  <si>
    <t>NEANT</t>
  </si>
  <si>
    <t>APPRT 602 IMMEUBLE GAMBY EN FACE SIEGE TOTAL</t>
  </si>
  <si>
    <t xml:space="preserve">Kosmos Energy Senegal </t>
  </si>
  <si>
    <t>Kosmos Energy Investments Senegal Limited</t>
  </si>
  <si>
    <t>0066487132V2</t>
  </si>
  <si>
    <t>Immeuble Serenity, Mezzanine Gauche Route du King Fahd Palace, Pointe des Almadies BP: 29466 Dakar – Yoff</t>
  </si>
  <si>
    <t>OUI</t>
  </si>
  <si>
    <t xml:space="preserve">Oranto Petroleum </t>
  </si>
  <si>
    <t>ORANTO PETROLEUM SA</t>
  </si>
  <si>
    <t>00 3059434</t>
  </si>
  <si>
    <t>N/A</t>
  </si>
  <si>
    <t>SACRE CŒUR 3 EXTENSION VILLA 218</t>
  </si>
  <si>
    <t xml:space="preserve">TOTAL E&amp;P Senegal </t>
  </si>
  <si>
    <t>TotalEnergies EP Sénégal</t>
  </si>
  <si>
    <t>Nc</t>
  </si>
  <si>
    <t>Route de l'aéroport sur la station Total NGOR, Dakar - SENEGAL</t>
  </si>
  <si>
    <t>BP SENEGAL INVESTMENTS LIMITED</t>
  </si>
  <si>
    <t>BP SENEGAL INVESTMENTS LIMITEDSUCCURSALE</t>
  </si>
  <si>
    <t>00 6420509</t>
  </si>
  <si>
    <t>NC</t>
  </si>
  <si>
    <t>Immeuble Alphadio Barry _Mermoz X Corniche (Contigu Immeuble ATEPA et face Immeuble FOCUS)</t>
  </si>
  <si>
    <t>Woodside Energy Senegal B. V.</t>
  </si>
  <si>
    <t>WOODSIDE ENERGY (SENEGAL) B.V.</t>
  </si>
  <si>
    <t>0 050142042G0</t>
  </si>
  <si>
    <t>Serenity Building, 1 king Fahd Palace Road, 2nd &amp; 3rd Floors, Almadies, Dakar Sénégal</t>
  </si>
  <si>
    <t>Secteur minier :</t>
  </si>
  <si>
    <t>La Société des Mines de Fer du Sénégal Oriental (MIFERSO)</t>
  </si>
  <si>
    <t>MIFERSO</t>
  </si>
  <si>
    <t>0  0238962</t>
  </si>
  <si>
    <t>03 Boulevard Djily Mbaye</t>
  </si>
  <si>
    <t>Société de Commercialisation du Ciment (SOCOCIM)</t>
  </si>
  <si>
    <t>SOCOCIM INDUSTRIES</t>
  </si>
  <si>
    <t>0 0166627</t>
  </si>
  <si>
    <t>BP 29 KM 33 ANCIENNE ROUTE DE THIES QUARTIER GOUYE MOURIDE RUFISQUE</t>
  </si>
  <si>
    <t>Sabodala Gold Operations (SGO)</t>
  </si>
  <si>
    <t>Sabodala Gold Operations SA</t>
  </si>
  <si>
    <t>00 2850023</t>
  </si>
  <si>
    <t>Route du Méridien Président, Immeuble 2k Plaza</t>
  </si>
  <si>
    <t>Ciments du Sahel (CDS)</t>
  </si>
  <si>
    <t>LES CIMENTS DU SAHEL SA</t>
  </si>
  <si>
    <t>00 0325995</t>
  </si>
  <si>
    <t>KIRENE ROUTE DE MBOUR</t>
  </si>
  <si>
    <t>Grande Côte Opérations (GCO)</t>
  </si>
  <si>
    <t>GRANDE COTE OPERATIONS SA</t>
  </si>
  <si>
    <t>00 2849258</t>
  </si>
  <si>
    <t>Atryum Center, 6 rte de Ouakam, BP 16844 Dakar-Fann</t>
  </si>
  <si>
    <t>Société Sénégalaise des Phosphates de Thiès (SSPT)</t>
  </si>
  <si>
    <t xml:space="preserve">Société Sénégalaise des Phosphates de Thiès </t>
  </si>
  <si>
    <t>39, Avenue Jean XXIII Dakar</t>
  </si>
  <si>
    <t>Industries Chimiques du Sénégal (ICS)</t>
  </si>
  <si>
    <t xml:space="preserve">Industries Chimiques du Sénégal </t>
  </si>
  <si>
    <t>00 0022955</t>
  </si>
  <si>
    <t>KM 18, Route de Rufsque DAKAR - SENEGAL</t>
  </si>
  <si>
    <t>Dangote Industries Sénégal SA (DANGOTE)</t>
  </si>
  <si>
    <t>Dangote Cement Sénégal</t>
  </si>
  <si>
    <t>00 2707208</t>
  </si>
  <si>
    <t>14 RUE BERANGER FERRAUD DAKAR</t>
  </si>
  <si>
    <t>Petowal Mining Company (PMC) SA</t>
  </si>
  <si>
    <t>Petowal Mining Company SA</t>
  </si>
  <si>
    <t>005844700</t>
  </si>
  <si>
    <t>09/03/1016</t>
  </si>
  <si>
    <t>Villa Kandia, Almadies zone 9, Route du Meridien President, Dakar-Senegal</t>
  </si>
  <si>
    <t>Société Minière de la Vallée du fleuve Sénégal (SOMIVA)</t>
  </si>
  <si>
    <t xml:space="preserve">Société Minière de la Vallée du fleuve Sénégal </t>
  </si>
  <si>
    <t>00 4475142</t>
  </si>
  <si>
    <t>Yoff virage route de l'ancien aéroport Léopold Sédar Senghor</t>
  </si>
  <si>
    <t>SORED Mines</t>
  </si>
  <si>
    <t>Iamgold BOTO</t>
  </si>
  <si>
    <t>IAMGOLD BOTO SA</t>
  </si>
  <si>
    <t>00 7768007</t>
  </si>
  <si>
    <t>PARCELLE 08 ZONE 7 ALMADIES DERRIERE HOTEL LODGE</t>
  </si>
  <si>
    <t>G-PHOS SA</t>
  </si>
  <si>
    <t>00 4716033</t>
  </si>
  <si>
    <t>Sacré coeur 3 Pyrotechnique lot F101 cité keur gorgui</t>
  </si>
  <si>
    <t>Baobab Mining and Chemical Corp SA</t>
  </si>
  <si>
    <t>Baobab Mining Chemicals Corporation</t>
  </si>
  <si>
    <t>00 4408622</t>
  </si>
  <si>
    <t>Point E, Rue Kolda immeuble Samah, Dakar - Senegal</t>
  </si>
  <si>
    <t>Agem Sénégal Exploration SUARL (AGEM)</t>
  </si>
  <si>
    <t xml:space="preserve">Agem Sénégal Exploration SUARL </t>
  </si>
  <si>
    <t>004151750</t>
  </si>
  <si>
    <t>Almadies 8 Zone 7</t>
  </si>
  <si>
    <t>Sabodala Mining Company (SMC)</t>
  </si>
  <si>
    <t>Sabodala Mining Company SARL</t>
  </si>
  <si>
    <t>Immeuble 2K Plaza Route du Méridient Président Almadies</t>
  </si>
  <si>
    <t>Barrick Gold</t>
  </si>
  <si>
    <t>BAMBADJI SA</t>
  </si>
  <si>
    <t>00 60461733 2A3</t>
  </si>
  <si>
    <t xml:space="preserve"> 67, Avenue Peytavin</t>
  </si>
  <si>
    <t>Sephos Senegal SA (SEPHOS)</t>
  </si>
  <si>
    <t>SEPHOS SENEGAL SA</t>
  </si>
  <si>
    <t>00 4013041</t>
  </si>
  <si>
    <t>SACRE COEUR 3 PYROTECHNIQUE LOT F101 CITE KEUR GORGUI</t>
  </si>
  <si>
    <t>African Investment Group SA (AIG)</t>
  </si>
  <si>
    <t xml:space="preserve">African Investment Group SA </t>
  </si>
  <si>
    <t>Compagnie Générale d'Exploitation de Carrière (COGECA)</t>
  </si>
  <si>
    <t xml:space="preserve">Compagnie Générale d'Exploitation de Carrière </t>
  </si>
  <si>
    <t xml:space="preserve">00 196784 </t>
  </si>
  <si>
    <t>kM 23, Route de Rufsque</t>
  </si>
  <si>
    <t>Gécamines (GECAMINES)</t>
  </si>
  <si>
    <t>GECAMINES</t>
  </si>
  <si>
    <t>00 2292168</t>
  </si>
  <si>
    <t>Immeuble Yaye Fatou Dieng Rue 1 x PE 43, Point-E</t>
  </si>
  <si>
    <t>Talix Mines</t>
  </si>
  <si>
    <t>Annexe 2 - Sociétés retenues pour une déclaration unilatérale</t>
  </si>
  <si>
    <t>Parties</t>
  </si>
  <si>
    <t>Périmètre 2023</t>
  </si>
  <si>
    <t>Périmètre 2022</t>
  </si>
  <si>
    <t>Secteur Minier</t>
  </si>
  <si>
    <t>Secteur pétrolier</t>
  </si>
  <si>
    <t xml:space="preserve">Abdou Fattah Mbacké </t>
  </si>
  <si>
    <t>Non</t>
  </si>
  <si>
    <t>l’Agence de Gestion et de Coopération entre le Sénégal et la Guinée-Bissau (AGC)</t>
  </si>
  <si>
    <t>ABN HOLDING-SARL</t>
  </si>
  <si>
    <t>FAR SENEGAL RSSD SA</t>
  </si>
  <si>
    <t xml:space="preserve">ADAMA UNIVERSAL IMMOBILIER ET AFFAIRES </t>
  </si>
  <si>
    <t>Trace Atlantic</t>
  </si>
  <si>
    <t xml:space="preserve">AFRICA TRADING EQUIPEMENT CONSTRUCTION SUARL </t>
  </si>
  <si>
    <t xml:space="preserve">AFRICAINE DE TRAVAUX D'INGENIERIE ET DE SERVICES </t>
  </si>
  <si>
    <t>AFRICAN MINING SERVICES-SENEGAL-SUARL</t>
  </si>
  <si>
    <t>AFRICAN STAR RESOURCES SARL</t>
  </si>
  <si>
    <t xml:space="preserve">AFRIGEM SL </t>
  </si>
  <si>
    <t xml:space="preserve">AFRIGOLD SARL </t>
  </si>
  <si>
    <t>AGRIBAT</t>
  </si>
  <si>
    <t>AGROMINE</t>
  </si>
  <si>
    <t xml:space="preserve">AIDARA GESTION IMMOBILIERE CONSTRUCTION-COMMERCE MULTISERVICES </t>
  </si>
  <si>
    <t xml:space="preserve">AL AZHAR MINES ET CARRIERES </t>
  </si>
  <si>
    <t xml:space="preserve">ALAMA SUARL </t>
  </si>
  <si>
    <t>ALBINA SENEGAL</t>
  </si>
  <si>
    <t>ALCATRAS INTERNATIONAL</t>
  </si>
  <si>
    <t xml:space="preserve">ALPHA BUSINESS AFRICA GROUP SUARL </t>
  </si>
  <si>
    <t xml:space="preserve">AMADOU YOUSSOUF SY </t>
  </si>
  <si>
    <t xml:space="preserve">AMAFRIQUE SENEGAL </t>
  </si>
  <si>
    <t xml:space="preserve">AMAR CONSULTING </t>
  </si>
  <si>
    <t xml:space="preserve">AMATH NDIAYE INTERNATIONALE PRESTIGE </t>
  </si>
  <si>
    <t xml:space="preserve">AMIN TRANS SUARL </t>
  </si>
  <si>
    <t xml:space="preserve">ARC EN CIEL </t>
  </si>
  <si>
    <t>ARDIMINES SARL</t>
  </si>
  <si>
    <t xml:space="preserve">AREZKI S.A </t>
  </si>
  <si>
    <t xml:space="preserve">ATIC SARL </t>
  </si>
  <si>
    <t>AURIFERE DE L'AFRIQUE</t>
  </si>
  <si>
    <t xml:space="preserve">BABJUF MINES </t>
  </si>
  <si>
    <t xml:space="preserve">BAKHOUM BUSINESS COMPANY </t>
  </si>
  <si>
    <t xml:space="preserve">BAMBADJI SA </t>
  </si>
  <si>
    <t xml:space="preserve">BAMBUK MINERALS </t>
  </si>
  <si>
    <t xml:space="preserve">BANDESERVICES </t>
  </si>
  <si>
    <t xml:space="preserve">BASMALA INTERNATIONAL SARL </t>
  </si>
  <si>
    <t xml:space="preserve">BAU </t>
  </si>
  <si>
    <t>BB FIRST COMMODITY</t>
  </si>
  <si>
    <t>BCG GAOUSSOU</t>
  </si>
  <si>
    <t xml:space="preserve">BEE ENGINEERING SARL </t>
  </si>
  <si>
    <t xml:space="preserve">BETON DU SENEGAL SARL </t>
  </si>
  <si>
    <t xml:space="preserve">BHAIRAVA AGRICOL SARL </t>
  </si>
  <si>
    <t xml:space="preserve">BOKAMINE SARL </t>
  </si>
  <si>
    <t>BOYA SA</t>
  </si>
  <si>
    <t xml:space="preserve">BUL FAALE PRODUCTION </t>
  </si>
  <si>
    <t>C W E SENEGAL SUARL</t>
  </si>
  <si>
    <t>C.B.A. CONSULTING BU</t>
  </si>
  <si>
    <t>C.G.B.S SARL SERVICES (10%)</t>
  </si>
  <si>
    <t>CANGAY MINES</t>
  </si>
  <si>
    <t xml:space="preserve">CARREFOUR IMMO SERVICES-SUARL </t>
  </si>
  <si>
    <t xml:space="preserve">CARRIERE ET SABLES </t>
  </si>
  <si>
    <t>CCDD</t>
  </si>
  <si>
    <t>CHALLENGER NORD-SUD INTERNATIONAL SAS</t>
  </si>
  <si>
    <t xml:space="preserve">CHALLENGERS ASSOCIATES SARL </t>
  </si>
  <si>
    <t xml:space="preserve">CILAGE MINE </t>
  </si>
  <si>
    <t xml:space="preserve">CIMENTS DE L'AFRIQUE </t>
  </si>
  <si>
    <t xml:space="preserve">CIMSEN SARL </t>
  </si>
  <si>
    <t xml:space="preserve">COMMUNE DE DIAMAL </t>
  </si>
  <si>
    <t xml:space="preserve">COMMUNE DE MABO </t>
  </si>
  <si>
    <t xml:space="preserve">COMMUNE DE NDANDE </t>
  </si>
  <si>
    <t>COMPAGNIE DES PRODUITS CHIMIQUES ET MATERIAUX</t>
  </si>
  <si>
    <t xml:space="preserve">COMPAGNIE DES SABLES DU SENEGAL </t>
  </si>
  <si>
    <t xml:space="preserve">COMPAGNIE DES TRAVAUX ET CONSTRUCTION SARL </t>
  </si>
  <si>
    <t>COMPAGNIE KHADIM RASSOUL</t>
  </si>
  <si>
    <t xml:space="preserve">COMPAGNIE SAHELIENNE D'ENTREPRISE GRANULATS </t>
  </si>
  <si>
    <t>COMPTOIR COMMERCIAL BALLA AICHA CCBA SUARL</t>
  </si>
  <si>
    <t xml:space="preserve">COMPTOIR COMMERCIAL BAYE IBRA THIAW </t>
  </si>
  <si>
    <t xml:space="preserve">COMPTOIRE COMMERCIAL DAOUDA DIA SUARL </t>
  </si>
  <si>
    <t xml:space="preserve">CONSORTIUM D'ENTREPRISES (CDE) </t>
  </si>
  <si>
    <t>CONSORTIUM PETROMIR &amp; PETROLINE</t>
  </si>
  <si>
    <t>CONSORTIUM SENEGALAISE D' INDUSTRIE ET DE COMMERCE</t>
  </si>
  <si>
    <t xml:space="preserve">CONSULTING BUSINESS AGENCY Sarl </t>
  </si>
  <si>
    <t>CSS</t>
  </si>
  <si>
    <t>DAKAR-GUEYE GENERAL</t>
  </si>
  <si>
    <t xml:space="preserve">DAMASH MINERALS LTD </t>
  </si>
  <si>
    <t xml:space="preserve">DAMOUNGHAYE SUARL </t>
  </si>
  <si>
    <t xml:space="preserve">DEEJA IMMO SUARL </t>
  </si>
  <si>
    <t xml:space="preserve">DIAGNE AMADOU MACTAR </t>
  </si>
  <si>
    <t>DIAKHA GOLD MINES</t>
  </si>
  <si>
    <t xml:space="preserve">DIAMON GOL PETROL SL SUARL </t>
  </si>
  <si>
    <t xml:space="preserve">DIENABA ET JEAN SARL </t>
  </si>
  <si>
    <t xml:space="preserve">DIENG &amp; CO ENGINEERING SAS </t>
  </si>
  <si>
    <t xml:space="preserve">DIENG FAMILY </t>
  </si>
  <si>
    <t xml:space="preserve">DIOM MULTI EXPLOITATION </t>
  </si>
  <si>
    <t xml:space="preserve">DIOMAYE GRANULATS/GROUPE HOLDING DIOMAYE </t>
  </si>
  <si>
    <t xml:space="preserve">DIOP AMADOU MAME </t>
  </si>
  <si>
    <t xml:space="preserve">DIYAN EXPLOITATION MINIERE SUARL </t>
  </si>
  <si>
    <t xml:space="preserve">DL ONE SERVICES </t>
  </si>
  <si>
    <t>DMAR GESTION SARL AU</t>
  </si>
  <si>
    <t>EBONY NATURAL RESOURCES - SUARL</t>
  </si>
  <si>
    <t xml:space="preserve">ECOMINES SA </t>
  </si>
  <si>
    <t xml:space="preserve">EIFFAGE </t>
  </si>
  <si>
    <t xml:space="preserve">El Hadji Bathie DIOP </t>
  </si>
  <si>
    <t xml:space="preserve">ELIKANE </t>
  </si>
  <si>
    <t xml:space="preserve">ENTREPRISE AICHA </t>
  </si>
  <si>
    <t xml:space="preserve">ENTREPRISE BOUGAR DIOUF </t>
  </si>
  <si>
    <t xml:space="preserve">ENTREPRISE D’ETUDES DE REALISATION ET DE SUPERVISION </t>
  </si>
  <si>
    <t xml:space="preserve">ENTREPRISE GENERALE D'EQUIPEMENTS SARL </t>
  </si>
  <si>
    <t xml:space="preserve">ENTREPRISE MAME NDIEGNE BTP SUARL </t>
  </si>
  <si>
    <t xml:space="preserve">ENTREPRISE MAPATHE NDIOUCK </t>
  </si>
  <si>
    <t xml:space="preserve">Entreprise THIAM SENEGAL GOLD FAMILY </t>
  </si>
  <si>
    <t xml:space="preserve">ETABLISSEMENT AMADOU DIALLO </t>
  </si>
  <si>
    <t>ETABLISSEMENT DABAKH TRANSPORT</t>
  </si>
  <si>
    <t xml:space="preserve">ETABLISSEMENT OUSMANE SOW </t>
  </si>
  <si>
    <t xml:space="preserve">ETABLISSEMENT WI MARS </t>
  </si>
  <si>
    <t>ETS MAMADOU DIOP</t>
  </si>
  <si>
    <t xml:space="preserve">ETS MAMADOU DIOUF CISSE </t>
  </si>
  <si>
    <t>ETS/PID</t>
  </si>
  <si>
    <t xml:space="preserve">FABRIMETAL </t>
  </si>
  <si>
    <t xml:space="preserve">FUTURIS IMMOBILIER </t>
  </si>
  <si>
    <t xml:space="preserve">FUTURMINE SARL </t>
  </si>
  <si>
    <t>G.I.E. " LE WOUROUS"</t>
  </si>
  <si>
    <t xml:space="preserve">GAYE SERIGNE ASS FALLE </t>
  </si>
  <si>
    <t xml:space="preserve">GAZAL CARRIERES </t>
  </si>
  <si>
    <t xml:space="preserve">GB MINERAL SARL </t>
  </si>
  <si>
    <t>GE</t>
  </si>
  <si>
    <t xml:space="preserve">GENERAL SERVICES SARL </t>
  </si>
  <si>
    <t xml:space="preserve">GENERAL TRAVAUX EQUIPEMENT </t>
  </si>
  <si>
    <t xml:space="preserve">GENERALE DE REALISATION ET D'EQUIPEMENT </t>
  </si>
  <si>
    <t xml:space="preserve">GEO CONSULTING </t>
  </si>
  <si>
    <t xml:space="preserve">GEOMINE CONSULT SUARL </t>
  </si>
  <si>
    <t>GH MINING</t>
  </si>
  <si>
    <t xml:space="preserve">GIE BELEDOUGOU MAMAKHONO </t>
  </si>
  <si>
    <t xml:space="preserve">GIE BENCOUTOU </t>
  </si>
  <si>
    <t xml:space="preserve">GIE BENKANTO </t>
  </si>
  <si>
    <t xml:space="preserve">GIE BOUSANKO GOLD </t>
  </si>
  <si>
    <t xml:space="preserve">GIE DJIGUI </t>
  </si>
  <si>
    <t>GIE ESPERANCE21</t>
  </si>
  <si>
    <t>GIE KEDOUGOU BISNESS</t>
  </si>
  <si>
    <t>GIE KEDOUGOU DENTAL</t>
  </si>
  <si>
    <t xml:space="preserve">GIE MARBRE BASALTE-GRANITE DU SENEGAL </t>
  </si>
  <si>
    <t xml:space="preserve">GIE NGUAAYE DJITE </t>
  </si>
  <si>
    <t xml:space="preserve">GIE REBISEN </t>
  </si>
  <si>
    <t xml:space="preserve">GIE SINING KANG </t>
  </si>
  <si>
    <t>GIE WALY GNIMA</t>
  </si>
  <si>
    <t xml:space="preserve">GLOBAL AFRICINVEST SARL </t>
  </si>
  <si>
    <t xml:space="preserve">GLOBAL IMMO SENEGAL SARL </t>
  </si>
  <si>
    <t xml:space="preserve">GOLD COAST </t>
  </si>
  <si>
    <t xml:space="preserve">GOUYE MBINDE CONCASSAGE SARL </t>
  </si>
  <si>
    <t xml:space="preserve">GRAVILLONS MMS ET SITOR SA </t>
  </si>
  <si>
    <t xml:space="preserve">GREENFIELD ASSETS INVEST GAIN </t>
  </si>
  <si>
    <t xml:space="preserve">GROUPE SOCIETE SENEGALO SUISSE DES AFFAIRES SUARL </t>
  </si>
  <si>
    <t>GROUPEMENT D'ENTREPRISE HOUAR-SINTRAM</t>
  </si>
  <si>
    <t>HARMONY GROUP SUARL</t>
  </si>
  <si>
    <t xml:space="preserve">HGR SENEGAL SARL </t>
  </si>
  <si>
    <t xml:space="preserve">HOLDING ATLANTIC MINING PETROLUM " MINE PETRO-SA" </t>
  </si>
  <si>
    <t xml:space="preserve">HORIZON PLUS TECHNOLOGIE </t>
  </si>
  <si>
    <t xml:space="preserve">IMPROVE SENEGAL SAS </t>
  </si>
  <si>
    <t>INDUSTRIES CHIMIQUES DU SENEGAL</t>
  </si>
  <si>
    <t xml:space="preserve">INSTITUT GEOSCIENCES DE DAKAR SARL </t>
  </si>
  <si>
    <t xml:space="preserve">INTERNATIONAL COMPANY OF TRADE AND SERVICES SA (ICTS) </t>
  </si>
  <si>
    <t xml:space="preserve">INTERNATIONAL DAROU SALAM ENTREPRISE </t>
  </si>
  <si>
    <t>International Trading Company</t>
  </si>
  <si>
    <t xml:space="preserve">ISLE WORLDWIDE </t>
  </si>
  <si>
    <t xml:space="preserve">ITACA Sarl </t>
  </si>
  <si>
    <t xml:space="preserve">JAMOMINING SARL </t>
  </si>
  <si>
    <t xml:space="preserve">JEAN LEFEVRE SENEGAL </t>
  </si>
  <si>
    <t xml:space="preserve">JIWANA RESOURCES PTY. LTD. </t>
  </si>
  <si>
    <t>KANEL RESOURCES -SARL</t>
  </si>
  <si>
    <t xml:space="preserve">KEDOUGOU BUSINESS &amp; MINING SERVICES SARL </t>
  </si>
  <si>
    <t xml:space="preserve">KHOUMA COMPAGNIE </t>
  </si>
  <si>
    <t xml:space="preserve">LAM SUARL </t>
  </si>
  <si>
    <t xml:space="preserve">LES CARRIERES DE DAROU </t>
  </si>
  <si>
    <t xml:space="preserve">LES GRANDES CARRIERES DU SENEGAL </t>
  </si>
  <si>
    <t xml:space="preserve">LES GRANDS TRAVAUX DU SAHEL </t>
  </si>
  <si>
    <t xml:space="preserve">LES MAMELLES SARL </t>
  </si>
  <si>
    <t xml:space="preserve">LES PROFESSIONNELS DU BATIMENT ET SERVICES </t>
  </si>
  <si>
    <t xml:space="preserve">LIBIDOR </t>
  </si>
  <si>
    <t xml:space="preserve">LITON GROUP LTD SARL </t>
  </si>
  <si>
    <t xml:space="preserve">LOGISTIQUE, CARRIERES, MINES ET SERVICES (LOCMIS) SARL </t>
  </si>
  <si>
    <t xml:space="preserve">LOWRE INDUSTRIES </t>
  </si>
  <si>
    <t xml:space="preserve">LYONS FIELD SUARL </t>
  </si>
  <si>
    <t xml:space="preserve">MAGAL GUI CARREAUX Suarl </t>
  </si>
  <si>
    <t xml:space="preserve">MAIGA HOLDING </t>
  </si>
  <si>
    <t xml:space="preserve">MAISON INTERNATIONALE DU COMMERCE (MIC) </t>
  </si>
  <si>
    <t xml:space="preserve">MANDINGA RESOURCES SARL </t>
  </si>
  <si>
    <t xml:space="preserve">MARSAL TRANSPORT ET LOGISTIC </t>
  </si>
  <si>
    <t>MASSAWA JERSEY LIMITED</t>
  </si>
  <si>
    <t xml:space="preserve">MASSAWA JERSEY LIMITED </t>
  </si>
  <si>
    <t>MASSAWA SA</t>
  </si>
  <si>
    <t xml:space="preserve">MASSILATOURS </t>
  </si>
  <si>
    <t xml:space="preserve">MAWDO NDIAYE </t>
  </si>
  <si>
    <t xml:space="preserve">MAXAJARA INVEST </t>
  </si>
  <si>
    <t xml:space="preserve">MBF PROPERTIES SA </t>
  </si>
  <si>
    <t>MBOUP NDEYE MAGUETTE</t>
  </si>
  <si>
    <t xml:space="preserve">MINES et BATIMENTS GROUP MBG Sarl </t>
  </si>
  <si>
    <t xml:space="preserve">MINING RESEARCH COMPANY S.L </t>
  </si>
  <si>
    <t xml:space="preserve">MIRZAN SARL </t>
  </si>
  <si>
    <t xml:space="preserve">MOM SARL </t>
  </si>
  <si>
    <t xml:space="preserve">MOUHAMED RASSOUL SECK SERVICES </t>
  </si>
  <si>
    <t xml:space="preserve">MOUVEMENT FEDERAL ANSAROUL AHMADIYA </t>
  </si>
  <si>
    <t xml:space="preserve">MRL INTERNATIONAL INDUSTRIES SARL </t>
  </si>
  <si>
    <t xml:space="preserve">NDOYE MASYLLA </t>
  </si>
  <si>
    <t xml:space="preserve">NEGOCE FIABLE SENEGAL SARL </t>
  </si>
  <si>
    <t xml:space="preserve">NEW ENERGY INVESTISMENT SARL </t>
  </si>
  <si>
    <t>NIAMAYA GOLD</t>
  </si>
  <si>
    <t xml:space="preserve">NIANE SERIGNE MBACKE </t>
  </si>
  <si>
    <t xml:space="preserve">NOGA MINE SARL </t>
  </si>
  <si>
    <t xml:space="preserve">NOUVELLES SOCIETE DES MINES ET DES TRAVAUX PUBLIQUES </t>
  </si>
  <si>
    <t xml:space="preserve">ORIENTAL TECHNOLOGIES SARL </t>
  </si>
  <si>
    <t xml:space="preserve">ORING TECHNOLOGIES SARL </t>
  </si>
  <si>
    <t xml:space="preserve">POINT OF VIEW </t>
  </si>
  <si>
    <t xml:space="preserve">PRESTIGES-EXPORT LLC </t>
  </si>
  <si>
    <t xml:space="preserve">PROFILEX COMPANY </t>
  </si>
  <si>
    <t>PROSPECTIUNI (10%)</t>
  </si>
  <si>
    <t xml:space="preserve">PS-SENEACAT </t>
  </si>
  <si>
    <t xml:space="preserve">QINGNING SUARL </t>
  </si>
  <si>
    <t xml:space="preserve">RAMATOO </t>
  </si>
  <si>
    <t>RAMATOULAYE NDIAYE</t>
  </si>
  <si>
    <t xml:space="preserve">REPUBLIQUE DU SENEGAL </t>
  </si>
  <si>
    <t xml:space="preserve">ROCHES BETONS ET OUVRAGES DU SENEGAL SARL </t>
  </si>
  <si>
    <t>ROYAL SENEGAL MINES ET EQUIPEMENTS</t>
  </si>
  <si>
    <t xml:space="preserve">SADIO TRADING </t>
  </si>
  <si>
    <t xml:space="preserve">SAHEL MINERALS SARL </t>
  </si>
  <si>
    <t xml:space="preserve">SAHEL MINING SERVICES SARL </t>
  </si>
  <si>
    <t>SAKHO MAME KHADY</t>
  </si>
  <si>
    <t xml:space="preserve">SALAM GOLD </t>
  </si>
  <si>
    <t xml:space="preserve">SALIOU MINES INDUSTRIES ET TECHNIQUES </t>
  </si>
  <si>
    <t xml:space="preserve">SALOUM TRAIDING SERVICES-SARL </t>
  </si>
  <si>
    <t xml:space="preserve">SAMA GOLD SARL </t>
  </si>
  <si>
    <t xml:space="preserve">SCATY INDUSTRIES </t>
  </si>
  <si>
    <t xml:space="preserve">SDK MINING SA </t>
  </si>
  <si>
    <t xml:space="preserve">SECAMI </t>
  </si>
  <si>
    <t>SEGIMAR SA</t>
  </si>
  <si>
    <t xml:space="preserve">SEMAC </t>
  </si>
  <si>
    <t xml:space="preserve">SEN CONSORTIUM D'ENTREPRISE SARL </t>
  </si>
  <si>
    <t xml:space="preserve">SEN GENERAL ACTIVITES SARL </t>
  </si>
  <si>
    <t xml:space="preserve">SENEGAL MINERAL RESOURCES SA </t>
  </si>
  <si>
    <t>SENEGAL MINES</t>
  </si>
  <si>
    <t xml:space="preserve">SENEGALAISE DE COMMERCE ET DE SERVICES </t>
  </si>
  <si>
    <t xml:space="preserve">SENEGALAISES DES MINES ET DE LA GEOLOGIE </t>
  </si>
  <si>
    <t xml:space="preserve">SENEGINDIA SARL </t>
  </si>
  <si>
    <t xml:space="preserve">SENIP SENEGAL GROUP SARL </t>
  </si>
  <si>
    <t xml:space="preserve">SENOR GROUP </t>
  </si>
  <si>
    <t xml:space="preserve">SEN-STONES </t>
  </si>
  <si>
    <t>SERIGNE SALIOU MBACKE SARL</t>
  </si>
  <si>
    <t xml:space="preserve">SERVICE REGIONAL DE TAMBACOUNDA </t>
  </si>
  <si>
    <t xml:space="preserve">SESAM GOLD SARL </t>
  </si>
  <si>
    <t xml:space="preserve">SILIKA GRANULATS SARL </t>
  </si>
  <si>
    <t xml:space="preserve">SINEB DAROU NAKHIME SARL </t>
  </si>
  <si>
    <t xml:space="preserve">SINTRADIMMO SA </t>
  </si>
  <si>
    <t>SNEPAC INTERNATIONAL SARL</t>
  </si>
  <si>
    <t>SOCAM SARL</t>
  </si>
  <si>
    <t xml:space="preserve">SOCIÉTÉ AFRICA TRADE AND INVESTMENT CONSULTING SARL </t>
  </si>
  <si>
    <t xml:space="preserve">SOCIETE BENKHADY BAMBARAYA SARL </t>
  </si>
  <si>
    <t xml:space="preserve">SOCIETE CAPITAL PLUS </t>
  </si>
  <si>
    <t xml:space="preserve">SOCIETE CIVILE IMMOBILIERE S.C.I.D.D </t>
  </si>
  <si>
    <t xml:space="preserve">SOCIETE COMMERCIAL NDIABOUR NDIGAL SA </t>
  </si>
  <si>
    <t xml:space="preserve">SOCIETE D'AMENAGEMENT DE BATIMENT ET D'ETUDES GENERALES (SOCABEG) </t>
  </si>
  <si>
    <t xml:space="preserve">SOCIETE DE BATIMENT et TRAVAUX PUBLICS SUARL </t>
  </si>
  <si>
    <t xml:space="preserve">SOCIETE DE CONCASSAGE ET DE BETON SARL </t>
  </si>
  <si>
    <t xml:space="preserve">SOCIETE DE DEVELOPPEMENT ET DE CONSTRUCTION </t>
  </si>
  <si>
    <t xml:space="preserve">SOCIETE DE FORAGE ET DE TRAVAUX PUBLICS MINING </t>
  </si>
  <si>
    <t xml:space="preserve">SOCIETE DE SERVICES, BATIMENT ET COMMERCE INTERNATIONALE 2SBCI SUARL </t>
  </si>
  <si>
    <t xml:space="preserve">SOCIETE D'EQUIPEMENT ET DE CONSTRUCTION </t>
  </si>
  <si>
    <t>SOCIETE DES MINES DU SENEGAL (SODEMINES)</t>
  </si>
  <si>
    <t>SOCIETE D'ETUDES ET DE REALISATION DES PHOSPHATES DE MATAM (SERPM)</t>
  </si>
  <si>
    <t xml:space="preserve">SOCIETE DIAMADA INTERNATIONAL </t>
  </si>
  <si>
    <t xml:space="preserve">SOCIETE IMMOBILIER 3KF </t>
  </si>
  <si>
    <t xml:space="preserve">SOCIETE IMMOBILIERE DE DIASS SARL </t>
  </si>
  <si>
    <t xml:space="preserve">SOCIETE INDUSTRIELLE ET MINIERE SUARL </t>
  </si>
  <si>
    <t xml:space="preserve">SOCIETE MINIERE DJIBREIL DIAGNE MON PARENT </t>
  </si>
  <si>
    <t xml:space="preserve">SOCIETE MINIERE DU DIOBASSE SA </t>
  </si>
  <si>
    <t xml:space="preserve">SOCIETE NDIGUEULE FALL </t>
  </si>
  <si>
    <t xml:space="preserve">SOCIETE SENEGALAISE DE CONSTRUCTION ET D 'AMENAGEMENT </t>
  </si>
  <si>
    <t xml:space="preserve">SOCIETE SENEGALAISE DE GRAVIERS SARL </t>
  </si>
  <si>
    <t xml:space="preserve">SOCIETE SENEGALAISE DES PHOSPHATES DE THIES </t>
  </si>
  <si>
    <t xml:space="preserve">SOCIETE TIMITA TECHNO SERVICES </t>
  </si>
  <si>
    <t xml:space="preserve">SOCIETE WAAGAAN BTP SARL </t>
  </si>
  <si>
    <t>SODEVIT</t>
  </si>
  <si>
    <t>SOFAMAC SA</t>
  </si>
  <si>
    <t xml:space="preserve">SOMINES GRANULATS SA </t>
  </si>
  <si>
    <t xml:space="preserve">SONKO ET FILS SARL </t>
  </si>
  <si>
    <t xml:space="preserve">SOREXMINE SUARL </t>
  </si>
  <si>
    <t xml:space="preserve">SOSEMIC SARL </t>
  </si>
  <si>
    <t xml:space="preserve">SOSESA GROUPE </t>
  </si>
  <si>
    <t xml:space="preserve">SOYA GOLD SARL </t>
  </si>
  <si>
    <t>STRATEX-EMC SA</t>
  </si>
  <si>
    <t xml:space="preserve">SYFARO MINING COMPANY SUARL </t>
  </si>
  <si>
    <t xml:space="preserve">SYPROM SA </t>
  </si>
  <si>
    <t xml:space="preserve">TANOR SOLUTIONS INDUSTRIELLES </t>
  </si>
  <si>
    <t xml:space="preserve">TAYSIR SARL </t>
  </si>
  <si>
    <t xml:space="preserve">TCHILMA BUILDING SUARL </t>
  </si>
  <si>
    <t>TECHNOLOGIES CONSULTING SERVICES</t>
  </si>
  <si>
    <t xml:space="preserve">TERANGAMINE </t>
  </si>
  <si>
    <t xml:space="preserve">TESORO SERVICES </t>
  </si>
  <si>
    <t xml:space="preserve">THERMO LOGIC AFRICA SARL </t>
  </si>
  <si>
    <t xml:space="preserve">THIORO MBAYE </t>
  </si>
  <si>
    <t xml:space="preserve">TIANJI INVESTMENTS GROUP </t>
  </si>
  <si>
    <t xml:space="preserve">TOP DU MONDE </t>
  </si>
  <si>
    <t>TRANSPORT AHMED DJOUMA GAZAL</t>
  </si>
  <si>
    <t xml:space="preserve">TRANSPORT AMADOU DIEYE </t>
  </si>
  <si>
    <t>TRANSPORTS AHMED D.GAZAL&amp;FILS</t>
  </si>
  <si>
    <t>TRIYANGS INTRNATIONAL MINING GROUP - SA</t>
  </si>
  <si>
    <t xml:space="preserve">TSG MINING COMPANY SARL </t>
  </si>
  <si>
    <t xml:space="preserve">TWYFORD CERAMICS LIMITED </t>
  </si>
  <si>
    <t xml:space="preserve">UNIVERSAL BUSINESS COMPANY </t>
  </si>
  <si>
    <t xml:space="preserve">URBAINE D'ENTREPRISE </t>
  </si>
  <si>
    <t>VAN-GOLD S.U.A.R.L</t>
  </si>
  <si>
    <t>VAPROM AFRICA SA</t>
  </si>
  <si>
    <t xml:space="preserve">VAPROM AFRICA SA </t>
  </si>
  <si>
    <t>WEST AFRICAN TRADING INVESTMENT CONSTRUCTION</t>
  </si>
  <si>
    <t xml:space="preserve">YAN WEST AFRICA INVESTMENT </t>
  </si>
  <si>
    <t xml:space="preserve">ZEYNA TRANSPORTS-IMMO-CONSTRUCTIONS </t>
  </si>
  <si>
    <t>Annexe 3 - Structure de capital des sociétés retenues dans le périmètre de rapprochement</t>
  </si>
  <si>
    <t>Participation publique (Etat-Entreprise publiques)</t>
  </si>
  <si>
    <t>participation des Entités privées/Personnes physiques</t>
  </si>
  <si>
    <t>Entités privées</t>
  </si>
  <si>
    <t>% Participation publique
(Etat -Puissance publique)</t>
  </si>
  <si>
    <t xml:space="preserve">Nom </t>
  </si>
  <si>
    <t>% participation</t>
  </si>
  <si>
    <t>%</t>
  </si>
  <si>
    <t>Cotées ?</t>
  </si>
  <si>
    <t>Place boursière</t>
  </si>
  <si>
    <t>Total</t>
  </si>
  <si>
    <t>SNR ( Entreprise d'Etat)</t>
  </si>
  <si>
    <t xml:space="preserve">PETROSENE </t>
  </si>
  <si>
    <t>FORTESA</t>
  </si>
  <si>
    <t>Kosmos Energy Operating</t>
  </si>
  <si>
    <t xml:space="preserve"> TOTAL E&amp;P Senegal </t>
  </si>
  <si>
    <t>TotalEnergies SE</t>
  </si>
  <si>
    <t>Oui</t>
  </si>
  <si>
    <t>CAC40</t>
  </si>
  <si>
    <t xml:space="preserve">Woodside Energy Senegal </t>
  </si>
  <si>
    <t>Woodside Energy Holdings (Senegal) Limited
(La société mère ultime est Woodside Energy Group Ltd qui est cotée à l'Australian Securities Exchange)</t>
  </si>
  <si>
    <t>Nc :  Non communiquée</t>
  </si>
  <si>
    <t>SOCOCIM</t>
  </si>
  <si>
    <t>POSTOUDIOKOUL SASU</t>
  </si>
  <si>
    <t>PARCIFIM SA</t>
  </si>
  <si>
    <t>PARIS</t>
  </si>
  <si>
    <t xml:space="preserve">16 ACTIONNAIRES </t>
  </si>
  <si>
    <t>4 ACTIONNAIRES</t>
  </si>
  <si>
    <t>Sabodala Gold Mauritus Limited (SGML Ltd)</t>
  </si>
  <si>
    <t>LATFALLAH LAYOUSSE</t>
  </si>
  <si>
    <t>PREVOYANCE ASSURANCES</t>
  </si>
  <si>
    <t>ISIDORE LAYOUSSE</t>
  </si>
  <si>
    <t>REPUBLIQUE DU SENEGAL</t>
  </si>
  <si>
    <t>ERAMET MINERLS SANDS</t>
  </si>
  <si>
    <t>NA</t>
  </si>
  <si>
    <t>TOLSA SA</t>
  </si>
  <si>
    <t xml:space="preserve">ETAT DU SENEGAL </t>
  </si>
  <si>
    <t>INDORAMA INTERNATIONAL HOLDING LIMITED</t>
  </si>
  <si>
    <t xml:space="preserve">IFFCO </t>
  </si>
  <si>
    <t>GOUVERNEMENT D'INDE</t>
  </si>
  <si>
    <t>DANGOTE INDUSTRIES LTD</t>
  </si>
  <si>
    <t>99.99%</t>
  </si>
  <si>
    <t>HERITIERS KADER MBACKE</t>
  </si>
  <si>
    <t>0.01%</t>
  </si>
  <si>
    <t>Bambuk Minerals Limited</t>
  </si>
  <si>
    <t>Londres, Australie</t>
  </si>
  <si>
    <t>SERPM</t>
  </si>
  <si>
    <t>MININVEST SA</t>
  </si>
  <si>
    <t>FINANCE INDUSTRIES GROUP</t>
  </si>
  <si>
    <t>MR IBRAHIMA KHOURY</t>
  </si>
  <si>
    <t>MR CHIHAB JILANI KALLALA</t>
  </si>
  <si>
    <t>SORED MINES</t>
  </si>
  <si>
    <t xml:space="preserve">N/c </t>
  </si>
  <si>
    <t>MANAGEM</t>
  </si>
  <si>
    <t xml:space="preserve"> BOURSE DE 
CASABLANCA</t>
  </si>
  <si>
    <t>SEPHOS</t>
  </si>
  <si>
    <t>BMCC SA</t>
  </si>
  <si>
    <t>Néant</t>
  </si>
  <si>
    <t>AGEM</t>
  </si>
  <si>
    <t>AGEM LTD</t>
  </si>
  <si>
    <t>NYSE</t>
  </si>
  <si>
    <t>SABADOLA MINING COMPANY</t>
  </si>
  <si>
    <t>BARRICK GOLD</t>
  </si>
  <si>
    <t>BARRICK GOLD SENEGAL SA</t>
  </si>
  <si>
    <t>AGEM SENEGAL EXPLORATION SUARL</t>
  </si>
  <si>
    <t>SEPHOS SENEGAL</t>
  </si>
  <si>
    <t>IFCOM S.A.U</t>
  </si>
  <si>
    <t>FERTINAGRO</t>
  </si>
  <si>
    <t>COGECA</t>
  </si>
  <si>
    <t>LAFALLAH LAYOUSSE</t>
  </si>
  <si>
    <t>PARFICIM</t>
  </si>
  <si>
    <t xml:space="preserve">TALIX MINES </t>
  </si>
  <si>
    <t>TALIX GROUP</t>
  </si>
  <si>
    <t>Annexe 4 – Fiabilisation des déclarations</t>
  </si>
  <si>
    <t>Formulaires de Déclaration</t>
  </si>
  <si>
    <t>Etats Financiers</t>
  </si>
  <si>
    <t>Fiabilité globale</t>
  </si>
  <si>
    <t>Signé par
le Management</t>
  </si>
  <si>
    <t>Certifié par
un auditeur</t>
  </si>
  <si>
    <t>Electronique
/ Physique</t>
  </si>
  <si>
    <t>EF 2023 certifiés
par un CAC</t>
  </si>
  <si>
    <t>Rapport d'audit ou Lettre
d'affirmation du CAC envoyé</t>
  </si>
  <si>
    <t>Electronique / Physique</t>
  </si>
  <si>
    <t>Faible</t>
  </si>
  <si>
    <t>Moyen</t>
  </si>
  <si>
    <t>Elevé</t>
  </si>
  <si>
    <t>E</t>
  </si>
  <si>
    <t>Rapport d'audit</t>
  </si>
  <si>
    <t>Secteur des Hydrocarbures</t>
  </si>
  <si>
    <t>N/c</t>
  </si>
  <si>
    <t>Formulaire non communiqué</t>
  </si>
  <si>
    <t>Annexe 5 – Effectif des employés</t>
  </si>
  <si>
    <t>Secteur Minier : Qualifcations, Effectifs, et Masse Salariale</t>
  </si>
  <si>
    <t xml:space="preserve">Effectifs des Nationaux </t>
  </si>
  <si>
    <t>Effectifs des Non nationaux</t>
  </si>
  <si>
    <t>Masse salariale des Nationaux (en FCFA)</t>
  </si>
  <si>
    <t>Masse salariale des Non Nationaux (en FCFA)</t>
  </si>
  <si>
    <t>Qualifications</t>
  </si>
  <si>
    <t>Hommes</t>
  </si>
  <si>
    <t>Femmes</t>
  </si>
  <si>
    <t>Cadres supérieurs</t>
  </si>
  <si>
    <t>Techniciens supérieurs et cadres moyens</t>
  </si>
  <si>
    <t>Techniciens Agents de maitrise et ouvriers qualifiés</t>
  </si>
  <si>
    <t>Employés manœuvres ouvriers appprentis</t>
  </si>
  <si>
    <t>Permanent</t>
  </si>
  <si>
    <t>Contractuel</t>
  </si>
  <si>
    <t>SGO</t>
  </si>
  <si>
    <t>327471676.1</t>
  </si>
  <si>
    <t>415215247.8</t>
  </si>
  <si>
    <t>533040855.7</t>
  </si>
  <si>
    <t>1634544553.6000001</t>
  </si>
  <si>
    <t>CDS</t>
  </si>
  <si>
    <t>GCO</t>
  </si>
  <si>
    <t>SSPT</t>
  </si>
  <si>
    <t>ICS</t>
  </si>
  <si>
    <t>DANGOTE</t>
  </si>
  <si>
    <t>PMC SA</t>
  </si>
  <si>
    <t>SOMIVA</t>
  </si>
  <si>
    <t>IAMGOLD BOTO</t>
  </si>
  <si>
    <t xml:space="preserve"> </t>
  </si>
  <si>
    <t>AIG</t>
  </si>
  <si>
    <t>Secteur minier : Personnel Extérieur</t>
  </si>
  <si>
    <t xml:space="preserve">Total Effectif </t>
  </si>
  <si>
    <t>Facturation à l'entité pour nationaux</t>
  </si>
  <si>
    <t xml:space="preserve">Facturation à l'entité pour non nationaux </t>
  </si>
  <si>
    <t>TOTAL (1+2) par saisie</t>
  </si>
  <si>
    <t>TALIX MINES</t>
  </si>
  <si>
    <t>Secteur des hydrocarbures : Qualifcations, Effectifs, et Masse Salariale</t>
  </si>
  <si>
    <t>KOSMOS ENERGY 2023</t>
  </si>
  <si>
    <t>TOTAL (1)</t>
  </si>
  <si>
    <t>Permanents</t>
  </si>
  <si>
    <t>Contractuels</t>
  </si>
  <si>
    <t>FORTESA 2023</t>
  </si>
  <si>
    <t xml:space="preserve">PETROSEN HOLDING 2023 </t>
  </si>
  <si>
    <t>Secteur des hydrocarbures : Personnel Extérieur</t>
  </si>
  <si>
    <t>1306735.527</t>
  </si>
  <si>
    <t>Annexe 6 – Paiements sociaux obligatoires</t>
  </si>
  <si>
    <t>Informations Bénéficiaires</t>
  </si>
  <si>
    <t>Paiements en Numéraire</t>
  </si>
  <si>
    <t>Paiements en Nature</t>
  </si>
  <si>
    <t>Référence</t>
  </si>
  <si>
    <t>NINEA</t>
  </si>
  <si>
    <t>Identité du Bénéficiare (Nom)</t>
  </si>
  <si>
    <t>FoNction</t>
  </si>
  <si>
    <t>Région du Bénéficiaire</t>
  </si>
  <si>
    <t>Paiements en Numéraire:             Montant FCFA</t>
  </si>
  <si>
    <t>Paiements en Numéraire:                    Date (jj/mm/aaaa)</t>
  </si>
  <si>
    <t>Domaine d'Intervention</t>
  </si>
  <si>
    <t>Paiements en Nature: Description (Nature, Objectifs, Réalisations)</t>
  </si>
  <si>
    <t>Paiements en Nature:
Coût du Projet eNcouru
durant l'année</t>
  </si>
  <si>
    <t>Domaine
d'Intervention</t>
  </si>
  <si>
    <t>Ref Juridique
/Contractuelle</t>
  </si>
  <si>
    <t>Données ventillées par genre sur les bénéficiaires</t>
  </si>
  <si>
    <t>002850023</t>
  </si>
  <si>
    <t>Communauté autour du site minier</t>
  </si>
  <si>
    <t>Acquisition d'une ambulance avec equipement pour le CDS</t>
  </si>
  <si>
    <t>Kedougou</t>
  </si>
  <si>
    <t>Santé</t>
  </si>
  <si>
    <t>Obligation de développement social: art.15 de l'avenant 1 à la convention minière de Sabodala du 23 mars 2005</t>
  </si>
  <si>
    <t>Construction 3 cases de santé commune de Sadatou</t>
  </si>
  <si>
    <t>Construction et équipement d'une salle de classe DIYALABACA</t>
  </si>
  <si>
    <t>Education</t>
  </si>
  <si>
    <t>Vanne Pvc pour tuyau polyéthylène diamètre 40</t>
  </si>
  <si>
    <t>Capacitation des femme, agricultures et divers</t>
  </si>
  <si>
    <t>Tuyau polyéthylène diamètre 40 PN 16 </t>
  </si>
  <si>
    <t>Embout polyéthylène male sorti 1''/1/4 diamètre 40</t>
  </si>
  <si>
    <t>Ruban téflon GM </t>
  </si>
  <si>
    <t>Té polyéthylène égaux diamètre 40x40x40</t>
  </si>
  <si>
    <t>Manchon polyéthylène égaux 40x40 </t>
  </si>
  <si>
    <t>Vanne à bille diamètre 40 </t>
  </si>
  <si>
    <t>Vanne à bille diamètre 50</t>
  </si>
  <si>
    <t>Préparation, transport atelier de forage, matériel et équ</t>
  </si>
  <si>
    <t>Foration tout terrain rotary à boue ou air et marteau de di</t>
  </si>
  <si>
    <t>Fourniture et pose de tube plein en PVC diamètre 6"</t>
  </si>
  <si>
    <t>Fourniture et mise en place de crépine PVC en 6" à fente c</t>
  </si>
  <si>
    <t>Fourniture et mise en place d’un tube décanteur en PVC</t>
  </si>
  <si>
    <t>Fourniture et mise en place de gravier quartz roulé et cali</t>
  </si>
  <si>
    <t>Développement du forage, maintien de l’atelier sur place</t>
  </si>
  <si>
    <t>Pompe LORENTZ PS2-1800 C-SJ5-12 ou similaire</t>
  </si>
  <si>
    <t>Fourniture &amp; installation de Panneaux photovoltaïques solai</t>
  </si>
  <si>
    <t>Connecteurs, dispositif de protection contre les sustentions</t>
  </si>
  <si>
    <t>Frais d'installation pour pompe manuelle</t>
  </si>
  <si>
    <t>Construction de Bassins et Raccordement pour les jardins mar</t>
  </si>
  <si>
    <t>1 Plumber for 7 days @ 10h/day</t>
  </si>
  <si>
    <t>Cash Prise en charge programme de sensibilisation sur la cam</t>
  </si>
  <si>
    <t>FONDATION</t>
  </si>
  <si>
    <t>ELEVATION</t>
  </si>
  <si>
    <t>126536</t>
  </si>
  <si>
    <t>Amene et repli</t>
  </si>
  <si>
    <t>F+P de piquets d'angle en IPN de 80</t>
  </si>
  <si>
    <t>F+P de piquets de tension tous les 25m en fer T</t>
  </si>
  <si>
    <t>F+P de piquets de tension tous les 2,5m en fer T</t>
  </si>
  <si>
    <t>F+P de fil de tension en galva 3mm sur 3 lignes</t>
  </si>
  <si>
    <t>F+P de tendeurs ou raidisseurs au niveaux des poteaux d'angl</t>
  </si>
  <si>
    <t>F+P d'attache en galva</t>
  </si>
  <si>
    <t>F+P grillage en fil galvanisé de 2,5mm mailles 5*5cm torsad</t>
  </si>
  <si>
    <t>F+P Portes métallique doubles battants (1,00x1,50) tole en</t>
  </si>
  <si>
    <t>Loyer immeub etudiant q1-2023</t>
  </si>
  <si>
    <t>SOLAR PUMP SYSTEM CONTROLLER (Master Green)</t>
  </si>
  <si>
    <t>Hydraulique</t>
  </si>
  <si>
    <t>Construction d'un local de vente à Diakhaling commune de kh</t>
  </si>
  <si>
    <t>Goods Final Costs</t>
  </si>
  <si>
    <t>Catridge</t>
  </si>
  <si>
    <t>Engine Oil Filter</t>
  </si>
  <si>
    <t>Starting Switch</t>
  </si>
  <si>
    <t>Injection Pump</t>
  </si>
  <si>
    <t>Hose</t>
  </si>
  <si>
    <t>Air compressor</t>
  </si>
  <si>
    <t>Filter</t>
  </si>
  <si>
    <t>Element</t>
  </si>
  <si>
    <t>Filter Element</t>
  </si>
  <si>
    <t>Parts Pack</t>
  </si>
  <si>
    <t>Work Lights</t>
  </si>
  <si>
    <t>Windscree Wipe</t>
  </si>
  <si>
    <t>Wiper Blade</t>
  </si>
  <si>
    <t>Turbocharger</t>
  </si>
  <si>
    <t>V-Belt</t>
  </si>
  <si>
    <t>Louver</t>
  </si>
  <si>
    <t>Front Grille</t>
  </si>
  <si>
    <t>Cap</t>
  </si>
  <si>
    <t>Upper Front Glass</t>
  </si>
  <si>
    <t>Harness</t>
  </si>
  <si>
    <t>Rear Lamp</t>
  </si>
  <si>
    <t>Reflector</t>
  </si>
  <si>
    <t>Intercooler</t>
  </si>
  <si>
    <t>Alternator</t>
  </si>
  <si>
    <t>Starter Motor</t>
  </si>
  <si>
    <t>Wheel Wrench</t>
  </si>
  <si>
    <t>Rear View Mirror</t>
  </si>
  <si>
    <t>Knob</t>
  </si>
  <si>
    <t>Bolt</t>
  </si>
  <si>
    <t>Washer</t>
  </si>
  <si>
    <t>Front Light</t>
  </si>
  <si>
    <t>Seat</t>
  </si>
  <si>
    <t>Dipstick</t>
  </si>
  <si>
    <t>Evaporator</t>
  </si>
  <si>
    <t>Wiper Motor</t>
  </si>
  <si>
    <t>Lever</t>
  </si>
  <si>
    <t>Door Hand</t>
  </si>
  <si>
    <t>Lock</t>
  </si>
  <si>
    <t>Breather W/Or IN</t>
  </si>
  <si>
    <t>Instrument Pane</t>
  </si>
  <si>
    <t>BRANSAN TRACTOR PARTS</t>
  </si>
  <si>
    <t>DIAKHALY TRACTOR PARTS</t>
  </si>
  <si>
    <t>Projet de Construction d'un Mur de clôture de 400ml à l’</t>
  </si>
  <si>
    <t>Budget atelier bilan campagne agricole 2022 a Sabodala Madin</t>
  </si>
  <si>
    <t>Construction de 02 Bassins et Raccordement au jardin maraich</t>
  </si>
  <si>
    <t>SH00007948</t>
  </si>
  <si>
    <t>Reinforcement ∅10 - HA10</t>
  </si>
  <si>
    <t>Appui divers</t>
  </si>
  <si>
    <t>Local sand river</t>
  </si>
  <si>
    <t>Amené et repli</t>
  </si>
  <si>
    <t>Fouille en puits pour radier general</t>
  </si>
  <si>
    <t>Béton dosé à 150kg/m3 pour fond de fouilles</t>
  </si>
  <si>
    <t>Béton  dosé à 350kg/m3 pour radier y/c ferraillage</t>
  </si>
  <si>
    <t>Béton dosé à 350kg/m3 pour voile y/c ferraillage</t>
  </si>
  <si>
    <t>Béton  dosé à 350kg/m3 pour dalle anti-bourbier y/c ferra</t>
  </si>
  <si>
    <t>Enduit lisse extérieur et intérieur au mortier de ciment</t>
  </si>
  <si>
    <t>Fouille en rigole pour système de raccordement</t>
  </si>
  <si>
    <t>"Raccordement des bassins en tuyaux PEHD noir bleu industrie</t>
  </si>
  <si>
    <t>"Distribution en Tube acier galvanisé Ø40 de 1m avec coude</t>
  </si>
  <si>
    <t>126532</t>
  </si>
  <si>
    <t>Réhabilition périmètres maraichers - Madina Bransan et Ti</t>
  </si>
  <si>
    <t>Acrylic paint, 25kg, color White</t>
  </si>
  <si>
    <t>Gylatex water paint, 25kg,</t>
  </si>
  <si>
    <t>ARDOISE GREEN FERRY 0.75L - Paint for the creation of slate</t>
  </si>
  <si>
    <t>127094</t>
  </si>
  <si>
    <t>126182</t>
  </si>
  <si>
    <t>126182AA</t>
  </si>
  <si>
    <t>126182AB</t>
  </si>
  <si>
    <t>Watt - crete ( Sot 30 X 250WC Module Pollycristallin)</t>
  </si>
  <si>
    <t>Metal door with 1/3 louvers, size 100cm x 210cm</t>
  </si>
  <si>
    <t>Double shutter window with adjustable louvers 120cm x 110cm</t>
  </si>
  <si>
    <t>Realisation et équipement de forage positif manuel de 7m3/h</t>
  </si>
  <si>
    <t>Realisation de forage positif de 7m3/h</t>
  </si>
  <si>
    <t>Fourniture et pompe manuelle india mark-II pour un forage</t>
  </si>
  <si>
    <t>Frais d'installation pour pompe manuelle pour un forage</t>
  </si>
  <si>
    <t>Terrain basket et handball</t>
  </si>
  <si>
    <t>Sport et Culture</t>
  </si>
  <si>
    <t>Terrain Pétanque</t>
  </si>
  <si>
    <t>Aménagement et Pavage</t>
  </si>
  <si>
    <t>Preparation, transportation of the drilling workshop, materi</t>
  </si>
  <si>
    <t>Realization and equipment of manual positive drilling of 7m3</t>
  </si>
  <si>
    <t>Supply and manual pump india mark-II for a borehole</t>
  </si>
  <si>
    <t>Installation for manual pump for a borehole</t>
  </si>
  <si>
    <t>127094AA</t>
  </si>
  <si>
    <t>126532AA</t>
  </si>
  <si>
    <t>119878AB</t>
  </si>
  <si>
    <t>122823AB</t>
  </si>
  <si>
    <t>Appui SGO Sous Prefet Ibrahima Thioumbane nouvelle fonct</t>
  </si>
  <si>
    <t>Seaux enduit pour les Tableaux</t>
  </si>
  <si>
    <t>Platre</t>
  </si>
  <si>
    <t>Sacs de ciment 50Kg</t>
  </si>
  <si>
    <t>Pots Colorants uni teint</t>
  </si>
  <si>
    <t>Transport</t>
  </si>
  <si>
    <t>1 Concrete Supervisor</t>
  </si>
  <si>
    <t>3  Masons</t>
  </si>
  <si>
    <t>2 Painter</t>
  </si>
  <si>
    <t>120869</t>
  </si>
  <si>
    <t>Construction d'abreuvoirs de betails et raccordement a Diala</t>
  </si>
  <si>
    <t>Rehabilitation de bloc d'hygiene a 04 boxes</t>
  </si>
  <si>
    <t>Rehabilitation de bloc d'hygiene a 06 boxes</t>
  </si>
  <si>
    <t>Construction &amp; equipement d'un bloc de 2 salles de classe</t>
  </si>
  <si>
    <t>Chargements de remblaiement</t>
  </si>
  <si>
    <t>122446AC</t>
  </si>
  <si>
    <t>127094AB</t>
  </si>
  <si>
    <t>125472AD</t>
  </si>
  <si>
    <t>126532AB</t>
  </si>
  <si>
    <t>126537</t>
  </si>
  <si>
    <t>Facture du proprietaire des parcelles peri-urbains pour faci</t>
  </si>
  <si>
    <t>ETAT DE PAIEMENTS DES PUITS-Traditionnels</t>
  </si>
  <si>
    <t>125472AE</t>
  </si>
  <si>
    <t>sport et Culture</t>
  </si>
  <si>
    <t>Sand River</t>
  </si>
  <si>
    <t>Construction of a wall around Mandancoli health post</t>
  </si>
  <si>
    <t>Bouses Lassana Cissokho</t>
  </si>
  <si>
    <t>134011</t>
  </si>
  <si>
    <t>CDJ DE SARAYA</t>
  </si>
  <si>
    <t>SARAYA</t>
  </si>
  <si>
    <t>APPUIS DIVERS (COURS DE VACANCES, SENSIBILISATIONS ET REBOISEMENT)</t>
  </si>
  <si>
    <t>CODEC DE MEDINA BAFFE</t>
  </si>
  <si>
    <t>VILLAGE DE MEDINA BAFFE</t>
  </si>
  <si>
    <t>APPUIS DIVERS (IMPRIMANTE ET FOURNITURES BUREAU)</t>
  </si>
  <si>
    <t>CODEC DE MISSIRAH DANTILA</t>
  </si>
  <si>
    <t>VILLAGE MISSIRAH DANTILA</t>
  </si>
  <si>
    <t>CODEC DE NAFADJI</t>
  </si>
  <si>
    <t>VILLAGE DE NAFADJI</t>
  </si>
  <si>
    <t>COMMUNE BEMBOU</t>
  </si>
  <si>
    <t>BEMBOU</t>
  </si>
  <si>
    <t>APPUIS DIVERS (SPORT)</t>
  </si>
  <si>
    <t>COMMUNE DE MEDINA BAFFE</t>
  </si>
  <si>
    <t>EDUCATION</t>
  </si>
  <si>
    <t>COMMUNE DE MISSSIRAH SIRIMANA</t>
  </si>
  <si>
    <t>APPUIS DIVERS (CONSTRUCTION ABRIS MOULINS)</t>
  </si>
  <si>
    <t>HYDRAULIQUE</t>
  </si>
  <si>
    <t>COMMUNE MEDINA BAFFE</t>
  </si>
  <si>
    <t>MEDINA BAFFE</t>
  </si>
  <si>
    <t>DISTRICT SANITAIRE DE SARAYA</t>
  </si>
  <si>
    <t>SANTE</t>
  </si>
  <si>
    <t>ECOLE ELEMENTAIRE NOUMOUFOUKHA</t>
  </si>
  <si>
    <t>VILLAGE NOUMOUFOUKHA</t>
  </si>
  <si>
    <t>ENFANTS DEPARTEMENT SARAYA</t>
  </si>
  <si>
    <t>APPUIS DIVERS (JOURNEE DE L4ENFANT AFRICAIN)</t>
  </si>
  <si>
    <t>GOUVERNANCE KEDOUGOU</t>
  </si>
  <si>
    <t>KEDOUGOU</t>
  </si>
  <si>
    <t>VILLAGE DE DAORALA</t>
  </si>
  <si>
    <t>APPUIS DIVERS (REHABILITATION LATRINES)</t>
  </si>
  <si>
    <t>VILLAGE DE FARANDING</t>
  </si>
  <si>
    <t>APPUIS DIVERS (CONSTRUCTION LATRINES)</t>
  </si>
  <si>
    <t>APPUIS DIVERS (ENERGIE SOLAIRE)</t>
  </si>
  <si>
    <t>VILLAGE DE KOLIA</t>
  </si>
  <si>
    <t>ECOLE ELEMENETAIRE MEDINA BAFFE</t>
  </si>
  <si>
    <t>VILLAGE MEDINA BAFFE</t>
  </si>
  <si>
    <t>MAIRIE MEDINA BAFFE</t>
  </si>
  <si>
    <t>APPUIS DIVERS (CONSTRUCTION D'UNE MAIRIE)</t>
  </si>
  <si>
    <t>60461732G3</t>
  </si>
  <si>
    <t>Poste de Santé Moussala</t>
  </si>
  <si>
    <t>Goudibatan</t>
  </si>
  <si>
    <t>Développement économique</t>
  </si>
  <si>
    <t>moulin 2en 1</t>
  </si>
  <si>
    <t>Ecole Moussala</t>
  </si>
  <si>
    <t xml:space="preserve">Accès à l'eau potable </t>
  </si>
  <si>
    <t xml:space="preserve">forage </t>
  </si>
  <si>
    <t>Khouroudiakhouma</t>
  </si>
  <si>
    <t>Mandakhoto</t>
  </si>
  <si>
    <t>Fournitures scolaires</t>
  </si>
  <si>
    <t>Foukhola</t>
  </si>
  <si>
    <t>Satadougou</t>
  </si>
  <si>
    <t>perimetre maraicher</t>
  </si>
  <si>
    <t>Adduction d'eau au niveau de l'école</t>
  </si>
  <si>
    <t>Construction case de santé+matériel</t>
  </si>
  <si>
    <t>Solarisation case de santé</t>
  </si>
  <si>
    <t>Latrines pour l'ecole</t>
  </si>
  <si>
    <t>Karakheana</t>
  </si>
  <si>
    <t>salle d'hospitalisation + materiel medical</t>
  </si>
  <si>
    <t xml:space="preserve">solarisation de la salle d'hospitalisation </t>
  </si>
  <si>
    <t>Remise en etat des batteries de l'école</t>
  </si>
  <si>
    <t>Bambadji</t>
  </si>
  <si>
    <t>achat de 8 batteries pour le poste</t>
  </si>
  <si>
    <t>reparation et peinture poste de santé</t>
  </si>
  <si>
    <t>finition 2 Salles de classes</t>
  </si>
  <si>
    <t>Garabourya</t>
  </si>
  <si>
    <t>Saraya</t>
  </si>
  <si>
    <t xml:space="preserve">Appui en matériel et équipements médical pour le centre de santé </t>
  </si>
  <si>
    <t>2 climatiseur /3ch</t>
  </si>
  <si>
    <t>Kolya</t>
  </si>
  <si>
    <t xml:space="preserve">Remise en état des batteries du solaire de l’école. </t>
  </si>
  <si>
    <t>Gamba Gamba</t>
  </si>
  <si>
    <t>Construction d’un forage à pompe manuelle pour les femmes du village</t>
  </si>
  <si>
    <t>Sassamba</t>
  </si>
  <si>
    <t xml:space="preserve">Remise en état des batteries du solaire pour l’école. </t>
  </si>
  <si>
    <t>Moulin</t>
  </si>
  <si>
    <t>Dohiba</t>
  </si>
  <si>
    <t>Madina</t>
  </si>
  <si>
    <t>Boboti</t>
  </si>
  <si>
    <t>Moussala</t>
  </si>
  <si>
    <t xml:space="preserve">Remise en état des batteries du solaire de l’école et du poste de santé. </t>
  </si>
  <si>
    <t>Dialadakhoto</t>
  </si>
  <si>
    <t xml:space="preserve">Electrification de l’école à partir de panneaux solaires. </t>
  </si>
  <si>
    <t>Mandankhoto</t>
  </si>
  <si>
    <t>Electrification de l’école.</t>
  </si>
  <si>
    <t>Sékhoto</t>
  </si>
  <si>
    <t>Sécurité alimentaire</t>
  </si>
  <si>
    <t>Une remise de don de vivres pour le village de  incendié récemment.</t>
  </si>
  <si>
    <t xml:space="preserve">Kondokho </t>
  </si>
  <si>
    <t xml:space="preserve">Equipement solaire du château d’eau du village </t>
  </si>
  <si>
    <t>BMCC</t>
  </si>
  <si>
    <t>SOCIALE</t>
  </si>
  <si>
    <t xml:space="preserve">RECEVEUR PERCEPTEUR </t>
  </si>
  <si>
    <t>COMMISION DES EVALUATION DES IMPENSES CHQN0290485</t>
  </si>
  <si>
    <t>INDEMINISATION DES EXPLOITANTS AGRICOLE POUR LA VOIE D'ACCES</t>
  </si>
  <si>
    <t>IMPENSES DES CHAMPS INONDES PAR LES EAUX DE PLUIES</t>
  </si>
  <si>
    <t>ORGANISATION COMMISION IMPENSES/ PREFET BAMBEY</t>
  </si>
  <si>
    <t>IMPENSES AGRICOLES ET FORESTIERES/ PERSONNES AFFECTEES PAR LE PAP</t>
  </si>
  <si>
    <t>IMPENSES/ INDEMNISATIONS DES CHAMPS IMPACTES PAR LA VOIE D'ACCES</t>
  </si>
  <si>
    <t>Impenses forestieres et agricoles</t>
  </si>
  <si>
    <t>G-PHOS</t>
  </si>
  <si>
    <t>LEYE MBAYE</t>
  </si>
  <si>
    <t>CULTIVATEUR</t>
  </si>
  <si>
    <t>THIES</t>
  </si>
  <si>
    <t>IMPENSE</t>
  </si>
  <si>
    <t>LATYR DIOP</t>
  </si>
  <si>
    <t>MODOU DIOP</t>
  </si>
  <si>
    <t>BABACAR KA P/C OUMAR KE DECES</t>
  </si>
  <si>
    <t>BARA GASSAMA</t>
  </si>
  <si>
    <t>MALICK SOW</t>
  </si>
  <si>
    <t>ASSANE BA</t>
  </si>
  <si>
    <t>DJIBY KA</t>
  </si>
  <si>
    <t>SIDATY BA</t>
  </si>
  <si>
    <t>MOUSTAPHA SOW</t>
  </si>
  <si>
    <t>AMADOU  SOW</t>
  </si>
  <si>
    <t>CHEIKH  SOW</t>
  </si>
  <si>
    <t>MALICK KA</t>
  </si>
  <si>
    <t>MAMADOU BA-</t>
  </si>
  <si>
    <t>BALLA SOW</t>
  </si>
  <si>
    <t>GORGUI  BA</t>
  </si>
  <si>
    <t>NOGAYE FALL</t>
  </si>
  <si>
    <t>FATOU FALL</t>
  </si>
  <si>
    <t xml:space="preserve">ABDOU DIAW </t>
  </si>
  <si>
    <t xml:space="preserve">KAW GASSAMA </t>
  </si>
  <si>
    <t xml:space="preserve">KHADY DIAW </t>
  </si>
  <si>
    <t xml:space="preserve">MATAR NIANG  </t>
  </si>
  <si>
    <t>IBRAHIMA GASSAMA</t>
  </si>
  <si>
    <t xml:space="preserve">IBRAHIMA GASSAMA </t>
  </si>
  <si>
    <t>IBA THIAM</t>
  </si>
  <si>
    <t>IBRA FALL</t>
  </si>
  <si>
    <t xml:space="preserve">IBRA FALL </t>
  </si>
  <si>
    <t xml:space="preserve">AMAR CODOU SEYE </t>
  </si>
  <si>
    <t xml:space="preserve">GORGUI BA </t>
  </si>
  <si>
    <t xml:space="preserve">GORGNY KA </t>
  </si>
  <si>
    <t xml:space="preserve">AMADOU BA </t>
  </si>
  <si>
    <t xml:space="preserve">ALPHA BA </t>
  </si>
  <si>
    <t>ALIOU BA</t>
  </si>
  <si>
    <t xml:space="preserve">EL HADJI BA </t>
  </si>
  <si>
    <t xml:space="preserve">SAMBA KA </t>
  </si>
  <si>
    <t xml:space="preserve">CHERIF BA </t>
  </si>
  <si>
    <t>FATOU KA</t>
  </si>
  <si>
    <t>MATELLE  KA</t>
  </si>
  <si>
    <t xml:space="preserve">ASS  KA </t>
  </si>
  <si>
    <t>DAOUDA KA</t>
  </si>
  <si>
    <t xml:space="preserve">CHERIF KA </t>
  </si>
  <si>
    <t>REGIE IMMOBILIERE DU CAYOR</t>
  </si>
  <si>
    <t>AGENCE IMMOBILIERE</t>
  </si>
  <si>
    <t>IMPENSE BATI</t>
  </si>
  <si>
    <t xml:space="preserve">BALE FAYE </t>
  </si>
  <si>
    <t xml:space="preserve">BARA GASSAMA </t>
  </si>
  <si>
    <t>MAIMOUNA FALL</t>
  </si>
  <si>
    <t>KAW GASSAMA PC GALLAS GASSAMA</t>
  </si>
  <si>
    <t>DAOUDA  KA</t>
  </si>
  <si>
    <t xml:space="preserve">MALICK KA </t>
  </si>
  <si>
    <t xml:space="preserve">BABACAR KA </t>
  </si>
  <si>
    <t xml:space="preserve">AMAR CODOU SEYE  </t>
  </si>
  <si>
    <t xml:space="preserve">IBA THIAM  </t>
  </si>
  <si>
    <t xml:space="preserve">MALICK SOW  </t>
  </si>
  <si>
    <t xml:space="preserve">IBRAHIMA GASSAMA  </t>
  </si>
  <si>
    <t xml:space="preserve">FATOU KA </t>
  </si>
  <si>
    <t xml:space="preserve">NDIOBA FALL   </t>
  </si>
  <si>
    <t xml:space="preserve">NOGAYE FALL   </t>
  </si>
  <si>
    <t xml:space="preserve">IBRA FALL  </t>
  </si>
  <si>
    <t xml:space="preserve">MAIMOUNA FALL  </t>
  </si>
  <si>
    <t xml:space="preserve">ALIOU BA  </t>
  </si>
  <si>
    <t xml:space="preserve">DJIBI KA  </t>
  </si>
  <si>
    <t xml:space="preserve">MATELLE KA </t>
  </si>
  <si>
    <t xml:space="preserve">SERIGNE THIAM </t>
  </si>
  <si>
    <t xml:space="preserve">SERIGNE THIAM  </t>
  </si>
  <si>
    <t xml:space="preserve">MOUSTAPHA SOW  </t>
  </si>
  <si>
    <t xml:space="preserve">CHEIKH SOW  </t>
  </si>
  <si>
    <t xml:space="preserve">ASSANE BA  </t>
  </si>
  <si>
    <t xml:space="preserve">CHERIF KA  </t>
  </si>
  <si>
    <t>MATAR NIANG</t>
  </si>
  <si>
    <t xml:space="preserve">SIDATY BA </t>
  </si>
  <si>
    <t>RASSOUL GASSAMA</t>
  </si>
  <si>
    <t xml:space="preserve">BALE FAYE  </t>
  </si>
  <si>
    <t>MAMADOU BA</t>
  </si>
  <si>
    <t xml:space="preserve">BALLA SOW </t>
  </si>
  <si>
    <t>KAW GASSAMA</t>
  </si>
  <si>
    <t>GORGUI BA</t>
  </si>
  <si>
    <t xml:space="preserve">ASSANE  BA </t>
  </si>
  <si>
    <t xml:space="preserve">MATELLE  KA </t>
  </si>
  <si>
    <t xml:space="preserve">ALIOU BA </t>
  </si>
  <si>
    <t xml:space="preserve">ASS KA </t>
  </si>
  <si>
    <t>GORGNY KA</t>
  </si>
  <si>
    <t xml:space="preserve">ASSANE FAYE  </t>
  </si>
  <si>
    <t xml:space="preserve">ASSANE FAYE </t>
  </si>
  <si>
    <t xml:space="preserve">SAMBA DIARRA CISS </t>
  </si>
  <si>
    <t xml:space="preserve">MAFALL FIDIOR </t>
  </si>
  <si>
    <t xml:space="preserve">MODOU THIOUNE </t>
  </si>
  <si>
    <t xml:space="preserve">MODOU THIOUNE  </t>
  </si>
  <si>
    <t xml:space="preserve">BOUBOU KA  </t>
  </si>
  <si>
    <t xml:space="preserve">LEYE MBAYE </t>
  </si>
  <si>
    <t xml:space="preserve">AMDY FALL  </t>
  </si>
  <si>
    <t xml:space="preserve">LATYR DIOP  </t>
  </si>
  <si>
    <t xml:space="preserve">KARIM NDIAYE </t>
  </si>
  <si>
    <t xml:space="preserve">DAOUDA GUEYE </t>
  </si>
  <si>
    <t xml:space="preserve">ABDOULAYE FALL  </t>
  </si>
  <si>
    <t xml:space="preserve">ABDOU KA </t>
  </si>
  <si>
    <t xml:space="preserve">NGAGNE DIOP </t>
  </si>
  <si>
    <t xml:space="preserve">MODOU DIOP </t>
  </si>
  <si>
    <t xml:space="preserve">CHEIKH MBAYE  </t>
  </si>
  <si>
    <t xml:space="preserve">DAOUDA CISS  </t>
  </si>
  <si>
    <t xml:space="preserve">MBAYE CISSE  </t>
  </si>
  <si>
    <t xml:space="preserve">DIAKHATE DIOP  </t>
  </si>
  <si>
    <t xml:space="preserve">OUMAR MBAYE </t>
  </si>
  <si>
    <t xml:space="preserve">ABDOU MBAYE  </t>
  </si>
  <si>
    <t xml:space="preserve">KARIM NDIAYE  </t>
  </si>
  <si>
    <t xml:space="preserve">MODOU MBAYE   </t>
  </si>
  <si>
    <t xml:space="preserve">LEYE  MBAYE  </t>
  </si>
  <si>
    <t xml:space="preserve">AHMET BA   </t>
  </si>
  <si>
    <t xml:space="preserve">BABA GASSAMA </t>
  </si>
  <si>
    <t>LATE GASSAMA</t>
  </si>
  <si>
    <t xml:space="preserve">KAWGASSAMA </t>
  </si>
  <si>
    <t xml:space="preserve"> MOUHAMED GASSANA</t>
  </si>
  <si>
    <t>IAM GOLD BOTO</t>
  </si>
  <si>
    <t>007768007</t>
  </si>
  <si>
    <t>AUTORITES KEDOUGOU</t>
  </si>
  <si>
    <t>APPUIS DIVERS ( PANIER RAMADAN)</t>
  </si>
  <si>
    <t>APPUIS DIVERS (PANIER RAMADAN)</t>
  </si>
  <si>
    <t>CAMP MILITAIRE</t>
  </si>
  <si>
    <t>TAMBACOUNDA</t>
  </si>
  <si>
    <t>APPUIS DIVERS (FETE PATRONALE DU 4EME BATAILLON D'INFANTERIE)</t>
  </si>
  <si>
    <t>CASE DE SANTE BOTO SANTO</t>
  </si>
  <si>
    <t>VILLAGE BOTO SANTO</t>
  </si>
  <si>
    <t>CDJ SARAYA</t>
  </si>
  <si>
    <t>APPUIS DIVERS (REBOISEMENT)</t>
  </si>
  <si>
    <t>AGRICULTURE</t>
  </si>
  <si>
    <t>DEPARTEMENT SARAYA</t>
  </si>
  <si>
    <t>ECOLE ELEMENTAIRE</t>
  </si>
  <si>
    <t>VILLAGE GUEMEDJI</t>
  </si>
  <si>
    <t>ECOLES ELEMENTAIRES</t>
  </si>
  <si>
    <t>ECOLES ELEMENTAIRES COMMUNE MEDINA BAFFE</t>
  </si>
  <si>
    <t>FAMILLES VILLAGE BOTO SANTO</t>
  </si>
  <si>
    <t>FAMILLES VILLAGE KOULIMINDE</t>
  </si>
  <si>
    <t>APPUIS DIVERS (NOURRITURE)</t>
  </si>
  <si>
    <t>VILLAGE KOULIMINDE</t>
  </si>
  <si>
    <t>ELEVAGE</t>
  </si>
  <si>
    <t>APPUIS DIVERS (FETE NATIONALE)</t>
  </si>
  <si>
    <t>APPUIS DIVERS (REFECTION GOUVERNANCE)</t>
  </si>
  <si>
    <t>MINISTERE DES MINES ET DE LA GEOLOGIE</t>
  </si>
  <si>
    <t>DAKAR</t>
  </si>
  <si>
    <t>APPUIS DIVERS (08 MARS)</t>
  </si>
  <si>
    <t>POSTE POLICE VILLAGE GUEMEDJI</t>
  </si>
  <si>
    <t>APPUIS DIVERS (CONSTRUCTION SALLE DE REPOS)</t>
  </si>
  <si>
    <t>PREFECTURE SARAYA</t>
  </si>
  <si>
    <t>SOUS PREFECTURE BEMBOU</t>
  </si>
  <si>
    <t>APPUIS DIVERS</t>
  </si>
  <si>
    <t>APPUIS DIVERS (CONSTRUCTION RADIER)</t>
  </si>
  <si>
    <t>VILLAGE BOUKHOUTOUNG</t>
  </si>
  <si>
    <t>KOULIMINDE</t>
  </si>
  <si>
    <t>RELOCALISATION VILLAGE</t>
  </si>
  <si>
    <t>VILLAGE MISSIRAH</t>
  </si>
  <si>
    <t>VILLAGE NAFADJI</t>
  </si>
  <si>
    <t>VILLAGE SAROUDIA</t>
  </si>
  <si>
    <t>VILLAGE TOUBACOUTA</t>
  </si>
  <si>
    <t>VILLAGEOIS COMMUNE MEDINA BAFFE</t>
  </si>
  <si>
    <t>IMPACTES DE LA ROUTE</t>
  </si>
  <si>
    <t>VILLAGES COMMUNE MEDINA BAFFE</t>
  </si>
  <si>
    <t>VILLAGES DEPARTEMENT SARAYA</t>
  </si>
  <si>
    <t>APPUIS DIVERS (ELECTRICITE)</t>
  </si>
  <si>
    <t>PMC</t>
  </si>
  <si>
    <t>AQUISITION PARCELLE POUR LES ETUDIANTS RESSORTISSANTS DE KEDOUGOU</t>
  </si>
  <si>
    <t>Région Kédougou</t>
  </si>
  <si>
    <t>Infrastructure</t>
  </si>
  <si>
    <t>CONSTRUCTION RADIO COMMUNAUTAIRE DE TOMOBORONKOTO</t>
  </si>
  <si>
    <t>Commune Tomboronkoto</t>
  </si>
  <si>
    <t>Jeunesse/culture et sport</t>
  </si>
  <si>
    <t>REHABILITATION DU COLLEGE ANNEXE B. DANSOKHO KDG</t>
  </si>
  <si>
    <t>CONSTRUCTION FOYER DE JEUNES A TOMBORONKOTO</t>
  </si>
  <si>
    <t>TRAVAUX DE CONSTRUCTION PISTE BAGNOMBA-TIKANKALY</t>
  </si>
  <si>
    <t>CONSTRUCTION D'UN NOUVEAU COLLEGE</t>
  </si>
  <si>
    <t>CONTRUCTION DU MUR DE CLOTURE DE L'ECOLE DE KANOUM</t>
  </si>
  <si>
    <t>LAND TRANSFER FESS FOR PUPILS AND STUDENTS FROM</t>
  </si>
  <si>
    <t>ETUDE DE FAISABILITE AIR DE STATIONNEMENT</t>
  </si>
  <si>
    <t>RENTAL A BUILDING FOR STUDENT FROM KEDOUGOU IN DAK</t>
  </si>
  <si>
    <t>NEW COLLEGE CONSTRUCTION</t>
  </si>
  <si>
    <t>REHABILITATION BLOC SCIENTIFIQUE LYCEE MACIRE BA</t>
  </si>
  <si>
    <t>Entreprenariat</t>
  </si>
  <si>
    <t>CONSTRUCTION MUR CLOTURE MAROUGOUKOTO</t>
  </si>
  <si>
    <t>GESTION DES ORDURES MÉNAGÈRES DE TOMBO COMMUNE</t>
  </si>
  <si>
    <t>Gouvernance</t>
  </si>
  <si>
    <t>FOND APPUI  FORMATION JEUNES TOMBORONKOTO</t>
  </si>
  <si>
    <t>FRAIS DE GESTION IMMEUBLE DE AEEK A DAKAR</t>
  </si>
  <si>
    <t>AEERK</t>
  </si>
  <si>
    <t>CONSTRUCTION CENTRE DES JEUNES DE DINDEFELO</t>
  </si>
  <si>
    <t>LOCATION IMMEUBLE DES ETUDIANTS</t>
  </si>
  <si>
    <t>DOTATION MEDICAMENTS 3 POSTES DE SANTE</t>
  </si>
  <si>
    <t>CONTRUCTION DU MUR DE CLOTURE DE L'ECOLE DE LAME</t>
  </si>
  <si>
    <t>FONDS PROMOTION ACTIVITES JEUNESSE COMMUNE TOMBORO</t>
  </si>
  <si>
    <t>SOLAIRE POUR LE CHATEAU D EAU POSTE SANTE BANTACO</t>
  </si>
  <si>
    <t>FONDS D APPUI SOCIAL DEPARTEMENT KEDOUGOU</t>
  </si>
  <si>
    <t>CONSTRUCTION D'UN CHÂTEAU D'EAU A TAMBANOUMOUYA</t>
  </si>
  <si>
    <t>CONSTRUCTION LOCAL POUR LES PRODUSCTRICES DE SAVON</t>
  </si>
  <si>
    <t>FONDS COMMUNIATION COMMUNE TOMBORONKOTO</t>
  </si>
  <si>
    <t>FORMATION DES JEUNES DE TOMBO</t>
  </si>
  <si>
    <t>AVENANT DEUX BLOC SANITAIRE ECOLE PRIMAIRE BANTACO</t>
  </si>
  <si>
    <t>AMENAGEMENT AIRES DE JEUX CASE TOUT PETIT TOMBO-MA</t>
  </si>
  <si>
    <t>FONDS D APPUI AUX PROJETS ET ACTIVITE D AUTO EMPLO</t>
  </si>
  <si>
    <t>FONDS POUR LA COMMUNICATION ET SUIVI DES TRAVAUX</t>
  </si>
  <si>
    <t>CONSTRUCTION D'UNE MATERNITE ET POSTE DE SANTE A B</t>
  </si>
  <si>
    <t>CONSTRUCTION MUR DE CLOTURE POSTE DE SANTE DE BANT</t>
  </si>
  <si>
    <t>FONDS D APPUI FONCTIONNEMENT AMBULANCE</t>
  </si>
  <si>
    <t>CONSTRUCTION SALLES DE CLASSE ECOLE DE MAKO</t>
  </si>
  <si>
    <t>FONDS D'APPUI SOCIAL</t>
  </si>
  <si>
    <t>Social</t>
  </si>
  <si>
    <t>CONSTRUCTION D'UN ABRI POUR LES VISITEURS DE L'HOPITAL</t>
  </si>
  <si>
    <t>INSTALLATION POMPE SOLAIRE FONGOLIM</t>
  </si>
  <si>
    <t>APPUI ACTIVITES CULTURELLES ET DE LOISIRS</t>
  </si>
  <si>
    <t>POSE MUR DE GRILLAGE A LAMINIA</t>
  </si>
  <si>
    <t>PROMOTION ACTIVITE DE LA JEUNESSE ET CULTURE</t>
  </si>
  <si>
    <t>CONSEILS ET COMMUNICATION</t>
  </si>
  <si>
    <t>ACCESSOIRES POUR LES PERIMETRES MARAICHERS</t>
  </si>
  <si>
    <t>APPUI TECHNIQUE COMMUNE DE TOMBO</t>
  </si>
  <si>
    <t>APPUI POUR LES CAS SOCIAUX</t>
  </si>
  <si>
    <t>COMMUNICATION ET SUIVI DES PROJETS</t>
  </si>
  <si>
    <t>CLOTURE GRILLAGE CLINIQUE TAMBANOUMOUA</t>
  </si>
  <si>
    <t>DOMINIQUE ALY THIAW/IMPENSES PANNEAU 22/DEGATS CULTURES/CH47104444</t>
  </si>
  <si>
    <t>SAMBA FAYE/IMPENSES PANNEAU 22/DEGATS CULTURES/CH4710443</t>
  </si>
  <si>
    <t>NGAGNE FAYE/IMPENSES PANNEAU 22/DEGATS CULTURES/CH4710442</t>
  </si>
  <si>
    <t>IDRISSA TINE /IMPENSES PANNEAU 22/DEGATS CULTURES/CH4710441</t>
  </si>
  <si>
    <t>IMPENSES PASCAL BENJAMIN MBAYE THIAW P/C KISITO THIAW/CH688370</t>
  </si>
  <si>
    <t>IMPENSES LENTILLES NORD PANNEAU 29/DAOUDA DIOP/CH4710572</t>
  </si>
  <si>
    <t>IMPENSES LENTILLES NORD PANNEAU 29/AMADOU THIAW/CH4710571</t>
  </si>
  <si>
    <t>IMPENSES LENTILLES NORD PANNEAU 29/EMMANUEL THIAO/CH4710570</t>
  </si>
  <si>
    <t>IMPENSES LENTILLES NORD PANNEAU 29/ALY TENE/CH4710569</t>
  </si>
  <si>
    <t>IMPENSES LENTILLES NORD PANNEAU 29 /ALBERT SAMBA FAYE/CH4710573</t>
  </si>
  <si>
    <t>IMPENSES LENTILLES NORD PANNEAU 29/GABRIEL ALY TINE/CH4710568</t>
  </si>
  <si>
    <t>IMPENSES LENTILLES NORD PANNEAU 29/MARIE T.N. THIAW/CH4710567</t>
  </si>
  <si>
    <t>IMPENSES LENTILLES NORD PANNEAU 29/ALBERT THIAW/CH4710566</t>
  </si>
  <si>
    <t>IMPENSES LENTILLES NORD PANNEAU 29/NGAGNE FAYE/CH4710565</t>
  </si>
  <si>
    <t>IMPENSES LENTILLES NORD PANNEAU 29/JUSTIN LAMINE FAYE/CH4710564</t>
  </si>
  <si>
    <t>IMPENSES LENTILLES NORD PANNEAU 29/PIERRE THIAW/CH4710563</t>
  </si>
  <si>
    <t>IMPENSES LENTILLES NORD PANNEAU 29/ABLAYE DIONE/CH4710562</t>
  </si>
  <si>
    <t>IMPENSES LENTILLES NORD PANNEAU 29/KHALY TINE/CH4710561</t>
  </si>
  <si>
    <t>IMPENSES LENTILLES NORD PANNEAU 29/CHEIKH DIONE/CH4710560</t>
  </si>
  <si>
    <t>IMPENSES LENTILLES NORD PANNEAU 29/SENY FAYE/CH4710559</t>
  </si>
  <si>
    <t>IMPENSES LENTILLES NORD PANNEAU 29/KHADIM N. THIAW/CH4710558</t>
  </si>
  <si>
    <t>INDEMNITE CHEF VILLAGE MARS 23/IDENTIFICAT° ET EVALUT° CHAMPS EXPLOIT</t>
  </si>
  <si>
    <t>OUSMANE SARR/IMPENSES/ATTRIBUTION 09 H/CH688687</t>
  </si>
  <si>
    <t>ABLAYE DIONE RGT IMPENSES ZONES HORS PAN LENTILL ENORD -VILLAGE KHAKH</t>
  </si>
  <si>
    <t>KHALY TINE RGT IMPENSES ZONES HORS PAN LENTILL ENORD -VILLAGE KHAKH</t>
  </si>
  <si>
    <t>CHEIKH DIONE RGT IMPENSES ZONES HORS PAN LENTILL ENORD -VILLAGE KHAKH</t>
  </si>
  <si>
    <t>SENY FAYE RGT IMPENSES ZONES HORS PAN LENTILL ENORD -VILLAGE TEROCK</t>
  </si>
  <si>
    <t>KHADIM ND THIAW RGT IMPENSES ZONES HORS PAN LENTNORD -VILLAGE TEROCK</t>
  </si>
  <si>
    <t>SIMON D DIONE RGT IMPENSES ZONES HORS PAN LENTNORD -VILLAGE DOUGNANE</t>
  </si>
  <si>
    <t>ABDOU LAT FALL RGT IMPENSES ZONES HORS PAN LENTNORD -VILLAGE DOUGNANE</t>
  </si>
  <si>
    <t>PIERRE THIAW RGT IMPENSES ZONES HORS PAN LENTILL ENORD -VILLAGEYENDAN</t>
  </si>
  <si>
    <t>LAMANE TINE RGT IMPENSES ZONES HORS PAN LENTNORD -VILLAGE DOUGNANE</t>
  </si>
  <si>
    <t>ANNA MBA FAYE RGT IMPENSES ZONES HORS PAN LENTNORD -VILLAGE DOUGNANE</t>
  </si>
  <si>
    <t>FALLOU MBAYE RGT IMPENSES ZONES HORS PAN LENTNORD -VILLAGE DOUGNANE</t>
  </si>
  <si>
    <t>THIAMBA MBAYE RGT IMPENSES ZONES HORS PAN LENTNORD -VILLAGE DOUGNANE</t>
  </si>
  <si>
    <t>MANSOUR SYMBAYE RGT IMPENSES ZONES HORS PAN LENTNORD -VILLAGE DOUGNAN</t>
  </si>
  <si>
    <t>BACOR MBAYE RGT IMPENSES ZONES HORS PAN LENTNORD -VILLAGE DOUGNANE</t>
  </si>
  <si>
    <t>VRT UNITE DE GESTION DE L'APPUI INSTITUTIONNEL/2023-20.000$/DMG</t>
  </si>
  <si>
    <t>DMG</t>
  </si>
  <si>
    <t>UGAI</t>
  </si>
  <si>
    <t>Total Général</t>
  </si>
  <si>
    <t>Paiements en Nature: Coût du Projet eNcouru durant l'année</t>
  </si>
  <si>
    <t>TOTAL E&amp;P</t>
  </si>
  <si>
    <t>Fondation TotalEnergies SN</t>
  </si>
  <si>
    <t>Fondation</t>
  </si>
  <si>
    <t>Dakar</t>
  </si>
  <si>
    <t>UDO</t>
  </si>
  <si>
    <t>PETROSEN</t>
  </si>
  <si>
    <t>Annexe 7 – Paiements sociaux volontaires</t>
  </si>
  <si>
    <t xml:space="preserve">Secteur Minier </t>
  </si>
  <si>
    <t>Informations Bénéficiaire</t>
  </si>
  <si>
    <t>Paiements en  Numéraire</t>
  </si>
  <si>
    <t>Fonction</t>
  </si>
  <si>
    <t>Paiements en Numéraire:Date (jj/mm/aaaa)</t>
  </si>
  <si>
    <t>Paiements en Nature: Description
(Nature, Objectifs, Réalisations)</t>
  </si>
  <si>
    <t>Paiements en Nature:
Coût du projet encouru
durant l'année</t>
  </si>
  <si>
    <t>Domaine d'intervention</t>
  </si>
  <si>
    <t>Ref Juridique/Contractuelle</t>
  </si>
  <si>
    <t>Données ventillées par genre
sur les bénéficiaires</t>
  </si>
  <si>
    <t xml:space="preserve"> Vol 1 22 Mars  23 BIDAR Catherine</t>
  </si>
  <si>
    <t>Donation</t>
  </si>
  <si>
    <t xml:space="preserve"> Vol 1 22 Mars  23 GAYE Ramatoulaye             </t>
  </si>
  <si>
    <t>Appui Logistics</t>
  </si>
  <si>
    <t>Divers SH00009900</t>
  </si>
  <si>
    <t>Casquette de couleur Rose</t>
  </si>
  <si>
    <t>Tee-shirt de couleur Rose</t>
  </si>
  <si>
    <t>Casquette de couleur blanche</t>
  </si>
  <si>
    <t>Tee-shirt de couleur blanche</t>
  </si>
  <si>
    <t>Banderoles EDV Femmes Octobre rose – 3m x 1</t>
  </si>
  <si>
    <t>Picture frame (English version)</t>
  </si>
  <si>
    <t>Picture frame (French version)</t>
  </si>
  <si>
    <t>Flyers</t>
  </si>
  <si>
    <t>APPUI _ TICKET ESSENCE ELTON</t>
  </si>
  <si>
    <t>Appui journ‚e de la Femme DMG</t>
  </si>
  <si>
    <t xml:space="preserve">APPUI _ Salon AGRICULTURE </t>
  </si>
  <si>
    <t>APPUI _ GOUVERNEUR 4 AVRIL</t>
  </si>
  <si>
    <t>Appui _ MMG FETE DU TRAVAIL</t>
  </si>
  <si>
    <t>APPUI _ JOURNEE ENVIRONNEMENT</t>
  </si>
  <si>
    <t>Appui Tabaski</t>
  </si>
  <si>
    <t>APPUI SOCIAL ECOLE WALO</t>
  </si>
  <si>
    <t>APPUI SOCIAL TRANSPORT PREFET</t>
  </si>
  <si>
    <t>APPUI MAC DIOURBEL CHQNø 0290435</t>
  </si>
  <si>
    <t>APPUI SOCIAL</t>
  </si>
  <si>
    <t>APPUI ZARA ANNUEL MBACKE DIOP</t>
  </si>
  <si>
    <t>APPUI COMMUNE/RECEVEUR PERCEPTEUR BAMBEY 5939611</t>
  </si>
  <si>
    <t>APPUI COMMUNE / RECEVEUR PERCEPTEUR BAMBEY 5939612</t>
  </si>
  <si>
    <t>APPUI COMMUNE/RECEVEUR PERCEPTEUR BAMBEY 5939613</t>
  </si>
  <si>
    <t>APPUI MINISTERE DE LA JEUNESSE/ DAME SECK 5939614</t>
  </si>
  <si>
    <t>APPUI INSTITUTIONNEL</t>
  </si>
  <si>
    <t>APPUI MEDICAL AGENT LOCSET</t>
  </si>
  <si>
    <t>APPUI SOCIAL SAMBA AWA DIAGNE</t>
  </si>
  <si>
    <t>APPUI SOCIAL CHEF DE VILLAGE DAROU KANE</t>
  </si>
  <si>
    <t>APPUI SOCIAL GAMOU MARABOU DIAHAL</t>
  </si>
  <si>
    <t>APPUI SOCIAL GAMOU MAIRE DE GAWANE</t>
  </si>
  <si>
    <t>APPUI  / CARTE CARBURANT OLA ENERGY CHNø5939470</t>
  </si>
  <si>
    <t>APPUI CONSEIL DEPARTEMENT BAMBEY</t>
  </si>
  <si>
    <t>APPUI SOCIAL / MOUSTAPHA DIALLO</t>
  </si>
  <si>
    <t>APPUI SOCIAL NDIAGNE SITOR</t>
  </si>
  <si>
    <t>MOULINS A MIL / COMMUNESGAWANE CHNø5939517</t>
  </si>
  <si>
    <t>REMBOURSEMENT MR BA/ COMPLEMENT TRANSPORT AUDIENCE PUBLIQUE</t>
  </si>
  <si>
    <t>APPUI SOCIAL JOURNEE CONSULTATION KEUR SAMBA KANE</t>
  </si>
  <si>
    <t>APPUI MINISTERE / SETRAF CHQNø6488086</t>
  </si>
  <si>
    <t>APPUI MINISTERE / IRIS CHQNø6488087</t>
  </si>
  <si>
    <t>RECEVEUR PERCEPTEUR 6488089</t>
  </si>
  <si>
    <t>RECEVEUR PERCEPTEUR 6488090</t>
  </si>
  <si>
    <t>RECEVEUR PERCEPTEUR 6488091</t>
  </si>
  <si>
    <t>APPUI MINISTERE / GESTION APPUI INSTITUTIONNEL CHQNø6488088</t>
  </si>
  <si>
    <t>RETRAIT CHEQUE / DEPART SOUS-PREFET CHNø8268060 AU 25/04/2023</t>
  </si>
  <si>
    <t>APPUI SOCIAL MARABOU DAROU KANE</t>
  </si>
  <si>
    <t>IRIS CHQNø6488124</t>
  </si>
  <si>
    <t>SETRAF CHQNø6488125</t>
  </si>
  <si>
    <t>REMBOURSEMENT DEPENSES VISTES( PEAGE,CARBURANT ECT )</t>
  </si>
  <si>
    <t xml:space="preserve">Autres appuis </t>
  </si>
  <si>
    <t>000325995</t>
  </si>
  <si>
    <t>COMMUNE DIASS</t>
  </si>
  <si>
    <t>TOUS</t>
  </si>
  <si>
    <t>COMMUNE YENNE</t>
  </si>
  <si>
    <t>DIRECTION EAUX ET FORÊTS THIES</t>
  </si>
  <si>
    <t>PERSONNEL CDS</t>
  </si>
  <si>
    <t>BLOC SALLE DE CLASSE</t>
  </si>
  <si>
    <t>TIVAOUNE</t>
  </si>
  <si>
    <t>BOUTEILLE EAU</t>
  </si>
  <si>
    <t>TOUBA</t>
  </si>
  <si>
    <t>CADEAUX - ENFANTS</t>
  </si>
  <si>
    <t>DENREES - RAMADAN</t>
  </si>
  <si>
    <t>FOURNITURE SCOLAIRE</t>
  </si>
  <si>
    <t>MATERIEL</t>
  </si>
  <si>
    <t>MATERIEL INFORMATIQUE</t>
  </si>
  <si>
    <t>MATERIEL ROULANT</t>
  </si>
  <si>
    <t>MATERIEL SPORTIF</t>
  </si>
  <si>
    <t>POPENGUINE</t>
  </si>
  <si>
    <t>MEDICAMENTS</t>
  </si>
  <si>
    <t>MOBILIER ECOLE (TABLE, CHAISE …)</t>
  </si>
  <si>
    <t>PELERINAGE MECQUE</t>
  </si>
  <si>
    <t>PELERINAGE ROME</t>
  </si>
  <si>
    <t>POSTE SANTE</t>
  </si>
  <si>
    <t>TISSU</t>
  </si>
  <si>
    <t>000196784</t>
  </si>
  <si>
    <t>Commune de Ngoundiane</t>
  </si>
  <si>
    <t>Populations</t>
  </si>
  <si>
    <t>Thiès</t>
  </si>
  <si>
    <t>Construction Poste de Santé</t>
  </si>
  <si>
    <t>Commune de KEUR MOUSSA (Construction CEM KHININE)</t>
  </si>
  <si>
    <t>Commune de KEUR MOUSSA (Construction Forage à Mont Rolland)</t>
  </si>
  <si>
    <t>Bourse scolaire aux meilleurs élèves des Commune de POUT; DIASS; KEUR MOUSSA</t>
  </si>
  <si>
    <t>DON</t>
  </si>
  <si>
    <t>Appuis Divers</t>
  </si>
  <si>
    <t>002849258</t>
  </si>
  <si>
    <t>GCO5/SOUTIEN ODECAV</t>
  </si>
  <si>
    <t>President ODCAV</t>
  </si>
  <si>
    <t>thies</t>
  </si>
  <si>
    <t>Sport</t>
  </si>
  <si>
    <t>WAD1/</t>
  </si>
  <si>
    <t>Commune Mekhe</t>
  </si>
  <si>
    <t>education</t>
  </si>
  <si>
    <t>GIE36/Advance Payment</t>
  </si>
  <si>
    <t>Commune de Kab Gaye</t>
  </si>
  <si>
    <t>Appuis divers</t>
  </si>
  <si>
    <t>GCO5/APPUI FESNAC</t>
  </si>
  <si>
    <t>President comité réginal</t>
  </si>
  <si>
    <t>LAR1/Advance Payment</t>
  </si>
  <si>
    <t>UNIVERSITE THIES</t>
  </si>
  <si>
    <t>GCO5/SOUTIEN COUPE</t>
  </si>
  <si>
    <t>GIE48/</t>
  </si>
  <si>
    <t>mairie de darou</t>
  </si>
  <si>
    <t>GIE31/</t>
  </si>
  <si>
    <t>Prefecture de Tivaouane</t>
  </si>
  <si>
    <t>Gare routiere de Diogo</t>
  </si>
  <si>
    <t>GCO5/SOUTIEN 090223</t>
  </si>
  <si>
    <t>GCO5/APPUI 06022023</t>
  </si>
  <si>
    <t>TOU9/Advance Payment</t>
  </si>
  <si>
    <t>Femmes de Lompoul sur mer</t>
  </si>
  <si>
    <t>ABYBA SERVICES</t>
  </si>
  <si>
    <t>Prefecture tivaouane</t>
  </si>
  <si>
    <t>GCO5/APPUI AEED 0223</t>
  </si>
  <si>
    <t>tudiants de diogo</t>
  </si>
  <si>
    <t>DHL2M LOC/DIRM045461</t>
  </si>
  <si>
    <t>DAOUR(achat pneus vehicule de fonction)</t>
  </si>
  <si>
    <t>GCO5/FIN GIE JAPPO J</t>
  </si>
  <si>
    <t>Femmes de la commune de Darou Khoudoss</t>
  </si>
  <si>
    <t>GCO5/MICROFINAN 2023</t>
  </si>
  <si>
    <t>agriculture</t>
  </si>
  <si>
    <t>GCO5/FIN GIE TOUBA</t>
  </si>
  <si>
    <t>microfinance</t>
  </si>
  <si>
    <t>GCO5/FIN GIE DAROU</t>
  </si>
  <si>
    <t>GCO5/FIN GIE FASS BO</t>
  </si>
  <si>
    <t>GCO5/FIN GIE NDILLIN</t>
  </si>
  <si>
    <t>GCO5/FIN GIE KEUR KH</t>
  </si>
  <si>
    <t>GCO5/FIN GIE DIEULCO</t>
  </si>
  <si>
    <t>GCO5/FIN GIE NDANGHA</t>
  </si>
  <si>
    <t>GCO5/FIN GIE</t>
  </si>
  <si>
    <t>GCO5/FIN GIE JAPPO</t>
  </si>
  <si>
    <t>GCO5/FIN GIE DIAMBAR</t>
  </si>
  <si>
    <t>SAL/</t>
  </si>
  <si>
    <t>délégué marché de Diogo</t>
  </si>
  <si>
    <t>GCO5/APPUI 2022</t>
  </si>
  <si>
    <t>GCO5/APPUI KEBEMER</t>
  </si>
  <si>
    <t>Prefecture</t>
  </si>
  <si>
    <t>louga</t>
  </si>
  <si>
    <t>GCO5/APPUI NDANDE</t>
  </si>
  <si>
    <t>Sous prefecture</t>
  </si>
  <si>
    <t>GCO5/APPUI LOUGA</t>
  </si>
  <si>
    <t xml:space="preserve">Gouvernance </t>
  </si>
  <si>
    <t>GEC1/Advance Payment</t>
  </si>
  <si>
    <t>GCO5/INDEPEND MEOUAN</t>
  </si>
  <si>
    <t>GCO5/CONFEC TEESHIRT</t>
  </si>
  <si>
    <t>fete de l'independance</t>
  </si>
  <si>
    <t>GCO5/INDEPEN TIVAOUN</t>
  </si>
  <si>
    <t>Université de thies</t>
  </si>
  <si>
    <t>Mairie de kabe gaye</t>
  </si>
  <si>
    <t>GIE36/REGUL CASH</t>
  </si>
  <si>
    <t>GCO5/T-SHIRT DIOGO</t>
  </si>
  <si>
    <t>regroupement des chauffeurs</t>
  </si>
  <si>
    <t>GCO5/CHAMP ST LOUIS</t>
  </si>
  <si>
    <t>Saint louis</t>
  </si>
  <si>
    <t>GCO5/FRAIS CEREMONIE</t>
  </si>
  <si>
    <t>GCO5/PROJET ETUDE</t>
  </si>
  <si>
    <t>GCO5/SOUT GAM DA FAL</t>
  </si>
  <si>
    <t>Vilage de darou fall</t>
  </si>
  <si>
    <t>GCO5/SOUT DEFILE</t>
  </si>
  <si>
    <t>l'aasociation des tailleurs de Diogo</t>
  </si>
  <si>
    <t>ETS8/</t>
  </si>
  <si>
    <t>Vilage recasement Thikhmate</t>
  </si>
  <si>
    <t>GIE36/</t>
  </si>
  <si>
    <t>GCO5/SOUTIEN IEF TIV</t>
  </si>
  <si>
    <t>IEF de Tivaouane</t>
  </si>
  <si>
    <t>GCO5/FRAIS BAC ET BF</t>
  </si>
  <si>
    <t>Soutien examen aux ecoles</t>
  </si>
  <si>
    <t>GCO5/ICP DIOGO 07/23</t>
  </si>
  <si>
    <t>Appui tabaski</t>
  </si>
  <si>
    <t>santé</t>
  </si>
  <si>
    <t>GCO5/TABASKI AUTORIT</t>
  </si>
  <si>
    <t>autorités</t>
  </si>
  <si>
    <t>Immams</t>
  </si>
  <si>
    <t>GCO5/TABASKI IMAMS</t>
  </si>
  <si>
    <t>GCO5/SOUTIEN FOOT</t>
  </si>
  <si>
    <t>Ecole de Foot ball de la commune de Mboro</t>
  </si>
  <si>
    <t>chefs de village</t>
  </si>
  <si>
    <t>Autorités  de Louga</t>
  </si>
  <si>
    <t>Chauffeurs des services du département de kébémer</t>
  </si>
  <si>
    <t>GCO5/TABASKI CHAUFEU</t>
  </si>
  <si>
    <t>GCO5/TABASKI CHAUFFE</t>
  </si>
  <si>
    <t>API/DIRM063450</t>
  </si>
  <si>
    <t>directeur</t>
  </si>
  <si>
    <t>GCO5/GIE FEMME LOMPO</t>
  </si>
  <si>
    <t>Femmes de Lompoul ur mer</t>
  </si>
  <si>
    <t>Capacitation des femmes</t>
  </si>
  <si>
    <t>GCO5/SOUTIEN GAMOU</t>
  </si>
  <si>
    <t>gamou Dankh nar</t>
  </si>
  <si>
    <t>Religieux</t>
  </si>
  <si>
    <t>GCO5/APPUI MOR SEYE</t>
  </si>
  <si>
    <t>Femmmes de Lompoul sur mer</t>
  </si>
  <si>
    <t>GEC1/</t>
  </si>
  <si>
    <t>GCO5/APPUI RAVITAILM</t>
  </si>
  <si>
    <t>site de recasement</t>
  </si>
  <si>
    <t>LAR1/</t>
  </si>
  <si>
    <t>Université de Thies</t>
  </si>
  <si>
    <t>GCO5/GAMOU 2023</t>
  </si>
  <si>
    <t>khalif général</t>
  </si>
  <si>
    <t>TOT1/</t>
  </si>
  <si>
    <t>BUR2/</t>
  </si>
  <si>
    <t>GCO5/APPUI101123</t>
  </si>
  <si>
    <t>Gouberneur</t>
  </si>
  <si>
    <t>GCO5/SOUTIEN</t>
  </si>
  <si>
    <t>GCO5/APPUI NOV 2023</t>
  </si>
  <si>
    <t>ICP de Foth</t>
  </si>
  <si>
    <t>GCO5/FINALE DEC 2023</t>
  </si>
  <si>
    <t>ODECAV DE TIVAOUANE</t>
  </si>
  <si>
    <t>GCO5/APPUI NAVETANE</t>
  </si>
  <si>
    <t>Zone de Navetane de Darou Khoudoss</t>
  </si>
  <si>
    <t>GCO5/ACHAT MEDICAMEN</t>
  </si>
  <si>
    <t>Poste de santé de Foth</t>
  </si>
  <si>
    <t>DAR4/</t>
  </si>
  <si>
    <t xml:space="preserve">Ecoles sites de recasement </t>
  </si>
  <si>
    <t>MED6/</t>
  </si>
  <si>
    <t>GCO5/SUBVENTION</t>
  </si>
  <si>
    <t>Zone de navétane de de la commune de Taiba Ndiaye</t>
  </si>
  <si>
    <t>API/DIRM065390</t>
  </si>
  <si>
    <t>GCO5/GAMOU DEC 2023</t>
  </si>
  <si>
    <t>Zone de navétane  de la commune de Mboro</t>
  </si>
  <si>
    <t>GCO5/APPUI LOGISTIQ</t>
  </si>
  <si>
    <t>GCO5/DIALOGUES</t>
  </si>
  <si>
    <t>Association Dialogue en humanité de Thies</t>
  </si>
  <si>
    <t>SOUTIEN ORGANISATION FINALE MERINA DAKHA</t>
  </si>
  <si>
    <t>president</t>
  </si>
  <si>
    <t>SOUTIEN ORGANISATION SOIREE SENEGALAISE</t>
  </si>
  <si>
    <t>Femmes de Mboro</t>
  </si>
  <si>
    <t>Culture</t>
  </si>
  <si>
    <t>SOUTIEN ORGANISATION JOURNEE SENSIBILISA</t>
  </si>
  <si>
    <t>presidente</t>
  </si>
  <si>
    <t>SOUTIEN ORGANISATION JOURNEE ANNUEL KHAY</t>
  </si>
  <si>
    <t>SOUTIEN ORGANISATION GAMOU  ANNUEL SANTH</t>
  </si>
  <si>
    <t>Village de Santhie dans la commune de Darou Khoudoss</t>
  </si>
  <si>
    <t>CONTRIBUTION APPUI MEDICAL CHEF DE VILLA</t>
  </si>
  <si>
    <t>Chef de village de Foth</t>
  </si>
  <si>
    <t>PRESENTATION DE CONDOLEANCES FAMILLE OUS</t>
  </si>
  <si>
    <t>frere</t>
  </si>
  <si>
    <t>SOUTIEN ORGANISATION COUPE DU MAIRE DE D</t>
  </si>
  <si>
    <t>maire de diokoul</t>
  </si>
  <si>
    <t>SOUTIEN ORGANISATION OUVERTURE MOSQUEE G</t>
  </si>
  <si>
    <t>imam</t>
  </si>
  <si>
    <t>SOUTIEN ORGANISATION CAMP DE FORMATION A</t>
  </si>
  <si>
    <t>president croix rouge</t>
  </si>
  <si>
    <t>REGULARISATION REMISE FOURNITURES SCOLAI</t>
  </si>
  <si>
    <t>Ecole de Diogo</t>
  </si>
  <si>
    <t>REGULARISATION FACT INVITATION REMISE FO</t>
  </si>
  <si>
    <t>SOUTIEN ORG GAMOU MBORO</t>
  </si>
  <si>
    <t>Imma de Mboro</t>
  </si>
  <si>
    <t>SOUTIEN ORG GAMOU MEOUANE</t>
  </si>
  <si>
    <t>Dahira de Meouane</t>
  </si>
  <si>
    <t>PRESENTATION CONDOLEANCES A SALIF KA SUI</t>
  </si>
  <si>
    <t>Salif frere du défunt</t>
  </si>
  <si>
    <t>SOUTIEN ORG 6EME EDITION DES JOURNEES DU</t>
  </si>
  <si>
    <t>SUBVENTION MENSUELLE COMMISSION PRESELEC</t>
  </si>
  <si>
    <t>Rapporteur de la commission</t>
  </si>
  <si>
    <t>Emploi Local</t>
  </si>
  <si>
    <t>APPUI AU VILLAGE DE DAROU BEYE POUR BON</t>
  </si>
  <si>
    <t>President Asufor de darou beye</t>
  </si>
  <si>
    <t>SOUTIEN ORGANISATION POT DE DEPART A LA</t>
  </si>
  <si>
    <t>SOUTIEN ORG FINALE TOURNOI DE FOOTBALL D</t>
  </si>
  <si>
    <t>PRESENTATION CONDOLEANCES A DAME GAYE MA</t>
  </si>
  <si>
    <t>maire de Kabe Gaye</t>
  </si>
  <si>
    <t>SOUTIEN ANNUEL DE KAOSSARRA WADE DU 21 0</t>
  </si>
  <si>
    <t xml:space="preserve">Chef de village </t>
  </si>
  <si>
    <t>SOUTIEN ANNUEL DE DAROU SOW DU 21 01 202</t>
  </si>
  <si>
    <t>che de village</t>
  </si>
  <si>
    <t>SOUTIEN FORUM DE RENCONTRE DES ACTEURS C</t>
  </si>
  <si>
    <t xml:space="preserve">president </t>
  </si>
  <si>
    <t>SOUTIEN ORG ZIARRA ANNUEL VILLAGE DE SIN</t>
  </si>
  <si>
    <t>Marabout</t>
  </si>
  <si>
    <t>01/Feb/23</t>
  </si>
  <si>
    <t>SOUTIEN ORG MAGAL SANTE SERIGNE TOUBA</t>
  </si>
  <si>
    <t>SOUTIEN ORG GAMOU ANNUEL DAROU ALPHA</t>
  </si>
  <si>
    <t>SOUTIEN ORG FOIRE PRODUITS ARTISANAUX ME</t>
  </si>
  <si>
    <t>Femmes de Mékhé</t>
  </si>
  <si>
    <t>02/Feb/23</t>
  </si>
  <si>
    <t>SOUTIEN ORG GAMOU ANNUEL DAHIRA TIVAOUAN</t>
  </si>
  <si>
    <t>Dahira Tivaouane</t>
  </si>
  <si>
    <t>SOUTIEN ORG FETE ECOLE SAINTE BERNABETTE</t>
  </si>
  <si>
    <t>Directrice</t>
  </si>
  <si>
    <t>09/Feb/23</t>
  </si>
  <si>
    <t>SOUTIEN ORG GAMOU ANNUEL TAWA BA</t>
  </si>
  <si>
    <t>chef de village</t>
  </si>
  <si>
    <t>SOUTIEN ORG GAMOU ANNUEL SEGN MOUSTAPHA</t>
  </si>
  <si>
    <t>SOUTIEN ORG JOURNEE CHEIKH AHMAD TIDIANE</t>
  </si>
  <si>
    <t>President du dahira</t>
  </si>
  <si>
    <t>APPUI VILLAGE  DAROU BEYE FONCTIONNEMENT</t>
  </si>
  <si>
    <t>14/Feb/23</t>
  </si>
  <si>
    <t>SUBVENTION MENSUELLE COMISSION PRESELECT</t>
  </si>
  <si>
    <t>SOUTIEN ORGANISATION ESSAI ZONALE CODES</t>
  </si>
  <si>
    <t>President de l'association des directeurs de la zone de diogo</t>
  </si>
  <si>
    <t>16/Feb/23</t>
  </si>
  <si>
    <t>APPUI ACHAT MATERIEL DE BUREAU TABLES CH</t>
  </si>
  <si>
    <t>Directeur de l'ecole de Pire 1</t>
  </si>
  <si>
    <t>PRESENTATION DE CONDOLEANCES DAOUDA SOW</t>
  </si>
  <si>
    <t>SOUTIEN ORGANISATION FETE PATRONALE MISS</t>
  </si>
  <si>
    <t>President</t>
  </si>
  <si>
    <t>SOUTIEN ORGANISATION GAMOU DIACK SAO DU</t>
  </si>
  <si>
    <t>marabout</t>
  </si>
  <si>
    <t>SOUTIEN ORGANISATION GAMOU ANNUEL SEGUEU</t>
  </si>
  <si>
    <t>SOUTIEN ORG VISITE KHALIF GENERAL THIENA</t>
  </si>
  <si>
    <t>23/Feb/23</t>
  </si>
  <si>
    <t>SOUTIEN ORG GAMOU ANNUEL VILLAGE NDAKHAR</t>
  </si>
  <si>
    <t>SOUTIEN ORG FOIR EXPOSITION ANIMAUX ORG</t>
  </si>
  <si>
    <t>SOUTIEN ORG JOURNEE PORTE OUVERTE CENTRE</t>
  </si>
  <si>
    <t>cooordonnateur</t>
  </si>
  <si>
    <t>SOUTIEN ORG GAMOU ANNUEL VILLAGE DE THYL</t>
  </si>
  <si>
    <t>CONTRIBUTION A LA CANTINE SCOLAIRE DE L'</t>
  </si>
  <si>
    <t>directeur ecole de Foth</t>
  </si>
  <si>
    <t>SOUTIEN A L'ORGANISATION DE LA JOURNEE D</t>
  </si>
  <si>
    <t>SOUTIEN A L'ORGANISATION DU GAMOU ANNUEL</t>
  </si>
  <si>
    <t>SOUTIEN A LA JOURNEE DU 08 MARS DE L'ASS</t>
  </si>
  <si>
    <t>Divers</t>
  </si>
  <si>
    <t>CONTRIBUTION LOCATION BACHES&amp;PODIUM</t>
  </si>
  <si>
    <t>CONTRIBUTION CONFECTION 30 LACOSTES JOUR</t>
  </si>
  <si>
    <t>CONTRIBUTION AU REPAS&amp;RAFRAICHISSEMENTS</t>
  </si>
  <si>
    <t>CONTRIBUTION AUX FRAIS D'ORGAnisation 07</t>
  </si>
  <si>
    <t>SOUTIEN ORG GAMOU ANNUEL KEUR BAKARY</t>
  </si>
  <si>
    <t>SOUTIEN ORG GAMOU ANNUEL THIAR</t>
  </si>
  <si>
    <t>SOUTIEN ORG GAMOU ANNUEL TAWA FALL</t>
  </si>
  <si>
    <t>SOUTIEN ORG GAMOU ANNUEL NDER NAR</t>
  </si>
  <si>
    <t xml:space="preserve">President </t>
  </si>
  <si>
    <t>SOUTIEN ORG GAMOU ANNUEL DAAYA DIOP</t>
  </si>
  <si>
    <t>Coordonnateur organisation</t>
  </si>
  <si>
    <t>CONTRIBUTION REUSSITE JOURNEE 08 MARS 23</t>
  </si>
  <si>
    <t>Presidente</t>
  </si>
  <si>
    <t>SOUTIEN ORG RECITAL KHASSIDAS</t>
  </si>
  <si>
    <t>President dahira</t>
  </si>
  <si>
    <t>SOUTIEN ORG CONFERENCE ANNUELLE ASC MINA</t>
  </si>
  <si>
    <t>SOUTIEN REUSSITE ACTIVITE JOURN INTERNAT</t>
  </si>
  <si>
    <t>APPUI GAMOU ANNUEL NGOUYE WADE DU 18 03</t>
  </si>
  <si>
    <t>SOUTIEN  GAMOU ANNUEL SERIGNE IBA NGONE</t>
  </si>
  <si>
    <t>president organisation</t>
  </si>
  <si>
    <t>SOUTIEN  GAMOU BERKOME LO DU 18 03 2023</t>
  </si>
  <si>
    <t>SOUTIEN  GAMOU KEUR PATHE KANE  DU 18 03</t>
  </si>
  <si>
    <t>APPUI AU VILLAGE DE DAROU BEYE FONCTIONE</t>
  </si>
  <si>
    <t>SUBVENTION MENSUELLE POUR LA COMMISSION</t>
  </si>
  <si>
    <t>FRAIS DE CONSTITUTION GIE AND BOOLO DE N</t>
  </si>
  <si>
    <t>FRAIS DE CONSTITUTION GIE DIAPPO LIGUEYE</t>
  </si>
  <si>
    <t>FRAIS DE CONSTITUTION GIE TAKU LIGUEYE D</t>
  </si>
  <si>
    <t>SOUTIEN ORG CONFERENCE RELIGIEUSE ASSOC</t>
  </si>
  <si>
    <t>SUBVENTION CREATION GIE NAFOORMEN</t>
  </si>
  <si>
    <t>PRISE EN CHARGE DES FRAIS DACHAT DE MATE</t>
  </si>
  <si>
    <t>Croix rouge</t>
  </si>
  <si>
    <t>03/Apr/23</t>
  </si>
  <si>
    <t>PRESENTATION CONDOLEANCES A MALICK BA CO</t>
  </si>
  <si>
    <t>PRESENTATION CONDOLEANCES A ALY NDIAYE D</t>
  </si>
  <si>
    <t>epoux</t>
  </si>
  <si>
    <t>06/Apr/23</t>
  </si>
  <si>
    <t>13/Apr/23</t>
  </si>
  <si>
    <t>APPUI AU VILLAGE DE DAROU BEYE POUR LE B</t>
  </si>
  <si>
    <t>SOUTIEN ORG NUIT LAYLATOUL KHADR VILLAGE</t>
  </si>
  <si>
    <t>SOUTIEN ORG CONFERENCE DE SERIGNE ABDOU</t>
  </si>
  <si>
    <t>PRISE EN CHARGE FRAIS COMITE SALUBRITE E</t>
  </si>
  <si>
    <t>SOUTIEN ORG CONFERENCE ASSOC AGENTS DE S</t>
  </si>
  <si>
    <t>SOUTIEN ORG JOURNEE RELIGIEUSE DU DAHIRA</t>
  </si>
  <si>
    <t>SOUTIEN ORG CONFERENCE RELIGIEUSE GROUPE</t>
  </si>
  <si>
    <t>SOUTIEN ORG NUIT LAYLATOUL KHADR DU VILL</t>
  </si>
  <si>
    <t>SOUTIEN ORG CONFERENCE RELIGIEUSE VILLAG</t>
  </si>
  <si>
    <t>18/Apr/23</t>
  </si>
  <si>
    <t>SOUTIEN ORG JOURNE NDOGOU GRATUITE DES N</t>
  </si>
  <si>
    <t>SOUTIEN ORG GAMOU MAME CHEIKH IBRA FALL</t>
  </si>
  <si>
    <t>19/Apr/23</t>
  </si>
  <si>
    <t>PRISE EN CHARGE DES FRAIS D ACCOMPAGNEME</t>
  </si>
  <si>
    <t>PRESENTATION CONDOLEANCES A ARONA THIOUN</t>
  </si>
  <si>
    <t>Conseiller municipal Darou Khoudoss</t>
  </si>
  <si>
    <t>02/May/23</t>
  </si>
  <si>
    <t>SOUTIENT A L'ORGANISATION D'AIDE SOCIALE</t>
  </si>
  <si>
    <t>SOUTIENT A L'ORGANISATION DU VIN D'ONNEU</t>
  </si>
  <si>
    <t>SOUTIEN A L'ORGANISATION DE LA FETE PATR</t>
  </si>
  <si>
    <t>REGULARISATION FACTURES LOCATION DE BACH</t>
  </si>
  <si>
    <t>04/May/23</t>
  </si>
  <si>
    <t>REGULARISATION FACTURES CONFECTION DES P</t>
  </si>
  <si>
    <t>SOUTIEN ORG CONFERENCE RELIGIEUSE DAHIRA</t>
  </si>
  <si>
    <t>09/May/23</t>
  </si>
  <si>
    <t>SOUTIEN ORG CONFERENCE RELIGIEUSE SOPEY</t>
  </si>
  <si>
    <t>SOUTIEN ORG FESTIVAL INTEGRATION CULTURE</t>
  </si>
  <si>
    <t>SOUTIEN CONCOURS MISS MATCH MISS SCIENCE</t>
  </si>
  <si>
    <t xml:space="preserve">IEF </t>
  </si>
  <si>
    <t>SOUTIEN RG JOURNEE CONSULTATION MEDICALE</t>
  </si>
  <si>
    <t>SOUTIEN ORG JOURNEE E CELLENCE ECOLE ELE</t>
  </si>
  <si>
    <t>Directeur</t>
  </si>
  <si>
    <t>CONTRIBUTION A LA REPARATION DU PICK UP</t>
  </si>
  <si>
    <t>gendarmerie de diogo</t>
  </si>
  <si>
    <t>SOUTIEN ORG CONFERENCE RELIG DAHIRA SOPE</t>
  </si>
  <si>
    <t>11/May/23</t>
  </si>
  <si>
    <t>SOUTIEN ORG JOURNEE ENGLISH FESTIVAL LYC</t>
  </si>
  <si>
    <t>Proviseur</t>
  </si>
  <si>
    <t>SUBVENTION MENSUELLE COMMISSION DE PRESE</t>
  </si>
  <si>
    <t>SOUTIEN ORG JOURNEE E CELLENCE CEM 3 DE</t>
  </si>
  <si>
    <t>Principal</t>
  </si>
  <si>
    <t>SOUTIEN ORG CONCOURS MISS MATS SCIENCES</t>
  </si>
  <si>
    <t>IA</t>
  </si>
  <si>
    <t>SOUTIEN ORG CONFERENCE ANNUELLE MVT DES</t>
  </si>
  <si>
    <t xml:space="preserve">prsident </t>
  </si>
  <si>
    <t>SOUTIEN ORG GAMOU ANNUEL VILLAGE ANDOULA</t>
  </si>
  <si>
    <t>SOUTIEN ORG JOURNEE RECITAL CORAN VILLAG</t>
  </si>
  <si>
    <t>SOUTIEN ORG GAMOU ANNUEL VILLAGE DE NDOG</t>
  </si>
  <si>
    <t>president dahira</t>
  </si>
  <si>
    <t>SOUTIEN GAMOU ANNUEL DU DAHIRA KHADIMA S</t>
  </si>
  <si>
    <t>17/May/23</t>
  </si>
  <si>
    <t>SOUTIEN A L'ORGANISATION DE L'ESSAI ACAD</t>
  </si>
  <si>
    <t>direceteur</t>
  </si>
  <si>
    <t>SOUTIEN A L'ORGANISATION DES JOURNES CUL</t>
  </si>
  <si>
    <t xml:space="preserve">presdent </t>
  </si>
  <si>
    <t>directeure</t>
  </si>
  <si>
    <t>SOUTIEN A L'ORGANISATION DE LA JOURNEE R</t>
  </si>
  <si>
    <t>SOUTIEN ORG JOURNEE E CELLENCE DIOKOUL</t>
  </si>
  <si>
    <t>maire</t>
  </si>
  <si>
    <t>23/May/23</t>
  </si>
  <si>
    <t>SOUTIEN ORG JOURNEE E CELLENCE MEKHE</t>
  </si>
  <si>
    <t>president des femmes enseignantes</t>
  </si>
  <si>
    <t>SOUTIEN ORG GAMOU ANNUEL DIOGO</t>
  </si>
  <si>
    <t>SOUTIEN ORG CONFERENCE ISLAMIQUE NDOBINE</t>
  </si>
  <si>
    <t>SOUTIEN ORG JOURN CHAMPIONNAT KUNG FU</t>
  </si>
  <si>
    <t>maitre</t>
  </si>
  <si>
    <t>SOUTIEN ORG JOURN CULTUR CEM LOMPOUL</t>
  </si>
  <si>
    <t>01/Jun/23</t>
  </si>
  <si>
    <t>SOUTIEN ORG JOURN CULTUR AL AZHAR</t>
  </si>
  <si>
    <t>SOUTIEN ORG JOURN CULTUR INSTITUT CORAN</t>
  </si>
  <si>
    <t>SOUTIEN ORG CONFERENCE ISLAM HAMEAU KEUR</t>
  </si>
  <si>
    <t>SOUTIEN ORGANISATION DU GAMOU ANNUEL DES</t>
  </si>
  <si>
    <t>SOUTIEN ORGANISATION REMISES CHEQUES FIA</t>
  </si>
  <si>
    <t>SOUTIEN ORGANISATION SARGAL MADAME GAMOU</t>
  </si>
  <si>
    <t>SOUTIEN ORGANISATION ZIARRA DAHIRA BOROM</t>
  </si>
  <si>
    <t>SOUTIEN ORGANISATION DEFILE DE REGROUPEM</t>
  </si>
  <si>
    <t>president tailleur</t>
  </si>
  <si>
    <t>SOUTIEN ORGANISATION JOURNEE MONDIALE DE</t>
  </si>
  <si>
    <t>Environnement</t>
  </si>
  <si>
    <t>SOUTIEN ORGANISATION CONFERENCE ISLAMIQU</t>
  </si>
  <si>
    <t>SOUTIEN ORGANISATION CONFERENCE ANNUELLE</t>
  </si>
  <si>
    <t>SOUTIEN ORGANISATION JOURNEE ANNUELLE SE</t>
  </si>
  <si>
    <t>SOUTIEN ORGANISATION GAMOU ANNUEL DU VIL</t>
  </si>
  <si>
    <t xml:space="preserve">chef de village </t>
  </si>
  <si>
    <t>SOUTIEN ORGANISATION JOURNEE CULTURELLE</t>
  </si>
  <si>
    <t>SOUTIEN ORGANISATION ZIARA ANNUELLE VILL</t>
  </si>
  <si>
    <t>07/Jun/23</t>
  </si>
  <si>
    <t>CONTRIBUTION FRAIS MEDICAUX NGAGNE LEYE</t>
  </si>
  <si>
    <t>Notable</t>
  </si>
  <si>
    <t>PRESENTATION DE CONDOLEANCES A LA FAMILL</t>
  </si>
  <si>
    <t>SOUTIEN ORG JOURNEE CULTURELLE CEM FASS</t>
  </si>
  <si>
    <t>principal</t>
  </si>
  <si>
    <t>SOUTIEN ORG TROIS JOURS BOROM TOUBA DU V</t>
  </si>
  <si>
    <t xml:space="preserve">p^resident </t>
  </si>
  <si>
    <t>SOUTIEN ORG JOURNEE DE L EXCELLENCE ECOL</t>
  </si>
  <si>
    <t>SOUTIEN ORG JOURNEE MONDIALE DE L ENVIRO</t>
  </si>
  <si>
    <t>SOUTIEN ORG ZIARRA ANNUELLE ET GAMOU DE</t>
  </si>
  <si>
    <t>SOUTIEN ORGANISATION FETE ANNUELLE DE LA</t>
  </si>
  <si>
    <t>14/Jun/23</t>
  </si>
  <si>
    <t>SOUTIEN A L'ORGANISATION DE LA FETE ANNU</t>
  </si>
  <si>
    <t>SOUTIEN A L'ORGANISATION DES COMPOSITION</t>
  </si>
  <si>
    <t>directeur codec</t>
  </si>
  <si>
    <t>APPUI POUR LE COMBAT DU LUTTEUR ZIGGY MA</t>
  </si>
  <si>
    <t>luteur ZIC MARLEY</t>
  </si>
  <si>
    <t>FRAIS DE STRUCTURATION DU GIE TAKKU LIGG</t>
  </si>
  <si>
    <t>15/Jun/23</t>
  </si>
  <si>
    <t>PRISE EN CHARG TRANSPORT ELEVE DIOURMEL</t>
  </si>
  <si>
    <t>APE</t>
  </si>
  <si>
    <t>22/Jun/23</t>
  </si>
  <si>
    <t>SOUTIEN ORGANISATION CFEE ECOLE DIOGO</t>
  </si>
  <si>
    <t>FRAIS OUVERTURE COMPTE BANCAIRE&amp;DE CONFE</t>
  </si>
  <si>
    <t>SOUTIEN A LORGANISATION DUNE GRANDE EVEN</t>
  </si>
  <si>
    <t>01/Jul/23</t>
  </si>
  <si>
    <t>SOUTIEN A LORGANISATION GRAND CONCERT DE</t>
  </si>
  <si>
    <t>promoteur</t>
  </si>
  <si>
    <t>SOUTIEN A LORGANISATION ANNIVERSAIRE DE</t>
  </si>
  <si>
    <t>SOUTIEN A LORGANISATION FETE DE FIN D'AN</t>
  </si>
  <si>
    <t>SOUTIEN A LORGANISATIONJOURNEE EXCELLENC</t>
  </si>
  <si>
    <t>SOUTIEN A LORGANISATION GAMOU ANNUEL TOF</t>
  </si>
  <si>
    <t>10/Jul/23</t>
  </si>
  <si>
    <t>SOUTIEN A L'ORGANISATION DE LA PAUSE DE</t>
  </si>
  <si>
    <t>SOUTIEN A L'ORGANISATION DES 24 HEURES D</t>
  </si>
  <si>
    <t>SOUTIEN A LA JOURNE DE LUTTE DU LUTTEUR</t>
  </si>
  <si>
    <t>SOUTIEN A LA JOURNEE DE L'EXCELENCE DU S</t>
  </si>
  <si>
    <t>SOUTIEN ORG JOURNEE FATALIKOU SEGN ABDOU</t>
  </si>
  <si>
    <t>17/Jul/23</t>
  </si>
  <si>
    <t>SOUTIEN ORG CONFERENCE RELIG VILLAG KEUR</t>
  </si>
  <si>
    <t>CONTRIBUTION PRISE EN CHARG ALIMENTS BET</t>
  </si>
  <si>
    <t>SOUTIEN ORG JOURNEE EXCELLENCE AMICALE A</t>
  </si>
  <si>
    <t>SOUTIEN ORG GAMOU ANNUEL VILLAG KAB GAYE</t>
  </si>
  <si>
    <t>PRISE EN CHARGE FRAIS ORG BAC CEM LOMPOU</t>
  </si>
  <si>
    <t>19/Jul/23</t>
  </si>
  <si>
    <t>PRISE EN CHARGE FRAIS ORG BFEM CEM LOMPO</t>
  </si>
  <si>
    <t>PRISE EN CHARGE FRAIS ORG BAC DAROU KHOU</t>
  </si>
  <si>
    <t>Porviseur</t>
  </si>
  <si>
    <t>PRISE EN CHARGE FRAIS ORG BFEM CEM DIOGO</t>
  </si>
  <si>
    <t>CG</t>
  </si>
  <si>
    <t>SOUTIEN ORG MAGAL VILLAG DAROU SALAM DIO</t>
  </si>
  <si>
    <t>21/Jul/23</t>
  </si>
  <si>
    <t>SUBVENTION JUILLET COMMISSION PRESELECTI</t>
  </si>
  <si>
    <t>25/Jul/23</t>
  </si>
  <si>
    <t>SUBVENTION JUIN  COMMISSION PRESELECTION</t>
  </si>
  <si>
    <t>APPUI AU VILLAGE DE DAROU BEYE JUIN POUR</t>
  </si>
  <si>
    <t>APPUI AU VILLAGE DE DAROU BEYE JUILLET P</t>
  </si>
  <si>
    <t>SOUTIEN ORGANISSTION GAMOU ANNUEL SERIGN</t>
  </si>
  <si>
    <t>SOUTIEN 72H DE JOURNEE CULTURELLES DU CO</t>
  </si>
  <si>
    <t>08/Aug/23</t>
  </si>
  <si>
    <t>SOUTIEN TOURNOIS DE FOOTBALL DE L'ASC LE</t>
  </si>
  <si>
    <t>SOUTIEN A L ORGANISATION DU GAMOU ANNUEL</t>
  </si>
  <si>
    <t>10/Aug/23</t>
  </si>
  <si>
    <t>APPUI CARBURANT POUR LE RAMASSAGE DES OR</t>
  </si>
  <si>
    <t xml:space="preserve">president du Gie pour la gestion des ordures </t>
  </si>
  <si>
    <t>PAIEMENT TECHNICIEN DE SURFACE PAPE DIOP</t>
  </si>
  <si>
    <t>PAIEMENT TECHNICIEN DE SURFACE MOUSTAPHA</t>
  </si>
  <si>
    <t>PAIEMENT TECHNICIEN DE SURFACE MOUSSA DI</t>
  </si>
  <si>
    <t>PAIEMENT TECHNICIEN DE SURFACE MAI BADIA</t>
  </si>
  <si>
    <t>PAIEMENT TECHNICIEN DE SURFACE IBRA BEYE</t>
  </si>
  <si>
    <t>PRESENTATION CONDOLEANCES FAMILLE ADAMA</t>
  </si>
  <si>
    <t>fille</t>
  </si>
  <si>
    <t>23/Aug/23</t>
  </si>
  <si>
    <t>PRESENTATION CONDOLEANCES FAMILLE M BEYE</t>
  </si>
  <si>
    <t>28/Aug/23</t>
  </si>
  <si>
    <t>PRISE EN CHARGE FRAIS ACHAT FOURNITURES</t>
  </si>
  <si>
    <t>SOUTIEN ORG CAMP DE VACANCES CROIX ROUGE</t>
  </si>
  <si>
    <t>SOUTIEN ORG TOURNOI FOOTBALL MAIRIE DE M</t>
  </si>
  <si>
    <t>SOUTIEN ORG TRANSPORT PELERINS VILLAG DA</t>
  </si>
  <si>
    <t>PRISE EN CHARGE FRAIS MEDICAUX ASSANE SO</t>
  </si>
  <si>
    <t>assane sow</t>
  </si>
  <si>
    <t>PRISE EN CHARGE FRAIS MEDICAUX MAMADOU K</t>
  </si>
  <si>
    <t>mamadou ka</t>
  </si>
  <si>
    <t>PRISE EN CHARGE FRAIS DE TRANSPORT CEM M</t>
  </si>
  <si>
    <t>SOUTIEN ORG POT DE DEPART COLONEL EL HAD</t>
  </si>
  <si>
    <t xml:space="preserve">Service eaux et foret de tivaouane </t>
  </si>
  <si>
    <t>PRESENTATION DE CONDOLEANCE FAMILLE ABDO</t>
  </si>
  <si>
    <t>SOUTIEN ORG TOURNOI DE FOOTBALL DE LA CO</t>
  </si>
  <si>
    <t>SOUTIEN ORG DES 72H DE JOURNEES MEDICALE</t>
  </si>
  <si>
    <t>SOUTIEN ORG DE LA JOURN DE REFLEXION DU</t>
  </si>
  <si>
    <t>APPUI AU  VILLAGE DE DAROU BEYE POUR LE</t>
  </si>
  <si>
    <t>SOUTIEN ORG GAMOU ANNUEL DE PALLENE PONE</t>
  </si>
  <si>
    <t>SOUTIEN ORG BURD POPULAIRE COORDINATION</t>
  </si>
  <si>
    <t>SOUTIEN ORG GAMOU ANNUEL VILLAGE DE DARO</t>
  </si>
  <si>
    <t>SOUTIEN A L'ORGANIASATION DU GAMOU ANNUE</t>
  </si>
  <si>
    <t>CONTRIBUTION AU GAMOU KEUR SERIGNE MAGUE</t>
  </si>
  <si>
    <t>CONTRIBUTION AU GAMOU ANNUEL DE TIVAOUAN</t>
  </si>
  <si>
    <t>SOUTIEN A L ORGANISATION DE LA JOURNEE D</t>
  </si>
  <si>
    <t>SUBVENTION MENSUEL POUR LA COMMISSION DE</t>
  </si>
  <si>
    <t>REMB FACTURE 351 ACHAT D EAU POUR DIOURM</t>
  </si>
  <si>
    <t>PRISE EN CHARGE DE L AMENAGEGEMENT DU CI</t>
  </si>
  <si>
    <t>SUITE PRISE EN CHARGE DE L AMENAGEGEMENT</t>
  </si>
  <si>
    <t>SOUTIEN ORGANISATION GAMOU ANNIUEL DAHIR</t>
  </si>
  <si>
    <t>APPUI CARBURANT POUR LE RAMASSAGE ORDURE</t>
  </si>
  <si>
    <t>President du Ggie pour la gestion des ordures des villages de la zone de Diogo</t>
  </si>
  <si>
    <t>SOUTIEN INAUGURATION MOSQUEE DIATTY MBAY</t>
  </si>
  <si>
    <t>SOUTIEN ORG CELLECTE FONDS POUR BESOIN E</t>
  </si>
  <si>
    <t>SOUTIEN COMMUNE DE DIOKOUL DIAWRIGNE ORG</t>
  </si>
  <si>
    <t>SOUTIEN ORG FINALE TOURNOI ECOLES MBORO</t>
  </si>
  <si>
    <t>President de l'organisation</t>
  </si>
  <si>
    <t>SOUTIEN ORG THIANTE ANNUELLE DAHIRA SOPE</t>
  </si>
  <si>
    <t>SOUTIEN ORG GAMOU ANNUEL VILLAGE DE GOUY</t>
  </si>
  <si>
    <t>APPUI VILLAGE DAROU BEYE FONCTIONNEMENT</t>
  </si>
  <si>
    <t>PRESENTATION CONDOLEANCES A LA FAMILLE D</t>
  </si>
  <si>
    <t>01/Dec/23</t>
  </si>
  <si>
    <t>SOUTIEN A L ORGANISATION DE L ORDINATION</t>
  </si>
  <si>
    <t>Chef de village sites de recasement de Foth</t>
  </si>
  <si>
    <t>CONTRIBUTION ACHAT CONDIMENTS DEJ CEREMO</t>
  </si>
  <si>
    <t>11/Dec/23</t>
  </si>
  <si>
    <t>CONTRIBUTION ACHAT BOUF/DEJ CEREMONIE FI</t>
  </si>
  <si>
    <t>FRAIS CONTRIBUTION ACHAT TISSUS</t>
  </si>
  <si>
    <t>FRAIS LOCATION 400 CHAISES&amp;GROUPE ELECTR</t>
  </si>
  <si>
    <t>GECAMINE</t>
  </si>
  <si>
    <t>DOSSARDS MARATHON EIFFAGE</t>
  </si>
  <si>
    <t>CHEQUE CADEAU + IMPRESSION + PERSONNALISATION - CADEO</t>
  </si>
  <si>
    <t>CADEAUX NOEL 2023</t>
  </si>
  <si>
    <t>RÃ©fÃ©renceclient:NONREFRÃ©fÃ©rencedelaBanque:03-AB-0501033</t>
  </si>
  <si>
    <t>TRANSPORT GAMOU</t>
  </si>
  <si>
    <t>ACHAT CADEAU PALOMA ( STAGIAIRE BOCAR)</t>
  </si>
  <si>
    <t>DONS/FOURNITURES SCOLAIRES/CHN°5510416</t>
  </si>
  <si>
    <t>ACHAT CADEAU MADOKI</t>
  </si>
  <si>
    <t>DONS POUR ORGANISATION 18 SAFAR</t>
  </si>
  <si>
    <t>DONS/TRANSPORT MAGAL 2023</t>
  </si>
  <si>
    <t>DONS POUR DECES DU MARI DE AWA MBOUP - DECES DE MATAR DIENG</t>
  </si>
  <si>
    <t>CADEAU DE BIENVENUE FAMILLE AGAGOU</t>
  </si>
  <si>
    <t>APPUI LYCEE NGOUNDIANE BAC - BFEM 2023</t>
  </si>
  <si>
    <t>ACHAT MOUTONS VEUVES SALARIES DECEDES</t>
  </si>
  <si>
    <t>DONS/ASSOCIATION GESTES/CHN°402552</t>
  </si>
  <si>
    <t>DONS/SPONSORING LJM CHN°0402548</t>
  </si>
  <si>
    <t>TRANSPORT POPENGUINE DIACK</t>
  </si>
  <si>
    <t>TRANSPORT POPENGUINE 2023</t>
  </si>
  <si>
    <t>SOUTIEN ECOLE PRIVES SAHAD GOUNDIANE</t>
  </si>
  <si>
    <t>TRANSPORT POPENGUINE OMISSION LISTE</t>
  </si>
  <si>
    <t>SOUTIEN ORGANISATION FESTV DU RIRE DIACK</t>
  </si>
  <si>
    <t>TRANSPORT PELERINAGE POPENGUINE 2023 BANDIA</t>
  </si>
  <si>
    <t>APPUI LYCEE KHOMBOLE</t>
  </si>
  <si>
    <t>LOCATION SALLE POUR FESTIVAL DU RIRE DIACK</t>
  </si>
  <si>
    <t>DON LYCEE NGOUDIANE JOURNEE D'EXCELLENCE</t>
  </si>
  <si>
    <t>DON DE L'ASSOCIATION SPORTIVE DE DIACK - JOURNEE CONSUL GRATUIT</t>
  </si>
  <si>
    <t>SOUTIEN DE LA DIRECTION - DECES MAMAN KOUME</t>
  </si>
  <si>
    <t>DONS/SUBVENTIONS DIACK CHN°402505</t>
  </si>
  <si>
    <t>DONS/SUBVENTIONS BANDIA/CHN°402503</t>
  </si>
  <si>
    <t>DON OPERATION MUR SOLIDAIRE-VILLAGE PILOTE-CHN°409582</t>
  </si>
  <si>
    <t>DONS</t>
  </si>
  <si>
    <t>BAUTIER FINANCIER A LA COMMUNE DE MEDINA SABAKH</t>
  </si>
  <si>
    <t>CADEAU DEPART HUGUES BUISSON</t>
  </si>
  <si>
    <t>ACHAT DE CHOCOLAT</t>
  </si>
  <si>
    <t>Facture FA23000142</t>
  </si>
  <si>
    <t>CADEAUX RETRAITES BANDIA-DIACK</t>
  </si>
  <si>
    <t>LOCATION TERRAIN DE FOOTBAL</t>
  </si>
  <si>
    <t>SOUTIEN AUX SAPEURS POMPIER DE KHOMBOLE</t>
  </si>
  <si>
    <t>0022955</t>
  </si>
  <si>
    <t>POPULATION EN GENERALE</t>
  </si>
  <si>
    <t>15/03/2023</t>
  </si>
  <si>
    <t>18/04/2023</t>
  </si>
  <si>
    <t>14/06/2023</t>
  </si>
  <si>
    <t>19/06/2023</t>
  </si>
  <si>
    <t>30/06/2023</t>
  </si>
  <si>
    <t>17/07/2023</t>
  </si>
  <si>
    <t>01/08/2023</t>
  </si>
  <si>
    <t>07/08/2023</t>
  </si>
  <si>
    <t>23/08/2023</t>
  </si>
  <si>
    <t>31/08/2023</t>
  </si>
  <si>
    <t>06/10/2023</t>
  </si>
  <si>
    <t>19/10/2023</t>
  </si>
  <si>
    <t>20/10/2023</t>
  </si>
  <si>
    <t>30/10/2023</t>
  </si>
  <si>
    <t>31/10/2023</t>
  </si>
  <si>
    <t>07/11/2023</t>
  </si>
  <si>
    <t>20/11/2023</t>
  </si>
  <si>
    <t>30/11/2023</t>
  </si>
  <si>
    <t>08/12/2023</t>
  </si>
  <si>
    <t>18/12/2023</t>
  </si>
  <si>
    <t>27/12/2023</t>
  </si>
  <si>
    <t>28/12/2023</t>
  </si>
  <si>
    <t>31/12/2023</t>
  </si>
  <si>
    <t>SPORTS</t>
  </si>
  <si>
    <t>GENDARMERIE THIES</t>
  </si>
  <si>
    <t>SOUS PREFECTURE MEOUANE</t>
  </si>
  <si>
    <t>POLICE TIVAOUANE</t>
  </si>
  <si>
    <t>LYCEE DE MBORO</t>
  </si>
  <si>
    <t>05/01/2023</t>
  </si>
  <si>
    <t>24/01/2023</t>
  </si>
  <si>
    <t>31/01/2023</t>
  </si>
  <si>
    <t>10/02/2023</t>
  </si>
  <si>
    <t>28/02/2023</t>
  </si>
  <si>
    <t>02/03/2023</t>
  </si>
  <si>
    <t>08/03/2023</t>
  </si>
  <si>
    <t>16/03/2023</t>
  </si>
  <si>
    <t>03/04/2023</t>
  </si>
  <si>
    <t>05/04/2023</t>
  </si>
  <si>
    <t>15/04/2023</t>
  </si>
  <si>
    <t>27/04/2023</t>
  </si>
  <si>
    <t>02/05/2023</t>
  </si>
  <si>
    <t>04/05/2023</t>
  </si>
  <si>
    <t>08/05/2023</t>
  </si>
  <si>
    <t>22/05/2023</t>
  </si>
  <si>
    <t>02/06/2023</t>
  </si>
  <si>
    <t>16/06/2023</t>
  </si>
  <si>
    <t>23/06/2023</t>
  </si>
  <si>
    <t>27/06/2023</t>
  </si>
  <si>
    <t>03/07/2023</t>
  </si>
  <si>
    <t>06/07/2023</t>
  </si>
  <si>
    <t>27/07/2023</t>
  </si>
  <si>
    <t>02/08/2023</t>
  </si>
  <si>
    <t>10/08/2023</t>
  </si>
  <si>
    <t>01/09/2023</t>
  </si>
  <si>
    <t>ECOLE MBAYE MBAYE</t>
  </si>
  <si>
    <t>07/09/2023</t>
  </si>
  <si>
    <t>12/09/2023</t>
  </si>
  <si>
    <t>15/09/2023</t>
  </si>
  <si>
    <t>04/10/2023</t>
  </si>
  <si>
    <t>23/11/2023</t>
  </si>
  <si>
    <t>01/12/2023</t>
  </si>
  <si>
    <t>12/12/2023</t>
  </si>
  <si>
    <t>ACCES A L'EAU  VILLAGES</t>
  </si>
  <si>
    <t>17/01/2023</t>
  </si>
  <si>
    <t>19/01/2023</t>
  </si>
  <si>
    <t>16/02/2023</t>
  </si>
  <si>
    <t>20/03/2023</t>
  </si>
  <si>
    <t>31/03/2023</t>
  </si>
  <si>
    <t>17/04/2023</t>
  </si>
  <si>
    <t>31/05/2023</t>
  </si>
  <si>
    <t>20/06/2023</t>
  </si>
  <si>
    <t>11/07/2023</t>
  </si>
  <si>
    <t>31/07/2023</t>
  </si>
  <si>
    <t>30/09/2023</t>
  </si>
  <si>
    <t>13/10/2023</t>
  </si>
  <si>
    <t>15/11/2023</t>
  </si>
  <si>
    <t>14/12/2023</t>
  </si>
  <si>
    <t>23/01/2023</t>
  </si>
  <si>
    <t>15/02/2023</t>
  </si>
  <si>
    <t>20/02/2023</t>
  </si>
  <si>
    <t>27/11/2023</t>
  </si>
  <si>
    <t>30/03/2023</t>
  </si>
  <si>
    <t>14/04/2023</t>
  </si>
  <si>
    <t>29/05/2023</t>
  </si>
  <si>
    <t>13/06/2023</t>
  </si>
  <si>
    <t>12/07/2023</t>
  </si>
  <si>
    <t>20/09/2023</t>
  </si>
  <si>
    <t>06/02/2023</t>
  </si>
  <si>
    <t>07/02/2023</t>
  </si>
  <si>
    <t>Evénements religieux</t>
  </si>
  <si>
    <t>09/02/2023</t>
  </si>
  <si>
    <t>22/02/2023</t>
  </si>
  <si>
    <t>03/03/2023</t>
  </si>
  <si>
    <t>06/03/2023</t>
  </si>
  <si>
    <t>13/03/2023</t>
  </si>
  <si>
    <t>14/03/2023</t>
  </si>
  <si>
    <t>22/03/2023</t>
  </si>
  <si>
    <t>27/03/2023</t>
  </si>
  <si>
    <t>28/03/2023</t>
  </si>
  <si>
    <t>06/04/2023</t>
  </si>
  <si>
    <t>12/04/2023</t>
  </si>
  <si>
    <t>13/04/2023</t>
  </si>
  <si>
    <t>20/04/2023</t>
  </si>
  <si>
    <t>24/04/2023</t>
  </si>
  <si>
    <t>15/05/2023</t>
  </si>
  <si>
    <t>PERSONNEL ICS</t>
  </si>
  <si>
    <t>23/05/2023</t>
  </si>
  <si>
    <t>01/06/2023</t>
  </si>
  <si>
    <t>08/06/2023</t>
  </si>
  <si>
    <t>09/06/2023</t>
  </si>
  <si>
    <t>15/06/2023</t>
  </si>
  <si>
    <t>21/06/2023</t>
  </si>
  <si>
    <t>13/07/2023</t>
  </si>
  <si>
    <t>18/07/2023</t>
  </si>
  <si>
    <t>20/07/2023</t>
  </si>
  <si>
    <t>21/07/2023</t>
  </si>
  <si>
    <t>25/07/2023</t>
  </si>
  <si>
    <t>26/07/2023</t>
  </si>
  <si>
    <t>04/08/2023</t>
  </si>
  <si>
    <t>14/08/2023</t>
  </si>
  <si>
    <t>18/08/2023</t>
  </si>
  <si>
    <t>25/08/2023</t>
  </si>
  <si>
    <t>28/08/2023</t>
  </si>
  <si>
    <t>06/09/2023</t>
  </si>
  <si>
    <t>11/09/2023</t>
  </si>
  <si>
    <t>25/09/2023</t>
  </si>
  <si>
    <t>26/09/2023</t>
  </si>
  <si>
    <t>02/10/2023</t>
  </si>
  <si>
    <t>09/10/2023</t>
  </si>
  <si>
    <t>11/10/2023</t>
  </si>
  <si>
    <t>12/10/2023</t>
  </si>
  <si>
    <t>16/10/2023</t>
  </si>
  <si>
    <t>27/10/2023</t>
  </si>
  <si>
    <t>03/11/2023</t>
  </si>
  <si>
    <t>08/11/2023</t>
  </si>
  <si>
    <t>10/11/2023</t>
  </si>
  <si>
    <t>17/11/2023</t>
  </si>
  <si>
    <t>22/11/2023</t>
  </si>
  <si>
    <t>28/11/2023</t>
  </si>
  <si>
    <t>29/11/2023</t>
  </si>
  <si>
    <t>07/12/2023</t>
  </si>
  <si>
    <t>11/12/2023</t>
  </si>
  <si>
    <t>13/12/2023</t>
  </si>
  <si>
    <t>26/12/2023</t>
  </si>
  <si>
    <t>REALISATION DE TRACHET POUR CABLES ELECTRIQUES PERIMETRES MARAICHERS - (PO-30192)</t>
  </si>
  <si>
    <t>EQUIPEMNT REHABILITATION SYSTEME IRRIGATION  PERIMETRES MARAICHERS - (PO-30549)</t>
  </si>
  <si>
    <t>CONTROLEUR POMPE SOLAIRE PERIMETRES MARAICHERS - (PO-30853)</t>
  </si>
  <si>
    <t>ENTRETIEN SYSTEME D'IRRIGATION DES PERIMETRES MARAICHERS - (PO-31604)</t>
  </si>
  <si>
    <t>INSTALLATION SYSTEME DE POMPE SOLAIRE POUR PUIT</t>
  </si>
  <si>
    <t>CONSTRUCTION D'UN MUR DE PROTECTION PERIMETRE MARAICHER DE MAKO</t>
  </si>
  <si>
    <t>POMPE SOLAIRE PERIMETRES MARAICHER</t>
  </si>
  <si>
    <t>APPUI INSTITUTIONNEL RSE/ACQUISIT°EQUIP PREFECTURE TIVAOUANE/CH688386</t>
  </si>
  <si>
    <t>PREFECTURE</t>
  </si>
  <si>
    <t>RSE</t>
  </si>
  <si>
    <t>4475142 2G3</t>
  </si>
  <si>
    <t>AIDES ETUDIANTS ET ELEVES</t>
  </si>
  <si>
    <t>MATAM</t>
  </si>
  <si>
    <t xml:space="preserve">JANVIER - DECEMBRE </t>
  </si>
  <si>
    <t xml:space="preserve">EDUCATION </t>
  </si>
  <si>
    <t xml:space="preserve">ETUDIANTS </t>
  </si>
  <si>
    <t>ACTIVITES SPORTIVES</t>
  </si>
  <si>
    <t xml:space="preserve">AIDES AUX COLLECTIVITES LOCALES </t>
  </si>
  <si>
    <t xml:space="preserve">COLLECTIVITES LOCALES </t>
  </si>
  <si>
    <t>Prise en charge école Lam lam</t>
  </si>
  <si>
    <t>Enseignement</t>
  </si>
  <si>
    <t>Parrainage école primaire</t>
  </si>
  <si>
    <t>Récurrent</t>
  </si>
  <si>
    <t>Budget 2021-2022</t>
  </si>
  <si>
    <t>Solde 2021-2022</t>
  </si>
  <si>
    <t>Budget 2022-2023</t>
  </si>
  <si>
    <t xml:space="preserve">Charge caisse de solidarité </t>
  </si>
  <si>
    <t>DAKAR-THIES</t>
  </si>
  <si>
    <t>Caisse de solidarité SSPT</t>
  </si>
  <si>
    <t>Cotisation IPM</t>
  </si>
  <si>
    <t>Cotisation PER</t>
  </si>
  <si>
    <t>BP SENEGAL</t>
  </si>
  <si>
    <t>006420509</t>
  </si>
  <si>
    <t>CONCREE SAS</t>
  </si>
  <si>
    <t>Soutien a l'entreprenariat des jeunes et les femmes</t>
  </si>
  <si>
    <t>EM Tech Overseas (Offshore) SAL</t>
  </si>
  <si>
    <t>Investissement social</t>
  </si>
  <si>
    <t>Beyrouth/Liban</t>
  </si>
  <si>
    <t>enersen OU</t>
  </si>
  <si>
    <t>Soutien au secteur de la peche (Donation de conatiners frigorifiques pour stockage du surplus de production</t>
  </si>
  <si>
    <t>Tallinn/Estonie</t>
  </si>
  <si>
    <t>Entreprise El Hadji Salif Mbengue</t>
  </si>
  <si>
    <t>Don de kits de Ramadan</t>
  </si>
  <si>
    <t>Saint-Louis</t>
  </si>
  <si>
    <t>Don d'equipements scolaires</t>
  </si>
  <si>
    <t>GLOBAL VIEW AFRICA</t>
  </si>
  <si>
    <t>Forum Invest in Senegal</t>
  </si>
  <si>
    <t>Abidjan/Cote di'Ivoire</t>
  </si>
  <si>
    <t>Institut National du Petrole et du</t>
  </si>
  <si>
    <t>Formation des intervenants cles dans le secteur Oil and Gas</t>
  </si>
  <si>
    <t>Invest in Africa</t>
  </si>
  <si>
    <t>Identifcation et renforcement des capacites des entreprises locales</t>
  </si>
  <si>
    <t>London</t>
  </si>
  <si>
    <t>KING FAHD PALACE</t>
  </si>
  <si>
    <t>Forum Societe civile</t>
  </si>
  <si>
    <t>NATIONAL PARALYMPIC COMMITTEE</t>
  </si>
  <si>
    <t>Sponsoring handisport</t>
  </si>
  <si>
    <t>PAPETERIE WAKEUR CHEIKHAL ISLAM</t>
  </si>
  <si>
    <t>Fournitures scolaire</t>
  </si>
  <si>
    <t>Fournitures scolaire (20.000 USD)</t>
  </si>
  <si>
    <t>Partanariat Regional Conservation</t>
  </si>
  <si>
    <t>Recherche sur la biodversité marine</t>
  </si>
  <si>
    <t>Saint Louis Jazz</t>
  </si>
  <si>
    <t>Sponsoring evenement Saint Louis Jazz</t>
  </si>
  <si>
    <t>Xelcom Services</t>
  </si>
  <si>
    <t>Kits sportifs en soutien aux ASC de Saint-Louis</t>
  </si>
  <si>
    <t>WOODSIDE</t>
  </si>
  <si>
    <t>005014204 2G0</t>
  </si>
  <si>
    <t>Panafricare Senegal</t>
  </si>
  <si>
    <t>Wetlands International Africa</t>
  </si>
  <si>
    <t>KOSMOS</t>
  </si>
  <si>
    <t>Annexe 8 – Paiements environnementaux</t>
  </si>
  <si>
    <t>Dépenses en Numéraire PGES</t>
  </si>
  <si>
    <t>Références</t>
  </si>
  <si>
    <t>Sociétés</t>
  </si>
  <si>
    <t>Nom du Permis</t>
  </si>
  <si>
    <t>Superficies  Découvertes
en Hectares</t>
  </si>
  <si>
    <t>Surfaces Réhabilitées
en Hectares</t>
  </si>
  <si>
    <t xml:space="preserve">Dépenses en Numéraire
PGES:Montant </t>
  </si>
  <si>
    <t>Dépenses en Numéraire PGES:
Date  (jj/mm/aaaa)</t>
  </si>
  <si>
    <t xml:space="preserve">Paiements en nature
(du Plan de Gestion Environnemental - PGES):
Description (Nature, Objectifs, Réalisations)         </t>
  </si>
  <si>
    <t>Paiements en nature
(du Plan de Gestion Environnemental - PGES)   :                                      Coût du Projet Encouru durant l'année</t>
  </si>
  <si>
    <t xml:space="preserve">Rapport Publique
Données Environnementales </t>
  </si>
  <si>
    <t>Références obligations
environnementales Convention
minière/CRPP</t>
  </si>
  <si>
    <t>Lien Rapport Etude
d'Impact Environnemental
et Social (Lien internet)</t>
  </si>
  <si>
    <t>Sadodala</t>
  </si>
  <si>
    <t>Code Minier &amp; Code Environnemental-Protocole Forestier MEDD-SGO</t>
  </si>
  <si>
    <t>https://www.endeavourmining.com/esg</t>
  </si>
  <si>
    <t>Code Minier &amp; Code Environnemental</t>
  </si>
  <si>
    <t>TAXE D' ABATTAGE FORESTIERES</t>
  </si>
  <si>
    <t>APPUI-SOCIAL</t>
  </si>
  <si>
    <t>PROJET ETUDE IMPACT ENVIRONNEMENTAL ET SOCIAL</t>
  </si>
  <si>
    <t>DIVISION REGIONALE DE DIOURBEL/ BUDGET DE L'AUDIENCE PUBLIQUE ETUDE</t>
  </si>
  <si>
    <t>IMPENSES</t>
  </si>
  <si>
    <t>Carrières Bandia</t>
  </si>
  <si>
    <t>Protocole d'accord entre CGC et DEFCCS</t>
  </si>
  <si>
    <t>Tobene Nord Decret No.99-1020 &amp; Tobene Sud Decret No.99-1021</t>
  </si>
  <si>
    <t>DEGATS CULTURES PV 23 FEVRIER 2023 RECLAMATIONS DANS ZONE DE THISSE I ET THISSE II</t>
  </si>
  <si>
    <t>RAPPRTDEGATS CULTURES PV AVRIL2023</t>
  </si>
  <si>
    <t>DEGATS CULTURES PV AVRIL 2023 IMPENSES DANS ZONE DE THISSE- KEUR MAGUEYE ET MAKKA DIENG/COMMISION</t>
  </si>
  <si>
    <t>RAPPRTDEGATS CULTURES PV AOUT 2023</t>
  </si>
  <si>
    <t>RAPPRTDEGATS CULTURES PV AOUT 2023IMPENSES/COMMIS</t>
  </si>
  <si>
    <t>FRAIS DE BORNAGE D'UN TERRAIN A USAGE D'HABITATION POUR LE RECASEMENT DES POPULATIONS DE THISSE 2 A PIRE</t>
  </si>
  <si>
    <t>Thissé 2 relocation/ The second instalment of the commission fees</t>
  </si>
  <si>
    <t>PAIEMENT DES DEDOMMAGEMENTS PASS27 POUR 16 PRODUCTEURS</t>
  </si>
  <si>
    <t>DECEMBER 2023 TOWARDS NDARY HOUSING, NUMBER OF VILLAGERS 518</t>
  </si>
  <si>
    <t>Mako</t>
  </si>
  <si>
    <t>SMC</t>
  </si>
  <si>
    <t>002464410</t>
  </si>
  <si>
    <t>Bransan - Protocole Forestier MEDD</t>
  </si>
  <si>
    <t>Article 2 Protocole Forestier avec Min. Environnement</t>
  </si>
  <si>
    <t>Paiements en nature
(du Plan de Gestion Environnemental -PGES) : Coût du Projet Encouru durant l'année</t>
  </si>
  <si>
    <t>Projet GTA</t>
  </si>
  <si>
    <t>Annexe 9 – Cadastre minier</t>
  </si>
  <si>
    <t>ID</t>
  </si>
  <si>
    <t>Périmètre</t>
  </si>
  <si>
    <t>Type</t>
  </si>
  <si>
    <t>Substances</t>
  </si>
  <si>
    <t>Statut</t>
  </si>
  <si>
    <t xml:space="preserve">Année </t>
  </si>
  <si>
    <t>Date d'Octroi</t>
  </si>
  <si>
    <t>Date de Fin
de Validité</t>
  </si>
  <si>
    <t>Référence Cartographique</t>
  </si>
  <si>
    <t>BANDIA</t>
  </si>
  <si>
    <t>TRANSPORTS AHMED DJOUMA GAZAL (100%)</t>
  </si>
  <si>
    <t>AECPP</t>
  </si>
  <si>
    <t>calcaire</t>
  </si>
  <si>
    <t>Renouvellement en Cours</t>
  </si>
  <si>
    <t>Sénégal,Thiès,Notto</t>
  </si>
  <si>
    <t>TCHICKY</t>
  </si>
  <si>
    <t>Amadou Kebe (100%)</t>
  </si>
  <si>
    <t>Argile</t>
  </si>
  <si>
    <t>Sénégal,Thiès,Ndiass</t>
  </si>
  <si>
    <t>Bandia</t>
  </si>
  <si>
    <t>LIMETECH SA (100%)</t>
  </si>
  <si>
    <t>Pape Sangoné Sall</t>
  </si>
  <si>
    <t>Sénégal,Thiès,Ndiass, Notto</t>
  </si>
  <si>
    <t>SOCIETE DES TERRES NEUVES SARL (100%)</t>
  </si>
  <si>
    <t/>
  </si>
  <si>
    <t>XEWELL CIMENTERIES SA (100%)</t>
  </si>
  <si>
    <t>Sénégal,Thiès,Keur Moussa</t>
  </si>
  <si>
    <t>PAKI</t>
  </si>
  <si>
    <t>LIBASSE NIANG (100%)</t>
  </si>
  <si>
    <t>grès</t>
  </si>
  <si>
    <t>GAZAL CARRIERES (100%)</t>
  </si>
  <si>
    <t>Active</t>
  </si>
  <si>
    <t>Bargny</t>
  </si>
  <si>
    <t>SECAMI (100%)</t>
  </si>
  <si>
    <t>Sénégal,Dakar,Yène</t>
  </si>
  <si>
    <t>carrière de grès à Ndiass</t>
  </si>
  <si>
    <t>AL AZHAR MINES ET CARRIERES (100%)</t>
  </si>
  <si>
    <t>Pout</t>
  </si>
  <si>
    <t>MBF PROPERTIES SA (100%)</t>
  </si>
  <si>
    <t>GECAMINES.SA (100%)</t>
  </si>
  <si>
    <t>SOCIETE DE SERVICES, BATIMENT ET COMMERCE INTERNATIONALE 2SBCI SUARL (100%)</t>
  </si>
  <si>
    <t>Thicky</t>
  </si>
  <si>
    <t>SOFAMAC (100%)</t>
  </si>
  <si>
    <t>Bafoundou</t>
  </si>
  <si>
    <t>MAISON INTERNATIONALE DU COMMERCE (MIC) (100%)</t>
  </si>
  <si>
    <t>basalte</t>
  </si>
  <si>
    <t>Sénégal,Kédougou,Tomboronkoto</t>
  </si>
  <si>
    <t>Ndoukhoura Wolof</t>
  </si>
  <si>
    <t>YANG-YANG</t>
  </si>
  <si>
    <t>COMPTOIRE COMMERCIAL DAOUDA DIA SUARL (100%)</t>
  </si>
  <si>
    <t>Sénégal,Louga,Mbeuleukhé</t>
  </si>
  <si>
    <t>Ibel et Ndébou</t>
  </si>
  <si>
    <t>NOUVELLES SOCIETE DES MINES ET DES TRAVAUX PUBLIQUES (100%)</t>
  </si>
  <si>
    <t>marbre</t>
  </si>
  <si>
    <t>Sénégal,Kédougou,Bandafassi</t>
  </si>
  <si>
    <t>Ndebou</t>
  </si>
  <si>
    <t>Ndoukhoura</t>
  </si>
  <si>
    <t>GRAVILLONS MMS ET SITOR SA (100%)</t>
  </si>
  <si>
    <t>Allou Kagne</t>
  </si>
  <si>
    <t>CARRIERE ET SABLES (100%)</t>
  </si>
  <si>
    <t>Toglou</t>
  </si>
  <si>
    <t>MRL INTERNATIONAL INDUSTRIES SARL (100%)</t>
  </si>
  <si>
    <t>NDIAMBOUR</t>
  </si>
  <si>
    <t>Sénégal,Thiès,Ngoundiane</t>
  </si>
  <si>
    <t>ROYAL SENEGAL MINES ET EQUIPEMENTS (100%)</t>
  </si>
  <si>
    <t>AFRICAINE DE TRAVAUX D'INGENIERIE ET DE SERVICES (100%)</t>
  </si>
  <si>
    <t>Sénégal,Thiès,Sindia, Tassette</t>
  </si>
  <si>
    <t>GENERALE DE REALISATION ET D'EQUIPEMENT (100%)</t>
  </si>
  <si>
    <t>Sénégal,Thiès,Tassette</t>
  </si>
  <si>
    <t>POINT OF VIEW (100%)</t>
  </si>
  <si>
    <t>Sénégal,Thiès,Sindia</t>
  </si>
  <si>
    <t>SADIO TRADING (100%)</t>
  </si>
  <si>
    <t>TERANGAMINE (100%)</t>
  </si>
  <si>
    <t>Tomboronkoto</t>
  </si>
  <si>
    <t>TWYFORD CERAMICS LIMITED (100%)</t>
  </si>
  <si>
    <t>Tabadian</t>
  </si>
  <si>
    <t>Sénégal,Sédhiou,Tanaff</t>
  </si>
  <si>
    <t>SENEGINDIA SARL (100%)</t>
  </si>
  <si>
    <t>Bélé</t>
  </si>
  <si>
    <t>ALPHA BUSINESS AFRICA GROUP SUARL (100%)</t>
  </si>
  <si>
    <t>Sénégal,Tambacounda,Belé</t>
  </si>
  <si>
    <t>Paki</t>
  </si>
  <si>
    <t>ETABLISSEMENT OUSMANE SOW (100%)</t>
  </si>
  <si>
    <t>GIE MARBRE BASALTE-GRANITE DU SENEGAL (100%)</t>
  </si>
  <si>
    <t>Carrière de calcaire</t>
  </si>
  <si>
    <t>SOCIETE DE DEVELOPPEMENT ET DE CONSTRUCTION (100%)</t>
  </si>
  <si>
    <t>CODIMAT (100%)</t>
  </si>
  <si>
    <t>LEYDI MINING COMPANY SARL (100%)</t>
  </si>
  <si>
    <t>TRANSAT SARL (100%)</t>
  </si>
  <si>
    <t>INCA SARL (100%)</t>
  </si>
  <si>
    <t>NGOUNDIANE</t>
  </si>
  <si>
    <t>SOCIETE DE COMMERCIALISATION DU CIMENT (SOCOCIM) INDUSTRIES (100%)</t>
  </si>
  <si>
    <t>latérite</t>
  </si>
  <si>
    <t>ENTREPRISE MAPATHE NDIOUCK (100%)</t>
  </si>
  <si>
    <t>Diack</t>
  </si>
  <si>
    <t>COMPAGNIE GENERALE D'EXPLOITATION DE CARRIERE (100%)</t>
  </si>
  <si>
    <t>WEST AFRICAN TRADING INVESTMENT CONSTRUCTION (100%)</t>
  </si>
  <si>
    <t>DIACK</t>
  </si>
  <si>
    <t>TETACAR (100%)</t>
  </si>
  <si>
    <t>SOCIETE D'EQUIPEMENT ET DE CONSTRUCTION (100%)</t>
  </si>
  <si>
    <t>SOMINES GRANULATS SA (100%)</t>
  </si>
  <si>
    <t>COMPAGNIE SAHELIENNE D'ENTREPRISE GRANULATS (100%)</t>
  </si>
  <si>
    <t>Cheikh KANE (100%)</t>
  </si>
  <si>
    <t>MOM SARL (100%)</t>
  </si>
  <si>
    <t>SOCIETE INDUSTRIELLE ET MINIERE SUARL (100%)</t>
  </si>
  <si>
    <t>A007953 Diack</t>
  </si>
  <si>
    <t>Ndoukoura Ouolof- SYPROM SA</t>
  </si>
  <si>
    <t>SYPROM SA (100%)</t>
  </si>
  <si>
    <t>CARRIERE ABDOU FATTAH SA (100%)</t>
  </si>
  <si>
    <t>Mansadala</t>
  </si>
  <si>
    <t>dl</t>
  </si>
  <si>
    <t>Sénégal,Tambacounda,Dialacoto</t>
  </si>
  <si>
    <t>Marougoukoto</t>
  </si>
  <si>
    <t>FUTURMINE SARL (100%)</t>
  </si>
  <si>
    <t>GECAMINES GRANULATS (100%)</t>
  </si>
  <si>
    <t>SCATY INDUSTRIES (100%)</t>
  </si>
  <si>
    <t>POUT</t>
  </si>
  <si>
    <t>CIMENTS DE L'AFRIQUE (100%)</t>
  </si>
  <si>
    <t>Sénégal,Thiès,Fandène, Keur Moussa</t>
  </si>
  <si>
    <t>KEUR LAT DIOP FALL</t>
  </si>
  <si>
    <t>LES CARRIERES CTG SARL (100%)</t>
  </si>
  <si>
    <t>Sénégal,Thiès,Mont Rolland</t>
  </si>
  <si>
    <t>A008206 Diack</t>
  </si>
  <si>
    <t>MAKO</t>
  </si>
  <si>
    <t>GENERAL SERVICES SARL (100%)</t>
  </si>
  <si>
    <t>kao</t>
  </si>
  <si>
    <t>granite</t>
  </si>
  <si>
    <t>Sénégal,Kédougou,Saraya</t>
  </si>
  <si>
    <t>Carrière de calcaire dans la forêt classée de Pout</t>
  </si>
  <si>
    <t>bandia</t>
  </si>
  <si>
    <t>STAM BDA SARL (100%)</t>
  </si>
  <si>
    <t>Argile, calcaire, latérite</t>
  </si>
  <si>
    <t>BANDESERVICES (100%)</t>
  </si>
  <si>
    <t>Sénégal,Kédougou,Dimboli</t>
  </si>
  <si>
    <t>ENTREPRISE GENERALE D'EQUIPEMENT SARL (100%)</t>
  </si>
  <si>
    <t>Sénégal,Thiès,Keur Moussa, Mont Rolland</t>
  </si>
  <si>
    <t>CAYORIENNE DES TRANSPORTS, CARRIERES ET TRAVAUX PUBLICS (100%)</t>
  </si>
  <si>
    <t>SOCIETE DE FORAGE ET DE TRAVAUX PUBLICS MINING (100%)</t>
  </si>
  <si>
    <t>GREENFIELD ASSETS INVEST GAIN (100%)</t>
  </si>
  <si>
    <t>Argile, latérite</t>
  </si>
  <si>
    <t>SOFITA SERVICES &amp; LOGISTIQUE (100%)</t>
  </si>
  <si>
    <t>Packi</t>
  </si>
  <si>
    <t>AMIN TRANS SUARL (100%)</t>
  </si>
  <si>
    <t>grès, latérite</t>
  </si>
  <si>
    <t>TAYSIR SARL (100%)</t>
  </si>
  <si>
    <t>AREZKI S.A (100%)</t>
  </si>
  <si>
    <t>GECAMINES.SA</t>
  </si>
  <si>
    <t>A07540 _ Périmètre de Diack</t>
  </si>
  <si>
    <t>A04252_ Diack</t>
  </si>
  <si>
    <t>ELIKANE SUARL (100%)</t>
  </si>
  <si>
    <t>SAFIA IMPORT EXPORT (100%)</t>
  </si>
  <si>
    <t>SEN-STONES (100%)</t>
  </si>
  <si>
    <t>Baniomba</t>
  </si>
  <si>
    <t>GIE FALL ET FRERES DE KHOUMA (100%)</t>
  </si>
  <si>
    <t>Sénégal,Tambacounda,Dialacoto, Missirah</t>
  </si>
  <si>
    <t>VAPROM AFRICA SA (100%)</t>
  </si>
  <si>
    <t>Wassadou</t>
  </si>
  <si>
    <t>SOCIETE SENEGALAISE DES MINES ET CARRIERES (100%)</t>
  </si>
  <si>
    <t>ETABLISSEMENT SAM SARL (100%)</t>
  </si>
  <si>
    <t>RACKY PRESTATIONS TECHNIQUES SARL (100%)</t>
  </si>
  <si>
    <t>Tassette</t>
  </si>
  <si>
    <t>SOCIETE CIVILE IMMOBILIERE S.C.I.D.D (100%)</t>
  </si>
  <si>
    <t>SOCIETE TOUBA NIBODJI SUARL (100%)</t>
  </si>
  <si>
    <t>SOCIETE "S3D" SARL (100%)</t>
  </si>
  <si>
    <t>APSA MINES SA (100%)</t>
  </si>
  <si>
    <t>ENTREPRISE OUSMANE SOW</t>
  </si>
  <si>
    <t>AGROMINE SUARL (100%)</t>
  </si>
  <si>
    <t>KIDIRA</t>
  </si>
  <si>
    <t>AFRICA TRADE AND INVESTMENT CONSULTING SARL (100%)</t>
  </si>
  <si>
    <t>kédougou</t>
  </si>
  <si>
    <t>NDATTE YALLAH COMPAGNIE (100%)</t>
  </si>
  <si>
    <t>KEUR BASSINE SARL (100%)</t>
  </si>
  <si>
    <t>Sénégal,Thiès,Fandène</t>
  </si>
  <si>
    <t>NDOYE ABDOULAYE (EAND) (100%)</t>
  </si>
  <si>
    <t>TRANS FAVO SUARL (100%)</t>
  </si>
  <si>
    <t>Sénégal,Thiès,Ndiaganiao</t>
  </si>
  <si>
    <t>AFRICAN BUILDERS SARL (100%)</t>
  </si>
  <si>
    <t>ROMOU-SASU (100%)</t>
  </si>
  <si>
    <t>HABITAT - SUARL (100%)</t>
  </si>
  <si>
    <t>Sénégal,Thiès,Notto Gouye Diama</t>
  </si>
  <si>
    <t>ALBINA SENEGAL (100%)</t>
  </si>
  <si>
    <t>SAOCASIK COMPANU SASU (100%)</t>
  </si>
  <si>
    <t>Sénégal,Thiès,Ndiaganiao, Tassette</t>
  </si>
  <si>
    <t>TANOR SA (100%)</t>
  </si>
  <si>
    <t>Ndiaganiao</t>
  </si>
  <si>
    <t>HGR SENEGAL SARL (100%)</t>
  </si>
  <si>
    <t>TOGLOU</t>
  </si>
  <si>
    <t>SOCIETE D'EXPLOITATION DES MINES ET CARRIERES (SEMC) (100%)</t>
  </si>
  <si>
    <t>ENTREPRISE DE GENIE CIVIL CONCASSEUR BASALTE NDIAMBOUR (EGCCBN) SUARL (100%)</t>
  </si>
  <si>
    <t>Diass</t>
  </si>
  <si>
    <t>MANSOUR YAYOU MANSOUR (100%)</t>
  </si>
  <si>
    <t>AECPT</t>
  </si>
  <si>
    <t>Dialacoto</t>
  </si>
  <si>
    <t>MS MINES (100%)</t>
  </si>
  <si>
    <t>Sébikotane</t>
  </si>
  <si>
    <t>ABN HOLDING-SARL (100%)</t>
  </si>
  <si>
    <t>Sébi Yeba</t>
  </si>
  <si>
    <t>SOCIETE DE TRAVAUX PUBLICS DE BATIMENTS ET DE TRANSPORTS NETTOIEMENT (100%)</t>
  </si>
  <si>
    <t>Deni Biram Ndao</t>
  </si>
  <si>
    <t>DIAMENTE TECHNOLOGIE (100%)</t>
  </si>
  <si>
    <t>sable de dune</t>
  </si>
  <si>
    <t>Sénégal,Thiès,Diender Guedj</t>
  </si>
  <si>
    <t>Tchicky</t>
  </si>
  <si>
    <t>MALICK MAGLOIRE LOGBO (100%)</t>
  </si>
  <si>
    <t>WEST AFRICA MINING SARL (100%)</t>
  </si>
  <si>
    <t>Bambilor</t>
  </si>
  <si>
    <t>DAMOUNGHAYE SUARL (100%)</t>
  </si>
  <si>
    <t>Bembou</t>
  </si>
  <si>
    <t>SOCIETE DE COMMERCE DE PRODUIT D'ACIER (100%)</t>
  </si>
  <si>
    <t>LOGISTIQUE, CARRIERES, MINES ET SERVICES (LOCMIS) SARL (100%)</t>
  </si>
  <si>
    <t>SALOUM TRAIDING SERVICES-SARL (100%)</t>
  </si>
  <si>
    <t>Weyloundery</t>
  </si>
  <si>
    <t>COMPTOIR COMMERCIAL BAYE IBRA THIAW (100%)</t>
  </si>
  <si>
    <t>Sénégal,Diourbel,Dendey Gouyegui</t>
  </si>
  <si>
    <t>Wékh Whékh</t>
  </si>
  <si>
    <t>DIENG FAMILY (100%)</t>
  </si>
  <si>
    <t>DIOP AMADOU MAME (100%)</t>
  </si>
  <si>
    <t>AFRICA TRADING EQUIPEMENT CONSTRUCTION SUARL (100%)</t>
  </si>
  <si>
    <t>Sénégal,Dakar,Sangalkam</t>
  </si>
  <si>
    <t>cayar</t>
  </si>
  <si>
    <t>TOUBA DAROU KARIM INDUSTRIE</t>
  </si>
  <si>
    <t>Chicky</t>
  </si>
  <si>
    <t>SOCIETE IMMOBILIERE DE DIASS SARL (100%)</t>
  </si>
  <si>
    <t>SYMPATIK SERVICE NEW BUSINESS TRADING (100%)</t>
  </si>
  <si>
    <t>Cayar</t>
  </si>
  <si>
    <t>DIOM MULTI EXPLOITATION</t>
  </si>
  <si>
    <t>Kaniack</t>
  </si>
  <si>
    <t>SIRAJ MINES ET INDUSTRIES SARL (100%)</t>
  </si>
  <si>
    <t>Sénégal,Sédhiou,Karantamba</t>
  </si>
  <si>
    <t>Déni Biram NDAO</t>
  </si>
  <si>
    <t>TOP BUSINESS-CONCEPT-SAS</t>
  </si>
  <si>
    <t>Mboul</t>
  </si>
  <si>
    <t>ADICO SARL (100%)</t>
  </si>
  <si>
    <t>THIORE BUISINESS GROUP SARL (100%)</t>
  </si>
  <si>
    <t>LELO SERERE POUT</t>
  </si>
  <si>
    <t>URBAINE D'ENTREPRISE (100%)</t>
  </si>
  <si>
    <t>Thiallé</t>
  </si>
  <si>
    <t>ETS PAPA SANGONE SALL (100%)</t>
  </si>
  <si>
    <t>Notto Gouye Diama</t>
  </si>
  <si>
    <t>ENTREPRISE DE DISTRIBUTION (100%)</t>
  </si>
  <si>
    <t>Colobane</t>
  </si>
  <si>
    <t>ETS WAKEUR BOROM GAWANE (100%)</t>
  </si>
  <si>
    <t>Sénégal,Fatick,Colobane</t>
  </si>
  <si>
    <t>SOCIETE SENEGALAISE DE CONSTRUCTION ET DE PROMOTION IMMOBILIERE (100%)</t>
  </si>
  <si>
    <t>SALIOU MINES INDUSTRIES ET TECHNIQUES (100%)</t>
  </si>
  <si>
    <t>ENTREPRISE MOUSTAPHA NDIAYE (100%)</t>
  </si>
  <si>
    <t>MC TRANSPORT AND TRADING SARL (100%)</t>
  </si>
  <si>
    <t>Dendeye GouyGui</t>
  </si>
  <si>
    <t>NIANE SERIGNE MBACKE (100%)</t>
  </si>
  <si>
    <t>Sénégal,Diourbel,Ngabou Dalla</t>
  </si>
  <si>
    <t>kayar</t>
  </si>
  <si>
    <t>Keur Moussa Hanna</t>
  </si>
  <si>
    <t>BAKHOUM BUSINESS COMPANY (100%)</t>
  </si>
  <si>
    <t>GUILLAYE DIOP (100%)</t>
  </si>
  <si>
    <t>Diender</t>
  </si>
  <si>
    <t>NDIAYE OUSMANE CARAHMA (100%)</t>
  </si>
  <si>
    <t>ENTREPRISE MBOLO BAKH (100%)</t>
  </si>
  <si>
    <t>CHEIKH TRANSPORT CARRIERE (100%)</t>
  </si>
  <si>
    <t>GIE SENEGAL NDINDI (100%)</t>
  </si>
  <si>
    <t>Niakhare</t>
  </si>
  <si>
    <t>CHINA ROAD AND BRIDGE CORPORATION SENEGAL (100%)</t>
  </si>
  <si>
    <t>Sénégal,Fatick,Niakhar</t>
  </si>
  <si>
    <t>Tataguine</t>
  </si>
  <si>
    <t>Sénégal,Fatick,Tattaguine</t>
  </si>
  <si>
    <t>Ndiouroup</t>
  </si>
  <si>
    <t>Sénégal,Fatick,Diouroup</t>
  </si>
  <si>
    <t>COMPAGNIE DES TRAVAUX ET CONSTRUCTIONS</t>
  </si>
  <si>
    <t>KANIACK</t>
  </si>
  <si>
    <t>SOCIETE ABABACAR DIOP TRANSPORTS SARL (100%)</t>
  </si>
  <si>
    <t>Ndiarrère</t>
  </si>
  <si>
    <t>Sénégal,Fatick,Diarrère</t>
  </si>
  <si>
    <t>KEUR ABDOU NDOYE</t>
  </si>
  <si>
    <t>ENTREPRISE AICHA (100%)</t>
  </si>
  <si>
    <t>Sédhiou</t>
  </si>
  <si>
    <t>AWAHABA GROUP (100%)</t>
  </si>
  <si>
    <t>Sénégal,Sédhiou,Bambali</t>
  </si>
  <si>
    <t>ENTREPRISE DJOLOF TRANSPORT (100%)</t>
  </si>
  <si>
    <t>kANIACK 2</t>
  </si>
  <si>
    <t>GIE DAKAR EXPRESS (100%)</t>
  </si>
  <si>
    <t>Keur Moussa HAnne</t>
  </si>
  <si>
    <t>GIE KARAMBA (100%)</t>
  </si>
  <si>
    <t>AMATH NDIAYE INTERNATIONALE PRESTIGE (100%)</t>
  </si>
  <si>
    <t xml:space="preserve">Cherif lo </t>
  </si>
  <si>
    <t>GIE EBTS (100%)</t>
  </si>
  <si>
    <t>Sénégal,Thiès,Chérif Lo</t>
  </si>
  <si>
    <t>KHANIANG LIMITED - SARL (100%)</t>
  </si>
  <si>
    <t>Tobor</t>
  </si>
  <si>
    <t>SOCIETE D'EXPLOITATION DE LOGISTIQUE ET DE TRAVAUX SUARL (199%)</t>
  </si>
  <si>
    <t>Sénégal,Sédhiou,Bounkiling</t>
  </si>
  <si>
    <t>DIMBOLI</t>
  </si>
  <si>
    <t>DEEJA IMMO-SUARL (100%)</t>
  </si>
  <si>
    <t>DIASS</t>
  </si>
  <si>
    <t>IRION TRANFERT-SARL (100%)</t>
  </si>
  <si>
    <t>IRION TRANSFERS SARL (100%)</t>
  </si>
  <si>
    <t>Darou Khoudoss</t>
  </si>
  <si>
    <t>ENTREPRISE SERIGNE CHEIKH AHMED TIDINE SY (100%)</t>
  </si>
  <si>
    <t>Sénégal,Thiès,Darou Khoudoss - Mboro</t>
  </si>
  <si>
    <t>Kael</t>
  </si>
  <si>
    <t>ENTREPRISE SAMBA KA (100%)</t>
  </si>
  <si>
    <t>Sénégal,Diourbel,Madina</t>
  </si>
  <si>
    <t xml:space="preserve">Madina Kael, doublon a supprimer </t>
  </si>
  <si>
    <t>TASSETTE</t>
  </si>
  <si>
    <t>ETABLISSEMENT BAYA (100%)</t>
  </si>
  <si>
    <t>Beer</t>
  </si>
  <si>
    <t>NDOYE MASYLLA (100%)</t>
  </si>
  <si>
    <t>GUEYE ET FRERES THIORO TRANSPORT-GF2T (100%)</t>
  </si>
  <si>
    <t>khar yalla</t>
  </si>
  <si>
    <t>LAYE BEYE (100%)</t>
  </si>
  <si>
    <t>ENTREPRISE DE RECHERCHE ET D'EXPLOITATION MIIERE (EREM) (100%)</t>
  </si>
  <si>
    <t>Chérif Lo</t>
  </si>
  <si>
    <t>ENTREPRISE DIAKHATE DAME (100%)</t>
  </si>
  <si>
    <t>Dendeye guouygui</t>
  </si>
  <si>
    <t>ENTREPRISE GENERALE DAROU SALAM (100%)</t>
  </si>
  <si>
    <t>Lam-Lam</t>
  </si>
  <si>
    <t>DIASS THICKY-DL ONE SERVICES</t>
  </si>
  <si>
    <t>KEUR MOUSSA ANN</t>
  </si>
  <si>
    <t>BAKHOUM BUSINESS COMPAGNY (100%)</t>
  </si>
  <si>
    <t>Keur Moussa Hann</t>
  </si>
  <si>
    <t>ETS GASSAMA (100%)</t>
  </si>
  <si>
    <t>VINCI Grands Projets/ANDRITZ-Hydro (100%)</t>
  </si>
  <si>
    <t>Sénégal,Kédougou,Fongolembi</t>
  </si>
  <si>
    <t>Malème Niany</t>
  </si>
  <si>
    <t>SOCIETE SAHELIENNE D'EQUIPEMENT ET DE TERASSEMENT (100%)</t>
  </si>
  <si>
    <t>Sénégal,Tambacounda,Koussanar, Sinthiou Malem</t>
  </si>
  <si>
    <t>SINDIA</t>
  </si>
  <si>
    <t>LAMAAN INDUSTRIES SARL (100%)</t>
  </si>
  <si>
    <t>KA BUSINESS COMPANY</t>
  </si>
  <si>
    <t>KA BUSINESS COMPANY (100%)</t>
  </si>
  <si>
    <t>TOUBA MINING CORPORATION SARL (100%)</t>
  </si>
  <si>
    <t xml:space="preserve">Thicky </t>
  </si>
  <si>
    <t>Rafou</t>
  </si>
  <si>
    <t>ALPHA OMEGA (100%)</t>
  </si>
  <si>
    <t>tambacounda</t>
  </si>
  <si>
    <t>Badon</t>
  </si>
  <si>
    <t>SENEGAL KOM KOM PLUS SUARL (100%)</t>
  </si>
  <si>
    <t>Togho</t>
  </si>
  <si>
    <t>Sénégal,Ziguinchor,Ouonck</t>
  </si>
  <si>
    <t xml:space="preserve">ENTREPRISE DIENDER </t>
  </si>
  <si>
    <t>ENTREPRISE DIENDER (100%)</t>
  </si>
  <si>
    <t>Tocky</t>
  </si>
  <si>
    <t>ENTREPRISE DAROU SALAM TAWFEKH (100%)</t>
  </si>
  <si>
    <t>Sénégal,Diourbel,Tocky-Gare</t>
  </si>
  <si>
    <t>Nabadji Civol</t>
  </si>
  <si>
    <t>MOGOMINING ET SERVICES SARL (100%)</t>
  </si>
  <si>
    <t>Sénégal,Matam,Nabbadji Civol</t>
  </si>
  <si>
    <t>FOUA</t>
  </si>
  <si>
    <t>SOLUTION MODERNE (100%)</t>
  </si>
  <si>
    <t>Sénégal,Thiès,Nguèniène</t>
  </si>
  <si>
    <t>Touba Toul</t>
  </si>
  <si>
    <t>ENTREPRISE TOUBA DAROU SALAM TRANSPORT (100%)</t>
  </si>
  <si>
    <t>Sénégal,Thiès,Touba Toul</t>
  </si>
  <si>
    <t>Mékhé</t>
  </si>
  <si>
    <t>GIE BOOK JOM ANDE LIGUEY MECKE (100%)</t>
  </si>
  <si>
    <t>Sénégal,Thiès,Koul</t>
  </si>
  <si>
    <t>Beer Thialane</t>
  </si>
  <si>
    <t>Koumpentoum</t>
  </si>
  <si>
    <t>COLAS AFRIQUE SUCCURSALE DU SENEGAL (100%)</t>
  </si>
  <si>
    <t>Sénégal,Tambacounda,Bamba Thialène, Koumpentoum</t>
  </si>
  <si>
    <t>DIENDER</t>
  </si>
  <si>
    <t>ETS THIEUDEME SAR SERVICE (100%)</t>
  </si>
  <si>
    <t>DENI BIRAME NDOA</t>
  </si>
  <si>
    <t>ENTREPRISE LINTHIO GLOBAL BUSINESS (100%)</t>
  </si>
  <si>
    <t>ngendouf</t>
  </si>
  <si>
    <t>Keur Martin</t>
  </si>
  <si>
    <t>ENTREPRISE BOUGAR DIOUF (100%)</t>
  </si>
  <si>
    <t>beer thialane</t>
  </si>
  <si>
    <t>Thiolom FALL</t>
  </si>
  <si>
    <t>COMMUNE DE NDANDE (100%)</t>
  </si>
  <si>
    <t>AECPubP</t>
  </si>
  <si>
    <t>Sénégal,Louga,Thiolom Fall</t>
  </si>
  <si>
    <t>Kolda</t>
  </si>
  <si>
    <t>REPUBLIQUE DU SENEGAL (100%)</t>
  </si>
  <si>
    <t>Sénégal,Kolda,Saré Bidji</t>
  </si>
  <si>
    <t>Gandon</t>
  </si>
  <si>
    <t>COMMUNE DE GANDON</t>
  </si>
  <si>
    <t>Sénégal,Saint-Louis,Gandon</t>
  </si>
  <si>
    <t>SERVICE REGIONAL DE TAMBACOUNDA (100%)</t>
  </si>
  <si>
    <t>Sénégal,Tambacounda,Sinthiou Malem</t>
  </si>
  <si>
    <t>Diamal</t>
  </si>
  <si>
    <t>COMMUNE DE DIAMAL (100%)</t>
  </si>
  <si>
    <t>AECPubT</t>
  </si>
  <si>
    <t>Sénégal,Kaffrine,Birkelane</t>
  </si>
  <si>
    <t>Mabo</t>
  </si>
  <si>
    <t>COMMUNE DE MABO (100%)</t>
  </si>
  <si>
    <t>Sénégal,Kaffrine,Mabo</t>
  </si>
  <si>
    <t>Keur BABA</t>
  </si>
  <si>
    <t>Maire de Keur BABA (100%)</t>
  </si>
  <si>
    <t>Sénégal,Kaolack,Keur Baka</t>
  </si>
  <si>
    <t>Lérabé</t>
  </si>
  <si>
    <t>COMMUNE GUEDE VILLAGE (100%)</t>
  </si>
  <si>
    <t>Baba Garage</t>
  </si>
  <si>
    <t>COMMUNE DE BABA GARAGE (100%)</t>
  </si>
  <si>
    <t>Sénégal,Diourbel,Baba Garage</t>
  </si>
  <si>
    <t>Taiba</t>
  </si>
  <si>
    <t>AEHTR</t>
  </si>
  <si>
    <t>Sl</t>
  </si>
  <si>
    <t>TAIBA</t>
  </si>
  <si>
    <t>ISLE WORLDWIDE (100%)</t>
  </si>
  <si>
    <t>Darou</t>
  </si>
  <si>
    <t>SEMAC (100%)</t>
  </si>
  <si>
    <t>ORING TECHNOLOGIES SARL (100%)</t>
  </si>
  <si>
    <t>ROCHES BETONS ET OUVRAGES DU SENEGAL SARL (100%)</t>
  </si>
  <si>
    <t>ICS/TAIBA</t>
  </si>
  <si>
    <t>MOUVEMENT FEDERAL ANSAROUL AHMADIYA (100%)</t>
  </si>
  <si>
    <t>BUL FAALE PRODUCTION (100%)</t>
  </si>
  <si>
    <t>Sénégal,Thiès</t>
  </si>
  <si>
    <t>INSTITUT GEOSCIENCES DE DAKAR SARL (100%)</t>
  </si>
  <si>
    <t>LES CARRIERES DE DAROU (100%)</t>
  </si>
  <si>
    <t>TANOR SOLUTIONS INDUSTRIELLES (100%)</t>
  </si>
  <si>
    <t>COMPAGNIE DES SABLES DU SENEGAL (100%)</t>
  </si>
  <si>
    <t>ENTREPRISE GENERALE D'ELECTRICITE (100%)</t>
  </si>
  <si>
    <t>ENTREPRISE D’ETUDES DE REALISATION ET DE SUPERVISION (100%)</t>
  </si>
  <si>
    <t>SOCIETE DE BATIMENT et TRAVAUX PUBLICS SUARL (100%)</t>
  </si>
  <si>
    <t>SAHEL MINING SERVICES SARL (100%)</t>
  </si>
  <si>
    <t>ETABLISSEMENT WI MARS (100%)</t>
  </si>
  <si>
    <t>BETON DU SAHEL (100%)</t>
  </si>
  <si>
    <t>Sable/ICS</t>
  </si>
  <si>
    <t>RAMATOO (100%)</t>
  </si>
  <si>
    <t>PROFILEX COMPANY (100%)</t>
  </si>
  <si>
    <t>DIENG &amp; CO ENGINEERING SAS (100%)</t>
  </si>
  <si>
    <t>GOUYE MBINDE CONCASSAGE SARL (100%)</t>
  </si>
  <si>
    <t>CHALLENGERS ASSOCIATES SARL (100%)</t>
  </si>
  <si>
    <t>LES MAMELLES SARL (100%)</t>
  </si>
  <si>
    <t>ARDIMINES (100%)</t>
  </si>
  <si>
    <t>SOCIETE TIMITA TECHNO SERVICES (100%)</t>
  </si>
  <si>
    <t>LAM SUARL (100%)</t>
  </si>
  <si>
    <t>DIYAN EXPLOITATION MINIERE SUARL (100%)</t>
  </si>
  <si>
    <t>GEO CONSULTING (100%)</t>
  </si>
  <si>
    <t>BEE ENGINEERING SARL (100%)</t>
  </si>
  <si>
    <t>ICS/Taiba</t>
  </si>
  <si>
    <t>SINEB DAROU NAKHIME SARL (100%)</t>
  </si>
  <si>
    <t>LES GRANDS TRAVAUX DU SAHEL (100%)</t>
  </si>
  <si>
    <t>THERMO LOGIC AFRICA SARL (100%)</t>
  </si>
  <si>
    <t>ics</t>
  </si>
  <si>
    <t>DIYUAN EXPLOITATION MINIERE SUARL (100%)</t>
  </si>
  <si>
    <t>MIRZAN SARL (100%)</t>
  </si>
  <si>
    <t>SENEGALAISE DE COMMERCE ET DE SERVICES (100%)</t>
  </si>
  <si>
    <t>MAODO GLOBAL BUISINESS (100%)</t>
  </si>
  <si>
    <t>INTERNATIONAL COMPANY OF TRADE AND SERVICES SA (100%); SOCIETE CAPITAL PLUS (100%)</t>
  </si>
  <si>
    <t>SOCIETE WAAGAAN BTP SARL (100%)</t>
  </si>
  <si>
    <t>EL MODI SERVICES (100%)</t>
  </si>
  <si>
    <t>HOLDING ATLANTIC MINING PETROLUM " MINE PETRO-SA" (100%)</t>
  </si>
  <si>
    <t>ICS MBORO</t>
  </si>
  <si>
    <t>ics taiba</t>
  </si>
  <si>
    <t>MINES et BATIMENTS GROUP MBG Sarl (100%)</t>
  </si>
  <si>
    <t>QINGNING SUARL (100%)</t>
  </si>
  <si>
    <t>ICS TAIBA</t>
  </si>
  <si>
    <t>SEN CONSORTIUM D'ENTREPRISE SARL (100%)</t>
  </si>
  <si>
    <t>SWAMI MINES SAU (100%)</t>
  </si>
  <si>
    <t>Sosesa/ICS darou khoudosse</t>
  </si>
  <si>
    <t>GROUPE SOCIETE SENEGALO SUISSE DES AFFAIRES SUARL (100%)</t>
  </si>
  <si>
    <t>ADAMA UNIVERSAL IMMOBILIER ET AFFAIRES (100%)</t>
  </si>
  <si>
    <t>SILIKA GRANULATS SARL (100%)</t>
  </si>
  <si>
    <t>ICS/Darou khoudosse</t>
  </si>
  <si>
    <t>TESORO SERVICES (100%)</t>
  </si>
  <si>
    <t>BAU (100%)</t>
  </si>
  <si>
    <t>GENIUS MULTISERVICE SUARL (100%)</t>
  </si>
  <si>
    <t>ALWAR PRODUCTION GROUP (100%)</t>
  </si>
  <si>
    <t>CASA BAMBA (100%)</t>
  </si>
  <si>
    <t>DIAMBAR IMMOBILIER SARL</t>
  </si>
  <si>
    <t>DIAGNE ASSANE (100%)</t>
  </si>
  <si>
    <t>ZEYKA SARL (100%)</t>
  </si>
  <si>
    <t>SENEGAL SILEX SA (100%)</t>
  </si>
  <si>
    <t>SOCIETE DE CONCASSAGE ET DE BETON SARL (100%)</t>
  </si>
  <si>
    <t>SAHEL 2M CIE SARL (100%)</t>
  </si>
  <si>
    <t>CK CARRIRES SA (100%)</t>
  </si>
  <si>
    <t>BOUTA CONSULTING ET SERVICE (GAYE PAPA AL HOUSSEYNOU) (100%)</t>
  </si>
  <si>
    <t>ETABLISSEMENT GENERAL DE COMMERCE IMPORT/EXPORT (100%)</t>
  </si>
  <si>
    <t>DIMAT BAT &amp; TP SAU (100%)</t>
  </si>
  <si>
    <t>LOCAL BUSINESS SERVICES (NDONGO DJIBRIL) (100%)</t>
  </si>
  <si>
    <t>SALAME ENTREPRISE SARL (100%)</t>
  </si>
  <si>
    <t>GIE CAYOR SILEX CORPORATION CSC (100%)</t>
  </si>
  <si>
    <t>SENECARMINES (SENEGALAISE DES MINES ET CARRIERES ) (100%)</t>
  </si>
  <si>
    <t>MEDY INDUSTRIE SARL (100%)</t>
  </si>
  <si>
    <t>MEDY INDUSTRIES MODERNES SARL (100%)</t>
  </si>
  <si>
    <t>COMPTOIR COMMERCIAL BALLA AICHA CCBA SUARL (100%)</t>
  </si>
  <si>
    <t>NDATTE YALLAH COMPAGNIE</t>
  </si>
  <si>
    <t>SOCIETE IMMOBILIERE DE CONSTRUCTION ET DE GERANCE ( SICOGER ) SARL (100%)</t>
  </si>
  <si>
    <t>Lam Lam</t>
  </si>
  <si>
    <t>GEO CONSULTING</t>
  </si>
  <si>
    <t>Sénégal,Thiès,Chérif Lo, Mont Rolland, Notto Gouye Diama</t>
  </si>
  <si>
    <t>THA MINES &amp; INDUSTRIES SARL (100%)</t>
  </si>
  <si>
    <t>MOUHAMED RASSOUL SECK SERVICES (100%)</t>
  </si>
  <si>
    <t>LANVIC CONSULTING (100%)</t>
  </si>
  <si>
    <t>Sénégal</t>
  </si>
  <si>
    <t>SOCIETE INTERNATIONALE DE BATIMENT ET DE COMMERCE ET DE TRAVAUX PUBLICS (SICOBAT TP) (100%)</t>
  </si>
  <si>
    <t>FIRDAWSI GLOBAL BUSINESS SUARL (100%)</t>
  </si>
  <si>
    <t>MBACKE SERIGNE CHEIKH IBRA (100%)</t>
  </si>
  <si>
    <t>AL JABER BTP SAU (100%)</t>
  </si>
  <si>
    <t>FUTURIS IMMOBILIER (100%)</t>
  </si>
  <si>
    <t>GLOBAL IMMO SENEGAL SARL (100%)</t>
  </si>
  <si>
    <t>Sénégal, Thiès,Thiès</t>
  </si>
  <si>
    <t>SCI NGARAFF (100%)</t>
  </si>
  <si>
    <t>Mboro</t>
  </si>
  <si>
    <t>KAPI GROUP (100%)</t>
  </si>
  <si>
    <t>BABJUF MINES (100%)</t>
  </si>
  <si>
    <t>ENERGIE DISTRIBUTION SERVICES SUARL (100%)</t>
  </si>
  <si>
    <t>MAREEG SUARL (100%)</t>
  </si>
  <si>
    <t>DIAMONDIOP ENTREPRISES ET COMPAGNIES SARL (100%)</t>
  </si>
  <si>
    <t>CONSTRUCTION GESTION INNOVATION IMMOBILIERE (100%)</t>
  </si>
  <si>
    <t>MAOR TECHNOLOGIES SA (100%)</t>
  </si>
  <si>
    <t>LES GRANDS TRAVAUX DE GOUNASS SARL (100%)</t>
  </si>
  <si>
    <t>SOCIETE SENEGALAISE DE GRAVIERS SARL (100%)</t>
  </si>
  <si>
    <t>GIE GROUPE AIDE DEVELOPPEMENT (100%)</t>
  </si>
  <si>
    <t>SOCIETE CARRIERE MINES SENEGAL SARL (100%)</t>
  </si>
  <si>
    <t>GENERALE ENTREPRISE DE REALISATION D'ETUDE ET DE SUPERVISION (100%)</t>
  </si>
  <si>
    <t>CENTRALE DE MATERIEL ET MATERIAUX SARL (100%)</t>
  </si>
  <si>
    <t>SOCIETE D'EXPLOITATION MINIERE IMMOBILIERE ET COMMERCIALE (100%)</t>
  </si>
  <si>
    <t>GIE TOMBORONKOTO (100%)</t>
  </si>
  <si>
    <t>AEMSM</t>
  </si>
  <si>
    <t>Au</t>
  </si>
  <si>
    <t>FADOUGOU NIAFFA</t>
  </si>
  <si>
    <t>NIAZA BTP SARL (100%)</t>
  </si>
  <si>
    <t>Sénégal,Kédougou,Médina Baffe</t>
  </si>
  <si>
    <t>DIAKHA</t>
  </si>
  <si>
    <t>COMPTOIR NUMISMATIQUE SERGE GUELLE KEDOUGOU</t>
  </si>
  <si>
    <t>Ngari Marounding</t>
  </si>
  <si>
    <t>SONKO ET FILS SARL (100%)</t>
  </si>
  <si>
    <t>Tinkoto</t>
  </si>
  <si>
    <t>GIE DIONDA</t>
  </si>
  <si>
    <t>TIANKOU BASSADIE</t>
  </si>
  <si>
    <t>GOLDEN AFRIK (100%)</t>
  </si>
  <si>
    <t>Placer de Bondala</t>
  </si>
  <si>
    <t>SEN ITA GOLD (100%)</t>
  </si>
  <si>
    <t>Sénégal,Kédougou,Missirah Sirimana</t>
  </si>
  <si>
    <t>Garaboureye-Nord</t>
  </si>
  <si>
    <t>NDEYE MATY TRADE (100%)</t>
  </si>
  <si>
    <t>Kayamakho</t>
  </si>
  <si>
    <t>GIE SOLIDARITE POUR LE DEVELOPPEMENT (100%)</t>
  </si>
  <si>
    <t>Marounding Sud</t>
  </si>
  <si>
    <t>VAN-GOLD S.U.A.R.L (100%)</t>
  </si>
  <si>
    <t>NORD BANTAKO KOTO</t>
  </si>
  <si>
    <t>GAYE THIOLOM GANDIOLE ENTREPRISES SUARL</t>
  </si>
  <si>
    <t>MAROUNDING NORD</t>
  </si>
  <si>
    <t>SALLA NIANG Sarl (100%)</t>
  </si>
  <si>
    <t>NGari Sud</t>
  </si>
  <si>
    <t>GOLDSKY (100%)</t>
  </si>
  <si>
    <t>FANDING</t>
  </si>
  <si>
    <t>TAMIL MINES SARL</t>
  </si>
  <si>
    <t>SAME</t>
  </si>
  <si>
    <t>COMPAGNIE SENEGALAISE DES MINES</t>
  </si>
  <si>
    <t>BARAFOUTE</t>
  </si>
  <si>
    <t>TSG MINING COMPANY SARL (100%)</t>
  </si>
  <si>
    <t>DJINDJI BASSARI</t>
  </si>
  <si>
    <t>GIE CARECIM (100%)</t>
  </si>
  <si>
    <t>NORD-OUEST LINGUEKHOTO</t>
  </si>
  <si>
    <t>SESAM GOLD SARL (100%)</t>
  </si>
  <si>
    <t>GOKIROUWOL</t>
  </si>
  <si>
    <t>Sénégal,Kédougou,Bandafassi, Salémata</t>
  </si>
  <si>
    <t>DJIDJIAN 2</t>
  </si>
  <si>
    <t>SOCIETE BENKHADY BAMBARAYA SARL (100%)</t>
  </si>
  <si>
    <t>Sénégal,Kédougou,Khossanto</t>
  </si>
  <si>
    <t>KHARAKHENA</t>
  </si>
  <si>
    <t>DJIGUI</t>
  </si>
  <si>
    <t>GIE DJIGUI (100%)</t>
  </si>
  <si>
    <t>Tambabérie</t>
  </si>
  <si>
    <t>SEGUEKO2</t>
  </si>
  <si>
    <t>MAROUNDING</t>
  </si>
  <si>
    <t>TEMOTO</t>
  </si>
  <si>
    <t>SEGUEKHO BIS</t>
  </si>
  <si>
    <t>NGARI</t>
  </si>
  <si>
    <t>GIE BENCOUTOU (100%)</t>
  </si>
  <si>
    <t>BANTAKO</t>
  </si>
  <si>
    <t>GIE REBISEN (100%)</t>
  </si>
  <si>
    <t>Kalikoutoto</t>
  </si>
  <si>
    <t>KEREKONKO</t>
  </si>
  <si>
    <t>BOUSANKOBA</t>
  </si>
  <si>
    <t>GIE BOUSANKO GOLD (100%)</t>
  </si>
  <si>
    <t>OUEST DJIKOYE</t>
  </si>
  <si>
    <t>LAMINIA</t>
  </si>
  <si>
    <t>ETS MAMADOU DIOUF CISSE (100%)</t>
  </si>
  <si>
    <t>SAMEKOUTA</t>
  </si>
  <si>
    <t>BASMALA INTERNATIONAL SARL (100%)</t>
  </si>
  <si>
    <t>Baithilaye Nord</t>
  </si>
  <si>
    <t>KEDOUGOU BUSINESS &amp; MINING SERVICES SARL (100%)</t>
  </si>
  <si>
    <t>FADOUMARA</t>
  </si>
  <si>
    <t>TINKOTO SOU</t>
  </si>
  <si>
    <t>GIE SINING KANG (100%)</t>
  </si>
  <si>
    <t>ILIMALO</t>
  </si>
  <si>
    <t>INTERNATIONAL TRADING COMPANYN (ITC) (100%)</t>
  </si>
  <si>
    <t>diamant</t>
  </si>
  <si>
    <t>Bandola</t>
  </si>
  <si>
    <t>GIE BIJOUTERIE AIR FRANCE (100%)</t>
  </si>
  <si>
    <t>Tafia-Nefis</t>
  </si>
  <si>
    <t>NEGOCE FIABLE SENEGAL SARL (100%)</t>
  </si>
  <si>
    <t>CILAGE MINE (100%)</t>
  </si>
  <si>
    <t>Wakilaré</t>
  </si>
  <si>
    <t>GIE JOKKER ENDANG WAKILARE (100%)</t>
  </si>
  <si>
    <t>Tambanoumiya</t>
  </si>
  <si>
    <t>NOGA MINE SARL (100%)</t>
  </si>
  <si>
    <t>Nord Diabougou</t>
  </si>
  <si>
    <t>SHIFENG MINING COMPANY SARL (100%)</t>
  </si>
  <si>
    <t>Sénégal,Tambacounda,Sadatou</t>
  </si>
  <si>
    <t>Kolomdinnkourou</t>
  </si>
  <si>
    <t>Bantako koto2</t>
  </si>
  <si>
    <t>YELLOW GROUND SENEGAL SAS (100%)</t>
  </si>
  <si>
    <t>Périmètre 2</t>
  </si>
  <si>
    <t>CILAGE MINE SUARL (100%)</t>
  </si>
  <si>
    <t>Périmètre 1</t>
  </si>
  <si>
    <t>Périmètre 3</t>
  </si>
  <si>
    <t>Baytilaye</t>
  </si>
  <si>
    <t>Kawsara</t>
  </si>
  <si>
    <t>MANSA GOLD CORPORATION (100%)</t>
  </si>
  <si>
    <t>ENTREPRISE INTERNATIONALE DES BIENS ET SERVICES (100%)</t>
  </si>
  <si>
    <t>missirah 1</t>
  </si>
  <si>
    <t>Missirah 2</t>
  </si>
  <si>
    <t>Kassagueri Est 2</t>
  </si>
  <si>
    <t>SINTRADE SA (100%)</t>
  </si>
  <si>
    <t>Kassagueri Est 1</t>
  </si>
  <si>
    <t>Sénégal,Kédougou,Missirah Sirimana, Saraya</t>
  </si>
  <si>
    <t>Moussala_Bloc 2</t>
  </si>
  <si>
    <t>XINJIN ZIRCONIUM INDUSTRY SARL (100%)</t>
  </si>
  <si>
    <t>Souroukoto Sud 2</t>
  </si>
  <si>
    <t>SAMA GOLD SARL (100%)</t>
  </si>
  <si>
    <t>Souroukoto Nord</t>
  </si>
  <si>
    <t>Djindji-Taifa</t>
  </si>
  <si>
    <t>GIE SYLLA KOUNDA (100%)</t>
  </si>
  <si>
    <t>STE.AGRO-SENEGAL EXPORTS SARL (100%)</t>
  </si>
  <si>
    <t>GOLDMINE BISINESS (100%)</t>
  </si>
  <si>
    <t>périmètre 2</t>
  </si>
  <si>
    <t>périmètre 3</t>
  </si>
  <si>
    <t>HALWAR MULTISERVICES SARL (100%)</t>
  </si>
  <si>
    <t>Diakhaba 2</t>
  </si>
  <si>
    <t>GIE AGIR POUR LE DEVELOPPEMENT LOCAL (100%)</t>
  </si>
  <si>
    <t>Sénégal,Kédougou,Saraya, Tomboronkoto</t>
  </si>
  <si>
    <t>NIANY TRANSIT SARL (100%)</t>
  </si>
  <si>
    <t>diakhaba 1</t>
  </si>
  <si>
    <t>PARTNERS MINING DEVELOPMENT SERVICES SAS (100%)</t>
  </si>
  <si>
    <t>Thiokoye</t>
  </si>
  <si>
    <t>TCHILMA BUILDING SUARL (100%)</t>
  </si>
  <si>
    <t>Moussala_Bloc 1</t>
  </si>
  <si>
    <t>SOCIETE D'EXPLOITATION DE LOGISTIQUE ET DES TRAVAUX (100%)</t>
  </si>
  <si>
    <t>Madina kénioto</t>
  </si>
  <si>
    <t>COMPTOIR D'OR DE LA REGION SARL (100%)</t>
  </si>
  <si>
    <t>STARDUST GOLD COMPANY SARL (100%)</t>
  </si>
  <si>
    <t>missirah sirimana</t>
  </si>
  <si>
    <t>X.W.O. SARL (100%)</t>
  </si>
  <si>
    <t>3T SARL (100%)</t>
  </si>
  <si>
    <t>AMCI GOLD MINE SARL (100%)</t>
  </si>
  <si>
    <t>Kolia</t>
  </si>
  <si>
    <t>AFRIQUE MINES COMPANY PLUS (100%)</t>
  </si>
  <si>
    <t>Wassangara-moussala</t>
  </si>
  <si>
    <t>BIGSAM OR SARL (100%)</t>
  </si>
  <si>
    <t>GIE DIAGNE ET FRERES DE SARAYA (100%)</t>
  </si>
  <si>
    <t>Dioubeba</t>
  </si>
  <si>
    <t>GIE KANKISSI SALAYAMA (100%)</t>
  </si>
  <si>
    <t>Sénégal,Tambacounda,Madina Foulbé</t>
  </si>
  <si>
    <t>Tambanoumya</t>
  </si>
  <si>
    <t>SOFRU SARL</t>
  </si>
  <si>
    <t>Kourou Diakhoma</t>
  </si>
  <si>
    <t>TRIYANGS INTERNATIONAL MINING GROUP SA</t>
  </si>
  <si>
    <t>ALIM GOLD SARL (100%)</t>
  </si>
  <si>
    <t>Périmètre 4</t>
  </si>
  <si>
    <t>AMFICI GOLD (100%)</t>
  </si>
  <si>
    <t>Daorala</t>
  </si>
  <si>
    <t>GAYESY SUARL (100%)</t>
  </si>
  <si>
    <t>Bloc1-Bloc2-Bloc3-Bloc4</t>
  </si>
  <si>
    <t>YICHEN SARL (100%)</t>
  </si>
  <si>
    <t>Sénégal,Tambacounda,Madina Foulbé, Sadatou</t>
  </si>
  <si>
    <t>AMMSA GROUP AFRICA . SA</t>
  </si>
  <si>
    <t>SINO-AFRICAINE COMMUNICATION SUARL</t>
  </si>
  <si>
    <t>AMMSA GROUP AFRICA . SA (100%)</t>
  </si>
  <si>
    <t>GAYESY SUARL</t>
  </si>
  <si>
    <t>AFRICA GLOBAL GEOINGENIERIE SARL</t>
  </si>
  <si>
    <t>GANGARA</t>
  </si>
  <si>
    <t>SENOR GROUP (100%)</t>
  </si>
  <si>
    <t>Sud Kenieba &amp; Medina Foulbe</t>
  </si>
  <si>
    <t>GH MINING (100%)</t>
  </si>
  <si>
    <t>AEPM</t>
  </si>
  <si>
    <t>Mn</t>
  </si>
  <si>
    <t>Sud Saint Louis</t>
  </si>
  <si>
    <t>SEN-HMC MINING SUARL (100%)</t>
  </si>
  <si>
    <t>ML</t>
  </si>
  <si>
    <t>Sénégal,Louga,Léona; Saint-Louis,Gandon</t>
  </si>
  <si>
    <t>SUD DIAGUIRY</t>
  </si>
  <si>
    <t>SOREXMINE SUARL (100%)</t>
  </si>
  <si>
    <t>Saroudia</t>
  </si>
  <si>
    <t>SALAM GOLD (100%)</t>
  </si>
  <si>
    <t>SINTRADIMMO SA (100%)</t>
  </si>
  <si>
    <t>IBEL &amp; BANDAFASSI</t>
  </si>
  <si>
    <t>MAGAL GUI CARREAUX Suarl (100%)</t>
  </si>
  <si>
    <t>WASSADOU SUD</t>
  </si>
  <si>
    <t>Franding</t>
  </si>
  <si>
    <t>S DOM HOLDING GOLD SARL (100%)</t>
  </si>
  <si>
    <t>Kassassoko</t>
  </si>
  <si>
    <t>SOYA GOLD SARL (100%)</t>
  </si>
  <si>
    <t>NDENDORY</t>
  </si>
  <si>
    <t>SOCIETE MINIERE AFRICAINE (100%)</t>
  </si>
  <si>
    <t>phosphate de chaux</t>
  </si>
  <si>
    <t>Sénégal,Matam,Sinthiou Bamambé</t>
  </si>
  <si>
    <t>KONKOUTOU GOLD OPERATION SUARL (100%)</t>
  </si>
  <si>
    <t>Ylimalo</t>
  </si>
  <si>
    <t>NEW ENERGY INVESTISMENT SARL (100%)</t>
  </si>
  <si>
    <t>Li</t>
  </si>
  <si>
    <t>MBAYE FAMILY BUSINESS GROUP (100%)</t>
  </si>
  <si>
    <t>SANSAMBA</t>
  </si>
  <si>
    <t>ABENE</t>
  </si>
  <si>
    <t>G-SAND SARL (100%)</t>
  </si>
  <si>
    <t>Sénégal,Ziguinchor,Diouloulou, Kafountine</t>
  </si>
  <si>
    <t>BHAIRAVA AGRICOL SARL (100%)</t>
  </si>
  <si>
    <t>Kéniéba</t>
  </si>
  <si>
    <t>AFRIK'MINES SUARL (100%)</t>
  </si>
  <si>
    <t>Sabodala-2</t>
  </si>
  <si>
    <t>NODA SA (100%)</t>
  </si>
  <si>
    <t>Sabodala-1</t>
  </si>
  <si>
    <t>CONSTRUCTION COMMERCE BATIMENT TRAVAUX PUBLIC (100%)</t>
  </si>
  <si>
    <t>AP</t>
  </si>
  <si>
    <t>Expiré</t>
  </si>
  <si>
    <t>ETS ABDOU LAHAT MBAYE (100%)</t>
  </si>
  <si>
    <t>Kab Gueye</t>
  </si>
  <si>
    <t>LES PHOSPHATES DU SENEGAL (100%)</t>
  </si>
  <si>
    <t>Sénégal,Louga,Diokoul Diawrigne, Kab Gaye, Ndande; Thiès,Darou Khoudoss - Mboro, Méouane</t>
  </si>
  <si>
    <t>PEKES</t>
  </si>
  <si>
    <t>Sénégal,Thiès,Mbayène, Médina Dakhar, Ngandiouf, Niakhène, Pékesse</t>
  </si>
  <si>
    <t>EMERGENCE MINES &amp; INVESTISSEMENTS (100%)</t>
  </si>
  <si>
    <t>D1985-411 Allou Kagne</t>
  </si>
  <si>
    <t>SOCIETE SENEGALAISE DES PHOSPHATES DE THIES</t>
  </si>
  <si>
    <t>CM</t>
  </si>
  <si>
    <t>argile industrielle, attapulgite, sépiolite</t>
  </si>
  <si>
    <t>Mbodiène</t>
  </si>
  <si>
    <t>Argile, attapulgite</t>
  </si>
  <si>
    <t>Sénégal,Thiès,Malicounda</t>
  </si>
  <si>
    <t>Tobene Sud_ICS</t>
  </si>
  <si>
    <t>Sénégal,Thiès,Méouane, Pire Gourèye, Taiba Ndiaye</t>
  </si>
  <si>
    <t>D1999-1020 Tobène Nord_ICS</t>
  </si>
  <si>
    <t>Sénégal,Thiès,Darou Khoudoss - Mboro, Koul, Méouane, Pire Gourèye, Taiba Ndiaye</t>
  </si>
  <si>
    <t>Kirène</t>
  </si>
  <si>
    <t>CIMENTS DU SAHEL</t>
  </si>
  <si>
    <t>D2000-106 Thicky</t>
  </si>
  <si>
    <t>D1998-238 Niamia</t>
  </si>
  <si>
    <t>SOCIETE DE RECHERCHE ET DE DEVELOPPEMENT DES MINES SA (SORED-MINES)</t>
  </si>
  <si>
    <t>Au, substance connexes</t>
  </si>
  <si>
    <t>D2006-361 Pout</t>
  </si>
  <si>
    <t>SOCIETE DE COMMERCIALISATION DU CIMENT (SOCOCIM) INDUSTRIES</t>
  </si>
  <si>
    <t>D2006-359 Bargny</t>
  </si>
  <si>
    <t>Sénégal,Dakar,Rufisque-Bargny, Yène</t>
  </si>
  <si>
    <t>PETOWAL MINING COMPANY (PMC) SA</t>
  </si>
  <si>
    <t>Grande Côte_MDL</t>
  </si>
  <si>
    <t>Sénégal,Louga,Kab Gaye, Léona, Thieppe; Thiès,Darou Khoudoss - Mboro, Notto Gouye Diama</t>
  </si>
  <si>
    <t>Bandia_SOCOCIM</t>
  </si>
  <si>
    <t>Thicky-Pout</t>
  </si>
  <si>
    <t>DANGOTE INDUSTRIES SENEGAL SA</t>
  </si>
  <si>
    <t>argile industrielle, calcaire, latérite</t>
  </si>
  <si>
    <t>Sénégal,Thiès,Keur Moussa, Mont Rolland, Ndiass, Sindia</t>
  </si>
  <si>
    <t>COMPAGNIE SENEGALAISE DES PHOSPHATES DE TAIBA</t>
  </si>
  <si>
    <t>Sénégal,Thiès,Darou Khoudoss - Mboro, Méouane, Taiba Ndiaye</t>
  </si>
  <si>
    <t>Diendouri Ouali Diala</t>
  </si>
  <si>
    <t>Sénégal,Matam,Ogo, Orkadiéré, Sinthiou Bamambé, Wourou Sidy</t>
  </si>
  <si>
    <t>SABODALA-GORA-MASSAWA</t>
  </si>
  <si>
    <t>SABODALA GOLD OPERATIONS SA (SGO)</t>
  </si>
  <si>
    <t>Sénégal,Kédougou,Khossanto, Saraya</t>
  </si>
  <si>
    <t>D2007-851 Falémé</t>
  </si>
  <si>
    <t>SOCIETE DES MINES DE FER DE LA FALEME (MIFERSO)</t>
  </si>
  <si>
    <t>fer</t>
  </si>
  <si>
    <t>Sénégal,Kédougou,Médina Baffe, Missirah Sirimana, Saraya</t>
  </si>
  <si>
    <t>D1985-399 Warrang</t>
  </si>
  <si>
    <t>D1985-409 Mbodiène</t>
  </si>
  <si>
    <t>Argile, attapulgite, sépiolite</t>
  </si>
  <si>
    <t>D1985-413 Sébikotane</t>
  </si>
  <si>
    <t>PROCHIMAT</t>
  </si>
  <si>
    <t>Phosphates de chaux</t>
  </si>
  <si>
    <t>Sénégal,Thiès,Chérif Lo, Pire Gourèye, Taiba Ndiaye</t>
  </si>
  <si>
    <t>Couloir 1_Diabougou</t>
  </si>
  <si>
    <t>CO</t>
  </si>
  <si>
    <t>Couloir 2_Soukounkou</t>
  </si>
  <si>
    <t>Couloir 3_Soreto</t>
  </si>
  <si>
    <t>Sénégal,Kédougou,Khossanto; Tambacounda,Sadatou</t>
  </si>
  <si>
    <t>Couloir 4_Makana</t>
  </si>
  <si>
    <t>Couloir 5_Tinkoto</t>
  </si>
  <si>
    <t>Couloir 6_Bantako</t>
  </si>
  <si>
    <t>Couloir 7_Sansamba</t>
  </si>
  <si>
    <t>Couloir 8_kabetea Gossan</t>
  </si>
  <si>
    <t>Couloir 9_Baqata</t>
  </si>
  <si>
    <t>Couloir 10_Garaboureya</t>
  </si>
  <si>
    <t>Couloir 11_Satadougou</t>
  </si>
  <si>
    <t>Sénégal,Kédougou,Médina Baffe, Saraya</t>
  </si>
  <si>
    <t>Couloir12_Daorala</t>
  </si>
  <si>
    <t>Couloir13_Karakaena</t>
  </si>
  <si>
    <t>Couloir 14_Bondola</t>
  </si>
  <si>
    <t>Couloir 15_Lingokhoto</t>
  </si>
  <si>
    <t>Couloir 16_Diakhaling</t>
  </si>
  <si>
    <t>Couloir 17_Balankonko</t>
  </si>
  <si>
    <t>Couloir 18 Wassadou</t>
  </si>
  <si>
    <t>Couloir 19 Garaboureya</t>
  </si>
  <si>
    <t>KARAKAENA</t>
  </si>
  <si>
    <t>AFRIGOLD SARL (90%)</t>
  </si>
  <si>
    <t>PE</t>
  </si>
  <si>
    <t>Sambarabougou</t>
  </si>
  <si>
    <t>MAKABINGUI GOLD OPERATIONS SA (90%)</t>
  </si>
  <si>
    <t>Sénégal,Kédougou,Khossanto, Missirah Sirimana, Saraya</t>
  </si>
  <si>
    <t>Cherif Lo Ngakham</t>
  </si>
  <si>
    <t>BAOBAB MINING AND CHEMICAL CORP SA</t>
  </si>
  <si>
    <t>Sénégal,Diourbel,Baba Garage, Gade Escale, Gawane, Keur Ngalgou, Keur Samba Kane, Lambaye</t>
  </si>
  <si>
    <t>BOTO</t>
  </si>
  <si>
    <t>BOTO SA (90%)</t>
  </si>
  <si>
    <t>CIMENTS DE L'AFRIQUE (90%)</t>
  </si>
  <si>
    <t>calcaire, substance connexes</t>
  </si>
  <si>
    <t>BEGAL-BAITI</t>
  </si>
  <si>
    <t>G-PHOS S.A.U</t>
  </si>
  <si>
    <t>Sénégal,Thiès,Chérif Lo, Médina Dakhar, Ngandiouf, Pire Gourèye, Taiba Ndiaye</t>
  </si>
  <si>
    <t>Kanoumba</t>
  </si>
  <si>
    <t>RANDGOLD (100%)</t>
  </si>
  <si>
    <t>PR</t>
  </si>
  <si>
    <t>Transformation</t>
  </si>
  <si>
    <t>Sénégal,Kédougou,Khossanto, Saraya, Tomboronkoto</t>
  </si>
  <si>
    <t>Kassel</t>
  </si>
  <si>
    <t>WEST AFRICAN INVESTMENT HOLDING SA (100%)</t>
  </si>
  <si>
    <t>Zir</t>
  </si>
  <si>
    <t>Sénégal,Ziguinchor,Diouloulou, Djemberring, Kafountine, Mlomp</t>
  </si>
  <si>
    <t>Chérif Lô-Ngakham</t>
  </si>
  <si>
    <t>Sénégal,Diourbel,Baba Garage, Dinguiraye, Gade Escale, Gawane, Keur Ngalgou, Keur Samba Kane, Lambaye; Louga,Darou Marnane, Darou Mousty, Ndoyenne; Thiès,Chérif Lo, Koul, Médina Dakhar, Méouane, Niakhène, Pékesse, Pire Gourèye, Thilmakha</t>
  </si>
  <si>
    <t>Tomormadji</t>
  </si>
  <si>
    <t>Transformation en Cours</t>
  </si>
  <si>
    <t>NIAKHENE</t>
  </si>
  <si>
    <t>Extension en Cours</t>
  </si>
  <si>
    <t>Sénégal,Louga,Darou Marnane, Kab Gaye, Loro, Ndande, Ndoyenne, Sagatta Gueth, Thiolom Fall; Thiès,Mbayène, Médina Dakhar, Méouane, Ngandiouf, Pékesse</t>
  </si>
  <si>
    <t>Wassadou Nord</t>
  </si>
  <si>
    <t>SOCIETE DES MINES DU SENEGAL (SODEMINES) (100%)</t>
  </si>
  <si>
    <t>Wassadou Sud</t>
  </si>
  <si>
    <t>Koussolo</t>
  </si>
  <si>
    <t>BOULBI</t>
  </si>
  <si>
    <t>SAHEL MINERALS SARL (100%)</t>
  </si>
  <si>
    <t>Cu, substances connexes</t>
  </si>
  <si>
    <t>Sénégal,Tambacounda,Ballou, Belé, Gabou, Goudiry</t>
  </si>
  <si>
    <t>LAFIA</t>
  </si>
  <si>
    <t>TAWA PEUL</t>
  </si>
  <si>
    <t>PRESTIGES-EXPORT LLC (100%)</t>
  </si>
  <si>
    <t>Sasi</t>
  </si>
  <si>
    <t>Sénégal,Louga,Kab Gaye; Thiès,Darou Khoudoss - Mboro</t>
  </si>
  <si>
    <t>NOUMOUFOUKHA</t>
  </si>
  <si>
    <t>AGEM (100%)</t>
  </si>
  <si>
    <t>Au, substances connexes</t>
  </si>
  <si>
    <t>Woyé</t>
  </si>
  <si>
    <t>MINING RESEARCH COMPANY S.L (100%)</t>
  </si>
  <si>
    <t>KENIEKOTO</t>
  </si>
  <si>
    <t>SANGOLA</t>
  </si>
  <si>
    <t>BAMBUK MINERALS (100%)</t>
  </si>
  <si>
    <t>Sénégal,Kédougou,Bandafassi, Tomboronkoto</t>
  </si>
  <si>
    <t>MASSAWA JERSEY LIMITED (100%)</t>
  </si>
  <si>
    <t>SADATOU</t>
  </si>
  <si>
    <t>LYONS FIELD SUARL (100%)</t>
  </si>
  <si>
    <t>Thilogne</t>
  </si>
  <si>
    <t>AMAFRIQUE SENEGAL (100%)</t>
  </si>
  <si>
    <t>Sénégal,Matam,Agnam-Civol, Dabia, Oréfondé; Saint-Louis,Aéré-lao, Galoya - toucouleur, Madina - Ndiatbé, Mboumba, Pété</t>
  </si>
  <si>
    <t>SOUROUKOTO</t>
  </si>
  <si>
    <t>Sud Kanel</t>
  </si>
  <si>
    <t>KANEL RESOURCES SARL</t>
  </si>
  <si>
    <t>Sénégal,Matam,Aouré, Ogo, Orkadiéré, Sinthiou Bamambé, Wourou Sidy; Tambacounda,Goudiry</t>
  </si>
  <si>
    <t>BANTACO</t>
  </si>
  <si>
    <t>Ouest Laminia</t>
  </si>
  <si>
    <t>Sénégal,Kédougou,Bandafassi, Dimboli, Tomboronkoto</t>
  </si>
  <si>
    <t>KHOSSANTO</t>
  </si>
  <si>
    <t>Sénégal,Kédougou,Khossanto, Missirah Sirimana</t>
  </si>
  <si>
    <t>Niakhène</t>
  </si>
  <si>
    <t>CHALLENGER NORD-SUD INTERNATIONAL SAS (100%)</t>
  </si>
  <si>
    <t>Sénégal,Diourbel,Baba Garage, Dinguiraye, Gade Escale, Keur Samba Kane; Thiès,Chérif Lo, Koul, Médina Dakhar, Méouane, Niakhène, Pékesse, Pire Gourèye, Thilmakha</t>
  </si>
  <si>
    <t>Aînoumane</t>
  </si>
  <si>
    <t>Sénégal,Diourbel,Baba Garage, Dinguiraye, Gade Escale, Gawane, Keur Ngalgou, Keur Samba Kane, Lambaye; Louga,Darou Marnane, Darou Mousty, Ndoyenne; Thiès,Niakhène, Thilmakha</t>
  </si>
  <si>
    <t>MADINA FOULBE</t>
  </si>
  <si>
    <t>BB FIRST COMMODITY HOLDING LTD</t>
  </si>
  <si>
    <t>NDINDY</t>
  </si>
  <si>
    <t>SOCIETE D'AMENAGEMENT DE BATIMENT ET D'ETUDES GENERALES (SOCABEG) (100%)</t>
  </si>
  <si>
    <t>Sénégal,Diourbel,Dankh Sène, Gade Escale, Keur Ngalgou, Missirah, Ndindy, Ngabou Dalla, Nghoye, Taiba Moutoupha, Touba Fall; Louga,Darou Mousty; Thiès,Niakhène, Thilmakha</t>
  </si>
  <si>
    <t>TRIYANGS INTERNATIONAL MINING GROUP SA (100%)</t>
  </si>
  <si>
    <t>DALEMA</t>
  </si>
  <si>
    <t>EBONY NATURAL RESOURCES - SUARL (100%)</t>
  </si>
  <si>
    <t>Kaourou</t>
  </si>
  <si>
    <t>BRANSAN</t>
  </si>
  <si>
    <t>SABODALA MINING COMPANY (100%)</t>
  </si>
  <si>
    <t>ILYMALO</t>
  </si>
  <si>
    <t>BAMBADJI SA (100%)</t>
  </si>
  <si>
    <t>Au, Cu</t>
  </si>
  <si>
    <t>MANDINGA RESOURCES SARL (100%)</t>
  </si>
  <si>
    <t>substances connexes, uranium</t>
  </si>
  <si>
    <t>Sénégal,Kédougou,Dimboli, Médina Baffe, Missirah Sirimana, Saraya</t>
  </si>
  <si>
    <t>KEBEMER</t>
  </si>
  <si>
    <t>CAYOR PHOSPHATE MINING SA (100%)</t>
  </si>
  <si>
    <t>Sénégal,Louga,Diokoul Diawrigne, Géoul, Kanène Ndiob, Loro, Ndande, Sagatta Gueth, Thiolom Fall; Thiès,Mbayène, Médina Dakhar, Ngandiouf</t>
  </si>
  <si>
    <t>DAORALA</t>
  </si>
  <si>
    <t>AGEM EXPLORATION SENEGAL (100%)</t>
  </si>
  <si>
    <t>THOR</t>
  </si>
  <si>
    <t>GREENFIELD ASSETS INVEST (100%)</t>
  </si>
  <si>
    <t>gypse</t>
  </si>
  <si>
    <t>Sénégal,Thiès,Diender Guedj, Mont Rolland</t>
  </si>
  <si>
    <t>BETAMINES SA (100%)</t>
  </si>
  <si>
    <t>basalte, tf</t>
  </si>
  <si>
    <t>Sénégal,Diourbel,Keur Samba Kane, Lambaye, Réfane</t>
  </si>
  <si>
    <t xml:space="preserve"> KAYAR SUD</t>
  </si>
  <si>
    <t>KAYAR HMC MINING SA (100%)</t>
  </si>
  <si>
    <t>Sénégal,Thiès,Diender Guedj, Mont Rolland, Notto Gouye Diama</t>
  </si>
  <si>
    <t>KOULOUNTOU EST</t>
  </si>
  <si>
    <t>SDK MINING SA (100%)</t>
  </si>
  <si>
    <t>Sénégal,Kédougou,Bandafassi, Dimboli, Saraya, Tomboronkoto</t>
  </si>
  <si>
    <t>LAMBAYE</t>
  </si>
  <si>
    <t>Sénégal,Diourbel,Dankh Sène, Gawane, Keur Ngalgou, Lambaye, Ndindy, Ndoulo, Ngabou Dalla, Nghoye, Ngogom, Patar, Réfane, Taiba Moutoupha, Thiakhar, Touba Mosquée, Touré Mbonde</t>
  </si>
  <si>
    <t>BEROLA BONDALA</t>
  </si>
  <si>
    <t>GEO EXPLOIT SARL (100%)</t>
  </si>
  <si>
    <t>SOUROUMDOU</t>
  </si>
  <si>
    <t>Tombo</t>
  </si>
  <si>
    <t>WAKALI GINDE</t>
  </si>
  <si>
    <t>Sénégal,Tambacounda,Gabou, Moudéry</t>
  </si>
  <si>
    <t>MAIGA HOLDING (100%)</t>
  </si>
  <si>
    <t>Sénégal,Diourbel,Dendey Gouyegui, Kael, Madina, Ndioumane Taiba - Thiékène, Ndoulo, Ngabou Dalla, Patar, Sadio, Taif, Touba Mosquée, Touré Mbonde; Fatick,Colobane; Kaffrine,Darou Miname; Louga,Déali, Gassane, Thiargny, Thiel</t>
  </si>
  <si>
    <t>BONDALA</t>
  </si>
  <si>
    <t>CHESSER SAU (100%)</t>
  </si>
  <si>
    <t>MORICHOU</t>
  </si>
  <si>
    <t>Sénégal,Kédougou,Khossanto; Tambacounda,Madina Foulbé, Sadatou</t>
  </si>
  <si>
    <t>BADERY</t>
  </si>
  <si>
    <t>IMPROVE SENEGAL SAS (100%)</t>
  </si>
  <si>
    <t>Sénégal,Kédougou,Bandafassi, Dimboli</t>
  </si>
  <si>
    <t>Ngadiawane</t>
  </si>
  <si>
    <t>ENEVIS SENEGAL SA (100%)</t>
  </si>
  <si>
    <t>Sénégal,Diourbel,Keur Samba Kane; Louga,Ndande; Thiès,Koul, Médina Dakhar, Méouane, Pire Gourèye</t>
  </si>
  <si>
    <t>MINE PETRO SA (100%)</t>
  </si>
  <si>
    <t>Diamba Sud</t>
  </si>
  <si>
    <t>GUETIE</t>
  </si>
  <si>
    <t>ABANDOUR GEOLINK (100%)</t>
  </si>
  <si>
    <t>Cu</t>
  </si>
  <si>
    <t>Sénégal,Tambacounda,Ballou, Gabou</t>
  </si>
  <si>
    <t>BAMBADJI SUD</t>
  </si>
  <si>
    <t>BARRICK GOLD SENEGAL SA (100%)</t>
  </si>
  <si>
    <t>IBEL SUD</t>
  </si>
  <si>
    <t>HARANGA RESOURCES LIMETED (100%)</t>
  </si>
  <si>
    <t>Sénégal,Kédougou,Bandafassi, Dakately</t>
  </si>
  <si>
    <t>KASSAGUIRI</t>
  </si>
  <si>
    <t>FODE BINEYA</t>
  </si>
  <si>
    <t>SKDT NEW ENERGY TECHNOLOGY SARL (100%)</t>
  </si>
  <si>
    <t>MAYO</t>
  </si>
  <si>
    <t>Sénégal,Tambacounda,Bani Israel, Dialacoto, Dougue</t>
  </si>
  <si>
    <t>SARAYA ENERGY (100%)</t>
  </si>
  <si>
    <t>Sénégal,Kédougou,Bandafassi, Dimboli, Missirah Sirimana, Saraya</t>
  </si>
  <si>
    <t>Matam-Nord</t>
  </si>
  <si>
    <t>WEST WIND SA (100%)</t>
  </si>
  <si>
    <t>Sénégal,Matam,Bokidiawé, Dabia, Nabbadji Civol, Ogo</t>
  </si>
  <si>
    <t>BARIBARIE 1</t>
  </si>
  <si>
    <t>AFG RESSOURCES (100%)</t>
  </si>
  <si>
    <t>BOUSANKHOBA</t>
  </si>
  <si>
    <t>GLOBAL MINING &amp; RESSOURCES SA</t>
  </si>
  <si>
    <t>SENALA</t>
  </si>
  <si>
    <t>STRATEX-EMC SA (50%)</t>
  </si>
  <si>
    <t>Ouest Douta</t>
  </si>
  <si>
    <t>BIRIMA GOLD RESOURCES (100%)</t>
  </si>
  <si>
    <t>Sénégal,Kédougou,Khossanto, Missirah Sirimana, Saraya, Tomboronkoto</t>
  </si>
  <si>
    <t xml:space="preserve">DALOTO </t>
  </si>
  <si>
    <t>SUD SARAYA</t>
  </si>
  <si>
    <t>HLNT SENEGAL (100%)</t>
  </si>
  <si>
    <t>Sénégal,Kédougou,Dimboli, Médina Baffe, Saraya</t>
  </si>
  <si>
    <t>Sud Sayara</t>
  </si>
  <si>
    <t>SDT NEW ENERGY TECHNOLOGY (100%)</t>
  </si>
  <si>
    <t>Sénégal,Kédougou,Bandafassi, Dimboli, Médina Baffe, Saraya</t>
  </si>
  <si>
    <t>DIADIAKO</t>
  </si>
  <si>
    <t>Koussola</t>
  </si>
  <si>
    <t>HYDROMIN SENEGAL (100%)</t>
  </si>
  <si>
    <t>Karakeana</t>
  </si>
  <si>
    <t>MUSA MINING COMPANY SARL (100%)</t>
  </si>
  <si>
    <t>LEOBA</t>
  </si>
  <si>
    <t>IMPERATOR RESOURCE SARL</t>
  </si>
  <si>
    <t>BAYTILAYE 2</t>
  </si>
  <si>
    <t>KEDOUGOU BUSINESS &amp; MINING SERVICES SARL</t>
  </si>
  <si>
    <t>PISCHON</t>
  </si>
  <si>
    <t>GRACE GOLD COMPANY SENEGAL SARL (100%)</t>
  </si>
  <si>
    <t>Sénégal,Kédougou,Bandafassi, Saraya</t>
  </si>
  <si>
    <t>NIAMAYA</t>
  </si>
  <si>
    <t>ETAT DU SENEGAL (100%)</t>
  </si>
  <si>
    <t>ZP</t>
  </si>
  <si>
    <t>ph a, phosphate de chaux</t>
  </si>
  <si>
    <t>Sénégal,Thiès,Chérif Lo, Fandène, Mont Rolland, Notto Gouye Diama</t>
  </si>
  <si>
    <t>Annexe 10 – définitions des flux</t>
  </si>
  <si>
    <t>Paiements en nature</t>
  </si>
  <si>
    <t>Flux</t>
  </si>
  <si>
    <t>Référence légale</t>
  </si>
  <si>
    <t>Définition</t>
  </si>
  <si>
    <t>Part de la production de l'État (Profit Oil État)</t>
  </si>
  <si>
    <t>Convention/contrat pétroliers</t>
  </si>
  <si>
    <t>Ces parts constituent la part de production d’hydrocarbures revenant à l’Etat au titre sa part dans le Profit Oil conformément aux taux définis dans le CRPP.</t>
  </si>
  <si>
    <t>Part de la production de PETROSEN (Profit Oil - Cost Oil PETROSEN)</t>
  </si>
  <si>
    <t>Ces parts constituent la part de production d’hydrocarbures revenant à Petrosen au titre de sa participation dans les champs en production selon le taux de partage convenu dans le CRPP.</t>
  </si>
  <si>
    <t>Paiements en numéraire</t>
  </si>
  <si>
    <t>Direction des Mines et de la Géologie (DMG)</t>
  </si>
  <si>
    <t>Redevance minière (y compris la taxe à l’extraction)</t>
  </si>
  <si>
    <t>Code minier (Article 77)</t>
  </si>
  <si>
    <t>A l'exception des activités d'exploitation faisant l'objet d'un contrat de partage de production, toute activité d’exploitation de substances minérales est soumise au paiement trimestriel d’une redevance minière à des taux variant de 1 à 5% de la valeur marchande du produit commercialisé localement ou la valeur FOB du produit exporté. Ce flux inclu la taxe d'extraction sur les activités de carrière (4% de la valeur marchande pour les sustances de carrière concassées, 500F/m3 pour les substances dures non concasées et 300F/m3 pour les substances meubles non concassées.
La redevance minière ne peut faire l’objet d’aucune exonération et est due pour toute substance minérale exploitée du sol ou du sous-sol du Territoire de la République du Sénégal</t>
  </si>
  <si>
    <t>Appui institutionnel</t>
  </si>
  <si>
    <t>Convention Minière</t>
  </si>
  <si>
    <t>Le titulaire d’un permis de recherche ou d'exploitation est redevable d'une contribution permettant de renforcer les capacités des administrations en charge de la tutelle du secteur. Le montant de cette contribution est fixé contractuellement.</t>
  </si>
  <si>
    <t>Droits d'entrée/fixes</t>
  </si>
  <si>
    <t>Code minier 2016 (Article 74)</t>
  </si>
  <si>
    <t>L’attribution, le renouvellement, l’extension ou la transformation ainsi que la cession, la transmission ou l’amodiation de titres miniers de recherche et d’exploitation sont soumis au paiement de droits d’entrée fixes.</t>
  </si>
  <si>
    <t>Bonus (y compris le bonus sur reserve supplémentaire)</t>
  </si>
  <si>
    <t>Ce flux n'est pas prévu par le code minier. Cependant, certaines conventions minières prévoient le paiement d'un bonus lors de l’obtention d’un titre de recherche ou d'exploitation. Ce flux inclut le bonus de découverte, le bonus sur les réserves supplémentaires et tout autre type de bonus payé.</t>
  </si>
  <si>
    <t>Redevance superficiaire</t>
  </si>
  <si>
    <t>Code minier 2016 (Article 75)</t>
  </si>
  <si>
    <t>Le titulaire d'un titre minier est assujetti au paiement d'une redevance superficiaire annuelle</t>
  </si>
  <si>
    <t>Société des pétroles du Sénégal (PETROSEN)</t>
  </si>
  <si>
    <t>Bonus</t>
  </si>
  <si>
    <t>Ce flux n'est pas prévu par le code pétrolier. Cependant, certaines conventions pétrolières prévoient le paiement d'un bonus lors de l’obtention d’un titre de recherche ou d'exploitation.</t>
  </si>
  <si>
    <t>Appui à la formation et Appui à la</t>
  </si>
  <si>
    <t>Le titulaire d'une convention ou d'un contrat de partage de production est redevable du financement d'un programme de formation dédié au personnel des administrations en charge de la tutelle du secteur et de l'entreprise nationale.
Le montant de ce financement est fixé contractuellement.</t>
  </si>
  <si>
    <t>Appui à la promotion de la recherche et de l'exploitation</t>
  </si>
  <si>
    <t>Le titulaire d'une convention ou d'un contrat de partage de production est redevable d'une contribution permettant d'appuyer les activités conduites par PETROSEN pour la promotion de la recherche et de l'exploitation d'hydrocarbures au Sénégal. Le montant de cette contribution est fixé contractuellement.</t>
  </si>
  <si>
    <t>Appui à l'équipement</t>
  </si>
  <si>
    <t>Le titulaire d'une convention ou d'un contrat de partage de production est redevable d'une contribution permettant de renforcer l'équipement des administrations en charge de la tutelle du secteur et de l'entreprise nationale. Le montant de cette contribution est fixé contractuellement.</t>
  </si>
  <si>
    <t>Revenus issus de la commercialisation de la Part de la production de Petrosen</t>
  </si>
  <si>
    <t>La contrepartie numéraire de la vente des Parts de la production de Petrosen (Profit Oil Petrosen)</t>
  </si>
  <si>
    <t>Loyer superficiel</t>
  </si>
  <si>
    <t>Code pétrolier (Article 45) Convention/contrat pétroliers</t>
  </si>
  <si>
    <t>Le titulaire d'une convention ou d'un contrat de partage de production est assujetti au paiement d'un loyer superficiel, exigible annuellement à compter de la signature de la convention ou du contrat de partage de production. Le montant et les modalités de recouvrement sont déterminés dans la convention ou le contrat conclu avec le titulaire</t>
  </si>
  <si>
    <t>Pénalités versées à Petrosen</t>
  </si>
  <si>
    <t>Toute entreprise contrevenant à ses obligations envers Petrosen est soumises à des sanctions.</t>
  </si>
  <si>
    <t>Redevance</t>
  </si>
  <si>
    <t>Code pétrolier (Article 41)</t>
  </si>
  <si>
    <t>Le titulaire d'une concession d'exploitation d'hydrocarbures est assujetti au paiement d'une redevance sur la valeur des hydrocarbures produits, à verser en espèces à l'État. La redevance est calculée à partir des quantités totales d'hydrocarbures produits dans la concession et non utilisés dans les opérations pétrolières.
Le montant de cette redevance ainsi que les règles d'assiette et de recouvrement sont précisés dans la convention signée avec l'État</t>
  </si>
  <si>
    <t>Achat de données sismiques</t>
  </si>
  <si>
    <t>PETROSEN, en tant que garante de la promotion du bassin sédimentaire sénégalais, est chargée de la commercialisation des données sismiques auprès d'entreprises privées, titulaires ou non de permis de recherche ou d'exploitation d'hydrocarbures au Sénégal.</t>
  </si>
  <si>
    <t>Direction Générale de la Comptabilité Publique et du Trésor (DGCPT)</t>
  </si>
  <si>
    <t>Revenus issus de la commercialisation de la Part de la production de l'État</t>
  </si>
  <si>
    <t>La contrepartie numéraire de la vente des Parts de la production de l'État (Profit Oil État)</t>
  </si>
  <si>
    <t>Patente</t>
  </si>
  <si>
    <t>Code général des impôts (Articles 320 à 342)</t>
  </si>
  <si>
    <t>La patente est payée au profit des collectivités locales.
La patente est due par toute personne qui exerce au Sénégal un commerce, une industrie..
La Patente est composée d'un droit fixe et d'un droit proportionnel dont le taux varie en fonction de l'activité du contribuable.
Les entreprises titulaires de permis de recherche de substances minérales et pétrolières sont, pendant toute toute la durée de la validité dudit permis et de ses renouvellement, exemptées de la contribution des patentes. Concernant les entreprises titulaires de titres miniers, cette exemption est prorogée de 3 ans, à compter de la date de première production de la phase d'exploitation.</t>
  </si>
  <si>
    <t>Contribution foncière des propriétés bâties (CFPB)</t>
  </si>
  <si>
    <t>Code général des impôts (Articles 283 à 295)</t>
  </si>
  <si>
    <t>La CFPB est perçue au profit des collectivités locales.
Elle est due sur les propriétés bâties telles que maisons, fabriques, manufactures, usines, et en général tous les immeubles construits en maçonnerie, fer et bois, et fixé au sol à perpétuelle demeure . Son taux est fixé à 5% pour les immeubles et à 7,5% pour les usines et bâtiments industriels.
Les entreprises titulaires de permis de recherche de substances minérales ou d'hydrocarbures sont, pendant toute toute la durée de la validité dudit permis et de ses renouvellement, dans le cadre strict de ses opérations de recherche, exemptées de la CFPB. Ces entreprises bénéficient également de l'éxonération pendant les 3 annnées de la phase d'exploitation.</t>
  </si>
  <si>
    <t>Contribution foncière des propriétés non bâties (CFPNB)</t>
  </si>
  <si>
    <t>Code général des impôts (Articles 296 à 302)</t>
  </si>
  <si>
    <t>La CFPNB est due à raison des terrains immatriculés ou non et des terrains où sont édifiés des constructions non adhérentes au sol. Elle est notamment due pour les terrains occupés par les carrières, mines et tourbières. Son taux est fixé à 5% de la valeur vénale du terrain. Les entreprises titulaires d'un permis de recherche sont exonérées de la CFPNB.
Les entreprises titulaires de permis de recherche de substances minérales ou d'hydrocarbures sont, pendant toute toute la durée de la validité dudit permis et de ses renouvellement, dans le cadre strict de ses opérations de recherche, exemptées de la CFPB. Ces entreprises bénéficient également de l'éxonération pendant les 3 annnées de la phase d'exploitation.</t>
  </si>
  <si>
    <t>Appui institutionnel aux collectivités locales</t>
  </si>
  <si>
    <t>Le titulaire d’un permis de recherche ou d'exploitation est redevable d'une contribution permettant de renforcer les capacités des collectivités des régions dans lesquelles les opérations extractives sont réalisées. Le montant de cette contribution est fixé contractuellement.</t>
  </si>
  <si>
    <t>Impôt du minimum fiscal</t>
  </si>
  <si>
    <t>Code général des impôts (Article 270)</t>
  </si>
  <si>
    <t>L'Impôt du minimum fiscal est perçu au profit des collectivités locales.
Il est dû par toute personne résidant au Sénégal, âgée d’au moins 14 ans, relevant de l’une des catégories prévues par le code.</t>
  </si>
  <si>
    <t>Dividendes versés à l'Etat</t>
  </si>
  <si>
    <t>-</t>
  </si>
  <si>
    <t>Toute entreprise peut décider la distribution des dividendes lesquels sont versés à hauteur des participations détenues par l’État dans l’entreprise.</t>
  </si>
  <si>
    <t>Frais d'inscription d'une concession minière ou d'un permis d'exploitation</t>
  </si>
  <si>
    <t>Décret n° 2004-647 du 17 mai 2004 fixant les modalités d’application (Article 31)</t>
  </si>
  <si>
    <t>Le permis d’exploitation et la concession minière font l’objet des mêmes inscriptions qu’en matière de propriété foncière; Cette inscription engendre le paiement de frais d'inscription.</t>
  </si>
  <si>
    <t>Convention Minière/Contrat pétrolier</t>
  </si>
  <si>
    <t>Ce flux n'est pas prévu par le code minier et le code pétrolier. Cependant, certaines conventions/contrats prévoient le paiement d'un bonus lors de l’obtention d’un titre de recherche ou d'exploitation..</t>
  </si>
  <si>
    <t>Direction Générale des Impôts et des Domaines (DGID)</t>
  </si>
  <si>
    <t>Taxe sur la valeur ajoutée reversée</t>
  </si>
  <si>
    <t>Code général des impôts (Articles 351 à 398)</t>
  </si>
  <si>
    <t>Est assujettie à la TVA toute personne qui exerce de manière indépendante, et quel qu'en soit le lieu, toute activité de commerce ou de prestation de services, y compris les activités extractives.
Le taux est fixé à 18%.
Sont exonérés de cette taxe, les livraisons et prestations réalisées au profit de titulaires de permis de recherche de substance minérales ou pétrolières pendant toute la durée de la validité dudit permis et de ses renouvellement.</t>
  </si>
  <si>
    <t>Retenues à la source sur salaires (IR, TRIMF et CFCE)</t>
  </si>
  <si>
    <t>Code général des impôts (Articles 181 et 263 à 269)</t>
  </si>
  <si>
    <t>L'impôt sur le revenu exigible sur les traitements, salaires, pensions et rentes viagères, ainsi que la taxe représentative de l'impôt du minimum fiscal sont retenus à la source.
Le taux de contribution forfaitaire à la charge des employeurs (CFCE) est de 3%.
Les entreprises titulaires de permis de recherche de substances minérales et pétrolières sont, pendant toute toute la durée de la validité dudit permis et de ses renouvellement, exemptées de la CFCE. Concernant les entreprises titulaires de titres miniers, cette exemption est prorogée de 3 ans, à compter de la date de première production de la phase d'exploitation.</t>
  </si>
  <si>
    <t>Redressements fiscaux</t>
  </si>
  <si>
    <t>Code général des impôts (Articles 665 à 691)</t>
  </si>
  <si>
    <t>Toute entreprise contrevenant à ses obligations fiscales est soumises à des sanctions fiscales (Intéréts de retard, Amendes, Pénalités). Les taux varient selon les types de sanctions.</t>
  </si>
  <si>
    <t>Impôt sur les sociétés</t>
  </si>
  <si>
    <t>Code général des impôts (Articles 36 et article 64)</t>
  </si>
  <si>
    <t>Cet Impôt est assis sur les bénéfices réalisés l'année précédent celle de l'imposition. Son taux est fixé à 30%. Certaines conventions minières prévoient des exonérations de l'impot sur les sociétés pour une période déterminée.
L'impôt sur les sociétés inclu l'impôt sur les plus-values sur cession d'actifs, de valeurs mobilières et des parts sociales.</t>
  </si>
  <si>
    <t>Impôt sur les sociétés (bénéfices non pétroliers/miniers )</t>
  </si>
  <si>
    <t>L'article 48 du code pétrolier prévoit une exonération pendant les phases de recherche et de développement de tout impôt direct sur le revenu frappant les résultats des opérations pétrolières/minières.
Ce flux correspondant à l'impot frappant les bénéfices non issus de l'activité extractive tels que les celui frappant les plus values réalisées lors des transfers des titres.</t>
  </si>
  <si>
    <t>Retenues à la source sur bénéfice non commercial</t>
  </si>
  <si>
    <t>Code général des impôts (Article 200)</t>
  </si>
  <si>
    <t>C'est une retenue à la source sur les sommes versées à des personnes physiques exerçant une activité non comerciale.</t>
  </si>
  <si>
    <t>Contribution spéciale sur les produits des mines et des carrières (CSMC)</t>
  </si>
  <si>
    <t>Loi de Finances rectificative pour l'année 2014 (Article 19)</t>
  </si>
  <si>
    <t>Cette contribution s'applique aux livraisons sur le marché intérieur, aux importations et aux exportations de substances minérales et fossiles visées à larticle 4 du Code minier et au ciment.
Sont exonérés de la CSMC
- Les produits des mines et carrières lorsqu'ils sont utilisés dans la production de biens soumis à cette mêmecontribution ;
- les exportations de ciment.
Le taux de contribution est fixé à 4%, pour l'Or, en 2014, et à 3% pour les autres produits</t>
  </si>
  <si>
    <t>Retenue à la source sur sommes versées à des tiers</t>
  </si>
  <si>
    <t>C'est une retenue à la source sur les sommes versées par un débiteur établi au Sénégal, à des personnes physiques résidant au Sénégal, en rémunération de prestations de toute nature fournies ou utilisées au Sénégal. Le taux de la retenue à la source est fixé à 5% du montant brut hors taxe des sommes versées.</t>
  </si>
  <si>
    <t>Taxe sur la valeur ajoutée précomptée</t>
  </si>
  <si>
    <t>Code général des impôts (Articles 372)</t>
  </si>
  <si>
    <t>Sont soumises au régime du précompte les opérations faisant l'objet de tout contrat payé par les producteurs de ciment.</t>
  </si>
  <si>
    <t>Impôt minimum forfaitaire</t>
  </si>
  <si>
    <t>Code général des impôts (Articles 38 à 40)</t>
  </si>
  <si>
    <t>L'Impôt minimum forfaitaire est dû sur le chiffre d'affaire hors taxes réalisé l'année précédent celle de l'imposition à raison de 0,5%. En auciun cas, il ne peut etre &gt; 5 000 000 FCFA ou &lt; 500 000 FCFA.
Sont exonérés les titulaires de permis d'exploitation et de concessions minières ou pétrolières, pendant une période de 3 ans à compter de la date de délivrance du titre d'exploitation.</t>
  </si>
  <si>
    <t>Surtaxe foncière</t>
  </si>
  <si>
    <t>Code général des impôts (Article 303)</t>
  </si>
  <si>
    <t>Cette surtace est établie dans les communes de la région de Dakar et dans les communes chefs-lieux de région une surtaxe sur les terrains non bâtis ou insuffisamment bâtis.</t>
  </si>
  <si>
    <t>Impôt sur le revenu des valeurs mobilières</t>
  </si>
  <si>
    <t>Code général des impôts (Articles 83 à 116)</t>
  </si>
  <si>
    <t>Sont soumis à cet impôt les revenus distribués par les personnes morales passibles de l'impôt sur les sociétés</t>
  </si>
  <si>
    <t>Taxe spéciale sur le ciment</t>
  </si>
  <si>
    <t>Article 22 LFI 2017</t>
  </si>
  <si>
    <t>Direction Générale des Douanes (DGD)</t>
  </si>
  <si>
    <t>43-49</t>
  </si>
  <si>
    <t>Droits de douane, TVA douanière et taxes assimilées</t>
  </si>
  <si>
    <t>Code général des impôts (Article 352)</t>
  </si>
  <si>
    <r>
      <t xml:space="preserve">Taxe sur la valeur ajoutée doianière : </t>
    </r>
    <r>
      <rPr>
        <sz val="10"/>
        <color theme="1"/>
        <rFont val="Kohinoor Devanagari"/>
        <family val="3"/>
      </rPr>
      <t>Les importations de biens au Sénégal sont soumises à la Taxe sur la valeur ajoutée.</t>
    </r>
    <r>
      <rPr>
        <b/>
        <sz val="10"/>
        <color theme="1"/>
        <rFont val="Kohinoor Devanagari"/>
        <family val="3"/>
      </rPr>
      <t xml:space="preserve">
Les titulaires de permis de recherche sont exonérés de TVA à l'importation, notamment sur les matériaux destinés de manière spécifique et définitivement aux opérations de recheche minière et dont l'importation est indispensable à la réalisation de leur programme de recherche (Article 59 du Code minier).</t>
    </r>
  </si>
  <si>
    <t>Règlement 02/97-CM/UEMOA du 28 novembre 1997 portant adoption du Tarif Extérieur Commun de l'UEMOA</t>
  </si>
  <si>
    <r>
      <t xml:space="preserve">Prélèvement communautaire solidaire UEMOA: </t>
    </r>
    <r>
      <rPr>
        <sz val="10"/>
        <color theme="1"/>
        <rFont val="Kohinoor Devanagari"/>
        <family val="3"/>
      </rPr>
      <t>Prélèvement effectué pour le compte de l'Union Économique et Monétaire Ouest Africaine (UEMOA). Son taux est de 1% de la valeur en douane des marchandises importées hors UEMOA.</t>
    </r>
  </si>
  <si>
    <t>Règlement n° 02/2000/CM/UEMOA modifiant et complétant l'Article 8 du Règlement n° 02/97/CM/UEMOA</t>
  </si>
  <si>
    <r>
      <t xml:space="preserve">Redevance statistique UEMOA: </t>
    </r>
    <r>
      <rPr>
        <sz val="10"/>
        <color theme="1"/>
        <rFont val="Kohinoor Devanagari"/>
        <family val="3"/>
      </rPr>
      <t>Prélèvement effectué pour le compte de l'Union Économique et Monétaire Ouest Africaine (UEMOA). Son taux est de 1% de la valeur en douane des marchandises importées hors UEMOA.</t>
    </r>
  </si>
  <si>
    <t>Code des douanes (Articles 4 à 8)</t>
  </si>
  <si>
    <r>
      <t xml:space="preserve">Droits de douane: </t>
    </r>
    <r>
      <rPr>
        <sz val="10"/>
        <color theme="1"/>
        <rFont val="Kohinoor Devanagari"/>
        <family val="3"/>
      </rPr>
      <t>Les droits de douane sont appliqués suivant le tableau des droits et taxes inscrits au tarif des douanes.</t>
    </r>
  </si>
  <si>
    <t>Article 72 du traité révisé de la CEDEAO du 24 juillet 1993</t>
  </si>
  <si>
    <r>
      <t xml:space="preserve">Prélèvement communautaire CEDEAO: </t>
    </r>
    <r>
      <rPr>
        <sz val="10"/>
        <color theme="1"/>
        <rFont val="Kohinoor Devanagari"/>
        <family val="3"/>
      </rPr>
      <t>Prélèvement effectué pour le compte de la Communauté Économique des Etats d'Afrique de l'Ouest (CEDEAO). Son taux est de 0,5% de la valeur en douane des marchandises importées hors CEDEAO.</t>
    </r>
  </si>
  <si>
    <r>
      <t xml:space="preserve">Prélèvement pour le Conseil Sénégalais des Chargeurs (COSEC) : </t>
    </r>
    <r>
      <rPr>
        <sz val="10"/>
        <color theme="1"/>
        <rFont val="Kohinoor Devanagari"/>
        <family val="3"/>
      </rPr>
      <t>Prélèvement effectué au bénéfice du Conseil Sénégalais des Chargeurs.</t>
    </r>
  </si>
  <si>
    <t>loi N° 75-51 du 03 Avril 1975 (Article 4)</t>
  </si>
  <si>
    <t>Les entreprises titulaires de permis de recherche sont exonérés du paiement de ces prélevements (Article 59 du Code minier).</t>
  </si>
  <si>
    <r>
      <t xml:space="preserve">Taxe d'enregistrement des véhicules: </t>
    </r>
    <r>
      <rPr>
        <sz val="10"/>
        <color theme="1"/>
        <rFont val="Kohinoor Devanagari"/>
        <family val="3"/>
      </rPr>
      <t>Les véhicules importés sont frappés de droits d’enregistrement collectés et reversés dans les comptes du Trésor public par les services de la Douane.</t>
    </r>
  </si>
  <si>
    <r>
      <t xml:space="preserve">Prélèvement pour le Programme de Modernisation de l’Administration des Douanes (PROMAD) : </t>
    </r>
    <r>
      <rPr>
        <sz val="10"/>
        <color theme="1"/>
        <rFont val="Kohinoor Devanagari"/>
        <family val="3"/>
      </rPr>
      <t>-	Le flux "Prélèvement pour le Programme de Modernisation de l’Administration des Douanes (PROMAD) ». Par décret N°2021-928 du 08 juillet 2021, il est institué un Prélèvement pour le Programme de Modernisation de l’Administration des Douanes (PROMAD) sous forme d’une taxe ad valorem au taux de 3%.</t>
    </r>
  </si>
  <si>
    <t>Amendes, pénalités et redressements douaniers</t>
  </si>
  <si>
    <t>Code des douanes</t>
  </si>
  <si>
    <t>Toute entreprise contrevenant à ses obligations douanières est soumises à des sanctions (Intéréts de retard, Amendes, Pénalités). Les taux varient selon les types de sanctions.</t>
  </si>
  <si>
    <t>Direction de l'Environnement et des Etablissements Classés (DEEC)</t>
  </si>
  <si>
    <t>Taxe superficiaire</t>
  </si>
  <si>
    <t>Code de l'environnement (Article 27)</t>
  </si>
  <si>
    <t>Le titulaire d’un permis de recherche ou d’exploitation est redevable d'une taxe superficiaire sur les établissements classés. Son taux varie en fonction du la surface concernée</t>
  </si>
  <si>
    <t>Taxe à la pollution</t>
  </si>
  <si>
    <t>Code de l'environnement (Article 27 et 73)</t>
  </si>
  <si>
    <t>La taxe à la pollution est déterminée en fonction du degré de pollution, ou charge polluante. La charge polluante retenue comme assiette de la taxe est la moyenne des résultats des prélèvements effectués lors d’une ou de plusieurs campagnes de mesures</t>
  </si>
  <si>
    <t>Appui Institutionnel (Fonds d'appui au Mini. De l'Env)</t>
  </si>
  <si>
    <t>Il s'agit des montants convenus pour l'appui au Ministère de l'environnement. Ce flux inclut les paiements en nature et les paiements en numéraires.</t>
  </si>
  <si>
    <t>Direction des Eaux, Forêts, Chasses et Conservation des Sols (DEFCCS)</t>
  </si>
  <si>
    <t>Taxes d'abattage</t>
  </si>
  <si>
    <t>Code Forestier</t>
  </si>
  <si>
    <t>Taxe versée dans le cadre de la politique environnementale du gouvernement.</t>
  </si>
  <si>
    <t>Caisse de Sécurité Sociale (CSS)</t>
  </si>
  <si>
    <t>Cotisations sociales (y compris les pénalités)</t>
  </si>
  <si>
    <t>Code de la sécurité sociale</t>
  </si>
  <si>
    <t>Ce sont les contributions patronales payées par les entreprises minières (employeur)</t>
  </si>
  <si>
    <t>Institution de prévoyance retraite du Sénégal (IPRES)</t>
  </si>
  <si>
    <t>Statuts de l'IPRES</t>
  </si>
  <si>
    <t>Toutes les administrations et organismes collecteurs</t>
  </si>
  <si>
    <t>Autres flux de paiements significatifs (&gt; 25 millions de FCFA)</t>
  </si>
  <si>
    <t>Il s'agit de tout autre flux de paiement significatif (&gt; à 25 millions FCFA)</t>
  </si>
  <si>
    <t>Paiements sociaux</t>
  </si>
  <si>
    <t>Ces flux concernent l’ensemble des contributions obligatoires (contractuelles) faites par les sociétés extractives dans le cadre du développement local en vertu des conventions conclues ou des engagements pris envers les localités et communes.
Ils concernent également Contribution au Programme social minier (PSM).</t>
  </si>
  <si>
    <t>Ces flux concernent l’ensemble des contributions volontaires faites par les sociétés extractives dans le cadre du développement local.</t>
  </si>
  <si>
    <t>Annexe 11 – Fiche de conciliation par société</t>
  </si>
  <si>
    <t xml:space="preserve">Total E&amp;P Sénégal </t>
  </si>
  <si>
    <t>BP Sénégal Investments Limited</t>
  </si>
  <si>
    <t>Nom de la société</t>
  </si>
  <si>
    <t>0023896 2G3</t>
  </si>
  <si>
    <t>Année</t>
  </si>
  <si>
    <t xml:space="preserve">Cours </t>
  </si>
  <si>
    <t>Nomenclature des flux</t>
  </si>
  <si>
    <t>Gouvernement</t>
  </si>
  <si>
    <t>Différence Finale</t>
  </si>
  <si>
    <t>Initial</t>
  </si>
  <si>
    <t>Ajustements</t>
  </si>
  <si>
    <t>Final</t>
  </si>
  <si>
    <t xml:space="preserve">Part de la production de l'État (Profit Oil État) </t>
  </si>
  <si>
    <t xml:space="preserve">Part de la production de PETROSEN (Profit Oil - Cost Oil PETROSEN) </t>
  </si>
  <si>
    <t xml:space="preserve">Redevance minière </t>
  </si>
  <si>
    <t>Droits d'entrée fixes</t>
  </si>
  <si>
    <t>Bonus (DMG)</t>
  </si>
  <si>
    <t>Bonus (PETROSEN)</t>
  </si>
  <si>
    <t xml:space="preserve">Appui à la formation </t>
  </si>
  <si>
    <t>Revenus issus de la commercialisation de la Part de la production de l'État P</t>
  </si>
  <si>
    <t xml:space="preserve">Loyer superficiaire </t>
  </si>
  <si>
    <t>Pénalités versées à PETROSEN</t>
  </si>
  <si>
    <t>DGCPT</t>
  </si>
  <si>
    <t xml:space="preserve">Revenus issus de la commercialisation de la Part de la production de l'État </t>
  </si>
  <si>
    <t xml:space="preserve">Appui institutionnel aux collectivités locales </t>
  </si>
  <si>
    <t xml:space="preserve">Impôt du minimum fiscal </t>
  </si>
  <si>
    <t xml:space="preserve">Dividendes versés à l'Etat </t>
  </si>
  <si>
    <t>Bonus (DGCPT)</t>
  </si>
  <si>
    <t xml:space="preserve">Contribution économique locale (CEL VA et CEL VL) </t>
  </si>
  <si>
    <t>DGID</t>
  </si>
  <si>
    <t>Bonus (DGID)</t>
  </si>
  <si>
    <t xml:space="preserve">Surtaxe foncière </t>
  </si>
  <si>
    <t xml:space="preserve">Frais d'inscription d'une concession minière ou d'un permis d'exploitation </t>
  </si>
  <si>
    <t>Taxe sur le ciment</t>
  </si>
  <si>
    <t>DGD</t>
  </si>
  <si>
    <t xml:space="preserve">Taxe sur la valeur ajoutée </t>
  </si>
  <si>
    <t xml:space="preserve">Prélèvement communautaire solidaire UEMOA </t>
  </si>
  <si>
    <t>Redevance statistique UEMOA</t>
  </si>
  <si>
    <t>Droits de douane</t>
  </si>
  <si>
    <t xml:space="preserve">Prélèvement communautaire CEDEAO </t>
  </si>
  <si>
    <t xml:space="preserve">Prélèvement pour le Conseil Sénégalais des Chargeurs (COSEC) </t>
  </si>
  <si>
    <t xml:space="preserve">Taxe d'enregistrement des véhicules </t>
  </si>
  <si>
    <t>Prélèvement PROMAD</t>
  </si>
  <si>
    <t>DEEC</t>
  </si>
  <si>
    <t xml:space="preserve">Appui Institutionnel (DEEC) </t>
  </si>
  <si>
    <t>DEFCCS</t>
  </si>
  <si>
    <t xml:space="preserve">Appui Institutionnel (Fonds d'appui au Mini. De l'Env) </t>
  </si>
  <si>
    <t xml:space="preserve">Cotisations sociales (y compris les pénalités) </t>
  </si>
  <si>
    <t>IPRES</t>
  </si>
  <si>
    <t>Cotisations sociales (y compris les pénalités)(IPRES)</t>
  </si>
  <si>
    <t>CDC</t>
  </si>
  <si>
    <t xml:space="preserve">Garanties données par les entreprises extractives </t>
  </si>
  <si>
    <t>CNSCL</t>
  </si>
  <si>
    <t>Paiements effectués aux fournisseurs locaux et étrangers</t>
  </si>
  <si>
    <t>Autres</t>
  </si>
  <si>
    <t>Autres flux de paiements significatifs (&gt; 25 millions de  FCFA) (reconciliables)</t>
  </si>
  <si>
    <t>0016627 2G3</t>
  </si>
  <si>
    <t>2850023 2G3</t>
  </si>
  <si>
    <t>0325995 2G3</t>
  </si>
  <si>
    <t>2849258 2G3</t>
  </si>
  <si>
    <t>0028797 2G3</t>
  </si>
  <si>
    <t>0022955 2G3</t>
  </si>
  <si>
    <t>2707208 2G3</t>
  </si>
  <si>
    <t>004716033</t>
  </si>
  <si>
    <t>4151750 2Y2</t>
  </si>
  <si>
    <t>2464410 0G2</t>
  </si>
  <si>
    <t>006378732 G2</t>
  </si>
  <si>
    <t>4013041 2G3</t>
  </si>
  <si>
    <t>4507995 2G3</t>
  </si>
  <si>
    <t>2292168 2G3</t>
  </si>
  <si>
    <t>0224498 2G3</t>
  </si>
  <si>
    <t>0415770 2G3</t>
  </si>
  <si>
    <t xml:space="preserve"> 005251822 2G2 </t>
  </si>
  <si>
    <t xml:space="preserve">006420509 2A2 </t>
  </si>
  <si>
    <t>Annexe 12 –  Détail des revenus budgétaires par société extractive</t>
  </si>
  <si>
    <t>Secteur</t>
  </si>
  <si>
    <t>Montant en FCFA</t>
  </si>
  <si>
    <t>Secteur des hydrocarbures</t>
  </si>
  <si>
    <t>Hors périmètre</t>
  </si>
  <si>
    <t>CRBC</t>
  </si>
  <si>
    <t>CSE GRANULAT</t>
  </si>
  <si>
    <t>Sociétés hors périmètre nécessitant une déclaration unilatérale</t>
  </si>
  <si>
    <t>GRAVITA SENEGAL SAU</t>
  </si>
  <si>
    <t>GLOBAL AFRICINVEST - SA</t>
  </si>
  <si>
    <t>Compagnie Sah,lienne d'Entreprise (100%)</t>
  </si>
  <si>
    <t>Randgold Ressources LTD</t>
  </si>
  <si>
    <t>AFRIGOLD SARL</t>
  </si>
  <si>
    <t>Bosfor SARL</t>
  </si>
  <si>
    <t>SWAMI MINES</t>
  </si>
  <si>
    <t>CSE GRANULATS</t>
  </si>
  <si>
    <t>TANOR GRANULAT</t>
  </si>
  <si>
    <t>AREZKI S.A</t>
  </si>
  <si>
    <t>MAKABINGUI GOLD OPERATION SA</t>
  </si>
  <si>
    <t>SOCIETE DE CONCASSAGE ET DE BETON SARL</t>
  </si>
  <si>
    <t>Serigne salioun mbacke</t>
  </si>
  <si>
    <t>S DOM HOLDING GOLD SARL</t>
  </si>
  <si>
    <t>ENTR MAPATHE NDIOUCK</t>
  </si>
  <si>
    <t>SINTRADE SA</t>
  </si>
  <si>
    <t>DIVERS</t>
  </si>
  <si>
    <t>NOGA MINE SARL</t>
  </si>
  <si>
    <t>Société Cilage Mine SARL</t>
  </si>
  <si>
    <t>ATIC</t>
  </si>
  <si>
    <t>TRANSPORT AMADOU DIEYE</t>
  </si>
  <si>
    <t>DIENG &amp; CO ENGINEERING - SAS</t>
  </si>
  <si>
    <t>XINJIN ZIRCONIUM INDUSTRY</t>
  </si>
  <si>
    <t>Mandinga Ressource</t>
  </si>
  <si>
    <t>AFRICAN STAR</t>
  </si>
  <si>
    <t>EIFAGE SN</t>
  </si>
  <si>
    <t>AFRICAN PETROLEUM SENEGAL LIMITED -SAU</t>
  </si>
  <si>
    <t>NEGOCE FIABLE SENEGAL NEFIS</t>
  </si>
  <si>
    <t>SALLA NIANG SARL</t>
  </si>
  <si>
    <t>CARRIERE ET SABLE</t>
  </si>
  <si>
    <t>EIFFAGE</t>
  </si>
  <si>
    <t>2SBCI</t>
  </si>
  <si>
    <t>SDT ENERGY TECHNOLOGY SARL</t>
  </si>
  <si>
    <t>GEO EXPLOIT</t>
  </si>
  <si>
    <t>Vaprom SA</t>
  </si>
  <si>
    <t>ALIOU SOUARE</t>
  </si>
  <si>
    <t>G.H. MINING SARL</t>
  </si>
  <si>
    <t>AFTECO</t>
  </si>
  <si>
    <t>ENTREPRISE CCBA SUARL</t>
  </si>
  <si>
    <t>BOYA GOLD</t>
  </si>
  <si>
    <t>COTRAC</t>
  </si>
  <si>
    <t>ENT GENIE CIVIL CONCASSAGE basalte du ndiambour (EGCCBN)</t>
  </si>
  <si>
    <t>IBRAHIMA BA</t>
  </si>
  <si>
    <t>DIYUAN</t>
  </si>
  <si>
    <t>ALBINA SN</t>
  </si>
  <si>
    <t>ISLE WORLDWIDE - SA</t>
  </si>
  <si>
    <t>TOTAL ENERGIES MARK SEN</t>
  </si>
  <si>
    <t>COMPLEXE SERIGNE SALIOU MBACKE SARL</t>
  </si>
  <si>
    <t>SENEGINDIA</t>
  </si>
  <si>
    <t>Société sénégalaise de promotion immobilière</t>
  </si>
  <si>
    <t>ISLE GRANULATES &amp; SERVICES SA       HANN</t>
  </si>
  <si>
    <t>ENERGY AND MINING CORPORATION</t>
  </si>
  <si>
    <t>GADD BISSIK</t>
  </si>
  <si>
    <t>NEW ENERGY INVESTMMENT</t>
  </si>
  <si>
    <t>ENT AICHA</t>
  </si>
  <si>
    <t>SA BOYA       DAKAR</t>
  </si>
  <si>
    <t>BAMTAARE COMPANY</t>
  </si>
  <si>
    <t>SENEGAL MINERAL RESOURCES SA</t>
  </si>
  <si>
    <t>WORLDWIDE SA ISLE       HANN</t>
  </si>
  <si>
    <t>AGRO SENEGAL EXPLOIT SARL</t>
  </si>
  <si>
    <t>CARAHMANE OUSMANE NDIAYE</t>
  </si>
  <si>
    <t>INSTITUT GEOSCIENCES DE DAKAR</t>
  </si>
  <si>
    <t>Massawa Jersey Limited</t>
  </si>
  <si>
    <t>REGISSEUR</t>
  </si>
  <si>
    <t>OUSMANE SOW</t>
  </si>
  <si>
    <t>SYPROM SA</t>
  </si>
  <si>
    <t>DIAPORA TRADING</t>
  </si>
  <si>
    <t>LA SOCIETE GO GROUPE</t>
  </si>
  <si>
    <t>MANDINGA RESOURCES - SARL</t>
  </si>
  <si>
    <t>ENGINEERING SAS DIENG &amp; CO QRT    HLM V  DAKAR</t>
  </si>
  <si>
    <t>ENT GENIE CIVIL CONCASSAGE basalte du ndiambour</t>
  </si>
  <si>
    <t>ENT NDIGUEL FALL</t>
  </si>
  <si>
    <t>MBF PROPERTIES -SA</t>
  </si>
  <si>
    <t>GCS</t>
  </si>
  <si>
    <t>CAPRICORNE SENEGAL LIMITED SUCCURSALE</t>
  </si>
  <si>
    <t>LA SOCIETE SO.SE.TER</t>
  </si>
  <si>
    <t>KBC</t>
  </si>
  <si>
    <t>ENT OUSMANE SOW</t>
  </si>
  <si>
    <t>SIM</t>
  </si>
  <si>
    <t>PETRODIS</t>
  </si>
  <si>
    <t>GIE NGAAY DJITE</t>
  </si>
  <si>
    <t>SOCIETE SENEGALAISE DE NEGOCE INTERNATIONAL SARL</t>
  </si>
  <si>
    <t>GIE NGAAYE DJITE</t>
  </si>
  <si>
    <t>GIE BOOK JOM ANDE LIGUEY MEKHEE</t>
  </si>
  <si>
    <t>COMPTOIR COMMERCIAL DAOUDA DIA -SUARL</t>
  </si>
  <si>
    <t>Annexe 13 –  Détail des revenus budgétaires par flux de paiement</t>
  </si>
  <si>
    <t>Régie</t>
  </si>
  <si>
    <t>Montat</t>
  </si>
  <si>
    <t>DGM</t>
  </si>
  <si>
    <t>Frais de bornage</t>
  </si>
  <si>
    <t>Autres flux de paiements</t>
  </si>
  <si>
    <t>Taxe sur établissements classés</t>
  </si>
  <si>
    <t>Taxe publicitaire</t>
  </si>
  <si>
    <t>Taxe d'extraction</t>
  </si>
  <si>
    <t>Annexe 14 –  Détail du paiement global du secteur extractif</t>
  </si>
  <si>
    <t>SENEGAL MINES S.A</t>
  </si>
  <si>
    <t>FAMY SENEGAL THIES - SUARL</t>
  </si>
  <si>
    <t>GLOBAL AFRICINVEST (GAI)</t>
  </si>
  <si>
    <t>GLOBAL IMMO SENEGAL SARL</t>
  </si>
  <si>
    <t>TRANSPORTS AHMED DJOUMA GAZAL ET FILS</t>
  </si>
  <si>
    <t>FAMY SENEGAL SUARL</t>
  </si>
  <si>
    <t>ARC EN CIEL-S.A.</t>
  </si>
  <si>
    <t>P R O C H I M A T</t>
  </si>
  <si>
    <t>AFRICAN STAR RESSOURCES SARL</t>
  </si>
  <si>
    <t>MINING GROUP - SA TRIYANGS INT QRT    BLD MARTIN LUTHER KING FANN MERMOZ  DAKAR</t>
  </si>
  <si>
    <t>ENTR MAPATHE  NDIOUCK</t>
  </si>
  <si>
    <t>ROYAL SENEGAL MINES  ET  EQUIPEM</t>
  </si>
  <si>
    <t>ALBINA SENEGAL COMMERCE GENERAL SURL</t>
  </si>
  <si>
    <t>GRAVITA SENEGAL S.A.U</t>
  </si>
  <si>
    <t>GAZAL CARRIERES SARL</t>
  </si>
  <si>
    <t>SOCIETE INDUSTRIELLE ET COMMERCIALE  DE L'AUTOMOBILE DU SENEGAL (SICAS)</t>
  </si>
  <si>
    <t>GEOMIN</t>
  </si>
  <si>
    <t>SOCAM-SUARL</t>
  </si>
  <si>
    <t>KANSALA RESOURCES S.A</t>
  </si>
  <si>
    <t>DIENG &amp; CO ENGINEERING SAS</t>
  </si>
  <si>
    <t>MINEREX SC CABINET MAYORO W</t>
  </si>
  <si>
    <t>C W E SENEGAL SUARL (MBOUR)</t>
  </si>
  <si>
    <t>SWAM MINES</t>
  </si>
  <si>
    <t>ENTREPRISE MAMADOU DIOP - E.M.D.</t>
  </si>
  <si>
    <t>MBF PROPERTIES</t>
  </si>
  <si>
    <t>STE INDUSTRIELLE ET MINIERE</t>
  </si>
  <si>
    <t>I.M.C. SARL     SICAP  DAKAR</t>
  </si>
  <si>
    <t>MRL International Industries SARL</t>
  </si>
  <si>
    <t>Annexe 15 –  Détail des paiements des entreprises par flux de paiement</t>
  </si>
  <si>
    <t>Annexe 16 – Détail de la déclaration Unilatérale de l’Etat</t>
  </si>
  <si>
    <t>Annexe 17 – Formulaire de déclaration 2023</t>
  </si>
  <si>
    <t>Payé à
/reçu par</t>
  </si>
  <si>
    <t>Montant
/Volume</t>
  </si>
  <si>
    <t>Montant</t>
  </si>
  <si>
    <t>Tous</t>
  </si>
  <si>
    <t>Annexe 18.1  – Etat des permis octroyés en 2023</t>
  </si>
  <si>
    <t>Date de Fin de Validité</t>
  </si>
  <si>
    <t>Annexe 18.2  – Etat des titres en cours de renouvellement en 2023</t>
  </si>
  <si>
    <t>Annexe 18.3  – Etat des Transferts_arrêtés 2023</t>
  </si>
  <si>
    <t>Référence du Titre/Bloc Concerné</t>
  </si>
  <si>
    <t>Date d'Octroi
de Transfert</t>
  </si>
  <si>
    <t>Raison Sociale
Ancien Propriétaire</t>
  </si>
  <si>
    <t>Attributaire</t>
  </si>
  <si>
    <t>Processus d'Attribution/Transfert</t>
  </si>
  <si>
    <t>Critères Techniques</t>
  </si>
  <si>
    <t>Critères Financiers</t>
  </si>
  <si>
    <t>Liste des Candidats</t>
  </si>
  <si>
    <t>Autres Commentaires</t>
  </si>
  <si>
    <t>COMPTOIR IMMOBILIER ET SERVICE SARL</t>
  </si>
  <si>
    <t xml:space="preserve">                     2990499 2U2</t>
  </si>
  <si>
    <t>SENEGAL STEEL ENTREPRISE SURL</t>
  </si>
  <si>
    <t>tranfert</t>
  </si>
  <si>
    <t xml:space="preserve"> pèrimétre des ICS</t>
  </si>
  <si>
    <t xml:space="preserve">LANVIC CONSULTING </t>
  </si>
  <si>
    <t>LANVIC MINING SUARL</t>
  </si>
  <si>
    <t>mutation</t>
  </si>
  <si>
    <t xml:space="preserve">SCI NGARAFF </t>
  </si>
  <si>
    <t xml:space="preserve">                003025378 2V7</t>
  </si>
  <si>
    <t>SCI NGARAFF SARL</t>
  </si>
  <si>
    <t>VAPROM</t>
  </si>
  <si>
    <t>BABJUF MINES.</t>
  </si>
  <si>
    <t>WEST AFRICAN INVESTMENT HOLDING SA</t>
  </si>
  <si>
    <t>00 4132247</t>
  </si>
  <si>
    <t xml:space="preserve">SAFMI RESOURCES COMPANY LIMITED GUINEE-BISSAU SA </t>
  </si>
  <si>
    <t>Annexe 19 – Détail des transactions effectuées avec les fournisseurs locaux</t>
  </si>
  <si>
    <t xml:space="preserve">Secteur des hydrocarbures : </t>
  </si>
  <si>
    <t>Renseigner les noms des fournisseurs (personne physique ou personne morale) par ordre décroissant des paiements annuels cumulés</t>
  </si>
  <si>
    <t>NINEA du fournisseur</t>
  </si>
  <si>
    <t>Adresse</t>
  </si>
  <si>
    <t>Nombre de marchés exécutés</t>
  </si>
  <si>
    <t>Cumul annuel Paiements en FCFA</t>
  </si>
  <si>
    <t>Bénéficiaires effectifs de la personne morale ou lien vers la place bousière où l'entreprise est cotée</t>
  </si>
  <si>
    <t>Numéro de la catégorie de marché dont le montant annuel est le plus élévé</t>
  </si>
  <si>
    <t>Numéro de la catégorie de marché dont le montant annuel est le 2ème plus élevé</t>
  </si>
  <si>
    <t>Montant cumulé des autres marchés exécutés dans l'année en FCFA</t>
  </si>
  <si>
    <t>AGENCE LA COLOMBE</t>
  </si>
  <si>
    <t>587 ngor extension Dakar</t>
  </si>
  <si>
    <t>AGENCE</t>
  </si>
  <si>
    <t>Yoff cité</t>
  </si>
  <si>
    <t>D'ASSISTANCE DE SECURITE DE PROXIMITE</t>
  </si>
  <si>
    <t>Adama Diop villa n°1</t>
  </si>
  <si>
    <t>MAZARS SENEGAL</t>
  </si>
  <si>
    <t>14 bld djily mbaye</t>
  </si>
  <si>
    <t>SENELEC</t>
  </si>
  <si>
    <t>28 rue Vincens</t>
  </si>
  <si>
    <t>SONATEL</t>
  </si>
  <si>
    <t>64 cité keur gorgui</t>
  </si>
  <si>
    <t>SCI CROISSANCE</t>
  </si>
  <si>
    <t>103
sotrac mermoz</t>
  </si>
  <si>
    <t>TEYLIUM</t>
  </si>
  <si>
    <t>Nom</t>
  </si>
  <si>
    <t xml:space="preserve">Autre </t>
  </si>
  <si>
    <t>Rue vincens</t>
  </si>
  <si>
    <t>SEN'EAU</t>
  </si>
  <si>
    <t>Rte front de terre</t>
  </si>
  <si>
    <t>Av republique</t>
  </si>
  <si>
    <t>CIM</t>
  </si>
  <si>
    <t>Sacre coeur3</t>
  </si>
  <si>
    <t>Av peytavin</t>
  </si>
  <si>
    <t>KSBM</t>
  </si>
  <si>
    <t>Km5.3 bd du cc</t>
  </si>
  <si>
    <t>BAEAUBAB SENEGAL</t>
  </si>
  <si>
    <t>Sicap Amitié3</t>
  </si>
  <si>
    <t>EMC</t>
  </si>
  <si>
    <t>Sacré coeur 3</t>
  </si>
  <si>
    <t>MONALISA</t>
  </si>
  <si>
    <t>Ngor almadies</t>
  </si>
  <si>
    <t>ELTON OIL COMPANY</t>
  </si>
  <si>
    <t>Estele mermoz</t>
  </si>
  <si>
    <t>MOLECULES GAS</t>
  </si>
  <si>
    <t>Point e rue 4XB</t>
  </si>
  <si>
    <t>TRANSPORTS AMAR</t>
  </si>
  <si>
    <t>Km4 bd cc</t>
  </si>
  <si>
    <t>SAHEL BTP</t>
  </si>
  <si>
    <t>SCP AMADOU MOUSTAPHA NDIAYE AIDA DIAGNE MAMAHA MOUSTAPHA</t>
  </si>
  <si>
    <t>GLOBAL INDUSTRY SENEGAL</t>
  </si>
  <si>
    <t>Conseil National De Developpment De La Nutrition</t>
  </si>
  <si>
    <t>La Societe Commerciale Immobiliere Mad (Sci Mad)</t>
  </si>
  <si>
    <t>LA SÉNÉGALAISE DE PROMOTION IMMOBILIÈRE</t>
  </si>
  <si>
    <t>PROLOG SUARL</t>
  </si>
  <si>
    <t>Maximerit</t>
  </si>
  <si>
    <t>IZAURA SARL</t>
  </si>
  <si>
    <t>HYDROTECHNIQUE DAKAR JET CENTER</t>
  </si>
  <si>
    <t>Fortune Properties</t>
  </si>
  <si>
    <t>Locset</t>
  </si>
  <si>
    <t>SAGAM SECURITE S.A</t>
  </si>
  <si>
    <t>Mazars Senegal</t>
  </si>
  <si>
    <t>Elton</t>
  </si>
  <si>
    <t>KPMG</t>
  </si>
  <si>
    <t>DHL</t>
  </si>
  <si>
    <t>GSGS</t>
  </si>
  <si>
    <t>CFAO Motors</t>
  </si>
  <si>
    <t>Obbo</t>
  </si>
  <si>
    <t>Senecartours</t>
  </si>
  <si>
    <t>LA RESERVE</t>
  </si>
  <si>
    <t>Manino Immobilier S.A</t>
  </si>
  <si>
    <t>HOOP GALERIE</t>
  </si>
  <si>
    <t>AGS Frasers International</t>
  </si>
  <si>
    <t>KATI360</t>
  </si>
  <si>
    <t>Zenith International</t>
  </si>
  <si>
    <t>EAT MULTISERVICES</t>
  </si>
  <si>
    <t>TOPWORKS</t>
  </si>
  <si>
    <t>Sacré coeur 3
Pyrotechnie lot R123 cité Keur Gorgui</t>
  </si>
  <si>
    <t>SAGA AFRICA HOLDINGS LIMITED</t>
  </si>
  <si>
    <t>15 Almadies route de Ngor</t>
  </si>
  <si>
    <t>PWC PRICE WTER HOUSE CO</t>
  </si>
  <si>
    <t>47 Avenue
Hassan 2</t>
  </si>
  <si>
    <t>HOTEL PULLMAN</t>
  </si>
  <si>
    <t>Rue Colbert</t>
  </si>
  <si>
    <t>64 cité Keur Gorgui</t>
  </si>
  <si>
    <t>BOLLORE</t>
  </si>
  <si>
    <t>KM 45
Boulevard du centenaire de la commune Dakar</t>
  </si>
  <si>
    <t>CANADIAN BOTLING CO</t>
  </si>
  <si>
    <t>KM 18 Rte
de Rufisque TF 2330
Zone Franche</t>
  </si>
  <si>
    <t>RACINE ERNEST &amp; YOUNG</t>
  </si>
  <si>
    <t>22 Rue Ramez Bourgi</t>
  </si>
  <si>
    <t>GRAZEINA TECHNOLOGIES</t>
  </si>
  <si>
    <t>Cité des Magistrats lot 41</t>
  </si>
  <si>
    <t>GREEN BUSINESS AFRICA</t>
  </si>
  <si>
    <t>Hann Maristes 1 villa 5B</t>
  </si>
  <si>
    <t>SANLAM ASSURANCES SENEGAL</t>
  </si>
  <si>
    <t>Boulevard de la Madeleine rue carnot</t>
  </si>
  <si>
    <t>Marine Nationale</t>
  </si>
  <si>
    <t>Arsenal de la Marine</t>
  </si>
  <si>
    <t>Air Consulting SARL</t>
  </si>
  <si>
    <t>Immeuble Hermes 1 VDN Cite Keur Gorgui</t>
  </si>
  <si>
    <t>Institut National du Petrole et du GazA.</t>
  </si>
  <si>
    <t>Boulevard de Saint Louis Immeuble Adja KOONE Point E</t>
  </si>
  <si>
    <t>Transacauto S.A.</t>
  </si>
  <si>
    <t>102 Rue Joseph Gomis X Amadou Assane Ndoye BP 2302</t>
  </si>
  <si>
    <t>Société des Pétroles du Sénégal</t>
  </si>
  <si>
    <t>Route du service geographique - Hann BP2076</t>
  </si>
  <si>
    <t>Control Risks</t>
  </si>
  <si>
    <t>1st Floor SIA</t>
  </si>
  <si>
    <t>Senegal SARL</t>
  </si>
  <si>
    <t>Building Route de Ngor Les Almadies</t>
  </si>
  <si>
    <t>O2 Catering and Service Sarl</t>
  </si>
  <si>
    <t>Quartier Kamb Keur Mbaye Fall BP 22085</t>
  </si>
  <si>
    <t>Partenariat Regional de Conservation de la Zone Cotiere et Marine</t>
  </si>
  <si>
    <t>Sacre Coeur 3
Villa no 9866</t>
  </si>
  <si>
    <t>AXA Senegal</t>
  </si>
  <si>
    <t>5 Place de l'Independence BP 182</t>
  </si>
  <si>
    <t>Sonatel Mobiles SA</t>
  </si>
  <si>
    <t>64 Cite Keur Gorgui BP 2352</t>
  </si>
  <si>
    <t>Senelec</t>
  </si>
  <si>
    <t>28 rue Vincens BP93</t>
  </si>
  <si>
    <t>Expresso Senegal</t>
  </si>
  <si>
    <t>Immeuble Sokhna Soda Cisse - R+8 Sis Sacre Coeur 3
Lot No 9476
VDN BP 32
454</t>
  </si>
  <si>
    <t>The Spot</t>
  </si>
  <si>
    <t>8 Route des Peres Maristes</t>
  </si>
  <si>
    <t>Terrou-Bi</t>
  </si>
  <si>
    <t>Corniche Ouest Boulevard Martin Luther King BP 1179</t>
  </si>
  <si>
    <t>Sodial S.A.</t>
  </si>
  <si>
    <t>35 rue Paul
Holle BP 22085</t>
  </si>
  <si>
    <t>Ndar 24 &amp; Co</t>
  </si>
  <si>
    <t>Guet Ndar Place Faidherbe</t>
  </si>
  <si>
    <t>Sor General de Gaulle Street</t>
  </si>
  <si>
    <t>Autre</t>
  </si>
  <si>
    <t>Locaux</t>
  </si>
  <si>
    <t xml:space="preserve">Secteur minier : </t>
  </si>
  <si>
    <t>PREVOYANCE ASSURANCE</t>
  </si>
  <si>
    <t>IMSEN</t>
  </si>
  <si>
    <t>IPM</t>
  </si>
  <si>
    <t>FIVES FCB Sénégal</t>
  </si>
  <si>
    <t>92200052A2</t>
  </si>
  <si>
    <t>5 AVENUE</t>
  </si>
  <si>
    <t>Sarl</t>
  </si>
  <si>
    <t>CARDE DAKAR SENEGAL</t>
  </si>
  <si>
    <t>RUFSAC</t>
  </si>
  <si>
    <t>KM 22 ROUTE DE RUFISQUE BP 139 RUFISQUE SENEGAL</t>
  </si>
  <si>
    <t>TOTAL SENEGAL</t>
  </si>
  <si>
    <t>20415652G3</t>
  </si>
  <si>
    <t>KM 3 BD DU CENTENAIRE BP 355 DAKAR SENEGAL</t>
  </si>
  <si>
    <t>00140012G3</t>
  </si>
  <si>
    <t>28 RUE VINCENS BP 93 DAKAR SENEGAL</t>
  </si>
  <si>
    <t>BOLLORE AFRICA LOGISTICS SENEGAL</t>
  </si>
  <si>
    <t>00137482G3</t>
  </si>
  <si>
    <t>47 AVENUE ALBERT SARRAUT BP 233 DAKAR SENEGAL</t>
  </si>
  <si>
    <t>TRANSAT SARL</t>
  </si>
  <si>
    <t>21192132F2</t>
  </si>
  <si>
    <t>77 RUE 21 CITE MALICK SY BP 1498 THIES SENEGAL</t>
  </si>
  <si>
    <t>TERMINAUX VRAQUIERS DU SENEGAL SA</t>
  </si>
  <si>
    <t>49398172C3</t>
  </si>
  <si>
    <t>TVS-22 Bis BLD DJILY MBAYE X HENRI
MALAN 3ème ETAGE BP 4680 DAKAR SENEGAL</t>
  </si>
  <si>
    <t>ETABLISSEMENT</t>
  </si>
  <si>
    <t>COLOBANE</t>
  </si>
  <si>
    <t>SYLLA</t>
  </si>
  <si>
    <t>GOUYE MOURIDE RUFISQUE SENEGAL</t>
  </si>
  <si>
    <t>LENEN</t>
  </si>
  <si>
    <t>41184452C2</t>
  </si>
  <si>
    <t>SCAT URBAM MARISTE II BP 17208 DAKAR LIBERTE SENEGAL</t>
  </si>
  <si>
    <t>MODOU GUEYE S.A</t>
  </si>
  <si>
    <t>25621072D3</t>
  </si>
  <si>
    <t>KM 14 ROUTE DE RUFISQUE BP 10153 DAKAR SENEGAL</t>
  </si>
  <si>
    <t>D.E.S</t>
  </si>
  <si>
    <t>40790352V2</t>
  </si>
  <si>
    <t>LIBERTE IV N0 5081 DAKAR SENEGAL</t>
  </si>
  <si>
    <t>20488342G3</t>
  </si>
  <si>
    <t>KM 33 ANCIENNE ROUTE DE THIES RUFISQUE SENEGAL</t>
  </si>
  <si>
    <t>S.A.T.T. - Sarl</t>
  </si>
  <si>
    <t>CASTORS VILLA Nº 87 RUFISQUE SENEGAL</t>
  </si>
  <si>
    <t>EPC MINEEX SENEGAL SA</t>
  </si>
  <si>
    <t>21166992G3</t>
  </si>
  <si>
    <t>ROND POINT STELE MERMOZ IMMEUBLE M3 BICIS
5ème Etage DAKAR SENEGAL</t>
  </si>
  <si>
    <t>AFRIQUE ENERGIE ENVIRONNEMENT</t>
  </si>
  <si>
    <t>30804052C2</t>
  </si>
  <si>
    <t>AVENUE SEYDINA ISSA LAYE N
°48 RUE 268 YOFF DAKAR SENEGAL</t>
  </si>
  <si>
    <t>T.D.A.TRANSPORT</t>
  </si>
  <si>
    <t>53702682D2</t>
  </si>
  <si>
    <t>CITE LEOPOLD SEDAR SENGHOR VILLA N°191 DAKAR SENEGAL</t>
  </si>
  <si>
    <t>TOP INTER</t>
  </si>
  <si>
    <t>21183982C2</t>
  </si>
  <si>
    <t>POINT E RUE D X CHEIKH A DIOP DAKAR SENEGAL</t>
  </si>
  <si>
    <t>KHEWEUL SARL</t>
  </si>
  <si>
    <t>23974472J2</t>
  </si>
  <si>
    <t>TOUBA MBAL SENEGAL</t>
  </si>
  <si>
    <t>ROMOU</t>
  </si>
  <si>
    <t>DAKAR COMICO VDN</t>
  </si>
  <si>
    <t>FINAFRICA ASSURANCES SENEGAL</t>
  </si>
  <si>
    <t>01433210G3</t>
  </si>
  <si>
    <t>67 BD DE LA REPUBLIQUE DAKAR SENEGAL</t>
  </si>
  <si>
    <t>DAROU MINAME BATIMENT SARL</t>
  </si>
  <si>
    <t>43740712J2</t>
  </si>
  <si>
    <t>QUARTIER GUIRANENE TOUBA SENEGAL</t>
  </si>
  <si>
    <t>CODEX SA</t>
  </si>
  <si>
    <t>27075632G3</t>
  </si>
  <si>
    <t>40 AVENUE JEAN JAURES DAKAR SENEGAL</t>
  </si>
  <si>
    <t>SORTRACORP</t>
  </si>
  <si>
    <t>Dakar Sacré coeur III</t>
  </si>
  <si>
    <t>MANU SERVICES</t>
  </si>
  <si>
    <t>25300052C3</t>
  </si>
  <si>
    <t>KM 65 ROUTE DE OUAKAM DAKAR SENEGAL</t>
  </si>
  <si>
    <t>SAHEL SHIPPING SA</t>
  </si>
  <si>
    <t>01886902A2</t>
  </si>
  <si>
    <t>PORT AUTONOME DE DAKAR MOLE 10 BEL
AIR BP 1921 DAKAR SENEGAL</t>
  </si>
  <si>
    <t>584 AUTRES FNRS LCX</t>
  </si>
  <si>
    <t>ENERGIA WISE SARL</t>
  </si>
  <si>
    <t>NGOR ALMADIES NG 108 BP
25002 DAKAR FANN DAKAR SENEGAL SENEGA</t>
  </si>
  <si>
    <t>Forage FTE Senegal</t>
  </si>
  <si>
    <t>108 Mamelles Aviation K BP 29412 Yoff DAKAR
Senegal</t>
  </si>
  <si>
    <t>TRANSPORTS DIEYE</t>
  </si>
  <si>
    <t>0017766
2G3</t>
  </si>
  <si>
    <t>77, RUE 21 CITE MALICK SY BP 1094 THIES SENEGAL</t>
  </si>
  <si>
    <t>Compagnie Senegalaise de Transport et de Transit (CSTT- AO)</t>
  </si>
  <si>
    <t>KM 3,5 blvd du Centenaire de la Commune de Dakar</t>
  </si>
  <si>
    <t>C2K Staffing Sarl</t>
  </si>
  <si>
    <t>Route Nationale No 1 Hopital Regional de Thies Cite Lamy Thies Senegal</t>
  </si>
  <si>
    <t>ENIKON SENEGAL SARL</t>
  </si>
  <si>
    <t>CITE MARINE KEUR MASSAR VILLA No 194 DAKAR SENEGAL</t>
  </si>
  <si>
    <t>SGU Sarl</t>
  </si>
  <si>
    <t>BP 7186 Dakar Senegal</t>
  </si>
  <si>
    <t>Chaine de Distribution Alimentaire CDA</t>
  </si>
  <si>
    <t>31, Rue Docteur Theze BP 21061
Dakar Ponty</t>
  </si>
  <si>
    <t>Sodial SA Societe de Distribut</t>
  </si>
  <si>
    <t>5, Rue Paul Holle BP 22085 Dakar</t>
  </si>
  <si>
    <t>THIAROYE TRAVAUX INDUSTRIE SAU</t>
  </si>
  <si>
    <t>Guediaway wakhinane nimzatt plle N 1043</t>
  </si>
  <si>
    <t>Etablissement MAMADOU SALL/SEYDOU SALL</t>
  </si>
  <si>
    <t>MARCHE KEDOUGOU SENEGAL</t>
  </si>
  <si>
    <t>STIA</t>
  </si>
  <si>
    <t>GROUPE FAUZIE LAYOUSSE</t>
  </si>
  <si>
    <t>TERMINAUX VRAQUIERS DU SENEGAL</t>
  </si>
  <si>
    <t>AUTRES</t>
  </si>
  <si>
    <t>ENTREPRISE HEXAGONE SI</t>
  </si>
  <si>
    <t>SALIOU FALL ETS KEUR BAYE ZAL</t>
  </si>
  <si>
    <t>LEBOUGUI LA</t>
  </si>
  <si>
    <t>ETIM SARL</t>
  </si>
  <si>
    <t>LIANT SARL</t>
  </si>
  <si>
    <t>OWATRANS SUARL</t>
  </si>
  <si>
    <t>CHALLENGE 2000 SARL</t>
  </si>
  <si>
    <t>EFFITRANS SA</t>
  </si>
  <si>
    <t>GROUP TOP INTER</t>
  </si>
  <si>
    <t>LOCASEN</t>
  </si>
  <si>
    <t>ENTREPRISE ELHADJI DIAGNE</t>
  </si>
  <si>
    <t>ENTREPRISE ASSANE MBAYE</t>
  </si>
  <si>
    <t>SOSETRAM</t>
  </si>
  <si>
    <t>2,114,298,209</t>
  </si>
  <si>
    <t>231,043,210</t>
  </si>
  <si>
    <t>PORT AUTONOME DE DAKAR</t>
  </si>
  <si>
    <t>181,034,401</t>
  </si>
  <si>
    <t>ANAM</t>
  </si>
  <si>
    <t>114,961,400</t>
  </si>
  <si>
    <t>PREST INTERIM</t>
  </si>
  <si>
    <t>107,351,730</t>
  </si>
  <si>
    <t>GSP</t>
  </si>
  <si>
    <t>69,669,040</t>
  </si>
  <si>
    <t>TRANSPORT MAMADOU NDIAYE</t>
  </si>
  <si>
    <t>64,608,000</t>
  </si>
  <si>
    <t>ENSEIGNEMENT CATHOLIQ</t>
  </si>
  <si>
    <t>52,584,946</t>
  </si>
  <si>
    <t>SEA INVEST</t>
  </si>
  <si>
    <t>32,343,539</t>
  </si>
  <si>
    <t>31,050,000</t>
  </si>
  <si>
    <t>ALL TECH</t>
  </si>
  <si>
    <t>24,675,650</t>
  </si>
  <si>
    <t>VOLTACARS RENTAL SERVICES</t>
  </si>
  <si>
    <t>20,291,400</t>
  </si>
  <si>
    <t>SGS SENEGAL</t>
  </si>
  <si>
    <t>20,257,500</t>
  </si>
  <si>
    <t>DIALIBATOUL MARAKHIB</t>
  </si>
  <si>
    <t>17,931,250</t>
  </si>
  <si>
    <t>ATTS</t>
  </si>
  <si>
    <t>15,215,072</t>
  </si>
  <si>
    <t>GIE TURPIN</t>
  </si>
  <si>
    <t>10,940,493</t>
  </si>
  <si>
    <t>CIF</t>
  </si>
  <si>
    <t>10,754,550</t>
  </si>
  <si>
    <t>ABDOU DIENE</t>
  </si>
  <si>
    <t>9,645,730</t>
  </si>
  <si>
    <t>SOCIETE MINIERE DE LA VALLE DU</t>
  </si>
  <si>
    <t>NGOR VIRAGE ROUTE DE</t>
  </si>
  <si>
    <t>FLEUVE SENEGAL(SOMIVA)</t>
  </si>
  <si>
    <t>L'AEROPORT DAKAR SENEGAL SENEGAL</t>
  </si>
  <si>
    <t>ORYX SENEGAL</t>
  </si>
  <si>
    <t>BLVD DJILY MBAYE IMMEBLE FAHD 2E ETAGE BP 21126 DKR- PONTY DAKAR SENEGAL</t>
  </si>
  <si>
    <t>RUE VINCENS BP 93 DAKAR SENEGAL</t>
  </si>
  <si>
    <t>VIVO ENERGY</t>
  </si>
  <si>
    <t>RTE DES NYDROCARBURES QUARTIER DE BEL AIR DAKAR SENEGAL</t>
  </si>
  <si>
    <t>SANLAM ASSURANCE SENEGAL SA</t>
  </si>
  <si>
    <t>BOULEVARD DE LA MADELAINE X RUE CARNOT IMMEUBLE DE L'INSTITUT ISLAMIQUE SOCIAL DAKAR SENEGAL SENEGAL</t>
  </si>
  <si>
    <t>ENIGMO MINING SERVICES (E.M.S- SUARL)</t>
  </si>
  <si>
    <t>TIVAOUANE COMMUNE DE MBORO QUARTIER MBORO 8 THIES SENEGAL SENEGAL</t>
  </si>
  <si>
    <t>TVS NECOTRANS</t>
  </si>
  <si>
    <t>22 BIS BOULEVARD DJILY MBAYE X HENRY MARTIN 3E ETAGE BP 4680 DAKAR SENEGAL</t>
  </si>
  <si>
    <t>GIE LEBOUGUI - LA</t>
  </si>
  <si>
    <t>DIOKOUL KHER RUFISQUE SENEGAL</t>
  </si>
  <si>
    <t>ELTON</t>
  </si>
  <si>
    <t>8AVENUE LEOPOLD S.SENGHOR BP 11325 DAKAR/ PEYTAVIN SENEGAL</t>
  </si>
  <si>
    <t>BAUER RESOURCES SENEGAL SARL</t>
  </si>
  <si>
    <t>ALMADIES ZONE 8
LOT 9 BP 29725 DAKAR SENEGAL SENEGAL</t>
  </si>
  <si>
    <t>ITB SENEGAL</t>
  </si>
  <si>
    <t>ETS GALAYE</t>
  </si>
  <si>
    <t>NDIAYE</t>
  </si>
  <si>
    <t>C2K STAFFING</t>
  </si>
  <si>
    <t>EPC MINEEX SENEGAL</t>
  </si>
  <si>
    <t>CABINET FR</t>
  </si>
  <si>
    <t>SEN INTERIM</t>
  </si>
  <si>
    <t>TRANSADI</t>
  </si>
  <si>
    <t>SIEPA</t>
  </si>
  <si>
    <t>D.P.R.B</t>
  </si>
  <si>
    <t>VIGASSISTANCE</t>
  </si>
  <si>
    <t>S.S.P.I</t>
  </si>
  <si>
    <t>TOP STRUCTURES</t>
  </si>
  <si>
    <t>GERIA SARL</t>
  </si>
  <si>
    <t>ALIZES SA</t>
  </si>
  <si>
    <t>ARGOS SECURITE</t>
  </si>
  <si>
    <t xml:space="preserve">Villa n°3 Avenue Birago Diop </t>
  </si>
  <si>
    <t>RIDWAN</t>
  </si>
  <si>
    <t>Lot N 20 Cite ARTP YOFF
Dakar Senegal</t>
  </si>
  <si>
    <t>CHALLENGE 2000</t>
  </si>
  <si>
    <t>Quartier Lawol Tamba Face Sécurité Alimentaire</t>
  </si>
  <si>
    <t>SELOV</t>
  </si>
  <si>
    <t>Cite Sipres 2 N 102 et 57 VDN.
BP 23814 Dakar
Ponty</t>
  </si>
  <si>
    <t>PAPA  ANTOINE SECK</t>
  </si>
  <si>
    <t>YOFF LAYENE DAKAR</t>
  </si>
  <si>
    <t>AKACIA SARL</t>
  </si>
  <si>
    <t>Km 45
Boulevard du Centenaire Dakar</t>
  </si>
  <si>
    <t>NIOKOLO EXPRESS</t>
  </si>
  <si>
    <t>Mako commune de Tomboronkotro Kedougou</t>
  </si>
  <si>
    <t>MAKO TEAM MULTISERVICES</t>
  </si>
  <si>
    <t>SALL ET FRERES</t>
  </si>
  <si>
    <t>Marché Central Face CBAO Kedougou</t>
  </si>
  <si>
    <t>GIE NIOKOLO ASSAINISSEMENT SERVICES</t>
  </si>
  <si>
    <t>Linguekoto- Commune de Tomboronkoto Kedougou</t>
  </si>
  <si>
    <t>GLOBAL</t>
  </si>
  <si>
    <t>BP 16 746</t>
  </si>
  <si>
    <t>TRANSPORT MINES</t>
  </si>
  <si>
    <t>DAKAR FANN</t>
  </si>
  <si>
    <t>RTE DE L'AEROPORT SUR LA STATION TOTAL NGOR</t>
  </si>
  <si>
    <t>OLA ENERGY</t>
  </si>
  <si>
    <t>KM 75 BCC DAKAR</t>
  </si>
  <si>
    <t>BIA DAKAR</t>
  </si>
  <si>
    <t>KM 185 ROUTE DE RUFISQUE</t>
  </si>
  <si>
    <t>FAMY SENEGAL</t>
  </si>
  <si>
    <t>IMMEUBLE ADJA SENEBA THIES</t>
  </si>
  <si>
    <t>KM 45 BCC DAKAR</t>
  </si>
  <si>
    <t>22 BLD DJYLI MBAYE</t>
  </si>
  <si>
    <t>SAUDEQUIP CAT</t>
  </si>
  <si>
    <t>KEUR DAOUDA SARR COMM BAMBILOR</t>
  </si>
  <si>
    <t>SODIAL SA</t>
  </si>
  <si>
    <t>35 RUE PAUL HOLLE</t>
  </si>
  <si>
    <t>IDC DRILLING COMPANY</t>
  </si>
  <si>
    <t>KM 25 BCC DAKAR</t>
  </si>
  <si>
    <t>28 RUE VINCENS</t>
  </si>
  <si>
    <t>SOCOPAO</t>
  </si>
  <si>
    <t>4.5 BLD DU CENTENAIRE DAKAR</t>
  </si>
  <si>
    <t>SOJUFISC</t>
  </si>
  <si>
    <t>SICAP LIBERTE 1</t>
  </si>
  <si>
    <t>IMM CHEIKH ANTA</t>
  </si>
  <si>
    <t>SOCIETE SENAGALAISE DE PRODUITS IND</t>
  </si>
  <si>
    <t>ANCIENNE PISTE VDN OUAKAM</t>
  </si>
  <si>
    <t>LES CEBLERIES DU SENEGAL</t>
  </si>
  <si>
    <t>KM 11 RTE DE RUFISQUE</t>
  </si>
  <si>
    <t>QUINCAILLERIE GENERALE</t>
  </si>
  <si>
    <t>HAMADY OUNARE MATAM</t>
  </si>
  <si>
    <t>L'AFRICAINE DE LA CONCEPTION ET LA</t>
  </si>
  <si>
    <t>REALISATION DES GRANDS TRAVAUX - ACRGT-</t>
  </si>
  <si>
    <t>FORAGE FTE SENEGAL SUARL</t>
  </si>
  <si>
    <t>GLOBAL AFRICINVEST SARL</t>
  </si>
  <si>
    <t>TOTAL ENERGIES MARKETING SENEGAL</t>
  </si>
  <si>
    <t>40130412C340130412C3</t>
  </si>
  <si>
    <t>CITE KEUR GORGUI LOT N</t>
  </si>
  <si>
    <t>GORGUI LOT N
°R101</t>
  </si>
  <si>
    <t>BNDE</t>
  </si>
  <si>
    <t>4402808062G3</t>
  </si>
  <si>
    <t>CITE KEUR GORGUI</t>
  </si>
  <si>
    <t>0061794372Y2</t>
  </si>
  <si>
    <t>SACRE CŒUR 3 PYROTECHNIQUE</t>
  </si>
  <si>
    <t>TS MULTISERVICES</t>
  </si>
  <si>
    <t>0063348831Y1</t>
  </si>
  <si>
    <t>16 CITE DES JEUNES CADRES YOFF</t>
  </si>
  <si>
    <t>GLOBAL LOGISTIQUE BTP</t>
  </si>
  <si>
    <t>0052554282T2</t>
  </si>
  <si>
    <t>LOT 53BIS MORCELLEMENT ICS OUEST FOIRE</t>
  </si>
  <si>
    <t>NIANG BABACAR</t>
  </si>
  <si>
    <t>0047160382V3</t>
  </si>
  <si>
    <t>CAMBERENE</t>
  </si>
  <si>
    <t>SOCOTRA</t>
  </si>
  <si>
    <t>30570322B2</t>
  </si>
  <si>
    <t>38 AVENUE LAMINE GUEYE</t>
  </si>
  <si>
    <t>AFA VOYAGE</t>
  </si>
  <si>
    <t>0049367061C1</t>
  </si>
  <si>
    <t>HANN MARISTES APRES ROND POINT</t>
  </si>
  <si>
    <t>GUEB SERVICES</t>
  </si>
  <si>
    <t>0046759162C2</t>
  </si>
  <si>
    <t>SIPRES 5 VILLA N7 MBAO</t>
  </si>
  <si>
    <t>KATIM GROUP</t>
  </si>
  <si>
    <t>0104573322V2</t>
  </si>
  <si>
    <t>9081BOULEVARD DU
KOWEIT SACRE
CŒUR 3</t>
  </si>
  <si>
    <t>DAROU SALAM METAL</t>
  </si>
  <si>
    <t>0060784071T2</t>
  </si>
  <si>
    <t>KM 45 BD DU CENTENAIRE</t>
  </si>
  <si>
    <t>CODAC</t>
  </si>
  <si>
    <t>19253142Z3</t>
  </si>
  <si>
    <t>AGENCE NADER</t>
  </si>
  <si>
    <t>00308092A3</t>
  </si>
  <si>
    <t>AVENUE LEOPOLD SEDAR</t>
  </si>
  <si>
    <t>28 RUE VINCENT</t>
  </si>
  <si>
    <t>PAPE BABACAR GUEYE</t>
  </si>
  <si>
    <t>KM 45RTE DES HYDRAUCARBURES</t>
  </si>
  <si>
    <t>AFRICAN INVEST TOURS</t>
  </si>
  <si>
    <t>0053172862V2</t>
  </si>
  <si>
    <t>THIES ESCALE SUD</t>
  </si>
  <si>
    <t>KHIDMAH INDUSTRIE</t>
  </si>
  <si>
    <t>56090552F1</t>
  </si>
  <si>
    <t>MARCHE MOUSSANTE THIES SUR LA ROUTE DE KHOMBOLE</t>
  </si>
  <si>
    <t>ABDOU TOURE</t>
  </si>
  <si>
    <t>004078160 2F2</t>
  </si>
  <si>
    <t>THIES NONES/ BP 788 THIES SENEGAL</t>
  </si>
  <si>
    <t>VISION TOPOGRAPHQUE</t>
  </si>
  <si>
    <t>0082770232Y2</t>
  </si>
  <si>
    <t>WAKEUR KHADIM</t>
  </si>
  <si>
    <t>24084342F1</t>
  </si>
  <si>
    <t>MARCHE CENTRAL THIES</t>
  </si>
  <si>
    <t>GROUPE KHALIFA ENERGIE</t>
  </si>
  <si>
    <t>309250092F1</t>
  </si>
  <si>
    <t>CITE LAMY THIES</t>
  </si>
  <si>
    <t>QUINCAIILERIE KHADIMOU RASSOUL</t>
  </si>
  <si>
    <t>50344342F1</t>
  </si>
  <si>
    <t>MARCHE NGAYE</t>
  </si>
  <si>
    <t>ETSE GAYESAPE</t>
  </si>
  <si>
    <t>02659012F1</t>
  </si>
  <si>
    <t>CARRIRE THIES</t>
  </si>
  <si>
    <t>OPTIMISTE SHOP</t>
  </si>
  <si>
    <t>0043061612F1</t>
  </si>
  <si>
    <t>CARRIRE PRES CLINIQUE SAGESSSE</t>
  </si>
  <si>
    <t>SOKA MOUSSE</t>
  </si>
  <si>
    <t>00873212G2</t>
  </si>
  <si>
    <t>DIAMNIADIO DAKAR</t>
  </si>
  <si>
    <t>PARAMOUNT MINING SERVICE SUARL</t>
  </si>
  <si>
    <t>OLA ENERGY SENEGAL</t>
  </si>
  <si>
    <t>MAKKINOUZ MKC</t>
  </si>
  <si>
    <t>MATAM PHOSPHATE SA</t>
  </si>
  <si>
    <t>ETABLISSEMENT MOUSTAPHA SYLLA</t>
  </si>
  <si>
    <t>PRESTATION SERVICE MAME BAMBA</t>
  </si>
  <si>
    <t>FORACO</t>
  </si>
  <si>
    <t>0022624922R2</t>
  </si>
  <si>
    <t>CHEZ FIDUCIA</t>
  </si>
  <si>
    <t>SENEGAL</t>
  </si>
  <si>
    <t>RUE 3 ANGLE BD DE L'EST POINT E DAKAR BP
25102 Sénégal
DAKAR 3 Sénégal</t>
  </si>
  <si>
    <t>VIVO ENERGY SENEGAL</t>
  </si>
  <si>
    <t>0027476 2G3</t>
  </si>
  <si>
    <t>QUARTIER BEL AIR Dakar PB144
Sénégal  Dakar Sénégal</t>
  </si>
  <si>
    <t>EMOSFK SARL- ETABLISSEMENT MAMADOU OUMAR SALL ET FRERES SARL</t>
  </si>
  <si>
    <t>013228L2</t>
  </si>
  <si>
    <t>ROUTE DE SARAYA KEDOUGOU
Sénégal KEDOUGOU
Sénégal</t>
  </si>
  <si>
    <t>NSIA SENEGAL SA</t>
  </si>
  <si>
    <t>7768007 2Y3</t>
  </si>
  <si>
    <t>AVE. FADIGA IMM. LAHAD MBACKE
DAKAR Sénégal DAKAR Sénégal</t>
  </si>
  <si>
    <t>BUREAU VERITAS MALI</t>
  </si>
  <si>
    <t>086102290V</t>
  </si>
  <si>
    <t>Badalabougou Route du Rectorat Bamako Mali Bamako Mali</t>
  </si>
  <si>
    <t>SATGURU TRAVEL ET TOURS SERVICE SARL</t>
  </si>
  <si>
    <t>0025957362B2</t>
  </si>
  <si>
    <t>ANCIENNE PISTE X COMMISSARIAT DU TOURISME MERMOZ PYROT 2595736 2B2 DAKAR BP
48117 Sénégal DAKAR Sénégal</t>
  </si>
  <si>
    <t>YOLLI SOP NABI DISTRIBUTION ET SERVICES</t>
  </si>
  <si>
    <t>006006763 1L1</t>
  </si>
  <si>
    <t>Q MOSQUEE KEDOUGOU ROUTE DE SARAYA KEDOUGOU
Sénégal</t>
  </si>
  <si>
    <t>KEDOUGOU
Sénégal</t>
  </si>
  <si>
    <t>SONATEL MOBILES SA</t>
  </si>
  <si>
    <t>20107342G3</t>
  </si>
  <si>
    <t>46 BOULEVARD DE LA REPUBLIQUE DAKAR BP 2352
Sénégal  DAKAR 46 Sénégal</t>
  </si>
  <si>
    <t>SIGA</t>
  </si>
  <si>
    <t>0054386862V2</t>
  </si>
  <si>
    <t>LIBERTE V1 VDN VILLA NO 159
DAKAR Sénégal
DAKAR Sénégal</t>
  </si>
  <si>
    <t>HOTEL MALAHIKA</t>
  </si>
  <si>
    <t>4477445 2L2</t>
  </si>
  <si>
    <t>ROUTE NATIONALE 1 BEHIND ELTON STATION TAMBACOUNDA
Sénégal TAMBACOUNDA
Sénégal</t>
  </si>
  <si>
    <t>Thies Cite Lamy Thies</t>
  </si>
  <si>
    <t>Senegal</t>
  </si>
  <si>
    <t>Societe d'Operations Minieres</t>
  </si>
  <si>
    <t>Central Park avenue Malick SY X
Autoroute</t>
  </si>
  <si>
    <t>JAPAN MOTORS SAS</t>
  </si>
  <si>
    <t>WILLIS TOWERS WATSON SENEGAL</t>
  </si>
  <si>
    <t>IMMEUBLE ISOCELE POINT E</t>
  </si>
  <si>
    <t>UMO Sarl</t>
  </si>
  <si>
    <t>Av Cheikh Anta DIOP X Rue Pyro Dakar Senegal</t>
  </si>
  <si>
    <t>ALLIANZ SENEGAL INSURANCE</t>
  </si>
  <si>
    <t>Dakar Place de l'Independance</t>
  </si>
  <si>
    <t>SANLAM ASSURANCE SENEGAL</t>
  </si>
  <si>
    <t>Rue Carnot Bd de la Madeleine</t>
  </si>
  <si>
    <t>ENTREP. D'ASSISTAN. LOGISTIQ.</t>
  </si>
  <si>
    <t>Yoff Apecy Dakar</t>
  </si>
  <si>
    <t>Divers fournisseurs</t>
  </si>
  <si>
    <t>Amsa</t>
  </si>
  <si>
    <t>Assurances</t>
  </si>
  <si>
    <t>Mohamed Yasback</t>
  </si>
  <si>
    <t>Mondial Immo</t>
  </si>
  <si>
    <t>Maby</t>
  </si>
  <si>
    <t>CSTTAO</t>
  </si>
  <si>
    <t>Au Bon Accueil</t>
  </si>
  <si>
    <t>Orca</t>
  </si>
  <si>
    <t>Stam</t>
  </si>
  <si>
    <t>Amsa Vie</t>
  </si>
  <si>
    <t>Cabinet Mayoro Wade</t>
  </si>
  <si>
    <t>Master Office</t>
  </si>
  <si>
    <t>Sojufics</t>
  </si>
  <si>
    <t>Africa Alliance</t>
  </si>
  <si>
    <t>EMOSK</t>
  </si>
  <si>
    <t>Kedougou M</t>
  </si>
  <si>
    <t>Ets Cherif Yaffa</t>
  </si>
  <si>
    <t>Youssouf Touré</t>
  </si>
  <si>
    <t>Ets omar Diao</t>
  </si>
  <si>
    <t>Aluoune Assane Diop</t>
  </si>
  <si>
    <t>Pharmacie Keneya</t>
  </si>
  <si>
    <t>Bande entreprise</t>
  </si>
  <si>
    <t>GAI</t>
  </si>
  <si>
    <t>CIEL OIL</t>
  </si>
  <si>
    <t>233005122G2</t>
  </si>
  <si>
    <t>CITE KEUR GORGUI 29RESIDNCE SOKHNA KHADY GUEYE</t>
  </si>
  <si>
    <t>GPHOS</t>
  </si>
  <si>
    <t>0047160332V3</t>
  </si>
  <si>
    <t>SACRE CŒUR 3 PYROTHECNIQUE</t>
  </si>
  <si>
    <t>EGN</t>
  </si>
  <si>
    <t>23305122G2</t>
  </si>
  <si>
    <t>MARISTE I LOT 29 RESIDENCE SOKHNA KHADY GUEYE</t>
  </si>
  <si>
    <t>LOT 20 CITE ARTP YOFF DKR</t>
  </si>
  <si>
    <t>TVS</t>
  </si>
  <si>
    <t>0049398172C</t>
  </si>
  <si>
    <t>22 BOULEVARD DJILLY MBAYE</t>
  </si>
  <si>
    <t>00274762G3</t>
  </si>
  <si>
    <t>BELAIR ROUTE DES HYDROCARBURES</t>
  </si>
  <si>
    <t>305703222B2</t>
  </si>
  <si>
    <t>Avenue Bouguiba</t>
  </si>
  <si>
    <t>ERI SENEGAL</t>
  </si>
  <si>
    <t>0053810252A2</t>
  </si>
  <si>
    <t>AVENUE MALICK SY X AUTOROUTE</t>
  </si>
  <si>
    <t>TECHNISEN</t>
  </si>
  <si>
    <t>SACRE COEUR 3</t>
  </si>
  <si>
    <t>IFCOM</t>
  </si>
  <si>
    <t>52262132V3</t>
  </si>
  <si>
    <t>COFISAC</t>
  </si>
  <si>
    <t>00718372G3</t>
  </si>
  <si>
    <t>KM 35 BLVRD  DE LA CCDAKAR</t>
  </si>
  <si>
    <t>MAT GROUPE</t>
  </si>
  <si>
    <t>VILLA 37 NORD FOIRE</t>
  </si>
  <si>
    <t>ASKIA / ASSURANCE</t>
  </si>
  <si>
    <t>31018892G27</t>
  </si>
  <si>
    <t>25Bd République Dakar</t>
  </si>
  <si>
    <t>TS- MULTISERVICES</t>
  </si>
  <si>
    <t>12 CTE DES JEUNES CADRE YOFF-DKR</t>
  </si>
  <si>
    <t>SAUDEQUIP</t>
  </si>
  <si>
    <t>0040452G3</t>
  </si>
  <si>
    <t>RTE DE SANGALKAM RUFISQUE</t>
  </si>
  <si>
    <t>SERIGNE</t>
  </si>
  <si>
    <t>26078382F2</t>
  </si>
  <si>
    <t>QUARTIER KEUR</t>
  </si>
  <si>
    <t>MODOU MOUSTAPHA DIOP</t>
  </si>
  <si>
    <t>KHALY TIVAOUANE</t>
  </si>
  <si>
    <t>CAYOR NEGOCE</t>
  </si>
  <si>
    <t>TIVAOUNE HLM RTE DE MBORO THIES</t>
  </si>
  <si>
    <t>FLEX AFRIQUE</t>
  </si>
  <si>
    <t>43093172T1</t>
  </si>
  <si>
    <t>SAPCO KHELCOM RTE POLYTECHNIQUE THIES</t>
  </si>
  <si>
    <t>DJIBRIL DIAGNE MON PARENT</t>
  </si>
  <si>
    <t>0115271-2F1</t>
  </si>
  <si>
    <t>PRES STATION SHEEL MBOUR- THIES</t>
  </si>
  <si>
    <t>MOUHAMADOU LAMINE GAYE</t>
  </si>
  <si>
    <t>029659012F1</t>
  </si>
  <si>
    <t>QTE CARRIERRE THIES</t>
  </si>
  <si>
    <t>KEUR KHALIFA ABABACAR SY</t>
  </si>
  <si>
    <t>0049778252F1</t>
  </si>
  <si>
    <t>PRES GARE ROUTERE TIVAOUNE</t>
  </si>
  <si>
    <t>MAMADOU DIENE CONFECTION</t>
  </si>
  <si>
    <t>RTE DE MONT ROLLAND THIES</t>
  </si>
  <si>
    <t>QUINCAILLERIE MAME DIARRA 2</t>
  </si>
  <si>
    <t>GRAND STANDING EN FACE PHOENIX THIES</t>
  </si>
  <si>
    <t>THIES OUTILS</t>
  </si>
  <si>
    <t>008715338 2F2</t>
  </si>
  <si>
    <t>RTE DE DAKAR EN FACE THIES NONE</t>
  </si>
  <si>
    <t>BAOBAB IMPRESSION</t>
  </si>
  <si>
    <t>004228517 /2F1</t>
  </si>
  <si>
    <t>AV.Léopold Sédar senghor en face Eaux et Forets Thies</t>
  </si>
  <si>
    <t>KLEROS</t>
  </si>
  <si>
    <t>BERNABE</t>
  </si>
  <si>
    <t>Groupe Fauzie Layousse</t>
  </si>
  <si>
    <t>ASCON</t>
  </si>
  <si>
    <t>VENETA FLEX</t>
  </si>
  <si>
    <t>DAROU SALAM GROUP</t>
  </si>
  <si>
    <t>TOTAL</t>
  </si>
  <si>
    <t>ELMASA</t>
  </si>
  <si>
    <t>EPC SENEGAL</t>
  </si>
  <si>
    <t>SOMICAS</t>
  </si>
  <si>
    <t>ETS KHADIM SYLLA TRANSPORT</t>
  </si>
  <si>
    <t>Annexe 20 – Détail des transactions effectuées avec les fournisseurs étrangers</t>
  </si>
  <si>
    <t>Numéro d’enregistrement maison-mère ou NINEA de la succursale</t>
  </si>
  <si>
    <t>Pays d’origine et adresse de la maison-mère</t>
  </si>
  <si>
    <t>NSIA</t>
  </si>
  <si>
    <t>France</t>
  </si>
  <si>
    <t>SCHLUMBERGER</t>
  </si>
  <si>
    <t>USA</t>
  </si>
  <si>
    <t>FRANCE</t>
  </si>
  <si>
    <t>TOTALENERGIE SE</t>
  </si>
  <si>
    <t>Netherland</t>
  </si>
  <si>
    <t>MAURITANIA BLOCK C9 B.V.</t>
  </si>
  <si>
    <t>TOTALENERGIES E&amp;P MAURITANIE</t>
  </si>
  <si>
    <t>TOTALENERGIES SENEGAL</t>
  </si>
  <si>
    <t>BP International</t>
  </si>
  <si>
    <t>UK-</t>
  </si>
  <si>
    <t>Limited</t>
  </si>
  <si>
    <t>Chertsey Road Sunbury on Thames Middlesex</t>
  </si>
  <si>
    <t>BP Mauritania Investments Limited</t>
  </si>
  <si>
    <t>UK-
Chertsey Road Sunbury on Thames Middlesex</t>
  </si>
  <si>
    <t>KPMG Cote D'Ivoire</t>
  </si>
  <si>
    <t>Cote D'Ivoire</t>
  </si>
  <si>
    <t>BP Exploration Operating Company Limited</t>
  </si>
  <si>
    <t>United Kingdom</t>
  </si>
  <si>
    <t>BP America Production Company</t>
  </si>
  <si>
    <t>United States</t>
  </si>
  <si>
    <t>RPS Australia West Pty Ltd</t>
  </si>
  <si>
    <t>Australia</t>
  </si>
  <si>
    <t>BP Services International Limited</t>
  </si>
  <si>
    <t>Alphadio Guelguedji Barry</t>
  </si>
  <si>
    <t>Guinea</t>
  </si>
  <si>
    <t>BP plc</t>
  </si>
  <si>
    <t>Genesis Oil and Gas Consultants Limited</t>
  </si>
  <si>
    <t>Etrangers</t>
  </si>
  <si>
    <t>vivo energy</t>
  </si>
  <si>
    <t>pays bas</t>
  </si>
  <si>
    <t>HM Trading Global Gmbh</t>
  </si>
  <si>
    <t>BERLINER STRASSE 6 69120 HEIDELBERG GERMANY</t>
  </si>
  <si>
    <t>INTERNATIONAL MATERIALS LLC</t>
  </si>
  <si>
    <t>54 SE 5th AVENUE SUITE 300 DELRAY
BEACH FL 33483 USA</t>
  </si>
  <si>
    <t>SAIF S.P.A</t>
  </si>
  <si>
    <t>VIALE BIANCA MARIA 25 20122 MILANO ITALIA</t>
  </si>
  <si>
    <t>RELIANCE BULK TRADING DMCC</t>
  </si>
  <si>
    <t>AG-21-K-AG TOWER JUMEIRAH LAKES TOWERS DUBAI UAE</t>
  </si>
  <si>
    <t>COMPTOIR BALLAND BRUGNEAUX</t>
  </si>
  <si>
    <t>7 RUE DES ALPES CH1201 SUISSE</t>
  </si>
  <si>
    <t>FIVES FCB</t>
  </si>
  <si>
    <t>50 RUE DE TICLENI</t>
  </si>
  <si>
    <t>VILLENEUVE
D'ASCQ  France</t>
  </si>
  <si>
    <t>VICAT SA</t>
  </si>
  <si>
    <t>4 RUE ARISTIDE BERGES ZAC DES 3 VALLONS
38081 L'ISLE D'ABEAU
CEDEX France</t>
  </si>
  <si>
    <t>IFC INTERNATIONAL FINANCE CORPORAT</t>
  </si>
  <si>
    <t>2121
PENNSYLVANIA AVENUE NW WASHINGTON DC 20433 USA</t>
  </si>
  <si>
    <t>CHEMIARTIS SA</t>
  </si>
  <si>
    <t>P.O. BOX 186 CH-1028 PREVERENGES SUISSE</t>
  </si>
  <si>
    <t>SWISS SINGAPORE OVERSEAS ENTERPRISE</t>
  </si>
  <si>
    <t>65 CHULIA STREET</t>
  </si>
  <si>
    <t>197 AUTRES FNRS ETR</t>
  </si>
  <si>
    <t>Vivo Energy Senegal SA</t>
  </si>
  <si>
    <t>Royaume Uni</t>
  </si>
  <si>
    <t>AFRICA GLOBAL LOGISTICSFINLAND OY</t>
  </si>
  <si>
    <t>Orica Senegal</t>
  </si>
  <si>
    <t>Australie</t>
  </si>
  <si>
    <t>Equipments &amp; Services BIA</t>
  </si>
  <si>
    <t>Maurice</t>
  </si>
  <si>
    <t>Antrak Logistics Pty LtdMINERALS CANADA LTD</t>
  </si>
  <si>
    <t>LYCOPODIUM MINERALS CANADA LTD</t>
  </si>
  <si>
    <t>WARTSILA</t>
  </si>
  <si>
    <t>Finlanf</t>
  </si>
  <si>
    <t>EIFFAGE SENEGAL</t>
  </si>
  <si>
    <t>SUMMA N.K CONSULTING CO.LTD</t>
  </si>
  <si>
    <t>Thailand</t>
  </si>
  <si>
    <t>ULTIMAR DMCC</t>
  </si>
  <si>
    <t>MONDI TANGER</t>
  </si>
  <si>
    <t>HC TRADING GMBH</t>
  </si>
  <si>
    <t>ILE MAURICE</t>
  </si>
  <si>
    <t>SENEGAL REMOTE SERVICES (SERVAIR)</t>
  </si>
  <si>
    <t>HATCH AFRICA PTY LTD</t>
  </si>
  <si>
    <t>AFRIQUE DU SUDE</t>
  </si>
  <si>
    <t>MINERAL TECHNOLOGIES PTY LTD</t>
  </si>
  <si>
    <t>INTERNATIONAL DRILLING COMPANY</t>
  </si>
  <si>
    <t>WHEELER INDUSTRIAL WORLDWIDE LIMITED</t>
  </si>
  <si>
    <t>BLUE SKY- CYBER CITY EBENE</t>
  </si>
  <si>
    <t>WARTSILA WEST AFRICA SA</t>
  </si>
  <si>
    <t>04518652G3</t>
  </si>
  <si>
    <t>TOTAL SA</t>
  </si>
  <si>
    <t>BREB GMBH</t>
  </si>
  <si>
    <t>ALLEMAGNE</t>
  </si>
  <si>
    <t>BESHIP</t>
  </si>
  <si>
    <t>GTI</t>
  </si>
  <si>
    <t>UNIATLANTICO</t>
  </si>
  <si>
    <t>BRUFJEL</t>
  </si>
  <si>
    <t>ERNST &amp; YOUNG</t>
  </si>
  <si>
    <t>INDORAMA CORPORATION PTE. LTD</t>
  </si>
  <si>
    <t>143 CECIL STREET #14-00 GB BUILDING
Singapore</t>
  </si>
  <si>
    <t>STOLT NIELSEN TRANSP GROUP LTD</t>
  </si>
  <si>
    <t>STOLT PARCEL TANKERS DIVISION PO BOX 2200 GRENNWICH GA CT 06836</t>
  </si>
  <si>
    <t>HOXLE HEAVY EQUIPMENT RENTAL AND TRADING L.L.C</t>
  </si>
  <si>
    <t>202 - 203 PINNACLE BUILDING Emirats
arabes unis United Arab Emirates</t>
  </si>
  <si>
    <t>INDORAMA COMMERCE DMCC</t>
  </si>
  <si>
    <t>OFFICE NO 3705 SWISS TOWER CLUSTER
Y DUBAI United Arab Emirates</t>
  </si>
  <si>
    <t>H.J. BAKER SULPHUR INTERNATIONAL COOPERATIEF U.A</t>
  </si>
  <si>
    <t>WILHELMINATORENWILHELMINAPLEIN 1-40 3072 DE ROTTERDAM/THE NETHERLANDS NETHERLANDS</t>
  </si>
  <si>
    <t>INDORAMA ELEME FERTILIZER &amp; CHEMICALS LIMITED</t>
  </si>
  <si>
    <t>INDORAMA COMPLEX EAST WEST EXPRESWAY PMB 5151 PORT HARCOURT RIVERS STATE NIGERIA NIGERIA NIGERIA</t>
  </si>
  <si>
    <t>AMEROPA AG</t>
  </si>
  <si>
    <t>rebgasse 108 ch 4102 binningen SWITZERLAND BINNINGEN SWITZERLAND</t>
  </si>
  <si>
    <t>Autres fournisseurs</t>
  </si>
  <si>
    <t>BULK COMMODITIES</t>
  </si>
  <si>
    <t>UAE</t>
  </si>
  <si>
    <t>AFRICA GLOBAL LOGISTIC</t>
  </si>
  <si>
    <t>PAP SAC MAGHREB</t>
  </si>
  <si>
    <t>MAROC</t>
  </si>
  <si>
    <t>ORYX</t>
  </si>
  <si>
    <t>GETMA</t>
  </si>
  <si>
    <t>HAVER &amp; BOECKER</t>
  </si>
  <si>
    <t>NANJING SINO MACHINERY IMPORT</t>
  </si>
  <si>
    <t>CHINE</t>
  </si>
  <si>
    <t>CHEAR INDIA</t>
  </si>
  <si>
    <t>INDE</t>
  </si>
  <si>
    <t>REFRATECHNIK CEMENT</t>
  </si>
  <si>
    <t>AMS</t>
  </si>
  <si>
    <t xml:space="preserve">00605554 2Y2 </t>
  </si>
  <si>
    <t>PERTH  AUSTRALIE</t>
  </si>
  <si>
    <t>VIVO</t>
  </si>
  <si>
    <t>AMSTERDAM PAYS-BAS</t>
  </si>
  <si>
    <t>AEL</t>
  </si>
  <si>
    <t>GAUTENG AFRIQUE DU SUD</t>
  </si>
  <si>
    <t>AMEROPA</t>
  </si>
  <si>
    <t>SUISSE</t>
  </si>
  <si>
    <t>PULSE DESIGN</t>
  </si>
  <si>
    <t>SULZER</t>
  </si>
  <si>
    <t>SAS WYN MINERALS</t>
  </si>
  <si>
    <t>LITOTUL SARL</t>
  </si>
  <si>
    <t>LIBAN</t>
  </si>
  <si>
    <t>AB LIFOSA</t>
  </si>
  <si>
    <t>EUROCHEM</t>
  </si>
  <si>
    <t>SNF SAS ANDREZIEUX</t>
  </si>
  <si>
    <t>ACTIM OFFSHORE</t>
  </si>
  <si>
    <t>TUNISIE</t>
  </si>
  <si>
    <t>ISSA EL KHOURY LAW OFFICE</t>
  </si>
  <si>
    <t>MALI</t>
  </si>
  <si>
    <t>ARMA GLOBAL TRADE</t>
  </si>
  <si>
    <t>TURQUIE</t>
  </si>
  <si>
    <t>KNIGHT PIESOLD LTD</t>
  </si>
  <si>
    <t>CANADA</t>
  </si>
  <si>
    <t>AGRIFERT LEONES S.L</t>
  </si>
  <si>
    <t>24291
MATADEON DE LOS OTEROS LEON</t>
  </si>
  <si>
    <t>KARIM SORDO ZAMBONINO</t>
  </si>
  <si>
    <t>HAY AL AMAL 1 VILLA NR 76 TIT MELLIL CASA MAROC</t>
  </si>
  <si>
    <t>ANIL KUMAR YADAV</t>
  </si>
  <si>
    <t>BARWARIRUR THE KADIPUR DISTRICT INDIA</t>
  </si>
  <si>
    <t>ABDERRAHMAN ARAFAN</t>
  </si>
  <si>
    <t>JAMAL MAGHNOUJ</t>
  </si>
  <si>
    <t>2 APT MAATIF CASA MAROC</t>
  </si>
  <si>
    <t>IBERIA</t>
  </si>
  <si>
    <t>C/Martínez Villergas 49
28027 Madrid</t>
  </si>
  <si>
    <t>JES TRAVEL</t>
  </si>
  <si>
    <t>AVENIDA DE BURGOS</t>
  </si>
  <si>
    <t>GEARFIT HEAVY &amp; LIGHT EQU</t>
  </si>
  <si>
    <t>Émirats arabes unis</t>
  </si>
  <si>
    <t>KURZ</t>
  </si>
  <si>
    <t>ALLEMANGE</t>
  </si>
  <si>
    <t>COOPERA
Finanzierungen</t>
  </si>
  <si>
    <t>ORIOLE</t>
  </si>
  <si>
    <t>RESOURCES PLC</t>
  </si>
  <si>
    <t>PICCADILLY LONDON W1J
9HF Royaume- Uni  LONDON
Royaume-Uni</t>
  </si>
  <si>
    <t>SAS PROCOMSAT</t>
  </si>
  <si>
    <t>4 RUE ERNEST LAVAL VANVES
France  VANVES France</t>
  </si>
  <si>
    <t>BENTLEY SYSTEMS INTERNATIONAL LIMITED</t>
  </si>
  <si>
    <t>CHARLEMONT EXCHANGE 5TH FLOOR CHARLEMONT STREET DUBLIN DO2V
N88 Irlande DUBLIN Irlande</t>
  </si>
  <si>
    <t>The Tech Shack</t>
  </si>
  <si>
    <t>Royaume</t>
  </si>
  <si>
    <t>(Pty) Ltd</t>
  </si>
  <si>
    <t>Uni</t>
  </si>
  <si>
    <t>BLY</t>
  </si>
  <si>
    <t>Canada</t>
  </si>
  <si>
    <t>TOTAL ENERG</t>
  </si>
  <si>
    <t>AGRIFERT LEONES</t>
  </si>
  <si>
    <t>24291 MATADEON DE LOS OTEROS LEON</t>
  </si>
  <si>
    <t>ALTA EFICACIA TECNOLOGIA</t>
  </si>
  <si>
    <t>28028 MADRID Espagne</t>
  </si>
  <si>
    <t>ARGUS MEDIA LIMITED</t>
  </si>
  <si>
    <t>UNITED KIMGDOM</t>
  </si>
  <si>
    <t>BLUMAQ</t>
  </si>
  <si>
    <t>12600 VALL DE UXO ESPAGNE</t>
  </si>
  <si>
    <t>BYG</t>
  </si>
  <si>
    <t>C/EL PLA 45 POL IND EL PLA 08750 MOLINS DE REI (BARCELONA)ESPANA</t>
  </si>
  <si>
    <t>CONRADO MARCOS ANDRES</t>
  </si>
  <si>
    <t>Espagne</t>
  </si>
  <si>
    <t>CONTINENTAL TRADER PTE</t>
  </si>
  <si>
    <t>SINGAPOURE 068897</t>
  </si>
  <si>
    <t>GALIUM</t>
  </si>
  <si>
    <t>AQUINOLO DE LA GUARDA N°8 PANAMA</t>
  </si>
  <si>
    <t>IFA</t>
  </si>
  <si>
    <t>75116 PARIS France</t>
  </si>
  <si>
    <t>JA DELMAS</t>
  </si>
  <si>
    <t>BUREAU DE LA CITE MIONDIALE 23 PARVIS DES CHARTRONS 33074 BORDEAUX CEDEX</t>
  </si>
  <si>
    <t>WYN MINERA</t>
  </si>
  <si>
    <t>EUROTEC</t>
  </si>
  <si>
    <t>OTZ PROCESS</t>
  </si>
  <si>
    <t>EURO TRADING</t>
  </si>
  <si>
    <t>HALADJIAN</t>
  </si>
  <si>
    <t>Annexe 21 – Les volumes commercialisés et des prix pratiqués</t>
  </si>
  <si>
    <t xml:space="preserve">1.Quel type de pétrole, de gaz ou d'autre produit pétrolier est vendu ? </t>
  </si>
  <si>
    <t>2. Qui achète le Produit?</t>
  </si>
  <si>
    <t xml:space="preserve">3. Quel revenu le pays a-t-il perçu de la vente ? </t>
  </si>
  <si>
    <t>4. Autres Informations</t>
  </si>
  <si>
    <t>Informations Obligatoires</t>
  </si>
  <si>
    <t>Informations Centrales</t>
  </si>
  <si>
    <t>Informations Supplémentaires</t>
  </si>
  <si>
    <t>Type de produit vendu</t>
  </si>
  <si>
    <t>Nom du Vendeur</t>
  </si>
  <si>
    <t>Date de la Vente (Date du Connaissement - Divulgations par Cargaison Uniquement /ou  Non Applicable)                                               (jj/mm/aaaa)</t>
  </si>
  <si>
    <t>Teneur et Qualité du Produit (par exemple, API)- Divulgations par Cargaison Uniquement</t>
  </si>
  <si>
    <t>Profit Oil PETROSEN</t>
  </si>
  <si>
    <t>N° de Contrat/Numéro de Bon de Commande/ N° de Facture</t>
  </si>
  <si>
    <r>
      <rPr>
        <i/>
        <sz val="10"/>
        <color theme="0"/>
        <rFont val="Kohinoor Devanagari"/>
        <family val="2"/>
      </rPr>
      <t xml:space="preserve"> </t>
    </r>
    <r>
      <rPr>
        <sz val="10"/>
        <color theme="0"/>
        <rFont val="Kohinoor Devanagari"/>
        <family val="2"/>
      </rPr>
      <t xml:space="preserve">            Nom Complet de l'Acheteur</t>
    </r>
  </si>
  <si>
    <r>
      <rPr>
        <i/>
        <sz val="10"/>
        <color theme="0"/>
        <rFont val="Kohinoor Devanagari"/>
        <family val="2"/>
      </rPr>
      <t xml:space="preserve"> </t>
    </r>
    <r>
      <rPr>
        <sz val="10"/>
        <color theme="0"/>
        <rFont val="Kohinoor Devanagari"/>
        <family val="2"/>
      </rPr>
      <t>Bénéficiare Effectif de l'Acheteur</t>
    </r>
  </si>
  <si>
    <t xml:space="preserve"> Incoterms</t>
  </si>
  <si>
    <r>
      <rPr>
        <i/>
        <sz val="10"/>
        <color theme="0"/>
        <rFont val="Kohinoor Devanagari"/>
        <family val="2"/>
      </rPr>
      <t xml:space="preserve"> </t>
    </r>
    <r>
      <rPr>
        <sz val="10"/>
        <color theme="0"/>
        <rFont val="Kohinoor Devanagari"/>
        <family val="2"/>
      </rPr>
      <t xml:space="preserve">            Port de Chargement, Terminal ou Dépôt</t>
    </r>
  </si>
  <si>
    <t>Volumes Vendus (en barils/ Nm3)</t>
  </si>
  <si>
    <t>Revenus Perçus</t>
  </si>
  <si>
    <t xml:space="preserve">Informations tarifaires : Prix de vente officiel </t>
  </si>
  <si>
    <t>Informations tarifaires : Option Tarifaire</t>
  </si>
  <si>
    <t>Type de Contrat</t>
  </si>
  <si>
    <t>Droits, Frais et Crédits</t>
  </si>
  <si>
    <t>Taux de Change</t>
  </si>
  <si>
    <t>Date de Réception de Paiement                                (jj/mm/aaaa)</t>
  </si>
  <si>
    <t>Compte de Paiement</t>
  </si>
  <si>
    <t>Destination (Vendeurs Uniquement)</t>
  </si>
  <si>
    <t>Lien vers Source de données publiques</t>
  </si>
  <si>
    <t>Contrat(s) de Vente : Références Juridiques</t>
  </si>
  <si>
    <t>Commentaires</t>
  </si>
  <si>
    <t>GAZ</t>
  </si>
  <si>
    <t>FA202302</t>
  </si>
  <si>
    <t>Voir RBE publié</t>
  </si>
  <si>
    <t>FA202305</t>
  </si>
  <si>
    <t>FA202307</t>
  </si>
  <si>
    <t>FA202309</t>
  </si>
  <si>
    <t>FA202311</t>
  </si>
  <si>
    <t>FA202312</t>
  </si>
  <si>
    <t>FA202314</t>
  </si>
  <si>
    <t>FA202318</t>
  </si>
  <si>
    <t>FAV202302</t>
  </si>
  <si>
    <t>FAV202303</t>
  </si>
  <si>
    <t>FAV202304</t>
  </si>
  <si>
    <t>FAV202305</t>
  </si>
  <si>
    <t>Annexe 22 – Critères d’attribution des titres miniers</t>
  </si>
  <si>
    <t>Autorisation de prospection</t>
  </si>
  <si>
    <t>Octroi</t>
  </si>
  <si>
    <t>Constitution du dossier</t>
  </si>
  <si>
    <t>Demande adressée en trois (03) exemplaires originaux à l’administration des mines compétente, comportant :</t>
  </si>
  <si>
    <t>-     Les renseignements et documents prévus à l’article 4 du présent décret et l’identité de la personne responsable des travaux ;</t>
  </si>
  <si>
    <t>-     L’objet de la prospection envisagée, son caractère scientifique ou économique, la situation géographique et sa durée probable ;</t>
  </si>
  <si>
    <r>
      <t xml:space="preserve">-     </t>
    </r>
    <r>
      <rPr>
        <sz val="10"/>
        <color rgb="FF46362E"/>
        <rFont val="Kohinoor Devanagari"/>
        <family val="3"/>
      </rPr>
      <t>Une brève description du programme des travaux envisagés, des méthodes qui seront employées, des résultats escomptés et des informations techniques complémentaires notamment les paramètres de l’analyse sommaire de l’état initial du site de prospection et de son environnement.</t>
    </r>
  </si>
  <si>
    <t>Critères de demande techniques</t>
  </si>
  <si>
    <t>Définis dans le manuel des procédures du ministère des mines et de la géologie de mars 2021.</t>
  </si>
  <si>
    <t xml:space="preserve">Critères de demande financiers </t>
  </si>
  <si>
    <t>Permis de Recherche</t>
  </si>
  <si>
    <t>La demande de permis de recherche est adressée en trois (03) exemplaires originaux au Ministre chargé des mines qui en accuse réception. Elle précise :</t>
  </si>
  <si>
    <t>-     les renseignements et documents sur le demandeur, conformément aux dispositions de l’article 4 du décret 2017-459;</t>
  </si>
  <si>
    <t>-     la désignation des substances minérales pour lesquelles le permis est sollicité ;</t>
  </si>
  <si>
    <t>-     les coordonnées du périmètre demandé conformément aux dispositions de l’article 14 du décret 2017-459 ;</t>
  </si>
  <si>
    <t>-     l’estimation de la superficie de la zone objet du périmètre du permis de recherche sollicité.</t>
  </si>
  <si>
    <t>-     le dossier de demande de permis de recherche comporte également :</t>
  </si>
  <si>
    <t>ü un extrait de la carte du Sénégal au 1/5000 ou au 1/1000 dressé par un géomètre agrée et visé par les services du cadastre de la zone où est localisé le périmètre du permis de recherche sollicité ;</t>
  </si>
  <si>
    <t>ü une présentation des travaux et des méthodes de recherche envisagés ;</t>
  </si>
  <si>
    <t>ü Un rapport avec des informations techniques complémentaires notamment les paramètres de l’analyse sommaire de l’état initial du site de recherche et de son environnement.</t>
  </si>
  <si>
    <t>Critères de demande financiers</t>
  </si>
  <si>
    <t>Permis d'Exploitation</t>
  </si>
  <si>
    <t>La demande de permis d’exploitation ou de concession minière est adressée en trois (03) exemplaires originaux au Ministre chargé des mines qui en accuse réception. La demande doit être introduite au plus tard quatre (04) mois avant la date d’expiration du permis de recherche en vertu duquel elle est formulée.</t>
  </si>
  <si>
    <t>La demande précise :</t>
  </si>
  <si>
    <t>-     les renseignements et documents sur le demandeur conformément à l’article 5 du décret 2017-459 ;</t>
  </si>
  <si>
    <t>-     les références du permis de recherche en vertu duquel la demande est sollicitée ;</t>
  </si>
  <si>
    <t>-     les coordonnées et la superficie de la zone du périmètre sollicité ;</t>
  </si>
  <si>
    <t>Le dossier de demande de permis d’exploitation ou de concession comporte également :</t>
  </si>
  <si>
    <t>-     un extrait de la carte topographique du Sénégal au 1/50.000 ou 1/200.000 indiquant clairement la localisation du périmètre du permis demandé ;</t>
  </si>
  <si>
    <t>-     un plan de détail à l’échelle appropriée au 1/10.000 ou 1/5.000 où les coordonnées des sommets du périmètre sollicité sont rattachées au réseau géodésique national repérable ou à des points remarquables, invariables au sol et bien définis ;</t>
  </si>
  <si>
    <t>-     une étude de faisabilité indiquant les caractéristiques et les performances des unités d’exploitation, l’évaluation économique et financière du projet ainsi que son impact socio-économique ;</t>
  </si>
  <si>
    <t>-     un rapport détaillé des résultats de la phase recherche, indiquant notamment les réserves, les teneurs, les types de minéralisation et les tests métallurgiques ;</t>
  </si>
  <si>
    <t>-     un plan de développement et de mise en exploitation du gisement ;</t>
  </si>
  <si>
    <t>-     un plan d’investissement et un chronogramme de réalisation du projet d’exploitation ;</t>
  </si>
  <si>
    <t>-     une étude d’impact de l’exploitation sur l’environnement conformément aux dispositions de l’article 102 du Code minier ;</t>
  </si>
  <si>
    <t>-     les modifications éventuelles apportées aux statuts et au capital de la société détentrice dudit permis de recherche, pour passer à la phase d’exploitation ;</t>
  </si>
  <si>
    <t>-     un protocole d’entente ou d’association dans le cas d’un regroupement de plusieurs personnes physiques ou morales ; et</t>
  </si>
  <si>
    <t>-     un projet de convention minière entre l’Etat et le demandeur du permis de recherche établi conformément au modèle mentionné à l’article 18.</t>
  </si>
  <si>
    <t>Autorisation d’exploitation artisanale</t>
  </si>
  <si>
    <t>La demande d’autorisation d’exploitation artisanale est adressée en trois (03) exemplaires originaux au Ministre chargé des mines qui en accuse réception. Elle précise :</t>
  </si>
  <si>
    <t>-     les renseignements sur le(s) demandeur(s) conformément aux dispositions de l’article 4 du décret 2017-459 ;</t>
  </si>
  <si>
    <t>-     le numéro d’inscription au registre de commerce ;</t>
  </si>
  <si>
    <t>-     la (les) substance(s) pour laquelle (lesquelles) l’autorisation est sollicitée ;</t>
  </si>
  <si>
    <t>-     la méthode d’exploitation envisagée ; et</t>
  </si>
  <si>
    <t>-     les mesures de préservation de l’environnement et de réhabilitation du site exploité.</t>
  </si>
  <si>
    <t>Le dossier de demande d’autorisation d’exploitation artisanale comporte également :</t>
  </si>
  <si>
    <t>-     la localisation du périmètre sur un extrait de carte au 1/50.000, 1/200.000 ; et</t>
  </si>
  <si>
    <r>
      <t xml:space="preserve">-     </t>
    </r>
    <r>
      <rPr>
        <sz val="10"/>
        <color rgb="FF46362E"/>
        <rFont val="Kohinoor Devanagari"/>
        <family val="3"/>
      </rPr>
      <t>la délimitation précise du périmètre sollicité sur un plan de détail au 1/5.000 ou 1/1000 ou à une échelle approuvée.</t>
    </r>
  </si>
  <si>
    <t>Autorisation d’exploitation minière semi-mécanisée</t>
  </si>
  <si>
    <t>La demande d’autorisation d’exploitation de petite mine est adressée en trois (03) exemplaires originaux au Ministre chargé des mines qui en accuse réception. Elle précise :</t>
  </si>
  <si>
    <t>-     les renseignements et documents sur le demandeur, conformément à l’article 4 du décret 2017-459 ;</t>
  </si>
  <si>
    <t>-     la (les) substance(s) pour laquelle (lesquelles) l’autorisation est sollicitée;</t>
  </si>
  <si>
    <t>-     la méthode d’exploitation envisagée.</t>
  </si>
  <si>
    <t>-     Les mesures de prévention de l’environnement et de réhabilitation du site exploité ;</t>
  </si>
  <si>
    <t>-     une carte du Sénégal à l’échelle pouvant aller de 1/200 000 à 1/50 000, indiquant la localisation du périmètre de l’autorisation demandée ;</t>
  </si>
  <si>
    <t>-     un plan de délimitation du périmètre de la carrière privée permanente sollicitée à l’échelle du 1/5000 ou 1/1000, dressé par un géomètre agrée et visé par les services du cadastre de la zone. Les coordonnées des sommets du périmètre sollicité seront rattachées au réseau géodésique national ou réseau de référence du Sénégal (RRS 04).</t>
  </si>
  <si>
    <t>Autorisation d’exploitation de Petite Mine</t>
  </si>
  <si>
    <t>-     les renseignements et documents sur le demandeur, conformément à l’article 5 du décret 2017-459 ;</t>
  </si>
  <si>
    <t>-     les coordonnées et la superficie du périmètre d’exploitation sollicité.</t>
  </si>
  <si>
    <t>Le dossier de demande d’autorisation d’exploitation de petite mine comporte également :</t>
  </si>
  <si>
    <t>-     la localisation du périmètre sur un extrait de carte au 1/50.000, 1/200.000 ;</t>
  </si>
  <si>
    <t>-     un plan de détail à l’échelle appropriée au 1/5.000 ou 1/1000 ;</t>
  </si>
  <si>
    <t>-     une étude de faisabilité définissant les réserves, la configuration du gisement, les méthodes d’exploitation et le plan de développement ;</t>
  </si>
  <si>
    <r>
      <t xml:space="preserve">-     </t>
    </r>
    <r>
      <rPr>
        <sz val="10"/>
        <color rgb="FF46362E"/>
        <rFont val="Kohinoor Devanagari"/>
        <family val="3"/>
      </rPr>
      <t>l’étude d’impact sur l’environnement conformément à l’article 102 du Code minier.</t>
    </r>
  </si>
  <si>
    <t>Autorisation d’ouverture et d’exploitation de carrières permanente</t>
  </si>
  <si>
    <r>
      <t xml:space="preserve">Demande adressée en trois (03) exemplaires originaux </t>
    </r>
    <r>
      <rPr>
        <sz val="10"/>
        <color rgb="FF46362E"/>
        <rFont val="Kohinoor Devanagari"/>
        <family val="3"/>
      </rPr>
      <t>au Ministre chargé des mines qui en accuse réception. Elle précise :</t>
    </r>
  </si>
  <si>
    <t>-     les renseignements et documents sur le(s) demandeur(s) conformément aux dispositions de l’article 4 du décret 2017-459 ;</t>
  </si>
  <si>
    <t>-     la désignation et la localisation des matériaux de carrières pour lesquelles l’autorisation est sollicitée ;</t>
  </si>
  <si>
    <t>-     les coordonnées du périmètre et la superficie de la carrière demandée ;</t>
  </si>
  <si>
    <t>-     une carte du Sénégal à l’échelle pouvant aller de 1/200 000 à 1/50 000, indiquant la localisation de la carrière demandée ;</t>
  </si>
  <si>
    <t>-     un plan de délimitation du périmètre de la carrière privée permanente sollicitée à l’échelle du 1/5000 ou 1/1000, dressé par un géomètre agrée et visé par les services du cadastre de la zone. Les coordonnées des sommets du périmètre sollicité seront rattachées au réseau géodésique national ou réseau de référence du Sénégal (RRS 04) ;</t>
  </si>
  <si>
    <t>-     une note technique indiquant la nature et les caractéristiques du gisement ainsi que la méthode et le rythme d’exploitation envisagés ;</t>
  </si>
  <si>
    <t>-     un plan d’investissement précisant ses impacts socio-économiques ; et</t>
  </si>
  <si>
    <t>-     un plan de protection de l’environnement et un programme de réhabilitation du site sollicité.</t>
  </si>
  <si>
    <t>Autorisation d’ouverture et d’exploitation de carrière temporaire</t>
  </si>
  <si>
    <t>Annexe 23 – Critères de transfert des titres miniers</t>
  </si>
  <si>
    <t>Permis de recherche minière</t>
  </si>
  <si>
    <t>Transfert</t>
  </si>
  <si>
    <t>Demande adressée en trois exemplaires originaux au Ministère chargé des mines qui en accuse réception. Elle comporte :</t>
  </si>
  <si>
    <t>-   Les références du permis de recherche dont le transfert est demandé ;</t>
  </si>
  <si>
    <t>-   Toutes les pièces justificatives des paiements de droits et de redevances ;</t>
  </si>
  <si>
    <t>-   La substance pour laquelle le transfert est sollicité ;</t>
  </si>
  <si>
    <t>-   Le rapport sommaire des travaux réalisés ;</t>
  </si>
  <si>
    <t>-   Les renseignements et documents sur le(s) bénéficiaire(s) du transfert conformément aux dispositions de l’article 5 du décret 2017-459 ;</t>
  </si>
  <si>
    <t>-   Les protocoles, contrats ou conventions établis entre les parties et ayant pour objet le transfert total ou partiel du permis de recherche ; et</t>
  </si>
  <si>
    <t>Le contrat ou l’accord de cession/transfert total ou partiel est soumis à la formalité d’enregistrement et au paiement de la taxe sur la plus-value de cession prévues par le code général d’impôt.</t>
  </si>
  <si>
    <t>Critères de demandes Techniques &amp; financiers</t>
  </si>
  <si>
    <t>Non définis dans le manuel des procédures du ministère des mines et de la géologie de mars 2021.</t>
  </si>
  <si>
    <t xml:space="preserve">Permis d’exploitation minière </t>
  </si>
  <si>
    <t>-   Les références du permis d’exploitation dont le transfert est demandé ;</t>
  </si>
  <si>
    <t>-   Les renseignements et documents sur le(s) bénéficiaire(s) du transfert conformément aux dispositions de l’article 4 du décret 2017-459 ; et</t>
  </si>
  <si>
    <t>-   Les protocoles, contrats ou conventions établis entre les parties et ayant pour objet le transfert total ou partiel du permis d’exploitation.</t>
  </si>
  <si>
    <t>Concession minière</t>
  </si>
  <si>
    <t>Demande adressée en trois exemplaires originaux au Ministre chargé des mines qui en accuse réception. Elle précise :</t>
  </si>
  <si>
    <t>-   Les références de la concession minière dont la cession, la transmission ou l’amodiation sont demandées ;</t>
  </si>
  <si>
    <t>-   Les substances pour lesquelles la cession, la transformation ou l’amodiation est sollicitée ;</t>
  </si>
  <si>
    <t>-   Les renseignements et documents sur le(s) bénéficiaire(s) de la cession, transmission ou amodiation de la concession minière, conformément aux dispositions de l’article 5 du présent décret ; et</t>
  </si>
  <si>
    <t>-   Les protocoles, contrats ou convention établis entre les parties et ayant pour objet, la cession transmission ou amodiation totale ou partielle de la concession minière.</t>
  </si>
  <si>
    <t>Non définis</t>
  </si>
  <si>
    <t>Nos définis dans le manuel des procédures du ministère des mines et de la géologie de mars 2021.</t>
  </si>
  <si>
    <t>Annexe 24 – Critères de renouvellement des titres miniers</t>
  </si>
  <si>
    <t>Renouvellement</t>
  </si>
  <si>
    <t xml:space="preserve">Demande introduite sept (07) jours au moins avant l’expiration de l’autorisation de prospection en cours. Elle accompagnée : </t>
  </si>
  <si>
    <t>-  D’un rapport indiquant les travaux effectués et les résultats obtenus ; et</t>
  </si>
  <si>
    <t>-  D’un programme général des travaux complémentaires envisagés.</t>
  </si>
  <si>
    <t>Critères de demandes techniques &amp; financiers</t>
  </si>
  <si>
    <t>Une demande adressée en trois (03) exemplaires originaux au Ministre chargé des mines qui en accuse réception (la demande doit être introduite deux (02) mois au moins avant l’expiration du permis). Elle précise :</t>
  </si>
  <si>
    <t>-     Les références du permis de recherche pour lequel le renouvellement est demandé ;</t>
  </si>
  <si>
    <t>-     Toutes les pièces justificatives des paiements de droits et de redevances ;</t>
  </si>
  <si>
    <t>-     Le montant des dépenses annuelles que le titulaire du permis de recherche s’engage à réaliser sur la totalité de la période de renouvellement de son permis conformément aux dispositions de l’article 20 du code minier ;</t>
  </si>
  <si>
    <t>-     La durée de renouvellement sollicité conformément aux dispositions de l’article 18 du code minier ;</t>
  </si>
  <si>
    <t>-     Les coordonnées et la superficie de la fraction du périmètre initial résiduel et de la zone de superficie rendue par le titulaire conformément aux dispositions de l’article 18 du code minier ;</t>
  </si>
  <si>
    <t>-     Un extrait de la carte du Sénégal au 1/50 000 ou au 1/200 000 où le demandeur indique les configurations du périmètre de recherche à renouveler et de la zone rendue ;</t>
  </si>
  <si>
    <t>-     Un rapport général sur les recherches effectuées au cours de la période de validité du permis de recherche qui vient à expiration, comportant les résultats des travaux, sondages et analyses ainsi que les plans, logs et coupes dressés ;</t>
  </si>
  <si>
    <t>-     Un rapport technique sur la poursuite des travaux prévus et les méthodes de recherche qui seront employées ;</t>
  </si>
  <si>
    <t>-     Un rapport financier certifié ; et</t>
  </si>
  <si>
    <t>-     Un rapport sur l’évaluation sommaire de l’état environnemental du site de recherche.</t>
  </si>
  <si>
    <t>Une demande adressée en trois (03) exemplaires originaux au Ministre chargé des mines qui en accuse réception (la demande doit être introduite quatre (04) mois au moins avant l’expiration du permis. Elle précise :</t>
  </si>
  <si>
    <t>-     Les références du permis d’exploitation pour lequel le renouvellement est demandé ;</t>
  </si>
  <si>
    <t>-     La durée de renouvellement sollicité ;</t>
  </si>
  <si>
    <t>-     La localisation exacte sur plan à une échelle appropriée du ou des gisements pour lequel(s) le renouvellement est sollicité ;</t>
  </si>
  <si>
    <t>-     Un rapport général sur l’exploitation depuis l’attribution, notamment les résultats financiers, les réserves restantes exploitables et le cas échéant, le programme de recherche de réserves additionnelles ; et</t>
  </si>
  <si>
    <t>-     Une note technique sur les travaux de recherche envisagés.</t>
  </si>
  <si>
    <t>Une demande adressée en trois (03) exemplaires originaux au Ministre chargé des mines qui en accuse réception (la demande doit être introduite deux (02) mois au moins avant l’expiration de l’autorisation. Elle précise :</t>
  </si>
  <si>
    <t>-     Les références de l’autorisation pour lequel le renouvellement est demandé ;</t>
  </si>
  <si>
    <t>-     Un rapport sur les mesures de préservation de l’environnement et de réhabilitation du site exploité ;</t>
  </si>
  <si>
    <t>-     Le récapitulatif des productions et des ventes durant la période de validité de l’autorisation ; et</t>
  </si>
  <si>
    <t>-     Une note technique sur la nature des travaux à réaliser et les méthodes envisagées.</t>
  </si>
  <si>
    <t>Une demande adressée en trois (03) exemplaires originaux au Ministre chargé des mines qui en accuse réception (la demande doit être introduite deux (02) mois au moins avant l’expiration de l’autorisation). Elle précise :</t>
  </si>
  <si>
    <t>-     La délimitation précise du périmètre sollicité sur un plan de détail au 1/5000 ou 1/1000 ;</t>
  </si>
  <si>
    <t>-     Les mesures de préservation de l’environnement et de réhabilitation du site d’exploitation de petite mine ;</t>
  </si>
  <si>
    <t>-     Une note technique sur la poursuite des travaux et les méthodes envisagées.</t>
  </si>
  <si>
    <t>Une demande adressée au Ministre chargé des mines qui en accuse réception (la demande doit être introduite trois (03) mois au moins avant l’expiration du permis). Elle précise :</t>
  </si>
  <si>
    <t>-     Un rapport détaillé en trois (03) exemplaires portant sur l’exploitation réalisée, auquel sont annexés tous les documents techniques y afférant entre autres les récapitulatifs des productions, des ventes et des paiements effectués.</t>
  </si>
  <si>
    <t>-     Une note technique sur les travaux envisagés ;</t>
  </si>
  <si>
    <t>-     Une note technique portant sur l’exécution du programme de réhabilitation du site ; et</t>
  </si>
  <si>
    <t>-     Toutes les pièces justificatives des paiements de droits et de redevances.</t>
  </si>
  <si>
    <t>Une demande adressée à l’administration des mines deux (02) mois avant l’expiration de l’autorisation accompagnée de toutes les pièces justificatives des paiements de droits et de redevances.</t>
  </si>
  <si>
    <t>Annexe 25 – Critères techniques et financiers d’attribution des titres pétroliers</t>
  </si>
  <si>
    <t>Autorisation de prospection / Permis de Recherche</t>
  </si>
  <si>
    <t xml:space="preserve">Demande adressée en trois exemplaires au Ministre chargé des hydrocarbures, indiquant : </t>
  </si>
  <si>
    <t>-   la raison sociale, la forme juridique et le siège social de l’entreprise ou, si la demande est faite au nom d’une personne physique, les noms, prénoms, qualité, nationalité et domicile de celle-ci ;</t>
  </si>
  <si>
    <t>-   les statuts et le dernier bilan et rapport annuel de l’entreprise ;</t>
  </si>
  <si>
    <t>-   toutes justifications additionnelles des capacités techniques et financières de la personne physique ou morale ;</t>
  </si>
  <si>
    <t>-   les prénoms et nom du président et des directeurs de l’entreprise et, le cas échéant, les noms des membres du conseil d’administration, du directoire et du conseil de surveillance ainsi que, dans tous les cas, les noms des commissaires aux comptes ;</t>
  </si>
  <si>
    <t>-   les prénoms et nom des dirigeants ;</t>
  </si>
  <si>
    <t>-   le nom et l’adresse du représentant légal en République du Sénégal de la personne physique ou morale demanderesse ;</t>
  </si>
  <si>
    <t>-   si la demande est présenté par plusieurs personnes physiques ou morales agissant à titre conjoint et solidaire, les renseignements concernant le demandeur seront fournis par chacune d’elles ;</t>
  </si>
  <si>
    <t>-   si la demande est faite au nom d’une société, elle doit être accompagnée de la justification des pouvoirs de la personne qui a signé la demande et d’une expédition de l’acte de constitution de la société ;</t>
  </si>
  <si>
    <t>-   le nom du bloc ou les coordonnées et la superficie du périmètre sollicité pour la prospection ou la recherche d’hydrocarbures  accompagnées de la carte géographique ;</t>
  </si>
  <si>
    <t>-   la durée, le programme général et l’échelonnement des travaux de recherche envisagés sur le périmètre susvisé, ainsi que le montant des dépenses que le demandeur prévoit de consacrer à l’exécution des travaux ; et</t>
  </si>
  <si>
    <t>-   une notice d’impact sur l’environnement exposant les conditions dans lesquelles le programme général des travaux satisfait à la préservation de l’environnement.</t>
  </si>
  <si>
    <t>Critères de demandes techniques</t>
  </si>
  <si>
    <t>Critère en fonction, notamment du nombre de champs pétroliers et/ou gaziers découverts et/ou développés avec succès dans les dix (10) dernières années et des références fournies jugées pertinentes au regard du bloc concerné.</t>
  </si>
  <si>
    <t xml:space="preserve">Critères de demandes financiers </t>
  </si>
  <si>
    <t>Une appréciation selon des critères tels que le niveau d’activités et la solvabilité de l’entreprise ainsi que la rentabilité économique des projets qu’elle a développés au cours des dix (10) dernières années.</t>
  </si>
  <si>
    <t>Autorisation d’exploration</t>
  </si>
  <si>
    <t>Demande adressée en trois exemplaires au Ministre chargé des hydrocarbures, indiquant :</t>
  </si>
  <si>
    <t>-       la dénomination ou la raison sociale, la forme juridique et les statuts mis à jour de la personne morale, le certificat d’immatriculation et le numéro d’identification nationale des entreprises et associations (NINEA) ou son équivalent en cours de validité, le siège social et l’adresse professionnelle du demandeur ;</t>
  </si>
  <si>
    <t>-       la déclaration relative aux bénéficiaires effectifs conformément à la réglementation en vigueur ;</t>
  </si>
  <si>
    <t>-       les dix (10) derniers rapports d’activités annules de la personne morale ;</t>
  </si>
  <si>
    <t>-       tout document justifiant de la capacité technique et opérationnelle de la personne morale ainsi que son expérience dans le domaine des opérations pétrolières ;</t>
  </si>
  <si>
    <t>-       tout document justifiant les capacités financières, y compris notamment, les états financiers certifiés par un commissaire aux comptes ou assimilé des dix (10) derniers exercices de la personne morale et de sa société-mère, le cas échéant ;</t>
  </si>
  <si>
    <t>-       les prénoms, noms ou l’identité et les adresses des membres organes de direction et d’administration et des actionnaires ou associés des sociétés affiliées ou membres d’un même groupe de sociétés le cas échéant, la composition de l’actionnariat ainsi que, dans tous les cas, de ceux des commissaires aux comptes ou assimilés ;</t>
  </si>
  <si>
    <t>-       le nom et l’adresse du représentant légal en République du Sénégal de la personne physique ou morale demanderesse ;</t>
  </si>
  <si>
    <t>-       le nom du bloc ou les coordonnées et la superficie du périmètre sollicité pour l’exploration accompagnés de la carte géographique ;</t>
  </si>
  <si>
    <t>-       la durée, le programme général et l’échelonnement des travaux envisagés sur le périmètre susvisé, ainsi que le montant des dépenses que le demandeur prévoit de consacrer à l’exécution des travaux ;</t>
  </si>
  <si>
    <t>-       une notice d’impact sur l’environnement exposant les conditions dans lesquelles le programme général des travaux satisfait à la préservation de l’environnement ;</t>
  </si>
  <si>
    <t>-       les stipulations particulières du contrat pétrolier à négocier avec l’Etat ;</t>
  </si>
  <si>
    <t>-       la quittance de versement des droits d’instruction prévus par le code pétrolier, délivrée par les services du Trésor Public ;</t>
  </si>
  <si>
    <t>-       le quitus fiscal délivré par les services compétents ;</t>
  </si>
  <si>
    <t>-       la justification des pouvoirs de la personne signataire de la demande.</t>
  </si>
  <si>
    <t>Critères de demandes Techniques</t>
  </si>
  <si>
    <t>Une garantie d’une banque de réputation internationale, couvrant les engagements minima de travaux relatifs à la période d’exploration.</t>
  </si>
  <si>
    <t>Autorisation d’exploitation provisoire</t>
  </si>
  <si>
    <t>-   les caractéristiques techniques du ou des puits pour lesquels l’autorisation est demandée ;</t>
  </si>
  <si>
    <t>-   les résultats de l’interprétation des essais de production ainsi que l’estimation de la quantité journalière d’hydrocarbures pouvant être produite ;</t>
  </si>
  <si>
    <t>-   la durée approximative de la demande d’autorisation d’exploitation provisoire ;</t>
  </si>
  <si>
    <t>-   la description du mécanisme d’évacuation des hydrocarbures produits, ainsi que les dispositions pour minimiser le brulage du gaz produit ;</t>
  </si>
  <si>
    <t>-   une étude d’impact environnemental et social accompagnée du certificat de conformité ou certificat d’autorisation conformément au Code de l’environnement.</t>
  </si>
  <si>
    <t>Autorisation d’exploitation exclusive</t>
  </si>
  <si>
    <t>-   Le plan de développement et de mise en exploitation visé par l’article 31 du code pétrolier portant sur le ou les gisements concernés, approuvé par le Ministère des Hydrocarbures ;</t>
  </si>
  <si>
    <r>
      <t>-   les coordonnées et la superficie de la zone d’exploitation sollicité, accompagnées d’une carte géographique â l’échelle du 1/20 000</t>
    </r>
    <r>
      <rPr>
        <vertAlign val="superscript"/>
        <sz val="10"/>
        <color rgb="FF404040"/>
        <rFont val="Trebuchet MS"/>
        <family val="2"/>
        <scheme val="minor"/>
      </rPr>
      <t>e</t>
    </r>
    <r>
      <rPr>
        <sz val="10"/>
        <color rgb="FF404040"/>
        <rFont val="Trebuchet MS"/>
        <family val="2"/>
        <scheme val="minor"/>
      </rPr>
      <t xml:space="preserve"> ou du 1/50 000</t>
    </r>
    <r>
      <rPr>
        <vertAlign val="superscript"/>
        <sz val="10"/>
        <color rgb="FF404040"/>
        <rFont val="Trebuchet MS"/>
        <family val="2"/>
        <scheme val="minor"/>
      </rPr>
      <t>e</t>
    </r>
    <r>
      <rPr>
        <sz val="10"/>
        <color rgb="FF404040"/>
        <rFont val="Trebuchet MS"/>
        <family val="2"/>
        <scheme val="minor"/>
      </rPr>
      <t xml:space="preserve"> et de mémoire justifiant la délimitation du périmètre d’exploitation demandé.</t>
    </r>
  </si>
  <si>
    <t>-   La preuve de la décision finale d’investissement ainsi que le plan de financement retenu communiqués par les organes délibérants dûment habilités.</t>
  </si>
  <si>
    <t>Concession d’exploitation</t>
  </si>
  <si>
    <t>-   Le plan de développement et de mise en exploitation du ou des gisements concernés tel que visé à l’article 28 du Code Pétrolier ; et</t>
  </si>
  <si>
    <r>
      <t>-   les coordonnées et la superficie de la concession ou périmètre d’exploitation sollicité, accompagnées d’une carte géographique â l’échelle du 1/20 000</t>
    </r>
    <r>
      <rPr>
        <vertAlign val="superscript"/>
        <sz val="10"/>
        <color rgb="FF404040"/>
        <rFont val="Trebuchet MS"/>
        <family val="2"/>
        <scheme val="minor"/>
      </rPr>
      <t>e</t>
    </r>
    <r>
      <rPr>
        <sz val="10"/>
        <color rgb="FF404040"/>
        <rFont val="Trebuchet MS"/>
        <family val="2"/>
        <scheme val="minor"/>
      </rPr>
      <t xml:space="preserve"> ou du 1/50 000</t>
    </r>
    <r>
      <rPr>
        <vertAlign val="superscript"/>
        <sz val="10"/>
        <color rgb="FF404040"/>
        <rFont val="Trebuchet MS"/>
        <family val="2"/>
        <scheme val="minor"/>
      </rPr>
      <t>e</t>
    </r>
    <r>
      <rPr>
        <sz val="10"/>
        <color rgb="FF404040"/>
        <rFont val="Trebuchet MS"/>
        <family val="2"/>
        <scheme val="minor"/>
      </rPr>
      <t xml:space="preserve"> et de mémoire justifiant la délimitation de la concession ou du périmètre d’exploitation demandé.</t>
    </r>
  </si>
  <si>
    <t>-   Un rapport exposant les aspects techniques et économiques de l‘exploitation du ou des gisements concernés, l’évaluation des réserves encore récupérables et tous les éléments venant à l’appui de la demande.</t>
  </si>
  <si>
    <t>Annexe 26 – Attestation de conformité de la DGM de 2023</t>
  </si>
  <si>
    <t>Annexe 27 - Les modalités d’octroi par nature de permis  (minier)</t>
  </si>
  <si>
    <t>Titres</t>
  </si>
  <si>
    <t>Acte d’octroi</t>
  </si>
  <si>
    <t>Modalités d’octroi</t>
  </si>
  <si>
    <t xml:space="preserve">Code minier 2003 </t>
  </si>
  <si>
    <t>Code minier 2016</t>
  </si>
  <si>
    <t>Autorisation
de prospection</t>
  </si>
  <si>
    <t>Par décision
de la DGM</t>
  </si>
  <si>
    <t>L’autorisation est accordée sous réserve des droits antérieurement concédés.
Elle est accordée pour une durée de six (06) mois.
L’autorisation de prospection confère à son titulaire un droit non exclusif de prospection valable pour les substances ciblées sur toute l’étendue de la zone autorisée. Toutefois, l’autorisation de prospection ne confère à son titulaire aucun droit particulier pour l’obtention de tout autre titre minier et aucun droit de disposer à des fins commerciales des substances découvertes</t>
  </si>
  <si>
    <t>L’autorisation est accordée sous réserve des droits antérieurement concédés.
Elle est accordée pour une durée de six (06) mois.
L’autorisation de prospection confère à son titulaire un droit non exclusif de prospection valable pour les substances ciblées sur toute l’étendue de la zone autorisée. Toutefois, l’autorisation de prospection ne confère à son titulaire aucun droit particulier pour l’obtention de tout autre titre minier et aucun droit de disposer à des fins commerciales des substances découverte</t>
  </si>
  <si>
    <t>Par arrêté du Ministre chargé des mines</t>
  </si>
  <si>
    <t>Le permis de recherche est attribué pour une durée n’excédant pas trois (03) ans, sous réserve des droits antérieurs de tiers sur le périmètre sur lequel il porte</t>
  </si>
  <si>
    <t>Le permis de recherche est attribué pour une durée n’excédant pas quatre (04) ans, sous réserve des droits antérieurs de tiers sur le périmètre sur lequel il porte. Il peut être détenu par toute personne morale.
Pour une même substance, une personne morale ne peut posséder plus de deux (02) permis de recherche</t>
  </si>
  <si>
    <t>Par décret de la Présidence de la République</t>
  </si>
  <si>
    <t>Le permis d’exploitation est accordé par décret, pour une période n’excédant pas cinq (05) ans renouvelables.
L’octroi d’un titre minier d’exploitation entraîne l’annulation du permis de recherche à l’intérieur du périmètre d’exploitation</t>
  </si>
  <si>
    <t>Le permis d’exploitation minière est délivré par décret pour une période minimum de cinq (05) ans et n'excédant pas vingt (20) ans, renouvelable.
La délivrance du permis d'exploitation minière entraine le retrait du permis de recherche à l’intérieur du périmètre d’exploitation</t>
  </si>
  <si>
    <t>Non applicable</t>
  </si>
  <si>
    <t>La concession minière est accordée dans les mêmes formes que pour le permis d’exploitation, pour une période minimum de cinq (05) ans et n’excédant pas 25 ans renouvelable</t>
  </si>
  <si>
    <t>Elle confère au bénéficiaire, dans les limites du périmètre attribué et jusqu’à une profondeur maximale de quinze mètres, le droit exclusif d’exploiter, selon des méthodes et procédés artisanaux ou peu mécanisés, les substances minérales pour lesquelles elle est délivrée.
L’autorisation d’exploitation artisanale est accordée pour une durée n’excédant pas deux (02) ans et constitue un bien meuble</t>
  </si>
  <si>
    <t>Elle est délivrée à toute personne physique qui ne peut prétendre à une exclusivité quelconque.
L’autorisation d'exploitation minière artisanale est valable pour une durée de cinq (05) ans</t>
  </si>
  <si>
    <t>Non applicable.</t>
  </si>
  <si>
    <t>Délivrée sous réserve des droits antérieurement concédés à toute personne morale pour une durée n’excédant pas trois (03) ans</t>
  </si>
  <si>
    <t>Elle confère au bénéficiaire, dans les limites du périmètre octroyé et indéfiniment en profondeur, le droit exclusif de prospecter et d’exploiter, selon des procédés semi-industriels ou industriels, les substances minérales pour lesquelles elle est délivrée.
L’autorisation d’exploitation de petite mine est accordée pour une durée n’excédant pas trois (03) ans et constitue un bien meuble</t>
  </si>
  <si>
    <t>périmètre octroyé, et indéfiniment en profondeur, le droit exclusif de prospecter et d'exploiter, selon des procédés semi-industriels ou lndustr1els, les substances minérales pour lesquelles elle est délivrée.
L'autorisation d'exploitation de petite mine est accordée pour une durée n’excédant pas cinq (05) ans</t>
  </si>
  <si>
    <t>Elle confère à son bénéficiaire un droit d’occupation d’une parcelle et la libre disposition des substances minérales pour lesquelles elle a été délivrée.
Elle est accordée pour une durée n’excédant pas cinq (05) ans, renouvelable. Elle constitue un bien meuble</t>
  </si>
  <si>
    <t>Elle confère à son bénéficiaire un droit d’occupation d'une parelle et la libre disposition des substances minérales pour lesquelles elle a été délivrée.
Elle est délivrée pour une durée n'excédant pas cinq (5) ans, renouvelable. Elle constitue un bien meuble</t>
  </si>
  <si>
    <t>Par décision de la DGM</t>
  </si>
  <si>
    <t>Elle confère à son bénéficiaire un droit d’occupation d’une parcelle et la libre disposition des substances minérales pour lesquelles elle a été délivrée.
Elle est accordée pour une durée n’excédant pas six (06) mois, renouvelable. Elle constitue un bien meuble</t>
  </si>
  <si>
    <t>Elle confère à son bénéficiaire un droit d’occupation d’une parcelle et la libre disposition des substances minérales pour lesquelles elle a été délivrée.
Elle est accordée pour une n’excédant pas un (01) an, renouvelable. Elle constitue un bien meuble</t>
  </si>
  <si>
    <t>Annexe 28 – Modalités de transferts</t>
  </si>
  <si>
    <t>Acte de transfert/cession</t>
  </si>
  <si>
    <t>Modalités de transfert/cession</t>
  </si>
  <si>
    <t>L’autorisation de prospection n’est ni cessible, ni transmissible. Elle constitue un bien meuble qui ne peut faire l’objet ni de gage, ni de nantissement, ni de quelque garantie que ce soit.</t>
  </si>
  <si>
    <t>L’autorisation de prospection constitue un bien meuble et n’est ni cessible, ni transmissible et ne peut faire l’objet de gage, ni de nantissement, ni de quelque garantie que ce soit.</t>
  </si>
  <si>
    <t>Ministre chargé des mines</t>
  </si>
  <si>
    <t>Le permis de recherche est cessible et transmissible sous réserve de l’approbation préalable du Ministre chargé des mines.</t>
  </si>
  <si>
    <t>Le permis de recherche est cessible sous réserves de l’approbation préalable du Ministère chargé des Mines. Il constitue un droit mobilier, indivisible, non amodiable ni susceptible de gage.
Il ne peut faire l’objet de transfert pendant la première période de sa validité</t>
  </si>
  <si>
    <t>Le titulaire de permis d’exploitation minier a le droit de céder, transmettre ou amodier son titre minier d’exploitation, sous réserve de l’autorisation préalable du Ministre chargé des mines et du paiement des droits fixes.</t>
  </si>
  <si>
    <t>Le titulaire de permis d’exploitation minier a le droit de céder, transmettre ou amodier son titre minier d’exploitation, sous réserve de l’autorisation préalable du Ministre chargé des mines et du paiement des droits fixes et taxes exigibles.</t>
  </si>
  <si>
    <t>Le titulaire d’une concession minière a le droit de céder, transmettre ou amodier son titre minier d’exploitation, sous réserve de l’autorisation préalable du Ministre chargé des mines et du paiement des droits fixes.</t>
  </si>
  <si>
    <t>L’autorisation d’exploitation artisanale n’est ni cessible ni amodiable.</t>
  </si>
  <si>
    <t>L’autorisation d’exploitation artisanale est personnelle et ne peut être ni cédée, ni mutée, ni amodiée, sous quelque forme que ce soit.</t>
  </si>
  <si>
    <t>L’autorisation d’exploitation de petite mine n’est ni cessible ni amodiable.</t>
  </si>
  <si>
    <t>L’autorisation d’exploitation de petite mine constitue un bien meuble et n’est ni cessible ni transmissible et ne peut faire l’objet de garantie.</t>
  </si>
  <si>
    <t>L’autorisation d’ouverture et d’exploitation de carrière permanente constitue un bien meuble et est susceptible de transfert dans les conditions fixées par décret. A cet effet, la titulaire transmet au Ministère chargé des mines tout contrat ou accord par lequel in confie, cède ou transmet, partiellement ou totalement, les droits et obligations résultant dudit titre minier.</t>
  </si>
  <si>
    <t>L’autorisation d’ouverture et d’exploitation de carrière temporaire constitue un bien meuble et n’est pas transférable.</t>
  </si>
  <si>
    <t>Annexe 29 - Les modalités de renouvellement du secteur minier</t>
  </si>
  <si>
    <t>Acte de renouvellement</t>
  </si>
  <si>
    <t>Modalités de renouvellement</t>
  </si>
  <si>
    <t>Idem</t>
  </si>
  <si>
    <t>Elle est renouvelable une seule fois, dans les mêmes formes, si le bénéficiaire a respecté ses obligations.</t>
  </si>
  <si>
    <t>Par arrêté de Ministre chargé des mines</t>
  </si>
  <si>
    <t>Le permis de recherche est renouvelable deux fois, par arrêté du Ministre chargé des mines pour des périodes consécutives n’excédant pas 3 ans chaque fois, sous réserve du respect des obligations prévues par le présent code et la convention minière annexée au permis de recherche.
Lors du renouvellement du permis de recherche, la superficie de son périmètre est réduite à chaque fois au moins du quart.</t>
  </si>
  <si>
    <t>Idem.</t>
  </si>
  <si>
    <t>Le permis d’exploitation peut être renouvelé par décret, pour une ou plusieurs périodes ne dépassant pas cinq ans chaque fois, jusqu’à épuisement du gisement.</t>
  </si>
  <si>
    <t>Par Décret présidentiel</t>
  </si>
  <si>
    <t>La concession minière peut être renouvelée par décret, pour une ou plusieurs périodes ne dépassant pas 25 ans chaque fois, jusqu’à épuisement du gisement.</t>
  </si>
  <si>
    <t>L’autorisation d’exploitation artisanale est renouvelable dans les mêmes formes pour des périodes n’excédant pas trois ans et cela jusqu’à épuisement des réserves, si le bénéficiaire a respecté les obligations, rempli les engagements pris dans le cadre de ladite autorisation d’exploitation et déposé chaque fois une demande conforme.</t>
  </si>
  <si>
    <t>L’autorisation d’exploitation artisanale est renouvelable une ou plusieurs fois pour la même durée, sous réserve du paiement du droit y afférent.</t>
  </si>
  <si>
    <t>L’autorisation d’exploitation minière semi-mécanisée est renouvelable dans les mêmes formes pour des périodes n’excédant pas trois (03) ans, et ce, jusqu’à épuisement des réserves si le bénéficiaire a respecté les obligations, rempli les engagements pris dans le cadre de ladite autorisation d’exploitation et déposé chaque fois une demande conforme.</t>
  </si>
  <si>
    <t>L’autorisation d’exploitation de petite mine est renouvelable dans les mêmes formes pour des périodes n’excédant pas trois (03) ans et cela jusqu’à épuisement des réserves, si le bénéficiaire a respecté les obligations, rempli les engagements pris dans le cadre de ladite autorisation d’exploitation et déposé chaque fois une demande conforme.</t>
  </si>
  <si>
    <t>L’autorisation d’exploitation de petite mine est renouvelable dans les mêmes formes pour des périodes n’excédant pas cinq (05) ans et cela jusqu’à épuisement des réserves, si le bénéficiaire a respecté les obligations, rempli les engagements pris dans le cadre de ladite autorisation d’exploitation et déposé chaque fois une demande conforme.</t>
  </si>
  <si>
    <t>L’autorisation d’ouverture et d’exploitation de carrière permanente peut être renouvelée dans les mêmes formes, une ou plusieurs fois, pour une période maximale de cinq (05) ans chaque fois.</t>
  </si>
  <si>
    <t>La durée de validité du renouvellement de l’autorisation d’ouverture et d’exploitation de carrière temporaire est de six (06) mois au maximum.</t>
  </si>
  <si>
    <t>La durée de validité du renouvellement de l’autorisation d’ouverture et d’exploitation de carrière temporaire est d’un (01) an.</t>
  </si>
  <si>
    <t xml:space="preserve">Annexe 30 - Les modalités d’octroi par nature de permis </t>
  </si>
  <si>
    <t>Code pétrolier 1998</t>
  </si>
  <si>
    <t>Code pétrolier 2019</t>
  </si>
  <si>
    <t>Arrêté du Ministre chargé du secteur des opérations pétrolières</t>
  </si>
  <si>
    <t>Arrêté du Ministre chargé des Hydrocarbures</t>
  </si>
  <si>
    <t>L’autorisation de prospection est accordée pour une durée n’excédant pas deux ans. Elle confère à son titulaire, dans les limites de son périmètre, le droit non exclusif d’exécuter des travaux préliminaires de prospection d’hydrocarbures, notamment par l’utilisation de méthodes géophysiques, géologiques et géochimiques, à l’exclusion des forages d’une profondeur supérieure à deux cents mètres, sauf dispositions contraires prévues par l’autorisation de prospection.</t>
  </si>
  <si>
    <t>L’autorisation de prospection est accordée pour une durée maximale de deux (02) ans.
Un titre minier d’hydrocarbures peut être accordé à tout moment, sur tout ou partie de la superficie faisant l’objet d’une autorisation de prospection. Cette autorisation devient dès lors caduque de plein droit sur la superficie concernée sans qu’aucune indemnité ne soit due.</t>
  </si>
  <si>
    <t>Permis de recherche</t>
  </si>
  <si>
    <t>Décret de la Présidence de la République</t>
  </si>
  <si>
    <t>Le permis de recherche d’hydrocarbures confère à son titulaire, dans les limites de son périmètre, le droit exclusif d’exécuter tous les travaux, y compris le forage, ayant pour objet la recherche et la mise en évidence de gisements d’hydrocarbures, conformément aux stipulations de la convention attachée audit permis.</t>
  </si>
  <si>
    <t>L’autorisation d’exploration d’hydrocarbures est accordée au titulaire par décret pour une période initiale ne pouvant excéder quatre (04) ans.
Elle confère à son titulaire, dans les limites de sa zone, le droit exclusif d’exécuter tous les travaux, y compris le forage, ayant pour objet la recherche et la mise en évidence de gisements d’hydrocarbures, conformément aux termes du contrat pétrolier attaché à ladite autorisation.</t>
  </si>
  <si>
    <t>Arrêté du ministre chargé des Hydrocarbures</t>
  </si>
  <si>
    <t>Pendant la durée de validité d’un permis de recherche, son titulaire peut, sur sa demande, être autorisé, par décret à exploiter à titre provisoire les puits productifs, pour une période maximale de deux ans pendant laquelle il sera tenu de poursuivre la délimitation et le développement du gisement, conformément aux dispositions de l’article 20.</t>
  </si>
  <si>
    <t>Pendant la durée de validité d’une autorisation d’exploration, son titulaire peut, sur sa demande, être autorisé à exploiter à titre provisoire les puits productifs pour une période maximale de six (6) mois, pendant laquelle il poursuit la délimitation et le développement du gisement, conformément aux dispositions de l’article 23 du présent Code.</t>
  </si>
  <si>
    <t>Elle confère à son titulaire, dans les limites de son périmètre, le droit exclusif d’effectuer toutes les opérations pétrolières, suivant les stipulations de la convention qui lui est attachée.
La concession d’exploitation d’hydrocarbures est octroyée au titulaire pour une durée ne pouvant excéder vingt-cinq ans.</t>
  </si>
  <si>
    <t>Contrat de partage de production</t>
  </si>
  <si>
    <t>Un contrat de services précise les droits et obligations de chacune des parties pendant toute sa durée de validité, tels que prévus par l’article 34 du code pétrolier.
Le contrat est signé par la société d’Etat et le ou les demandeurs, puis contresigné par le Ministre, après avis du Ministre chargé des Finances. Le contrat est soumis à l’approbation du Président de la République. Le décret et le contrat de services sont publiés au Journal Officiel et fait l’objet d’un enregistrement dans les conditions prévues par la loi.</t>
  </si>
  <si>
    <t>Le contrat de partage de production, attaché à l’autorisation d’exploration, fixe les droits et obligations respectifs des différentes parties, pendant la durée des phases d’exploration et éventuellement celles d’exploitation qui y sont rattachées.
Les dispositions définies par le contrat de partage de production sont prévues par l’article 20 du code pétrolier 2019.
Il est signé par le ministre chargé des Hydrocarbures, la PETROSEN et le ou les demandeurs de l’autorisation d’exploration d’hydrocarbures. 
Le contrat est approuvé par décret et publié au Journal Officiel</t>
  </si>
  <si>
    <t>Annexe 31 - Les modalités de renouvellement du secteur des hydrocarbures</t>
  </si>
  <si>
    <t>Type de Titre</t>
  </si>
  <si>
    <t>Le permis de recherche d’hydrocarbures peut, à la demande de son titulaire, être renouvelé deux fois par décret pour une durée n’excédant pas trois ans à chaque fois, à condition que le titulaire ait rempli toutes ses obligations et abandonne à chaque fois une fraction de la superficie du périmètre de recherche[1].</t>
  </si>
  <si>
    <t>Sur demande de son titulaire, l’autorisation d’exploration d’hydrocarbures peut être renouvelée, au plus deux (02) fois, par décret, pour une durée n’excédant pas trois (03) ans à chaque fois. 
Un renouvellement ne peut intervenir qu’à condition que le titulaire ait rempli toutes ses obligations et, à chaque fois, une fraction de la superficie de la zone d’exploration.
A la fin de la période initiale ou du premier renouvellement et à titre exceptionnel, le titulaire peut bénéficier, par décret, d’une extension ne pouvant excéder un (01) an sous réserve d’avoir commencé les travaux et d’avoir fourni les justificatifs techniques requis.
La deuxième période de renouvellement peut être prorogée, par décret, pour la durée nécessaire à la poursuite des travaux d’évaluation d’une découverte</t>
  </si>
  <si>
    <t>Non renouvelable. L’autorisation devient caduque en cas d’expiration du permis pour quelque cause que ce soit, à moins que ne soit déposée une demande de concession.</t>
  </si>
  <si>
    <t>L’autorisation d’exploitation provisoire devient caduque d’office en cas d’expiration de l’autorisation d’exploration à moins qu’une demande d’autorisation d’exploitation exclusive soit déposée.</t>
  </si>
  <si>
    <t>L’autorisation exclusive d’exploitation est octroyée au titulaire pour une durée initiale maximale de vingt (20) ans. A l’expiration de cette durée initiale, elle peut être renouvelée, une seule fois, par décret, à la demande du contractant, pour une période additionnelle de dix (10) ans au plus. Le renouvellement n’est pas automatique.</t>
  </si>
  <si>
    <t>La durée de validité de cette concession peut être prorogée par décret pour une période maximale de dix ans, renouvelable une fois, selon les conditions fixées dans la convention.</t>
  </si>
  <si>
    <t>Annexe 32 - Types des titres miniers</t>
  </si>
  <si>
    <t>Code minier 2003</t>
  </si>
  <si>
    <t>Durée</t>
  </si>
  <si>
    <t>Droits conférés</t>
  </si>
  <si>
    <t>6 mois renouvelable une seule fois.</t>
  </si>
  <si>
    <t>L’autorisation de prospection confère à son titulaire un droit non exclusif de prospection valable pour les substances ciblées sur toute l’étendue de la zone autorisée.</t>
  </si>
  <si>
    <t>3 ans renouvelable 2 fois pour une période de 3 ans chaque fois.</t>
  </si>
  <si>
    <t>Le permis de recherche confère au titulaire, dans les limites de son périmètre, en surface et indéfiniment en profondeur, le droit exclusif   de recherche des substances minérales pour lesquelles il est délivré.</t>
  </si>
  <si>
    <t>4 ans renouvelable 2 fois pour une période de 3 ans chaque fois[4].</t>
  </si>
  <si>
    <t>5 ans Renouvelables</t>
  </si>
  <si>
    <t>Le permis d’exploitation confère à son titulaire le droit exclusif d’exploitation et de libre disposition des substances minérales pour lesquelles le titre minier d’exploitation a été octroyé, dans les limites du périmètre attribué et indéfiniment en profondeur[6].</t>
  </si>
  <si>
    <t>Une période minimum de (5) ans n’excédant pas (20) ans. Renouvelable pour une ou plusieurs périodes, dans les mêmes formes jusqu’à épuisement du gisement.</t>
  </si>
  <si>
    <t>Min.5- Max. 25 Ans renouvelable</t>
  </si>
  <si>
    <t>La concession minière est attribuée pour des gisements attestés par l’importance des réserves prouvées mises en évidence dans une étude de faisabilité et dont le développement et l’exploitation nécessitent de gros investissements[8].</t>
  </si>
  <si>
    <t>Autorisation d’exploitation semi-mécanisée</t>
  </si>
  <si>
    <t>3 ans renouvelable une ou plusieurs fois jusqu’à l’épuisement des réserves.</t>
  </si>
  <si>
    <t>Confère à son titulaire dans les limites du périmètre attribué (50 hectares au maximum) et jusqu’à une profondeur maximale de quinze mètre le droit exclusif d’exploiter, selon les méthodes et les procédés semi- mécanisés, les substances minérales pour lesquelles elle est délivrée.</t>
  </si>
  <si>
    <t>2 ans renouvelables par périodes de 2 ans.</t>
  </si>
  <si>
    <t>L’autorisation d’exploitation artisanale confère au bénéficiaire, dans les limites du périmètre (Max. 50 hectares) attribué et jusqu’à une profondeur maximale de quinze mètres, le droit exclusif d’exploiter selon des méthodes et procédés artisanaux ou peu mécanisés, les substances minérales pour lesquelles elle est délivrée.</t>
  </si>
  <si>
    <t>5 ans renouvelable une ou plusieurs fois pour la même période.</t>
  </si>
  <si>
    <t>Délivrée à une personne physique qui ne peut prétendre à une exclusivité quelconque. 
Elle est valable à l’intérieur de la circonscription de la collectivité territoriale où elle a été délivrée.</t>
  </si>
  <si>
    <t>3 ans renouvelables par périodes de 3 ans.</t>
  </si>
  <si>
    <t>L’autorisation d’exploitation de petite mine confère au bénéficiaire, dans les limites du périmètre octroyé (Max 5 km2) et indéfiniment en profondeur, le droit exclusif de prospecter et d’exploiter, selon des procédés semi- industriels ou industriels, les substances minérales pour lesquelles elle est délivrée.</t>
  </si>
  <si>
    <t>(5) ans renouvelables dans les mêmes formes pour la même période jusqu’à l’épuisement des réserves.</t>
  </si>
  <si>
    <t>Autorisation d’ouverture et d’exploitation de carrières privées et publiques</t>
  </si>
  <si>
    <t>5 ans Renouvelables.</t>
  </si>
  <si>
    <t>L’autorisation d’ouverture et d’exploitation de carrière confère à son bénéficiaire un droit d’occupation d’une parcelle et la libre disposition des substances minérales pour lesquelles elle a été délivrée.</t>
  </si>
  <si>
    <r>
      <t>5 ans renouvelable une ou plusieurs fois, pour une période maximale de 5 ans</t>
    </r>
    <r>
      <rPr>
        <vertAlign val="superscript"/>
        <sz val="8"/>
        <color rgb="FF3B3838"/>
        <rFont val="Trebuchet MS"/>
        <family val="2"/>
        <scheme val="major"/>
      </rPr>
      <t>[15]</t>
    </r>
    <r>
      <rPr>
        <sz val="8"/>
        <color rgb="FF3B3838"/>
        <rFont val="Trebuchet MS"/>
        <family val="2"/>
        <scheme val="major"/>
      </rPr>
      <t>. (Autorisation d’ouverture et d’exploitation de carrières temporaire lorsque la durée ne dépasse pas 1 an. Permanente lorsque la durée dépasse 1 an).</t>
    </r>
  </si>
  <si>
    <t>Autorisation d’ouverture Et d’exploitation de carrière temporaire</t>
  </si>
  <si>
    <t>6 mois renouvelables une fois.</t>
  </si>
  <si>
    <t>Autorisation d’ouverture et d’exploitation de carrière temporaire confère à son bénéficiaire le droit d’exploitation à ciel ouvert de matériaux meubles et le ramassage de matériaux destinés à la construction ou aux travaux publics.</t>
  </si>
  <si>
    <t>Annexe 33 - Types des titres pétroliers</t>
  </si>
  <si>
    <t> 2 ans</t>
  </si>
  <si>
    <t>L’autorisation de prospection confère à son titulaire, dans les limites de son périmètre, le droit non exclusif d’exécuter des travaux préliminaires de prospection d’hydrocarbures, notamment par l’utilisation de méthodes géophysiques, géologiques et géochimiques, à l’exclusion des forages d’une profondeur supérieure à deux cents mètres.</t>
  </si>
  <si>
    <t>2 ans</t>
  </si>
  <si>
    <t>L’autorisation de prospection confère à son titulaire, dans les limites de son périmètre, le droit non exclusif d’exécuter des travaux préliminaires de prospection d’hydrocarbures, notamment par l’utilisation de méthodes géophysiques, géologiques et géochimiques, à l’exclusion des forages d’une profondeur supérieure à deux cents mètres. </t>
  </si>
  <si>
    <t xml:space="preserve">2ans renouvelables 2 fois pour des périodes de 3 ans </t>
  </si>
  <si>
    <t>N/a</t>
  </si>
  <si>
    <t>2ans renouvelables deux fois par décret pour des périodes de 3 ans </t>
  </si>
  <si>
    <t>L’autorisation d’exploration d’hydrocarbures confère à son titulaire, dans les limites de sa zone, le droit exclusif d’exécuter tous les travaux, y compris le forage, ayant pour objet la recherche et la mise en évidence de gisements d’hydrocarbures, conformément aux termes du contrat pétrolier attaché à ladite autorisation</t>
  </si>
  <si>
    <t>Accordée pendant la durée de vie d’un permis de recherche, elle confère à son titulaire la possibilité d’exploiter à titre provisoire les puits productifs.</t>
  </si>
  <si>
    <t>6 mois </t>
  </si>
  <si>
    <t>Pendant la durée de validité d’une autorisation d’exploration, son titulaire peut, sur sa demande, être autorisé à exploiter à titre provisoire les puits productifs pour une période maximale de six (6) mois, pendant laquelle il poursuit la délimitation et le développement du gisement, conformément aux dispositions de l’article 23 du Code.</t>
  </si>
  <si>
    <t>20 ans renouvelables deux fois par décret pour des périodes de 10 ans </t>
  </si>
  <si>
    <t>L’autorisation exclusive d’exploitation d’hydrocarbures confère à son titulaire, dans les limites de sa zone, le droit exclusif d’effectuer toutes les opérations pétrolières, suivant les stipulations du contrat de partage de production qui lui est attaché. 
Le titulaire de l’autorisation exclusive d’exploitation est assujetti au paiement d’un bonus de production, non recouvrable au titre des coûts pétroliers et de l’impôt sur les sociétés, dont les conditions et modalités sont fixées dans le contrat de partage de production.</t>
  </si>
  <si>
    <t>25 ans extensible de 10 ans renouvelable une seule fois</t>
  </si>
  <si>
    <t>Elle confère à son titulaire, dans les limites de son périmètre, le droit exclusif d’effectuer toutes les opérations pétrolières, suivant les stipulations de la convention qui lui est attachée.</t>
  </si>
  <si>
    <t>Annexe 34 - détails des exportations reportés par les sociétés extractives en 2023</t>
  </si>
  <si>
    <t>Date</t>
  </si>
  <si>
    <t>Type de
minerai</t>
  </si>
  <si>
    <t>Poids/
Volume</t>
  </si>
  <si>
    <t>Unité</t>
  </si>
  <si>
    <t>Décote /
Prix de Marché (USD)</t>
  </si>
  <si>
    <t>Valeur Totale
en USD</t>
  </si>
  <si>
    <t>Valeur  Totale
en FCFA</t>
  </si>
  <si>
    <t>Région du Site
de Production</t>
  </si>
  <si>
    <t>Projet*</t>
  </si>
  <si>
    <t>Entité destinataire de
l'Expédition/la Cargaison</t>
  </si>
  <si>
    <t>Pays du destinataire de
l'Expédition/la Cargaison</t>
  </si>
  <si>
    <t>Acheteur</t>
  </si>
  <si>
    <t>Partie associée
(acheteur)</t>
  </si>
  <si>
    <t>Or</t>
  </si>
  <si>
    <t>Onces</t>
  </si>
  <si>
    <t>Sabodala</t>
  </si>
  <si>
    <t>METALOR</t>
  </si>
  <si>
    <t>Suisse</t>
  </si>
  <si>
    <t>Metalor</t>
  </si>
  <si>
    <t>BCEAO</t>
  </si>
  <si>
    <t>Ag</t>
  </si>
  <si>
    <t>Phosphate</t>
  </si>
  <si>
    <t>Tonnes</t>
  </si>
  <si>
    <t>Diourbel</t>
  </si>
  <si>
    <t>AGRIFIELDS</t>
  </si>
  <si>
    <t>TALIX</t>
  </si>
  <si>
    <t xml:space="preserve">BASALTE </t>
  </si>
  <si>
    <t>TONNE</t>
  </si>
  <si>
    <t>SOTRAGUE</t>
  </si>
  <si>
    <t>GAMBIE</t>
  </si>
  <si>
    <t>10 INTERNATIONAL</t>
  </si>
  <si>
    <t>WASSILA TRANSPORT</t>
  </si>
  <si>
    <t>EMC LTD GAMBIE</t>
  </si>
  <si>
    <t>SCOTTSDALE LOGISTICS</t>
  </si>
  <si>
    <t>MAREME NDOUR</t>
  </si>
  <si>
    <t>SOPE SERIGNE SALIOU</t>
  </si>
  <si>
    <t>MOR LEYE MBAYE</t>
  </si>
  <si>
    <t>SARR CONSTRUCTION</t>
  </si>
  <si>
    <t>CRESTONE</t>
  </si>
  <si>
    <t>LAMINE DJITE</t>
  </si>
  <si>
    <t xml:space="preserve">ETS SAGAR </t>
  </si>
  <si>
    <t>SOTRACOM</t>
  </si>
  <si>
    <t>MODOU LO</t>
  </si>
  <si>
    <t>TOUBA BOGO</t>
  </si>
  <si>
    <t>TRANS7</t>
  </si>
  <si>
    <t>DAOUDA NGOM</t>
  </si>
  <si>
    <t>FALL TALIBE CHEIKH</t>
  </si>
  <si>
    <t>AS SALIHA SERVICES</t>
  </si>
  <si>
    <t>ADAMA NDIAYE</t>
  </si>
  <si>
    <t>SETA INTERNATIONAL</t>
  </si>
  <si>
    <t>NADAL</t>
  </si>
  <si>
    <t>GORA DIOP</t>
  </si>
  <si>
    <t>KSFS</t>
  </si>
  <si>
    <t>MGC SARL</t>
  </si>
  <si>
    <t>OUSMANE WATT</t>
  </si>
  <si>
    <t>ETS TALL ET FRERES</t>
  </si>
  <si>
    <t>ABDOU SARR</t>
  </si>
  <si>
    <t>LEYTI</t>
  </si>
  <si>
    <t>SALIOU DIENG</t>
  </si>
  <si>
    <t>SCI SENEBA</t>
  </si>
  <si>
    <t>EL HADJI MBACKE FALLILOU (MOSQUEE DAROU</t>
  </si>
  <si>
    <t>MASSAMBA SALL</t>
  </si>
  <si>
    <t xml:space="preserve">JLS </t>
  </si>
  <si>
    <t>3T</t>
  </si>
  <si>
    <t>ABA DJIBA</t>
  </si>
  <si>
    <t>ABO DIOP</t>
  </si>
  <si>
    <t>AGGLOS DU BAOBAB</t>
  </si>
  <si>
    <t>AMADOU DIENG</t>
  </si>
  <si>
    <t>BECM-CG DIRECTION SENEGAL</t>
  </si>
  <si>
    <t>DABA NGOM</t>
  </si>
  <si>
    <t>HAMETH TIDIANE DIA</t>
  </si>
  <si>
    <t>EBAT</t>
  </si>
  <si>
    <t>ELLIPSE PROJECT</t>
  </si>
  <si>
    <t>ENTREPRISE SARRE TECHNOBAT</t>
  </si>
  <si>
    <t>ETS AMADOU TALL</t>
  </si>
  <si>
    <t>ISSA NDIAYE</t>
  </si>
  <si>
    <t>KHADIM BEYE</t>
  </si>
  <si>
    <t>MAC CONSTRUCTION</t>
  </si>
  <si>
    <t>MANO</t>
  </si>
  <si>
    <t>MASSAER MBAYE</t>
  </si>
  <si>
    <t>ABDOU KHADRE MBACKE</t>
  </si>
  <si>
    <t>RASSOUL TRANSPORT</t>
  </si>
  <si>
    <t>SCGIM</t>
  </si>
  <si>
    <t>CHEIKH THIAW</t>
  </si>
  <si>
    <t>MAEL SARL</t>
  </si>
  <si>
    <t>BAYE MBAYE DIOUF</t>
  </si>
  <si>
    <t>janvier</t>
  </si>
  <si>
    <t>ciment</t>
  </si>
  <si>
    <t>Gambie</t>
  </si>
  <si>
    <t>Mauritanie</t>
  </si>
  <si>
    <t>Mali</t>
  </si>
  <si>
    <t>Guinée Bissau</t>
  </si>
  <si>
    <t>février</t>
  </si>
  <si>
    <t>mars</t>
  </si>
  <si>
    <t>avril</t>
  </si>
  <si>
    <t>mai</t>
  </si>
  <si>
    <t>juin</t>
  </si>
  <si>
    <t>juillet</t>
  </si>
  <si>
    <t>août</t>
  </si>
  <si>
    <t>septembre</t>
  </si>
  <si>
    <t>octobre</t>
  </si>
  <si>
    <t>novembre</t>
  </si>
  <si>
    <t>décembre</t>
  </si>
  <si>
    <t>tonne</t>
  </si>
  <si>
    <t>002707208</t>
  </si>
  <si>
    <t>CIMENT</t>
  </si>
  <si>
    <t>TONNES</t>
  </si>
  <si>
    <t>ABDOUL TOURE - BAMAKO</t>
  </si>
  <si>
    <t>ABDOULIE JALLOW</t>
  </si>
  <si>
    <t>ABDOULIE JALLOW BASSE URR</t>
  </si>
  <si>
    <t>AMADEM SARL</t>
  </si>
  <si>
    <t>BATHILY COMMERCES</t>
  </si>
  <si>
    <t>BOCOUM TRADING SARL</t>
  </si>
  <si>
    <t>CEMENTO - WEST AFRICA GIE</t>
  </si>
  <si>
    <t>COULIBALY DRAMANE</t>
  </si>
  <si>
    <t>DEMCO SARLU</t>
  </si>
  <si>
    <t>DOUCOURE MADY</t>
  </si>
  <si>
    <t>E.B.F SARL</t>
  </si>
  <si>
    <t>EMBALO &amp; FILHOS, IMPORT-EXPORT</t>
  </si>
  <si>
    <t>GUINEE BISSAU</t>
  </si>
  <si>
    <t>ENTREPRISE DEMBA ET FRERES - S</t>
  </si>
  <si>
    <t>ETABLISSEMENTS DOUCOURE</t>
  </si>
  <si>
    <t>ETS ADAMA KEITA</t>
  </si>
  <si>
    <t>ETS AMADOU DIARRA</t>
  </si>
  <si>
    <t>ETS BAMOUSSA TRAORE</t>
  </si>
  <si>
    <t>ETS BOURA BATHILY</t>
  </si>
  <si>
    <t>ETS DIALLO  SERVICE 92</t>
  </si>
  <si>
    <t>ETS DIARRA BATHILY</t>
  </si>
  <si>
    <t>ETS DJIBRIL KANTE</t>
  </si>
  <si>
    <t>ETS GBI-SARL (GLOBAL BUSINESS</t>
  </si>
  <si>
    <t>ETS HAROUNA NDIAYE</t>
  </si>
  <si>
    <t>ETS IBRAHIMA COULIBALY ex Tidi</t>
  </si>
  <si>
    <t>ETS ISSA BAMBA</t>
  </si>
  <si>
    <t>ETS KALILOU DRAMERA</t>
  </si>
  <si>
    <t>ETS LAH OUSMANE</t>
  </si>
  <si>
    <t>ETS MALICK MOHAMED DEMBA</t>
  </si>
  <si>
    <t>ETS MAMOUTOU KARAGNARA</t>
  </si>
  <si>
    <t>ETS MOHAMED LAH</t>
  </si>
  <si>
    <t>ETS OUMAR COULIBALY</t>
  </si>
  <si>
    <t>ETS OUMAR KONE "BAMAKO"</t>
  </si>
  <si>
    <t>ETS SEKOU DRAMERA</t>
  </si>
  <si>
    <t>ETS SEKOU OUMAR DRAMERA</t>
  </si>
  <si>
    <t>ETS SIDY SANGARE</t>
  </si>
  <si>
    <t>ETS SISSOKO MODI</t>
  </si>
  <si>
    <t>ETS YAYA TRAORE</t>
  </si>
  <si>
    <t>FONI OIL COMPANY LTD</t>
  </si>
  <si>
    <t>GLOBAL SOLUTION SARL</t>
  </si>
  <si>
    <t>GROUPE CHEIKHNA SYLLA "G.C.S.</t>
  </si>
  <si>
    <t>IRMAOS DE SINTCHAM FADI SARL</t>
  </si>
  <si>
    <t>JARBOH'S &amp; SONS ENTREPRISE</t>
  </si>
  <si>
    <t>KAOU COULIBALY S/C ADAMA DIARR</t>
  </si>
  <si>
    <t>KOULA CONSTRUCAO SARL</t>
  </si>
  <si>
    <t>MAHAMADOU SISSOKO</t>
  </si>
  <si>
    <t>MALI CIMENT SARL</t>
  </si>
  <si>
    <t>MAMA BATHILY SERVICES</t>
  </si>
  <si>
    <t>MAMADOU IAIA DJALO</t>
  </si>
  <si>
    <t>MAMOUROU KARIM TRAORE</t>
  </si>
  <si>
    <t>MODIBO BATHILY SARLU "SO.MO.BA</t>
  </si>
  <si>
    <t>MODY TANDJA</t>
  </si>
  <si>
    <t>OUSMAN JAWO AND SONS COMPANY L</t>
  </si>
  <si>
    <t>S.T.C. SARL (SOYA LAH)</t>
  </si>
  <si>
    <t>SALIFU K JAITEH S/C UAG SNG LI</t>
  </si>
  <si>
    <t>SGVMC SARL (BREHIMA DIABY)</t>
  </si>
  <si>
    <t>SIBY DISTRIBUTION SUARL (MALI)</t>
  </si>
  <si>
    <t>SONINKARA MULTI SERVICES</t>
  </si>
  <si>
    <t>SRT CIMENT (GAMBIA) COMPANY LI</t>
  </si>
  <si>
    <t>SRT CIMENT MALI - SARL</t>
  </si>
  <si>
    <t>TITAN INNOVE</t>
  </si>
  <si>
    <t>TRAORE OUMAR</t>
  </si>
  <si>
    <t>UNITED AFRICAN GROUP - MALI</t>
  </si>
  <si>
    <t>UNITED AFRICAN GROUP BISSAU</t>
  </si>
  <si>
    <t>ILMENITE 54</t>
  </si>
  <si>
    <t>Tonne</t>
  </si>
  <si>
    <t>DIOGO</t>
  </si>
  <si>
    <t xml:space="preserve">ERAMET </t>
  </si>
  <si>
    <t>RUTILE</t>
  </si>
  <si>
    <t>ZIRCON STANDARD</t>
  </si>
  <si>
    <t>LEUCOXENE</t>
  </si>
  <si>
    <t>ILMENITE 56</t>
  </si>
  <si>
    <t>ZIRCON PREMIUM</t>
  </si>
  <si>
    <t xml:space="preserve">MEDIUM GRADE ZIRCON SAND </t>
  </si>
  <si>
    <t>ERAMET MARKETING SERVICES</t>
  </si>
  <si>
    <t>ILMENITE 58</t>
  </si>
  <si>
    <t>NGOUDIANE</t>
  </si>
  <si>
    <t>AREZKI GAMBIE</t>
  </si>
  <si>
    <t>KEUR AYIB</t>
  </si>
  <si>
    <t>ACIDE PHOSPHORIQUE 52%-Rebate</t>
  </si>
  <si>
    <t>MT</t>
  </si>
  <si>
    <t>Tobène</t>
  </si>
  <si>
    <t>IFFCO-0159</t>
  </si>
  <si>
    <t>India</t>
  </si>
  <si>
    <t>ACIDE PHOSPHORIQUE 52%</t>
  </si>
  <si>
    <t>INDORAMA INDIA PVT LTD-1388</t>
  </si>
  <si>
    <t>DSP SAC 50 KG</t>
  </si>
  <si>
    <t>DOUCOURE PARTENAIRE AGRO INDUSTRIES S.A-1075</t>
  </si>
  <si>
    <t>DSP VRAC</t>
  </si>
  <si>
    <t>GYPSE</t>
  </si>
  <si>
    <t>CIMENTS DE L'AFRIQUE MALI (CIMAF)-1409</t>
  </si>
  <si>
    <t>14-18-18, 5, 1, 2.5 EN SAC DE 50KG</t>
  </si>
  <si>
    <t>GENERALE INDUSTRIE DU BOIS (GIB sarl))-1550</t>
  </si>
  <si>
    <t>NPK 15 10 - 10Â  SAC 50 KG</t>
  </si>
  <si>
    <t>MOUSTAPHA DIOP</t>
  </si>
  <si>
    <t>Gambia</t>
  </si>
  <si>
    <t>GNOUMANI SA-1333</t>
  </si>
  <si>
    <t>NPK 17.17.17 SAC 50 KG</t>
  </si>
  <si>
    <t>14-18-18 .6.1 EN SAC DE 50KG</t>
  </si>
  <si>
    <t>11 - 19 - 19 SB EN SAC DE 50KG</t>
  </si>
  <si>
    <t>SOGEFERT SA-1281</t>
  </si>
  <si>
    <t>CIMENTS DE L'AFRIQUE DIOULASSO(CIMAF BURKINA)-1541</t>
  </si>
  <si>
    <t>Burkina Faso</t>
  </si>
  <si>
    <t>MA.D.COM</t>
  </si>
  <si>
    <t>NPK 6 - 20 - 10 SAC 50 KG</t>
  </si>
  <si>
    <t>E&amp;P ATLANTIC</t>
  </si>
  <si>
    <t>CIMAF GUINEE BISSAU-SA-1486</t>
  </si>
  <si>
    <t>Guinea-Bissau</t>
  </si>
  <si>
    <t>E&amp;P ATLANTIC-134006</t>
  </si>
  <si>
    <t>NPK 15-15-15, 4MgO EN SAC DE 50 KG</t>
  </si>
  <si>
    <t>AMS AMEROPA MARKETING AND SALES AG-172004</t>
  </si>
  <si>
    <t>Switzerland</t>
  </si>
  <si>
    <t>ROCK PHOSPHATE</t>
  </si>
  <si>
    <t>NPK 10.10.20 SAC 50 KG</t>
  </si>
  <si>
    <t>AGRIFIELDS DMCC-202001</t>
  </si>
  <si>
    <t>United Arab Emirates</t>
  </si>
  <si>
    <t>Once</t>
  </si>
  <si>
    <t>PERTH MINT</t>
  </si>
  <si>
    <t>Argent</t>
  </si>
  <si>
    <t>Phosphate de chaux naturel</t>
  </si>
  <si>
    <t>LAMLAM</t>
  </si>
  <si>
    <t xml:space="preserve">BKS </t>
  </si>
  <si>
    <t xml:space="preserve">AVISEN </t>
  </si>
  <si>
    <t>VETO PARTNERS</t>
  </si>
  <si>
    <t xml:space="preserve">SEDIMA </t>
  </si>
  <si>
    <t xml:space="preserve">PMLD </t>
  </si>
  <si>
    <t xml:space="preserve">VETOPARTNERS </t>
  </si>
  <si>
    <t>AVISEN</t>
  </si>
  <si>
    <t>VETOPARTNERS</t>
  </si>
  <si>
    <t>PMLD</t>
  </si>
  <si>
    <t>TOLSA/SSPT</t>
  </si>
  <si>
    <t>NDIOUGA LE WALO</t>
  </si>
  <si>
    <t>BKS</t>
  </si>
  <si>
    <t>ENTREPRISE ASTOU SAMBE</t>
  </si>
  <si>
    <t>SEDIMA</t>
  </si>
  <si>
    <t>TOLSA SSPT</t>
  </si>
  <si>
    <t>CHRISTIAN FORTIN</t>
  </si>
  <si>
    <t>ENTREPRISE PMLD</t>
  </si>
  <si>
    <t>KRISHANA PHOSCHEM LIMITED</t>
  </si>
  <si>
    <t xml:space="preserve">MADHYA BHARAT </t>
  </si>
  <si>
    <t>EVA-FERT AG</t>
  </si>
  <si>
    <t>EL SALVADOR</t>
  </si>
  <si>
    <t>GUJARAT STATES FERTILIZERS AND CHEMICALS LTD</t>
  </si>
  <si>
    <t>CHEMICO LIMITED</t>
  </si>
  <si>
    <t>GHANA</t>
  </si>
  <si>
    <t>AGRIFIELDS DMCC</t>
  </si>
  <si>
    <t>Sococim</t>
  </si>
  <si>
    <t>0016627</t>
  </si>
  <si>
    <t>BARGNY</t>
  </si>
  <si>
    <t>OUMAR NIMAGA</t>
  </si>
  <si>
    <t>ETS MAMADOU COULIBALY</t>
  </si>
  <si>
    <t>DEMBA SY</t>
  </si>
  <si>
    <t>CHEIKH KONTE</t>
  </si>
  <si>
    <t>ETS MAHAMADOU DOUCOURE ET FRERES</t>
  </si>
  <si>
    <t>DJIBRIL KANTE</t>
  </si>
  <si>
    <t>ANZOUMANY DIOUWARA</t>
  </si>
  <si>
    <t>TIDIANI BERTHE</t>
  </si>
  <si>
    <t>ETS DIARRA BATHILY SARL</t>
  </si>
  <si>
    <t>MAMADOU LAMINE DIALLO</t>
  </si>
  <si>
    <t>Guinée-Bissau</t>
  </si>
  <si>
    <t>BECM CG SARL</t>
  </si>
  <si>
    <t>BAKARY BATHILY</t>
  </si>
  <si>
    <t>FEKOLA  SA</t>
  </si>
  <si>
    <t>INTER MINING SERVICES SARL</t>
  </si>
  <si>
    <t>ETS ISSA COULIBALY GROUPE ISC SARL</t>
  </si>
  <si>
    <t>MADY DOUCOURE</t>
  </si>
  <si>
    <t>ETS OUMAR KEITA</t>
  </si>
  <si>
    <t>HAWA DIALLO</t>
  </si>
  <si>
    <t>BOURAMA DIALLO"DIALLO SERVICE91"</t>
  </si>
  <si>
    <t>VINCI ENERGIE TRANSPORT&amp; TRANSFORMA</t>
  </si>
  <si>
    <t>HAROUNA NDIAYE</t>
  </si>
  <si>
    <t>ETS IBRAHIMA BAKARY COULIBALY</t>
  </si>
  <si>
    <t>SEKOU DOUCOURE"ETS DOUCOURE"</t>
  </si>
  <si>
    <t>MAMADOU SEKOU SIDIBE</t>
  </si>
  <si>
    <t>B2GOLD MALI RESOURCES SARL</t>
  </si>
  <si>
    <t>COMPAGNIE MALIENNE DE CIMENT&amp;FER</t>
  </si>
  <si>
    <t>STEG INTERNATIONAL SERVICES GB-SA</t>
  </si>
  <si>
    <t>MAGAYE GAYE</t>
  </si>
  <si>
    <t>SERIGNE NDURE</t>
  </si>
  <si>
    <t>MOUSSA DIA</t>
  </si>
  <si>
    <t>AMADOU NJIE</t>
  </si>
  <si>
    <t>ABDOURAKHMANE DIAO</t>
  </si>
  <si>
    <t>EBRIMA SORI JALLOW</t>
  </si>
  <si>
    <t>BASIRU TOURAY</t>
  </si>
  <si>
    <t>ASSAN MBAYE</t>
  </si>
  <si>
    <t>ETS MAMADOU BALDE</t>
  </si>
  <si>
    <t>Guinée</t>
  </si>
  <si>
    <t>HAMEDINE OULD LAGHDAF O. MAHMOUD</t>
  </si>
  <si>
    <t>EBRIMA TABORA MANNEH</t>
  </si>
  <si>
    <t>TOLL MAME CHEIKH ISSA</t>
  </si>
  <si>
    <t>AREZKI S A</t>
  </si>
  <si>
    <t>ISMAILA JALLOW</t>
  </si>
  <si>
    <t>BUBACAR JALLOW</t>
  </si>
  <si>
    <t>BABA JOBE</t>
  </si>
  <si>
    <t>DAWDA KEBBEH</t>
  </si>
  <si>
    <t>ESSA BAH</t>
  </si>
  <si>
    <t>AJI FANTA TOURAY"SARAMANSA"</t>
  </si>
  <si>
    <t>MANKA NJIE</t>
  </si>
  <si>
    <t>ADAMA SILLAH</t>
  </si>
  <si>
    <t>BULLY WAGGEH</t>
  </si>
  <si>
    <t>SLM COMPTANY LIMITED</t>
  </si>
  <si>
    <t>GENIE CIVIL ENVIRONNEMENT</t>
  </si>
  <si>
    <t>LA SUB SAHARIANNE DES TRAV PUBLICS</t>
  </si>
  <si>
    <t>POLY CHANGDA ENGINEERING MAUR</t>
  </si>
  <si>
    <t>EFAA GAMBIA LIMITED</t>
  </si>
  <si>
    <t>KAABU COMPANY LIMITED</t>
  </si>
  <si>
    <t>DUMA SANG SANG LTD</t>
  </si>
  <si>
    <t>CLINKER</t>
  </si>
  <si>
    <t>CIMENTS ET MATERIAUX DU MALI SA</t>
  </si>
  <si>
    <t xml:space="preserve">Phosphate Naturel </t>
  </si>
  <si>
    <t xml:space="preserve">Tonne </t>
  </si>
  <si>
    <t xml:space="preserve">Néant </t>
  </si>
  <si>
    <t>Matam</t>
  </si>
  <si>
    <t>Phosphates de Matam à Ndendoury</t>
  </si>
  <si>
    <t>TOGUNA AGRO INDUSTRIES</t>
  </si>
  <si>
    <t xml:space="preserve">AMEROPA MS AG </t>
  </si>
  <si>
    <t>SWITZERLAND</t>
  </si>
  <si>
    <t xml:space="preserve"> SWITZERLAND </t>
  </si>
  <si>
    <t xml:space="preserve">AB LIFOSA </t>
  </si>
  <si>
    <t>LITHUANIA</t>
  </si>
  <si>
    <t>Attapulgite</t>
  </si>
  <si>
    <t>Thies</t>
  </si>
  <si>
    <t>Tolsa France</t>
  </si>
  <si>
    <t>Tolsa England</t>
  </si>
  <si>
    <t>Angleterre</t>
  </si>
  <si>
    <t>Tolsa Netherland</t>
  </si>
  <si>
    <t>Pays-Bas</t>
  </si>
  <si>
    <t>Attapulgite &amp; phosphate</t>
  </si>
  <si>
    <t>Clients locaux</t>
  </si>
  <si>
    <t>Annexe 35 - détails des Prêts et garanties octroyées</t>
  </si>
  <si>
    <t>Projet</t>
  </si>
  <si>
    <t>Facilité</t>
  </si>
  <si>
    <t>Emprunteur</t>
  </si>
  <si>
    <t>Prêteur</t>
  </si>
  <si>
    <t>Montant (USD)</t>
  </si>
  <si>
    <t>Durée du prêt</t>
  </si>
  <si>
    <t>Objet</t>
  </si>
  <si>
    <t>Taux d’intérêt</t>
  </si>
  <si>
    <t>Remboursement</t>
  </si>
  <si>
    <t>Remboursements anticipés</t>
  </si>
  <si>
    <t>GTA - BP</t>
  </si>
  <si>
    <t>Facilité de crédit pour GTA</t>
  </si>
  <si>
    <t>PETROSEN SA</t>
  </si>
  <si>
    <t>BP (GTA SENEGAL) FINANCE LIMITED</t>
  </si>
  <si>
    <t>290,014,500</t>
  </si>
  <si>
    <t>Initiale : 7 ans ;
1ère extension : 1 an ;
2ème extension : Jusqu'au remboursement intégral.</t>
  </si>
  <si>
    <t>- Phase 1 : Coûts du projet ;
- Phase 2 et 3 : Coûts pré-FID ;
Jusqu'à la production commerciale de la phase 1.</t>
  </si>
  <si>
    <t>6,5 % par an</t>
  </si>
  <si>
    <t>Sur les revenus issus de la vente de GNL (part de PETROSEN).</t>
  </si>
  <si>
    <t>Peut être remboursée totalement ou partiellement à tout moment.</t>
  </si>
  <si>
    <t>GTA - Kosmos</t>
  </si>
  <si>
    <t>KOSMOS ENERGY TORTUE FINANCE</t>
  </si>
  <si>
    <t>144,985,500</t>
  </si>
  <si>
    <t>Sangomar</t>
  </si>
  <si>
    <t>Facilité de crédit pour le champ Sangomar</t>
  </si>
  <si>
    <t>WOODSIDE ENERGY FINANCE (UK) LIMITED</t>
  </si>
  <si>
    <t>450,000,000</t>
  </si>
  <si>
    <t>Initiale : 5 ans ;
1ère extension : 2 ans ;
2ème extension : Jusqu'au remboursement intégral.</t>
  </si>
  <si>
    <t>- Phase 1 : Coûts de construction, location, fonds de roulement, démarrage, assurance, imprévus selon le budget annuel ;
- Développement complémentaire ;
- Évaluation pour le gaz.</t>
  </si>
  <si>
    <t>À partir des revenus issus de la vente de pétrole brut (part de PETROSEN).</t>
  </si>
  <si>
    <t>Peut être remboursée totalement ou partiellement sans pénalité.</t>
  </si>
  <si>
    <t>Annexe 36 - Résultat de l'analyse du rapport de la Cour des comptes</t>
  </si>
  <si>
    <t>Certification de la Cour des Comptes</t>
  </si>
  <si>
    <t xml:space="preserve">Déclaration initiale
de la régie (c)
</t>
  </si>
  <si>
    <t>Ecart (2) : 
(B) – (C)</t>
  </si>
  <si>
    <t>Commentaire sur l'écart 2</t>
  </si>
  <si>
    <t xml:space="preserve">Déclaration finale
de la régie (D)
</t>
  </si>
  <si>
    <t>Ecart (3) : 
(C) – (D)</t>
  </si>
  <si>
    <t>Commentaire sur l'écart 3</t>
  </si>
  <si>
    <t>Montant de la déclaration initiale
reçue de l'entité publique (A)</t>
  </si>
  <si>
    <t>Montant vérifié par
la Cour des Comptes (B)</t>
  </si>
  <si>
    <t>Ecart (1) : 
(A) – (B)</t>
  </si>
  <si>
    <t>Observations cour des comptes</t>
  </si>
  <si>
    <t>L’analyse des flux met en évidence les écarts les plus significatifs concernant la « Taxe spéciale sur le ciment », la « Taxe sur le ciment » et les « Ras - Redevances ». Ces flux affichent des écarts respectifs de 20 883 206 994 F CFA, 13 922 137 996 F CFA et 8 198 749 360 FCFA, sans être retracés dans la comptabilité du Trésor.
Par ailleurs, la Cour relève un montant de 43 004 201 258 FCFA comptabilisé par le Trésor sous un flux intitulé « AUTRES », qui n’apparaît pas dans les déclarations de la DGID pour le même montant</t>
  </si>
  <si>
    <t>Lors des travaux de réconciliation, le fichier reçu, demandé par la DGID, contient deux feuilles : l'une indiquant un total de 178 420 319 300 FCFA et l'autre un total de 182 063 249 215 FCFA (soit un écart un écart de 3 019 638 046 FCFA). Nous avons retenu ce dernier qui est plus exhaustif et contient des données désagrégées par date, flux, etc et qui correspond aux données déclarées des les formuliares des sociétés joints à la déclaration de la DGID.
L'écart provient principalement par la non prise en compte des paiements suivants de la société CDS:
Impôt sur le bénéfice des sociétés : Le premier fichier indique un total de 1 119 275 348 FCFA, alors que le deuxième fichier ne contient aucune information.
TVA : Le premeir fichier mentionne un total de 1 952 130 351 FCFA, tandis que le deuxième fichier utilisé pour les travaux de réconciliation affiche un total de 3 591 043 745 FCFA, soit un écart non s de 1 638 913 394 FCFA.
Redressement fiscal : Un montant de 2 500 000 000 FCFA n'a pas été pris en compte dans le premier fichier.
Dans le fichier certifié par la Cour des comptes, il manque également les données relatives à la déclaration unilatérale non reportées pour la société BOYA - SA pour un total de 362 583 587 FCFA.</t>
  </si>
  <si>
    <r>
      <t xml:space="preserve">La variation observée s'explique par les ajustements effectués dans la déclaration de la DGID concernant :
</t>
    </r>
    <r>
      <rPr>
        <b/>
        <u/>
        <sz val="8"/>
        <color rgb="FF404040"/>
        <rFont val="Trebuchet MS"/>
        <family val="2"/>
      </rPr>
      <t>1- le flux " Impôt sur les sociétés " principalement pour les deux sociétés sui</t>
    </r>
    <r>
      <rPr>
        <b/>
        <sz val="8"/>
        <color rgb="FF404040"/>
        <rFont val="Trebuchet MS"/>
        <family val="2"/>
      </rPr>
      <t>vantes :</t>
    </r>
    <r>
      <rPr>
        <sz val="8"/>
        <color rgb="FF404040"/>
        <rFont val="Trebuchet MS"/>
        <family val="2"/>
      </rPr>
      <t xml:space="preserve">
a- Sabodala Gold Operations (SGO) : Un montant de 13 403 015 469 FCFA
b- Petowal Mining Company (PMC) SA : Un montant de 1 216 980 000 FCFA
</t>
    </r>
    <r>
      <rPr>
        <b/>
        <u/>
        <sz val="8"/>
        <color rgb="FF404040"/>
        <rFont val="Trebuchet MS"/>
        <family val="2"/>
      </rPr>
      <t>2- le flux " Redressements fiscaux  " principalement pour les deux sociétés suivantes :</t>
    </r>
    <r>
      <rPr>
        <sz val="8"/>
        <color rgb="FF404040"/>
        <rFont val="Trebuchet MS"/>
        <family val="2"/>
      </rPr>
      <t xml:space="preserve">
a- Sabodala Gold Operations (SGO) : Un montant de 14 165 870 891 FCFA
b- Sephos Senegal SA (SEPHOS) : Un montant de 165 861 690 FCFA
</t>
    </r>
    <r>
      <rPr>
        <b/>
        <u/>
        <sz val="8"/>
        <color rgb="FF404040"/>
        <rFont val="Trebuchet MS"/>
        <family val="2"/>
      </rPr>
      <t xml:space="preserve">3- le flux " Retenues à la source sur bénéfice non commercial  " principalement pour les deux sociétés suivantes :
</t>
    </r>
    <r>
      <rPr>
        <sz val="8"/>
        <color rgb="FF404040"/>
        <rFont val="Trebuchet MS"/>
        <family val="2"/>
      </rPr>
      <t xml:space="preserve">a- BP Sénégal Investments Limited : Un montant de 3 803 222 962 FCFA
b- Woodside Energy Senegal  : Un montant de 910 105 245 FCFA
</t>
    </r>
    <r>
      <rPr>
        <b/>
        <u/>
        <sz val="8"/>
        <color rgb="FF404040"/>
        <rFont val="Trebuchet MS"/>
        <family val="2"/>
      </rPr>
      <t xml:space="preserve">4- le flux " Retenues à la source sur salaires (IR, TRIMF et CFCE) " principalement pour les cinq sociétés suivantes :
</t>
    </r>
    <r>
      <rPr>
        <sz val="8"/>
        <color rgb="FF404040"/>
        <rFont val="Trebuchet MS"/>
        <family val="2"/>
      </rPr>
      <t xml:space="preserve">a- BP Sénégal Investments Limited : Un montant de 3 560 376 766 FCFA
b- Woodside Energy Senegal  : Un montant de 808 460 905 FCFA 
b- Iamgold BOTO  : Un montant de 422 210 221 FCFA 
b- Barrick Gold  : Un montant de 246 421 196 FCFA
b- Baobab Mining and Chemical Corp SA : Un montant de 128 063 701 FCFA
</t>
    </r>
    <r>
      <rPr>
        <b/>
        <u/>
        <sz val="8"/>
        <color rgb="FF404040"/>
        <rFont val="Trebuchet MS"/>
        <family val="2"/>
      </rPr>
      <t>5- le flux " Taxe sur la valeur ajoutée reversée "</t>
    </r>
    <r>
      <rPr>
        <sz val="8"/>
        <color rgb="FF404040"/>
        <rFont val="Trebuchet MS"/>
        <family val="2"/>
      </rPr>
      <t xml:space="preserve"> pour la société de Commercialisation du Ciment (SOCOCIM) : Un montant de 4 568 666 298 FCFA
</t>
    </r>
    <r>
      <rPr>
        <b/>
        <u/>
        <sz val="8"/>
        <color rgb="FF404040"/>
        <rFont val="Trebuchet MS"/>
        <family val="2"/>
      </rPr>
      <t>6- le flux " Impôt sur le revenu des valeurs mobilières "</t>
    </r>
    <r>
      <rPr>
        <sz val="8"/>
        <color rgb="FF404040"/>
        <rFont val="Trebuchet MS"/>
        <family val="2"/>
      </rPr>
      <t xml:space="preserve"> pour la société Iamgold BOTO : Un montant de 174 346 660 FCFA</t>
    </r>
  </si>
  <si>
    <t>La comparaison entre les déclarations de la DGM et le fichier de suivi du Trésor révèle des écarts significatifs pour certains flux. Concernant la « redevance minière », une différence de 8 069 027 203 F CFA a été constatée entre les deux administrations. De même, pour la « redevance superficiaire », un montant de 577 141 530 F CFA a été déclaré par la DGM, mais il n'est pas retracé dans le fichier du Trésor. Enfin, il convient de noter que des « revenus issus de la commercialisation de la part de la production de l’État », d’un montant de 5 957 227 301 F CFA, ont été enregistrés par la DGM, alors que ce flux relève de la compétence de la DGCPT</t>
  </si>
  <si>
    <t>L'écart identifié concerne la déclaration de la DGM, qui a été envoyée à la certification par la cour des comptes pour 48 544 940 674 FCFA, par rapport aux données initialement fournies pour les travaux de réconciliation pour 37 917 426 133 FCFA (soit un écart de 10 627 514 541 FCFA). Cet écart s'explique principalement par les éléments suivants :
1- Industries Chimiques du Sénégal (ICS) : Le paiement pour le flux "Redevance minière" n'a pas été reporté initialement, s'élevant à 1 300 000 000 FCFA
2- Petowal Mining Company SA (PMC) : Un paiement non reporté initialement de 3 336 481 589 FCFA
3- Sabadola Gold Operations (SGO) : Un paiement non reporté initialement de 5 145 192 905 FCFA
4- CSE Granulat : Le paiement initialement reporté par la DGM est de 1 456 825 066 mais il a été corrigé par la suite par la DGM à 489 266 411 FCFA dans sa réponse concernant le projet de rapport. Cette correction a été intégrée dans notre base de de données, alors que la DGM ne l'a pas considérée lors de la certification des données à la Cour des comptes, entraînant une différence de 967 558 655 FCFA.
1 300 000 000 + 3 336 481 589 + 5 145 192 905 + 967 558 655 = 10 749 233 149 FCFA</t>
  </si>
  <si>
    <r>
      <t xml:space="preserve">La variation observée s'explique par les ajustements effectués dans la déclaration de la DGM comme suit :
</t>
    </r>
    <r>
      <rPr>
        <b/>
        <u/>
        <sz val="8"/>
        <color rgb="FF404040"/>
        <rFont val="Trebuchet MS"/>
        <family val="2"/>
      </rPr>
      <t xml:space="preserve">1- le flux " Appui Institutionnel " principalement pour les six sociétés suivantes :
</t>
    </r>
    <r>
      <rPr>
        <sz val="8"/>
        <color rgb="FF404040"/>
        <rFont val="Trebuchet MS"/>
        <family val="2"/>
      </rPr>
      <t xml:space="preserve">a- Petowal Mining Company (PMC) SA : Un montant de 760 258 440 FCFA
b- Sabodala Gold Operations (SGO) : Un montant de 394 603 655 FCFA
c- Agem Sénégal Exploration SUARL (AGEM) : Un montant de 55 527 754 FCFA
d- Sabodala Mining Company (SMC) : Un montant de 55 000 000 FCFA
e- Barrick Gold : Un montant de 40 022 500 FCFA
f- Grande Côte Opérations (GCO) : Un montant de 30 812 393 FCFA
</t>
    </r>
    <r>
      <rPr>
        <b/>
        <u/>
        <sz val="8"/>
        <color rgb="FF404040"/>
        <rFont val="Trebuchet MS"/>
        <family val="2"/>
      </rPr>
      <t>2- le flux " Redevance minière  " principalement pour les quatre sociétés suivantes :</t>
    </r>
    <r>
      <rPr>
        <sz val="8"/>
        <color rgb="FF404040"/>
        <rFont val="Trebuchet MS"/>
        <family val="2"/>
      </rPr>
      <t xml:space="preserve">
a- Sabodala Gold Operations (SGO) : Un montant de 5 596 332 340 FCFA
b- Petowal Mining Company (PMC) SA : Un montant de 1 636 015 561 FCFA
c- Société Minière de la Vallée du fleuve Sénégal (SOMIVA) : Un montant de 1 385 313 191 FCFA
d- Industries Chimiques du Sénégal (ICS) : Un montant de 1 300 000 000 FCFA
</t>
    </r>
    <r>
      <rPr>
        <b/>
        <u/>
        <sz val="8"/>
        <color rgb="FF404040"/>
        <rFont val="Trebuchet MS"/>
        <family val="2"/>
      </rPr>
      <t>3- le flux " Redevance superficiaire  " principalement pour les trois sociétés suivantes :</t>
    </r>
    <r>
      <rPr>
        <sz val="8"/>
        <color rgb="FF404040"/>
        <rFont val="Trebuchet MS"/>
        <family val="2"/>
      </rPr>
      <t xml:space="preserve">
a- Sabodala Gold Operations (SGO) : Un montant de 81 430 000 FCFA
b- Société de Commercialisation du Ciment (SOCOCIM) : Un montant de 41 481 970 FCFA 
c- Société Iamgold BOTO : Un montant de 37 000 000 FCFA</t>
    </r>
  </si>
  <si>
    <t>l'écart provient princiapalement des Amendes, Pénalités et Redressements douaniers pour 17 500 000 FCFA et Droit des douanes pour 45 000 000 FCFA.</t>
  </si>
  <si>
    <t>Ces écarts sont principalement attribuables à des modifications apportées à la base de données reçue de la DGD. Après avoir vérifié les écarts initiaux de réconciliation, la DGD a fourni une base de données corrigée qui totalise un montant de 27 453 930 466 FCFA. Il est important de noter que la Cour des comptes a certifié la première base de données de la DGID pour 24 402 454 257. Ensuite, lors des travaux de conciliation avec la société SGO, la DGD a corrigé sa déclaration en rapportant un nouveau montant de 14 790 586 394 FCFA à la déclaration de SGO en lieu et place de sa déclaration initiale qui était de 1 500 221 916 FCFA
L'écart provient principalement des paiements S971 reporté par SGO et non reporté initialement par la DGD. La nouvelle déclaration de la DGD pour le compte de la société SGO contient un total de 14 790 586 394 FCFA au lieu de sa déclaration initiale pour 1 500 221 916 FCFA.</t>
  </si>
  <si>
    <t>La variation observée s'explique par les ajustements effectués dans la déclaration de la DGD concernant le flux "Amendes, pénalités et redressements douaniers" pour les deux sociétés suivantes :
Grande Côte Opérations (GCO) : Un montant de 1 100 000 000 FCFA.
Sabodala Gold Operations (SGO) : Un montant de 1 356 080 521 FCFA.</t>
  </si>
  <si>
    <t>La DGCPT a comptabilisé ainsi un montant total de 15 729 168 050 FCFA alors que sa déclaration en tant que régie porte sur un montant de 1 960 712 604 FCFA, représentant, conformément à l’instruction, les contributions économiques locales (CEL) pour 1 552 440 807 FCFA et à « AUTRES » pour 408 271 797 F CFA. 
Les autres flux comptabilisés par la DGCPT sont encaissés par la DGM et le percepteur Dakar-Port (DGD) et correspondent respectivement aux droits d’entrées fixes (174 495 100 F CFA), aux redevances minière (645 618 798 F CFA) et redevances superficiaire (12 890 049 548 F CFA) ainsi qu’aux amendes, pénalités et redressement douaniers (39 660 000 F CFA).</t>
  </si>
  <si>
    <r>
      <t xml:space="preserve">L'écart est </t>
    </r>
    <r>
      <rPr>
        <u/>
        <sz val="8"/>
        <color rgb="FF404040"/>
        <rFont val="Trebuchet MS"/>
        <family val="2"/>
      </rPr>
      <t>principalement</t>
    </r>
    <r>
      <rPr>
        <sz val="8"/>
        <color rgb="FF404040"/>
        <rFont val="Trebuchet MS"/>
        <family val="2"/>
      </rPr>
      <t xml:space="preserve"> dû aux paiements différés par la DGCPT au nom de la société GECAMINE. Le montant reporté à la Cour des comptes s'élève à 161 167 244 FCFA, tandis que le total initialement envoyé pour les travaux de conciliation est de 90 314 433 FCFA, ce qui entraîne un écart de 70 852 811 FCFA.</t>
    </r>
  </si>
  <si>
    <r>
      <t xml:space="preserve">La variation observée s'explique par les ajustements effectués dans la déclaration de la DGCPT comme suit :
</t>
    </r>
    <r>
      <rPr>
        <b/>
        <u/>
        <sz val="8"/>
        <color rgb="FF404040"/>
        <rFont val="Trebuchet MS"/>
        <family val="2"/>
      </rPr>
      <t>1- le flux " Dividendes versés à l'Etat " pour les trois sociétés suivantes :</t>
    </r>
    <r>
      <rPr>
        <sz val="8"/>
        <color rgb="FF404040"/>
        <rFont val="Trebuchet MS"/>
        <family val="2"/>
      </rPr>
      <t xml:space="preserve">
a- Industries Chimiques du Sénégal (ICS) : Un montant de 25 199 997 325 FCFA
b- Petowal Mining Company (PMC) SA : Un montant de 872 000 000 FCFA
c- Sabodala Gold Operations (SGO) : Un montant de 3 780 409 704 FCFA
</t>
    </r>
    <r>
      <rPr>
        <b/>
        <u/>
        <sz val="8"/>
        <color rgb="FF404040"/>
        <rFont val="Trebuchet MS"/>
        <family val="2"/>
      </rPr>
      <t>2- le flux " Contribution économique locale (CEL VA et CEL VL) " pour les deux sociétés suivantes :</t>
    </r>
    <r>
      <rPr>
        <sz val="8"/>
        <color rgb="FF404040"/>
        <rFont val="Trebuchet MS"/>
        <family val="2"/>
      </rPr>
      <t xml:space="preserve">
a- Sephos Senegal SA (SEPHOS) : Un montant de 5 260 615 FCFA
b- Talix Mines : Un montant de 9 170 703 FCFA
</t>
    </r>
    <r>
      <rPr>
        <b/>
        <u/>
        <sz val="8"/>
        <color rgb="FF404040"/>
        <rFont val="Trebuchet MS"/>
        <family val="2"/>
      </rPr>
      <t>3- le flux " Patente "</t>
    </r>
    <r>
      <rPr>
        <sz val="8"/>
        <color rgb="FF404040"/>
        <rFont val="Trebuchet MS"/>
        <family val="2"/>
      </rPr>
      <t xml:space="preserve"> pour la société Sabodala Gold Operations (SGO) : Un montant de 700 210 162 FCFA</t>
    </r>
  </si>
  <si>
    <t>DREC</t>
  </si>
  <si>
    <t>En 2023, la DIREC a déclaré un seul flux, à savoir la « taxe superficiaire », pour un montant de 1 242 198 825 F CFA. Cependant, la comptabilité de la DGCPT a retracé deux flux liés à la DIREC : un flux intitulé « AUTRES » pour 27 959 550 F CFA et la « taxe superficiaire » pour 5 081 648 F CFA</t>
  </si>
  <si>
    <t>L'écart est principalement attribuable aux paiements effectués par la société TOTAL Energy, qui ont été envoyés par la DIREC à la Cour des comptes pour certification, alors que ces montants n'avaient pas été initialement reportés pour les travaux de conciliation, s'élevant à 22 864 600 FCFA. En revanche, les paiements de la société Agem Sénégal Exploration SUARL (AGEM), d'un montant de 76 389 207 FCFA, ont été reportés pour les travaux de conciliation, bien qu'ils n'aient pas fait l'objet de certification par la Cour des comptes.</t>
  </si>
  <si>
    <r>
      <t xml:space="preserve">La variation observée s'explique par les ajustements effectués dans la déclaration de la DIREC comme suit :
</t>
    </r>
    <r>
      <rPr>
        <b/>
        <u/>
        <sz val="8"/>
        <color rgb="FF404040"/>
        <rFont val="Trebuchet MS"/>
        <family val="2"/>
      </rPr>
      <t>1- le flux " Appui Institutionnel (DEEC) " pour les trois sociétés suivantes :</t>
    </r>
    <r>
      <rPr>
        <sz val="8"/>
        <color rgb="FF404040"/>
        <rFont val="Trebuchet MS"/>
        <family val="2"/>
      </rPr>
      <t xml:space="preserve">
a- Baobab Mining and Chemical Corp SA : Un montant de 10 908 150 FCFA
b- Iamgold BOTO : Un montant de 76 389 207 FCFA
c- Grande Côte Opérations (GCO) : Un montant de 81 900 000 FCFA
</t>
    </r>
    <r>
      <rPr>
        <b/>
        <u/>
        <sz val="8"/>
        <color rgb="FF404040"/>
        <rFont val="Trebuchet MS"/>
        <family val="2"/>
      </rPr>
      <t>2- le flux " Taxe superficiaire "</t>
    </r>
    <r>
      <rPr>
        <sz val="8"/>
        <color rgb="FF404040"/>
        <rFont val="Trebuchet MS"/>
        <family val="2"/>
      </rPr>
      <t xml:space="preserve"> pour la société Baobab Mining and Chemical Corp SA : Un montant de 18 632 000 FCFA</t>
    </r>
  </si>
  <si>
    <t>les montants déclarés par la DEFCCS pour un total de 524 462 510 F CFA au titre de la taxe d’abattage et de l’appui institutionnel ne sont pas retracés dans le suivi auxiliaire de la comptabilisation des recettes par le Trésor</t>
  </si>
  <si>
    <t>La DEFCCS a déclaré un total de 524 462 510 FCFA au titre des déclarations unilatérales alors que les paiements reportés initialements pour les travaux de conciliation concernent les sociétés du périmètre pour un total de 380 759 335 FCFA.</t>
  </si>
  <si>
    <r>
      <t xml:space="preserve">La variation observée s'explique par les ajustements effectués dans la déclaration de la DEFCCS concernant :
</t>
    </r>
    <r>
      <rPr>
        <b/>
        <u/>
        <sz val="8"/>
        <color rgb="FF404040"/>
        <rFont val="Trebuchet MS"/>
        <family val="2"/>
      </rPr>
      <t>1- le flux " Appui Institutionnel (Fonds d'appui au Mini. De l'Env) " pour les trois sociétés suivantes :</t>
    </r>
    <r>
      <rPr>
        <sz val="8"/>
        <color rgb="FF404040"/>
        <rFont val="Trebuchet MS"/>
        <family val="2"/>
      </rPr>
      <t xml:space="preserve">
a- Grande Côte Opérations (GCO) : Un montant de 26 500 000 FCFA
b- Compagnie Générale d'Exploitation de Carrière (COGECA) : Un montant de 13 000 000 FCFA a également été ajusté.
c- Iamgold BOTO : Un montant de 3 128 000 FCFA
</t>
    </r>
    <r>
      <rPr>
        <b/>
        <u/>
        <sz val="8"/>
        <color rgb="FF404040"/>
        <rFont val="Trebuchet MS"/>
        <family val="2"/>
      </rPr>
      <t xml:space="preserve">2- le flux " Taxes d'abattage " </t>
    </r>
    <r>
      <rPr>
        <sz val="8"/>
        <color rgb="FF404040"/>
        <rFont val="Trebuchet MS"/>
        <family val="2"/>
      </rPr>
      <t>pour la Grande Côte Opérations (GCO) : Un montant de 2 300 000 FCFA</t>
    </r>
  </si>
  <si>
    <t>Annexe 37 - Les titres miniers en exploitation avec la date de fin de validité antérieure à 2023</t>
  </si>
  <si>
    <t>Sénégal, Kédougou, Tomboronkoto</t>
  </si>
  <si>
    <t xml:space="preserve">Annexe 38 - Les titres miniers qui font l'objet d'un renouvellement en cours pour les années antérieures à 2023 </t>
  </si>
  <si>
    <t>Or (7108)</t>
  </si>
  <si>
    <t>Argent (7106)</t>
  </si>
  <si>
    <t>Phosphates de calcium naturels (2510)</t>
  </si>
  <si>
    <t>Autres (2617)</t>
  </si>
  <si>
    <t>Ciment Portland (2523)</t>
  </si>
  <si>
    <t>Argent (7106), volume</t>
  </si>
  <si>
    <t>Gypse (2520), volume</t>
  </si>
  <si>
    <t>Minerais de titane (2614)</t>
  </si>
  <si>
    <t>Minerais de zirconium (2615)</t>
  </si>
  <si>
    <t>Acide phosphorique (2809)</t>
  </si>
  <si>
    <t>Engrais NPK (310520)</t>
  </si>
  <si>
    <t>ciment clinker (2523)</t>
  </si>
  <si>
    <t>Attapulgite (2508)</t>
  </si>
  <si>
    <t>Norme de classification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</si>
</sst>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0.00\ &quot;€&quot;;[Red]\-#,##0.00\ &quot;€&quot;"/>
    <numFmt numFmtId="165" formatCode="_-* #,##0.00\ _€_-;\-* #,##0.00\ _€_-;_-* &quot;-&quot;??\ _€_-;_-@_-"/>
    <numFmt numFmtId="166" formatCode="_-* #,##0\ _€_-;\-* #,##0\ _€_-;_-* &quot;-&quot;??\ _€_-;_-@_-"/>
    <numFmt numFmtId="167" formatCode="#,##0_);\(&quot;&quot;#,##0\);_-* &quot;-&quot;??_-;_-@_-"/>
    <numFmt numFmtId="168" formatCode="_-* #,##0_-;\-* #,##0_-;_-* &quot;-&quot;??_-;_-@_-"/>
    <numFmt numFmtId="169" formatCode="yyyy\-mm\-dd;@"/>
    <numFmt numFmtId="170" formatCode="0.000"/>
    <numFmt numFmtId="171" formatCode="00"/>
    <numFmt numFmtId="172" formatCode="0.0%"/>
    <numFmt numFmtId="173" formatCode="_-* #,##0.000\ _€_-;\-* #,##0.000\ _€_-;_-* &quot;-&quot;??\ _€_-;_-@_-"/>
    <numFmt numFmtId="174" formatCode="_-* #,##0_-;\(#,###\);_-* &quot;-&quot;??_-;_-@_-"/>
    <numFmt numFmtId="175" formatCode="_-* #,##0.0_-;\(#,###\);_-* &quot;-&quot;??_-;_-@_-"/>
  </numFmts>
  <fonts count="105">
    <font>
      <sz val="11"/>
      <color theme="1"/>
      <name val="Trebuchet MS"/>
      <family val="2"/>
      <scheme val="minor"/>
    </font>
    <font>
      <sz val="11"/>
      <color theme="1"/>
      <name val="Trebuchet MS"/>
      <family val="2"/>
      <scheme val="minor"/>
    </font>
    <font>
      <sz val="11"/>
      <color rgb="FF000000"/>
      <name val="Calibri"/>
      <family val="2"/>
    </font>
    <font>
      <u/>
      <sz val="11"/>
      <color theme="10"/>
      <name val="Trebuchet MS"/>
      <family val="2"/>
      <scheme val="minor"/>
    </font>
    <font>
      <sz val="10"/>
      <name val="Arial"/>
      <family val="2"/>
    </font>
    <font>
      <sz val="9"/>
      <color theme="1"/>
      <name val="Kohinoor Devanagari"/>
      <family val="3"/>
    </font>
    <font>
      <b/>
      <sz val="9"/>
      <color theme="1"/>
      <name val="Kohinoor Devanagari"/>
      <family val="3"/>
    </font>
    <font>
      <b/>
      <sz val="14"/>
      <color theme="1"/>
      <name val="Kohinoor Devanagari"/>
      <family val="3"/>
    </font>
    <font>
      <b/>
      <sz val="9"/>
      <color rgb="FFFFFFFF"/>
      <name val="Kohinoor Devanagari"/>
      <family val="3"/>
    </font>
    <font>
      <sz val="8"/>
      <color theme="1"/>
      <name val="Trebuchet MS"/>
      <family val="2"/>
    </font>
    <font>
      <b/>
      <sz val="10"/>
      <color theme="1"/>
      <name val="Kohinoor Devanagari"/>
      <family val="3"/>
    </font>
    <font>
      <sz val="10"/>
      <color theme="1"/>
      <name val="Kohinoor Devanagari"/>
      <family val="3"/>
    </font>
    <font>
      <b/>
      <sz val="8"/>
      <color rgb="FFFFFFFF"/>
      <name val="Trebuchet MS"/>
      <family val="2"/>
    </font>
    <font>
      <sz val="8"/>
      <name val="Trebuchet MS"/>
      <family val="2"/>
    </font>
    <font>
      <sz val="9"/>
      <color theme="1"/>
      <name val="Kohinoor Devanagari"/>
      <family val="2"/>
    </font>
    <font>
      <sz val="10"/>
      <color theme="1"/>
      <name val="Kohinoor Devanagari"/>
      <family val="2"/>
    </font>
    <font>
      <b/>
      <sz val="9"/>
      <color rgb="FFFFFFFF"/>
      <name val="Kohinoor Devanagari"/>
      <family val="2"/>
    </font>
    <font>
      <sz val="9"/>
      <name val="Kohinoor Devanagari"/>
      <family val="2"/>
    </font>
    <font>
      <b/>
      <sz val="10"/>
      <color theme="0"/>
      <name val="Kohinoor Devanagari"/>
      <family val="2"/>
    </font>
    <font>
      <sz val="10"/>
      <name val="Kohinoor Devanagari"/>
      <family val="2"/>
    </font>
    <font>
      <b/>
      <sz val="14"/>
      <color theme="1"/>
      <name val="Kohinoor Devanagari"/>
      <family val="2"/>
    </font>
    <font>
      <sz val="8"/>
      <name val="Trebuchet MS"/>
      <family val="2"/>
      <scheme val="major"/>
    </font>
    <font>
      <b/>
      <sz val="8"/>
      <name val="Trebuchet MS"/>
      <family val="2"/>
      <scheme val="major"/>
    </font>
    <font>
      <b/>
      <sz val="8"/>
      <color rgb="FFFFFFFF"/>
      <name val="Trebuchet MS"/>
      <family val="2"/>
      <scheme val="major"/>
    </font>
    <font>
      <b/>
      <sz val="8"/>
      <color theme="0"/>
      <name val="Trebuchet MS"/>
      <family val="2"/>
      <scheme val="major"/>
    </font>
    <font>
      <b/>
      <sz val="10"/>
      <name val="Kohinoor Devanagari"/>
      <family val="2"/>
    </font>
    <font>
      <sz val="10"/>
      <color theme="0"/>
      <name val="Kohinoor Devanagari"/>
      <family val="2"/>
    </font>
    <font>
      <i/>
      <sz val="10"/>
      <color theme="0"/>
      <name val="Kohinoor Devanagari"/>
      <family val="2"/>
    </font>
    <font>
      <b/>
      <sz val="10"/>
      <color rgb="FFFFFFFF"/>
      <name val="Kohinoor Devanagari"/>
      <family val="3"/>
    </font>
    <font>
      <b/>
      <sz val="10"/>
      <color rgb="FF404040"/>
      <name val="Kohinoor Devanagari"/>
      <family val="3"/>
    </font>
    <font>
      <sz val="10"/>
      <color rgb="FF404040"/>
      <name val="Kohinoor Devanagari"/>
      <family val="3"/>
    </font>
    <font>
      <sz val="10"/>
      <color rgb="FF46362E"/>
      <name val="Kohinoor Devanagari"/>
      <family val="3"/>
    </font>
    <font>
      <u/>
      <sz val="10"/>
      <color theme="10"/>
      <name val="Kohinoor Devanagari"/>
      <family val="3"/>
    </font>
    <font>
      <b/>
      <sz val="9"/>
      <color rgb="FF404040"/>
      <name val="Kohinoor Devanagari"/>
      <family val="3"/>
    </font>
    <font>
      <sz val="9"/>
      <color rgb="FF404040"/>
      <name val="Kohinoor Devanagari"/>
      <family val="3"/>
    </font>
    <font>
      <sz val="9"/>
      <color rgb="FF46362E"/>
      <name val="Kohinoor Devanagari"/>
      <family val="3"/>
    </font>
    <font>
      <sz val="8"/>
      <name val="Trebuchet MS"/>
      <family val="2"/>
      <scheme val="minor"/>
    </font>
    <font>
      <b/>
      <sz val="10"/>
      <color theme="0"/>
      <name val="Kohinoor Devanagari"/>
      <family val="3"/>
    </font>
    <font>
      <sz val="10"/>
      <color theme="1"/>
      <name val="Arial"/>
      <family val="2"/>
    </font>
    <font>
      <b/>
      <sz val="14"/>
      <color theme="1"/>
      <name val="Trebuchet MS"/>
      <family val="2"/>
      <scheme val="major"/>
    </font>
    <font>
      <sz val="8"/>
      <color theme="1"/>
      <name val="Trebuchet MS"/>
      <family val="2"/>
      <scheme val="major"/>
    </font>
    <font>
      <b/>
      <sz val="8"/>
      <color theme="1"/>
      <name val="Trebuchet MS"/>
      <family val="2"/>
      <scheme val="major"/>
    </font>
    <font>
      <b/>
      <sz val="8"/>
      <color rgb="FF2A9E9B"/>
      <name val="Trebuchet MS"/>
      <family val="2"/>
      <scheme val="major"/>
    </font>
    <font>
      <sz val="14"/>
      <color theme="1"/>
      <name val="Trebuchet MS"/>
      <family val="2"/>
      <scheme val="major"/>
    </font>
    <font>
      <b/>
      <u/>
      <sz val="12"/>
      <color rgb="FF2A9E9B"/>
      <name val="Trebuchet MS"/>
      <family val="2"/>
      <scheme val="major"/>
    </font>
    <font>
      <u/>
      <sz val="12"/>
      <color theme="1"/>
      <name val="Trebuchet MS"/>
      <family val="2"/>
      <scheme val="major"/>
    </font>
    <font>
      <sz val="8"/>
      <color rgb="FF3B3838"/>
      <name val="Trebuchet MS"/>
      <family val="2"/>
      <scheme val="major"/>
    </font>
    <font>
      <b/>
      <sz val="16"/>
      <color theme="1"/>
      <name val="Trebuchet MS"/>
      <family val="2"/>
      <scheme val="major"/>
    </font>
    <font>
      <b/>
      <sz val="14"/>
      <color rgb="FF2A9E9B"/>
      <name val="Trebuchet MS"/>
      <family val="2"/>
      <scheme val="major"/>
    </font>
    <font>
      <b/>
      <sz val="8"/>
      <color rgb="FFFF0000"/>
      <name val="Trebuchet MS"/>
      <family val="2"/>
      <scheme val="major"/>
    </font>
    <font>
      <sz val="8"/>
      <color rgb="FF404040"/>
      <name val="Trebuchet MS"/>
      <family val="2"/>
      <scheme val="major"/>
    </font>
    <font>
      <b/>
      <sz val="8"/>
      <color rgb="FF000000"/>
      <name val="Trebuchet MS"/>
      <family val="2"/>
      <scheme val="major"/>
    </font>
    <font>
      <b/>
      <sz val="8"/>
      <color rgb="FF3B3838"/>
      <name val="Trebuchet MS"/>
      <family val="2"/>
      <scheme val="major"/>
    </font>
    <font>
      <b/>
      <sz val="18"/>
      <color theme="1"/>
      <name val="Trebuchet MS"/>
      <family val="2"/>
      <scheme val="major"/>
    </font>
    <font>
      <sz val="16"/>
      <color theme="1"/>
      <name val="Trebuchet MS"/>
      <family val="2"/>
      <scheme val="major"/>
    </font>
    <font>
      <sz val="18"/>
      <color theme="1"/>
      <name val="Trebuchet MS"/>
      <family val="2"/>
      <scheme val="major"/>
    </font>
    <font>
      <sz val="8"/>
      <color rgb="FFFFFFFF"/>
      <name val="Trebuchet MS"/>
      <family val="2"/>
      <scheme val="major"/>
    </font>
    <font>
      <b/>
      <sz val="8"/>
      <color rgb="FF404040"/>
      <name val="Trebuchet MS"/>
      <family val="2"/>
      <scheme val="major"/>
    </font>
    <font>
      <vertAlign val="superscript"/>
      <sz val="8"/>
      <color rgb="FF3B3838"/>
      <name val="Trebuchet MS"/>
      <family val="2"/>
      <scheme val="major"/>
    </font>
    <font>
      <b/>
      <sz val="8"/>
      <color theme="1"/>
      <name val="Trebuchet MS"/>
      <family val="2"/>
    </font>
    <font>
      <sz val="14"/>
      <color theme="1"/>
      <name val="Trebuchet MS"/>
      <family val="2"/>
    </font>
    <font>
      <b/>
      <sz val="14"/>
      <color rgb="FF48A6A2"/>
      <name val="Trebuchet MS"/>
      <family val="2"/>
    </font>
    <font>
      <b/>
      <sz val="16"/>
      <color theme="1"/>
      <name val="Trebuchet MS"/>
      <family val="2"/>
    </font>
    <font>
      <sz val="16"/>
      <color theme="1"/>
      <name val="Trebuchet MS"/>
      <family val="2"/>
    </font>
    <font>
      <sz val="14"/>
      <color theme="1"/>
      <name val="Kohinoor Devanagari"/>
      <family val="2"/>
    </font>
    <font>
      <b/>
      <sz val="14"/>
      <color rgb="FF48A6A2"/>
      <name val="Kohinoor Devanagari"/>
      <family val="2"/>
    </font>
    <font>
      <b/>
      <sz val="14"/>
      <color rgb="FF2A9E9B"/>
      <name val="Trebuchet MS"/>
      <family val="2"/>
    </font>
    <font>
      <sz val="8"/>
      <color rgb="FF3B3838"/>
      <name val="Trebuchet MS"/>
      <family val="2"/>
    </font>
    <font>
      <b/>
      <i/>
      <sz val="8"/>
      <color theme="2" tint="-0.749992370372631"/>
      <name val="Trebuchet MS"/>
      <family val="2"/>
    </font>
    <font>
      <sz val="10"/>
      <color theme="1"/>
      <name val="Trebuchet MS"/>
      <family val="2"/>
      <scheme val="major"/>
    </font>
    <font>
      <b/>
      <sz val="10"/>
      <color rgb="FFFFFFFF"/>
      <name val="Trebuchet MS"/>
      <family val="2"/>
      <scheme val="major"/>
    </font>
    <font>
      <sz val="10"/>
      <name val="Trebuchet MS"/>
      <family val="2"/>
      <scheme val="major"/>
    </font>
    <font>
      <b/>
      <sz val="10"/>
      <color theme="0"/>
      <name val="Trebuchet MS"/>
      <family val="2"/>
      <scheme val="major"/>
    </font>
    <font>
      <b/>
      <sz val="14"/>
      <color theme="1"/>
      <name val="Trebuchet MS"/>
      <family val="2"/>
    </font>
    <font>
      <u/>
      <sz val="11"/>
      <color rgb="FF444444"/>
      <name val="Trebuchet MS"/>
      <family val="2"/>
      <scheme val="minor"/>
    </font>
    <font>
      <b/>
      <sz val="14"/>
      <color rgb="FF444444"/>
      <name val="Trebuchet MS"/>
      <family val="2"/>
      <scheme val="major"/>
    </font>
    <font>
      <u/>
      <sz val="11"/>
      <color rgb="FF444444"/>
      <name val="Trebuchet MS"/>
      <family val="2"/>
      <scheme val="major"/>
    </font>
    <font>
      <b/>
      <sz val="9"/>
      <color rgb="FFFFFFFF"/>
      <name val="Trebuchet MS"/>
      <family val="2"/>
      <scheme val="major"/>
    </font>
    <font>
      <sz val="9"/>
      <color theme="1"/>
      <name val="Trebuchet MS"/>
      <family val="2"/>
      <scheme val="major"/>
    </font>
    <font>
      <u/>
      <sz val="9"/>
      <color rgb="FF444444"/>
      <name val="Trebuchet MS"/>
      <family val="2"/>
      <scheme val="major"/>
    </font>
    <font>
      <b/>
      <sz val="8"/>
      <name val="Trebuchet MS"/>
      <family val="2"/>
    </font>
    <font>
      <b/>
      <sz val="8"/>
      <color theme="0"/>
      <name val="Trebuchet MS"/>
      <family val="2"/>
    </font>
    <font>
      <sz val="8"/>
      <color theme="0"/>
      <name val="Trebuchet MS"/>
      <family val="2"/>
    </font>
    <font>
      <b/>
      <sz val="11"/>
      <color theme="1"/>
      <name val="Trebuchet MS"/>
      <family val="2"/>
      <scheme val="major"/>
    </font>
    <font>
      <u/>
      <sz val="9"/>
      <color theme="1"/>
      <name val="Trebuchet MS"/>
      <family val="2"/>
      <scheme val="major"/>
    </font>
    <font>
      <b/>
      <sz val="11"/>
      <color theme="0"/>
      <name val="Trebuchet MS"/>
      <family val="2"/>
      <scheme val="minor"/>
    </font>
    <font>
      <b/>
      <sz val="14"/>
      <color rgb="FF444444"/>
      <name val="Trebuchet MS"/>
      <family val="2"/>
      <scheme val="minor"/>
    </font>
    <font>
      <u/>
      <sz val="10"/>
      <color rgb="FF444444"/>
      <name val="Trebuchet MS"/>
      <family val="2"/>
      <scheme val="minor"/>
    </font>
    <font>
      <sz val="10"/>
      <color theme="1"/>
      <name val="Trebuchet MS"/>
      <family val="2"/>
      <scheme val="minor"/>
    </font>
    <font>
      <b/>
      <sz val="10"/>
      <color theme="1"/>
      <name val="Trebuchet MS"/>
      <family val="2"/>
      <scheme val="minor"/>
    </font>
    <font>
      <b/>
      <sz val="10"/>
      <color rgb="FFFFFFFF"/>
      <name val="Trebuchet MS"/>
      <family val="2"/>
      <scheme val="minor"/>
    </font>
    <font>
      <b/>
      <sz val="10"/>
      <color rgb="FF404040"/>
      <name val="Trebuchet MS"/>
      <family val="2"/>
      <scheme val="minor"/>
    </font>
    <font>
      <sz val="10"/>
      <color rgb="FF404040"/>
      <name val="Trebuchet MS"/>
      <family val="2"/>
      <scheme val="minor"/>
    </font>
    <font>
      <vertAlign val="superscript"/>
      <sz val="10"/>
      <color rgb="FF404040"/>
      <name val="Trebuchet MS"/>
      <family val="2"/>
      <scheme val="minor"/>
    </font>
    <font>
      <sz val="14"/>
      <color theme="1"/>
      <name val="Trebuchet MS"/>
      <family val="2"/>
      <scheme val="minor"/>
    </font>
    <font>
      <sz val="8"/>
      <color rgb="FF404040"/>
      <name val="Trebuchet MS"/>
      <family val="2"/>
    </font>
    <font>
      <b/>
      <u/>
      <sz val="8"/>
      <color rgb="FF404040"/>
      <name val="Trebuchet MS"/>
      <family val="2"/>
    </font>
    <font>
      <b/>
      <sz val="8"/>
      <color rgb="FF404040"/>
      <name val="Trebuchet MS"/>
      <family val="2"/>
    </font>
    <font>
      <u/>
      <sz val="8"/>
      <color rgb="FF404040"/>
      <name val="Trebuchet MS"/>
      <family val="2"/>
    </font>
    <font>
      <b/>
      <sz val="10"/>
      <color theme="0"/>
      <name val="Arial"/>
      <family val="2"/>
    </font>
    <font>
      <sz val="8"/>
      <color theme="1"/>
      <name val="Trebuchet MS"/>
      <family val="2"/>
      <scheme val="minor"/>
    </font>
    <font>
      <b/>
      <sz val="14"/>
      <color theme="1"/>
      <name val="Trebuchet MS"/>
      <family val="2"/>
      <scheme val="minor"/>
    </font>
    <font>
      <sz val="9"/>
      <color theme="1"/>
      <name val="Trebuchet MS"/>
      <family val="2"/>
      <scheme val="minor"/>
    </font>
    <font>
      <b/>
      <sz val="9"/>
      <color theme="0"/>
      <name val="Trebuchet MS"/>
      <family val="2"/>
      <scheme val="minor"/>
    </font>
    <font>
      <i/>
      <sz val="10.5"/>
      <color rgb="FF000000"/>
      <name val="Franklin Gothic Book"/>
      <family val="2"/>
    </font>
  </fonts>
  <fills count="20">
    <fill>
      <patternFill patternType="none"/>
    </fill>
    <fill>
      <patternFill patternType="gray125"/>
    </fill>
    <fill>
      <patternFill patternType="solid">
        <fgColor rgb="FF657C91"/>
        <bgColor indexed="64"/>
      </patternFill>
    </fill>
    <fill>
      <patternFill patternType="solid">
        <fgColor rgb="FFA9ECEF"/>
        <bgColor indexed="64"/>
      </patternFill>
    </fill>
    <fill>
      <patternFill patternType="solid">
        <fgColor rgb="FF48A6A2"/>
        <bgColor indexed="64"/>
      </patternFill>
    </fill>
    <fill>
      <patternFill patternType="solid">
        <fgColor rgb="FFEEECE1"/>
        <bgColor indexed="64"/>
      </patternFill>
    </fill>
    <fill>
      <patternFill patternType="solid">
        <fgColor theme="5" tint="-0.499984740745262"/>
        <bgColor indexed="64"/>
      </patternFill>
    </fill>
    <fill>
      <patternFill patternType="solid">
        <fgColor theme="5" tint="0.59999389629810485"/>
        <bgColor indexed="64"/>
      </patternFill>
    </fill>
    <fill>
      <patternFill patternType="solid">
        <fgColor rgb="FFBEBEBE"/>
        <bgColor indexed="64"/>
      </patternFill>
    </fill>
    <fill>
      <patternFill patternType="solid">
        <fgColor theme="0"/>
        <bgColor indexed="64"/>
      </patternFill>
    </fill>
    <fill>
      <patternFill patternType="solid">
        <fgColor theme="2" tint="-9.9978637043366805E-2"/>
        <bgColor indexed="64"/>
      </patternFill>
    </fill>
    <fill>
      <patternFill patternType="solid">
        <fgColor rgb="FFA4E7E1"/>
        <bgColor indexed="64"/>
      </patternFill>
    </fill>
    <fill>
      <patternFill patternType="solid">
        <fgColor rgb="FFFFFFFF"/>
        <bgColor indexed="64"/>
      </patternFill>
    </fill>
    <fill>
      <patternFill patternType="solid">
        <fgColor rgb="FFFFFF00"/>
        <bgColor indexed="64"/>
      </patternFill>
    </fill>
    <fill>
      <patternFill patternType="solid">
        <fgColor rgb="FF2A9E9B"/>
        <bgColor indexed="64"/>
      </patternFill>
    </fill>
    <fill>
      <patternFill patternType="solid">
        <fgColor theme="2"/>
        <bgColor indexed="64"/>
      </patternFill>
    </fill>
    <fill>
      <patternFill patternType="solid">
        <fgColor theme="0" tint="-0.249977111117893"/>
        <bgColor indexed="64"/>
      </patternFill>
    </fill>
    <fill>
      <patternFill patternType="solid">
        <fgColor rgb="FF22847C"/>
        <bgColor indexed="64"/>
      </patternFill>
    </fill>
    <fill>
      <patternFill patternType="solid">
        <fgColor rgb="FF218F8B"/>
        <bgColor indexed="64"/>
      </patternFill>
    </fill>
    <fill>
      <patternFill patternType="solid">
        <fgColor rgb="FF3B3838"/>
        <bgColor indexed="64"/>
      </patternFill>
    </fill>
  </fills>
  <borders count="68">
    <border>
      <left/>
      <right/>
      <top/>
      <bottom/>
      <diagonal/>
    </border>
    <border>
      <left/>
      <right/>
      <top/>
      <bottom style="medium">
        <color rgb="FFFF0000"/>
      </bottom>
      <diagonal/>
    </border>
    <border>
      <left/>
      <right/>
      <top style="medium">
        <color rgb="FFFF0000"/>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rgb="FF000000"/>
      </left>
      <right/>
      <top style="medium">
        <color indexed="64"/>
      </top>
      <bottom style="medium">
        <color indexed="64"/>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left>
      <right/>
      <top style="thin">
        <color theme="0"/>
      </top>
      <bottom style="medium">
        <color rgb="FFFF0000"/>
      </bottom>
      <diagonal/>
    </border>
    <border>
      <left/>
      <right/>
      <top style="thin">
        <color theme="0"/>
      </top>
      <bottom style="medium">
        <color rgb="FFFF0000"/>
      </bottom>
      <diagonal/>
    </border>
    <border>
      <left/>
      <right/>
      <top/>
      <bottom style="thin">
        <color rgb="FFFF0000"/>
      </bottom>
      <diagonal/>
    </border>
    <border>
      <left style="thin">
        <color indexed="64"/>
      </left>
      <right style="thin">
        <color indexed="64"/>
      </right>
      <top style="thin">
        <color indexed="64"/>
      </top>
      <bottom style="medium">
        <color rgb="FFFF0000"/>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
      <left style="thin">
        <color indexed="64"/>
      </left>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right/>
      <top style="double">
        <color indexed="64"/>
      </top>
      <bottom style="double">
        <color indexed="64"/>
      </bottom>
      <diagonal/>
    </border>
    <border>
      <left style="thin">
        <color indexed="64"/>
      </left>
      <right/>
      <top style="thin">
        <color indexed="64"/>
      </top>
      <bottom style="medium">
        <color rgb="FFFF0000"/>
      </bottom>
      <diagonal/>
    </border>
    <border>
      <left/>
      <right/>
      <top style="thin">
        <color rgb="FFFF0000"/>
      </top>
      <bottom style="thin">
        <color rgb="FFFF0000"/>
      </bottom>
      <diagonal/>
    </border>
    <border>
      <left/>
      <right/>
      <top style="thin">
        <color rgb="FFFF0000"/>
      </top>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double">
        <color auto="1"/>
      </left>
      <right/>
      <top style="double">
        <color auto="1"/>
      </top>
      <bottom style="double">
        <color auto="1"/>
      </bottom>
      <diagonal/>
    </border>
    <border>
      <left/>
      <right style="double">
        <color auto="1"/>
      </right>
      <top style="double">
        <color auto="1"/>
      </top>
      <bottom style="double">
        <color auto="1"/>
      </bottom>
      <diagonal/>
    </border>
    <border>
      <left/>
      <right/>
      <top/>
      <bottom style="thick">
        <color rgb="FFC00000"/>
      </bottom>
      <diagonal/>
    </border>
    <border>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theme="0"/>
      </left>
      <right style="medium">
        <color theme="0"/>
      </right>
      <top style="medium">
        <color theme="0"/>
      </top>
      <bottom style="medium">
        <color rgb="FFFF0000"/>
      </bottom>
      <diagonal/>
    </border>
    <border>
      <left/>
      <right/>
      <top style="medium">
        <color rgb="FFFF0000"/>
      </top>
      <bottom style="thin">
        <color rgb="FFFF0000"/>
      </bottom>
      <diagonal/>
    </border>
    <border>
      <left/>
      <right/>
      <top/>
      <bottom style="medium">
        <color rgb="FFFFFFFF"/>
      </bottom>
      <diagonal/>
    </border>
    <border>
      <left/>
      <right/>
      <top style="medium">
        <color rgb="FFFFFFFF"/>
      </top>
      <bottom/>
      <diagonal/>
    </border>
    <border>
      <left/>
      <right/>
      <top/>
      <bottom style="medium">
        <color rgb="FFE4022D"/>
      </bottom>
      <diagonal/>
    </border>
    <border>
      <left/>
      <right/>
      <top style="medium">
        <color rgb="FFE4022D"/>
      </top>
      <bottom/>
      <diagonal/>
    </border>
    <border>
      <left/>
      <right/>
      <top/>
      <bottom style="thin">
        <color theme="0"/>
      </bottom>
      <diagonal/>
    </border>
    <border>
      <left style="thin">
        <color indexed="64"/>
      </left>
      <right/>
      <top style="thin">
        <color rgb="FFFF0000"/>
      </top>
      <bottom style="thin">
        <color rgb="FFFF0000"/>
      </bottom>
      <diagonal/>
    </border>
    <border>
      <left/>
      <right style="thin">
        <color indexed="64"/>
      </right>
      <top style="thin">
        <color rgb="FFFF0000"/>
      </top>
      <bottom style="thin">
        <color rgb="FFFF0000"/>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right/>
      <top/>
      <bottom style="medium">
        <color rgb="FFC00000"/>
      </bottom>
      <diagonal/>
    </border>
    <border>
      <left/>
      <right/>
      <top style="thin">
        <color rgb="FFFF0000"/>
      </top>
      <bottom style="medium">
        <color rgb="FFC00000"/>
      </bottom>
      <diagonal/>
    </border>
    <border>
      <left/>
      <right/>
      <top style="medium">
        <color rgb="FFC00000"/>
      </top>
      <bottom/>
      <diagonal/>
    </border>
  </borders>
  <cellStyleXfs count="13">
    <xf numFmtId="0" fontId="0" fillId="0" borderId="0"/>
    <xf numFmtId="165" fontId="1" fillId="0" borderId="0" applyFont="0" applyFill="0" applyBorder="0" applyAlignment="0" applyProtection="0"/>
    <xf numFmtId="0" fontId="2" fillId="0" borderId="0"/>
    <xf numFmtId="0" fontId="3" fillId="0" borderId="0" applyNumberFormat="0" applyFill="0" applyBorder="0" applyAlignment="0" applyProtection="0"/>
    <xf numFmtId="0" fontId="4" fillId="0" borderId="0"/>
    <xf numFmtId="0" fontId="1" fillId="0" borderId="0"/>
    <xf numFmtId="165"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165" fontId="4" fillId="0" borderId="0" applyFont="0" applyFill="0" applyBorder="0" applyAlignment="0" applyProtection="0"/>
    <xf numFmtId="0" fontId="38" fillId="0" borderId="0"/>
    <xf numFmtId="9" fontId="4" fillId="0" borderId="0" applyFont="0" applyFill="0" applyBorder="0" applyAlignment="0" applyProtection="0"/>
  </cellStyleXfs>
  <cellXfs count="797">
    <xf numFmtId="0" fontId="0" fillId="0" borderId="0" xfId="0"/>
    <xf numFmtId="0" fontId="7" fillId="0" borderId="0" xfId="0" applyFont="1" applyAlignment="1">
      <alignment vertical="center"/>
    </xf>
    <xf numFmtId="0" fontId="9" fillId="0" borderId="0" xfId="0" applyFont="1" applyAlignment="1">
      <alignment horizontal="center" vertical="center"/>
    </xf>
    <xf numFmtId="0" fontId="9" fillId="0" borderId="0" xfId="0" applyFont="1" applyAlignment="1">
      <alignment vertical="center"/>
    </xf>
    <xf numFmtId="0" fontId="9" fillId="0" borderId="0" xfId="0" applyFont="1" applyAlignment="1">
      <alignment horizontal="left" vertical="center"/>
    </xf>
    <xf numFmtId="0" fontId="5" fillId="0" borderId="0" xfId="0" applyFont="1" applyAlignment="1">
      <alignment vertical="center"/>
    </xf>
    <xf numFmtId="0" fontId="11" fillId="0" borderId="0" xfId="0" applyFont="1"/>
    <xf numFmtId="0" fontId="12" fillId="2" borderId="1" xfId="0" applyFont="1" applyFill="1" applyBorder="1" applyAlignment="1">
      <alignment vertical="center" wrapText="1"/>
    </xf>
    <xf numFmtId="0" fontId="13" fillId="3" borderId="0" xfId="0" applyFont="1" applyFill="1" applyAlignment="1">
      <alignment horizontal="left" vertical="center"/>
    </xf>
    <xf numFmtId="167" fontId="13" fillId="3" borderId="0" xfId="2" applyNumberFormat="1" applyFont="1" applyFill="1" applyAlignment="1">
      <alignment horizontal="left" vertical="center"/>
    </xf>
    <xf numFmtId="0" fontId="13" fillId="0" borderId="0" xfId="0" applyFont="1" applyAlignment="1">
      <alignment horizontal="left" vertical="center"/>
    </xf>
    <xf numFmtId="167" fontId="13" fillId="0" borderId="0" xfId="2" applyNumberFormat="1" applyFont="1" applyAlignment="1">
      <alignment horizontal="left" vertical="center"/>
    </xf>
    <xf numFmtId="167" fontId="13" fillId="0" borderId="0" xfId="2" applyNumberFormat="1" applyFont="1" applyAlignment="1">
      <alignment horizontal="left" vertical="center" wrapText="1"/>
    </xf>
    <xf numFmtId="0" fontId="9" fillId="3" borderId="0" xfId="0" applyFont="1" applyFill="1" applyAlignment="1">
      <alignment horizontal="left" vertical="center"/>
    </xf>
    <xf numFmtId="0" fontId="12" fillId="2" borderId="1" xfId="0" applyFont="1" applyFill="1" applyBorder="1" applyAlignment="1">
      <alignment horizontal="center" vertical="center" wrapText="1"/>
    </xf>
    <xf numFmtId="0" fontId="16" fillId="2" borderId="1" xfId="0" applyFont="1" applyFill="1" applyBorder="1" applyAlignment="1">
      <alignment horizontal="left" vertical="center" wrapText="1"/>
    </xf>
    <xf numFmtId="0" fontId="17" fillId="3" borderId="0" xfId="0" applyFont="1" applyFill="1" applyAlignment="1">
      <alignment horizontal="left" vertical="center"/>
    </xf>
    <xf numFmtId="167" fontId="17" fillId="3" borderId="0" xfId="2" applyNumberFormat="1" applyFont="1" applyFill="1" applyAlignment="1">
      <alignment horizontal="left" vertical="center"/>
    </xf>
    <xf numFmtId="0" fontId="17" fillId="0" borderId="0" xfId="0" applyFont="1" applyAlignment="1">
      <alignment horizontal="left" vertical="center"/>
    </xf>
    <xf numFmtId="167" fontId="17" fillId="0" borderId="0" xfId="2" applyNumberFormat="1" applyFont="1" applyAlignment="1">
      <alignment vertical="center"/>
    </xf>
    <xf numFmtId="167" fontId="17" fillId="0" borderId="0" xfId="2" applyNumberFormat="1" applyFont="1" applyAlignment="1">
      <alignment horizontal="left" vertical="center"/>
    </xf>
    <xf numFmtId="0" fontId="14" fillId="3" borderId="0" xfId="0" applyFont="1" applyFill="1" applyAlignment="1">
      <alignment horizontal="left" vertical="center"/>
    </xf>
    <xf numFmtId="166" fontId="17" fillId="3" borderId="0" xfId="1" applyNumberFormat="1" applyFont="1" applyFill="1" applyBorder="1" applyAlignment="1">
      <alignment horizontal="left" vertical="center"/>
    </xf>
    <xf numFmtId="167" fontId="17" fillId="3" borderId="0" xfId="2" applyNumberFormat="1" applyFont="1" applyFill="1" applyAlignment="1">
      <alignment horizontal="left" vertical="center" wrapText="1"/>
    </xf>
    <xf numFmtId="0" fontId="14" fillId="0" borderId="0" xfId="0" applyFont="1" applyAlignment="1">
      <alignment horizontal="center" vertical="center"/>
    </xf>
    <xf numFmtId="0" fontId="14" fillId="0" borderId="0" xfId="0" applyFont="1" applyAlignment="1">
      <alignment vertical="center"/>
    </xf>
    <xf numFmtId="0" fontId="19" fillId="3" borderId="0" xfId="0" applyFont="1" applyFill="1" applyAlignment="1">
      <alignment horizontal="left" vertical="center"/>
    </xf>
    <xf numFmtId="0" fontId="19" fillId="0" borderId="0" xfId="0" applyFont="1" applyAlignment="1">
      <alignment horizontal="left" vertical="center"/>
    </xf>
    <xf numFmtId="0" fontId="15" fillId="0" borderId="0" xfId="0" applyFont="1" applyAlignment="1">
      <alignment vertical="center"/>
    </xf>
    <xf numFmtId="167" fontId="13" fillId="3" borderId="0" xfId="2" applyNumberFormat="1" applyFont="1" applyFill="1" applyAlignment="1">
      <alignment horizontal="center" vertical="center"/>
    </xf>
    <xf numFmtId="167" fontId="13" fillId="0" borderId="0" xfId="2" applyNumberFormat="1" applyFont="1" applyAlignment="1">
      <alignment horizontal="center" vertical="center"/>
    </xf>
    <xf numFmtId="0" fontId="9" fillId="0" borderId="0" xfId="0" applyFont="1" applyAlignment="1">
      <alignment horizontal="center"/>
    </xf>
    <xf numFmtId="0" fontId="13" fillId="3" borderId="0" xfId="0" applyFont="1" applyFill="1" applyAlignment="1">
      <alignment horizontal="left" vertical="center" wrapText="1"/>
    </xf>
    <xf numFmtId="0" fontId="13" fillId="3" borderId="0" xfId="0" applyFont="1" applyFill="1" applyAlignment="1">
      <alignment horizontal="center" vertical="center"/>
    </xf>
    <xf numFmtId="0" fontId="9" fillId="0" borderId="0" xfId="0" applyFont="1" applyAlignment="1">
      <alignment horizontal="left" vertical="center" wrapText="1"/>
    </xf>
    <xf numFmtId="0" fontId="9" fillId="3" borderId="0" xfId="0" applyFont="1" applyFill="1" applyAlignment="1">
      <alignment horizontal="left" vertical="center" wrapText="1"/>
    </xf>
    <xf numFmtId="0" fontId="9" fillId="3" borderId="0" xfId="0" applyFont="1" applyFill="1" applyAlignment="1">
      <alignment horizontal="center" vertical="center"/>
    </xf>
    <xf numFmtId="0" fontId="9" fillId="3" borderId="0" xfId="0" applyFont="1" applyFill="1" applyAlignment="1">
      <alignment vertical="center"/>
    </xf>
    <xf numFmtId="0" fontId="14" fillId="0" borderId="0" xfId="0" applyFont="1" applyAlignment="1">
      <alignment horizontal="left" vertical="center"/>
    </xf>
    <xf numFmtId="167" fontId="17" fillId="0" borderId="0" xfId="2" applyNumberFormat="1" applyFont="1" applyAlignment="1">
      <alignment horizontal="center" vertical="center"/>
    </xf>
    <xf numFmtId="0" fontId="14" fillId="0" borderId="0" xfId="0" applyFont="1" applyAlignment="1">
      <alignment horizontal="left" vertical="center" wrapText="1"/>
    </xf>
    <xf numFmtId="167" fontId="17" fillId="3" borderId="0" xfId="2" applyNumberFormat="1" applyFont="1" applyFill="1" applyAlignment="1">
      <alignment vertical="center"/>
    </xf>
    <xf numFmtId="0" fontId="14" fillId="3" borderId="0" xfId="0" applyFont="1" applyFill="1" applyAlignment="1">
      <alignment horizontal="center" vertical="center"/>
    </xf>
    <xf numFmtId="0" fontId="13" fillId="0" borderId="0" xfId="0" applyFont="1" applyAlignment="1">
      <alignment horizontal="center" vertical="center"/>
    </xf>
    <xf numFmtId="0" fontId="19" fillId="9" borderId="0" xfId="0" applyFont="1" applyFill="1" applyAlignment="1">
      <alignment vertical="center"/>
    </xf>
    <xf numFmtId="0" fontId="19" fillId="0" borderId="0" xfId="0" applyFont="1" applyAlignment="1">
      <alignment vertical="center"/>
    </xf>
    <xf numFmtId="0" fontId="19" fillId="0" borderId="0" xfId="0" applyFont="1" applyAlignment="1">
      <alignment horizontal="center" vertical="center"/>
    </xf>
    <xf numFmtId="0" fontId="25" fillId="0" borderId="0" xfId="0" applyFont="1" applyAlignment="1">
      <alignment vertical="center" wrapText="1"/>
    </xf>
    <xf numFmtId="0" fontId="18" fillId="2" borderId="0" xfId="0" applyFont="1" applyFill="1" applyAlignment="1">
      <alignment horizontal="center" vertical="center" wrapText="1"/>
    </xf>
    <xf numFmtId="0" fontId="18" fillId="6" borderId="0" xfId="0" applyFont="1" applyFill="1" applyAlignment="1">
      <alignment horizontal="left" vertical="center"/>
    </xf>
    <xf numFmtId="0" fontId="18" fillId="6" borderId="0" xfId="0" applyFont="1" applyFill="1" applyAlignment="1">
      <alignment horizontal="left" vertical="center" wrapText="1"/>
    </xf>
    <xf numFmtId="0" fontId="26" fillId="0" borderId="0" xfId="0" applyFont="1" applyAlignment="1">
      <alignment horizontal="left" vertical="center"/>
    </xf>
    <xf numFmtId="0" fontId="19" fillId="3" borderId="37" xfId="0" applyFont="1" applyFill="1" applyBorder="1" applyAlignment="1">
      <alignment horizontal="center" vertical="center"/>
    </xf>
    <xf numFmtId="0" fontId="19" fillId="3" borderId="38" xfId="0" applyFont="1" applyFill="1" applyBorder="1" applyAlignment="1">
      <alignment horizontal="left" vertical="center"/>
    </xf>
    <xf numFmtId="0" fontId="19" fillId="3" borderId="39" xfId="0" applyFont="1" applyFill="1" applyBorder="1" applyAlignment="1">
      <alignment horizontal="left" vertical="center"/>
    </xf>
    <xf numFmtId="0" fontId="19" fillId="0" borderId="40" xfId="0" applyFont="1" applyBorder="1" applyAlignment="1">
      <alignment horizontal="center" vertical="center"/>
    </xf>
    <xf numFmtId="0" fontId="19" fillId="0" borderId="41" xfId="0" applyFont="1" applyBorder="1" applyAlignment="1">
      <alignment horizontal="left" vertical="center"/>
    </xf>
    <xf numFmtId="0" fontId="19" fillId="3" borderId="40" xfId="0" applyFont="1" applyFill="1" applyBorder="1" applyAlignment="1">
      <alignment horizontal="center" vertical="center"/>
    </xf>
    <xf numFmtId="0" fontId="19" fillId="3" borderId="41" xfId="0" applyFont="1" applyFill="1" applyBorder="1" applyAlignment="1">
      <alignment horizontal="left" vertical="center"/>
    </xf>
    <xf numFmtId="0" fontId="19" fillId="3" borderId="42" xfId="0" applyFont="1" applyFill="1" applyBorder="1" applyAlignment="1">
      <alignment horizontal="center" vertical="center"/>
    </xf>
    <xf numFmtId="0" fontId="19" fillId="3" borderId="43" xfId="0" applyFont="1" applyFill="1" applyBorder="1" applyAlignment="1">
      <alignment horizontal="left" vertical="center"/>
    </xf>
    <xf numFmtId="0" fontId="19" fillId="3" borderId="44" xfId="0" applyFont="1" applyFill="1" applyBorder="1" applyAlignment="1">
      <alignment horizontal="left" vertical="center"/>
    </xf>
    <xf numFmtId="0" fontId="19" fillId="0" borderId="37" xfId="0" applyFont="1" applyBorder="1" applyAlignment="1">
      <alignment horizontal="center" vertical="center"/>
    </xf>
    <xf numFmtId="0" fontId="19" fillId="0" borderId="38" xfId="0" applyFont="1" applyBorder="1" applyAlignment="1">
      <alignment horizontal="left" vertical="center"/>
    </xf>
    <xf numFmtId="0" fontId="19" fillId="0" borderId="39" xfId="0" applyFont="1" applyBorder="1" applyAlignment="1">
      <alignment horizontal="left" vertical="center"/>
    </xf>
    <xf numFmtId="0" fontId="19" fillId="0" borderId="42" xfId="0" applyFont="1" applyBorder="1" applyAlignment="1">
      <alignment horizontal="center" vertical="center"/>
    </xf>
    <xf numFmtId="0" fontId="19" fillId="0" borderId="43" xfId="0" applyFont="1" applyBorder="1" applyAlignment="1">
      <alignment horizontal="left" vertical="center"/>
    </xf>
    <xf numFmtId="0" fontId="19" fillId="0" borderId="44" xfId="0" applyFont="1" applyBorder="1" applyAlignment="1">
      <alignment horizontal="left" vertical="center"/>
    </xf>
    <xf numFmtId="0" fontId="19" fillId="3" borderId="45" xfId="0" applyFont="1" applyFill="1" applyBorder="1" applyAlignment="1">
      <alignment horizontal="center" vertical="center"/>
    </xf>
    <xf numFmtId="0" fontId="19" fillId="3" borderId="33" xfId="0" applyFont="1" applyFill="1" applyBorder="1" applyAlignment="1">
      <alignment horizontal="left" vertical="center"/>
    </xf>
    <xf numFmtId="0" fontId="19" fillId="3" borderId="46" xfId="0" applyFont="1" applyFill="1" applyBorder="1" applyAlignment="1">
      <alignment horizontal="left" vertical="center"/>
    </xf>
    <xf numFmtId="0" fontId="19" fillId="0" borderId="45" xfId="0" applyFont="1" applyBorder="1" applyAlignment="1">
      <alignment horizontal="center" vertical="center"/>
    </xf>
    <xf numFmtId="0" fontId="19" fillId="0" borderId="33" xfId="0" applyFont="1" applyBorder="1" applyAlignment="1">
      <alignment horizontal="left" vertical="center"/>
    </xf>
    <xf numFmtId="0" fontId="19" fillId="0" borderId="46" xfId="0" applyFont="1" applyBorder="1" applyAlignment="1">
      <alignment horizontal="left" vertical="center"/>
    </xf>
    <xf numFmtId="0" fontId="19" fillId="0" borderId="0" xfId="0" applyFont="1" applyAlignment="1">
      <alignment vertical="center" wrapText="1"/>
    </xf>
    <xf numFmtId="0" fontId="18" fillId="2" borderId="47" xfId="0" applyFont="1" applyFill="1" applyBorder="1" applyAlignment="1">
      <alignment horizontal="center" vertical="center"/>
    </xf>
    <xf numFmtId="0" fontId="18" fillId="2" borderId="47" xfId="0" applyFont="1" applyFill="1" applyBorder="1" applyAlignment="1">
      <alignment horizontal="center" vertical="center" wrapText="1"/>
    </xf>
    <xf numFmtId="0" fontId="9" fillId="3" borderId="0" xfId="0" applyFont="1" applyFill="1" applyAlignment="1">
      <alignment horizontal="center" vertical="center" wrapText="1"/>
    </xf>
    <xf numFmtId="166" fontId="13" fillId="0" borderId="0" xfId="1" applyNumberFormat="1" applyFont="1" applyAlignment="1">
      <alignment horizontal="center" vertical="center"/>
    </xf>
    <xf numFmtId="166" fontId="14" fillId="0" borderId="0" xfId="1" applyNumberFormat="1" applyFont="1" applyAlignment="1">
      <alignment horizontal="center" vertical="center"/>
    </xf>
    <xf numFmtId="166" fontId="14" fillId="3" borderId="0" xfId="1" applyNumberFormat="1" applyFont="1" applyFill="1" applyAlignment="1">
      <alignment horizontal="center" vertical="center"/>
    </xf>
    <xf numFmtId="4" fontId="14" fillId="3" borderId="0" xfId="0" applyNumberFormat="1" applyFont="1" applyFill="1" applyAlignment="1">
      <alignment horizontal="right" vertical="center"/>
    </xf>
    <xf numFmtId="0" fontId="14" fillId="3" borderId="0" xfId="0" applyFont="1" applyFill="1" applyAlignment="1">
      <alignment horizontal="right" vertical="center"/>
    </xf>
    <xf numFmtId="166" fontId="16" fillId="2" borderId="1" xfId="1" applyNumberFormat="1" applyFont="1" applyFill="1" applyBorder="1" applyAlignment="1">
      <alignment horizontal="left" vertical="center" wrapText="1"/>
    </xf>
    <xf numFmtId="166" fontId="14" fillId="3" borderId="0" xfId="1" applyNumberFormat="1" applyFont="1" applyFill="1" applyAlignment="1">
      <alignment horizontal="left" vertical="center"/>
    </xf>
    <xf numFmtId="166" fontId="14" fillId="0" borderId="0" xfId="1" applyNumberFormat="1" applyFont="1" applyAlignment="1">
      <alignment horizontal="left" vertical="center"/>
    </xf>
    <xf numFmtId="166" fontId="14" fillId="3" borderId="0" xfId="1" applyNumberFormat="1" applyFont="1" applyFill="1" applyAlignment="1">
      <alignment horizontal="right" vertical="center"/>
    </xf>
    <xf numFmtId="166" fontId="13" fillId="3" borderId="0" xfId="1" applyNumberFormat="1" applyFont="1" applyFill="1" applyBorder="1" applyAlignment="1">
      <alignment horizontal="center" vertical="center"/>
    </xf>
    <xf numFmtId="3" fontId="9" fillId="3" borderId="0" xfId="0" applyNumberFormat="1" applyFont="1" applyFill="1" applyAlignment="1">
      <alignment horizontal="center" vertical="center"/>
    </xf>
    <xf numFmtId="3" fontId="9" fillId="3" borderId="0" xfId="0" applyNumberFormat="1" applyFont="1" applyFill="1" applyAlignment="1">
      <alignment vertical="center"/>
    </xf>
    <xf numFmtId="166" fontId="13" fillId="0" borderId="0" xfId="1" applyNumberFormat="1" applyFont="1" applyFill="1" applyBorder="1" applyAlignment="1">
      <alignment horizontal="center" vertical="center"/>
    </xf>
    <xf numFmtId="165" fontId="9" fillId="0" borderId="0" xfId="1" applyFont="1" applyFill="1" applyBorder="1" applyAlignment="1">
      <alignment horizontal="center" vertical="center"/>
    </xf>
    <xf numFmtId="3" fontId="9" fillId="0" borderId="0" xfId="0" applyNumberFormat="1" applyFont="1" applyAlignment="1">
      <alignment horizontal="center" vertical="center"/>
    </xf>
    <xf numFmtId="165" fontId="9" fillId="3" borderId="0" xfId="1" applyFont="1" applyFill="1" applyBorder="1" applyAlignment="1">
      <alignment horizontal="center" vertical="center"/>
    </xf>
    <xf numFmtId="0" fontId="9" fillId="3" borderId="0" xfId="0" applyFont="1" applyFill="1" applyAlignment="1">
      <alignment vertical="center" wrapText="1"/>
    </xf>
    <xf numFmtId="3" fontId="9" fillId="0" borderId="0" xfId="0" applyNumberFormat="1" applyFont="1" applyAlignment="1">
      <alignment vertical="center"/>
    </xf>
    <xf numFmtId="166" fontId="13" fillId="0" borderId="0" xfId="1" applyNumberFormat="1" applyFont="1" applyFill="1" applyAlignment="1">
      <alignment horizontal="center" vertical="center"/>
    </xf>
    <xf numFmtId="0" fontId="13" fillId="3" borderId="0" xfId="0" applyFont="1" applyFill="1" applyAlignment="1">
      <alignment vertical="center" wrapText="1"/>
    </xf>
    <xf numFmtId="0" fontId="13" fillId="3" borderId="0" xfId="0" applyFont="1" applyFill="1" applyAlignment="1">
      <alignment vertical="center"/>
    </xf>
    <xf numFmtId="3" fontId="13" fillId="0" borderId="0" xfId="1" applyNumberFormat="1" applyFont="1" applyFill="1" applyBorder="1" applyAlignment="1">
      <alignment horizontal="center" vertical="center"/>
    </xf>
    <xf numFmtId="0" fontId="13" fillId="3" borderId="0" xfId="1" applyNumberFormat="1" applyFont="1" applyFill="1" applyBorder="1" applyAlignment="1">
      <alignment horizontal="center" vertical="center"/>
    </xf>
    <xf numFmtId="165" fontId="13" fillId="3" borderId="0" xfId="1" applyFont="1" applyFill="1" applyBorder="1" applyAlignment="1">
      <alignment horizontal="center" vertical="center"/>
    </xf>
    <xf numFmtId="166" fontId="9" fillId="3" borderId="0" xfId="1" applyNumberFormat="1" applyFont="1" applyFill="1" applyAlignment="1">
      <alignment horizontal="center" vertical="center"/>
    </xf>
    <xf numFmtId="165" fontId="13" fillId="0" borderId="0" xfId="1" applyFont="1" applyFill="1" applyBorder="1" applyAlignment="1">
      <alignment horizontal="center" vertical="center"/>
    </xf>
    <xf numFmtId="0" fontId="13" fillId="3" borderId="0" xfId="2" applyFont="1" applyFill="1" applyAlignment="1">
      <alignment horizontal="center" vertical="center"/>
    </xf>
    <xf numFmtId="165" fontId="13" fillId="3" borderId="0" xfId="1" applyFont="1" applyFill="1" applyAlignment="1">
      <alignment horizontal="center" vertical="center"/>
    </xf>
    <xf numFmtId="165" fontId="9" fillId="3" borderId="0" xfId="1" applyFont="1" applyFill="1" applyAlignment="1">
      <alignment horizontal="center" vertical="center"/>
    </xf>
    <xf numFmtId="165" fontId="9" fillId="0" borderId="0" xfId="1" applyFont="1" applyAlignment="1">
      <alignment horizontal="center" vertical="center"/>
    </xf>
    <xf numFmtId="166" fontId="9" fillId="0" borderId="0" xfId="1" applyNumberFormat="1" applyFont="1" applyAlignment="1">
      <alignment horizontal="center" vertical="center"/>
    </xf>
    <xf numFmtId="0" fontId="18" fillId="2" borderId="15" xfId="0" applyFont="1" applyFill="1" applyBorder="1" applyAlignment="1">
      <alignment horizontal="center" vertical="center" wrapText="1"/>
    </xf>
    <xf numFmtId="0" fontId="18" fillId="2" borderId="13" xfId="0" applyFont="1" applyFill="1" applyBorder="1" applyAlignment="1">
      <alignment horizontal="center" vertical="center" wrapText="1"/>
    </xf>
    <xf numFmtId="0" fontId="18" fillId="2" borderId="48" xfId="0" applyFont="1" applyFill="1" applyBorder="1" applyAlignment="1">
      <alignment horizontal="center" vertical="center" wrapText="1"/>
    </xf>
    <xf numFmtId="0" fontId="26" fillId="2" borderId="15" xfId="0" applyFont="1" applyFill="1" applyBorder="1" applyAlignment="1">
      <alignment horizontal="center" vertical="center" wrapText="1"/>
    </xf>
    <xf numFmtId="0" fontId="26" fillId="2" borderId="0" xfId="0" applyFont="1" applyFill="1" applyAlignment="1">
      <alignment horizontal="center" vertical="center" wrapText="1"/>
    </xf>
    <xf numFmtId="0" fontId="26" fillId="2" borderId="17" xfId="0" applyFont="1" applyFill="1" applyBorder="1" applyAlignment="1">
      <alignment horizontal="center" vertical="center" wrapText="1"/>
    </xf>
    <xf numFmtId="0" fontId="18" fillId="2" borderId="20" xfId="0" applyFont="1" applyFill="1" applyBorder="1" applyAlignment="1">
      <alignment horizontal="center" vertical="center" wrapText="1"/>
    </xf>
    <xf numFmtId="0" fontId="18" fillId="2" borderId="8" xfId="0" applyFont="1" applyFill="1" applyBorder="1" applyAlignment="1">
      <alignment horizontal="center" vertical="center" wrapText="1"/>
    </xf>
    <xf numFmtId="0" fontId="18" fillId="2" borderId="21" xfId="0" applyFont="1" applyFill="1" applyBorder="1" applyAlignment="1">
      <alignment horizontal="center" vertical="center" wrapText="1"/>
    </xf>
    <xf numFmtId="0" fontId="15" fillId="3" borderId="13" xfId="0" applyFont="1" applyFill="1" applyBorder="1" applyAlignment="1">
      <alignment horizontal="center" vertical="center" wrapText="1"/>
    </xf>
    <xf numFmtId="0" fontId="15" fillId="3" borderId="0" xfId="0" applyFont="1" applyFill="1" applyAlignment="1">
      <alignment horizontal="center" vertical="center" wrapText="1"/>
    </xf>
    <xf numFmtId="14" fontId="15" fillId="3" borderId="0" xfId="0" applyNumberFormat="1" applyFont="1" applyFill="1" applyAlignment="1">
      <alignment horizontal="center" vertical="center" wrapText="1"/>
    </xf>
    <xf numFmtId="0" fontId="15" fillId="3" borderId="48" xfId="0" applyFont="1" applyFill="1" applyBorder="1" applyAlignment="1">
      <alignment horizontal="center" vertical="center" wrapText="1"/>
    </xf>
    <xf numFmtId="3" fontId="15" fillId="3" borderId="0" xfId="0" applyNumberFormat="1" applyFont="1" applyFill="1" applyAlignment="1">
      <alignment horizontal="center" vertical="center" wrapText="1"/>
    </xf>
    <xf numFmtId="0" fontId="15" fillId="9" borderId="13" xfId="0" applyFont="1" applyFill="1" applyBorder="1" applyAlignment="1">
      <alignment horizontal="center" vertical="center" wrapText="1"/>
    </xf>
    <xf numFmtId="0" fontId="15" fillId="9" borderId="0" xfId="0" applyFont="1" applyFill="1" applyAlignment="1">
      <alignment horizontal="center" vertical="center" wrapText="1"/>
    </xf>
    <xf numFmtId="14" fontId="15" fillId="9" borderId="0" xfId="0" applyNumberFormat="1" applyFont="1" applyFill="1" applyAlignment="1">
      <alignment horizontal="center" vertical="center" wrapText="1"/>
    </xf>
    <xf numFmtId="0" fontId="15" fillId="9" borderId="48" xfId="0" applyFont="1" applyFill="1" applyBorder="1" applyAlignment="1">
      <alignment horizontal="center" vertical="center" wrapText="1"/>
    </xf>
    <xf numFmtId="3" fontId="15" fillId="9" borderId="0" xfId="0" applyNumberFormat="1" applyFont="1" applyFill="1" applyAlignment="1">
      <alignment horizontal="center" vertical="center" wrapText="1"/>
    </xf>
    <xf numFmtId="0" fontId="18" fillId="2" borderId="15" xfId="0" applyFont="1" applyFill="1" applyBorder="1" applyAlignment="1">
      <alignment vertical="center"/>
    </xf>
    <xf numFmtId="0" fontId="15" fillId="3" borderId="0" xfId="0" quotePrefix="1" applyFont="1" applyFill="1" applyAlignment="1">
      <alignment horizontal="center" vertical="center"/>
    </xf>
    <xf numFmtId="0" fontId="15" fillId="9" borderId="0" xfId="0" quotePrefix="1" applyFont="1" applyFill="1" applyAlignment="1">
      <alignment horizontal="center" vertical="center"/>
    </xf>
    <xf numFmtId="3" fontId="18" fillId="14" borderId="33" xfId="0" applyNumberFormat="1" applyFont="1" applyFill="1" applyBorder="1" applyAlignment="1">
      <alignment horizontal="center" vertical="center"/>
    </xf>
    <xf numFmtId="0" fontId="28" fillId="2" borderId="0" xfId="0" applyFont="1" applyFill="1" applyAlignment="1">
      <alignment horizontal="center" vertical="center" wrapText="1"/>
    </xf>
    <xf numFmtId="0" fontId="29" fillId="11" borderId="0" xfId="0" applyFont="1" applyFill="1" applyAlignment="1">
      <alignment horizontal="justify" vertical="center" wrapText="1"/>
    </xf>
    <xf numFmtId="0" fontId="30" fillId="12" borderId="0" xfId="0" applyFont="1" applyFill="1" applyAlignment="1">
      <alignment horizontal="justify" vertical="center" wrapText="1"/>
    </xf>
    <xf numFmtId="0" fontId="31" fillId="12" borderId="0" xfId="0" applyFont="1" applyFill="1" applyAlignment="1">
      <alignment horizontal="justify" vertical="center" wrapText="1"/>
    </xf>
    <xf numFmtId="0" fontId="30" fillId="0" borderId="0" xfId="0" applyFont="1" applyAlignment="1">
      <alignment horizontal="justify" vertical="center" wrapText="1"/>
    </xf>
    <xf numFmtId="0" fontId="31" fillId="12" borderId="0" xfId="0" applyFont="1" applyFill="1" applyAlignment="1">
      <alignment vertical="center" wrapText="1"/>
    </xf>
    <xf numFmtId="0" fontId="31" fillId="0" borderId="0" xfId="0" applyFont="1" applyAlignment="1">
      <alignment horizontal="justify" vertical="center" wrapText="1"/>
    </xf>
    <xf numFmtId="0" fontId="11" fillId="0" borderId="0" xfId="0" applyFont="1" applyAlignment="1">
      <alignment horizontal="justify" vertical="center" wrapText="1"/>
    </xf>
    <xf numFmtId="0" fontId="32" fillId="0" borderId="0" xfId="3" applyFont="1" applyAlignment="1">
      <alignment vertical="center"/>
    </xf>
    <xf numFmtId="0" fontId="8" fillId="2" borderId="0" xfId="0" applyFont="1" applyFill="1" applyAlignment="1">
      <alignment horizontal="center" vertical="center" wrapText="1"/>
    </xf>
    <xf numFmtId="0" fontId="33" fillId="3" borderId="0" xfId="0" applyFont="1" applyFill="1" applyAlignment="1">
      <alignment horizontal="justify" vertical="center" wrapText="1"/>
    </xf>
    <xf numFmtId="0" fontId="34" fillId="12" borderId="0" xfId="0" applyFont="1" applyFill="1" applyAlignment="1">
      <alignment horizontal="justify" vertical="center" wrapText="1"/>
    </xf>
    <xf numFmtId="0" fontId="34" fillId="0" borderId="0" xfId="0" applyFont="1" applyAlignment="1">
      <alignment horizontal="justify" vertical="center" wrapText="1"/>
    </xf>
    <xf numFmtId="0" fontId="33" fillId="11" borderId="0" xfId="0" applyFont="1" applyFill="1" applyAlignment="1">
      <alignment horizontal="justify" vertical="center" wrapText="1"/>
    </xf>
    <xf numFmtId="0" fontId="35" fillId="12" borderId="0" xfId="0" applyFont="1" applyFill="1" applyAlignment="1">
      <alignment vertical="center" wrapText="1"/>
    </xf>
    <xf numFmtId="0" fontId="35" fillId="12" borderId="0" xfId="0" applyFont="1" applyFill="1" applyAlignment="1">
      <alignment horizontal="justify" vertical="center" wrapText="1"/>
    </xf>
    <xf numFmtId="0" fontId="35" fillId="0" borderId="0" xfId="0" applyFont="1" applyAlignment="1">
      <alignment vertical="center" wrapText="1"/>
    </xf>
    <xf numFmtId="0" fontId="35" fillId="0" borderId="0" xfId="0" applyFont="1" applyAlignment="1">
      <alignment horizontal="justify" vertical="center" wrapText="1"/>
    </xf>
    <xf numFmtId="0" fontId="28" fillId="2" borderId="0" xfId="0" applyFont="1" applyFill="1" applyAlignment="1">
      <alignment horizontal="left" vertical="center" wrapText="1"/>
    </xf>
    <xf numFmtId="0" fontId="28" fillId="2" borderId="0" xfId="0" applyFont="1" applyFill="1" applyAlignment="1">
      <alignment vertical="center" wrapText="1"/>
    </xf>
    <xf numFmtId="0" fontId="11" fillId="7" borderId="0" xfId="0" applyFont="1" applyFill="1" applyAlignment="1">
      <alignment horizontal="left" vertical="center" wrapText="1"/>
    </xf>
    <xf numFmtId="0" fontId="11" fillId="7" borderId="0" xfId="0" applyFont="1" applyFill="1" applyAlignment="1">
      <alignment vertical="center" wrapText="1"/>
    </xf>
    <xf numFmtId="0" fontId="11" fillId="0" borderId="0" xfId="0" applyFont="1" applyAlignment="1">
      <alignment horizontal="left" vertical="center" wrapText="1"/>
    </xf>
    <xf numFmtId="0" fontId="11" fillId="0" borderId="0" xfId="0" applyFont="1" applyAlignment="1">
      <alignment vertical="center" wrapText="1"/>
    </xf>
    <xf numFmtId="0" fontId="11" fillId="9" borderId="0" xfId="0" applyFont="1" applyFill="1" applyAlignment="1">
      <alignment horizontal="left" vertical="center" wrapText="1"/>
    </xf>
    <xf numFmtId="0" fontId="11" fillId="9" borderId="0" xfId="0" applyFont="1" applyFill="1" applyAlignment="1">
      <alignment vertical="center" wrapText="1"/>
    </xf>
    <xf numFmtId="0" fontId="11" fillId="9" borderId="24" xfId="0" applyFont="1" applyFill="1" applyBorder="1" applyAlignment="1">
      <alignment vertical="center" wrapText="1"/>
    </xf>
    <xf numFmtId="0" fontId="10" fillId="9" borderId="24" xfId="0" applyFont="1" applyFill="1" applyBorder="1" applyAlignment="1">
      <alignment vertical="center" wrapText="1"/>
    </xf>
    <xf numFmtId="0" fontId="11" fillId="9" borderId="35" xfId="0" applyFont="1" applyFill="1" applyBorder="1" applyAlignment="1">
      <alignment vertical="center" wrapText="1"/>
    </xf>
    <xf numFmtId="0" fontId="10" fillId="9" borderId="35" xfId="0" applyFont="1" applyFill="1" applyBorder="1" applyAlignment="1">
      <alignment vertical="center" wrapText="1"/>
    </xf>
    <xf numFmtId="0" fontId="11" fillId="9" borderId="36" xfId="0" applyFont="1" applyFill="1" applyBorder="1" applyAlignment="1">
      <alignment vertical="center" wrapText="1"/>
    </xf>
    <xf numFmtId="0" fontId="10" fillId="9" borderId="36" xfId="0" applyFont="1" applyFill="1" applyBorder="1" applyAlignment="1">
      <alignment vertical="center" wrapText="1"/>
    </xf>
    <xf numFmtId="0" fontId="11" fillId="2" borderId="0" xfId="0" applyFont="1" applyFill="1" applyAlignment="1">
      <alignment vertical="center" wrapText="1"/>
    </xf>
    <xf numFmtId="0" fontId="20" fillId="0" borderId="0" xfId="0" applyFont="1" applyAlignment="1">
      <alignment vertical="center"/>
    </xf>
    <xf numFmtId="0" fontId="39" fillId="0" borderId="0" xfId="0" applyFont="1"/>
    <xf numFmtId="0" fontId="21" fillId="3" borderId="0" xfId="0" applyFont="1" applyFill="1" applyAlignment="1">
      <alignment horizontal="center" vertical="center"/>
    </xf>
    <xf numFmtId="0" fontId="21" fillId="3" borderId="0" xfId="2" applyFont="1" applyFill="1" applyAlignment="1">
      <alignment horizontal="left" vertical="center"/>
    </xf>
    <xf numFmtId="167" fontId="21" fillId="3" borderId="0" xfId="2" applyNumberFormat="1" applyFont="1" applyFill="1" applyAlignment="1">
      <alignment horizontal="left" vertical="center" wrapText="1"/>
    </xf>
    <xf numFmtId="167" fontId="21" fillId="3" borderId="0" xfId="2" applyNumberFormat="1" applyFont="1" applyFill="1" applyAlignment="1">
      <alignment horizontal="center" vertical="center"/>
    </xf>
    <xf numFmtId="14" fontId="21" fillId="3" borderId="0" xfId="2" applyNumberFormat="1" applyFont="1" applyFill="1" applyAlignment="1">
      <alignment horizontal="left" vertical="center"/>
    </xf>
    <xf numFmtId="167" fontId="21" fillId="3" borderId="0" xfId="2" applyNumberFormat="1" applyFont="1" applyFill="1" applyAlignment="1">
      <alignment horizontal="right" vertical="center"/>
    </xf>
    <xf numFmtId="0" fontId="21" fillId="3" borderId="0" xfId="2" applyFont="1" applyFill="1" applyAlignment="1">
      <alignment horizontal="left" vertical="center" wrapText="1"/>
    </xf>
    <xf numFmtId="0" fontId="21" fillId="0" borderId="0" xfId="0" applyFont="1" applyAlignment="1">
      <alignment horizontal="center" vertical="center"/>
    </xf>
    <xf numFmtId="0" fontId="21" fillId="0" borderId="0" xfId="2" applyFont="1" applyAlignment="1">
      <alignment horizontal="left" vertical="center"/>
    </xf>
    <xf numFmtId="0" fontId="21" fillId="0" borderId="0" xfId="2" applyFont="1" applyAlignment="1">
      <alignment horizontal="center" vertical="center"/>
    </xf>
    <xf numFmtId="14" fontId="21" fillId="0" borderId="0" xfId="2" applyNumberFormat="1" applyFont="1" applyAlignment="1">
      <alignment horizontal="center" vertical="center"/>
    </xf>
    <xf numFmtId="0" fontId="21" fillId="0" borderId="0" xfId="2" applyFont="1" applyAlignment="1">
      <alignment horizontal="right" vertical="center"/>
    </xf>
    <xf numFmtId="166" fontId="21" fillId="0" borderId="0" xfId="1" applyNumberFormat="1" applyFont="1" applyFill="1" applyBorder="1" applyAlignment="1">
      <alignment horizontal="center" vertical="center"/>
    </xf>
    <xf numFmtId="167" fontId="21" fillId="0" borderId="0" xfId="2" applyNumberFormat="1" applyFont="1" applyAlignment="1">
      <alignment horizontal="center" vertical="center"/>
    </xf>
    <xf numFmtId="0" fontId="21" fillId="3" borderId="0" xfId="2" applyFont="1" applyFill="1" applyAlignment="1">
      <alignment horizontal="center" vertical="center"/>
    </xf>
    <xf numFmtId="14" fontId="21" fillId="3" borderId="0" xfId="2" applyNumberFormat="1" applyFont="1" applyFill="1" applyAlignment="1">
      <alignment horizontal="center" vertical="center"/>
    </xf>
    <xf numFmtId="0" fontId="21" fillId="3" borderId="0" xfId="2" applyFont="1" applyFill="1" applyAlignment="1">
      <alignment horizontal="right" vertical="center"/>
    </xf>
    <xf numFmtId="49" fontId="21" fillId="0" borderId="0" xfId="2" applyNumberFormat="1" applyFont="1" applyAlignment="1">
      <alignment horizontal="center" vertical="center"/>
    </xf>
    <xf numFmtId="14" fontId="21" fillId="0" borderId="0" xfId="2" applyNumberFormat="1" applyFont="1" applyAlignment="1">
      <alignment horizontal="left" vertical="center"/>
    </xf>
    <xf numFmtId="167" fontId="21" fillId="0" borderId="0" xfId="2" applyNumberFormat="1" applyFont="1" applyAlignment="1">
      <alignment horizontal="right" vertical="center"/>
    </xf>
    <xf numFmtId="165" fontId="21" fillId="0" borderId="0" xfId="1" applyFont="1" applyFill="1" applyBorder="1" applyAlignment="1">
      <alignment horizontal="center" vertical="center"/>
    </xf>
    <xf numFmtId="49" fontId="21" fillId="0" borderId="0" xfId="2" applyNumberFormat="1" applyFont="1" applyAlignment="1">
      <alignment horizontal="right" vertical="center"/>
    </xf>
    <xf numFmtId="0" fontId="21" fillId="3" borderId="0" xfId="0" applyFont="1" applyFill="1" applyAlignment="1">
      <alignment horizontal="center" vertical="center" wrapText="1"/>
    </xf>
    <xf numFmtId="167" fontId="21" fillId="3" borderId="0" xfId="2" applyNumberFormat="1" applyFont="1" applyFill="1" applyAlignment="1">
      <alignment horizontal="left" vertical="center"/>
    </xf>
    <xf numFmtId="166" fontId="21" fillId="3" borderId="0" xfId="1" applyNumberFormat="1" applyFont="1" applyFill="1" applyBorder="1" applyAlignment="1">
      <alignment horizontal="left" vertical="center"/>
    </xf>
    <xf numFmtId="167" fontId="21" fillId="0" borderId="0" xfId="2" applyNumberFormat="1" applyFont="1" applyAlignment="1">
      <alignment horizontal="left" vertical="center"/>
    </xf>
    <xf numFmtId="166" fontId="21" fillId="0" borderId="0" xfId="1" applyNumberFormat="1" applyFont="1" applyFill="1" applyBorder="1" applyAlignment="1">
      <alignment horizontal="left" vertical="center"/>
    </xf>
    <xf numFmtId="167" fontId="21" fillId="0" borderId="0" xfId="2" applyNumberFormat="1" applyFont="1" applyAlignment="1">
      <alignment horizontal="left" vertical="center" wrapText="1"/>
    </xf>
    <xf numFmtId="49" fontId="21" fillId="3" borderId="0" xfId="2" applyNumberFormat="1" applyFont="1" applyFill="1" applyAlignment="1">
      <alignment horizontal="center" vertical="center"/>
    </xf>
    <xf numFmtId="166" fontId="21" fillId="3" borderId="0" xfId="1" applyNumberFormat="1" applyFont="1" applyFill="1" applyAlignment="1">
      <alignment horizontal="left" vertical="center"/>
    </xf>
    <xf numFmtId="49" fontId="21" fillId="3" borderId="0" xfId="2" applyNumberFormat="1" applyFont="1" applyFill="1" applyAlignment="1">
      <alignment horizontal="left" vertical="center"/>
    </xf>
    <xf numFmtId="0" fontId="40" fillId="0" borderId="0" xfId="0" applyFont="1" applyAlignment="1">
      <alignment horizontal="center" vertical="center" wrapText="1"/>
    </xf>
    <xf numFmtId="14" fontId="40" fillId="0" borderId="0" xfId="0" applyNumberFormat="1" applyFont="1" applyAlignment="1">
      <alignment horizontal="left" vertical="center" wrapText="1"/>
    </xf>
    <xf numFmtId="0" fontId="40" fillId="0" borderId="0" xfId="0" applyFont="1" applyAlignment="1">
      <alignment horizontal="left" wrapText="1"/>
    </xf>
    <xf numFmtId="0" fontId="40" fillId="0" borderId="0" xfId="0" applyFont="1" applyAlignment="1">
      <alignment horizontal="center" wrapText="1"/>
    </xf>
    <xf numFmtId="0" fontId="41" fillId="0" borderId="0" xfId="0" applyFont="1"/>
    <xf numFmtId="0" fontId="40" fillId="0" borderId="0" xfId="0" applyFont="1"/>
    <xf numFmtId="0" fontId="42" fillId="0" borderId="0" xfId="0" applyFont="1"/>
    <xf numFmtId="0" fontId="23" fillId="2" borderId="1" xfId="0" applyFont="1" applyFill="1" applyBorder="1" applyAlignment="1">
      <alignment vertical="center" wrapText="1"/>
    </xf>
    <xf numFmtId="0" fontId="23" fillId="2" borderId="1" xfId="0" applyFont="1" applyFill="1" applyBorder="1" applyAlignment="1">
      <alignment horizontal="center" vertical="center" wrapText="1"/>
    </xf>
    <xf numFmtId="0" fontId="43" fillId="0" borderId="0" xfId="0" applyFont="1"/>
    <xf numFmtId="0" fontId="44" fillId="0" borderId="0" xfId="0" applyFont="1"/>
    <xf numFmtId="0" fontId="45" fillId="0" borderId="0" xfId="0" applyFont="1"/>
    <xf numFmtId="0" fontId="46" fillId="3" borderId="0" xfId="0" applyFont="1" applyFill="1" applyAlignment="1">
      <alignment vertical="center"/>
    </xf>
    <xf numFmtId="0" fontId="46" fillId="0" borderId="0" xfId="0" applyFont="1" applyAlignment="1">
      <alignment vertical="center" wrapText="1"/>
    </xf>
    <xf numFmtId="0" fontId="46" fillId="0" borderId="0" xfId="0" applyFont="1" applyAlignment="1">
      <alignment vertical="center"/>
    </xf>
    <xf numFmtId="0" fontId="46" fillId="3" borderId="0" xfId="0" applyFont="1" applyFill="1" applyAlignment="1">
      <alignment vertical="center" wrapText="1"/>
    </xf>
    <xf numFmtId="0" fontId="41" fillId="0" borderId="0" xfId="0" applyFont="1" applyAlignment="1">
      <alignment vertical="center"/>
    </xf>
    <xf numFmtId="0" fontId="40" fillId="0" borderId="0" xfId="0" applyFont="1" applyAlignment="1">
      <alignment vertical="center"/>
    </xf>
    <xf numFmtId="0" fontId="39" fillId="0" borderId="0" xfId="0" applyFont="1" applyAlignment="1">
      <alignment vertical="center"/>
    </xf>
    <xf numFmtId="0" fontId="43" fillId="0" borderId="0" xfId="0" applyFont="1" applyAlignment="1">
      <alignment vertical="center"/>
    </xf>
    <xf numFmtId="0" fontId="47" fillId="0" borderId="0" xfId="0" applyFont="1" applyAlignment="1">
      <alignment vertical="center"/>
    </xf>
    <xf numFmtId="0" fontId="48" fillId="0" borderId="0" xfId="0" applyFont="1" applyAlignment="1">
      <alignment vertical="center"/>
    </xf>
    <xf numFmtId="0" fontId="40" fillId="0" borderId="0" xfId="0" applyFont="1" applyAlignment="1">
      <alignment horizontal="center" vertical="center"/>
    </xf>
    <xf numFmtId="0" fontId="46" fillId="3" borderId="0" xfId="0" applyFont="1" applyFill="1" applyAlignment="1">
      <alignment horizontal="left" vertical="center" wrapText="1"/>
    </xf>
    <xf numFmtId="0" fontId="40" fillId="0" borderId="0" xfId="0" applyFont="1" applyAlignment="1">
      <alignment vertical="center" wrapText="1"/>
    </xf>
    <xf numFmtId="0" fontId="40" fillId="0" borderId="0" xfId="0" applyFont="1" applyAlignment="1">
      <alignment horizontal="left" vertical="center"/>
    </xf>
    <xf numFmtId="0" fontId="43" fillId="0" borderId="0" xfId="0" applyFont="1" applyAlignment="1">
      <alignment horizontal="center" vertical="center"/>
    </xf>
    <xf numFmtId="0" fontId="49" fillId="0" borderId="0" xfId="0" applyFont="1" applyAlignment="1">
      <alignment horizontal="center" vertical="center"/>
    </xf>
    <xf numFmtId="0" fontId="49" fillId="0" borderId="0" xfId="0" applyFont="1" applyAlignment="1">
      <alignment horizontal="left" vertical="center"/>
    </xf>
    <xf numFmtId="14" fontId="40" fillId="0" borderId="0" xfId="0" applyNumberFormat="1" applyFont="1" applyAlignment="1">
      <alignment vertical="center"/>
    </xf>
    <xf numFmtId="0" fontId="50" fillId="3" borderId="0" xfId="0" applyFont="1" applyFill="1" applyAlignment="1">
      <alignment vertical="center"/>
    </xf>
    <xf numFmtId="165" fontId="24" fillId="2" borderId="0" xfId="1" applyFont="1" applyFill="1" applyBorder="1" applyAlignment="1">
      <alignment horizontal="center" vertical="center" wrapText="1"/>
    </xf>
    <xf numFmtId="0" fontId="50" fillId="9" borderId="0" xfId="0" applyFont="1" applyFill="1" applyAlignment="1">
      <alignment vertical="center"/>
    </xf>
    <xf numFmtId="0" fontId="21" fillId="3" borderId="0" xfId="0" applyFont="1" applyFill="1" applyAlignment="1">
      <alignment vertical="center"/>
    </xf>
    <xf numFmtId="0" fontId="21" fillId="9" borderId="0" xfId="0" applyFont="1" applyFill="1" applyAlignment="1">
      <alignment vertical="center"/>
    </xf>
    <xf numFmtId="165" fontId="21" fillId="9" borderId="0" xfId="1" applyFont="1" applyFill="1" applyBorder="1" applyAlignment="1">
      <alignment vertical="center"/>
    </xf>
    <xf numFmtId="168" fontId="23" fillId="2" borderId="1" xfId="1" applyNumberFormat="1" applyFont="1" applyFill="1" applyBorder="1" applyAlignment="1">
      <alignment vertical="center" wrapText="1"/>
    </xf>
    <xf numFmtId="14" fontId="23" fillId="2" borderId="1" xfId="0" applyNumberFormat="1" applyFont="1" applyFill="1" applyBorder="1" applyAlignment="1">
      <alignment vertical="center" wrapText="1"/>
    </xf>
    <xf numFmtId="0" fontId="23" fillId="2" borderId="1" xfId="0" applyFont="1" applyFill="1" applyBorder="1" applyAlignment="1">
      <alignment horizontal="left" vertical="center" wrapText="1"/>
    </xf>
    <xf numFmtId="0" fontId="40" fillId="3" borderId="0" xfId="0" applyFont="1" applyFill="1" applyAlignment="1">
      <alignment vertical="center"/>
    </xf>
    <xf numFmtId="165" fontId="40" fillId="3" borderId="0" xfId="1" applyFont="1" applyFill="1" applyAlignment="1">
      <alignment vertical="center"/>
    </xf>
    <xf numFmtId="14" fontId="40" fillId="3" borderId="0" xfId="0" applyNumberFormat="1" applyFont="1" applyFill="1" applyAlignment="1">
      <alignment vertical="center"/>
    </xf>
    <xf numFmtId="0" fontId="40" fillId="3" borderId="0" xfId="0" applyFont="1" applyFill="1" applyAlignment="1">
      <alignment horizontal="left" vertical="center"/>
    </xf>
    <xf numFmtId="0" fontId="40" fillId="9" borderId="0" xfId="0" applyFont="1" applyFill="1" applyAlignment="1">
      <alignment vertical="center"/>
    </xf>
    <xf numFmtId="165" fontId="40" fillId="9" borderId="0" xfId="1" applyFont="1" applyFill="1" applyAlignment="1">
      <alignment vertical="center"/>
    </xf>
    <xf numFmtId="14" fontId="40" fillId="9" borderId="0" xfId="0" applyNumberFormat="1" applyFont="1" applyFill="1" applyAlignment="1">
      <alignment vertical="center"/>
    </xf>
    <xf numFmtId="0" fontId="40" fillId="9" borderId="0" xfId="0" applyFont="1" applyFill="1" applyAlignment="1">
      <alignment horizontal="left" vertical="center"/>
    </xf>
    <xf numFmtId="0" fontId="41" fillId="15" borderId="12" xfId="0" applyFont="1" applyFill="1" applyBorder="1" applyAlignment="1">
      <alignment horizontal="center" vertical="center"/>
    </xf>
    <xf numFmtId="0" fontId="24" fillId="2" borderId="0" xfId="0" applyFont="1" applyFill="1" applyAlignment="1">
      <alignment horizontal="left" vertical="center" wrapText="1"/>
    </xf>
    <xf numFmtId="0" fontId="24" fillId="2" borderId="0" xfId="0" applyFont="1" applyFill="1" applyAlignment="1">
      <alignment vertical="center" wrapText="1"/>
    </xf>
    <xf numFmtId="14" fontId="24" fillId="2" borderId="0" xfId="0" applyNumberFormat="1" applyFont="1" applyFill="1" applyAlignment="1">
      <alignment horizontal="center" vertical="center" wrapText="1"/>
    </xf>
    <xf numFmtId="165" fontId="40" fillId="3" borderId="0" xfId="1" applyFont="1" applyFill="1" applyBorder="1" applyAlignment="1">
      <alignment horizontal="left" vertical="center"/>
    </xf>
    <xf numFmtId="14" fontId="40" fillId="3" borderId="0" xfId="0" applyNumberFormat="1" applyFont="1" applyFill="1" applyAlignment="1">
      <alignment horizontal="left" vertical="center"/>
    </xf>
    <xf numFmtId="165" fontId="40" fillId="9" borderId="0" xfId="1" applyFont="1" applyFill="1" applyBorder="1" applyAlignment="1">
      <alignment horizontal="left" vertical="center"/>
    </xf>
    <xf numFmtId="14" fontId="40" fillId="9" borderId="0" xfId="0" applyNumberFormat="1" applyFont="1" applyFill="1" applyAlignment="1">
      <alignment horizontal="left" vertical="center"/>
    </xf>
    <xf numFmtId="0" fontId="52" fillId="5" borderId="3" xfId="0" applyFont="1" applyFill="1" applyBorder="1" applyAlignment="1">
      <alignment horizontal="center" vertical="center"/>
    </xf>
    <xf numFmtId="0" fontId="52" fillId="5" borderId="5" xfId="0" applyFont="1" applyFill="1" applyBorder="1" applyAlignment="1">
      <alignment horizontal="center" vertical="center"/>
    </xf>
    <xf numFmtId="0" fontId="52" fillId="5" borderId="6" xfId="0" applyFont="1" applyFill="1" applyBorder="1" applyAlignment="1">
      <alignment horizontal="center" vertical="center"/>
    </xf>
    <xf numFmtId="0" fontId="52" fillId="5" borderId="7" xfId="0" applyFont="1" applyFill="1" applyBorder="1" applyAlignment="1">
      <alignment horizontal="center" vertical="center"/>
    </xf>
    <xf numFmtId="0" fontId="52" fillId="5" borderId="4" xfId="0" applyFont="1" applyFill="1" applyBorder="1" applyAlignment="1">
      <alignment horizontal="center" vertical="center" wrapText="1"/>
    </xf>
    <xf numFmtId="0" fontId="23" fillId="2" borderId="0" xfId="0" applyFont="1" applyFill="1" applyAlignment="1">
      <alignment vertical="center" wrapText="1"/>
    </xf>
    <xf numFmtId="168" fontId="24" fillId="2" borderId="0" xfId="1" applyNumberFormat="1" applyFont="1" applyFill="1" applyBorder="1" applyAlignment="1">
      <alignment vertical="center" wrapText="1"/>
    </xf>
    <xf numFmtId="14" fontId="23" fillId="2" borderId="0" xfId="0" applyNumberFormat="1" applyFont="1" applyFill="1" applyAlignment="1">
      <alignment vertical="center" wrapText="1"/>
    </xf>
    <xf numFmtId="49" fontId="40" fillId="3" borderId="0" xfId="0" applyNumberFormat="1" applyFont="1" applyFill="1" applyAlignment="1">
      <alignment horizontal="left" vertical="center"/>
    </xf>
    <xf numFmtId="165" fontId="40" fillId="3" borderId="0" xfId="1" applyFont="1" applyFill="1" applyBorder="1" applyAlignment="1">
      <alignment vertical="center"/>
    </xf>
    <xf numFmtId="169" fontId="40" fillId="3" borderId="0" xfId="0" applyNumberFormat="1" applyFont="1" applyFill="1" applyAlignment="1">
      <alignment vertical="center"/>
    </xf>
    <xf numFmtId="49" fontId="40" fillId="9" borderId="0" xfId="0" applyNumberFormat="1" applyFont="1" applyFill="1" applyAlignment="1">
      <alignment horizontal="left" vertical="center"/>
    </xf>
    <xf numFmtId="169" fontId="40" fillId="9" borderId="0" xfId="0" applyNumberFormat="1" applyFont="1" applyFill="1" applyAlignment="1">
      <alignment vertical="center"/>
    </xf>
    <xf numFmtId="165" fontId="40" fillId="9" borderId="0" xfId="1" applyFont="1" applyFill="1" applyBorder="1" applyAlignment="1">
      <alignment vertical="center"/>
    </xf>
    <xf numFmtId="0" fontId="24" fillId="14" borderId="0" xfId="0" applyFont="1" applyFill="1" applyAlignment="1">
      <alignment vertical="center"/>
    </xf>
    <xf numFmtId="165" fontId="24" fillId="14" borderId="0" xfId="0" applyNumberFormat="1" applyFont="1" applyFill="1" applyAlignment="1">
      <alignment vertical="center"/>
    </xf>
    <xf numFmtId="169" fontId="24" fillId="14" borderId="0" xfId="0" applyNumberFormat="1" applyFont="1" applyFill="1" applyAlignment="1">
      <alignment vertical="center"/>
    </xf>
    <xf numFmtId="0" fontId="53" fillId="0" borderId="0" xfId="0" applyFont="1" applyAlignment="1">
      <alignment vertical="center"/>
    </xf>
    <xf numFmtId="0" fontId="40" fillId="13" borderId="0" xfId="0" applyFont="1" applyFill="1" applyAlignment="1">
      <alignment vertical="center"/>
    </xf>
    <xf numFmtId="0" fontId="54" fillId="0" borderId="0" xfId="0" applyFont="1" applyAlignment="1">
      <alignment vertical="center"/>
    </xf>
    <xf numFmtId="0" fontId="55" fillId="0" borderId="0" xfId="0" applyFont="1" applyAlignment="1">
      <alignment vertical="center"/>
    </xf>
    <xf numFmtId="168" fontId="40" fillId="0" borderId="0" xfId="1" applyNumberFormat="1" applyFont="1"/>
    <xf numFmtId="14" fontId="40" fillId="0" borderId="0" xfId="0" applyNumberFormat="1" applyFont="1"/>
    <xf numFmtId="0" fontId="40" fillId="0" borderId="0" xfId="0" applyFont="1" applyAlignment="1">
      <alignment horizontal="center"/>
    </xf>
    <xf numFmtId="168" fontId="43" fillId="0" borderId="0" xfId="1" applyNumberFormat="1" applyFont="1"/>
    <xf numFmtId="14" fontId="43" fillId="0" borderId="0" xfId="0" applyNumberFormat="1" applyFont="1"/>
    <xf numFmtId="0" fontId="48" fillId="0" borderId="0" xfId="0" applyFont="1" applyAlignment="1">
      <alignment horizontal="left"/>
    </xf>
    <xf numFmtId="0" fontId="54" fillId="0" borderId="0" xfId="0" applyFont="1"/>
    <xf numFmtId="168" fontId="54" fillId="0" borderId="0" xfId="1" applyNumberFormat="1" applyFont="1"/>
    <xf numFmtId="14" fontId="54" fillId="0" borderId="0" xfId="0" applyNumberFormat="1" applyFont="1"/>
    <xf numFmtId="168" fontId="40" fillId="0" borderId="0" xfId="1" applyNumberFormat="1" applyFont="1" applyAlignment="1">
      <alignment vertical="center"/>
    </xf>
    <xf numFmtId="168" fontId="43" fillId="0" borderId="0" xfId="1" applyNumberFormat="1" applyFont="1" applyAlignment="1">
      <alignment vertical="center"/>
    </xf>
    <xf numFmtId="14" fontId="43" fillId="0" borderId="0" xfId="0" applyNumberFormat="1" applyFont="1" applyAlignment="1">
      <alignment vertical="center"/>
    </xf>
    <xf numFmtId="0" fontId="48" fillId="0" borderId="0" xfId="0" applyFont="1" applyAlignment="1">
      <alignment horizontal="left" vertical="center"/>
    </xf>
    <xf numFmtId="166" fontId="24" fillId="14" borderId="0" xfId="0" applyNumberFormat="1" applyFont="1" applyFill="1" applyAlignment="1">
      <alignment vertical="center"/>
    </xf>
    <xf numFmtId="0" fontId="56" fillId="2" borderId="0" xfId="0" applyFont="1" applyFill="1" applyAlignment="1">
      <alignment horizontal="left" vertical="center" wrapText="1"/>
    </xf>
    <xf numFmtId="0" fontId="56" fillId="2" borderId="0" xfId="0" applyFont="1" applyFill="1" applyAlignment="1">
      <alignment vertical="center" wrapText="1"/>
    </xf>
    <xf numFmtId="0" fontId="56" fillId="2" borderId="1" xfId="0" applyFont="1" applyFill="1" applyBorder="1" applyAlignment="1">
      <alignment vertical="center" wrapText="1"/>
    </xf>
    <xf numFmtId="0" fontId="56" fillId="2" borderId="25" xfId="0" applyFont="1" applyFill="1" applyBorder="1" applyAlignment="1">
      <alignment horizontal="center" vertical="center" wrapText="1"/>
    </xf>
    <xf numFmtId="166" fontId="56" fillId="2" borderId="25" xfId="6" applyNumberFormat="1" applyFont="1" applyFill="1" applyBorder="1" applyAlignment="1">
      <alignment vertical="center" wrapText="1"/>
    </xf>
    <xf numFmtId="166" fontId="56" fillId="2" borderId="34" xfId="6" applyNumberFormat="1" applyFont="1" applyFill="1" applyBorder="1" applyAlignment="1">
      <alignment vertical="center" wrapText="1"/>
    </xf>
    <xf numFmtId="167" fontId="21" fillId="0" borderId="12" xfId="2" applyNumberFormat="1" applyFont="1" applyBorder="1" applyAlignment="1">
      <alignment vertical="center" wrapText="1"/>
    </xf>
    <xf numFmtId="0" fontId="21" fillId="0" borderId="12" xfId="2" applyFont="1" applyBorder="1" applyAlignment="1">
      <alignment horizontal="left" vertical="center" wrapText="1"/>
    </xf>
    <xf numFmtId="0" fontId="21" fillId="0" borderId="10" xfId="2" applyFont="1" applyBorder="1" applyAlignment="1">
      <alignment horizontal="left" vertical="center" wrapText="1"/>
    </xf>
    <xf numFmtId="0" fontId="22" fillId="14" borderId="32" xfId="2" applyFont="1" applyFill="1" applyBorder="1" applyAlignment="1">
      <alignment horizontal="left" vertical="center"/>
    </xf>
    <xf numFmtId="167" fontId="21" fillId="3" borderId="12" xfId="2" applyNumberFormat="1" applyFont="1" applyFill="1" applyBorder="1" applyAlignment="1">
      <alignment vertical="center" wrapText="1"/>
    </xf>
    <xf numFmtId="0" fontId="21" fillId="3" borderId="12" xfId="2" applyFont="1" applyFill="1" applyBorder="1" applyAlignment="1">
      <alignment horizontal="left" vertical="center" wrapText="1"/>
    </xf>
    <xf numFmtId="0" fontId="21" fillId="3" borderId="10" xfId="2" applyFont="1" applyFill="1" applyBorder="1" applyAlignment="1">
      <alignment horizontal="left" vertical="center" wrapText="1"/>
    </xf>
    <xf numFmtId="0" fontId="21" fillId="3" borderId="11" xfId="2" applyFont="1" applyFill="1" applyBorder="1" applyAlignment="1">
      <alignment horizontal="left" vertical="center" wrapText="1"/>
    </xf>
    <xf numFmtId="0" fontId="21" fillId="3" borderId="12" xfId="2" applyFont="1" applyFill="1" applyBorder="1" applyAlignment="1">
      <alignment horizontal="left" vertical="center"/>
    </xf>
    <xf numFmtId="0" fontId="21" fillId="0" borderId="11" xfId="2" applyFont="1" applyBorder="1" applyAlignment="1">
      <alignment horizontal="left" vertical="center"/>
    </xf>
    <xf numFmtId="0" fontId="21" fillId="0" borderId="12" xfId="2" applyFont="1" applyBorder="1" applyAlignment="1">
      <alignment horizontal="left" vertical="center"/>
    </xf>
    <xf numFmtId="167" fontId="21" fillId="3" borderId="10" xfId="2" applyNumberFormat="1" applyFont="1" applyFill="1" applyBorder="1" applyAlignment="1">
      <alignment vertical="center" wrapText="1"/>
    </xf>
    <xf numFmtId="167" fontId="22" fillId="14" borderId="32" xfId="2" applyNumberFormat="1" applyFont="1" applyFill="1" applyBorder="1" applyAlignment="1">
      <alignment vertical="center" wrapText="1"/>
    </xf>
    <xf numFmtId="167" fontId="21" fillId="3" borderId="14" xfId="2" applyNumberFormat="1" applyFont="1" applyFill="1" applyBorder="1" applyAlignment="1">
      <alignment vertical="center" wrapText="1"/>
    </xf>
    <xf numFmtId="0" fontId="21" fillId="3" borderId="11" xfId="2" applyFont="1" applyFill="1" applyBorder="1" applyAlignment="1">
      <alignment horizontal="left" vertical="center"/>
    </xf>
    <xf numFmtId="167" fontId="21" fillId="0" borderId="12" xfId="2" applyNumberFormat="1" applyFont="1" applyBorder="1" applyAlignment="1">
      <alignment wrapText="1"/>
    </xf>
    <xf numFmtId="167" fontId="21" fillId="0" borderId="10" xfId="2" applyNumberFormat="1" applyFont="1" applyBorder="1" applyAlignment="1">
      <alignment wrapText="1"/>
    </xf>
    <xf numFmtId="167" fontId="22" fillId="14" borderId="32" xfId="2" applyNumberFormat="1" applyFont="1" applyFill="1" applyBorder="1" applyAlignment="1">
      <alignment wrapText="1"/>
    </xf>
    <xf numFmtId="167" fontId="21" fillId="0" borderId="11" xfId="2" applyNumberFormat="1" applyFont="1" applyBorder="1" applyAlignment="1">
      <alignment wrapText="1"/>
    </xf>
    <xf numFmtId="167" fontId="21" fillId="3" borderId="12" xfId="2" applyNumberFormat="1" applyFont="1" applyFill="1" applyBorder="1" applyAlignment="1">
      <alignment wrapText="1"/>
    </xf>
    <xf numFmtId="167" fontId="21" fillId="3" borderId="10" xfId="2" applyNumberFormat="1" applyFont="1" applyFill="1" applyBorder="1" applyAlignment="1">
      <alignment wrapText="1"/>
    </xf>
    <xf numFmtId="167" fontId="21" fillId="3" borderId="11" xfId="2" applyNumberFormat="1" applyFont="1" applyFill="1" applyBorder="1" applyAlignment="1">
      <alignment vertical="center" wrapText="1"/>
    </xf>
    <xf numFmtId="0" fontId="56" fillId="2" borderId="1" xfId="0" applyFont="1" applyFill="1" applyBorder="1" applyAlignment="1">
      <alignment horizontal="center" vertical="center" wrapText="1"/>
    </xf>
    <xf numFmtId="166" fontId="56" fillId="2" borderId="25" xfId="6" applyNumberFormat="1" applyFont="1" applyFill="1" applyBorder="1" applyAlignment="1">
      <alignment horizontal="center" vertical="center" wrapText="1"/>
    </xf>
    <xf numFmtId="0" fontId="21" fillId="3" borderId="12" xfId="0" applyFont="1" applyFill="1" applyBorder="1" applyAlignment="1">
      <alignment horizontal="left" vertical="center"/>
    </xf>
    <xf numFmtId="167" fontId="21" fillId="3" borderId="12" xfId="2" applyNumberFormat="1" applyFont="1" applyFill="1" applyBorder="1" applyAlignment="1">
      <alignment vertical="center"/>
    </xf>
    <xf numFmtId="0" fontId="21" fillId="3" borderId="10" xfId="0" applyFont="1" applyFill="1" applyBorder="1" applyAlignment="1">
      <alignment horizontal="left" vertical="center"/>
    </xf>
    <xf numFmtId="167" fontId="21" fillId="3" borderId="10" xfId="2" applyNumberFormat="1" applyFont="1" applyFill="1" applyBorder="1" applyAlignment="1">
      <alignment vertical="center"/>
    </xf>
    <xf numFmtId="0" fontId="22" fillId="14" borderId="32" xfId="0" applyFont="1" applyFill="1" applyBorder="1" applyAlignment="1">
      <alignment horizontal="left" vertical="center"/>
    </xf>
    <xf numFmtId="167" fontId="22" fillId="14" borderId="32" xfId="2" applyNumberFormat="1" applyFont="1" applyFill="1" applyBorder="1" applyAlignment="1">
      <alignment vertical="center"/>
    </xf>
    <xf numFmtId="0" fontId="21" fillId="3" borderId="11" xfId="0" applyFont="1" applyFill="1" applyBorder="1" applyAlignment="1">
      <alignment horizontal="left" vertical="center"/>
    </xf>
    <xf numFmtId="167" fontId="21" fillId="3" borderId="11" xfId="2" applyNumberFormat="1" applyFont="1" applyFill="1" applyBorder="1" applyAlignment="1">
      <alignment vertical="center"/>
    </xf>
    <xf numFmtId="0" fontId="21" fillId="0" borderId="12" xfId="0" applyFont="1" applyBorder="1" applyAlignment="1">
      <alignment horizontal="left" vertical="center"/>
    </xf>
    <xf numFmtId="0" fontId="21" fillId="0" borderId="12" xfId="2" applyFont="1" applyBorder="1" applyAlignment="1">
      <alignment vertical="center" wrapText="1"/>
    </xf>
    <xf numFmtId="0" fontId="21" fillId="0" borderId="10" xfId="0" applyFont="1" applyBorder="1" applyAlignment="1">
      <alignment horizontal="left" vertical="center"/>
    </xf>
    <xf numFmtId="0" fontId="21" fillId="0" borderId="10" xfId="2" applyFont="1" applyBorder="1" applyAlignment="1">
      <alignment vertical="center" wrapText="1"/>
    </xf>
    <xf numFmtId="0" fontId="22" fillId="14" borderId="32" xfId="2" applyFont="1" applyFill="1" applyBorder="1" applyAlignment="1">
      <alignment vertical="center" wrapText="1"/>
    </xf>
    <xf numFmtId="0" fontId="21" fillId="0" borderId="11" xfId="0" applyFont="1" applyBorder="1" applyAlignment="1">
      <alignment horizontal="left" vertical="center"/>
    </xf>
    <xf numFmtId="0" fontId="21" fillId="0" borderId="11" xfId="2" applyFont="1" applyBorder="1" applyAlignment="1">
      <alignment vertical="center" wrapText="1"/>
    </xf>
    <xf numFmtId="167" fontId="21" fillId="0" borderId="10" xfId="2" applyNumberFormat="1" applyFont="1" applyBorder="1" applyAlignment="1">
      <alignment vertical="center" wrapText="1"/>
    </xf>
    <xf numFmtId="167" fontId="21" fillId="0" borderId="11" xfId="2" applyNumberFormat="1" applyFont="1" applyBorder="1" applyAlignment="1">
      <alignment vertical="center" wrapText="1"/>
    </xf>
    <xf numFmtId="0" fontId="21" fillId="3" borderId="14" xfId="0" applyFont="1" applyFill="1" applyBorder="1" applyAlignment="1">
      <alignment horizontal="left" vertical="center"/>
    </xf>
    <xf numFmtId="0" fontId="21" fillId="0" borderId="12" xfId="0" applyFont="1" applyBorder="1" applyAlignment="1">
      <alignment horizontal="left"/>
    </xf>
    <xf numFmtId="0" fontId="21" fillId="0" borderId="10" xfId="0" applyFont="1" applyBorder="1" applyAlignment="1">
      <alignment horizontal="left"/>
    </xf>
    <xf numFmtId="0" fontId="22" fillId="14" borderId="32" xfId="0" applyFont="1" applyFill="1" applyBorder="1" applyAlignment="1">
      <alignment horizontal="left"/>
    </xf>
    <xf numFmtId="0" fontId="21" fillId="0" borderId="11" xfId="0" applyFont="1" applyBorder="1" applyAlignment="1">
      <alignment horizontal="left"/>
    </xf>
    <xf numFmtId="0" fontId="21" fillId="3" borderId="12" xfId="0" applyFont="1" applyFill="1" applyBorder="1" applyAlignment="1">
      <alignment horizontal="left"/>
    </xf>
    <xf numFmtId="0" fontId="21" fillId="3" borderId="10" xfId="0" applyFont="1" applyFill="1" applyBorder="1" applyAlignment="1">
      <alignment horizontal="left"/>
    </xf>
    <xf numFmtId="0" fontId="21" fillId="3" borderId="11" xfId="0" applyFont="1" applyFill="1" applyBorder="1" applyAlignment="1">
      <alignment horizontal="left"/>
    </xf>
    <xf numFmtId="167" fontId="21" fillId="3" borderId="11" xfId="2" applyNumberFormat="1" applyFont="1" applyFill="1" applyBorder="1" applyAlignment="1">
      <alignment wrapText="1"/>
    </xf>
    <xf numFmtId="0" fontId="56" fillId="2" borderId="0" xfId="0" applyFont="1" applyFill="1" applyAlignment="1">
      <alignment horizontal="center" vertical="center" wrapText="1"/>
    </xf>
    <xf numFmtId="167" fontId="56" fillId="2" borderId="25" xfId="6" applyNumberFormat="1" applyFont="1" applyFill="1" applyBorder="1" applyAlignment="1">
      <alignment horizontal="center" vertical="center" wrapText="1"/>
    </xf>
    <xf numFmtId="167" fontId="56" fillId="2" borderId="34" xfId="6" applyNumberFormat="1" applyFont="1" applyFill="1" applyBorder="1" applyAlignment="1">
      <alignment horizontal="center" vertical="center" wrapText="1"/>
    </xf>
    <xf numFmtId="0" fontId="23" fillId="2" borderId="25" xfId="0" applyFont="1" applyFill="1" applyBorder="1" applyAlignment="1">
      <alignment horizontal="center" vertical="center" wrapText="1"/>
    </xf>
    <xf numFmtId="166" fontId="23" fillId="2" borderId="25" xfId="6" applyNumberFormat="1" applyFont="1" applyFill="1" applyBorder="1" applyAlignment="1">
      <alignment horizontal="center" vertical="center" wrapText="1"/>
    </xf>
    <xf numFmtId="166" fontId="40" fillId="3" borderId="12" xfId="1" applyNumberFormat="1" applyFont="1" applyFill="1" applyBorder="1" applyAlignment="1">
      <alignment horizontal="center" vertical="center" wrapText="1"/>
    </xf>
    <xf numFmtId="166" fontId="22" fillId="14" borderId="32" xfId="1" applyNumberFormat="1" applyFont="1" applyFill="1" applyBorder="1" applyAlignment="1">
      <alignment horizontal="center" vertical="center"/>
    </xf>
    <xf numFmtId="166" fontId="40" fillId="0" borderId="12" xfId="1" applyNumberFormat="1" applyFont="1" applyBorder="1" applyAlignment="1">
      <alignment horizontal="center" vertical="center" wrapText="1"/>
    </xf>
    <xf numFmtId="166" fontId="40" fillId="0" borderId="10" xfId="1" applyNumberFormat="1" applyFont="1" applyBorder="1" applyAlignment="1">
      <alignment horizontal="center" vertical="center" wrapText="1"/>
    </xf>
    <xf numFmtId="166" fontId="41" fillId="14" borderId="32" xfId="1" applyNumberFormat="1" applyFont="1" applyFill="1" applyBorder="1" applyAlignment="1">
      <alignment horizontal="center" vertical="center" wrapText="1"/>
    </xf>
    <xf numFmtId="166" fontId="40" fillId="0" borderId="11" xfId="1" applyNumberFormat="1" applyFont="1" applyBorder="1" applyAlignment="1">
      <alignment horizontal="center" vertical="center" wrapText="1"/>
    </xf>
    <xf numFmtId="166" fontId="40" fillId="3" borderId="10" xfId="1" applyNumberFormat="1" applyFont="1" applyFill="1" applyBorder="1" applyAlignment="1">
      <alignment horizontal="center" vertical="center" wrapText="1"/>
    </xf>
    <xf numFmtId="166" fontId="40" fillId="3" borderId="11" xfId="1" applyNumberFormat="1" applyFont="1" applyFill="1" applyBorder="1" applyAlignment="1">
      <alignment horizontal="center" vertical="center" wrapText="1"/>
    </xf>
    <xf numFmtId="166" fontId="40" fillId="0" borderId="12" xfId="1" applyNumberFormat="1" applyFont="1" applyFill="1" applyBorder="1" applyAlignment="1">
      <alignment horizontal="center" vertical="center"/>
    </xf>
    <xf numFmtId="166" fontId="40" fillId="0" borderId="10" xfId="1" applyNumberFormat="1" applyFont="1" applyFill="1" applyBorder="1" applyAlignment="1">
      <alignment horizontal="center"/>
    </xf>
    <xf numFmtId="166" fontId="40" fillId="0" borderId="10" xfId="1" applyNumberFormat="1" applyFont="1" applyFill="1" applyBorder="1" applyAlignment="1">
      <alignment horizontal="center" vertical="center"/>
    </xf>
    <xf numFmtId="166" fontId="41" fillId="14" borderId="32" xfId="1" applyNumberFormat="1" applyFont="1" applyFill="1" applyBorder="1" applyAlignment="1">
      <alignment horizontal="center" wrapText="1"/>
    </xf>
    <xf numFmtId="166" fontId="40" fillId="0" borderId="11" xfId="1" applyNumberFormat="1" applyFont="1" applyFill="1" applyBorder="1" applyAlignment="1">
      <alignment horizontal="center" vertical="center"/>
    </xf>
    <xf numFmtId="166" fontId="22" fillId="14" borderId="32" xfId="1" applyNumberFormat="1" applyFont="1" applyFill="1" applyBorder="1" applyAlignment="1">
      <alignment horizontal="left" vertical="center"/>
    </xf>
    <xf numFmtId="166" fontId="40" fillId="0" borderId="10" xfId="1" applyNumberFormat="1" applyFont="1" applyFill="1" applyBorder="1" applyAlignment="1">
      <alignment horizontal="center" vertical="center" wrapText="1"/>
    </xf>
    <xf numFmtId="166" fontId="40" fillId="0" borderId="12" xfId="1" applyNumberFormat="1" applyFont="1" applyBorder="1" applyAlignment="1">
      <alignment horizontal="center" vertical="center"/>
    </xf>
    <xf numFmtId="166" fontId="40" fillId="0" borderId="12" xfId="1" applyNumberFormat="1" applyFont="1" applyFill="1" applyBorder="1" applyAlignment="1">
      <alignment horizontal="center" vertical="center" wrapText="1"/>
    </xf>
    <xf numFmtId="166" fontId="40" fillId="0" borderId="0" xfId="1" applyNumberFormat="1" applyFont="1" applyAlignment="1">
      <alignment horizontal="center" vertical="center"/>
    </xf>
    <xf numFmtId="166" fontId="40" fillId="3" borderId="12" xfId="1" applyNumberFormat="1" applyFont="1" applyFill="1" applyBorder="1" applyAlignment="1">
      <alignment horizontal="center" vertical="center"/>
    </xf>
    <xf numFmtId="166" fontId="40" fillId="3" borderId="12" xfId="1" applyNumberFormat="1" applyFont="1" applyFill="1" applyBorder="1" applyAlignment="1">
      <alignment horizontal="right" vertical="center"/>
    </xf>
    <xf numFmtId="166" fontId="40" fillId="0" borderId="12" xfId="1" applyNumberFormat="1" applyFont="1" applyFill="1" applyBorder="1" applyAlignment="1">
      <alignment horizontal="right" vertical="center"/>
    </xf>
    <xf numFmtId="166" fontId="40" fillId="3" borderId="15" xfId="1" applyNumberFormat="1" applyFont="1" applyFill="1" applyBorder="1" applyAlignment="1">
      <alignment horizontal="center" vertical="center"/>
    </xf>
    <xf numFmtId="166" fontId="40" fillId="3" borderId="10" xfId="1" applyNumberFormat="1" applyFont="1" applyFill="1" applyBorder="1" applyAlignment="1">
      <alignment horizontal="center" vertical="center"/>
    </xf>
    <xf numFmtId="166" fontId="40" fillId="3" borderId="18" xfId="1" applyNumberFormat="1" applyFont="1" applyFill="1" applyBorder="1" applyAlignment="1">
      <alignment horizontal="center" vertical="center"/>
    </xf>
    <xf numFmtId="166" fontId="41" fillId="14" borderId="32" xfId="1" applyNumberFormat="1" applyFont="1" applyFill="1" applyBorder="1" applyAlignment="1">
      <alignment horizontal="center" vertical="center"/>
    </xf>
    <xf numFmtId="166" fontId="41" fillId="14" borderId="31" xfId="1" applyNumberFormat="1" applyFont="1" applyFill="1" applyBorder="1" applyAlignment="1">
      <alignment horizontal="center" vertical="center"/>
    </xf>
    <xf numFmtId="166" fontId="40" fillId="3" borderId="11" xfId="1" applyNumberFormat="1" applyFont="1" applyFill="1" applyBorder="1" applyAlignment="1">
      <alignment horizontal="center" vertical="center"/>
    </xf>
    <xf numFmtId="166" fontId="40" fillId="3" borderId="20" xfId="1" applyNumberFormat="1" applyFont="1" applyFill="1" applyBorder="1" applyAlignment="1">
      <alignment horizontal="center" vertical="center"/>
    </xf>
    <xf numFmtId="166" fontId="40" fillId="0" borderId="15" xfId="1" applyNumberFormat="1" applyFont="1" applyFill="1" applyBorder="1" applyAlignment="1">
      <alignment horizontal="center" vertical="center"/>
    </xf>
    <xf numFmtId="166" fontId="40" fillId="0" borderId="10" xfId="1" applyNumberFormat="1" applyFont="1" applyBorder="1" applyAlignment="1">
      <alignment horizontal="center" vertical="center"/>
    </xf>
    <xf numFmtId="166" fontId="40" fillId="0" borderId="18" xfId="1" applyNumberFormat="1" applyFont="1" applyFill="1" applyBorder="1" applyAlignment="1">
      <alignment horizontal="center" vertical="center"/>
    </xf>
    <xf numFmtId="166" fontId="40" fillId="0" borderId="11" xfId="1" applyNumberFormat="1" applyFont="1" applyBorder="1" applyAlignment="1">
      <alignment horizontal="center" vertical="center"/>
    </xf>
    <xf numFmtId="166" fontId="40" fillId="0" borderId="20" xfId="1" applyNumberFormat="1" applyFont="1" applyBorder="1" applyAlignment="1">
      <alignment horizontal="center" vertical="center"/>
    </xf>
    <xf numFmtId="166" fontId="40" fillId="3" borderId="15" xfId="1" applyNumberFormat="1" applyFont="1" applyFill="1" applyBorder="1" applyAlignment="1">
      <alignment horizontal="center" vertical="center" wrapText="1"/>
    </xf>
    <xf numFmtId="166" fontId="40" fillId="3" borderId="18" xfId="1" applyNumberFormat="1" applyFont="1" applyFill="1" applyBorder="1" applyAlignment="1">
      <alignment horizontal="center" vertical="center" wrapText="1"/>
    </xf>
    <xf numFmtId="166" fontId="40" fillId="3" borderId="20" xfId="1" applyNumberFormat="1" applyFont="1" applyFill="1" applyBorder="1" applyAlignment="1">
      <alignment horizontal="center" vertical="center" wrapText="1"/>
    </xf>
    <xf numFmtId="166" fontId="40" fillId="0" borderId="0" xfId="1" applyNumberFormat="1" applyFont="1" applyAlignment="1">
      <alignment horizontal="center"/>
    </xf>
    <xf numFmtId="166" fontId="40" fillId="3" borderId="0" xfId="1" applyNumberFormat="1" applyFont="1" applyFill="1" applyBorder="1" applyAlignment="1">
      <alignment horizontal="center" vertical="center" wrapText="1"/>
    </xf>
    <xf numFmtId="166" fontId="40" fillId="0" borderId="12" xfId="1" applyNumberFormat="1" applyFont="1" applyBorder="1" applyAlignment="1">
      <alignment horizontal="center"/>
    </xf>
    <xf numFmtId="166" fontId="40" fillId="0" borderId="12" xfId="1" applyNumberFormat="1" applyFont="1" applyFill="1" applyBorder="1" applyAlignment="1">
      <alignment horizontal="center"/>
    </xf>
    <xf numFmtId="166" fontId="40" fillId="0" borderId="11" xfId="1" applyNumberFormat="1" applyFont="1" applyFill="1" applyBorder="1" applyAlignment="1">
      <alignment horizontal="center" vertical="center" wrapText="1"/>
    </xf>
    <xf numFmtId="0" fontId="24" fillId="2" borderId="47" xfId="0" applyFont="1" applyFill="1" applyBorder="1" applyAlignment="1">
      <alignment horizontal="center" vertical="center" wrapText="1"/>
    </xf>
    <xf numFmtId="0" fontId="40" fillId="3" borderId="0" xfId="0" applyFont="1" applyFill="1" applyAlignment="1">
      <alignment horizontal="left" vertical="center" wrapText="1"/>
    </xf>
    <xf numFmtId="14" fontId="40" fillId="3" borderId="0" xfId="0" applyNumberFormat="1" applyFont="1" applyFill="1" applyAlignment="1">
      <alignment horizontal="left" vertical="center" wrapText="1"/>
    </xf>
    <xf numFmtId="0" fontId="40" fillId="9" borderId="0" xfId="0" applyFont="1" applyFill="1" applyAlignment="1">
      <alignment horizontal="left" vertical="center" wrapText="1"/>
    </xf>
    <xf numFmtId="14" fontId="40" fillId="9" borderId="0" xfId="0" applyNumberFormat="1" applyFont="1" applyFill="1" applyAlignment="1">
      <alignment horizontal="left" vertical="center" wrapText="1"/>
    </xf>
    <xf numFmtId="0" fontId="54" fillId="0" borderId="0" xfId="0" applyFont="1" applyAlignment="1">
      <alignment horizontal="left" vertical="center"/>
    </xf>
    <xf numFmtId="0" fontId="23" fillId="2" borderId="47" xfId="0" applyFont="1" applyFill="1" applyBorder="1" applyAlignment="1">
      <alignment horizontal="center" vertical="center" wrapText="1"/>
    </xf>
    <xf numFmtId="14" fontId="40" fillId="3" borderId="24" xfId="0" applyNumberFormat="1" applyFont="1" applyFill="1" applyBorder="1" applyAlignment="1">
      <alignment vertical="center"/>
    </xf>
    <xf numFmtId="14" fontId="40" fillId="9" borderId="35" xfId="0" applyNumberFormat="1" applyFont="1" applyFill="1" applyBorder="1" applyAlignment="1">
      <alignment vertical="center"/>
    </xf>
    <xf numFmtId="14" fontId="40" fillId="3" borderId="35" xfId="0" applyNumberFormat="1" applyFont="1" applyFill="1" applyBorder="1" applyAlignment="1">
      <alignment vertical="center"/>
    </xf>
    <xf numFmtId="0" fontId="23" fillId="2" borderId="0" xfId="0" applyFont="1" applyFill="1" applyAlignment="1">
      <alignment horizontal="center" vertical="center" wrapText="1"/>
    </xf>
    <xf numFmtId="0" fontId="40" fillId="3" borderId="0" xfId="0" applyFont="1" applyFill="1" applyAlignment="1">
      <alignment vertical="center" wrapText="1"/>
    </xf>
    <xf numFmtId="0" fontId="40" fillId="9" borderId="0" xfId="0" applyFont="1" applyFill="1" applyAlignment="1">
      <alignment vertical="center" wrapText="1"/>
    </xf>
    <xf numFmtId="0" fontId="24" fillId="2" borderId="47" xfId="0" applyFont="1" applyFill="1" applyBorder="1" applyAlignment="1">
      <alignment vertical="center"/>
    </xf>
    <xf numFmtId="0" fontId="23" fillId="2" borderId="56" xfId="0" applyFont="1" applyFill="1" applyBorder="1" applyAlignment="1">
      <alignment vertical="center" wrapText="1"/>
    </xf>
    <xf numFmtId="0" fontId="57" fillId="3" borderId="0" xfId="0" applyFont="1" applyFill="1" applyAlignment="1">
      <alignment vertical="center" wrapText="1"/>
    </xf>
    <xf numFmtId="0" fontId="57" fillId="9" borderId="0" xfId="0" applyFont="1" applyFill="1" applyAlignment="1">
      <alignment vertical="center" wrapText="1"/>
    </xf>
    <xf numFmtId="0" fontId="50" fillId="3" borderId="0" xfId="0" applyFont="1" applyFill="1" applyAlignment="1">
      <alignment vertical="center" wrapText="1"/>
    </xf>
    <xf numFmtId="0" fontId="50" fillId="3" borderId="0" xfId="0" applyFont="1" applyFill="1" applyAlignment="1">
      <alignment horizontal="justify" vertical="center" wrapText="1"/>
    </xf>
    <xf numFmtId="0" fontId="50" fillId="9" borderId="0" xfId="0" applyFont="1" applyFill="1" applyAlignment="1">
      <alignment vertical="center" wrapText="1"/>
    </xf>
    <xf numFmtId="0" fontId="50" fillId="9" borderId="0" xfId="0" applyFont="1" applyFill="1" applyAlignment="1">
      <alignment horizontal="justify" vertical="center" wrapText="1"/>
    </xf>
    <xf numFmtId="0" fontId="23" fillId="2" borderId="58" xfId="0" applyFont="1" applyFill="1" applyBorder="1" applyAlignment="1">
      <alignment vertical="center" wrapText="1"/>
    </xf>
    <xf numFmtId="0" fontId="23" fillId="2" borderId="57" xfId="0" applyFont="1" applyFill="1" applyBorder="1" applyAlignment="1">
      <alignment horizontal="center" vertical="center" wrapText="1"/>
    </xf>
    <xf numFmtId="0" fontId="52" fillId="3" borderId="0" xfId="0" applyFont="1" applyFill="1" applyAlignment="1">
      <alignment vertical="center" wrapText="1"/>
    </xf>
    <xf numFmtId="0" fontId="46" fillId="3" borderId="0" xfId="0" applyFont="1" applyFill="1" applyAlignment="1">
      <alignment horizontal="justify" vertical="center" wrapText="1"/>
    </xf>
    <xf numFmtId="0" fontId="46" fillId="9" borderId="0" xfId="0" applyFont="1" applyFill="1" applyAlignment="1">
      <alignment horizontal="justify" vertical="center" wrapText="1"/>
    </xf>
    <xf numFmtId="166" fontId="40" fillId="0" borderId="0" xfId="1" applyNumberFormat="1" applyFont="1" applyAlignment="1">
      <alignment vertical="center"/>
    </xf>
    <xf numFmtId="0" fontId="50" fillId="3" borderId="0" xfId="0" applyFont="1" applyFill="1" applyAlignment="1">
      <alignment horizontal="left" vertical="center" wrapText="1"/>
    </xf>
    <xf numFmtId="0" fontId="50" fillId="9" borderId="0" xfId="0" applyFont="1" applyFill="1" applyAlignment="1">
      <alignment horizontal="left" vertical="center" wrapText="1"/>
    </xf>
    <xf numFmtId="0" fontId="46" fillId="9" borderId="0" xfId="0" applyFont="1" applyFill="1" applyAlignment="1">
      <alignment vertical="center" wrapText="1"/>
    </xf>
    <xf numFmtId="0" fontId="46" fillId="9" borderId="0" xfId="0" applyFont="1" applyFill="1" applyAlignment="1">
      <alignment horizontal="left" vertical="center" wrapText="1"/>
    </xf>
    <xf numFmtId="166" fontId="40" fillId="3" borderId="0" xfId="1" applyNumberFormat="1" applyFont="1" applyFill="1" applyAlignment="1">
      <alignment horizontal="left" vertical="center"/>
    </xf>
    <xf numFmtId="166" fontId="40" fillId="9" borderId="0" xfId="1" applyNumberFormat="1" applyFont="1" applyFill="1" applyAlignment="1">
      <alignment horizontal="left" vertical="center"/>
    </xf>
    <xf numFmtId="0" fontId="12" fillId="2" borderId="1" xfId="0" applyFont="1" applyFill="1" applyBorder="1" applyAlignment="1">
      <alignment horizontal="left" vertical="center" wrapText="1"/>
    </xf>
    <xf numFmtId="0" fontId="12" fillId="0" borderId="0" xfId="0" applyFont="1" applyAlignment="1">
      <alignment vertical="center" wrapText="1"/>
    </xf>
    <xf numFmtId="167" fontId="13" fillId="3" borderId="2" xfId="2" applyNumberFormat="1" applyFont="1" applyFill="1" applyBorder="1" applyAlignment="1">
      <alignment vertical="center"/>
    </xf>
    <xf numFmtId="166" fontId="9" fillId="3" borderId="0" xfId="1" applyNumberFormat="1" applyFont="1" applyFill="1" applyAlignment="1">
      <alignment vertical="center"/>
    </xf>
    <xf numFmtId="167" fontId="13" fillId="3" borderId="0" xfId="2" applyNumberFormat="1" applyFont="1" applyFill="1" applyAlignment="1">
      <alignment vertical="center"/>
    </xf>
    <xf numFmtId="167" fontId="13" fillId="0" borderId="0" xfId="2" applyNumberFormat="1" applyFont="1" applyAlignment="1">
      <alignment vertical="center"/>
    </xf>
    <xf numFmtId="166" fontId="9" fillId="0" borderId="0" xfId="1" applyNumberFormat="1" applyFont="1" applyAlignment="1">
      <alignment vertical="center"/>
    </xf>
    <xf numFmtId="166" fontId="9" fillId="0" borderId="0" xfId="1" applyNumberFormat="1" applyFont="1" applyAlignment="1">
      <alignment horizontal="left" vertical="center"/>
    </xf>
    <xf numFmtId="166" fontId="9" fillId="3" borderId="0" xfId="1" applyNumberFormat="1" applyFont="1" applyFill="1" applyBorder="1" applyAlignment="1">
      <alignment horizontal="center" vertical="center"/>
    </xf>
    <xf numFmtId="166" fontId="9" fillId="3" borderId="0" xfId="1" applyNumberFormat="1" applyFont="1" applyFill="1" applyAlignment="1">
      <alignment horizontal="center" vertical="center" wrapText="1"/>
    </xf>
    <xf numFmtId="4" fontId="9" fillId="3" borderId="0" xfId="0" applyNumberFormat="1" applyFont="1" applyFill="1" applyAlignment="1">
      <alignment horizontal="right" vertical="center"/>
    </xf>
    <xf numFmtId="166" fontId="9" fillId="3" borderId="0" xfId="1" applyNumberFormat="1" applyFont="1" applyFill="1" applyAlignment="1">
      <alignment horizontal="left" vertical="center"/>
    </xf>
    <xf numFmtId="3" fontId="13" fillId="0" borderId="0" xfId="2" applyNumberFormat="1" applyFont="1" applyAlignment="1">
      <alignment horizontal="left" vertical="center"/>
    </xf>
    <xf numFmtId="0" fontId="13" fillId="0" borderId="0" xfId="2" applyFont="1" applyAlignment="1">
      <alignment horizontal="left" vertical="center"/>
    </xf>
    <xf numFmtId="20" fontId="9" fillId="0" borderId="0" xfId="0" applyNumberFormat="1" applyFont="1" applyAlignment="1">
      <alignment horizontal="left" vertical="center"/>
    </xf>
    <xf numFmtId="166" fontId="13" fillId="3" borderId="0" xfId="1" applyNumberFormat="1" applyFont="1" applyFill="1" applyBorder="1" applyAlignment="1">
      <alignment horizontal="left" vertical="center"/>
    </xf>
    <xf numFmtId="0" fontId="9" fillId="3" borderId="0" xfId="1" applyNumberFormat="1" applyFont="1" applyFill="1" applyAlignment="1">
      <alignment vertical="center"/>
    </xf>
    <xf numFmtId="166" fontId="9" fillId="3" borderId="0" xfId="1" applyNumberFormat="1" applyFont="1" applyFill="1" applyAlignment="1">
      <alignment vertical="center" wrapText="1"/>
    </xf>
    <xf numFmtId="164" fontId="9" fillId="0" borderId="0" xfId="0" applyNumberFormat="1" applyFont="1" applyAlignment="1">
      <alignment horizontal="left" vertical="center"/>
    </xf>
    <xf numFmtId="166" fontId="13" fillId="3" borderId="0" xfId="1" applyNumberFormat="1" applyFont="1" applyFill="1" applyAlignment="1">
      <alignment horizontal="center" vertical="center"/>
    </xf>
    <xf numFmtId="170" fontId="9" fillId="3" borderId="0" xfId="0" applyNumberFormat="1" applyFont="1" applyFill="1" applyAlignment="1">
      <alignment horizontal="center" vertical="center"/>
    </xf>
    <xf numFmtId="0" fontId="9" fillId="0" borderId="0" xfId="0" applyFont="1" applyAlignment="1">
      <alignment vertical="center" wrapText="1"/>
    </xf>
    <xf numFmtId="0" fontId="9" fillId="0" borderId="0" xfId="0" applyFont="1"/>
    <xf numFmtId="166" fontId="59" fillId="3" borderId="0" xfId="1" applyNumberFormat="1" applyFont="1" applyFill="1" applyAlignment="1">
      <alignment horizontal="center" vertical="center"/>
    </xf>
    <xf numFmtId="0" fontId="9" fillId="0" borderId="0" xfId="0" applyFont="1" applyAlignment="1">
      <alignment horizontal="center" vertical="center" wrapText="1"/>
    </xf>
    <xf numFmtId="0" fontId="60" fillId="0" borderId="0" xfId="0" applyFont="1" applyAlignment="1">
      <alignment vertical="center"/>
    </xf>
    <xf numFmtId="0" fontId="60" fillId="0" borderId="0" xfId="0" applyFont="1" applyAlignment="1">
      <alignment horizontal="left" vertical="center"/>
    </xf>
    <xf numFmtId="0" fontId="60" fillId="0" borderId="0" xfId="0" applyFont="1" applyAlignment="1">
      <alignment horizontal="center" vertical="center"/>
    </xf>
    <xf numFmtId="0" fontId="61" fillId="0" borderId="0" xfId="0" applyFont="1" applyAlignment="1">
      <alignment horizontal="left" vertical="center"/>
    </xf>
    <xf numFmtId="0" fontId="62" fillId="0" borderId="0" xfId="0" applyFont="1" applyAlignment="1">
      <alignment vertical="center"/>
    </xf>
    <xf numFmtId="0" fontId="63" fillId="0" borderId="0" xfId="0" applyFont="1" applyAlignment="1">
      <alignment vertical="center"/>
    </xf>
    <xf numFmtId="0" fontId="63" fillId="0" borderId="0" xfId="0" applyFont="1" applyAlignment="1">
      <alignment horizontal="left" vertical="center"/>
    </xf>
    <xf numFmtId="0" fontId="63" fillId="0" borderId="0" xfId="0" applyFont="1" applyAlignment="1">
      <alignment horizontal="center" vertical="center"/>
    </xf>
    <xf numFmtId="165" fontId="60" fillId="0" borderId="0" xfId="0" applyNumberFormat="1" applyFont="1" applyAlignment="1">
      <alignment horizontal="center" vertical="center"/>
    </xf>
    <xf numFmtId="166" fontId="14" fillId="0" borderId="0" xfId="1" applyNumberFormat="1" applyFont="1" applyAlignment="1">
      <alignment horizontal="left" vertical="center" wrapText="1"/>
    </xf>
    <xf numFmtId="166" fontId="17" fillId="3" borderId="0" xfId="1" applyNumberFormat="1" applyFont="1" applyFill="1" applyAlignment="1">
      <alignment horizontal="left" vertical="center" wrapText="1"/>
    </xf>
    <xf numFmtId="166" fontId="17" fillId="0" borderId="0" xfId="1" applyNumberFormat="1" applyFont="1" applyAlignment="1">
      <alignment horizontal="left" vertical="center"/>
    </xf>
    <xf numFmtId="166" fontId="14" fillId="3" borderId="0" xfId="1" applyNumberFormat="1" applyFont="1" applyFill="1" applyAlignment="1">
      <alignment vertical="center"/>
    </xf>
    <xf numFmtId="0" fontId="13" fillId="3" borderId="0" xfId="1" applyNumberFormat="1" applyFont="1" applyFill="1" applyAlignment="1">
      <alignment horizontal="center" vertical="center"/>
    </xf>
    <xf numFmtId="171" fontId="9" fillId="3" borderId="0" xfId="0" applyNumberFormat="1" applyFont="1" applyFill="1" applyAlignment="1">
      <alignment horizontal="center" vertical="center"/>
    </xf>
    <xf numFmtId="171" fontId="13" fillId="3" borderId="0" xfId="1" applyNumberFormat="1" applyFont="1" applyFill="1" applyAlignment="1">
      <alignment horizontal="center" vertical="center"/>
    </xf>
    <xf numFmtId="1" fontId="9" fillId="3" borderId="0" xfId="0" applyNumberFormat="1" applyFont="1" applyFill="1" applyAlignment="1">
      <alignment horizontal="center" vertical="center"/>
    </xf>
    <xf numFmtId="1" fontId="13" fillId="3" borderId="0" xfId="1" applyNumberFormat="1" applyFont="1" applyFill="1" applyAlignment="1">
      <alignment horizontal="center" vertical="center"/>
    </xf>
    <xf numFmtId="0" fontId="14" fillId="0" borderId="0" xfId="0" applyFont="1" applyAlignment="1">
      <alignment horizontal="center" vertical="center" wrapText="1"/>
    </xf>
    <xf numFmtId="0" fontId="13" fillId="0" borderId="0" xfId="0" applyFont="1" applyAlignment="1">
      <alignment vertical="center"/>
    </xf>
    <xf numFmtId="166" fontId="13" fillId="3" borderId="0" xfId="1" applyNumberFormat="1" applyFont="1" applyFill="1" applyAlignment="1">
      <alignment horizontal="left" vertical="center"/>
    </xf>
    <xf numFmtId="166" fontId="13" fillId="0" borderId="0" xfId="1" applyNumberFormat="1" applyFont="1" applyAlignment="1">
      <alignment horizontal="left" vertical="center"/>
    </xf>
    <xf numFmtId="0" fontId="64" fillId="0" borderId="0" xfId="0" applyFont="1" applyAlignment="1">
      <alignment horizontal="left" vertical="center"/>
    </xf>
    <xf numFmtId="0" fontId="65" fillId="0" borderId="0" xfId="0" applyFont="1" applyAlignment="1">
      <alignment horizontal="left" vertical="center"/>
    </xf>
    <xf numFmtId="0" fontId="64" fillId="0" borderId="0" xfId="0" applyFont="1" applyAlignment="1">
      <alignment horizontal="left" vertical="center" wrapText="1"/>
    </xf>
    <xf numFmtId="166" fontId="64" fillId="0" borderId="0" xfId="1" applyNumberFormat="1" applyFont="1" applyAlignment="1">
      <alignment horizontal="left" vertical="center"/>
    </xf>
    <xf numFmtId="166" fontId="20" fillId="0" borderId="0" xfId="1" applyNumberFormat="1" applyFont="1" applyBorder="1" applyAlignment="1">
      <alignment horizontal="left" vertical="center"/>
    </xf>
    <xf numFmtId="166" fontId="40" fillId="3" borderId="0" xfId="1" applyNumberFormat="1" applyFont="1" applyFill="1" applyBorder="1" applyAlignment="1">
      <alignment vertical="center"/>
    </xf>
    <xf numFmtId="0" fontId="66" fillId="0" borderId="0" xfId="0" applyFont="1" applyAlignment="1">
      <alignment vertical="center"/>
    </xf>
    <xf numFmtId="0" fontId="12" fillId="2" borderId="53" xfId="0" applyFont="1" applyFill="1" applyBorder="1" applyAlignment="1">
      <alignment horizontal="center" vertical="center" wrapText="1"/>
    </xf>
    <xf numFmtId="0" fontId="67" fillId="3" borderId="54" xfId="0" applyFont="1" applyFill="1" applyBorder="1" applyAlignment="1">
      <alignment horizontal="left" vertical="center"/>
    </xf>
    <xf numFmtId="167" fontId="67" fillId="3" borderId="54" xfId="2" applyNumberFormat="1" applyFont="1" applyFill="1" applyBorder="1" applyAlignment="1">
      <alignment horizontal="left" vertical="center"/>
    </xf>
    <xf numFmtId="9" fontId="67" fillId="3" borderId="54" xfId="7" applyFont="1" applyFill="1" applyBorder="1" applyAlignment="1">
      <alignment horizontal="center" vertical="center"/>
    </xf>
    <xf numFmtId="10" fontId="67" fillId="3" borderId="54" xfId="7" applyNumberFormat="1" applyFont="1" applyFill="1" applyBorder="1" applyAlignment="1">
      <alignment horizontal="center" vertical="center"/>
    </xf>
    <xf numFmtId="10" fontId="67" fillId="3" borderId="54" xfId="7" applyNumberFormat="1" applyFont="1" applyFill="1" applyBorder="1" applyAlignment="1">
      <alignment horizontal="left" vertical="center"/>
    </xf>
    <xf numFmtId="9" fontId="67" fillId="3" borderId="54" xfId="7" applyFont="1" applyFill="1" applyBorder="1" applyAlignment="1">
      <alignment horizontal="left" vertical="center"/>
    </xf>
    <xf numFmtId="9" fontId="67" fillId="3" borderId="35" xfId="7" applyFont="1" applyFill="1" applyBorder="1" applyAlignment="1">
      <alignment horizontal="right" vertical="center"/>
    </xf>
    <xf numFmtId="0" fontId="67" fillId="0" borderId="35" xfId="0" applyFont="1" applyBorder="1" applyAlignment="1">
      <alignment horizontal="left" vertical="center"/>
    </xf>
    <xf numFmtId="167" fontId="67" fillId="0" borderId="35" xfId="2" applyNumberFormat="1" applyFont="1" applyBorder="1" applyAlignment="1">
      <alignment horizontal="left" vertical="center"/>
    </xf>
    <xf numFmtId="9" fontId="67" fillId="0" borderId="35" xfId="7" applyFont="1" applyFill="1" applyBorder="1" applyAlignment="1">
      <alignment horizontal="center" vertical="center"/>
    </xf>
    <xf numFmtId="10" fontId="67" fillId="9" borderId="35" xfId="7" applyNumberFormat="1" applyFont="1" applyFill="1" applyBorder="1" applyAlignment="1">
      <alignment horizontal="center" vertical="center"/>
    </xf>
    <xf numFmtId="9" fontId="67" fillId="9" borderId="35" xfId="7" applyFont="1" applyFill="1" applyBorder="1" applyAlignment="1">
      <alignment horizontal="center" vertical="center"/>
    </xf>
    <xf numFmtId="10" fontId="67" fillId="0" borderId="35" xfId="7" applyNumberFormat="1" applyFont="1" applyFill="1" applyBorder="1" applyAlignment="1">
      <alignment horizontal="left" vertical="center" wrapText="1"/>
    </xf>
    <xf numFmtId="10" fontId="67" fillId="0" borderId="35" xfId="7" applyNumberFormat="1" applyFont="1" applyFill="1" applyBorder="1" applyAlignment="1">
      <alignment horizontal="center" vertical="center"/>
    </xf>
    <xf numFmtId="9" fontId="67" fillId="0" borderId="35" xfId="7" applyFont="1" applyFill="1" applyBorder="1" applyAlignment="1">
      <alignment horizontal="right" vertical="center"/>
    </xf>
    <xf numFmtId="0" fontId="67" fillId="3" borderId="35" xfId="0" applyFont="1" applyFill="1" applyBorder="1" applyAlignment="1">
      <alignment horizontal="left" vertical="center"/>
    </xf>
    <xf numFmtId="167" fontId="67" fillId="3" borderId="35" xfId="2" applyNumberFormat="1" applyFont="1" applyFill="1" applyBorder="1" applyAlignment="1">
      <alignment horizontal="left" vertical="center"/>
    </xf>
    <xf numFmtId="9" fontId="67" fillId="3" borderId="35" xfId="7" applyFont="1" applyFill="1" applyBorder="1" applyAlignment="1">
      <alignment horizontal="center" vertical="center"/>
    </xf>
    <xf numFmtId="10" fontId="67" fillId="3" borderId="35" xfId="7" applyNumberFormat="1" applyFont="1" applyFill="1" applyBorder="1" applyAlignment="1">
      <alignment horizontal="center" vertical="center"/>
    </xf>
    <xf numFmtId="10" fontId="67" fillId="3" borderId="35" xfId="7" applyNumberFormat="1" applyFont="1" applyFill="1" applyBorder="1" applyAlignment="1">
      <alignment horizontal="left" vertical="center"/>
    </xf>
    <xf numFmtId="10" fontId="67" fillId="3" borderId="35" xfId="7" applyNumberFormat="1" applyFont="1" applyFill="1" applyBorder="1" applyAlignment="1">
      <alignment horizontal="center" vertical="center" wrapText="1"/>
    </xf>
    <xf numFmtId="9" fontId="67" fillId="0" borderId="35" xfId="7" applyFont="1" applyFill="1" applyBorder="1" applyAlignment="1">
      <alignment horizontal="center" vertical="center" wrapText="1"/>
    </xf>
    <xf numFmtId="10" fontId="67" fillId="0" borderId="35" xfId="7" applyNumberFormat="1" applyFont="1" applyFill="1" applyBorder="1" applyAlignment="1">
      <alignment horizontal="center" vertical="center" wrapText="1"/>
    </xf>
    <xf numFmtId="10" fontId="67" fillId="3" borderId="35" xfId="7" applyNumberFormat="1" applyFont="1" applyFill="1" applyBorder="1" applyAlignment="1">
      <alignment horizontal="left" vertical="center" wrapText="1"/>
    </xf>
    <xf numFmtId="10" fontId="67" fillId="0" borderId="35" xfId="7" applyNumberFormat="1" applyFont="1" applyFill="1" applyBorder="1" applyAlignment="1">
      <alignment horizontal="left" vertical="center"/>
    </xf>
    <xf numFmtId="0" fontId="67" fillId="3" borderId="36" xfId="0" applyFont="1" applyFill="1" applyBorder="1" applyAlignment="1">
      <alignment horizontal="left" vertical="center"/>
    </xf>
    <xf numFmtId="167" fontId="67" fillId="3" borderId="36" xfId="2" applyNumberFormat="1" applyFont="1" applyFill="1" applyBorder="1" applyAlignment="1">
      <alignment horizontal="left" vertical="center"/>
    </xf>
    <xf numFmtId="10" fontId="67" fillId="3" borderId="36" xfId="7" applyNumberFormat="1" applyFont="1" applyFill="1" applyBorder="1" applyAlignment="1">
      <alignment horizontal="left" vertical="center" wrapText="1"/>
    </xf>
    <xf numFmtId="9" fontId="67" fillId="3" borderId="36" xfId="7" applyFont="1" applyFill="1" applyBorder="1" applyAlignment="1">
      <alignment horizontal="center" vertical="center"/>
    </xf>
    <xf numFmtId="10" fontId="67" fillId="3" borderId="36" xfId="7" applyNumberFormat="1" applyFont="1" applyFill="1" applyBorder="1" applyAlignment="1">
      <alignment horizontal="center" vertical="center"/>
    </xf>
    <xf numFmtId="0" fontId="68" fillId="0" borderId="0" xfId="0" applyFont="1" applyAlignment="1">
      <alignment vertical="center"/>
    </xf>
    <xf numFmtId="0" fontId="67" fillId="3" borderId="54" xfId="2" applyFont="1" applyFill="1" applyBorder="1" applyAlignment="1">
      <alignment horizontal="left" vertical="center"/>
    </xf>
    <xf numFmtId="9" fontId="67" fillId="3" borderId="54" xfId="7" applyFont="1" applyFill="1" applyBorder="1" applyAlignment="1">
      <alignment horizontal="right" vertical="center"/>
    </xf>
    <xf numFmtId="0" fontId="67" fillId="9" borderId="35" xfId="0" applyFont="1" applyFill="1" applyBorder="1" applyAlignment="1">
      <alignment horizontal="left" vertical="center"/>
    </xf>
    <xf numFmtId="0" fontId="67" fillId="9" borderId="35" xfId="2" applyFont="1" applyFill="1" applyBorder="1" applyAlignment="1">
      <alignment horizontal="left" vertical="center"/>
    </xf>
    <xf numFmtId="0" fontId="67" fillId="9" borderId="35" xfId="0" applyFont="1" applyFill="1" applyBorder="1" applyAlignment="1">
      <alignment horizontal="left" vertical="center" wrapText="1"/>
    </xf>
    <xf numFmtId="9" fontId="67" fillId="9" borderId="35" xfId="7" applyFont="1" applyFill="1" applyBorder="1" applyAlignment="1">
      <alignment horizontal="left" vertical="center" wrapText="1"/>
    </xf>
    <xf numFmtId="10" fontId="67" fillId="9" borderId="35" xfId="0" applyNumberFormat="1" applyFont="1" applyFill="1" applyBorder="1" applyAlignment="1">
      <alignment horizontal="left" vertical="center" wrapText="1"/>
    </xf>
    <xf numFmtId="0" fontId="67" fillId="3" borderId="35" xfId="2" applyFont="1" applyFill="1" applyBorder="1" applyAlignment="1">
      <alignment horizontal="left" vertical="center"/>
    </xf>
    <xf numFmtId="9" fontId="67" fillId="3" borderId="35" xfId="7" applyFont="1" applyFill="1" applyBorder="1" applyAlignment="1">
      <alignment horizontal="left" vertical="center"/>
    </xf>
    <xf numFmtId="10" fontId="67" fillId="9" borderId="35" xfId="7" applyNumberFormat="1" applyFont="1" applyFill="1" applyBorder="1" applyAlignment="1">
      <alignment horizontal="left" vertical="center" wrapText="1"/>
    </xf>
    <xf numFmtId="10" fontId="67" fillId="9" borderId="35" xfId="7" applyNumberFormat="1" applyFont="1" applyFill="1" applyBorder="1" applyAlignment="1">
      <alignment horizontal="left" vertical="center"/>
    </xf>
    <xf numFmtId="9" fontId="67" fillId="9" borderId="35" xfId="7" applyFont="1" applyFill="1" applyBorder="1" applyAlignment="1">
      <alignment horizontal="right" vertical="center"/>
    </xf>
    <xf numFmtId="0" fontId="67" fillId="3" borderId="35" xfId="0" applyFont="1" applyFill="1" applyBorder="1" applyAlignment="1">
      <alignment horizontal="left" vertical="center" wrapText="1"/>
    </xf>
    <xf numFmtId="9" fontId="67" fillId="3" borderId="35" xfId="1" applyNumberFormat="1" applyFont="1" applyFill="1" applyBorder="1" applyAlignment="1">
      <alignment horizontal="left" vertical="center"/>
    </xf>
    <xf numFmtId="172" fontId="67" fillId="3" borderId="35" xfId="1" applyNumberFormat="1" applyFont="1" applyFill="1" applyBorder="1" applyAlignment="1">
      <alignment horizontal="left" vertical="center"/>
    </xf>
    <xf numFmtId="10" fontId="67" fillId="3" borderId="35" xfId="1" applyNumberFormat="1" applyFont="1" applyFill="1" applyBorder="1" applyAlignment="1">
      <alignment horizontal="left" vertical="center"/>
    </xf>
    <xf numFmtId="0" fontId="67" fillId="0" borderId="35" xfId="0" applyFont="1" applyBorder="1" applyAlignment="1">
      <alignment horizontal="left" vertical="center" wrapText="1"/>
    </xf>
    <xf numFmtId="10" fontId="67" fillId="0" borderId="35" xfId="1" applyNumberFormat="1" applyFont="1" applyBorder="1" applyAlignment="1">
      <alignment horizontal="left" vertical="center" wrapText="1"/>
    </xf>
    <xf numFmtId="9" fontId="67" fillId="0" borderId="35" xfId="1" applyNumberFormat="1" applyFont="1" applyBorder="1" applyAlignment="1">
      <alignment horizontal="left" vertical="center" wrapText="1"/>
    </xf>
    <xf numFmtId="0" fontId="67" fillId="3" borderId="35" xfId="0" applyFont="1" applyFill="1" applyBorder="1" applyAlignment="1">
      <alignment horizontal="center" vertical="center" wrapText="1"/>
    </xf>
    <xf numFmtId="0" fontId="67" fillId="3" borderId="35" xfId="0" applyFont="1" applyFill="1" applyBorder="1" applyAlignment="1">
      <alignment horizontal="right" vertical="center" wrapText="1"/>
    </xf>
    <xf numFmtId="9" fontId="67" fillId="9" borderId="35" xfId="7" applyFont="1" applyFill="1" applyBorder="1" applyAlignment="1">
      <alignment horizontal="left" vertical="center"/>
    </xf>
    <xf numFmtId="0" fontId="67" fillId="3" borderId="35" xfId="7" applyNumberFormat="1" applyFont="1" applyFill="1" applyBorder="1" applyAlignment="1">
      <alignment horizontal="left" vertical="center"/>
    </xf>
    <xf numFmtId="9" fontId="67" fillId="0" borderId="35" xfId="1" applyNumberFormat="1" applyFont="1" applyFill="1" applyBorder="1" applyAlignment="1">
      <alignment horizontal="center" vertical="center"/>
    </xf>
    <xf numFmtId="9" fontId="67" fillId="0" borderId="35" xfId="1" applyNumberFormat="1" applyFont="1" applyFill="1" applyBorder="1" applyAlignment="1">
      <alignment horizontal="left" vertical="center"/>
    </xf>
    <xf numFmtId="0" fontId="67" fillId="9" borderId="35" xfId="7" applyNumberFormat="1" applyFont="1" applyFill="1" applyBorder="1" applyAlignment="1">
      <alignment horizontal="left" vertical="center"/>
    </xf>
    <xf numFmtId="0" fontId="67" fillId="9" borderId="36" xfId="0" applyFont="1" applyFill="1" applyBorder="1" applyAlignment="1">
      <alignment horizontal="left" vertical="center"/>
    </xf>
    <xf numFmtId="0" fontId="67" fillId="9" borderId="36" xfId="7" applyNumberFormat="1" applyFont="1" applyFill="1" applyBorder="1" applyAlignment="1">
      <alignment horizontal="left" vertical="center"/>
    </xf>
    <xf numFmtId="10" fontId="67" fillId="9" borderId="36" xfId="7" applyNumberFormat="1" applyFont="1" applyFill="1" applyBorder="1" applyAlignment="1">
      <alignment horizontal="center" vertical="center"/>
    </xf>
    <xf numFmtId="0" fontId="67" fillId="0" borderId="36" xfId="0" applyFont="1" applyBorder="1" applyAlignment="1">
      <alignment horizontal="left" vertical="center" wrapText="1"/>
    </xf>
    <xf numFmtId="9" fontId="67" fillId="9" borderId="36" xfId="7" applyFont="1" applyFill="1" applyBorder="1" applyAlignment="1">
      <alignment horizontal="left" vertical="center"/>
    </xf>
    <xf numFmtId="10" fontId="67" fillId="9" borderId="36" xfId="7" applyNumberFormat="1" applyFont="1" applyFill="1" applyBorder="1" applyAlignment="1">
      <alignment horizontal="left" vertical="center"/>
    </xf>
    <xf numFmtId="9" fontId="67" fillId="9" borderId="36" xfId="7" applyFont="1" applyFill="1" applyBorder="1" applyAlignment="1">
      <alignment horizontal="right" vertical="center"/>
    </xf>
    <xf numFmtId="0" fontId="69" fillId="0" borderId="0" xfId="0" applyFont="1" applyAlignment="1">
      <alignment vertical="center"/>
    </xf>
    <xf numFmtId="0" fontId="70" fillId="2" borderId="22" xfId="0" applyFont="1" applyFill="1" applyBorder="1" applyAlignment="1">
      <alignment horizontal="center" vertical="center"/>
    </xf>
    <xf numFmtId="166" fontId="70" fillId="2" borderId="23" xfId="10" applyNumberFormat="1" applyFont="1" applyFill="1" applyBorder="1" applyAlignment="1">
      <alignment horizontal="center" vertical="center"/>
    </xf>
    <xf numFmtId="0" fontId="71" fillId="3" borderId="0" xfId="0" applyFont="1" applyFill="1" applyAlignment="1">
      <alignment vertical="center"/>
    </xf>
    <xf numFmtId="166" fontId="71" fillId="3" borderId="0" xfId="10" applyNumberFormat="1" applyFont="1" applyFill="1" applyAlignment="1">
      <alignment vertical="center"/>
    </xf>
    <xf numFmtId="0" fontId="71" fillId="9" borderId="0" xfId="0" applyFont="1" applyFill="1" applyAlignment="1">
      <alignment vertical="center"/>
    </xf>
    <xf numFmtId="166" fontId="71" fillId="9" borderId="0" xfId="10" applyNumberFormat="1" applyFont="1" applyFill="1" applyAlignment="1">
      <alignment vertical="center"/>
    </xf>
    <xf numFmtId="166" fontId="72" fillId="14" borderId="33" xfId="0" applyNumberFormat="1" applyFont="1" applyFill="1" applyBorder="1" applyAlignment="1">
      <alignment vertical="center"/>
    </xf>
    <xf numFmtId="0" fontId="71" fillId="3" borderId="0" xfId="0" applyFont="1" applyFill="1"/>
    <xf numFmtId="166" fontId="71" fillId="3" borderId="0" xfId="10" applyNumberFormat="1" applyFont="1" applyFill="1"/>
    <xf numFmtId="0" fontId="71" fillId="9" borderId="0" xfId="0" applyFont="1" applyFill="1"/>
    <xf numFmtId="166" fontId="71" fillId="9" borderId="0" xfId="10" applyNumberFormat="1" applyFont="1" applyFill="1"/>
    <xf numFmtId="0" fontId="69" fillId="0" borderId="0" xfId="0" applyFont="1"/>
    <xf numFmtId="0" fontId="55" fillId="0" borderId="0" xfId="0" applyFont="1"/>
    <xf numFmtId="0" fontId="70" fillId="2" borderId="23" xfId="0" applyFont="1" applyFill="1" applyBorder="1" applyAlignment="1">
      <alignment horizontal="center" vertical="center"/>
    </xf>
    <xf numFmtId="0" fontId="3" fillId="0" borderId="0" xfId="3" applyAlignment="1">
      <alignment vertical="center"/>
    </xf>
    <xf numFmtId="0" fontId="73" fillId="0" borderId="0" xfId="0" applyFont="1" applyAlignment="1">
      <alignment vertical="center"/>
    </xf>
    <xf numFmtId="0" fontId="39" fillId="0" borderId="0" xfId="0" applyFont="1" applyAlignment="1">
      <alignment horizontal="left"/>
    </xf>
    <xf numFmtId="0" fontId="74" fillId="0" borderId="0" xfId="3" applyFont="1" applyAlignment="1">
      <alignment vertical="center"/>
    </xf>
    <xf numFmtId="0" fontId="74" fillId="0" borderId="0" xfId="3" applyFont="1" applyAlignment="1"/>
    <xf numFmtId="0" fontId="75" fillId="0" borderId="0" xfId="0" applyFont="1" applyAlignment="1">
      <alignment vertical="center"/>
    </xf>
    <xf numFmtId="0" fontId="40" fillId="3" borderId="24" xfId="0" applyFont="1" applyFill="1" applyBorder="1" applyAlignment="1">
      <alignment vertical="center"/>
    </xf>
    <xf numFmtId="0" fontId="40" fillId="9" borderId="35" xfId="0" applyFont="1" applyFill="1" applyBorder="1" applyAlignment="1">
      <alignment vertical="center"/>
    </xf>
    <xf numFmtId="0" fontId="40" fillId="3" borderId="35" xfId="0" applyFont="1" applyFill="1" applyBorder="1" applyAlignment="1">
      <alignment vertical="center"/>
    </xf>
    <xf numFmtId="0" fontId="74" fillId="0" borderId="0" xfId="3" applyNumberFormat="1" applyFont="1" applyAlignment="1">
      <alignment vertical="center"/>
    </xf>
    <xf numFmtId="0" fontId="40" fillId="3" borderId="24" xfId="0" applyFont="1" applyFill="1" applyBorder="1" applyAlignment="1">
      <alignment horizontal="left" vertical="center"/>
    </xf>
    <xf numFmtId="0" fontId="40" fillId="9" borderId="35" xfId="0" applyFont="1" applyFill="1" applyBorder="1" applyAlignment="1">
      <alignment horizontal="left" vertical="center"/>
    </xf>
    <xf numFmtId="0" fontId="40" fillId="3" borderId="35" xfId="0" applyFont="1" applyFill="1" applyBorder="1" applyAlignment="1">
      <alignment horizontal="left" vertical="center"/>
    </xf>
    <xf numFmtId="0" fontId="74" fillId="0" borderId="0" xfId="3" applyNumberFormat="1" applyFont="1" applyAlignment="1"/>
    <xf numFmtId="0" fontId="23" fillId="2" borderId="24" xfId="0" applyFont="1" applyFill="1" applyBorder="1" applyAlignment="1">
      <alignment horizontal="center" vertical="center" wrapText="1"/>
    </xf>
    <xf numFmtId="0" fontId="40" fillId="3" borderId="61" xfId="0" applyFont="1" applyFill="1" applyBorder="1" applyAlignment="1">
      <alignment vertical="center"/>
    </xf>
    <xf numFmtId="0" fontId="40" fillId="9" borderId="61" xfId="0" applyFont="1" applyFill="1" applyBorder="1" applyAlignment="1">
      <alignment vertical="center"/>
    </xf>
    <xf numFmtId="0" fontId="77" fillId="2" borderId="1" xfId="0" applyFont="1" applyFill="1" applyBorder="1" applyAlignment="1">
      <alignment horizontal="center" vertical="center" wrapText="1"/>
    </xf>
    <xf numFmtId="0" fontId="78" fillId="0" borderId="0" xfId="0" applyFont="1" applyAlignment="1">
      <alignment vertical="center"/>
    </xf>
    <xf numFmtId="0" fontId="79" fillId="3" borderId="0" xfId="3" applyFont="1" applyFill="1" applyAlignment="1">
      <alignment vertical="center"/>
    </xf>
    <xf numFmtId="0" fontId="79" fillId="9" borderId="0" xfId="3" applyFont="1" applyFill="1" applyAlignment="1">
      <alignment vertical="center"/>
    </xf>
    <xf numFmtId="0" fontId="79" fillId="3" borderId="49" xfId="3" applyFont="1" applyFill="1" applyBorder="1" applyAlignment="1">
      <alignment vertical="center"/>
    </xf>
    <xf numFmtId="0" fontId="79" fillId="3" borderId="50" xfId="3" applyFont="1" applyFill="1" applyBorder="1" applyAlignment="1">
      <alignment vertical="center"/>
    </xf>
    <xf numFmtId="0" fontId="79" fillId="9" borderId="51" xfId="3" applyFont="1" applyFill="1" applyBorder="1" applyAlignment="1">
      <alignment vertical="center"/>
    </xf>
    <xf numFmtId="0" fontId="79" fillId="9" borderId="29" xfId="3" applyFont="1" applyFill="1" applyBorder="1" applyAlignment="1">
      <alignment vertical="center"/>
    </xf>
    <xf numFmtId="0" fontId="79" fillId="3" borderId="51" xfId="3" applyFont="1" applyFill="1" applyBorder="1" applyAlignment="1">
      <alignment vertical="center"/>
    </xf>
    <xf numFmtId="0" fontId="79" fillId="3" borderId="29" xfId="3" applyFont="1" applyFill="1" applyBorder="1" applyAlignment="1">
      <alignment vertical="center"/>
    </xf>
    <xf numFmtId="0" fontId="79" fillId="9" borderId="52" xfId="3" applyFont="1" applyFill="1" applyBorder="1" applyAlignment="1">
      <alignment vertical="center"/>
    </xf>
    <xf numFmtId="0" fontId="79" fillId="9" borderId="28" xfId="3" applyFont="1" applyFill="1" applyBorder="1" applyAlignment="1">
      <alignment vertical="center"/>
    </xf>
    <xf numFmtId="0" fontId="40" fillId="3" borderId="60" xfId="0" applyFont="1" applyFill="1" applyBorder="1" applyAlignment="1">
      <alignment horizontal="center" vertical="center"/>
    </xf>
    <xf numFmtId="0" fontId="40" fillId="9" borderId="60" xfId="0" applyFont="1" applyFill="1" applyBorder="1" applyAlignment="1">
      <alignment horizontal="center" vertical="center"/>
    </xf>
    <xf numFmtId="0" fontId="13" fillId="0" borderId="0" xfId="4" applyFont="1" applyAlignment="1">
      <alignment horizontal="center" vertical="center"/>
    </xf>
    <xf numFmtId="0" fontId="80" fillId="0" borderId="0" xfId="4" applyFont="1" applyAlignment="1">
      <alignment horizontal="right" vertical="center" wrapText="1"/>
    </xf>
    <xf numFmtId="0" fontId="13" fillId="0" borderId="0" xfId="4" applyFont="1" applyAlignment="1">
      <alignment vertical="center"/>
    </xf>
    <xf numFmtId="0" fontId="80" fillId="0" borderId="0" xfId="4" applyFont="1" applyAlignment="1">
      <alignment horizontal="left" vertical="center" wrapText="1"/>
    </xf>
    <xf numFmtId="0" fontId="80" fillId="0" borderId="0" xfId="4" applyFont="1" applyAlignment="1">
      <alignment horizontal="center" vertical="center"/>
    </xf>
    <xf numFmtId="0" fontId="80" fillId="0" borderId="0" xfId="4" applyFont="1" applyAlignment="1">
      <alignment vertical="center" wrapText="1"/>
    </xf>
    <xf numFmtId="173" fontId="13" fillId="0" borderId="0" xfId="10" applyNumberFormat="1" applyFont="1" applyAlignment="1">
      <alignment vertical="center"/>
    </xf>
    <xf numFmtId="0" fontId="12" fillId="2" borderId="0" xfId="4" applyFont="1" applyFill="1" applyAlignment="1">
      <alignment horizontal="center" vertical="center" wrapText="1"/>
    </xf>
    <xf numFmtId="0" fontId="13" fillId="3" borderId="0" xfId="4" applyFont="1" applyFill="1" applyAlignment="1">
      <alignment horizontal="center" vertical="center"/>
    </xf>
    <xf numFmtId="0" fontId="13" fillId="3" borderId="0" xfId="4" applyFont="1" applyFill="1" applyAlignment="1">
      <alignment horizontal="left" vertical="center"/>
    </xf>
    <xf numFmtId="167" fontId="13" fillId="3" borderId="0" xfId="11" applyNumberFormat="1" applyFont="1" applyFill="1" applyAlignment="1">
      <alignment vertical="center"/>
    </xf>
    <xf numFmtId="0" fontId="13" fillId="0" borderId="0" xfId="4" applyFont="1" applyAlignment="1">
      <alignment horizontal="left" vertical="center"/>
    </xf>
    <xf numFmtId="167" fontId="13" fillId="0" borderId="0" xfId="11" applyNumberFormat="1" applyFont="1" applyAlignment="1">
      <alignment vertical="center"/>
    </xf>
    <xf numFmtId="0" fontId="80" fillId="16" borderId="0" xfId="4" applyFont="1" applyFill="1" applyAlignment="1">
      <alignment vertical="center"/>
    </xf>
    <xf numFmtId="0" fontId="80" fillId="16" borderId="0" xfId="4" applyFont="1" applyFill="1" applyAlignment="1">
      <alignment vertical="center" wrapText="1"/>
    </xf>
    <xf numFmtId="0" fontId="82" fillId="0" borderId="0" xfId="4" applyFont="1" applyAlignment="1">
      <alignment horizontal="center" vertical="center"/>
    </xf>
    <xf numFmtId="0" fontId="13" fillId="9" borderId="0" xfId="4" applyFont="1" applyFill="1" applyAlignment="1">
      <alignment vertical="center"/>
    </xf>
    <xf numFmtId="0" fontId="13" fillId="0" borderId="0" xfId="4" applyFont="1" applyAlignment="1">
      <alignment vertical="center" wrapText="1"/>
    </xf>
    <xf numFmtId="0" fontId="80" fillId="0" borderId="0" xfId="4" applyFont="1" applyAlignment="1">
      <alignment horizontal="center" vertical="center" wrapText="1"/>
    </xf>
    <xf numFmtId="49" fontId="80" fillId="0" borderId="0" xfId="4" applyNumberFormat="1" applyFont="1" applyAlignment="1">
      <alignment horizontal="left" vertical="center" wrapText="1"/>
    </xf>
    <xf numFmtId="0" fontId="76" fillId="0" borderId="0" xfId="3" applyFont="1" applyAlignment="1"/>
    <xf numFmtId="0" fontId="78" fillId="0" borderId="0" xfId="0" applyFont="1"/>
    <xf numFmtId="0" fontId="83" fillId="0" borderId="0" xfId="0" applyFont="1"/>
    <xf numFmtId="0" fontId="79" fillId="0" borderId="0" xfId="3" applyFont="1" applyAlignment="1"/>
    <xf numFmtId="0" fontId="84" fillId="0" borderId="0" xfId="0" applyFont="1"/>
    <xf numFmtId="0" fontId="24" fillId="2" borderId="62" xfId="0" applyFont="1" applyFill="1" applyBorder="1" applyAlignment="1">
      <alignment horizontal="center" vertical="center" wrapText="1"/>
    </xf>
    <xf numFmtId="0" fontId="24" fillId="2" borderId="63" xfId="0" applyFont="1" applyFill="1" applyBorder="1" applyAlignment="1">
      <alignment horizontal="center" vertical="center" wrapText="1"/>
    </xf>
    <xf numFmtId="0" fontId="24" fillId="2" borderId="63" xfId="1" applyNumberFormat="1" applyFont="1" applyFill="1" applyBorder="1" applyAlignment="1">
      <alignment horizontal="center" vertical="center" wrapText="1"/>
    </xf>
    <xf numFmtId="166" fontId="24" fillId="2" borderId="63" xfId="1" applyNumberFormat="1" applyFont="1" applyFill="1" applyBorder="1" applyAlignment="1">
      <alignment horizontal="center" vertical="center" wrapText="1"/>
    </xf>
    <xf numFmtId="0" fontId="24" fillId="2" borderId="64" xfId="0" applyFont="1" applyFill="1" applyBorder="1" applyAlignment="1">
      <alignment horizontal="center" vertical="center" wrapText="1"/>
    </xf>
    <xf numFmtId="14" fontId="21" fillId="3" borderId="0" xfId="0" applyNumberFormat="1" applyFont="1" applyFill="1" applyAlignment="1">
      <alignment horizontal="left" vertical="center"/>
    </xf>
    <xf numFmtId="165" fontId="21" fillId="3" borderId="0" xfId="1" applyFont="1" applyFill="1" applyBorder="1" applyAlignment="1">
      <alignment vertical="center"/>
    </xf>
    <xf numFmtId="166" fontId="21" fillId="3" borderId="0" xfId="1" applyNumberFormat="1" applyFont="1" applyFill="1" applyBorder="1" applyAlignment="1">
      <alignment vertical="center"/>
    </xf>
    <xf numFmtId="0" fontId="21" fillId="3" borderId="0" xfId="0" applyFont="1" applyFill="1" applyAlignment="1">
      <alignment horizontal="left" vertical="center"/>
    </xf>
    <xf numFmtId="14" fontId="21" fillId="9" borderId="0" xfId="0" applyNumberFormat="1" applyFont="1" applyFill="1" applyAlignment="1">
      <alignment horizontal="left" vertical="center"/>
    </xf>
    <xf numFmtId="166" fontId="21" fillId="9" borderId="0" xfId="1" applyNumberFormat="1" applyFont="1" applyFill="1" applyBorder="1" applyAlignment="1">
      <alignment vertical="center"/>
    </xf>
    <xf numFmtId="0" fontId="21" fillId="9" borderId="0" xfId="0" applyFont="1" applyFill="1" applyAlignment="1">
      <alignment horizontal="left" vertical="center"/>
    </xf>
    <xf numFmtId="0" fontId="0" fillId="9" borderId="35" xfId="0" applyFill="1" applyBorder="1" applyAlignment="1">
      <alignment vertical="center" wrapText="1"/>
    </xf>
    <xf numFmtId="0" fontId="0" fillId="9" borderId="35" xfId="0" quotePrefix="1" applyFill="1" applyBorder="1" applyAlignment="1">
      <alignment vertical="center" wrapText="1"/>
    </xf>
    <xf numFmtId="0" fontId="0" fillId="3" borderId="36" xfId="0" applyFill="1" applyBorder="1" applyAlignment="1">
      <alignment vertical="center" wrapText="1"/>
    </xf>
    <xf numFmtId="0" fontId="0" fillId="3" borderId="36" xfId="0" quotePrefix="1" applyFill="1" applyBorder="1" applyAlignment="1">
      <alignment vertical="center" wrapText="1"/>
    </xf>
    <xf numFmtId="0" fontId="0" fillId="3" borderId="24" xfId="0" applyFill="1" applyBorder="1" applyAlignment="1">
      <alignment vertical="center" wrapText="1"/>
    </xf>
    <xf numFmtId="0" fontId="0" fillId="3" borderId="24" xfId="0" quotePrefix="1" applyFill="1" applyBorder="1" applyAlignment="1">
      <alignment vertical="center" wrapText="1"/>
    </xf>
    <xf numFmtId="0" fontId="85" fillId="2" borderId="65" xfId="0" applyFont="1" applyFill="1" applyBorder="1" applyAlignment="1">
      <alignment horizontal="center" vertical="center" wrapText="1"/>
    </xf>
    <xf numFmtId="0" fontId="86" fillId="0" borderId="0" xfId="0" applyFont="1" applyAlignment="1">
      <alignment vertical="center"/>
    </xf>
    <xf numFmtId="0" fontId="87" fillId="0" borderId="0" xfId="3" applyFont="1" applyAlignment="1">
      <alignment vertical="center"/>
    </xf>
    <xf numFmtId="0" fontId="88" fillId="0" borderId="0" xfId="0" applyFont="1" applyAlignment="1">
      <alignment vertical="center"/>
    </xf>
    <xf numFmtId="0" fontId="90" fillId="2" borderId="4" xfId="0" applyFont="1" applyFill="1" applyBorder="1" applyAlignment="1">
      <alignment horizontal="center" vertical="center" wrapText="1"/>
    </xf>
    <xf numFmtId="0" fontId="91" fillId="11" borderId="28" xfId="0" applyFont="1" applyFill="1" applyBorder="1" applyAlignment="1">
      <alignment horizontal="justify" vertical="center" wrapText="1"/>
    </xf>
    <xf numFmtId="0" fontId="92" fillId="12" borderId="29" xfId="0" applyFont="1" applyFill="1" applyBorder="1" applyAlignment="1">
      <alignment horizontal="justify" vertical="center" wrapText="1"/>
    </xf>
    <xf numFmtId="0" fontId="92" fillId="12" borderId="28" xfId="0" applyFont="1" applyFill="1" applyBorder="1" applyAlignment="1">
      <alignment horizontal="justify" vertical="center" wrapText="1"/>
    </xf>
    <xf numFmtId="0" fontId="90" fillId="2" borderId="28" xfId="0" applyFont="1" applyFill="1" applyBorder="1" applyAlignment="1">
      <alignment horizontal="center" vertical="center" wrapText="1"/>
    </xf>
    <xf numFmtId="0" fontId="92" fillId="0" borderId="29" xfId="0" applyFont="1" applyBorder="1" applyAlignment="1">
      <alignment horizontal="justify" vertical="center" wrapText="1"/>
    </xf>
    <xf numFmtId="0" fontId="92" fillId="0" borderId="28" xfId="0" applyFont="1" applyBorder="1" applyAlignment="1">
      <alignment horizontal="justify" vertical="center" wrapText="1"/>
    </xf>
    <xf numFmtId="0" fontId="94" fillId="0" borderId="0" xfId="0" applyFont="1" applyAlignment="1">
      <alignment vertical="center"/>
    </xf>
    <xf numFmtId="0" fontId="12" fillId="2" borderId="12" xfId="0" applyFont="1" applyFill="1" applyBorder="1" applyAlignment="1">
      <alignment horizontal="center" vertical="center" wrapText="1"/>
    </xf>
    <xf numFmtId="0" fontId="12" fillId="2" borderId="12" xfId="0" applyFont="1" applyFill="1" applyBorder="1" applyAlignment="1">
      <alignment vertical="center" wrapText="1"/>
    </xf>
    <xf numFmtId="0" fontId="95" fillId="11" borderId="12" xfId="0" applyFont="1" applyFill="1" applyBorder="1" applyAlignment="1">
      <alignment vertical="center"/>
    </xf>
    <xf numFmtId="174" fontId="95" fillId="11" borderId="12" xfId="1" applyNumberFormat="1" applyFont="1" applyFill="1" applyBorder="1" applyAlignment="1">
      <alignment vertical="center"/>
    </xf>
    <xf numFmtId="0" fontId="95" fillId="11" borderId="12" xfId="0" applyFont="1" applyFill="1" applyBorder="1" applyAlignment="1">
      <alignment vertical="center" wrapText="1"/>
    </xf>
    <xf numFmtId="175" fontId="95" fillId="11" borderId="12" xfId="1" applyNumberFormat="1" applyFont="1" applyFill="1" applyBorder="1" applyAlignment="1">
      <alignment vertical="center"/>
    </xf>
    <xf numFmtId="0" fontId="95" fillId="9" borderId="12" xfId="0" applyFont="1" applyFill="1" applyBorder="1" applyAlignment="1">
      <alignment vertical="center" wrapText="1"/>
    </xf>
    <xf numFmtId="174" fontId="95" fillId="9" borderId="12" xfId="1" applyNumberFormat="1" applyFont="1" applyFill="1" applyBorder="1" applyAlignment="1">
      <alignment vertical="center"/>
    </xf>
    <xf numFmtId="174" fontId="9" fillId="9" borderId="12" xfId="1" applyNumberFormat="1" applyFont="1" applyFill="1" applyBorder="1" applyAlignment="1">
      <alignment vertical="center"/>
    </xf>
    <xf numFmtId="175" fontId="9" fillId="9" borderId="12" xfId="1" applyNumberFormat="1" applyFont="1" applyFill="1" applyBorder="1" applyAlignment="1">
      <alignment vertical="center"/>
    </xf>
    <xf numFmtId="0" fontId="81" fillId="14" borderId="12" xfId="0" applyFont="1" applyFill="1" applyBorder="1" applyAlignment="1">
      <alignment vertical="center"/>
    </xf>
    <xf numFmtId="174" fontId="81" fillId="14" borderId="12" xfId="0" applyNumberFormat="1" applyFont="1" applyFill="1" applyBorder="1" applyAlignment="1">
      <alignment vertical="center"/>
    </xf>
    <xf numFmtId="0" fontId="81" fillId="17" borderId="0" xfId="4" applyFont="1" applyFill="1" applyAlignment="1">
      <alignment horizontal="left" vertical="center"/>
    </xf>
    <xf numFmtId="0" fontId="81" fillId="17" borderId="0" xfId="4" applyFont="1" applyFill="1" applyAlignment="1">
      <alignment horizontal="left" vertical="center" wrapText="1"/>
    </xf>
    <xf numFmtId="167" fontId="12" fillId="17" borderId="0" xfId="4" applyNumberFormat="1" applyFont="1" applyFill="1" applyAlignment="1">
      <alignment horizontal="center" vertical="center" wrapText="1"/>
    </xf>
    <xf numFmtId="166" fontId="80" fillId="16" borderId="0" xfId="10" applyNumberFormat="1" applyFont="1" applyFill="1" applyAlignment="1">
      <alignment vertical="center" wrapText="1"/>
    </xf>
    <xf numFmtId="166" fontId="13" fillId="3" borderId="0" xfId="10" applyNumberFormat="1" applyFont="1" applyFill="1" applyAlignment="1">
      <alignment horizontal="left" vertical="center"/>
    </xf>
    <xf numFmtId="166" fontId="13" fillId="0" borderId="0" xfId="10" applyNumberFormat="1" applyFont="1" applyAlignment="1">
      <alignment horizontal="left" vertical="center"/>
    </xf>
    <xf numFmtId="0" fontId="76" fillId="0" borderId="0" xfId="3" applyFont="1" applyAlignment="1">
      <alignment vertical="center"/>
    </xf>
    <xf numFmtId="166" fontId="78" fillId="0" borderId="0" xfId="1" applyNumberFormat="1" applyFont="1"/>
    <xf numFmtId="0" fontId="0" fillId="3" borderId="0" xfId="0" applyFill="1"/>
    <xf numFmtId="166" fontId="0" fillId="3" borderId="0" xfId="10" applyNumberFormat="1" applyFont="1" applyFill="1"/>
    <xf numFmtId="0" fontId="0" fillId="9" borderId="0" xfId="0" applyFill="1"/>
    <xf numFmtId="166" fontId="0" fillId="9" borderId="0" xfId="10" applyNumberFormat="1" applyFont="1" applyFill="1"/>
    <xf numFmtId="0" fontId="99" fillId="18" borderId="0" xfId="0" applyFont="1" applyFill="1"/>
    <xf numFmtId="166" fontId="99" fillId="18" borderId="0" xfId="10" applyNumberFormat="1" applyFont="1" applyFill="1"/>
    <xf numFmtId="166" fontId="69" fillId="0" borderId="0" xfId="1" applyNumberFormat="1" applyFont="1" applyAlignment="1">
      <alignment vertical="center"/>
    </xf>
    <xf numFmtId="166" fontId="54" fillId="0" borderId="0" xfId="1" applyNumberFormat="1" applyFont="1" applyAlignment="1">
      <alignment vertical="center"/>
    </xf>
    <xf numFmtId="166" fontId="70" fillId="2" borderId="23" xfId="1" applyNumberFormat="1" applyFont="1" applyFill="1" applyBorder="1" applyAlignment="1">
      <alignment horizontal="center" vertical="center"/>
    </xf>
    <xf numFmtId="166" fontId="71" fillId="3" borderId="0" xfId="1" applyNumberFormat="1" applyFont="1" applyFill="1" applyAlignment="1">
      <alignment vertical="center"/>
    </xf>
    <xf numFmtId="166" fontId="71" fillId="9" borderId="0" xfId="1" applyNumberFormat="1" applyFont="1" applyFill="1" applyAlignment="1">
      <alignment vertical="center"/>
    </xf>
    <xf numFmtId="0" fontId="100" fillId="0" borderId="0" xfId="0" applyFont="1" applyAlignment="1">
      <alignment vertical="center"/>
    </xf>
    <xf numFmtId="0" fontId="101" fillId="0" borderId="0" xfId="0" applyFont="1" applyAlignment="1">
      <alignment vertical="center"/>
    </xf>
    <xf numFmtId="0" fontId="102" fillId="0" borderId="0" xfId="0" applyFont="1" applyAlignment="1">
      <alignment vertical="center"/>
    </xf>
    <xf numFmtId="0" fontId="103" fillId="2" borderId="0" xfId="0" applyFont="1" applyFill="1" applyAlignment="1">
      <alignment horizontal="center" vertical="center"/>
    </xf>
    <xf numFmtId="0" fontId="103" fillId="2" borderId="0" xfId="0" applyFont="1" applyFill="1" applyAlignment="1">
      <alignment horizontal="center" vertical="center" wrapText="1"/>
    </xf>
    <xf numFmtId="0" fontId="102" fillId="3" borderId="0" xfId="0" applyFont="1" applyFill="1" applyAlignment="1">
      <alignment horizontal="left" vertical="center"/>
    </xf>
    <xf numFmtId="0" fontId="102" fillId="3" borderId="0" xfId="0" applyFont="1" applyFill="1" applyAlignment="1">
      <alignment horizontal="left" vertical="center" wrapText="1"/>
    </xf>
    <xf numFmtId="14" fontId="102" fillId="3" borderId="0" xfId="0" applyNumberFormat="1" applyFont="1" applyFill="1" applyAlignment="1">
      <alignment horizontal="left" vertical="center"/>
    </xf>
    <xf numFmtId="0" fontId="102" fillId="9" borderId="0" xfId="0" applyFont="1" applyFill="1" applyAlignment="1">
      <alignment horizontal="left" vertical="center"/>
    </xf>
    <xf numFmtId="0" fontId="102" fillId="9" borderId="0" xfId="0" applyFont="1" applyFill="1" applyAlignment="1">
      <alignment horizontal="left" vertical="center" wrapText="1"/>
    </xf>
    <xf numFmtId="14" fontId="102" fillId="9" borderId="0" xfId="0" applyNumberFormat="1" applyFont="1" applyFill="1" applyAlignment="1">
      <alignment horizontal="left" vertical="center"/>
    </xf>
    <xf numFmtId="0" fontId="40" fillId="0" borderId="24" xfId="0" applyFont="1" applyBorder="1" applyAlignment="1">
      <alignment horizontal="center" vertical="center"/>
    </xf>
    <xf numFmtId="0" fontId="40" fillId="0" borderId="24" xfId="0" applyFont="1" applyBorder="1" applyAlignment="1">
      <alignment vertical="center" wrapText="1"/>
    </xf>
    <xf numFmtId="0" fontId="23" fillId="2" borderId="65" xfId="0" applyFont="1" applyFill="1" applyBorder="1" applyAlignment="1">
      <alignment horizontal="center" vertical="center" wrapText="1"/>
    </xf>
    <xf numFmtId="0" fontId="23" fillId="2" borderId="66" xfId="0" applyFont="1" applyFill="1" applyBorder="1" applyAlignment="1">
      <alignment horizontal="center" vertical="center" wrapText="1"/>
    </xf>
    <xf numFmtId="0" fontId="46" fillId="3" borderId="24" xfId="0" applyFont="1" applyFill="1" applyBorder="1" applyAlignment="1">
      <alignment horizontal="center" vertical="center"/>
    </xf>
    <xf numFmtId="0" fontId="46" fillId="3" borderId="24" xfId="0" applyFont="1" applyFill="1" applyBorder="1" applyAlignment="1">
      <alignment vertical="center"/>
    </xf>
    <xf numFmtId="0" fontId="46" fillId="3" borderId="24" xfId="0" applyFont="1" applyFill="1" applyBorder="1" applyAlignment="1">
      <alignment horizontal="center" vertical="center" wrapText="1"/>
    </xf>
    <xf numFmtId="0" fontId="46" fillId="3" borderId="24" xfId="0" applyFont="1" applyFill="1" applyBorder="1" applyAlignment="1">
      <alignment horizontal="left" vertical="center" wrapText="1"/>
    </xf>
    <xf numFmtId="0" fontId="46" fillId="9" borderId="35" xfId="0" applyFont="1" applyFill="1" applyBorder="1" applyAlignment="1">
      <alignment horizontal="center" vertical="center"/>
    </xf>
    <xf numFmtId="0" fontId="46" fillId="9" borderId="35" xfId="0" applyFont="1" applyFill="1" applyBorder="1" applyAlignment="1">
      <alignment vertical="center"/>
    </xf>
    <xf numFmtId="0" fontId="46" fillId="9" borderId="35" xfId="0" applyFont="1" applyFill="1" applyBorder="1" applyAlignment="1">
      <alignment horizontal="center" vertical="center" wrapText="1"/>
    </xf>
    <xf numFmtId="0" fontId="46" fillId="9" borderId="35" xfId="0" applyFont="1" applyFill="1" applyBorder="1" applyAlignment="1">
      <alignment horizontal="left" vertical="center" wrapText="1"/>
    </xf>
    <xf numFmtId="0" fontId="46" fillId="3" borderId="35" xfId="0" applyFont="1" applyFill="1" applyBorder="1" applyAlignment="1">
      <alignment horizontal="center" vertical="center"/>
    </xf>
    <xf numFmtId="0" fontId="46" fillId="3" borderId="35" xfId="0" applyFont="1" applyFill="1" applyBorder="1" applyAlignment="1">
      <alignment vertical="center"/>
    </xf>
    <xf numFmtId="0" fontId="46" fillId="3" borderId="35" xfId="0" applyFont="1" applyFill="1" applyBorder="1" applyAlignment="1">
      <alignment horizontal="center" vertical="center" wrapText="1"/>
    </xf>
    <xf numFmtId="0" fontId="46" fillId="3" borderId="35" xfId="0" applyFont="1" applyFill="1" applyBorder="1" applyAlignment="1">
      <alignment horizontal="left" vertical="center" wrapText="1"/>
    </xf>
    <xf numFmtId="0" fontId="46" fillId="3" borderId="36" xfId="0" applyFont="1" applyFill="1" applyBorder="1" applyAlignment="1">
      <alignment horizontal="center" vertical="center"/>
    </xf>
    <xf numFmtId="0" fontId="46" fillId="3" borderId="36" xfId="0" applyFont="1" applyFill="1" applyBorder="1" applyAlignment="1">
      <alignment vertical="center"/>
    </xf>
    <xf numFmtId="0" fontId="46" fillId="3" borderId="36" xfId="0" applyFont="1" applyFill="1" applyBorder="1" applyAlignment="1">
      <alignment horizontal="center" vertical="center" wrapText="1"/>
    </xf>
    <xf numFmtId="0" fontId="46" fillId="3" borderId="36" xfId="0" applyFont="1" applyFill="1" applyBorder="1" applyAlignment="1">
      <alignment horizontal="left" vertical="center" wrapText="1"/>
    </xf>
    <xf numFmtId="0" fontId="24" fillId="18" borderId="0" xfId="0" applyFont="1" applyFill="1" applyAlignment="1">
      <alignment horizontal="center" vertical="center"/>
    </xf>
    <xf numFmtId="0" fontId="24" fillId="18" borderId="0" xfId="0" applyFont="1" applyFill="1" applyAlignment="1">
      <alignment vertical="center"/>
    </xf>
    <xf numFmtId="166" fontId="24" fillId="18" borderId="0" xfId="0" applyNumberFormat="1" applyFont="1" applyFill="1" applyAlignment="1">
      <alignment vertical="center"/>
    </xf>
    <xf numFmtId="0" fontId="104" fillId="0" borderId="14" xfId="5" applyFont="1" applyBorder="1" applyAlignment="1">
      <alignment vertical="center" wrapText="1"/>
    </xf>
    <xf numFmtId="0" fontId="74" fillId="0" borderId="0" xfId="3" applyFont="1" applyAlignment="1">
      <alignment horizontal="left"/>
    </xf>
    <xf numFmtId="0" fontId="23" fillId="4" borderId="2" xfId="0" applyFont="1" applyFill="1" applyBorder="1" applyAlignment="1">
      <alignment horizontal="left" vertical="center" wrapText="1"/>
    </xf>
    <xf numFmtId="0" fontId="23" fillId="4" borderId="0" xfId="0" applyFont="1" applyFill="1" applyAlignment="1">
      <alignment horizontal="left" vertical="center" wrapText="1"/>
    </xf>
    <xf numFmtId="0" fontId="3" fillId="0" borderId="0" xfId="3" applyAlignment="1">
      <alignment horizontal="left"/>
    </xf>
    <xf numFmtId="9" fontId="67" fillId="9" borderId="35" xfId="7" applyFont="1" applyFill="1" applyBorder="1" applyAlignment="1">
      <alignment horizontal="right" vertical="center"/>
    </xf>
    <xf numFmtId="0" fontId="12" fillId="2" borderId="1" xfId="0" applyFont="1" applyFill="1" applyBorder="1" applyAlignment="1">
      <alignment horizontal="center" vertical="center" wrapText="1"/>
    </xf>
    <xf numFmtId="0" fontId="67" fillId="9" borderId="35" xfId="0" applyFont="1" applyFill="1" applyBorder="1" applyAlignment="1">
      <alignment horizontal="left" vertical="center"/>
    </xf>
    <xf numFmtId="0" fontId="67" fillId="3" borderId="35" xfId="0" applyFont="1" applyFill="1" applyBorder="1" applyAlignment="1">
      <alignment horizontal="left" vertical="center"/>
    </xf>
    <xf numFmtId="9" fontId="67" fillId="3" borderId="35" xfId="7" applyFont="1" applyFill="1" applyBorder="1" applyAlignment="1">
      <alignment horizontal="right" vertical="center"/>
    </xf>
    <xf numFmtId="0" fontId="67" fillId="9" borderId="35" xfId="2" applyFont="1" applyFill="1" applyBorder="1" applyAlignment="1">
      <alignment horizontal="left" vertical="center"/>
    </xf>
    <xf numFmtId="0" fontId="67" fillId="3" borderId="35" xfId="2" applyFont="1" applyFill="1" applyBorder="1" applyAlignment="1">
      <alignment horizontal="left" vertical="center"/>
    </xf>
    <xf numFmtId="0" fontId="67" fillId="9" borderId="35" xfId="7" applyNumberFormat="1" applyFont="1" applyFill="1" applyBorder="1" applyAlignment="1">
      <alignment horizontal="left" vertical="center"/>
    </xf>
    <xf numFmtId="9" fontId="67" fillId="9" borderId="35" xfId="0" applyNumberFormat="1" applyFont="1" applyFill="1" applyBorder="1" applyAlignment="1">
      <alignment horizontal="right" vertical="center" wrapText="1"/>
    </xf>
    <xf numFmtId="0" fontId="23" fillId="2" borderId="65" xfId="0" applyFont="1" applyFill="1" applyBorder="1" applyAlignment="1">
      <alignment horizontal="center" vertical="center" wrapText="1"/>
    </xf>
    <xf numFmtId="0" fontId="24" fillId="19" borderId="67" xfId="0" applyFont="1" applyFill="1" applyBorder="1" applyAlignment="1">
      <alignment horizontal="left" vertical="center" wrapText="1"/>
    </xf>
    <xf numFmtId="0" fontId="40" fillId="10" borderId="12" xfId="0" applyFont="1" applyFill="1" applyBorder="1" applyAlignment="1">
      <alignment horizontal="center" vertical="center" wrapText="1"/>
    </xf>
    <xf numFmtId="0" fontId="21" fillId="3" borderId="10" xfId="0" applyFont="1" applyFill="1" applyBorder="1" applyAlignment="1">
      <alignment horizontal="center" vertical="center"/>
    </xf>
    <xf numFmtId="0" fontId="21" fillId="3" borderId="14" xfId="0" applyFont="1" applyFill="1" applyBorder="1" applyAlignment="1">
      <alignment horizontal="center" vertical="center"/>
    </xf>
    <xf numFmtId="0" fontId="21" fillId="3" borderId="11" xfId="0" applyFont="1" applyFill="1" applyBorder="1" applyAlignment="1">
      <alignment horizontal="center" vertical="center"/>
    </xf>
    <xf numFmtId="0" fontId="40" fillId="10" borderId="12" xfId="0" applyFont="1" applyFill="1" applyBorder="1" applyAlignment="1">
      <alignment horizontal="center" vertical="center"/>
    </xf>
    <xf numFmtId="166" fontId="40" fillId="10" borderId="12" xfId="6" applyNumberFormat="1" applyFont="1" applyFill="1" applyBorder="1" applyAlignment="1">
      <alignment horizontal="center" vertical="center" wrapText="1"/>
    </xf>
    <xf numFmtId="167" fontId="21" fillId="3" borderId="10" xfId="2" applyNumberFormat="1" applyFont="1" applyFill="1" applyBorder="1" applyAlignment="1">
      <alignment horizontal="center" vertical="center" wrapText="1"/>
    </xf>
    <xf numFmtId="167" fontId="21" fillId="3" borderId="14" xfId="2" applyNumberFormat="1" applyFont="1" applyFill="1" applyBorder="1" applyAlignment="1">
      <alignment horizontal="center" vertical="center" wrapText="1"/>
    </xf>
    <xf numFmtId="167" fontId="21" fillId="3" borderId="11" xfId="2" applyNumberFormat="1" applyFont="1" applyFill="1" applyBorder="1" applyAlignment="1">
      <alignment horizontal="center" vertical="center" wrapText="1"/>
    </xf>
    <xf numFmtId="167" fontId="21" fillId="0" borderId="10" xfId="2" applyNumberFormat="1" applyFont="1" applyBorder="1" applyAlignment="1">
      <alignment horizontal="center" vertical="center" wrapText="1"/>
    </xf>
    <xf numFmtId="167" fontId="21" fillId="0" borderId="14" xfId="2" applyNumberFormat="1" applyFont="1" applyBorder="1" applyAlignment="1">
      <alignment horizontal="center" vertical="center" wrapText="1"/>
    </xf>
    <xf numFmtId="167" fontId="21" fillId="0" borderId="11" xfId="2" applyNumberFormat="1" applyFont="1" applyBorder="1" applyAlignment="1">
      <alignment horizontal="center" vertical="center" wrapText="1"/>
    </xf>
    <xf numFmtId="0" fontId="40" fillId="10" borderId="15" xfId="0" applyFont="1" applyFill="1" applyBorder="1" applyAlignment="1">
      <alignment horizontal="center" vertical="center" wrapText="1"/>
    </xf>
    <xf numFmtId="0" fontId="40" fillId="10" borderId="17" xfId="0" applyFont="1" applyFill="1" applyBorder="1" applyAlignment="1">
      <alignment horizontal="center" vertical="center" wrapText="1"/>
    </xf>
    <xf numFmtId="167" fontId="40" fillId="10" borderId="12" xfId="6" applyNumberFormat="1" applyFont="1" applyFill="1" applyBorder="1" applyAlignment="1">
      <alignment horizontal="center" vertical="center" wrapText="1"/>
    </xf>
    <xf numFmtId="0" fontId="24" fillId="14" borderId="0" xfId="0" applyFont="1" applyFill="1" applyAlignment="1">
      <alignment horizontal="center" vertical="center"/>
    </xf>
    <xf numFmtId="0" fontId="41" fillId="15" borderId="15" xfId="0" applyFont="1" applyFill="1" applyBorder="1" applyAlignment="1">
      <alignment horizontal="center" vertical="center"/>
    </xf>
    <xf numFmtId="0" fontId="41" fillId="15" borderId="16" xfId="0" applyFont="1" applyFill="1" applyBorder="1" applyAlignment="1">
      <alignment horizontal="center" vertical="center"/>
    </xf>
    <xf numFmtId="0" fontId="41" fillId="15" borderId="17" xfId="0" applyFont="1" applyFill="1" applyBorder="1" applyAlignment="1">
      <alignment horizontal="center" vertical="center"/>
    </xf>
    <xf numFmtId="0" fontId="51" fillId="5" borderId="3" xfId="0" applyFont="1" applyFill="1" applyBorder="1" applyAlignment="1">
      <alignment horizontal="center" vertical="center"/>
    </xf>
    <xf numFmtId="0" fontId="51" fillId="5" borderId="6" xfId="0" applyFont="1" applyFill="1" applyBorder="1" applyAlignment="1">
      <alignment horizontal="center" vertical="center"/>
    </xf>
    <xf numFmtId="0" fontId="51" fillId="5" borderId="7" xfId="0" applyFont="1" applyFill="1" applyBorder="1" applyAlignment="1">
      <alignment horizontal="center" vertical="center"/>
    </xf>
    <xf numFmtId="0" fontId="51" fillId="5" borderId="5" xfId="0" applyFont="1" applyFill="1" applyBorder="1" applyAlignment="1">
      <alignment horizontal="center" vertical="center"/>
    </xf>
    <xf numFmtId="0" fontId="10" fillId="8" borderId="0" xfId="0" applyFont="1" applyFill="1" applyAlignment="1">
      <alignment horizontal="left" vertical="center" wrapText="1"/>
    </xf>
    <xf numFmtId="0" fontId="10" fillId="0" borderId="0" xfId="0" applyFont="1" applyAlignment="1">
      <alignment horizontal="left" vertical="center" wrapText="1"/>
    </xf>
    <xf numFmtId="0" fontId="37" fillId="6" borderId="0" xfId="0" applyFont="1" applyFill="1" applyAlignment="1">
      <alignment horizontal="left" vertical="center" wrapText="1"/>
    </xf>
    <xf numFmtId="0" fontId="11" fillId="9" borderId="0" xfId="0" applyFont="1" applyFill="1" applyAlignment="1">
      <alignment horizontal="left" vertical="center" wrapText="1"/>
    </xf>
    <xf numFmtId="0" fontId="11" fillId="9" borderId="0" xfId="0" applyFont="1" applyFill="1" applyAlignment="1">
      <alignment vertical="center" wrapText="1"/>
    </xf>
    <xf numFmtId="0" fontId="11" fillId="9" borderId="35" xfId="0" applyFont="1" applyFill="1" applyBorder="1" applyAlignment="1">
      <alignment vertical="center" wrapText="1"/>
    </xf>
    <xf numFmtId="0" fontId="81" fillId="2" borderId="0" xfId="4" applyFont="1" applyFill="1" applyAlignment="1">
      <alignment horizontal="center" vertical="center"/>
    </xf>
    <xf numFmtId="0" fontId="81" fillId="2" borderId="0" xfId="4" applyFont="1" applyFill="1" applyAlignment="1">
      <alignment horizontal="left" vertical="center" wrapText="1"/>
    </xf>
    <xf numFmtId="0" fontId="12" fillId="2" borderId="59" xfId="4" applyFont="1" applyFill="1" applyBorder="1" applyAlignment="1">
      <alignment horizontal="center" vertical="center" wrapText="1"/>
    </xf>
    <xf numFmtId="0" fontId="12" fillId="2" borderId="0" xfId="4" applyFont="1" applyFill="1" applyAlignment="1">
      <alignment horizontal="center" vertical="center" wrapText="1"/>
    </xf>
    <xf numFmtId="0" fontId="72" fillId="14" borderId="33" xfId="0" applyFont="1" applyFill="1" applyBorder="1" applyAlignment="1">
      <alignment horizontal="center" vertical="center"/>
    </xf>
    <xf numFmtId="0" fontId="13" fillId="0" borderId="0" xfId="0" applyFont="1" applyAlignment="1">
      <alignment horizontal="center" vertical="center"/>
    </xf>
    <xf numFmtId="0" fontId="13" fillId="3" borderId="0" xfId="0" applyFont="1" applyFill="1" applyAlignment="1">
      <alignment horizontal="center" vertical="center"/>
    </xf>
    <xf numFmtId="0" fontId="13" fillId="3" borderId="2" xfId="0" applyFont="1" applyFill="1" applyBorder="1" applyAlignment="1">
      <alignment horizontal="center" vertical="center"/>
    </xf>
    <xf numFmtId="0" fontId="18" fillId="14" borderId="33" xfId="0" applyFont="1" applyFill="1" applyBorder="1" applyAlignment="1">
      <alignment horizontal="center" vertical="center"/>
    </xf>
    <xf numFmtId="0" fontId="18" fillId="2" borderId="15" xfId="0" applyFont="1" applyFill="1" applyBorder="1" applyAlignment="1">
      <alignment horizontal="center" vertical="center"/>
    </xf>
    <xf numFmtId="0" fontId="18" fillId="2" borderId="16" xfId="0" applyFont="1" applyFill="1" applyBorder="1" applyAlignment="1">
      <alignment horizontal="center" vertical="center"/>
    </xf>
    <xf numFmtId="0" fontId="18" fillId="2" borderId="17" xfId="0" applyFont="1" applyFill="1" applyBorder="1" applyAlignment="1">
      <alignment horizontal="center" vertical="center"/>
    </xf>
    <xf numFmtId="0" fontId="18" fillId="2" borderId="12" xfId="0" applyFont="1" applyFill="1" applyBorder="1" applyAlignment="1">
      <alignment horizontal="center" vertical="center"/>
    </xf>
    <xf numFmtId="0" fontId="18" fillId="2" borderId="18" xfId="0" applyFont="1" applyFill="1" applyBorder="1" applyAlignment="1">
      <alignment horizontal="center" vertical="center"/>
    </xf>
    <xf numFmtId="0" fontId="18" fillId="2" borderId="9" xfId="0" applyFont="1" applyFill="1" applyBorder="1" applyAlignment="1">
      <alignment horizontal="center" vertical="center"/>
    </xf>
    <xf numFmtId="0" fontId="18" fillId="2" borderId="19" xfId="0" applyFont="1" applyFill="1" applyBorder="1" applyAlignment="1">
      <alignment horizontal="center" vertical="center"/>
    </xf>
    <xf numFmtId="0" fontId="26" fillId="2" borderId="15" xfId="0" applyFont="1" applyFill="1" applyBorder="1" applyAlignment="1">
      <alignment horizontal="center" vertical="center"/>
    </xf>
    <xf numFmtId="0" fontId="26" fillId="2" borderId="16" xfId="0" applyFont="1" applyFill="1" applyBorder="1" applyAlignment="1">
      <alignment horizontal="center" vertical="center"/>
    </xf>
    <xf numFmtId="0" fontId="26" fillId="2" borderId="17" xfId="0" applyFont="1" applyFill="1" applyBorder="1" applyAlignment="1">
      <alignment horizontal="center" vertical="center"/>
    </xf>
    <xf numFmtId="0" fontId="26" fillId="2" borderId="12" xfId="0" applyFont="1" applyFill="1" applyBorder="1" applyAlignment="1">
      <alignment horizontal="center" vertical="center"/>
    </xf>
    <xf numFmtId="0" fontId="26" fillId="2" borderId="10" xfId="0" applyFont="1" applyFill="1" applyBorder="1" applyAlignment="1">
      <alignment horizontal="center" vertical="center"/>
    </xf>
    <xf numFmtId="0" fontId="26" fillId="2" borderId="18" xfId="0" applyFont="1" applyFill="1" applyBorder="1" applyAlignment="1">
      <alignment horizontal="center" vertical="center"/>
    </xf>
    <xf numFmtId="0" fontId="26" fillId="2" borderId="9" xfId="0" applyFont="1" applyFill="1" applyBorder="1" applyAlignment="1">
      <alignment horizontal="center" vertical="center"/>
    </xf>
    <xf numFmtId="0" fontId="26" fillId="2" borderId="19" xfId="0" applyFont="1" applyFill="1" applyBorder="1" applyAlignment="1">
      <alignment horizontal="center" vertical="center"/>
    </xf>
    <xf numFmtId="0" fontId="29" fillId="0" borderId="0" xfId="0" applyFont="1" applyAlignment="1">
      <alignment horizontal="left" vertical="center" wrapText="1"/>
    </xf>
    <xf numFmtId="0" fontId="29" fillId="0" borderId="0" xfId="0" applyFont="1" applyAlignment="1">
      <alignment vertical="center" wrapText="1"/>
    </xf>
    <xf numFmtId="0" fontId="33" fillId="0" borderId="0" xfId="0" applyFont="1" applyAlignment="1">
      <alignment vertical="center" wrapText="1"/>
    </xf>
    <xf numFmtId="0" fontId="6" fillId="0" borderId="0" xfId="0" applyFont="1" applyAlignment="1">
      <alignment vertical="center"/>
    </xf>
    <xf numFmtId="0" fontId="33" fillId="0" borderId="0" xfId="0" applyFont="1" applyAlignment="1">
      <alignment horizontal="left" vertical="center" wrapText="1"/>
    </xf>
    <xf numFmtId="0" fontId="89" fillId="0" borderId="30" xfId="0" applyFont="1" applyBorder="1" applyAlignment="1">
      <alignment horizontal="left" vertical="center" wrapText="1"/>
    </xf>
    <xf numFmtId="0" fontId="89" fillId="0" borderId="27" xfId="0" applyFont="1" applyBorder="1" applyAlignment="1">
      <alignment horizontal="left" vertical="center" wrapText="1"/>
    </xf>
    <xf numFmtId="0" fontId="89" fillId="0" borderId="26" xfId="0" applyFont="1" applyBorder="1" applyAlignment="1">
      <alignment horizontal="left" vertical="center" wrapText="1"/>
    </xf>
    <xf numFmtId="0" fontId="91" fillId="0" borderId="30" xfId="0" applyFont="1" applyBorder="1" applyAlignment="1">
      <alignment vertical="center" wrapText="1"/>
    </xf>
    <xf numFmtId="0" fontId="91" fillId="0" borderId="27" xfId="0" applyFont="1" applyBorder="1" applyAlignment="1">
      <alignment vertical="center" wrapText="1"/>
    </xf>
    <xf numFmtId="0" fontId="91" fillId="0" borderId="26" xfId="0" applyFont="1" applyBorder="1" applyAlignment="1">
      <alignment vertical="center" wrapText="1"/>
    </xf>
    <xf numFmtId="0" fontId="24" fillId="2" borderId="0" xfId="0" applyFont="1" applyFill="1" applyAlignment="1">
      <alignment horizontal="center" vertical="center"/>
    </xf>
    <xf numFmtId="0" fontId="24" fillId="2" borderId="47" xfId="0" applyFont="1" applyFill="1" applyBorder="1" applyAlignment="1">
      <alignment horizontal="center" vertical="center"/>
    </xf>
    <xf numFmtId="0" fontId="23" fillId="2" borderId="55" xfId="0" applyFont="1" applyFill="1" applyBorder="1" applyAlignment="1">
      <alignment horizontal="center" vertical="center" wrapText="1"/>
    </xf>
    <xf numFmtId="0" fontId="23" fillId="2" borderId="0" xfId="0" applyFont="1" applyFill="1" applyAlignment="1">
      <alignment horizontal="center" vertical="center" wrapText="1"/>
    </xf>
    <xf numFmtId="0" fontId="23" fillId="2" borderId="57" xfId="0" applyFont="1" applyFill="1" applyBorder="1" applyAlignment="1">
      <alignment horizontal="center" vertical="center" wrapText="1"/>
    </xf>
    <xf numFmtId="0" fontId="23" fillId="2" borderId="0" xfId="0" applyFont="1" applyFill="1" applyAlignment="1">
      <alignment vertical="center" wrapText="1"/>
    </xf>
    <xf numFmtId="0" fontId="23" fillId="2" borderId="57" xfId="0" applyFont="1" applyFill="1" applyBorder="1" applyAlignment="1">
      <alignment vertical="center" wrapText="1"/>
    </xf>
    <xf numFmtId="0" fontId="12" fillId="2" borderId="12" xfId="0" applyFont="1" applyFill="1" applyBorder="1" applyAlignment="1">
      <alignment horizontal="center" vertical="center" wrapText="1"/>
    </xf>
    <xf numFmtId="0" fontId="12" fillId="2" borderId="12" xfId="0" applyFont="1" applyFill="1" applyBorder="1" applyAlignment="1">
      <alignment horizontal="center" vertical="center"/>
    </xf>
  </cellXfs>
  <cellStyles count="13">
    <cellStyle name="Lien hypertexte" xfId="3" builtinId="8"/>
    <cellStyle name="Milliers" xfId="1" builtinId="3"/>
    <cellStyle name="Milliers 2" xfId="6" xr:uid="{00000000-0005-0000-0000-000002000000}"/>
    <cellStyle name="Milliers 414" xfId="10" xr:uid="{00000000-0005-0000-0000-000003000000}"/>
    <cellStyle name="Normal" xfId="0" builtinId="0"/>
    <cellStyle name="Normal 2" xfId="5" xr:uid="{00000000-0005-0000-0000-000005000000}"/>
    <cellStyle name="Normal 2 2 21" xfId="9" xr:uid="{00000000-0005-0000-0000-000006000000}"/>
    <cellStyle name="Normal 2 5" xfId="4" xr:uid="{00000000-0005-0000-0000-000007000000}"/>
    <cellStyle name="Normal 4" xfId="8" xr:uid="{00000000-0005-0000-0000-000008000000}"/>
    <cellStyle name="Normal 5" xfId="2" xr:uid="{00000000-0005-0000-0000-000009000000}"/>
    <cellStyle name="Normal 5 2" xfId="11" xr:uid="{00000000-0005-0000-0000-00000A000000}"/>
    <cellStyle name="Pourcentage" xfId="7" builtinId="5"/>
    <cellStyle name="Pourcentage 2" xfId="12" xr:uid="{00000000-0005-0000-0000-00000C000000}"/>
  </cellStyles>
  <dxfs count="111">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ont>
        <strike val="0"/>
        <outline val="0"/>
        <shadow val="0"/>
        <u val="none"/>
        <vertAlign val="baseline"/>
        <sz val="10"/>
        <name val="Kohinoor Devanagari"/>
        <scheme val="none"/>
      </font>
      <fill>
        <patternFill patternType="solid">
          <fgColor indexed="64"/>
          <bgColor rgb="FFA9ECEF"/>
        </patternFill>
      </fill>
      <alignment horizontal="general" vertical="center" textRotation="0" wrapText="1" indent="0" justifyLastLine="0" shrinkToFit="0" readingOrder="0"/>
    </dxf>
    <dxf>
      <font>
        <strike val="0"/>
        <outline val="0"/>
        <shadow val="0"/>
        <u val="none"/>
        <vertAlign val="baseline"/>
        <sz val="10"/>
        <name val="Kohinoor Devanagari"/>
        <scheme val="none"/>
      </font>
      <fill>
        <patternFill patternType="solid">
          <fgColor indexed="64"/>
          <bgColor rgb="FFA9ECEF"/>
        </patternFill>
      </fill>
      <alignment horizontal="general" vertical="center" textRotation="0" wrapText="1" indent="0" justifyLastLine="0" shrinkToFit="0" readingOrder="0"/>
    </dxf>
    <dxf>
      <font>
        <strike val="0"/>
        <outline val="0"/>
        <shadow val="0"/>
        <u val="none"/>
        <vertAlign val="baseline"/>
        <sz val="10"/>
        <name val="Kohinoor Devanagari"/>
        <scheme val="none"/>
      </font>
      <fill>
        <patternFill patternType="solid">
          <fgColor indexed="64"/>
          <bgColor rgb="FFA9ECEF"/>
        </patternFill>
      </fill>
      <alignment horizontal="general" vertical="center" textRotation="0" wrapText="1" indent="0" justifyLastLine="0" shrinkToFit="0" readingOrder="0"/>
    </dxf>
    <dxf>
      <font>
        <strike val="0"/>
        <outline val="0"/>
        <shadow val="0"/>
        <u val="none"/>
        <vertAlign val="baseline"/>
        <sz val="10"/>
        <name val="Kohinoor Devanagari"/>
        <scheme val="none"/>
      </font>
      <fill>
        <patternFill patternType="solid">
          <fgColor indexed="64"/>
          <bgColor rgb="FFA9ECEF"/>
        </patternFill>
      </fill>
      <alignment horizontal="general" vertical="center" textRotation="0" wrapText="1" indent="0" justifyLastLine="0" shrinkToFit="0" readingOrder="0"/>
      <border diagonalUp="0" diagonalDown="0" outline="0">
        <right style="thin">
          <color indexed="64"/>
        </right>
      </border>
    </dxf>
    <dxf>
      <font>
        <strike val="0"/>
        <outline val="0"/>
        <shadow val="0"/>
        <u val="none"/>
        <vertAlign val="baseline"/>
        <sz val="10"/>
        <name val="Kohinoor Devanagari"/>
        <scheme val="none"/>
      </font>
      <fill>
        <patternFill patternType="solid">
          <fgColor indexed="64"/>
          <bgColor rgb="FFA9ECEF"/>
        </patternFill>
      </fill>
      <alignment horizontal="general" vertical="center" textRotation="0" wrapText="1" indent="0" justifyLastLine="0" shrinkToFit="0" readingOrder="0"/>
    </dxf>
    <dxf>
      <font>
        <strike val="0"/>
        <outline val="0"/>
        <shadow val="0"/>
        <u val="none"/>
        <vertAlign val="baseline"/>
        <sz val="10"/>
        <name val="Kohinoor Devanagari"/>
        <scheme val="none"/>
      </font>
      <fill>
        <patternFill patternType="solid">
          <fgColor indexed="64"/>
          <bgColor rgb="FFA9ECEF"/>
        </patternFill>
      </fill>
      <alignment horizontal="general" vertical="center" textRotation="0" wrapText="1" indent="0" justifyLastLine="0" shrinkToFit="0" readingOrder="0"/>
    </dxf>
    <dxf>
      <font>
        <strike val="0"/>
        <outline val="0"/>
        <shadow val="0"/>
        <u val="none"/>
        <vertAlign val="baseline"/>
        <sz val="10"/>
        <name val="Kohinoor Devanagari"/>
        <scheme val="none"/>
      </font>
      <fill>
        <patternFill patternType="solid">
          <fgColor indexed="64"/>
          <bgColor rgb="FFA9ECEF"/>
        </patternFill>
      </fill>
      <alignment horizontal="general" vertical="center" textRotation="0" wrapText="1" indent="0" justifyLastLine="0" shrinkToFit="0" readingOrder="0"/>
    </dxf>
    <dxf>
      <font>
        <strike val="0"/>
        <outline val="0"/>
        <shadow val="0"/>
        <u val="none"/>
        <vertAlign val="baseline"/>
        <sz val="10"/>
        <name val="Kohinoor Devanagari"/>
        <scheme val="none"/>
      </font>
      <fill>
        <patternFill patternType="solid">
          <fgColor indexed="64"/>
          <bgColor rgb="FFA9ECEF"/>
        </patternFill>
      </fill>
      <alignment horizontal="general" vertical="center" textRotation="0" wrapText="1" indent="0" justifyLastLine="0" shrinkToFit="0" readingOrder="0"/>
    </dxf>
    <dxf>
      <font>
        <strike val="0"/>
        <outline val="0"/>
        <shadow val="0"/>
        <u val="none"/>
        <vertAlign val="baseline"/>
        <sz val="10"/>
        <name val="Kohinoor Devanagari"/>
        <scheme val="none"/>
      </font>
      <fill>
        <patternFill patternType="solid">
          <fgColor indexed="64"/>
          <bgColor rgb="FFA9ECEF"/>
        </patternFill>
      </fill>
      <alignment horizontal="general" vertical="center" textRotation="0" wrapText="1" indent="0" justifyLastLine="0" shrinkToFit="0" readingOrder="0"/>
    </dxf>
    <dxf>
      <font>
        <strike val="0"/>
        <outline val="0"/>
        <shadow val="0"/>
        <u val="none"/>
        <vertAlign val="baseline"/>
        <sz val="10"/>
        <name val="Kohinoor Devanagari"/>
        <scheme val="none"/>
      </font>
      <fill>
        <patternFill patternType="solid">
          <fgColor indexed="64"/>
          <bgColor rgb="FFA9ECEF"/>
        </patternFill>
      </fill>
      <alignment horizontal="general" vertical="center" textRotation="0" wrapText="1" indent="0" justifyLastLine="0" shrinkToFit="0" readingOrder="0"/>
    </dxf>
    <dxf>
      <font>
        <strike val="0"/>
        <outline val="0"/>
        <shadow val="0"/>
        <u val="none"/>
        <vertAlign val="baseline"/>
        <sz val="10"/>
        <name val="Kohinoor Devanagari"/>
        <scheme val="none"/>
      </font>
      <fill>
        <patternFill patternType="solid">
          <fgColor indexed="64"/>
          <bgColor rgb="FFA9ECEF"/>
        </patternFill>
      </fill>
      <alignment horizontal="general" vertical="center" textRotation="0" wrapText="1" indent="0" justifyLastLine="0" shrinkToFit="0" readingOrder="0"/>
    </dxf>
    <dxf>
      <font>
        <strike val="0"/>
        <outline val="0"/>
        <shadow val="0"/>
        <u val="none"/>
        <vertAlign val="baseline"/>
        <sz val="10"/>
        <name val="Kohinoor Devanagari"/>
        <scheme val="none"/>
      </font>
      <fill>
        <patternFill patternType="solid">
          <fgColor indexed="64"/>
          <bgColor rgb="FFA9ECEF"/>
        </patternFill>
      </fill>
      <alignment horizontal="general" vertical="center" textRotation="0" wrapText="1" indent="0" justifyLastLine="0" shrinkToFit="0" readingOrder="0"/>
    </dxf>
    <dxf>
      <font>
        <strike val="0"/>
        <outline val="0"/>
        <shadow val="0"/>
        <u val="none"/>
        <vertAlign val="baseline"/>
        <sz val="10"/>
        <name val="Kohinoor Devanagari"/>
        <scheme val="none"/>
      </font>
      <fill>
        <patternFill patternType="solid">
          <fgColor indexed="64"/>
          <bgColor rgb="FFA9ECEF"/>
        </patternFill>
      </fill>
      <alignment horizontal="general" vertical="center" textRotation="0" wrapText="1" indent="0" justifyLastLine="0" shrinkToFit="0" readingOrder="0"/>
    </dxf>
    <dxf>
      <font>
        <strike val="0"/>
        <outline val="0"/>
        <shadow val="0"/>
        <u val="none"/>
        <vertAlign val="baseline"/>
        <sz val="10"/>
        <name val="Kohinoor Devanagari"/>
        <scheme val="none"/>
      </font>
      <fill>
        <patternFill patternType="solid">
          <fgColor indexed="64"/>
          <bgColor rgb="FFA9ECEF"/>
        </patternFill>
      </fill>
      <alignment horizontal="general" vertical="center" textRotation="0" wrapText="1" indent="0" justifyLastLine="0" shrinkToFit="0" readingOrder="0"/>
      <border diagonalUp="0" diagonalDown="0" outline="0">
        <left/>
        <right style="thin">
          <color indexed="64"/>
        </right>
        <top/>
        <bottom/>
      </border>
    </dxf>
    <dxf>
      <font>
        <strike val="0"/>
        <outline val="0"/>
        <shadow val="0"/>
        <u val="none"/>
        <vertAlign val="baseline"/>
        <sz val="10"/>
        <name val="Kohinoor Devanagari"/>
        <scheme val="none"/>
      </font>
      <fill>
        <patternFill patternType="solid">
          <fgColor indexed="64"/>
          <bgColor rgb="FFA9ECEF"/>
        </patternFill>
      </fill>
      <alignment horizontal="general" vertical="center" textRotation="0" wrapText="1" indent="0" justifyLastLine="0" shrinkToFit="0" readingOrder="0"/>
    </dxf>
    <dxf>
      <font>
        <strike val="0"/>
        <outline val="0"/>
        <shadow val="0"/>
        <u val="none"/>
        <vertAlign val="baseline"/>
        <sz val="10"/>
        <name val="Kohinoor Devanagari"/>
        <scheme val="none"/>
      </font>
      <fill>
        <patternFill patternType="solid">
          <fgColor indexed="64"/>
          <bgColor rgb="FFA9ECEF"/>
        </patternFill>
      </fill>
      <alignment horizontal="general" vertical="center" textRotation="0" wrapText="1" indent="0" justifyLastLine="0" shrinkToFit="0" readingOrder="0"/>
    </dxf>
    <dxf>
      <font>
        <strike val="0"/>
        <outline val="0"/>
        <shadow val="0"/>
        <u val="none"/>
        <vertAlign val="baseline"/>
        <sz val="10"/>
        <name val="Kohinoor Devanagari"/>
        <scheme val="none"/>
      </font>
      <fill>
        <patternFill patternType="solid">
          <fgColor indexed="64"/>
          <bgColor rgb="FFA9ECEF"/>
        </patternFill>
      </fill>
      <alignment horizontal="general" vertical="center" textRotation="0" wrapText="1" indent="0" justifyLastLine="0" shrinkToFit="0" readingOrder="0"/>
    </dxf>
    <dxf>
      <font>
        <strike val="0"/>
        <outline val="0"/>
        <shadow val="0"/>
        <u val="none"/>
        <vertAlign val="baseline"/>
        <sz val="10"/>
        <name val="Kohinoor Devanagari"/>
        <scheme val="none"/>
      </font>
      <fill>
        <patternFill patternType="solid">
          <fgColor indexed="64"/>
          <bgColor rgb="FFA9ECEF"/>
        </patternFill>
      </fill>
      <alignment horizontal="general" vertical="center" textRotation="0" wrapText="1" indent="0" justifyLastLine="0" shrinkToFit="0" readingOrder="0"/>
      <border diagonalUp="0" diagonalDown="0" outline="0">
        <left/>
        <right style="thin">
          <color indexed="64"/>
        </right>
        <top/>
        <bottom/>
      </border>
    </dxf>
    <dxf>
      <font>
        <strike val="0"/>
        <outline val="0"/>
        <shadow val="0"/>
        <u val="none"/>
        <vertAlign val="baseline"/>
        <sz val="10"/>
        <name val="Kohinoor Devanagari"/>
        <scheme val="none"/>
      </font>
      <fill>
        <patternFill patternType="solid">
          <fgColor indexed="64"/>
          <bgColor rgb="FFA9ECEF"/>
        </patternFill>
      </fill>
      <alignment horizontal="general" vertical="center" textRotation="0" wrapText="1" indent="0" justifyLastLine="0" shrinkToFit="0" readingOrder="0"/>
    </dxf>
    <dxf>
      <font>
        <strike val="0"/>
        <outline val="0"/>
        <shadow val="0"/>
        <u val="none"/>
        <vertAlign val="baseline"/>
        <sz val="10"/>
        <name val="Kohinoor Devanagari"/>
        <scheme val="none"/>
      </font>
      <fill>
        <patternFill patternType="solid">
          <fgColor indexed="64"/>
          <bgColor rgb="FFA9ECEF"/>
        </patternFill>
      </fill>
      <alignment horizontal="general" vertical="center" textRotation="0" wrapText="1" indent="0" justifyLastLine="0" shrinkToFit="0" readingOrder="0"/>
    </dxf>
    <dxf>
      <font>
        <strike val="0"/>
        <outline val="0"/>
        <shadow val="0"/>
        <u val="none"/>
        <vertAlign val="baseline"/>
        <sz val="10"/>
        <name val="Kohinoor Devanagari"/>
        <scheme val="none"/>
      </font>
      <fill>
        <patternFill patternType="solid">
          <fgColor indexed="64"/>
          <bgColor rgb="FFA9ECEF"/>
        </patternFill>
      </fill>
      <alignment horizontal="general" vertical="center" textRotation="0" wrapText="1" indent="0" justifyLastLine="0" shrinkToFit="0" readingOrder="0"/>
    </dxf>
    <dxf>
      <font>
        <strike val="0"/>
        <outline val="0"/>
        <shadow val="0"/>
        <u val="none"/>
        <vertAlign val="baseline"/>
        <sz val="10"/>
        <name val="Kohinoor Devanagari"/>
        <scheme val="none"/>
      </font>
      <fill>
        <patternFill patternType="solid">
          <fgColor indexed="64"/>
          <bgColor rgb="FFA9ECEF"/>
        </patternFill>
      </fill>
      <alignment horizontal="general" vertical="center" textRotation="0" wrapText="1" indent="0" justifyLastLine="0" shrinkToFit="0" readingOrder="0"/>
      <border diagonalUp="0" diagonalDown="0" outline="0">
        <left style="thin">
          <color indexed="64"/>
        </left>
        <right/>
        <top/>
        <bottom/>
      </border>
    </dxf>
    <dxf>
      <font>
        <strike val="0"/>
        <outline val="0"/>
        <shadow val="0"/>
        <u val="none"/>
        <vertAlign val="baseline"/>
        <sz val="10"/>
        <name val="Kohinoor Devanagari"/>
        <scheme val="none"/>
      </font>
      <fill>
        <patternFill patternType="solid">
          <fgColor indexed="64"/>
          <bgColor rgb="FFA9ECEF"/>
        </patternFill>
      </fill>
      <alignment horizontal="general" vertical="center" textRotation="0" wrapText="1" indent="0" justifyLastLine="0" shrinkToFit="0" readingOrder="0"/>
    </dxf>
    <dxf>
      <font>
        <strike val="0"/>
        <outline val="0"/>
        <shadow val="0"/>
        <u val="none"/>
        <vertAlign val="baseline"/>
        <sz val="10"/>
        <name val="Kohinoor Devanagari"/>
        <scheme val="none"/>
      </font>
      <fill>
        <patternFill patternType="solid">
          <fgColor indexed="64"/>
          <bgColor rgb="FFA9ECEF"/>
        </patternFill>
      </fill>
      <alignment horizontal="center" vertical="center" textRotation="0" wrapText="0" indent="0" justifyLastLine="0" shrinkToFit="0" readingOrder="0"/>
    </dxf>
    <dxf>
      <font>
        <strike val="0"/>
        <outline val="0"/>
        <shadow val="0"/>
        <u val="none"/>
        <vertAlign val="baseline"/>
        <sz val="10"/>
        <name val="Kohinoor Devanagari"/>
        <scheme val="none"/>
      </font>
      <fill>
        <patternFill patternType="solid">
          <fgColor indexed="64"/>
          <bgColor rgb="FFA9ECEF"/>
        </patternFill>
      </fill>
      <alignment horizontal="general" vertical="center" textRotation="0" wrapText="1" indent="0" justifyLastLine="0" shrinkToFit="0" readingOrder="0"/>
    </dxf>
    <dxf>
      <font>
        <b/>
        <strike val="0"/>
        <outline val="0"/>
        <shadow val="0"/>
        <u val="none"/>
        <vertAlign val="baseline"/>
        <sz val="10"/>
        <color theme="0"/>
        <name val="Kohinoor Devanagari"/>
        <scheme val="none"/>
      </font>
      <fill>
        <patternFill patternType="solid">
          <fgColor indexed="64"/>
          <bgColor rgb="FF657C91"/>
        </patternFill>
      </fill>
      <alignment horizontal="center" vertical="center" textRotation="0" wrapText="1" indent="0" justifyLastLine="0" shrinkToFit="0" readingOrder="0"/>
    </dxf>
    <dxf>
      <font>
        <strike val="0"/>
        <outline val="0"/>
        <shadow val="0"/>
        <u val="none"/>
        <vertAlign val="baseline"/>
        <sz val="8"/>
        <color theme="1"/>
        <name val="Trebuchet MS"/>
        <scheme val="major"/>
      </font>
      <fill>
        <patternFill patternType="solid">
          <fgColor indexed="64"/>
          <bgColor rgb="FFA9ECEF"/>
        </patternFill>
      </fill>
      <alignment horizontal="left" vertical="center" textRotation="0" wrapText="1" indent="0" justifyLastLine="0" shrinkToFit="0" readingOrder="0"/>
    </dxf>
    <dxf>
      <font>
        <strike val="0"/>
        <outline val="0"/>
        <shadow val="0"/>
        <u val="none"/>
        <vertAlign val="baseline"/>
        <sz val="8"/>
        <color theme="1"/>
        <name val="Trebuchet MS"/>
        <scheme val="major"/>
      </font>
      <fill>
        <patternFill patternType="solid">
          <fgColor indexed="64"/>
          <bgColor rgb="FFA9ECEF"/>
        </patternFill>
      </fill>
      <alignment horizontal="left" vertical="center" textRotation="0" wrapText="1" indent="0" justifyLastLine="0" shrinkToFit="0" readingOrder="0"/>
    </dxf>
    <dxf>
      <font>
        <strike val="0"/>
        <outline val="0"/>
        <shadow val="0"/>
        <u val="none"/>
        <vertAlign val="baseline"/>
        <sz val="8"/>
        <color theme="1"/>
        <name val="Trebuchet MS"/>
        <scheme val="major"/>
      </font>
      <fill>
        <patternFill patternType="solid">
          <fgColor indexed="64"/>
          <bgColor rgb="FFA9ECEF"/>
        </patternFill>
      </fill>
      <alignment horizontal="left" vertical="center" textRotation="0" wrapText="1" indent="0" justifyLastLine="0" shrinkToFit="0" readingOrder="0"/>
    </dxf>
    <dxf>
      <font>
        <strike val="0"/>
        <outline val="0"/>
        <shadow val="0"/>
        <u val="none"/>
        <vertAlign val="baseline"/>
        <sz val="8"/>
        <color theme="1"/>
        <name val="Trebuchet MS"/>
        <scheme val="major"/>
      </font>
      <fill>
        <patternFill patternType="solid">
          <fgColor indexed="64"/>
          <bgColor rgb="FFA9ECEF"/>
        </patternFill>
      </fill>
      <alignment horizontal="left" vertical="center" textRotation="0" wrapText="1" indent="0" justifyLastLine="0" shrinkToFit="0" readingOrder="0"/>
    </dxf>
    <dxf>
      <font>
        <strike val="0"/>
        <outline val="0"/>
        <shadow val="0"/>
        <u val="none"/>
        <vertAlign val="baseline"/>
        <sz val="8"/>
        <color theme="1"/>
        <name val="Trebuchet MS"/>
        <scheme val="major"/>
      </font>
      <fill>
        <patternFill patternType="solid">
          <fgColor indexed="64"/>
          <bgColor rgb="FFA9ECEF"/>
        </patternFill>
      </fill>
      <alignment horizontal="left" vertical="center" textRotation="0" wrapText="1" indent="0" justifyLastLine="0" shrinkToFit="0" readingOrder="0"/>
    </dxf>
    <dxf>
      <font>
        <strike val="0"/>
        <outline val="0"/>
        <shadow val="0"/>
        <u val="none"/>
        <vertAlign val="baseline"/>
        <sz val="8"/>
        <color theme="1"/>
        <name val="Trebuchet MS"/>
        <scheme val="major"/>
      </font>
      <fill>
        <patternFill patternType="solid">
          <fgColor indexed="64"/>
          <bgColor rgb="FFA9ECEF"/>
        </patternFill>
      </fill>
      <alignment horizontal="left" vertical="center" textRotation="0" wrapText="1" indent="0" justifyLastLine="0" shrinkToFit="0" readingOrder="0"/>
    </dxf>
    <dxf>
      <font>
        <strike val="0"/>
        <outline val="0"/>
        <shadow val="0"/>
        <u val="none"/>
        <vertAlign val="baseline"/>
        <sz val="8"/>
        <color theme="1"/>
        <name val="Trebuchet MS"/>
        <scheme val="major"/>
      </font>
      <fill>
        <patternFill patternType="solid">
          <fgColor indexed="64"/>
          <bgColor rgb="FFA9ECEF"/>
        </patternFill>
      </fill>
      <alignment horizontal="left" vertical="center" textRotation="0" wrapText="1" indent="0" justifyLastLine="0" shrinkToFit="0" readingOrder="0"/>
    </dxf>
    <dxf>
      <font>
        <strike val="0"/>
        <outline val="0"/>
        <shadow val="0"/>
        <u val="none"/>
        <vertAlign val="baseline"/>
        <sz val="8"/>
        <color theme="1"/>
        <name val="Trebuchet MS"/>
        <scheme val="major"/>
      </font>
      <fill>
        <patternFill patternType="solid">
          <fgColor indexed="64"/>
          <bgColor rgb="FFA9ECEF"/>
        </patternFill>
      </fill>
      <alignment horizontal="left" vertical="center" textRotation="0" wrapText="1" indent="0" justifyLastLine="0" shrinkToFit="0" readingOrder="0"/>
    </dxf>
    <dxf>
      <font>
        <strike val="0"/>
        <outline val="0"/>
        <shadow val="0"/>
        <u val="none"/>
        <vertAlign val="baseline"/>
        <sz val="8"/>
        <color theme="1"/>
        <name val="Trebuchet MS"/>
        <scheme val="major"/>
      </font>
      <fill>
        <patternFill patternType="solid">
          <fgColor indexed="64"/>
          <bgColor rgb="FFA9ECEF"/>
        </patternFill>
      </fill>
      <alignment horizontal="left" vertical="center" textRotation="0" wrapText="1" indent="0" justifyLastLine="0" shrinkToFit="0" readingOrder="0"/>
    </dxf>
    <dxf>
      <font>
        <strike val="0"/>
        <outline val="0"/>
        <shadow val="0"/>
        <u val="none"/>
        <vertAlign val="baseline"/>
        <sz val="8"/>
        <color theme="1"/>
        <name val="Trebuchet MS"/>
        <scheme val="major"/>
      </font>
      <fill>
        <patternFill patternType="solid">
          <fgColor indexed="64"/>
          <bgColor rgb="FFA9ECEF"/>
        </patternFill>
      </fill>
      <alignment horizontal="left" vertical="center" textRotation="0" wrapText="1" indent="0" justifyLastLine="0" shrinkToFit="0" readingOrder="0"/>
    </dxf>
    <dxf>
      <border outline="0">
        <bottom style="thick">
          <color rgb="FFC00000"/>
        </bottom>
      </border>
    </dxf>
    <dxf>
      <font>
        <b/>
        <i val="0"/>
        <strike val="0"/>
        <condense val="0"/>
        <extend val="0"/>
        <outline val="0"/>
        <shadow val="0"/>
        <u val="none"/>
        <vertAlign val="baseline"/>
        <sz val="8"/>
        <color theme="0"/>
        <name val="Trebuchet MS"/>
        <scheme val="major"/>
      </font>
      <fill>
        <patternFill patternType="solid">
          <fgColor indexed="64"/>
          <bgColor rgb="FF657C91"/>
        </patternFill>
      </fill>
      <alignment horizontal="center" vertical="center" textRotation="0" wrapText="1" indent="0" justifyLastLine="0" shrinkToFit="0" readingOrder="0"/>
    </dxf>
  </dxfs>
  <tableStyles count="0" defaultTableStyle="TableStyleMedium2" defaultPivotStyle="PivotStyleLight16"/>
  <colors>
    <mruColors>
      <color rgb="FF3B3838"/>
      <color rgb="FF2A9E9B"/>
      <color rgb="FF444444"/>
      <color rgb="FFA4E7E1"/>
      <color rgb="FF657C91"/>
      <color rgb="FFA9ECE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au1" displayName="Tableau1" ref="A4:I9" totalsRowShown="0" headerRowDxfId="110" dataDxfId="108" headerRowBorderDxfId="109">
  <autoFilter ref="A4:I9" xr:uid="{00000000-0009-0000-0100-000003000000}"/>
  <tableColumns count="9">
    <tableColumn id="1" xr3:uid="{00000000-0010-0000-0000-000001000000}" name="Référence du Titre/Bloc Concerné" dataDxfId="107"/>
    <tableColumn id="2" xr3:uid="{00000000-0010-0000-0000-000002000000}" name="Date d'Octroi_x000a_de Transfert" dataDxfId="106"/>
    <tableColumn id="3" xr3:uid="{00000000-0010-0000-0000-000003000000}" name="Raison Sociale_x000a_Ancien Propriétaire" dataDxfId="105"/>
    <tableColumn id="5" xr3:uid="{00000000-0010-0000-0000-000005000000}" name="Attributaire" dataDxfId="104"/>
    <tableColumn id="6" xr3:uid="{00000000-0010-0000-0000-000006000000}" name="Processus d'Attribution/Transfert" dataDxfId="103"/>
    <tableColumn id="7" xr3:uid="{00000000-0010-0000-0000-000007000000}" name="Critères Techniques" dataDxfId="102"/>
    <tableColumn id="8" xr3:uid="{00000000-0010-0000-0000-000008000000}" name="Critères Financiers" dataDxfId="101"/>
    <tableColumn id="9" xr3:uid="{00000000-0010-0000-0000-000009000000}" name="Liste des Candidats" dataDxfId="100"/>
    <tableColumn id="10" xr3:uid="{00000000-0010-0000-0000-00000A000000}" name="Autres Commentaires" dataDxfId="99"/>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au1579" displayName="Tableau1579" ref="A6:X18" totalsRowShown="0" headerRowDxfId="98" dataDxfId="97">
  <autoFilter ref="A6:X18" xr:uid="{00000000-0009-0000-0100-000002000000}"/>
  <tableColumns count="24">
    <tableColumn id="1" xr3:uid="{00000000-0010-0000-0100-000001000000}" name="Société" dataDxfId="96"/>
    <tableColumn id="2" xr3:uid="{00000000-0010-0000-0100-000002000000}" name="Type de produit vendu" dataDxfId="95"/>
    <tableColumn id="9" xr3:uid="{00000000-0010-0000-0100-000009000000}" name="Nom du Vendeur" dataDxfId="94"/>
    <tableColumn id="8" xr3:uid="{00000000-0010-0000-0100-000008000000}" name="Date de la Vente (Date du Connaissement - Divulgations par Cargaison Uniquement /ou  Non Applicable)                                               (jj/mm/aaaa)" dataDxfId="93"/>
    <tableColumn id="4" xr3:uid="{00000000-0010-0000-0100-000004000000}" name="Teneur et Qualité du Produit (par exemple, API)- Divulgations par Cargaison Uniquement" dataDxfId="92"/>
    <tableColumn id="5" xr3:uid="{00000000-0010-0000-0100-000005000000}" name="Profit Oil PETROSEN" dataDxfId="91"/>
    <tableColumn id="6" xr3:uid="{00000000-0010-0000-0100-000006000000}" name="N° de Contrat/Numéro de Bon de Commande/ N° de Facture" dataDxfId="90"/>
    <tableColumn id="10" xr3:uid="{00000000-0010-0000-0100-00000A000000}" name="             Nom Complet de l'Acheteur" dataDxfId="89"/>
    <tableColumn id="11" xr3:uid="{00000000-0010-0000-0100-00000B000000}" name=" Bénéficiare Effectif de l'Acheteur" dataDxfId="88"/>
    <tableColumn id="12" xr3:uid="{00000000-0010-0000-0100-00000C000000}" name=" Incoterms" dataDxfId="87"/>
    <tableColumn id="13" xr3:uid="{00000000-0010-0000-0100-00000D000000}" name="             Port de Chargement, Terminal ou Dépôt" dataDxfId="86"/>
    <tableColumn id="14" xr3:uid="{00000000-0010-0000-0100-00000E000000}" name="Volumes Vendus (en barils/ Nm3)" dataDxfId="85"/>
    <tableColumn id="15" xr3:uid="{00000000-0010-0000-0100-00000F000000}" name="Revenus Perçus" dataDxfId="84"/>
    <tableColumn id="16" xr3:uid="{00000000-0010-0000-0100-000010000000}" name="Informations tarifaires : Prix de vente officiel " dataDxfId="83"/>
    <tableColumn id="17" xr3:uid="{00000000-0010-0000-0100-000011000000}" name="Informations tarifaires : Option Tarifaire" dataDxfId="82"/>
    <tableColumn id="18" xr3:uid="{00000000-0010-0000-0100-000012000000}" name="Type de Contrat" dataDxfId="81"/>
    <tableColumn id="19" xr3:uid="{00000000-0010-0000-0100-000013000000}" name="Droits, Frais et Crédits" dataDxfId="80"/>
    <tableColumn id="20" xr3:uid="{00000000-0010-0000-0100-000014000000}" name="Taux de Change" dataDxfId="79"/>
    <tableColumn id="21" xr3:uid="{00000000-0010-0000-0100-000015000000}" name="Date de Réception de Paiement                                (jj/mm/aaaa)" dataDxfId="78"/>
    <tableColumn id="22" xr3:uid="{00000000-0010-0000-0100-000016000000}" name="Compte de Paiement" dataDxfId="77"/>
    <tableColumn id="23" xr3:uid="{00000000-0010-0000-0100-000017000000}" name="Destination (Vendeurs Uniquement)" dataDxfId="76"/>
    <tableColumn id="24" xr3:uid="{00000000-0010-0000-0100-000018000000}" name="Lien vers Source de données publiques" dataDxfId="75"/>
    <tableColumn id="25" xr3:uid="{00000000-0010-0000-0100-000019000000}" name="Contrat(s) de Vente : Références Juridiques" dataDxfId="74"/>
    <tableColumn id="26" xr3:uid="{00000000-0010-0000-0100-00001A000000}" name="Commentaires" dataDxfId="73"/>
  </tableColumns>
  <tableStyleInfo name="TableStyleLight8" showFirstColumn="0" showLastColumn="0" showRowStripes="1" showColumnStripes="0"/>
</table>
</file>

<file path=xl/theme/theme1.xml><?xml version="1.0" encoding="utf-8"?>
<a:theme xmlns:a="http://schemas.openxmlformats.org/drawingml/2006/main" name="Thème1">
  <a:themeElements>
    <a:clrScheme name="BDO">
      <a:dk1>
        <a:sysClr val="windowText" lastClr="000000"/>
      </a:dk1>
      <a:lt1>
        <a:sysClr val="window" lastClr="FFFFFF"/>
      </a:lt1>
      <a:dk2>
        <a:srgbClr val="685040"/>
      </a:dk2>
      <a:lt2>
        <a:srgbClr val="EEE8E5"/>
      </a:lt2>
      <a:accent1>
        <a:srgbClr val="ED1A3B"/>
      </a:accent1>
      <a:accent2>
        <a:srgbClr val="2EAFA4"/>
      </a:accent2>
      <a:accent3>
        <a:srgbClr val="98002E"/>
      </a:accent3>
      <a:accent4>
        <a:srgbClr val="62CAE3"/>
      </a:accent4>
      <a:accent5>
        <a:srgbClr val="F65275"/>
      </a:accent5>
      <a:accent6>
        <a:srgbClr val="F3D03E"/>
      </a:accent6>
      <a:hlink>
        <a:srgbClr val="ED1A3B"/>
      </a:hlink>
      <a:folHlink>
        <a:srgbClr val="22409A"/>
      </a:folHlink>
    </a:clrScheme>
    <a:fontScheme name="BDO Template">
      <a:majorFont>
        <a:latin typeface="Trebuchet MS"/>
        <a:ea typeface=""/>
        <a:cs typeface=""/>
      </a:majorFont>
      <a:minorFont>
        <a:latin typeface="Trebuchet MS"/>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accent1"/>
        </a:solidFill>
        <a:ln w="6350">
          <a:solidFill>
            <a:schemeClr val="accent1"/>
          </a:solidFill>
        </a:ln>
      </a:spPr>
      <a:bodyPr lIns="72000" tIns="72000" rIns="72000" bIns="72000"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lnDef>
      <a:spPr>
        <a:ln w="6350">
          <a:solidFill>
            <a:schemeClr val="tx1"/>
          </a:solidFill>
        </a:ln>
      </a:spPr>
      <a:bodyPr/>
      <a:lstStyle/>
      <a:style>
        <a:lnRef idx="1">
          <a:schemeClr val="accent1"/>
        </a:lnRef>
        <a:fillRef idx="0">
          <a:schemeClr val="accent1"/>
        </a:fillRef>
        <a:effectRef idx="0">
          <a:schemeClr val="accent1"/>
        </a:effectRef>
        <a:fontRef idx="minor">
          <a:schemeClr val="tx1"/>
        </a:fontRef>
      </a:style>
    </a:lnDef>
    <a:txDef>
      <a:spPr>
        <a:noFill/>
      </a:spPr>
      <a:bodyPr wrap="square" lIns="0" tIns="0" rIns="0" bIns="0" rtlCol="0">
        <a:spAutoFit/>
      </a:bodyPr>
      <a:lstStyle>
        <a:defPPr>
          <a:defRPr sz="2000" dirty="0" err="1" smtClean="0"/>
        </a:defPPr>
      </a:lstStyle>
    </a:txDef>
  </a:objectDefaults>
  <a:extraClrSchemeLst/>
  <a:extLst>
    <a:ext uri="{05A4C25C-085E-4340-85A3-A5531E510DB2}">
      <thm15:themeFamily xmlns:thm15="http://schemas.microsoft.com/office/thememl/2012/main" name="Theme BDO" id="{6BCBF84E-C4CB-4089-A33D-14ECC6455FB5}" vid="{692DC6C8-34ED-4FE6-AFC9-86FF15C70B18}"/>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5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dimension ref="B1:C70"/>
  <sheetViews>
    <sheetView tabSelected="1" topLeftCell="A45" workbookViewId="0">
      <selection activeCell="C66" sqref="C66"/>
    </sheetView>
  </sheetViews>
  <sheetFormatPr baseColWidth="10" defaultColWidth="11" defaultRowHeight="12"/>
  <cols>
    <col min="1" max="1" width="11" style="575"/>
    <col min="2" max="2" width="11" style="575" bestFit="1" customWidth="1"/>
    <col min="3" max="3" width="79.5" style="575" bestFit="1" customWidth="1"/>
    <col min="4" max="16384" width="11" style="575"/>
  </cols>
  <sheetData>
    <row r="1" spans="2:3" ht="26.25" customHeight="1" thickBot="1">
      <c r="B1" s="574" t="s">
        <v>0</v>
      </c>
      <c r="C1" s="574" t="s">
        <v>1</v>
      </c>
    </row>
    <row r="2" spans="2:3">
      <c r="B2" s="576" t="s">
        <v>2</v>
      </c>
      <c r="C2" s="576" t="s">
        <v>3</v>
      </c>
    </row>
    <row r="3" spans="2:3">
      <c r="B3" s="577" t="s">
        <v>4</v>
      </c>
      <c r="C3" s="577" t="s">
        <v>5</v>
      </c>
    </row>
    <row r="4" spans="2:3">
      <c r="B4" s="576" t="s">
        <v>6</v>
      </c>
      <c r="C4" s="576" t="s">
        <v>7</v>
      </c>
    </row>
    <row r="5" spans="2:3">
      <c r="B5" s="577" t="s">
        <v>8</v>
      </c>
      <c r="C5" s="577" t="s">
        <v>9</v>
      </c>
    </row>
    <row r="6" spans="2:3">
      <c r="B6" s="576" t="s">
        <v>10</v>
      </c>
      <c r="C6" s="576" t="s">
        <v>11</v>
      </c>
    </row>
    <row r="7" spans="2:3">
      <c r="B7" s="577" t="s">
        <v>12</v>
      </c>
      <c r="C7" s="577" t="s">
        <v>13</v>
      </c>
    </row>
    <row r="8" spans="2:3">
      <c r="B8" s="576" t="s">
        <v>14</v>
      </c>
      <c r="C8" s="576" t="s">
        <v>15</v>
      </c>
    </row>
    <row r="9" spans="2:3">
      <c r="B9" s="577" t="s">
        <v>16</v>
      </c>
      <c r="C9" s="577" t="s">
        <v>17</v>
      </c>
    </row>
    <row r="10" spans="2:3">
      <c r="B10" s="576" t="s">
        <v>18</v>
      </c>
      <c r="C10" s="576" t="s">
        <v>19</v>
      </c>
    </row>
    <row r="11" spans="2:3" ht="12.5" thickBot="1">
      <c r="B11" s="577" t="s">
        <v>20</v>
      </c>
      <c r="C11" s="577" t="s">
        <v>21</v>
      </c>
    </row>
    <row r="12" spans="2:3">
      <c r="B12" s="578" t="s">
        <v>22</v>
      </c>
      <c r="C12" s="579" t="s">
        <v>23</v>
      </c>
    </row>
    <row r="13" spans="2:3">
      <c r="B13" s="580" t="s">
        <v>24</v>
      </c>
      <c r="C13" s="581" t="s">
        <v>25</v>
      </c>
    </row>
    <row r="14" spans="2:3">
      <c r="B14" s="582" t="s">
        <v>26</v>
      </c>
      <c r="C14" s="583" t="s">
        <v>27</v>
      </c>
    </row>
    <row r="15" spans="2:3">
      <c r="B15" s="580" t="s">
        <v>28</v>
      </c>
      <c r="C15" s="581" t="s">
        <v>29</v>
      </c>
    </row>
    <row r="16" spans="2:3">
      <c r="B16" s="582" t="s">
        <v>30</v>
      </c>
      <c r="C16" s="583" t="s">
        <v>31</v>
      </c>
    </row>
    <row r="17" spans="2:3">
      <c r="B17" s="580" t="s">
        <v>32</v>
      </c>
      <c r="C17" s="581" t="s">
        <v>33</v>
      </c>
    </row>
    <row r="18" spans="2:3">
      <c r="B18" s="582" t="s">
        <v>34</v>
      </c>
      <c r="C18" s="583" t="s">
        <v>35</v>
      </c>
    </row>
    <row r="19" spans="2:3">
      <c r="B19" s="580" t="s">
        <v>36</v>
      </c>
      <c r="C19" s="581" t="s">
        <v>37</v>
      </c>
    </row>
    <row r="20" spans="2:3">
      <c r="B20" s="582" t="s">
        <v>38</v>
      </c>
      <c r="C20" s="583" t="s">
        <v>39</v>
      </c>
    </row>
    <row r="21" spans="2:3">
      <c r="B21" s="580" t="s">
        <v>40</v>
      </c>
      <c r="C21" s="581" t="s">
        <v>41</v>
      </c>
    </row>
    <row r="22" spans="2:3">
      <c r="B22" s="582" t="s">
        <v>42</v>
      </c>
      <c r="C22" s="583" t="s">
        <v>43</v>
      </c>
    </row>
    <row r="23" spans="2:3">
      <c r="B23" s="580" t="s">
        <v>44</v>
      </c>
      <c r="C23" s="581" t="s">
        <v>45</v>
      </c>
    </row>
    <row r="24" spans="2:3">
      <c r="B24" s="582" t="s">
        <v>46</v>
      </c>
      <c r="C24" s="583" t="s">
        <v>47</v>
      </c>
    </row>
    <row r="25" spans="2:3">
      <c r="B25" s="580" t="s">
        <v>48</v>
      </c>
      <c r="C25" s="581" t="s">
        <v>49</v>
      </c>
    </row>
    <row r="26" spans="2:3">
      <c r="B26" s="582" t="s">
        <v>50</v>
      </c>
      <c r="C26" s="583" t="s">
        <v>51</v>
      </c>
    </row>
    <row r="27" spans="2:3">
      <c r="B27" s="580" t="s">
        <v>52</v>
      </c>
      <c r="C27" s="581" t="s">
        <v>53</v>
      </c>
    </row>
    <row r="28" spans="2:3">
      <c r="B28" s="582" t="s">
        <v>54</v>
      </c>
      <c r="C28" s="583" t="s">
        <v>55</v>
      </c>
    </row>
    <row r="29" spans="2:3">
      <c r="B29" s="580" t="s">
        <v>56</v>
      </c>
      <c r="C29" s="581" t="s">
        <v>57</v>
      </c>
    </row>
    <row r="30" spans="2:3">
      <c r="B30" s="582" t="s">
        <v>58</v>
      </c>
      <c r="C30" s="583" t="s">
        <v>59</v>
      </c>
    </row>
    <row r="31" spans="2:3">
      <c r="B31" s="580" t="s">
        <v>60</v>
      </c>
      <c r="C31" s="581" t="s">
        <v>61</v>
      </c>
    </row>
    <row r="32" spans="2:3">
      <c r="B32" s="582" t="s">
        <v>62</v>
      </c>
      <c r="C32" s="583" t="s">
        <v>63</v>
      </c>
    </row>
    <row r="33" spans="2:3">
      <c r="B33" s="580" t="s">
        <v>64</v>
      </c>
      <c r="C33" s="581" t="s">
        <v>65</v>
      </c>
    </row>
    <row r="34" spans="2:3">
      <c r="B34" s="582" t="s">
        <v>66</v>
      </c>
      <c r="C34" s="583" t="s">
        <v>67</v>
      </c>
    </row>
    <row r="35" spans="2:3">
      <c r="B35" s="580" t="s">
        <v>68</v>
      </c>
      <c r="C35" s="581" t="s">
        <v>69</v>
      </c>
    </row>
    <row r="36" spans="2:3">
      <c r="B36" s="582" t="s">
        <v>70</v>
      </c>
      <c r="C36" s="583" t="s">
        <v>71</v>
      </c>
    </row>
    <row r="37" spans="2:3">
      <c r="B37" s="580" t="s">
        <v>72</v>
      </c>
      <c r="C37" s="581" t="s">
        <v>73</v>
      </c>
    </row>
    <row r="38" spans="2:3">
      <c r="B38" s="582" t="s">
        <v>74</v>
      </c>
      <c r="C38" s="583" t="s">
        <v>75</v>
      </c>
    </row>
    <row r="39" spans="2:3">
      <c r="B39" s="580" t="s">
        <v>76</v>
      </c>
      <c r="C39" s="581" t="s">
        <v>77</v>
      </c>
    </row>
    <row r="40" spans="2:3">
      <c r="B40" s="582" t="s">
        <v>78</v>
      </c>
      <c r="C40" s="583" t="s">
        <v>79</v>
      </c>
    </row>
    <row r="41" spans="2:3" ht="12.5" thickBot="1">
      <c r="B41" s="584" t="s">
        <v>80</v>
      </c>
      <c r="C41" s="585" t="s">
        <v>81</v>
      </c>
    </row>
    <row r="42" spans="2:3">
      <c r="B42" s="576" t="s">
        <v>82</v>
      </c>
      <c r="C42" s="576" t="s">
        <v>83</v>
      </c>
    </row>
    <row r="43" spans="2:3">
      <c r="B43" s="577" t="s">
        <v>84</v>
      </c>
      <c r="C43" s="577" t="s">
        <v>85</v>
      </c>
    </row>
    <row r="44" spans="2:3">
      <c r="B44" s="576" t="s">
        <v>86</v>
      </c>
      <c r="C44" s="576" t="s">
        <v>87</v>
      </c>
    </row>
    <row r="45" spans="2:3">
      <c r="B45" s="577" t="s">
        <v>88</v>
      </c>
      <c r="C45" s="577" t="s">
        <v>89</v>
      </c>
    </row>
    <row r="46" spans="2:3">
      <c r="B46" s="576" t="s">
        <v>90</v>
      </c>
      <c r="C46" s="576" t="s">
        <v>91</v>
      </c>
    </row>
    <row r="47" spans="2:3">
      <c r="B47" s="577" t="s">
        <v>92</v>
      </c>
      <c r="C47" s="577" t="s">
        <v>93</v>
      </c>
    </row>
    <row r="48" spans="2:3">
      <c r="B48" s="576" t="s">
        <v>94</v>
      </c>
      <c r="C48" s="576" t="s">
        <v>95</v>
      </c>
    </row>
    <row r="49" spans="2:3">
      <c r="B49" s="577" t="s">
        <v>96</v>
      </c>
      <c r="C49" s="577" t="s">
        <v>97</v>
      </c>
    </row>
    <row r="50" spans="2:3">
      <c r="B50" s="576" t="s">
        <v>98</v>
      </c>
      <c r="C50" s="576" t="s">
        <v>99</v>
      </c>
    </row>
    <row r="51" spans="2:3">
      <c r="B51" s="577" t="s">
        <v>100</v>
      </c>
      <c r="C51" s="577" t="s">
        <v>101</v>
      </c>
    </row>
    <row r="52" spans="2:3">
      <c r="B52" s="576" t="s">
        <v>102</v>
      </c>
      <c r="C52" s="576" t="s">
        <v>103</v>
      </c>
    </row>
    <row r="53" spans="2:3">
      <c r="B53" s="577" t="s">
        <v>104</v>
      </c>
      <c r="C53" s="577" t="s">
        <v>105</v>
      </c>
    </row>
    <row r="54" spans="2:3">
      <c r="B54" s="576" t="s">
        <v>106</v>
      </c>
      <c r="C54" s="576" t="s">
        <v>107</v>
      </c>
    </row>
    <row r="55" spans="2:3">
      <c r="B55" s="577" t="s">
        <v>108</v>
      </c>
      <c r="C55" s="577" t="s">
        <v>109</v>
      </c>
    </row>
    <row r="56" spans="2:3">
      <c r="B56" s="576" t="s">
        <v>110</v>
      </c>
      <c r="C56" s="576" t="s">
        <v>111</v>
      </c>
    </row>
    <row r="57" spans="2:3">
      <c r="B57" s="577" t="s">
        <v>112</v>
      </c>
      <c r="C57" s="577" t="s">
        <v>113</v>
      </c>
    </row>
    <row r="58" spans="2:3">
      <c r="B58" s="576" t="s">
        <v>114</v>
      </c>
      <c r="C58" s="576" t="s">
        <v>115</v>
      </c>
    </row>
    <row r="59" spans="2:3">
      <c r="B59" s="577" t="s">
        <v>116</v>
      </c>
      <c r="C59" s="577" t="s">
        <v>117</v>
      </c>
    </row>
    <row r="60" spans="2:3">
      <c r="B60" s="576" t="s">
        <v>118</v>
      </c>
      <c r="C60" s="576" t="s">
        <v>119</v>
      </c>
    </row>
    <row r="61" spans="2:3">
      <c r="B61" s="577" t="s">
        <v>120</v>
      </c>
      <c r="C61" s="577" t="s">
        <v>121</v>
      </c>
    </row>
    <row r="62" spans="2:3">
      <c r="B62" s="576" t="s">
        <v>122</v>
      </c>
      <c r="C62" s="576" t="s">
        <v>123</v>
      </c>
    </row>
    <row r="63" spans="2:3">
      <c r="B63" s="577" t="s">
        <v>124</v>
      </c>
      <c r="C63" s="577" t="s">
        <v>125</v>
      </c>
    </row>
    <row r="64" spans="2:3">
      <c r="B64" s="576" t="s">
        <v>126</v>
      </c>
      <c r="C64" s="576" t="s">
        <v>127</v>
      </c>
    </row>
    <row r="65" spans="2:3">
      <c r="B65" s="577" t="s">
        <v>128</v>
      </c>
      <c r="C65" s="577" t="s">
        <v>129</v>
      </c>
    </row>
    <row r="66" spans="2:3">
      <c r="B66" s="576" t="s">
        <v>130</v>
      </c>
      <c r="C66" s="576" t="s">
        <v>131</v>
      </c>
    </row>
    <row r="67" spans="2:3">
      <c r="B67" s="577" t="s">
        <v>132</v>
      </c>
      <c r="C67" s="577" t="s">
        <v>133</v>
      </c>
    </row>
    <row r="68" spans="2:3">
      <c r="B68" s="576" t="s">
        <v>134</v>
      </c>
      <c r="C68" s="576" t="s">
        <v>135</v>
      </c>
    </row>
    <row r="69" spans="2:3">
      <c r="B69" s="577" t="s">
        <v>136</v>
      </c>
      <c r="C69" s="577" t="s">
        <v>137</v>
      </c>
    </row>
    <row r="70" spans="2:3">
      <c r="B70" s="576" t="s">
        <v>138</v>
      </c>
      <c r="C70" s="576" t="s">
        <v>139</v>
      </c>
    </row>
  </sheetData>
  <phoneticPr fontId="36" type="noConversion"/>
  <hyperlinks>
    <hyperlink ref="B2" location="'1'!A1" display="Annexe 1" xr:uid="{00000000-0004-0000-0000-000000000000}"/>
    <hyperlink ref="B3" location="'2'!A1" display="Annexe 2" xr:uid="{00000000-0004-0000-0000-000001000000}"/>
    <hyperlink ref="B4" location="'3'!A1" display="Annexe 3" xr:uid="{00000000-0004-0000-0000-000002000000}"/>
    <hyperlink ref="B5" location="'4'!A1" display="Annexe 4" xr:uid="{00000000-0004-0000-0000-000003000000}"/>
    <hyperlink ref="B6" location="'5'!A1" display="Annexe 5" xr:uid="{00000000-0004-0000-0000-000004000000}"/>
    <hyperlink ref="B7" location="'6'!A1" display="Annexe 6" xr:uid="{00000000-0004-0000-0000-000005000000}"/>
    <hyperlink ref="B8" location="'7'!A1" display="Annexe 7" xr:uid="{00000000-0004-0000-0000-000006000000}"/>
    <hyperlink ref="B9" location="'8'!A1" display="Annexe 8" xr:uid="{00000000-0004-0000-0000-000007000000}"/>
    <hyperlink ref="B10" location="'9'!A1" display="Annexe 9" xr:uid="{00000000-0004-0000-0000-000008000000}"/>
    <hyperlink ref="B11" location="'10'!A1" display="Annexe 10" xr:uid="{00000000-0004-0000-0000-000009000000}"/>
    <hyperlink ref="B12" location="'11'!A1" display="Annexe 11" xr:uid="{00000000-0004-0000-0000-00000A000000}"/>
    <hyperlink ref="B13" location="'11-1'!A1" display="Annexe 11-1" xr:uid="{00000000-0004-0000-0000-00000B000000}"/>
    <hyperlink ref="B14" location="'11-2'!A1" display="Annexe 11-2" xr:uid="{00000000-0004-0000-0000-00000C000000}"/>
    <hyperlink ref="B15" location="'11-3'!A1" display="Annexe 11-3" xr:uid="{00000000-0004-0000-0000-00000D000000}"/>
    <hyperlink ref="B16" location="'11-4'!A1" display="Annexe 11-4" xr:uid="{00000000-0004-0000-0000-00000E000000}"/>
    <hyperlink ref="B17" location="'11-5'!A1" display="Annexe 11-5" xr:uid="{00000000-0004-0000-0000-00000F000000}"/>
    <hyperlink ref="B18" location="'11-6'!A1" display="Annexe 11-6" xr:uid="{00000000-0004-0000-0000-000010000000}"/>
    <hyperlink ref="B19" location="'11-7'!A1" display="Annexe 11-7" xr:uid="{00000000-0004-0000-0000-000011000000}"/>
    <hyperlink ref="B20" location="'11-8'!A1" display="Annexe 11-8" xr:uid="{00000000-0004-0000-0000-000012000000}"/>
    <hyperlink ref="B21" location="'11-9'!A1" display="Annexe 11-9" xr:uid="{00000000-0004-0000-0000-000013000000}"/>
    <hyperlink ref="B22" location="'11-10'!A1" display="Annexe 11-10" xr:uid="{00000000-0004-0000-0000-000014000000}"/>
    <hyperlink ref="B23" location="'11-11'!A1" display="Annexe 11-11" xr:uid="{00000000-0004-0000-0000-000015000000}"/>
    <hyperlink ref="B24" location="'11-12'!A1" display="Annexe 11-12" xr:uid="{00000000-0004-0000-0000-000016000000}"/>
    <hyperlink ref="B25" location="'11-13'!A1" display="Annexe 11-13" xr:uid="{00000000-0004-0000-0000-000017000000}"/>
    <hyperlink ref="B26" location="'11-14'!A1" display="Annexe 11-14" xr:uid="{00000000-0004-0000-0000-000018000000}"/>
    <hyperlink ref="B27" location="'11-15'!A1" display="Annexe 11-15" xr:uid="{00000000-0004-0000-0000-000019000000}"/>
    <hyperlink ref="B28" location="'11-16'!A1" display="Annexe 11-16" xr:uid="{00000000-0004-0000-0000-00001A000000}"/>
    <hyperlink ref="B29" location="'11-17'!A1" display="Annexe 11-17" xr:uid="{00000000-0004-0000-0000-00001B000000}"/>
    <hyperlink ref="B30" location="'11-18'!A1" display="Annexe 11-18" xr:uid="{00000000-0004-0000-0000-00001C000000}"/>
    <hyperlink ref="B31" location="'11-19'!A1" display="Annexe 11-19" xr:uid="{00000000-0004-0000-0000-00001D000000}"/>
    <hyperlink ref="B32" location="'11-20'!A1" display="Annexe 11-20" xr:uid="{00000000-0004-0000-0000-00001E000000}"/>
    <hyperlink ref="B33" location="'11-21'!A1" display="Annexe 11-21" xr:uid="{00000000-0004-0000-0000-00001F000000}"/>
    <hyperlink ref="B34" location="'11-22'!A1" display="Annexe 11-22" xr:uid="{00000000-0004-0000-0000-000020000000}"/>
    <hyperlink ref="B35" location="'11-23'!A1" display="Annexe 11-23" xr:uid="{00000000-0004-0000-0000-000021000000}"/>
    <hyperlink ref="B36" location="'11-24'!A1" display="Annexe 11-24" xr:uid="{00000000-0004-0000-0000-000022000000}"/>
    <hyperlink ref="B37" location="'11-25'!A1" display="Annexe 11-25" xr:uid="{00000000-0004-0000-0000-000023000000}"/>
    <hyperlink ref="B38" location="'11-26'!A1" display="Annexe 11-26" xr:uid="{00000000-0004-0000-0000-000024000000}"/>
    <hyperlink ref="B39" location="'11-27'!A1" display="Annexe 11-27" xr:uid="{00000000-0004-0000-0000-000025000000}"/>
    <hyperlink ref="B40" location="'11-28'!A1" display="Annexe 11-28" xr:uid="{00000000-0004-0000-0000-000026000000}"/>
    <hyperlink ref="B41" location="'11-29'!A1" display="Annexe 11-29" xr:uid="{00000000-0004-0000-0000-000027000000}"/>
    <hyperlink ref="B42" location="'12'!A1" display="Annexe 12" xr:uid="{00000000-0004-0000-0000-000028000000}"/>
    <hyperlink ref="B43" location="'13'!A1" display="Annexe 13" xr:uid="{00000000-0004-0000-0000-000029000000}"/>
    <hyperlink ref="B44" location="'14'!A1" display="Annexe 14" xr:uid="{00000000-0004-0000-0000-00002A000000}"/>
    <hyperlink ref="B45" location="'15'!A1" display="Annexe 15" xr:uid="{00000000-0004-0000-0000-00002B000000}"/>
    <hyperlink ref="B46" location="'16'!A1" display="Annexe 16" xr:uid="{00000000-0004-0000-0000-00002C000000}"/>
    <hyperlink ref="B47" location="'17'!A1" display="Annexe 17" xr:uid="{00000000-0004-0000-0000-00002D000000}"/>
    <hyperlink ref="B48" location="'18-1'!A1" display="Annexe 18.1" xr:uid="{00000000-0004-0000-0000-00002E000000}"/>
    <hyperlink ref="B49" location="'18-2'!A1" display="Annexe 18.2" xr:uid="{00000000-0004-0000-0000-00002F000000}"/>
    <hyperlink ref="B50" location="'18-3'!A1" display="Annexe 18.3" xr:uid="{00000000-0004-0000-0000-000030000000}"/>
    <hyperlink ref="B51" location="'19'!A1" display="Annexe 19" xr:uid="{00000000-0004-0000-0000-000031000000}"/>
    <hyperlink ref="B52" location="'20'!A1" display="Annexe 20" xr:uid="{00000000-0004-0000-0000-000032000000}"/>
    <hyperlink ref="B53" location="'21'!A1" display="Annexe 21" xr:uid="{00000000-0004-0000-0000-000033000000}"/>
    <hyperlink ref="B54" location="'22'!A1" display="Annexe 22" xr:uid="{00000000-0004-0000-0000-000034000000}"/>
    <hyperlink ref="B55" location="'23'!A1" display="Annexe 23" xr:uid="{00000000-0004-0000-0000-000035000000}"/>
    <hyperlink ref="B56" location="'24'!A1" display="Annexe 24" xr:uid="{00000000-0004-0000-0000-000036000000}"/>
    <hyperlink ref="B57" location="'25'!A1" display="Annexe 25" xr:uid="{00000000-0004-0000-0000-000037000000}"/>
    <hyperlink ref="B58" location="'26'!A1" display="Annexe 26" xr:uid="{00000000-0004-0000-0000-000038000000}"/>
    <hyperlink ref="B59" location="'27'!A1" display="Annexe 27" xr:uid="{00000000-0004-0000-0000-000039000000}"/>
    <hyperlink ref="B60" location="'28'!A1" display="Annexe 28 " xr:uid="{00000000-0004-0000-0000-00003A000000}"/>
    <hyperlink ref="B61" location="'29'!A1" display="Annexe 29" xr:uid="{00000000-0004-0000-0000-00003B000000}"/>
    <hyperlink ref="B62" location="'30'!A1" display="Annexe 30" xr:uid="{00000000-0004-0000-0000-00003C000000}"/>
    <hyperlink ref="B63" location="'31'!A1" display="Annexe 31" xr:uid="{00000000-0004-0000-0000-00003D000000}"/>
    <hyperlink ref="B64" location="'32'!A1" display="Annexe 32" xr:uid="{00000000-0004-0000-0000-00003E000000}"/>
    <hyperlink ref="B65" location="'33'!A1" display="Annexe 33" xr:uid="{00000000-0004-0000-0000-00003F000000}"/>
    <hyperlink ref="C2" location="'1'!A1" display="Profil des sociétés retenues dans le périmètre de rapprochement" xr:uid="{00000000-0004-0000-0000-000040000000}"/>
    <hyperlink ref="C3" location="'2'!A1" display="Sociétés retenues pour une déclaration unilatérale" xr:uid="{00000000-0004-0000-0000-000041000000}"/>
    <hyperlink ref="C4" location="'3'!A1" display="Structure de capital des sociétés retenues dans le périmètre de rapprochement" xr:uid="{00000000-0004-0000-0000-000042000000}"/>
    <hyperlink ref="C5" location="'4'!A1" display="Fiabilisation des déclarations" xr:uid="{00000000-0004-0000-0000-000043000000}"/>
    <hyperlink ref="C6" location="'5'!A1" display="Effectif des employés" xr:uid="{00000000-0004-0000-0000-000044000000}"/>
    <hyperlink ref="C7" location="'6'!A1" display="Paiements sociaux obligatoires" xr:uid="{00000000-0004-0000-0000-000045000000}"/>
    <hyperlink ref="C8" location="'7'!A1" display="Paiements sociaux volontaires" xr:uid="{00000000-0004-0000-0000-000046000000}"/>
    <hyperlink ref="C9" location="'8'!A1" display="Paiements environnementaux" xr:uid="{00000000-0004-0000-0000-000047000000}"/>
    <hyperlink ref="C10" location="'9'!A1" display="Cadastre Minier" xr:uid="{00000000-0004-0000-0000-000048000000}"/>
    <hyperlink ref="C11" location="'10'!A1" display="définitions des flux" xr:uid="{00000000-0004-0000-0000-000049000000}"/>
    <hyperlink ref="C12" location="'11'!A1" display="Fiche de conciliation par société" xr:uid="{00000000-0004-0000-0000-00004A000000}"/>
    <hyperlink ref="C13" location="'11-1'!A1" display="Fiche de conciliation par société - La Société des Mines de Fer du Sénégal Oriental (MIFERSO)" xr:uid="{00000000-0004-0000-0000-00004B000000}"/>
    <hyperlink ref="C14" location="'11-2'!A1" display="Fiche de conciliation par société - Société de Commercialisation du Ciment (SOCOCIM)" xr:uid="{00000000-0004-0000-0000-00004C000000}"/>
    <hyperlink ref="C15" location="'11-3'!A1" display="Fiche de conciliation par société - Sabodala Gold Operations (SGO)" xr:uid="{00000000-0004-0000-0000-00004D000000}"/>
    <hyperlink ref="C16" location="'11-4'!A1" display="Fiche de conciliation par société - Ciments du Sahel (CDS)" xr:uid="{00000000-0004-0000-0000-00004E000000}"/>
    <hyperlink ref="C17" location="'11-5'!A1" display="Fiche de conciliation par société - Grande Côte Opérations (GCO)" xr:uid="{00000000-0004-0000-0000-00004F000000}"/>
    <hyperlink ref="C18" location="'11-6'!A1" display="Fiche de conciliation par société - Société Sénégalaise des Phosphates de Thiès (SSPT)" xr:uid="{00000000-0004-0000-0000-000050000000}"/>
    <hyperlink ref="C19" location="'11-7'!A1" display="Fiche de conciliation par société - Industries Chimiques du Sénégal (ICS)" xr:uid="{00000000-0004-0000-0000-000051000000}"/>
    <hyperlink ref="C20" location="'11-8'!A1" display="Fiche de conciliation par société - Dangote Industries Sénégal SA (DANGOTE)" xr:uid="{00000000-0004-0000-0000-000052000000}"/>
    <hyperlink ref="C21" location="'11-9'!A1" display="Fiche de conciliation par société - Petowal Mining Company (PMC) SA" xr:uid="{00000000-0004-0000-0000-000053000000}"/>
    <hyperlink ref="C22" location="'11-10'!A1" display="Fiche de conciliation par société - Société Minière de la Vallée du fleuve Sénégal (SOMIVA)" xr:uid="{00000000-0004-0000-0000-000054000000}"/>
    <hyperlink ref="C23" location="'11-11'!A1" display="Fiche de conciliation par société - SORED Mines" xr:uid="{00000000-0004-0000-0000-000055000000}"/>
    <hyperlink ref="C24" location="'11-12'!A1" display="Fiche de conciliation par société - Iamgold BOTO" xr:uid="{00000000-0004-0000-0000-000056000000}"/>
    <hyperlink ref="C25" location="'11-13'!A1" display="Fiche de conciliation par société - G-PHOS SA" xr:uid="{00000000-0004-0000-0000-000057000000}"/>
    <hyperlink ref="C26" location="'11-14'!A1" display="Fiche de conciliation par société - Baobab Mining and Chemical Corp SA" xr:uid="{00000000-0004-0000-0000-000058000000}"/>
    <hyperlink ref="C27" location="'11-15'!A1" display="Fiche de conciliation par société - Agem Sénégal Exploration SUARL (AGEM)" xr:uid="{00000000-0004-0000-0000-000059000000}"/>
    <hyperlink ref="C28" location="'11-16'!A1" display="Fiche de conciliation par société - Sabodala Mining Company (SMC)" xr:uid="{00000000-0004-0000-0000-00005A000000}"/>
    <hyperlink ref="C29" location="'11-17'!A1" display="Fiche de conciliation par société - Barrick Gold" xr:uid="{00000000-0004-0000-0000-00005B000000}"/>
    <hyperlink ref="C30" location="'11-18'!A1" display="Fiche de conciliation par société - Sephos Senegal SA (SEPHOS)" xr:uid="{00000000-0004-0000-0000-00005C000000}"/>
    <hyperlink ref="C31" location="'11-19'!A1" display="Fiche de conciliation par société - African Investment Group SA (AIG)" xr:uid="{00000000-0004-0000-0000-00005D000000}"/>
    <hyperlink ref="C32" location="'11-20'!A1" display="Fiche de conciliation par société - Compagnie Générale d'Exploitation de Carrière (COGECA)" xr:uid="{00000000-0004-0000-0000-00005E000000}"/>
    <hyperlink ref="C33" location="'11-21'!A1" display="Fiche de conciliation par société - Gécamines (GECAMINES)" xr:uid="{00000000-0004-0000-0000-00005F000000}"/>
    <hyperlink ref="C34" location="'11-22'!A1" display="Fiche de conciliation par société - Talix Mines" xr:uid="{00000000-0004-0000-0000-000060000000}"/>
    <hyperlink ref="C35" location="'11-23'!A1" display="Fiche de conciliation par société - Société des Pétroles du Sénégal (PETROSEN)" xr:uid="{00000000-0004-0000-0000-000061000000}"/>
    <hyperlink ref="C36" location="'11-24'!A1" display="Fiche de conciliation par société - Fortesa International Senegal" xr:uid="{00000000-0004-0000-0000-000062000000}"/>
    <hyperlink ref="C37" location="'11-25'!A1" display="Fiche de conciliation par société - Kosmos Energy Senegal " xr:uid="{00000000-0004-0000-0000-000063000000}"/>
    <hyperlink ref="C38" location="'11-26'!A1" display="Fiche de conciliation par société - Oranto Petroleum " xr:uid="{00000000-0004-0000-0000-000064000000}"/>
    <hyperlink ref="C39" location="'11-27'!A1" display="Fiche de conciliation par société - Total E&amp;P Sénégal " xr:uid="{00000000-0004-0000-0000-000065000000}"/>
    <hyperlink ref="C40" location="'11-28'!A1" display="Fiche de conciliation par société - BP Sénégal Investments Limited" xr:uid="{00000000-0004-0000-0000-000066000000}"/>
    <hyperlink ref="C41" location="'11-29'!A1" display="Fiche de conciliation par société - Woodside Energy Senegal " xr:uid="{00000000-0004-0000-0000-000067000000}"/>
    <hyperlink ref="C42" location="'12'!A1" display="Détail des revenus budgétaires par société extractive" xr:uid="{00000000-0004-0000-0000-000068000000}"/>
    <hyperlink ref="C43" location="'13'!A1" display="Détail des revenus budgétaires par flux de paiement" xr:uid="{00000000-0004-0000-0000-000069000000}"/>
    <hyperlink ref="C44" location="'14'!A1" display="Détail des paiements des entreprises par société extractive" xr:uid="{00000000-0004-0000-0000-00006A000000}"/>
    <hyperlink ref="C45" location="'15'!A1" display="Détail des paiements des entreprises par flux de paiement" xr:uid="{00000000-0004-0000-0000-00006B000000}"/>
    <hyperlink ref="C46" location="'16'!A1" display="Détail de la déclaration Unilatérale de l’Etat" xr:uid="{00000000-0004-0000-0000-00006C000000}"/>
    <hyperlink ref="C47" location="'17'!A1" display="Formulaire de déclaration 2022" xr:uid="{00000000-0004-0000-0000-00006D000000}"/>
    <hyperlink ref="C48" location="'18-1'!A1" display="Etat des permis octroyés et des permis renouvelés en 2022" xr:uid="{00000000-0004-0000-0000-00006E000000}"/>
    <hyperlink ref="C49" location="'18-2'!A1" display="Etat des Transferts &amp; arrêtes 2022 2023" xr:uid="{00000000-0004-0000-0000-00006F000000}"/>
    <hyperlink ref="C50" location="'18-3'!A1" display="Etat des Transferts_arretes 2023" xr:uid="{00000000-0004-0000-0000-000070000000}"/>
    <hyperlink ref="C51" location="'19'!A1" display="Détail des transactions effectuées avec les fournisseurs locaux" xr:uid="{00000000-0004-0000-0000-000071000000}"/>
    <hyperlink ref="C52" location="'20'!A1" display="Détail des transactions effectuées avec les fournisseurs étrangers" xr:uid="{00000000-0004-0000-0000-000072000000}"/>
    <hyperlink ref="C53" location="'21'!A1" display="Les volumes commercialisés et des prix pratiqués" xr:uid="{00000000-0004-0000-0000-000073000000}"/>
    <hyperlink ref="C54" location="'22'!A1" display="Critères d’attribution des titres miniers" xr:uid="{00000000-0004-0000-0000-000074000000}"/>
    <hyperlink ref="C55" location="'23'!A1" display="Critères de transfert des titres miniers" xr:uid="{00000000-0004-0000-0000-000075000000}"/>
    <hyperlink ref="C56" location="'24'!A1" display="Critères de renouvellement des titres miniers" xr:uid="{00000000-0004-0000-0000-000076000000}"/>
    <hyperlink ref="C57" location="'25'!A1" display="Critères techniques et financiers d’attribution des titres pétroliers" xr:uid="{00000000-0004-0000-0000-000077000000}"/>
    <hyperlink ref="C58" location="'26'!A1" display="Attestation de conformité de la DGM de 2022" xr:uid="{00000000-0004-0000-0000-000078000000}"/>
    <hyperlink ref="C59" location="'27'!A1" display=" Les modalités d’octroi par nature de permis  (minier)" xr:uid="{00000000-0004-0000-0000-000079000000}"/>
    <hyperlink ref="C60" location="'28'!A1" display="Modalités de transferts" xr:uid="{00000000-0004-0000-0000-00007A000000}"/>
    <hyperlink ref="C61" location="'29'!A1" display="Les modalités de renouvellement du secteur minier" xr:uid="{00000000-0004-0000-0000-00007B000000}"/>
    <hyperlink ref="C62" location="'30'!A1" display="Les modalités d’octroi par nature de permis " xr:uid="{00000000-0004-0000-0000-00007C000000}"/>
    <hyperlink ref="C63" location="'31'!A1" display="Les modalités de renouvellement du secteur des hydrocarbures" xr:uid="{00000000-0004-0000-0000-00007D000000}"/>
    <hyperlink ref="C64" location="'32'!A1" display="Types des titres miniers" xr:uid="{00000000-0004-0000-0000-00007E000000}"/>
    <hyperlink ref="C65" location="'33'!A1" display="Types des titres pétroliers" xr:uid="{00000000-0004-0000-0000-00007F000000}"/>
    <hyperlink ref="B66" location="'34'!A1" display="Annexe 34" xr:uid="{00000000-0004-0000-0000-000080000000}"/>
    <hyperlink ref="B67" location="'35'!A1" display="Annexe 35" xr:uid="{00000000-0004-0000-0000-000081000000}"/>
    <hyperlink ref="B68" location="'36'!A1" display="Annexe 36 " xr:uid="{00000000-0004-0000-0000-000082000000}"/>
    <hyperlink ref="B69" location="'37'!A1" display="Annexe 37" xr:uid="{00000000-0004-0000-0000-000083000000}"/>
    <hyperlink ref="B70" location="'38'!A1" display="Annexe 38" xr:uid="{00000000-0004-0000-0000-000084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dimension ref="A1:K39"/>
  <sheetViews>
    <sheetView showGridLines="0" workbookViewId="0">
      <selection sqref="A1:C1"/>
    </sheetView>
  </sheetViews>
  <sheetFormatPr baseColWidth="10" defaultColWidth="11.5" defaultRowHeight="12"/>
  <cols>
    <col min="1" max="1" width="2.33203125" style="203" customWidth="1"/>
    <col min="2" max="2" width="2.5" style="203" bestFit="1" customWidth="1"/>
    <col min="3" max="3" width="41" style="203" bestFit="1" customWidth="1"/>
    <col min="4" max="4" width="34" style="203" customWidth="1"/>
    <col min="5" max="5" width="11.6640625" style="203" bestFit="1" customWidth="1"/>
    <col min="6" max="7" width="12" style="203" bestFit="1" customWidth="1"/>
    <col min="8" max="8" width="18.33203125" style="203" bestFit="1" customWidth="1"/>
    <col min="9" max="9" width="14.33203125" style="203" bestFit="1" customWidth="1"/>
    <col min="10" max="10" width="66.1640625" style="203" bestFit="1" customWidth="1"/>
    <col min="11" max="11" width="19" style="203" bestFit="1" customWidth="1"/>
    <col min="12" max="16384" width="11.5" style="203"/>
  </cols>
  <sheetData>
    <row r="1" spans="1:11" ht="14.5">
      <c r="A1" s="709" t="s">
        <v>140</v>
      </c>
      <c r="B1" s="709"/>
      <c r="C1" s="709"/>
    </row>
    <row r="2" spans="1:11" s="207" customFormat="1" ht="19">
      <c r="A2" s="166" t="s">
        <v>141</v>
      </c>
    </row>
    <row r="3" spans="1:11">
      <c r="A3" s="202"/>
    </row>
    <row r="4" spans="1:11" s="209" customFormat="1" ht="15.5">
      <c r="A4" s="208" t="s">
        <v>142</v>
      </c>
    </row>
    <row r="5" spans="1:11">
      <c r="A5" s="204"/>
    </row>
    <row r="6" spans="1:11" ht="48.5" thickBot="1">
      <c r="B6" s="205" t="s">
        <v>143</v>
      </c>
      <c r="C6" s="205" t="s">
        <v>144</v>
      </c>
      <c r="D6" s="205" t="s">
        <v>145</v>
      </c>
      <c r="E6" s="205" t="s">
        <v>146</v>
      </c>
      <c r="F6" s="205" t="s">
        <v>147</v>
      </c>
      <c r="G6" s="205" t="s">
        <v>148</v>
      </c>
      <c r="H6" s="205" t="s">
        <v>149</v>
      </c>
      <c r="I6" s="205" t="s">
        <v>150</v>
      </c>
      <c r="J6" s="205" t="s">
        <v>151</v>
      </c>
      <c r="K6" s="205" t="s">
        <v>152</v>
      </c>
    </row>
    <row r="7" spans="1:11">
      <c r="B7" s="167">
        <v>1</v>
      </c>
      <c r="C7" s="168" t="s">
        <v>153</v>
      </c>
      <c r="D7" s="169"/>
      <c r="E7" s="170"/>
      <c r="F7" s="171"/>
      <c r="G7" s="170"/>
      <c r="H7" s="172"/>
      <c r="I7" s="172"/>
      <c r="J7" s="173"/>
      <c r="K7" s="170" t="s">
        <v>154</v>
      </c>
    </row>
    <row r="8" spans="1:11">
      <c r="B8" s="174">
        <v>2</v>
      </c>
      <c r="C8" s="175" t="s">
        <v>155</v>
      </c>
      <c r="D8" s="175" t="s">
        <v>155</v>
      </c>
      <c r="E8" s="176" t="s">
        <v>156</v>
      </c>
      <c r="F8" s="177">
        <v>36614</v>
      </c>
      <c r="G8" s="177">
        <v>37538</v>
      </c>
      <c r="H8" s="178" t="s">
        <v>157</v>
      </c>
      <c r="I8" s="179">
        <v>396742714.5</v>
      </c>
      <c r="J8" s="175" t="s">
        <v>158</v>
      </c>
      <c r="K8" s="180" t="s">
        <v>154</v>
      </c>
    </row>
    <row r="9" spans="1:11" ht="24">
      <c r="B9" s="167">
        <v>3</v>
      </c>
      <c r="C9" s="168" t="s">
        <v>159</v>
      </c>
      <c r="D9" s="168" t="s">
        <v>160</v>
      </c>
      <c r="E9" s="181" t="s">
        <v>161</v>
      </c>
      <c r="F9" s="182">
        <v>43105</v>
      </c>
      <c r="G9" s="181" t="s">
        <v>157</v>
      </c>
      <c r="H9" s="183">
        <v>0</v>
      </c>
      <c r="I9" s="181">
        <v>0</v>
      </c>
      <c r="J9" s="173" t="s">
        <v>162</v>
      </c>
      <c r="K9" s="170" t="s">
        <v>163</v>
      </c>
    </row>
    <row r="10" spans="1:11">
      <c r="B10" s="174">
        <v>4</v>
      </c>
      <c r="C10" s="175" t="s">
        <v>164</v>
      </c>
      <c r="D10" s="175" t="s">
        <v>165</v>
      </c>
      <c r="E10" s="184" t="s">
        <v>166</v>
      </c>
      <c r="F10" s="185">
        <v>39743</v>
      </c>
      <c r="G10" s="177" t="s">
        <v>167</v>
      </c>
      <c r="H10" s="186">
        <v>10000000</v>
      </c>
      <c r="I10" s="187">
        <v>0</v>
      </c>
      <c r="J10" s="175" t="s">
        <v>168</v>
      </c>
      <c r="K10" s="180" t="s">
        <v>154</v>
      </c>
    </row>
    <row r="11" spans="1:11">
      <c r="B11" s="167">
        <v>5</v>
      </c>
      <c r="C11" s="168" t="s">
        <v>169</v>
      </c>
      <c r="D11" s="168" t="s">
        <v>170</v>
      </c>
      <c r="E11" s="181">
        <v>6501383</v>
      </c>
      <c r="F11" s="171">
        <v>42975</v>
      </c>
      <c r="G11" s="181" t="s">
        <v>171</v>
      </c>
      <c r="H11" s="183">
        <v>0</v>
      </c>
      <c r="I11" s="181">
        <v>0</v>
      </c>
      <c r="J11" s="168" t="s">
        <v>172</v>
      </c>
      <c r="K11" s="170" t="s">
        <v>163</v>
      </c>
    </row>
    <row r="12" spans="1:11">
      <c r="B12" s="174">
        <v>6</v>
      </c>
      <c r="C12" s="175" t="s">
        <v>173</v>
      </c>
      <c r="D12" s="175" t="s">
        <v>174</v>
      </c>
      <c r="E12" s="188" t="s">
        <v>175</v>
      </c>
      <c r="F12" s="185">
        <v>42907</v>
      </c>
      <c r="G12" s="180" t="s">
        <v>176</v>
      </c>
      <c r="H12" s="178" t="s">
        <v>157</v>
      </c>
      <c r="I12" s="187" t="s">
        <v>157</v>
      </c>
      <c r="J12" s="175" t="s">
        <v>177</v>
      </c>
      <c r="K12" s="180" t="s">
        <v>163</v>
      </c>
    </row>
    <row r="13" spans="1:11">
      <c r="B13" s="167">
        <v>7</v>
      </c>
      <c r="C13" s="168" t="s">
        <v>178</v>
      </c>
      <c r="D13" s="168" t="s">
        <v>179</v>
      </c>
      <c r="E13" s="170" t="s">
        <v>180</v>
      </c>
      <c r="F13" s="171">
        <v>40897</v>
      </c>
      <c r="G13" s="189" t="s">
        <v>176</v>
      </c>
      <c r="H13" s="183">
        <v>113881754452.8</v>
      </c>
      <c r="I13" s="181">
        <v>0</v>
      </c>
      <c r="J13" s="168" t="s">
        <v>181</v>
      </c>
      <c r="K13" s="170" t="s">
        <v>163</v>
      </c>
    </row>
    <row r="15" spans="1:11" s="209" customFormat="1" ht="15.5">
      <c r="A15" s="208" t="s">
        <v>182</v>
      </c>
    </row>
    <row r="16" spans="1:11">
      <c r="A16" s="204"/>
    </row>
    <row r="17" spans="2:11" ht="48.5" thickBot="1">
      <c r="B17" s="206" t="s">
        <v>143</v>
      </c>
      <c r="C17" s="206" t="s">
        <v>144</v>
      </c>
      <c r="D17" s="206" t="s">
        <v>145</v>
      </c>
      <c r="E17" s="206" t="s">
        <v>146</v>
      </c>
      <c r="F17" s="206" t="s">
        <v>147</v>
      </c>
      <c r="G17" s="206" t="s">
        <v>148</v>
      </c>
      <c r="H17" s="206" t="s">
        <v>149</v>
      </c>
      <c r="I17" s="206" t="s">
        <v>150</v>
      </c>
      <c r="J17" s="206" t="s">
        <v>151</v>
      </c>
      <c r="K17" s="206" t="s">
        <v>152</v>
      </c>
    </row>
    <row r="18" spans="2:11">
      <c r="B18" s="167">
        <v>1</v>
      </c>
      <c r="C18" s="190" t="s">
        <v>183</v>
      </c>
      <c r="D18" s="190" t="s">
        <v>184</v>
      </c>
      <c r="E18" s="170" t="s">
        <v>185</v>
      </c>
      <c r="F18" s="171">
        <v>27394</v>
      </c>
      <c r="G18" s="190" t="s">
        <v>176</v>
      </c>
      <c r="H18" s="191">
        <v>1755470000</v>
      </c>
      <c r="I18" s="191">
        <v>0</v>
      </c>
      <c r="J18" s="169" t="s">
        <v>186</v>
      </c>
      <c r="K18" s="170" t="s">
        <v>154</v>
      </c>
    </row>
    <row r="19" spans="2:11">
      <c r="B19" s="174">
        <v>2</v>
      </c>
      <c r="C19" s="192" t="s">
        <v>187</v>
      </c>
      <c r="D19" s="192" t="s">
        <v>188</v>
      </c>
      <c r="E19" s="176" t="s">
        <v>189</v>
      </c>
      <c r="F19" s="185">
        <v>17681</v>
      </c>
      <c r="G19" s="185">
        <v>17681</v>
      </c>
      <c r="H19" s="193">
        <v>4666552110</v>
      </c>
      <c r="I19" s="193">
        <v>161020148826</v>
      </c>
      <c r="J19" s="194" t="s">
        <v>190</v>
      </c>
      <c r="K19" s="180" t="s">
        <v>163</v>
      </c>
    </row>
    <row r="20" spans="2:11">
      <c r="B20" s="167">
        <v>3</v>
      </c>
      <c r="C20" s="190" t="s">
        <v>191</v>
      </c>
      <c r="D20" s="190" t="s">
        <v>192</v>
      </c>
      <c r="E20" s="170" t="s">
        <v>193</v>
      </c>
      <c r="F20" s="171">
        <v>39478</v>
      </c>
      <c r="G20" s="171">
        <v>39873</v>
      </c>
      <c r="H20" s="191">
        <v>10500000</v>
      </c>
      <c r="I20" s="191">
        <v>392961612956</v>
      </c>
      <c r="J20" s="169" t="s">
        <v>194</v>
      </c>
      <c r="K20" s="170" t="s">
        <v>163</v>
      </c>
    </row>
    <row r="21" spans="2:11">
      <c r="B21" s="174">
        <v>4</v>
      </c>
      <c r="C21" s="192" t="s">
        <v>195</v>
      </c>
      <c r="D21" s="192" t="s">
        <v>196</v>
      </c>
      <c r="E21" s="180" t="s">
        <v>197</v>
      </c>
      <c r="F21" s="185">
        <v>36210</v>
      </c>
      <c r="G21" s="185">
        <v>37578</v>
      </c>
      <c r="H21" s="193">
        <v>13500000000</v>
      </c>
      <c r="I21" s="193">
        <v>163864492567</v>
      </c>
      <c r="J21" s="194" t="s">
        <v>198</v>
      </c>
      <c r="K21" s="180" t="s">
        <v>154</v>
      </c>
    </row>
    <row r="22" spans="2:11">
      <c r="B22" s="167">
        <v>5</v>
      </c>
      <c r="C22" s="190" t="s">
        <v>199</v>
      </c>
      <c r="D22" s="190" t="s">
        <v>200</v>
      </c>
      <c r="E22" s="170" t="s">
        <v>201</v>
      </c>
      <c r="F22" s="171">
        <v>39476</v>
      </c>
      <c r="G22" s="171">
        <v>41821</v>
      </c>
      <c r="H22" s="191">
        <v>10000000</v>
      </c>
      <c r="I22" s="191">
        <v>208511840360</v>
      </c>
      <c r="J22" s="169" t="s">
        <v>202</v>
      </c>
      <c r="K22" s="170" t="s">
        <v>163</v>
      </c>
    </row>
    <row r="23" spans="2:11">
      <c r="B23" s="174">
        <v>6</v>
      </c>
      <c r="C23" s="192" t="s">
        <v>203</v>
      </c>
      <c r="D23" s="192" t="s">
        <v>204</v>
      </c>
      <c r="E23" s="180">
        <v>28797</v>
      </c>
      <c r="F23" s="185">
        <v>17624</v>
      </c>
      <c r="G23" s="185">
        <v>17624</v>
      </c>
      <c r="H23" s="193">
        <v>100000000</v>
      </c>
      <c r="I23" s="193">
        <v>4002286439</v>
      </c>
      <c r="J23" s="194" t="s">
        <v>205</v>
      </c>
      <c r="K23" s="180" t="s">
        <v>154</v>
      </c>
    </row>
    <row r="24" spans="2:11">
      <c r="B24" s="167">
        <v>7</v>
      </c>
      <c r="C24" s="190" t="s">
        <v>206</v>
      </c>
      <c r="D24" s="190" t="s">
        <v>207</v>
      </c>
      <c r="E24" s="170" t="s">
        <v>208</v>
      </c>
      <c r="F24" s="171">
        <v>28337</v>
      </c>
      <c r="G24" s="171" t="s">
        <v>176</v>
      </c>
      <c r="H24" s="191">
        <v>94235610000</v>
      </c>
      <c r="I24" s="191">
        <v>566423853591</v>
      </c>
      <c r="J24" s="169" t="s">
        <v>209</v>
      </c>
      <c r="K24" s="170" t="s">
        <v>154</v>
      </c>
    </row>
    <row r="25" spans="2:11">
      <c r="B25" s="174">
        <v>8</v>
      </c>
      <c r="C25" s="192" t="s">
        <v>210</v>
      </c>
      <c r="D25" s="192" t="s">
        <v>211</v>
      </c>
      <c r="E25" s="180" t="s">
        <v>212</v>
      </c>
      <c r="F25" s="185">
        <v>39167</v>
      </c>
      <c r="G25" s="185">
        <v>42005</v>
      </c>
      <c r="H25" s="193">
        <v>1542384000</v>
      </c>
      <c r="I25" s="193">
        <v>49581280381</v>
      </c>
      <c r="J25" s="194" t="s">
        <v>213</v>
      </c>
      <c r="K25" s="180" t="s">
        <v>163</v>
      </c>
    </row>
    <row r="26" spans="2:11">
      <c r="B26" s="167">
        <v>9</v>
      </c>
      <c r="C26" s="190" t="s">
        <v>214</v>
      </c>
      <c r="D26" s="190" t="s">
        <v>215</v>
      </c>
      <c r="E26" s="195" t="s">
        <v>216</v>
      </c>
      <c r="F26" s="171" t="s">
        <v>217</v>
      </c>
      <c r="G26" s="171">
        <v>43101</v>
      </c>
      <c r="H26" s="191">
        <v>10000000</v>
      </c>
      <c r="I26" s="191">
        <v>147862815768</v>
      </c>
      <c r="J26" s="169" t="s">
        <v>218</v>
      </c>
      <c r="K26" s="170" t="s">
        <v>163</v>
      </c>
    </row>
    <row r="27" spans="2:11">
      <c r="B27" s="174">
        <v>10</v>
      </c>
      <c r="C27" s="192" t="s">
        <v>219</v>
      </c>
      <c r="D27" s="192" t="s">
        <v>220</v>
      </c>
      <c r="E27" s="180" t="s">
        <v>221</v>
      </c>
      <c r="F27" s="185">
        <v>40868</v>
      </c>
      <c r="G27" s="185">
        <v>41974</v>
      </c>
      <c r="H27" s="193">
        <v>12700000000</v>
      </c>
      <c r="I27" s="193">
        <v>22117704467</v>
      </c>
      <c r="J27" s="194" t="s">
        <v>222</v>
      </c>
      <c r="K27" s="180" t="s">
        <v>154</v>
      </c>
    </row>
    <row r="28" spans="2:11">
      <c r="B28" s="167">
        <v>11</v>
      </c>
      <c r="C28" s="190" t="s">
        <v>223</v>
      </c>
      <c r="D28" s="190"/>
      <c r="E28" s="195"/>
      <c r="F28" s="171"/>
      <c r="G28" s="171"/>
      <c r="H28" s="191"/>
      <c r="I28" s="191"/>
      <c r="J28" s="169"/>
      <c r="K28" s="170"/>
    </row>
    <row r="29" spans="2:11">
      <c r="B29" s="174">
        <v>12</v>
      </c>
      <c r="C29" s="192" t="s">
        <v>224</v>
      </c>
      <c r="D29" s="192" t="s">
        <v>225</v>
      </c>
      <c r="E29" s="180" t="s">
        <v>226</v>
      </c>
      <c r="F29" s="185">
        <v>43860</v>
      </c>
      <c r="G29" s="185" t="s">
        <v>176</v>
      </c>
      <c r="H29" s="193">
        <v>10000000</v>
      </c>
      <c r="I29" s="193">
        <v>0</v>
      </c>
      <c r="J29" s="194" t="s">
        <v>227</v>
      </c>
      <c r="K29" s="180" t="s">
        <v>163</v>
      </c>
    </row>
    <row r="30" spans="2:11">
      <c r="B30" s="167">
        <v>13</v>
      </c>
      <c r="C30" s="190" t="s">
        <v>228</v>
      </c>
      <c r="D30" s="190" t="s">
        <v>228</v>
      </c>
      <c r="E30" s="195" t="s">
        <v>229</v>
      </c>
      <c r="F30" s="171">
        <v>41274</v>
      </c>
      <c r="G30" s="171" t="s">
        <v>167</v>
      </c>
      <c r="H30" s="191">
        <v>3231240000</v>
      </c>
      <c r="I30" s="191">
        <v>357766575</v>
      </c>
      <c r="J30" s="169" t="s">
        <v>230</v>
      </c>
      <c r="K30" s="170" t="s">
        <v>154</v>
      </c>
    </row>
    <row r="31" spans="2:11">
      <c r="B31" s="174">
        <v>14</v>
      </c>
      <c r="C31" s="192" t="s">
        <v>231</v>
      </c>
      <c r="D31" s="192" t="s">
        <v>232</v>
      </c>
      <c r="E31" s="180" t="s">
        <v>233</v>
      </c>
      <c r="F31" s="185" t="s">
        <v>176</v>
      </c>
      <c r="G31" s="185" t="s">
        <v>176</v>
      </c>
      <c r="H31" s="193">
        <v>11000000000</v>
      </c>
      <c r="I31" s="193" t="s">
        <v>176</v>
      </c>
      <c r="J31" s="194" t="s">
        <v>234</v>
      </c>
      <c r="K31" s="180" t="s">
        <v>154</v>
      </c>
    </row>
    <row r="32" spans="2:11">
      <c r="B32" s="167">
        <v>15</v>
      </c>
      <c r="C32" s="190" t="s">
        <v>235</v>
      </c>
      <c r="D32" s="190" t="s">
        <v>236</v>
      </c>
      <c r="E32" s="195" t="s">
        <v>237</v>
      </c>
      <c r="F32" s="171">
        <v>40189</v>
      </c>
      <c r="G32" s="171" t="s">
        <v>176</v>
      </c>
      <c r="H32" s="191">
        <v>1000000</v>
      </c>
      <c r="I32" s="191">
        <v>0</v>
      </c>
      <c r="J32" s="169" t="s">
        <v>238</v>
      </c>
      <c r="K32" s="170" t="s">
        <v>163</v>
      </c>
    </row>
    <row r="33" spans="2:11">
      <c r="B33" s="174">
        <v>16</v>
      </c>
      <c r="C33" s="192" t="s">
        <v>239</v>
      </c>
      <c r="D33" s="192" t="s">
        <v>240</v>
      </c>
      <c r="E33" s="180">
        <v>2464410</v>
      </c>
      <c r="F33" s="185">
        <v>39083</v>
      </c>
      <c r="G33" s="185" t="s">
        <v>171</v>
      </c>
      <c r="H33" s="193">
        <v>1000000</v>
      </c>
      <c r="I33" s="193">
        <v>0</v>
      </c>
      <c r="J33" s="194" t="s">
        <v>241</v>
      </c>
      <c r="K33" s="180" t="s">
        <v>154</v>
      </c>
    </row>
    <row r="34" spans="2:11">
      <c r="B34" s="167">
        <v>17</v>
      </c>
      <c r="C34" s="190" t="s">
        <v>242</v>
      </c>
      <c r="D34" s="190" t="s">
        <v>243</v>
      </c>
      <c r="E34" s="195" t="s">
        <v>244</v>
      </c>
      <c r="F34" s="171">
        <v>42601</v>
      </c>
      <c r="G34" s="171" t="s">
        <v>171</v>
      </c>
      <c r="H34" s="191">
        <v>10000000</v>
      </c>
      <c r="I34" s="196">
        <v>0</v>
      </c>
      <c r="J34" s="169" t="s">
        <v>245</v>
      </c>
      <c r="K34" s="170" t="s">
        <v>163</v>
      </c>
    </row>
    <row r="35" spans="2:11">
      <c r="B35" s="174">
        <v>18</v>
      </c>
      <c r="C35" s="192" t="s">
        <v>246</v>
      </c>
      <c r="D35" s="192" t="s">
        <v>247</v>
      </c>
      <c r="E35" s="180" t="s">
        <v>248</v>
      </c>
      <c r="F35" s="185">
        <v>39850</v>
      </c>
      <c r="G35" s="185">
        <v>39850</v>
      </c>
      <c r="H35" s="193">
        <v>850000000</v>
      </c>
      <c r="I35" s="193">
        <v>4615973887</v>
      </c>
      <c r="J35" s="194" t="s">
        <v>249</v>
      </c>
      <c r="K35" s="180" t="s">
        <v>154</v>
      </c>
    </row>
    <row r="36" spans="2:11">
      <c r="B36" s="167">
        <v>19</v>
      </c>
      <c r="C36" s="190" t="s">
        <v>250</v>
      </c>
      <c r="D36" s="190" t="s">
        <v>251</v>
      </c>
      <c r="E36" s="195"/>
      <c r="F36" s="195"/>
      <c r="G36" s="195"/>
      <c r="H36" s="195"/>
      <c r="I36" s="195"/>
      <c r="J36" s="197"/>
      <c r="K36" s="195" t="s">
        <v>171</v>
      </c>
    </row>
    <row r="37" spans="2:11">
      <c r="B37" s="174">
        <v>20</v>
      </c>
      <c r="C37" s="192" t="s">
        <v>252</v>
      </c>
      <c r="D37" s="192" t="s">
        <v>253</v>
      </c>
      <c r="E37" s="198" t="s">
        <v>254</v>
      </c>
      <c r="F37" s="199">
        <v>35703</v>
      </c>
      <c r="G37" s="199">
        <v>35703</v>
      </c>
      <c r="H37" s="193">
        <v>691300000</v>
      </c>
      <c r="I37" s="193">
        <v>13438954975</v>
      </c>
      <c r="J37" s="200" t="s">
        <v>255</v>
      </c>
      <c r="K37" s="201" t="s">
        <v>154</v>
      </c>
    </row>
    <row r="38" spans="2:11">
      <c r="B38" s="167">
        <v>21</v>
      </c>
      <c r="C38" s="190" t="s">
        <v>256</v>
      </c>
      <c r="D38" s="190" t="s">
        <v>257</v>
      </c>
      <c r="E38" s="195" t="s">
        <v>258</v>
      </c>
      <c r="F38" s="171">
        <v>36970</v>
      </c>
      <c r="G38" s="171">
        <v>36970</v>
      </c>
      <c r="H38" s="191">
        <v>859800000</v>
      </c>
      <c r="I38" s="191" t="s">
        <v>176</v>
      </c>
      <c r="J38" s="169" t="s">
        <v>259</v>
      </c>
      <c r="K38" s="170" t="s">
        <v>163</v>
      </c>
    </row>
    <row r="39" spans="2:11">
      <c r="B39" s="174">
        <v>22</v>
      </c>
      <c r="C39" s="192" t="s">
        <v>260</v>
      </c>
      <c r="D39" s="192"/>
      <c r="E39" s="198"/>
      <c r="F39" s="199"/>
      <c r="G39" s="199"/>
      <c r="H39" s="193"/>
      <c r="I39" s="193"/>
      <c r="J39" s="200"/>
      <c r="K39" s="201" t="s">
        <v>154</v>
      </c>
    </row>
  </sheetData>
  <mergeCells count="1">
    <mergeCell ref="A1:C1"/>
  </mergeCells>
  <conditionalFormatting sqref="C18:D39">
    <cfRule type="containsText" dxfId="72" priority="2" operator="containsText" text="Not">
      <formula>NOT(ISERROR(SEARCH("Not",C18)))</formula>
    </cfRule>
  </conditionalFormatting>
  <conditionalFormatting sqref="C7:K13">
    <cfRule type="containsText" dxfId="71" priority="4" operator="containsText" text="Not">
      <formula>NOT(ISERROR(SEARCH("Not",C7)))</formula>
    </cfRule>
  </conditionalFormatting>
  <conditionalFormatting sqref="E38:G38">
    <cfRule type="containsText" dxfId="70" priority="12" operator="containsText" text="Not">
      <formula>NOT(ISERROR(SEARCH("Not",E38)))</formula>
    </cfRule>
  </conditionalFormatting>
  <conditionalFormatting sqref="E18:K36">
    <cfRule type="containsText" dxfId="69" priority="3" operator="containsText" text="Not">
      <formula>NOT(ISERROR(SEARCH("Not",E18)))</formula>
    </cfRule>
  </conditionalFormatting>
  <conditionalFormatting sqref="H37:I39">
    <cfRule type="containsText" dxfId="68" priority="1" operator="containsText" text="Not">
      <formula>NOT(ISERROR(SEARCH("Not",H37)))</formula>
    </cfRule>
  </conditionalFormatting>
  <conditionalFormatting sqref="J38:K38">
    <cfRule type="containsText" dxfId="67" priority="13" operator="containsText" text="Not">
      <formula>NOT(ISERROR(SEARCH("Not",J38)))</formula>
    </cfRule>
  </conditionalFormatting>
  <hyperlinks>
    <hyperlink ref="A1:C1" location="Sommaire!A1" display="Sommaire!A1"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dimension ref="A1:H306"/>
  <sheetViews>
    <sheetView showGridLines="0" workbookViewId="0">
      <selection sqref="A1:C1"/>
    </sheetView>
  </sheetViews>
  <sheetFormatPr baseColWidth="10" defaultColWidth="11.33203125" defaultRowHeight="12"/>
  <cols>
    <col min="1" max="1" width="2.6640625" style="215" customWidth="1"/>
    <col min="2" max="2" width="54.33203125" style="215" bestFit="1" customWidth="1"/>
    <col min="3" max="4" width="15.33203125" style="215" bestFit="1" customWidth="1"/>
    <col min="5" max="5" width="4.33203125" style="215" customWidth="1"/>
    <col min="6" max="6" width="55" style="215" bestFit="1" customWidth="1"/>
    <col min="7" max="7" width="11.6640625" style="215" customWidth="1"/>
    <col min="8" max="8" width="16.5" style="215" customWidth="1"/>
    <col min="9" max="9" width="9.33203125" style="215" customWidth="1"/>
    <col min="10" max="16384" width="11.33203125" style="215"/>
  </cols>
  <sheetData>
    <row r="1" spans="1:8" ht="14.5">
      <c r="A1" s="709" t="s">
        <v>140</v>
      </c>
      <c r="B1" s="709"/>
      <c r="C1" s="709"/>
    </row>
    <row r="2" spans="1:8" s="217" customFormat="1" ht="19">
      <c r="A2" s="216" t="s">
        <v>261</v>
      </c>
      <c r="F2" s="712"/>
      <c r="G2" s="712"/>
      <c r="H2" s="712"/>
    </row>
    <row r="4" spans="1:8" ht="20.25" customHeight="1" thickBot="1">
      <c r="B4" s="206" t="s">
        <v>262</v>
      </c>
      <c r="C4" s="206" t="s">
        <v>263</v>
      </c>
      <c r="D4" s="206" t="s">
        <v>264</v>
      </c>
      <c r="F4" s="206" t="s">
        <v>262</v>
      </c>
      <c r="G4" s="206" t="s">
        <v>263</v>
      </c>
      <c r="H4" s="206" t="s">
        <v>264</v>
      </c>
    </row>
    <row r="5" spans="1:8">
      <c r="B5" s="710" t="s">
        <v>265</v>
      </c>
      <c r="C5" s="710"/>
      <c r="D5" s="710"/>
      <c r="F5" s="711" t="s">
        <v>266</v>
      </c>
      <c r="G5" s="711"/>
      <c r="H5" s="711"/>
    </row>
    <row r="6" spans="1:8">
      <c r="B6" s="210" t="s">
        <v>267</v>
      </c>
      <c r="C6" s="210" t="s">
        <v>268</v>
      </c>
      <c r="D6" s="210" t="s">
        <v>268</v>
      </c>
      <c r="F6" s="211" t="s">
        <v>269</v>
      </c>
      <c r="G6" s="212" t="s">
        <v>268</v>
      </c>
      <c r="H6" s="212" t="s">
        <v>268</v>
      </c>
    </row>
    <row r="7" spans="1:8">
      <c r="B7" s="212" t="s">
        <v>270</v>
      </c>
      <c r="C7" s="212" t="s">
        <v>268</v>
      </c>
      <c r="D7" s="212" t="s">
        <v>268</v>
      </c>
      <c r="F7" s="210" t="s">
        <v>271</v>
      </c>
      <c r="G7" s="210" t="s">
        <v>268</v>
      </c>
      <c r="H7" s="210" t="s">
        <v>268</v>
      </c>
    </row>
    <row r="8" spans="1:8">
      <c r="B8" s="210" t="s">
        <v>272</v>
      </c>
      <c r="C8" s="210" t="s">
        <v>268</v>
      </c>
      <c r="D8" s="210" t="s">
        <v>268</v>
      </c>
      <c r="F8" s="212" t="s">
        <v>273</v>
      </c>
      <c r="G8" s="212" t="s">
        <v>268</v>
      </c>
      <c r="H8" s="212" t="s">
        <v>268</v>
      </c>
    </row>
    <row r="9" spans="1:8">
      <c r="B9" s="212" t="s">
        <v>274</v>
      </c>
      <c r="C9" s="212" t="s">
        <v>268</v>
      </c>
      <c r="D9" s="212" t="s">
        <v>268</v>
      </c>
    </row>
    <row r="10" spans="1:8">
      <c r="B10" s="210" t="s">
        <v>275</v>
      </c>
      <c r="C10" s="210" t="s">
        <v>268</v>
      </c>
      <c r="D10" s="210" t="s">
        <v>268</v>
      </c>
    </row>
    <row r="11" spans="1:8">
      <c r="B11" s="212" t="s">
        <v>276</v>
      </c>
      <c r="C11" s="212" t="s">
        <v>268</v>
      </c>
      <c r="D11" s="212" t="s">
        <v>268</v>
      </c>
    </row>
    <row r="12" spans="1:8">
      <c r="B12" s="210" t="s">
        <v>277</v>
      </c>
      <c r="C12" s="210" t="s">
        <v>268</v>
      </c>
      <c r="D12" s="210" t="s">
        <v>268</v>
      </c>
    </row>
    <row r="13" spans="1:8">
      <c r="B13" s="212" t="s">
        <v>278</v>
      </c>
      <c r="C13" s="212" t="s">
        <v>268</v>
      </c>
      <c r="D13" s="212" t="s">
        <v>268</v>
      </c>
    </row>
    <row r="14" spans="1:8">
      <c r="B14" s="210" t="s">
        <v>279</v>
      </c>
      <c r="C14" s="210" t="s">
        <v>268</v>
      </c>
      <c r="D14" s="210" t="s">
        <v>268</v>
      </c>
    </row>
    <row r="15" spans="1:8">
      <c r="B15" s="212" t="s">
        <v>280</v>
      </c>
      <c r="C15" s="212" t="s">
        <v>268</v>
      </c>
      <c r="D15" s="212" t="s">
        <v>268</v>
      </c>
    </row>
    <row r="16" spans="1:8">
      <c r="B16" s="210" t="s">
        <v>281</v>
      </c>
      <c r="C16" s="210" t="s">
        <v>268</v>
      </c>
      <c r="D16" s="210" t="s">
        <v>268</v>
      </c>
    </row>
    <row r="17" spans="2:4">
      <c r="B17" s="212" t="s">
        <v>282</v>
      </c>
      <c r="C17" s="212" t="s">
        <v>268</v>
      </c>
      <c r="D17" s="212" t="s">
        <v>268</v>
      </c>
    </row>
    <row r="18" spans="2:4">
      <c r="B18" s="210" t="s">
        <v>283</v>
      </c>
      <c r="C18" s="210" t="s">
        <v>268</v>
      </c>
      <c r="D18" s="210" t="s">
        <v>268</v>
      </c>
    </row>
    <row r="19" spans="2:4">
      <c r="B19" s="212" t="s">
        <v>284</v>
      </c>
      <c r="C19" s="212" t="s">
        <v>268</v>
      </c>
      <c r="D19" s="212" t="s">
        <v>268</v>
      </c>
    </row>
    <row r="20" spans="2:4">
      <c r="B20" s="210" t="s">
        <v>285</v>
      </c>
      <c r="C20" s="210" t="s">
        <v>268</v>
      </c>
      <c r="D20" s="210" t="s">
        <v>268</v>
      </c>
    </row>
    <row r="21" spans="2:4">
      <c r="B21" s="212" t="s">
        <v>286</v>
      </c>
      <c r="C21" s="212" t="s">
        <v>268</v>
      </c>
      <c r="D21" s="212" t="s">
        <v>268</v>
      </c>
    </row>
    <row r="22" spans="2:4">
      <c r="B22" s="210" t="s">
        <v>287</v>
      </c>
      <c r="C22" s="210" t="s">
        <v>268</v>
      </c>
      <c r="D22" s="210" t="s">
        <v>268</v>
      </c>
    </row>
    <row r="23" spans="2:4">
      <c r="B23" s="212" t="s">
        <v>288</v>
      </c>
      <c r="C23" s="212" t="s">
        <v>268</v>
      </c>
      <c r="D23" s="212" t="s">
        <v>268</v>
      </c>
    </row>
    <row r="24" spans="2:4">
      <c r="B24" s="210" t="s">
        <v>289</v>
      </c>
      <c r="C24" s="210" t="s">
        <v>268</v>
      </c>
      <c r="D24" s="210" t="s">
        <v>268</v>
      </c>
    </row>
    <row r="25" spans="2:4">
      <c r="B25" s="212" t="s">
        <v>290</v>
      </c>
      <c r="C25" s="212" t="s">
        <v>268</v>
      </c>
      <c r="D25" s="212" t="s">
        <v>268</v>
      </c>
    </row>
    <row r="26" spans="2:4">
      <c r="B26" s="210" t="s">
        <v>291</v>
      </c>
      <c r="C26" s="210" t="s">
        <v>268</v>
      </c>
      <c r="D26" s="210" t="s">
        <v>268</v>
      </c>
    </row>
    <row r="27" spans="2:4">
      <c r="B27" s="212" t="s">
        <v>292</v>
      </c>
      <c r="C27" s="212" t="s">
        <v>268</v>
      </c>
      <c r="D27" s="212" t="s">
        <v>268</v>
      </c>
    </row>
    <row r="28" spans="2:4">
      <c r="B28" s="210" t="s">
        <v>293</v>
      </c>
      <c r="C28" s="210" t="s">
        <v>268</v>
      </c>
      <c r="D28" s="210" t="s">
        <v>268</v>
      </c>
    </row>
    <row r="29" spans="2:4">
      <c r="B29" s="212" t="s">
        <v>294</v>
      </c>
      <c r="C29" s="212" t="s">
        <v>268</v>
      </c>
      <c r="D29" s="212" t="s">
        <v>268</v>
      </c>
    </row>
    <row r="30" spans="2:4">
      <c r="B30" s="210" t="s">
        <v>295</v>
      </c>
      <c r="C30" s="210" t="s">
        <v>268</v>
      </c>
      <c r="D30" s="210" t="s">
        <v>268</v>
      </c>
    </row>
    <row r="31" spans="2:4">
      <c r="B31" s="212" t="s">
        <v>296</v>
      </c>
      <c r="C31" s="212" t="s">
        <v>268</v>
      </c>
      <c r="D31" s="212" t="s">
        <v>268</v>
      </c>
    </row>
    <row r="32" spans="2:4">
      <c r="B32" s="210" t="s">
        <v>297</v>
      </c>
      <c r="C32" s="210" t="s">
        <v>268</v>
      </c>
      <c r="D32" s="210" t="s">
        <v>268</v>
      </c>
    </row>
    <row r="33" spans="2:4">
      <c r="B33" s="212" t="s">
        <v>298</v>
      </c>
      <c r="C33" s="212" t="s">
        <v>268</v>
      </c>
      <c r="D33" s="212" t="s">
        <v>268</v>
      </c>
    </row>
    <row r="34" spans="2:4">
      <c r="B34" s="210" t="s">
        <v>299</v>
      </c>
      <c r="C34" s="210" t="s">
        <v>268</v>
      </c>
      <c r="D34" s="210" t="s">
        <v>268</v>
      </c>
    </row>
    <row r="35" spans="2:4">
      <c r="B35" s="212" t="s">
        <v>300</v>
      </c>
      <c r="C35" s="212" t="s">
        <v>268</v>
      </c>
      <c r="D35" s="212" t="s">
        <v>268</v>
      </c>
    </row>
    <row r="36" spans="2:4">
      <c r="B36" s="210" t="s">
        <v>301</v>
      </c>
      <c r="C36" s="210" t="s">
        <v>268</v>
      </c>
      <c r="D36" s="210" t="s">
        <v>268</v>
      </c>
    </row>
    <row r="37" spans="2:4">
      <c r="B37" s="212" t="s">
        <v>302</v>
      </c>
      <c r="C37" s="212" t="s">
        <v>268</v>
      </c>
      <c r="D37" s="212" t="s">
        <v>268</v>
      </c>
    </row>
    <row r="38" spans="2:4">
      <c r="B38" s="210" t="s">
        <v>303</v>
      </c>
      <c r="C38" s="210" t="s">
        <v>268</v>
      </c>
      <c r="D38" s="210" t="s">
        <v>268</v>
      </c>
    </row>
    <row r="39" spans="2:4">
      <c r="B39" s="212" t="s">
        <v>304</v>
      </c>
      <c r="C39" s="212" t="s">
        <v>268</v>
      </c>
      <c r="D39" s="212" t="s">
        <v>268</v>
      </c>
    </row>
    <row r="40" spans="2:4">
      <c r="B40" s="210" t="s">
        <v>305</v>
      </c>
      <c r="C40" s="210" t="s">
        <v>268</v>
      </c>
      <c r="D40" s="210" t="s">
        <v>268</v>
      </c>
    </row>
    <row r="41" spans="2:4">
      <c r="B41" s="212" t="s">
        <v>306</v>
      </c>
      <c r="C41" s="212" t="s">
        <v>268</v>
      </c>
      <c r="D41" s="212" t="s">
        <v>268</v>
      </c>
    </row>
    <row r="42" spans="2:4">
      <c r="B42" s="210" t="s">
        <v>307</v>
      </c>
      <c r="C42" s="210" t="s">
        <v>268</v>
      </c>
      <c r="D42" s="210" t="s">
        <v>268</v>
      </c>
    </row>
    <row r="43" spans="2:4">
      <c r="B43" s="212" t="s">
        <v>308</v>
      </c>
      <c r="C43" s="212" t="s">
        <v>268</v>
      </c>
      <c r="D43" s="212" t="s">
        <v>268</v>
      </c>
    </row>
    <row r="44" spans="2:4">
      <c r="B44" s="210" t="s">
        <v>309</v>
      </c>
      <c r="C44" s="210" t="s">
        <v>268</v>
      </c>
      <c r="D44" s="210" t="s">
        <v>268</v>
      </c>
    </row>
    <row r="45" spans="2:4">
      <c r="B45" s="212" t="s">
        <v>310</v>
      </c>
      <c r="C45" s="212" t="s">
        <v>268</v>
      </c>
      <c r="D45" s="212" t="s">
        <v>268</v>
      </c>
    </row>
    <row r="46" spans="2:4">
      <c r="B46" s="210" t="s">
        <v>311</v>
      </c>
      <c r="C46" s="210" t="s">
        <v>268</v>
      </c>
      <c r="D46" s="210" t="s">
        <v>268</v>
      </c>
    </row>
    <row r="47" spans="2:4">
      <c r="B47" s="212" t="s">
        <v>312</v>
      </c>
      <c r="C47" s="212" t="s">
        <v>268</v>
      </c>
      <c r="D47" s="212" t="s">
        <v>268</v>
      </c>
    </row>
    <row r="48" spans="2:4">
      <c r="B48" s="210" t="s">
        <v>313</v>
      </c>
      <c r="C48" s="210" t="s">
        <v>268</v>
      </c>
      <c r="D48" s="210" t="s">
        <v>268</v>
      </c>
    </row>
    <row r="49" spans="2:4">
      <c r="B49" s="212" t="s">
        <v>314</v>
      </c>
      <c r="C49" s="212" t="s">
        <v>268</v>
      </c>
      <c r="D49" s="212" t="s">
        <v>268</v>
      </c>
    </row>
    <row r="50" spans="2:4">
      <c r="B50" s="210" t="s">
        <v>315</v>
      </c>
      <c r="C50" s="210" t="s">
        <v>268</v>
      </c>
      <c r="D50" s="210" t="s">
        <v>268</v>
      </c>
    </row>
    <row r="51" spans="2:4">
      <c r="B51" s="212" t="s">
        <v>316</v>
      </c>
      <c r="C51" s="212" t="s">
        <v>268</v>
      </c>
      <c r="D51" s="212" t="s">
        <v>268</v>
      </c>
    </row>
    <row r="52" spans="2:4">
      <c r="B52" s="210" t="s">
        <v>317</v>
      </c>
      <c r="C52" s="210" t="s">
        <v>268</v>
      </c>
      <c r="D52" s="210" t="s">
        <v>268</v>
      </c>
    </row>
    <row r="53" spans="2:4">
      <c r="B53" s="212" t="s">
        <v>318</v>
      </c>
      <c r="C53" s="212" t="s">
        <v>268</v>
      </c>
      <c r="D53" s="212" t="s">
        <v>268</v>
      </c>
    </row>
    <row r="54" spans="2:4">
      <c r="B54" s="210" t="s">
        <v>319</v>
      </c>
      <c r="C54" s="210" t="s">
        <v>268</v>
      </c>
      <c r="D54" s="210" t="s">
        <v>268</v>
      </c>
    </row>
    <row r="55" spans="2:4">
      <c r="B55" s="212" t="s">
        <v>320</v>
      </c>
      <c r="C55" s="212" t="s">
        <v>268</v>
      </c>
      <c r="D55" s="212" t="s">
        <v>268</v>
      </c>
    </row>
    <row r="56" spans="2:4">
      <c r="B56" s="210" t="s">
        <v>321</v>
      </c>
      <c r="C56" s="210" t="s">
        <v>268</v>
      </c>
      <c r="D56" s="210" t="s">
        <v>268</v>
      </c>
    </row>
    <row r="57" spans="2:4">
      <c r="B57" s="212" t="s">
        <v>322</v>
      </c>
      <c r="C57" s="212" t="s">
        <v>268</v>
      </c>
      <c r="D57" s="212" t="s">
        <v>268</v>
      </c>
    </row>
    <row r="58" spans="2:4">
      <c r="B58" s="210" t="s">
        <v>323</v>
      </c>
      <c r="C58" s="210" t="s">
        <v>268</v>
      </c>
      <c r="D58" s="210" t="s">
        <v>268</v>
      </c>
    </row>
    <row r="59" spans="2:4">
      <c r="B59" s="212" t="s">
        <v>324</v>
      </c>
      <c r="C59" s="212" t="s">
        <v>268</v>
      </c>
      <c r="D59" s="212" t="s">
        <v>268</v>
      </c>
    </row>
    <row r="60" spans="2:4">
      <c r="B60" s="210" t="s">
        <v>325</v>
      </c>
      <c r="C60" s="210" t="s">
        <v>268</v>
      </c>
      <c r="D60" s="210" t="s">
        <v>268</v>
      </c>
    </row>
    <row r="61" spans="2:4">
      <c r="B61" s="212" t="s">
        <v>326</v>
      </c>
      <c r="C61" s="212" t="s">
        <v>268</v>
      </c>
      <c r="D61" s="212" t="s">
        <v>268</v>
      </c>
    </row>
    <row r="62" spans="2:4">
      <c r="B62" s="210" t="s">
        <v>327</v>
      </c>
      <c r="C62" s="210" t="s">
        <v>268</v>
      </c>
      <c r="D62" s="210" t="s">
        <v>268</v>
      </c>
    </row>
    <row r="63" spans="2:4">
      <c r="B63" s="212" t="s">
        <v>328</v>
      </c>
      <c r="C63" s="212" t="s">
        <v>268</v>
      </c>
      <c r="D63" s="212" t="s">
        <v>268</v>
      </c>
    </row>
    <row r="64" spans="2:4">
      <c r="B64" s="210" t="s">
        <v>329</v>
      </c>
      <c r="C64" s="210" t="s">
        <v>268</v>
      </c>
      <c r="D64" s="210" t="s">
        <v>268</v>
      </c>
    </row>
    <row r="65" spans="2:4">
      <c r="B65" s="212" t="s">
        <v>330</v>
      </c>
      <c r="C65" s="212" t="s">
        <v>268</v>
      </c>
      <c r="D65" s="212" t="s">
        <v>268</v>
      </c>
    </row>
    <row r="66" spans="2:4">
      <c r="B66" s="210" t="s">
        <v>331</v>
      </c>
      <c r="C66" s="210" t="s">
        <v>268</v>
      </c>
      <c r="D66" s="210" t="s">
        <v>268</v>
      </c>
    </row>
    <row r="67" spans="2:4">
      <c r="B67" s="212" t="s">
        <v>332</v>
      </c>
      <c r="C67" s="212" t="s">
        <v>268</v>
      </c>
      <c r="D67" s="212" t="s">
        <v>268</v>
      </c>
    </row>
    <row r="68" spans="2:4">
      <c r="B68" s="210" t="s">
        <v>333</v>
      </c>
      <c r="C68" s="210" t="s">
        <v>268</v>
      </c>
      <c r="D68" s="210" t="s">
        <v>268</v>
      </c>
    </row>
    <row r="69" spans="2:4">
      <c r="B69" s="212" t="s">
        <v>334</v>
      </c>
      <c r="C69" s="212" t="s">
        <v>268</v>
      </c>
      <c r="D69" s="212" t="s">
        <v>268</v>
      </c>
    </row>
    <row r="70" spans="2:4">
      <c r="B70" s="210" t="s">
        <v>335</v>
      </c>
      <c r="C70" s="210" t="s">
        <v>268</v>
      </c>
      <c r="D70" s="210" t="s">
        <v>268</v>
      </c>
    </row>
    <row r="71" spans="2:4">
      <c r="B71" s="212" t="s">
        <v>336</v>
      </c>
      <c r="C71" s="212" t="s">
        <v>268</v>
      </c>
      <c r="D71" s="212" t="s">
        <v>268</v>
      </c>
    </row>
    <row r="72" spans="2:4">
      <c r="B72" s="210" t="s">
        <v>337</v>
      </c>
      <c r="C72" s="210" t="s">
        <v>268</v>
      </c>
      <c r="D72" s="210" t="s">
        <v>268</v>
      </c>
    </row>
    <row r="73" spans="2:4">
      <c r="B73" s="212" t="s">
        <v>338</v>
      </c>
      <c r="C73" s="212" t="s">
        <v>268</v>
      </c>
      <c r="D73" s="212" t="s">
        <v>268</v>
      </c>
    </row>
    <row r="74" spans="2:4">
      <c r="B74" s="210" t="s">
        <v>339</v>
      </c>
      <c r="C74" s="210" t="s">
        <v>268</v>
      </c>
      <c r="D74" s="210" t="s">
        <v>268</v>
      </c>
    </row>
    <row r="75" spans="2:4">
      <c r="B75" s="212" t="s">
        <v>340</v>
      </c>
      <c r="C75" s="212" t="s">
        <v>268</v>
      </c>
      <c r="D75" s="212" t="s">
        <v>268</v>
      </c>
    </row>
    <row r="76" spans="2:4">
      <c r="B76" s="210" t="s">
        <v>341</v>
      </c>
      <c r="C76" s="210" t="s">
        <v>268</v>
      </c>
      <c r="D76" s="210" t="s">
        <v>268</v>
      </c>
    </row>
    <row r="77" spans="2:4">
      <c r="B77" s="212" t="s">
        <v>342</v>
      </c>
      <c r="C77" s="212" t="s">
        <v>268</v>
      </c>
      <c r="D77" s="212" t="s">
        <v>268</v>
      </c>
    </row>
    <row r="78" spans="2:4">
      <c r="B78" s="210" t="s">
        <v>343</v>
      </c>
      <c r="C78" s="210" t="s">
        <v>268</v>
      </c>
      <c r="D78" s="210" t="s">
        <v>268</v>
      </c>
    </row>
    <row r="79" spans="2:4">
      <c r="B79" s="212" t="s">
        <v>344</v>
      </c>
      <c r="C79" s="212" t="s">
        <v>268</v>
      </c>
      <c r="D79" s="212" t="s">
        <v>268</v>
      </c>
    </row>
    <row r="80" spans="2:4">
      <c r="B80" s="210" t="s">
        <v>345</v>
      </c>
      <c r="C80" s="210" t="s">
        <v>268</v>
      </c>
      <c r="D80" s="210" t="s">
        <v>268</v>
      </c>
    </row>
    <row r="81" spans="2:4">
      <c r="B81" s="212" t="s">
        <v>346</v>
      </c>
      <c r="C81" s="212" t="s">
        <v>268</v>
      </c>
      <c r="D81" s="212" t="s">
        <v>268</v>
      </c>
    </row>
    <row r="82" spans="2:4">
      <c r="B82" s="210" t="s">
        <v>347</v>
      </c>
      <c r="C82" s="210" t="s">
        <v>268</v>
      </c>
      <c r="D82" s="210" t="s">
        <v>268</v>
      </c>
    </row>
    <row r="83" spans="2:4">
      <c r="B83" s="212" t="s">
        <v>348</v>
      </c>
      <c r="C83" s="212" t="s">
        <v>268</v>
      </c>
      <c r="D83" s="212" t="s">
        <v>268</v>
      </c>
    </row>
    <row r="84" spans="2:4">
      <c r="B84" s="210" t="s">
        <v>349</v>
      </c>
      <c r="C84" s="210" t="s">
        <v>268</v>
      </c>
      <c r="D84" s="210" t="s">
        <v>268</v>
      </c>
    </row>
    <row r="85" spans="2:4">
      <c r="B85" s="212" t="s">
        <v>350</v>
      </c>
      <c r="C85" s="212" t="s">
        <v>268</v>
      </c>
      <c r="D85" s="212" t="s">
        <v>268</v>
      </c>
    </row>
    <row r="86" spans="2:4">
      <c r="B86" s="210" t="s">
        <v>351</v>
      </c>
      <c r="C86" s="210" t="s">
        <v>268</v>
      </c>
      <c r="D86" s="210" t="s">
        <v>268</v>
      </c>
    </row>
    <row r="87" spans="2:4">
      <c r="B87" s="212" t="s">
        <v>352</v>
      </c>
      <c r="C87" s="212" t="s">
        <v>268</v>
      </c>
      <c r="D87" s="212" t="s">
        <v>268</v>
      </c>
    </row>
    <row r="88" spans="2:4">
      <c r="B88" s="210" t="s">
        <v>353</v>
      </c>
      <c r="C88" s="210" t="s">
        <v>268</v>
      </c>
      <c r="D88" s="210" t="s">
        <v>268</v>
      </c>
    </row>
    <row r="89" spans="2:4">
      <c r="B89" s="212" t="s">
        <v>354</v>
      </c>
      <c r="C89" s="212" t="s">
        <v>268</v>
      </c>
      <c r="D89" s="212" t="s">
        <v>268</v>
      </c>
    </row>
    <row r="90" spans="2:4">
      <c r="B90" s="210" t="s">
        <v>355</v>
      </c>
      <c r="C90" s="210" t="s">
        <v>268</v>
      </c>
      <c r="D90" s="210" t="s">
        <v>268</v>
      </c>
    </row>
    <row r="91" spans="2:4">
      <c r="B91" s="212" t="s">
        <v>356</v>
      </c>
      <c r="C91" s="212" t="s">
        <v>268</v>
      </c>
      <c r="D91" s="212" t="s">
        <v>268</v>
      </c>
    </row>
    <row r="92" spans="2:4">
      <c r="B92" s="210" t="s">
        <v>357</v>
      </c>
      <c r="C92" s="210" t="s">
        <v>268</v>
      </c>
      <c r="D92" s="210" t="s">
        <v>268</v>
      </c>
    </row>
    <row r="93" spans="2:4">
      <c r="B93" s="212" t="s">
        <v>358</v>
      </c>
      <c r="C93" s="212" t="s">
        <v>268</v>
      </c>
      <c r="D93" s="212" t="s">
        <v>268</v>
      </c>
    </row>
    <row r="94" spans="2:4">
      <c r="B94" s="210" t="s">
        <v>359</v>
      </c>
      <c r="C94" s="210" t="s">
        <v>268</v>
      </c>
      <c r="D94" s="210" t="s">
        <v>268</v>
      </c>
    </row>
    <row r="95" spans="2:4">
      <c r="B95" s="212" t="s">
        <v>360</v>
      </c>
      <c r="C95" s="212" t="s">
        <v>268</v>
      </c>
      <c r="D95" s="212" t="s">
        <v>268</v>
      </c>
    </row>
    <row r="96" spans="2:4">
      <c r="B96" s="210" t="s">
        <v>361</v>
      </c>
      <c r="C96" s="210" t="s">
        <v>268</v>
      </c>
      <c r="D96" s="210" t="s">
        <v>268</v>
      </c>
    </row>
    <row r="97" spans="2:4">
      <c r="B97" s="212" t="s">
        <v>362</v>
      </c>
      <c r="C97" s="212" t="s">
        <v>268</v>
      </c>
      <c r="D97" s="212" t="s">
        <v>268</v>
      </c>
    </row>
    <row r="98" spans="2:4">
      <c r="B98" s="210" t="s">
        <v>363</v>
      </c>
      <c r="C98" s="210" t="s">
        <v>268</v>
      </c>
      <c r="D98" s="210" t="s">
        <v>268</v>
      </c>
    </row>
    <row r="99" spans="2:4">
      <c r="B99" s="212" t="s">
        <v>364</v>
      </c>
      <c r="C99" s="212" t="s">
        <v>268</v>
      </c>
      <c r="D99" s="212" t="s">
        <v>268</v>
      </c>
    </row>
    <row r="100" spans="2:4">
      <c r="B100" s="210" t="s">
        <v>365</v>
      </c>
      <c r="C100" s="210" t="s">
        <v>268</v>
      </c>
      <c r="D100" s="210" t="s">
        <v>268</v>
      </c>
    </row>
    <row r="101" spans="2:4">
      <c r="B101" s="212" t="s">
        <v>366</v>
      </c>
      <c r="C101" s="212" t="s">
        <v>268</v>
      </c>
      <c r="D101" s="212" t="s">
        <v>268</v>
      </c>
    </row>
    <row r="102" spans="2:4">
      <c r="B102" s="210" t="s">
        <v>367</v>
      </c>
      <c r="C102" s="210" t="s">
        <v>268</v>
      </c>
      <c r="D102" s="210" t="s">
        <v>268</v>
      </c>
    </row>
    <row r="103" spans="2:4">
      <c r="B103" s="212" t="s">
        <v>368</v>
      </c>
      <c r="C103" s="212" t="s">
        <v>268</v>
      </c>
      <c r="D103" s="212" t="s">
        <v>268</v>
      </c>
    </row>
    <row r="104" spans="2:4">
      <c r="B104" s="210" t="s">
        <v>369</v>
      </c>
      <c r="C104" s="210" t="s">
        <v>268</v>
      </c>
      <c r="D104" s="210" t="s">
        <v>268</v>
      </c>
    </row>
    <row r="105" spans="2:4">
      <c r="B105" s="212" t="s">
        <v>370</v>
      </c>
      <c r="C105" s="212" t="s">
        <v>268</v>
      </c>
      <c r="D105" s="212" t="s">
        <v>268</v>
      </c>
    </row>
    <row r="106" spans="2:4">
      <c r="B106" s="210" t="s">
        <v>371</v>
      </c>
      <c r="C106" s="210" t="s">
        <v>268</v>
      </c>
      <c r="D106" s="210" t="s">
        <v>268</v>
      </c>
    </row>
    <row r="107" spans="2:4">
      <c r="B107" s="212" t="s">
        <v>372</v>
      </c>
      <c r="C107" s="212" t="s">
        <v>268</v>
      </c>
      <c r="D107" s="212" t="s">
        <v>268</v>
      </c>
    </row>
    <row r="108" spans="2:4">
      <c r="B108" s="210" t="s">
        <v>373</v>
      </c>
      <c r="C108" s="210" t="s">
        <v>268</v>
      </c>
      <c r="D108" s="210" t="s">
        <v>268</v>
      </c>
    </row>
    <row r="109" spans="2:4">
      <c r="B109" s="212" t="s">
        <v>374</v>
      </c>
      <c r="C109" s="212" t="s">
        <v>268</v>
      </c>
      <c r="D109" s="212" t="s">
        <v>268</v>
      </c>
    </row>
    <row r="110" spans="2:4">
      <c r="B110" s="210" t="s">
        <v>375</v>
      </c>
      <c r="C110" s="210" t="s">
        <v>268</v>
      </c>
      <c r="D110" s="210" t="s">
        <v>268</v>
      </c>
    </row>
    <row r="111" spans="2:4">
      <c r="B111" s="212" t="s">
        <v>376</v>
      </c>
      <c r="C111" s="212" t="s">
        <v>268</v>
      </c>
      <c r="D111" s="212" t="s">
        <v>268</v>
      </c>
    </row>
    <row r="112" spans="2:4">
      <c r="B112" s="210" t="s">
        <v>377</v>
      </c>
      <c r="C112" s="210" t="s">
        <v>268</v>
      </c>
      <c r="D112" s="210" t="s">
        <v>268</v>
      </c>
    </row>
    <row r="113" spans="2:4">
      <c r="B113" s="212" t="s">
        <v>378</v>
      </c>
      <c r="C113" s="212" t="s">
        <v>268</v>
      </c>
      <c r="D113" s="212" t="s">
        <v>268</v>
      </c>
    </row>
    <row r="114" spans="2:4">
      <c r="B114" s="210" t="s">
        <v>379</v>
      </c>
      <c r="C114" s="210" t="s">
        <v>268</v>
      </c>
      <c r="D114" s="210" t="s">
        <v>268</v>
      </c>
    </row>
    <row r="115" spans="2:4">
      <c r="B115" s="212" t="s">
        <v>380</v>
      </c>
      <c r="C115" s="212" t="s">
        <v>268</v>
      </c>
      <c r="D115" s="212" t="s">
        <v>268</v>
      </c>
    </row>
    <row r="116" spans="2:4">
      <c r="B116" s="210" t="s">
        <v>381</v>
      </c>
      <c r="C116" s="210" t="s">
        <v>268</v>
      </c>
      <c r="D116" s="210" t="s">
        <v>268</v>
      </c>
    </row>
    <row r="117" spans="2:4">
      <c r="B117" s="212" t="s">
        <v>382</v>
      </c>
      <c r="C117" s="212" t="s">
        <v>268</v>
      </c>
      <c r="D117" s="212" t="s">
        <v>268</v>
      </c>
    </row>
    <row r="118" spans="2:4">
      <c r="B118" s="210" t="s">
        <v>383</v>
      </c>
      <c r="C118" s="210" t="s">
        <v>268</v>
      </c>
      <c r="D118" s="210" t="s">
        <v>268</v>
      </c>
    </row>
    <row r="119" spans="2:4">
      <c r="B119" s="212" t="s">
        <v>384</v>
      </c>
      <c r="C119" s="212" t="s">
        <v>268</v>
      </c>
      <c r="D119" s="212" t="s">
        <v>268</v>
      </c>
    </row>
    <row r="120" spans="2:4">
      <c r="B120" s="210" t="s">
        <v>385</v>
      </c>
      <c r="C120" s="210" t="s">
        <v>268</v>
      </c>
      <c r="D120" s="210" t="s">
        <v>268</v>
      </c>
    </row>
    <row r="121" spans="2:4">
      <c r="B121" s="212" t="s">
        <v>386</v>
      </c>
      <c r="C121" s="212" t="s">
        <v>268</v>
      </c>
      <c r="D121" s="212" t="s">
        <v>268</v>
      </c>
    </row>
    <row r="122" spans="2:4">
      <c r="B122" s="210" t="s">
        <v>387</v>
      </c>
      <c r="C122" s="210" t="s">
        <v>268</v>
      </c>
      <c r="D122" s="210" t="s">
        <v>268</v>
      </c>
    </row>
    <row r="123" spans="2:4">
      <c r="B123" s="212" t="s">
        <v>388</v>
      </c>
      <c r="C123" s="212" t="s">
        <v>268</v>
      </c>
      <c r="D123" s="212" t="s">
        <v>268</v>
      </c>
    </row>
    <row r="124" spans="2:4">
      <c r="B124" s="210" t="s">
        <v>389</v>
      </c>
      <c r="C124" s="210" t="s">
        <v>268</v>
      </c>
      <c r="D124" s="210" t="s">
        <v>268</v>
      </c>
    </row>
    <row r="125" spans="2:4">
      <c r="B125" s="212" t="s">
        <v>390</v>
      </c>
      <c r="C125" s="212" t="s">
        <v>268</v>
      </c>
      <c r="D125" s="212" t="s">
        <v>268</v>
      </c>
    </row>
    <row r="126" spans="2:4">
      <c r="B126" s="210" t="s">
        <v>391</v>
      </c>
      <c r="C126" s="210" t="s">
        <v>268</v>
      </c>
      <c r="D126" s="210" t="s">
        <v>268</v>
      </c>
    </row>
    <row r="127" spans="2:4">
      <c r="B127" s="212" t="s">
        <v>392</v>
      </c>
      <c r="C127" s="212" t="s">
        <v>268</v>
      </c>
      <c r="D127" s="212" t="s">
        <v>268</v>
      </c>
    </row>
    <row r="128" spans="2:4">
      <c r="B128" s="210" t="s">
        <v>393</v>
      </c>
      <c r="C128" s="210" t="s">
        <v>268</v>
      </c>
      <c r="D128" s="210" t="s">
        <v>268</v>
      </c>
    </row>
    <row r="129" spans="2:4">
      <c r="B129" s="212" t="s">
        <v>394</v>
      </c>
      <c r="C129" s="212" t="s">
        <v>268</v>
      </c>
      <c r="D129" s="212" t="s">
        <v>268</v>
      </c>
    </row>
    <row r="130" spans="2:4">
      <c r="B130" s="210" t="s">
        <v>395</v>
      </c>
      <c r="C130" s="210" t="s">
        <v>268</v>
      </c>
      <c r="D130" s="210" t="s">
        <v>268</v>
      </c>
    </row>
    <row r="131" spans="2:4">
      <c r="B131" s="212" t="s">
        <v>396</v>
      </c>
      <c r="C131" s="212" t="s">
        <v>268</v>
      </c>
      <c r="D131" s="212" t="s">
        <v>268</v>
      </c>
    </row>
    <row r="132" spans="2:4">
      <c r="B132" s="210" t="s">
        <v>397</v>
      </c>
      <c r="C132" s="210" t="s">
        <v>268</v>
      </c>
      <c r="D132" s="210" t="s">
        <v>268</v>
      </c>
    </row>
    <row r="133" spans="2:4">
      <c r="B133" s="212" t="s">
        <v>398</v>
      </c>
      <c r="C133" s="212" t="s">
        <v>268</v>
      </c>
      <c r="D133" s="212" t="s">
        <v>268</v>
      </c>
    </row>
    <row r="134" spans="2:4">
      <c r="B134" s="210" t="s">
        <v>399</v>
      </c>
      <c r="C134" s="210" t="s">
        <v>268</v>
      </c>
      <c r="D134" s="210" t="s">
        <v>268</v>
      </c>
    </row>
    <row r="135" spans="2:4">
      <c r="B135" s="212" t="s">
        <v>400</v>
      </c>
      <c r="C135" s="212" t="s">
        <v>268</v>
      </c>
      <c r="D135" s="212" t="s">
        <v>268</v>
      </c>
    </row>
    <row r="136" spans="2:4">
      <c r="B136" s="210" t="s">
        <v>401</v>
      </c>
      <c r="C136" s="210" t="s">
        <v>268</v>
      </c>
      <c r="D136" s="210" t="s">
        <v>268</v>
      </c>
    </row>
    <row r="137" spans="2:4">
      <c r="B137" s="212" t="s">
        <v>402</v>
      </c>
      <c r="C137" s="212" t="s">
        <v>268</v>
      </c>
      <c r="D137" s="212" t="s">
        <v>268</v>
      </c>
    </row>
    <row r="138" spans="2:4">
      <c r="B138" s="210" t="s">
        <v>403</v>
      </c>
      <c r="C138" s="210" t="s">
        <v>268</v>
      </c>
      <c r="D138" s="210" t="s">
        <v>268</v>
      </c>
    </row>
    <row r="139" spans="2:4">
      <c r="B139" s="212" t="s">
        <v>404</v>
      </c>
      <c r="C139" s="212" t="s">
        <v>268</v>
      </c>
      <c r="D139" s="212" t="s">
        <v>268</v>
      </c>
    </row>
    <row r="140" spans="2:4">
      <c r="B140" s="210" t="s">
        <v>405</v>
      </c>
      <c r="C140" s="210" t="s">
        <v>268</v>
      </c>
      <c r="D140" s="210" t="s">
        <v>268</v>
      </c>
    </row>
    <row r="141" spans="2:4">
      <c r="B141" s="212" t="s">
        <v>406</v>
      </c>
      <c r="C141" s="212" t="s">
        <v>268</v>
      </c>
      <c r="D141" s="212" t="s">
        <v>268</v>
      </c>
    </row>
    <row r="142" spans="2:4">
      <c r="B142" s="210" t="s">
        <v>407</v>
      </c>
      <c r="C142" s="210" t="s">
        <v>268</v>
      </c>
      <c r="D142" s="210" t="s">
        <v>268</v>
      </c>
    </row>
    <row r="143" spans="2:4">
      <c r="B143" s="212" t="s">
        <v>408</v>
      </c>
      <c r="C143" s="212" t="s">
        <v>268</v>
      </c>
      <c r="D143" s="212" t="s">
        <v>268</v>
      </c>
    </row>
    <row r="144" spans="2:4">
      <c r="B144" s="210" t="s">
        <v>409</v>
      </c>
      <c r="C144" s="210" t="s">
        <v>268</v>
      </c>
      <c r="D144" s="210" t="s">
        <v>268</v>
      </c>
    </row>
    <row r="145" spans="2:4">
      <c r="B145" s="212" t="s">
        <v>410</v>
      </c>
      <c r="C145" s="212" t="s">
        <v>268</v>
      </c>
      <c r="D145" s="212" t="s">
        <v>268</v>
      </c>
    </row>
    <row r="146" spans="2:4">
      <c r="B146" s="210" t="s">
        <v>411</v>
      </c>
      <c r="C146" s="210" t="s">
        <v>268</v>
      </c>
      <c r="D146" s="210" t="s">
        <v>268</v>
      </c>
    </row>
    <row r="147" spans="2:4">
      <c r="B147" s="212" t="s">
        <v>412</v>
      </c>
      <c r="C147" s="212" t="s">
        <v>268</v>
      </c>
      <c r="D147" s="212" t="s">
        <v>268</v>
      </c>
    </row>
    <row r="148" spans="2:4">
      <c r="B148" s="210" t="s">
        <v>413</v>
      </c>
      <c r="C148" s="210" t="s">
        <v>268</v>
      </c>
      <c r="D148" s="210" t="s">
        <v>268</v>
      </c>
    </row>
    <row r="149" spans="2:4">
      <c r="B149" s="212" t="s">
        <v>414</v>
      </c>
      <c r="C149" s="212" t="s">
        <v>268</v>
      </c>
      <c r="D149" s="212" t="s">
        <v>268</v>
      </c>
    </row>
    <row r="150" spans="2:4">
      <c r="B150" s="210" t="s">
        <v>415</v>
      </c>
      <c r="C150" s="210" t="s">
        <v>268</v>
      </c>
      <c r="D150" s="210" t="s">
        <v>268</v>
      </c>
    </row>
    <row r="151" spans="2:4">
      <c r="B151" s="212" t="s">
        <v>416</v>
      </c>
      <c r="C151" s="212" t="s">
        <v>268</v>
      </c>
      <c r="D151" s="212" t="s">
        <v>268</v>
      </c>
    </row>
    <row r="152" spans="2:4">
      <c r="B152" s="210" t="s">
        <v>417</v>
      </c>
      <c r="C152" s="210" t="s">
        <v>268</v>
      </c>
      <c r="D152" s="210" t="s">
        <v>268</v>
      </c>
    </row>
    <row r="153" spans="2:4">
      <c r="B153" s="212" t="s">
        <v>418</v>
      </c>
      <c r="C153" s="212" t="s">
        <v>268</v>
      </c>
      <c r="D153" s="212" t="s">
        <v>268</v>
      </c>
    </row>
    <row r="154" spans="2:4">
      <c r="B154" s="210" t="s">
        <v>419</v>
      </c>
      <c r="C154" s="210" t="s">
        <v>268</v>
      </c>
      <c r="D154" s="210" t="s">
        <v>268</v>
      </c>
    </row>
    <row r="155" spans="2:4">
      <c r="B155" s="212" t="s">
        <v>420</v>
      </c>
      <c r="C155" s="212" t="s">
        <v>268</v>
      </c>
      <c r="D155" s="212" t="s">
        <v>268</v>
      </c>
    </row>
    <row r="156" spans="2:4">
      <c r="B156" s="210" t="s">
        <v>421</v>
      </c>
      <c r="C156" s="210" t="s">
        <v>268</v>
      </c>
      <c r="D156" s="210" t="s">
        <v>268</v>
      </c>
    </row>
    <row r="157" spans="2:4">
      <c r="B157" s="212" t="s">
        <v>422</v>
      </c>
      <c r="C157" s="212" t="s">
        <v>268</v>
      </c>
      <c r="D157" s="212" t="s">
        <v>268</v>
      </c>
    </row>
    <row r="158" spans="2:4">
      <c r="B158" s="210" t="s">
        <v>423</v>
      </c>
      <c r="C158" s="210" t="s">
        <v>268</v>
      </c>
      <c r="D158" s="210" t="s">
        <v>268</v>
      </c>
    </row>
    <row r="159" spans="2:4">
      <c r="B159" s="212" t="s">
        <v>424</v>
      </c>
      <c r="C159" s="212" t="s">
        <v>268</v>
      </c>
      <c r="D159" s="212" t="s">
        <v>268</v>
      </c>
    </row>
    <row r="160" spans="2:4">
      <c r="B160" s="210" t="s">
        <v>425</v>
      </c>
      <c r="C160" s="210" t="s">
        <v>268</v>
      </c>
      <c r="D160" s="210" t="s">
        <v>268</v>
      </c>
    </row>
    <row r="161" spans="2:4">
      <c r="B161" s="212" t="s">
        <v>426</v>
      </c>
      <c r="C161" s="212" t="s">
        <v>268</v>
      </c>
      <c r="D161" s="212" t="s">
        <v>268</v>
      </c>
    </row>
    <row r="162" spans="2:4">
      <c r="B162" s="210" t="s">
        <v>427</v>
      </c>
      <c r="C162" s="210" t="s">
        <v>268</v>
      </c>
      <c r="D162" s="210" t="s">
        <v>268</v>
      </c>
    </row>
    <row r="163" spans="2:4">
      <c r="B163" s="212" t="s">
        <v>428</v>
      </c>
      <c r="C163" s="212" t="s">
        <v>268</v>
      </c>
      <c r="D163" s="212" t="s">
        <v>268</v>
      </c>
    </row>
    <row r="164" spans="2:4">
      <c r="B164" s="210" t="s">
        <v>429</v>
      </c>
      <c r="C164" s="210" t="s">
        <v>268</v>
      </c>
      <c r="D164" s="210" t="s">
        <v>268</v>
      </c>
    </row>
    <row r="165" spans="2:4">
      <c r="B165" s="212" t="s">
        <v>430</v>
      </c>
      <c r="C165" s="212" t="s">
        <v>268</v>
      </c>
      <c r="D165" s="212" t="s">
        <v>268</v>
      </c>
    </row>
    <row r="166" spans="2:4">
      <c r="B166" s="210" t="s">
        <v>431</v>
      </c>
      <c r="C166" s="210" t="s">
        <v>268</v>
      </c>
      <c r="D166" s="210" t="s">
        <v>268</v>
      </c>
    </row>
    <row r="167" spans="2:4">
      <c r="B167" s="212" t="s">
        <v>432</v>
      </c>
      <c r="C167" s="212" t="s">
        <v>268</v>
      </c>
      <c r="D167" s="212" t="s">
        <v>268</v>
      </c>
    </row>
    <row r="168" spans="2:4">
      <c r="B168" s="210" t="s">
        <v>433</v>
      </c>
      <c r="C168" s="210" t="s">
        <v>268</v>
      </c>
      <c r="D168" s="210" t="s">
        <v>268</v>
      </c>
    </row>
    <row r="169" spans="2:4">
      <c r="B169" s="212" t="s">
        <v>434</v>
      </c>
      <c r="C169" s="212" t="s">
        <v>268</v>
      </c>
      <c r="D169" s="212" t="s">
        <v>268</v>
      </c>
    </row>
    <row r="170" spans="2:4">
      <c r="B170" s="210" t="s">
        <v>435</v>
      </c>
      <c r="C170" s="210" t="s">
        <v>268</v>
      </c>
      <c r="D170" s="210" t="s">
        <v>268</v>
      </c>
    </row>
    <row r="171" spans="2:4">
      <c r="B171" s="212" t="s">
        <v>436</v>
      </c>
      <c r="C171" s="212" t="s">
        <v>268</v>
      </c>
      <c r="D171" s="212" t="s">
        <v>268</v>
      </c>
    </row>
    <row r="172" spans="2:4">
      <c r="B172" s="210" t="s">
        <v>437</v>
      </c>
      <c r="C172" s="210" t="s">
        <v>268</v>
      </c>
      <c r="D172" s="210" t="s">
        <v>268</v>
      </c>
    </row>
    <row r="173" spans="2:4">
      <c r="B173" s="212" t="s">
        <v>438</v>
      </c>
      <c r="C173" s="212" t="s">
        <v>268</v>
      </c>
      <c r="D173" s="212" t="s">
        <v>268</v>
      </c>
    </row>
    <row r="174" spans="2:4">
      <c r="B174" s="210" t="s">
        <v>439</v>
      </c>
      <c r="C174" s="210" t="s">
        <v>268</v>
      </c>
      <c r="D174" s="210" t="s">
        <v>268</v>
      </c>
    </row>
    <row r="175" spans="2:4">
      <c r="B175" s="212" t="s">
        <v>440</v>
      </c>
      <c r="C175" s="212" t="s">
        <v>268</v>
      </c>
      <c r="D175" s="212" t="s">
        <v>268</v>
      </c>
    </row>
    <row r="176" spans="2:4">
      <c r="B176" s="210" t="s">
        <v>441</v>
      </c>
      <c r="C176" s="210" t="s">
        <v>268</v>
      </c>
      <c r="D176" s="210" t="s">
        <v>268</v>
      </c>
    </row>
    <row r="177" spans="2:4">
      <c r="B177" s="212" t="s">
        <v>442</v>
      </c>
      <c r="C177" s="212" t="s">
        <v>268</v>
      </c>
      <c r="D177" s="212" t="s">
        <v>268</v>
      </c>
    </row>
    <row r="178" spans="2:4">
      <c r="B178" s="210" t="s">
        <v>443</v>
      </c>
      <c r="C178" s="210" t="s">
        <v>268</v>
      </c>
      <c r="D178" s="210" t="s">
        <v>268</v>
      </c>
    </row>
    <row r="179" spans="2:4">
      <c r="B179" s="212" t="s">
        <v>444</v>
      </c>
      <c r="C179" s="212" t="s">
        <v>268</v>
      </c>
      <c r="D179" s="212" t="s">
        <v>268</v>
      </c>
    </row>
    <row r="180" spans="2:4">
      <c r="B180" s="210" t="s">
        <v>445</v>
      </c>
      <c r="C180" s="210" t="s">
        <v>268</v>
      </c>
      <c r="D180" s="210" t="s">
        <v>268</v>
      </c>
    </row>
    <row r="181" spans="2:4">
      <c r="B181" s="212" t="s">
        <v>446</v>
      </c>
      <c r="C181" s="212" t="s">
        <v>268</v>
      </c>
      <c r="D181" s="212" t="s">
        <v>268</v>
      </c>
    </row>
    <row r="182" spans="2:4">
      <c r="B182" s="210" t="s">
        <v>447</v>
      </c>
      <c r="C182" s="210" t="s">
        <v>268</v>
      </c>
      <c r="D182" s="210" t="s">
        <v>268</v>
      </c>
    </row>
    <row r="183" spans="2:4">
      <c r="B183" s="212" t="s">
        <v>448</v>
      </c>
      <c r="C183" s="212" t="s">
        <v>268</v>
      </c>
      <c r="D183" s="212" t="s">
        <v>268</v>
      </c>
    </row>
    <row r="184" spans="2:4">
      <c r="B184" s="210" t="s">
        <v>449</v>
      </c>
      <c r="C184" s="210" t="s">
        <v>268</v>
      </c>
      <c r="D184" s="210" t="s">
        <v>268</v>
      </c>
    </row>
    <row r="185" spans="2:4">
      <c r="B185" s="212" t="s">
        <v>450</v>
      </c>
      <c r="C185" s="212" t="s">
        <v>268</v>
      </c>
      <c r="D185" s="212" t="s">
        <v>268</v>
      </c>
    </row>
    <row r="186" spans="2:4">
      <c r="B186" s="213" t="s">
        <v>451</v>
      </c>
      <c r="C186" s="210" t="s">
        <v>268</v>
      </c>
      <c r="D186" s="210" t="s">
        <v>268</v>
      </c>
    </row>
    <row r="187" spans="2:4">
      <c r="B187" s="212" t="s">
        <v>452</v>
      </c>
      <c r="C187" s="212" t="s">
        <v>268</v>
      </c>
      <c r="D187" s="212" t="s">
        <v>268</v>
      </c>
    </row>
    <row r="188" spans="2:4">
      <c r="B188" s="210" t="s">
        <v>453</v>
      </c>
      <c r="C188" s="210" t="s">
        <v>268</v>
      </c>
      <c r="D188" s="210" t="s">
        <v>268</v>
      </c>
    </row>
    <row r="189" spans="2:4">
      <c r="B189" s="212" t="s">
        <v>454</v>
      </c>
      <c r="C189" s="212" t="s">
        <v>268</v>
      </c>
      <c r="D189" s="212" t="s">
        <v>268</v>
      </c>
    </row>
    <row r="190" spans="2:4">
      <c r="B190" s="210" t="s">
        <v>455</v>
      </c>
      <c r="C190" s="210" t="s">
        <v>268</v>
      </c>
      <c r="D190" s="210" t="s">
        <v>268</v>
      </c>
    </row>
    <row r="191" spans="2:4">
      <c r="B191" s="212" t="s">
        <v>456</v>
      </c>
      <c r="C191" s="212" t="s">
        <v>268</v>
      </c>
      <c r="D191" s="212" t="s">
        <v>268</v>
      </c>
    </row>
    <row r="192" spans="2:4">
      <c r="B192" s="210" t="s">
        <v>457</v>
      </c>
      <c r="C192" s="210" t="s">
        <v>268</v>
      </c>
      <c r="D192" s="210" t="s">
        <v>268</v>
      </c>
    </row>
    <row r="193" spans="2:4">
      <c r="B193" s="212" t="s">
        <v>458</v>
      </c>
      <c r="C193" s="212" t="s">
        <v>268</v>
      </c>
      <c r="D193" s="212" t="s">
        <v>268</v>
      </c>
    </row>
    <row r="194" spans="2:4">
      <c r="B194" s="210" t="s">
        <v>459</v>
      </c>
      <c r="C194" s="210" t="s">
        <v>268</v>
      </c>
      <c r="D194" s="210" t="s">
        <v>268</v>
      </c>
    </row>
    <row r="195" spans="2:4">
      <c r="B195" s="212" t="s">
        <v>460</v>
      </c>
      <c r="C195" s="212" t="s">
        <v>268</v>
      </c>
      <c r="D195" s="212" t="s">
        <v>268</v>
      </c>
    </row>
    <row r="196" spans="2:4">
      <c r="B196" s="213" t="s">
        <v>461</v>
      </c>
      <c r="C196" s="210" t="s">
        <v>268</v>
      </c>
      <c r="D196" s="210" t="s">
        <v>268</v>
      </c>
    </row>
    <row r="197" spans="2:4">
      <c r="B197" s="212" t="s">
        <v>462</v>
      </c>
      <c r="C197" s="212" t="s">
        <v>268</v>
      </c>
      <c r="D197" s="212" t="s">
        <v>268</v>
      </c>
    </row>
    <row r="198" spans="2:4">
      <c r="B198" s="210" t="s">
        <v>463</v>
      </c>
      <c r="C198" s="210" t="s">
        <v>268</v>
      </c>
      <c r="D198" s="210" t="s">
        <v>268</v>
      </c>
    </row>
    <row r="199" spans="2:4">
      <c r="B199" s="212" t="s">
        <v>464</v>
      </c>
      <c r="C199" s="212" t="s">
        <v>268</v>
      </c>
      <c r="D199" s="212" t="s">
        <v>268</v>
      </c>
    </row>
    <row r="200" spans="2:4">
      <c r="B200" s="210" t="s">
        <v>465</v>
      </c>
      <c r="C200" s="210" t="s">
        <v>268</v>
      </c>
      <c r="D200" s="210" t="s">
        <v>268</v>
      </c>
    </row>
    <row r="201" spans="2:4">
      <c r="B201" s="212" t="s">
        <v>466</v>
      </c>
      <c r="C201" s="212" t="s">
        <v>268</v>
      </c>
      <c r="D201" s="212" t="s">
        <v>268</v>
      </c>
    </row>
    <row r="202" spans="2:4">
      <c r="B202" s="210" t="s">
        <v>467</v>
      </c>
      <c r="C202" s="210" t="s">
        <v>268</v>
      </c>
      <c r="D202" s="210" t="s">
        <v>268</v>
      </c>
    </row>
    <row r="203" spans="2:4">
      <c r="B203" s="212" t="s">
        <v>468</v>
      </c>
      <c r="C203" s="212" t="s">
        <v>268</v>
      </c>
      <c r="D203" s="212" t="s">
        <v>268</v>
      </c>
    </row>
    <row r="204" spans="2:4">
      <c r="B204" s="210" t="s">
        <v>469</v>
      </c>
      <c r="C204" s="210" t="s">
        <v>268</v>
      </c>
      <c r="D204" s="210" t="s">
        <v>268</v>
      </c>
    </row>
    <row r="205" spans="2:4">
      <c r="B205" s="212" t="s">
        <v>470</v>
      </c>
      <c r="C205" s="212" t="s">
        <v>268</v>
      </c>
      <c r="D205" s="212" t="s">
        <v>268</v>
      </c>
    </row>
    <row r="206" spans="2:4">
      <c r="B206" s="210" t="s">
        <v>471</v>
      </c>
      <c r="C206" s="210" t="s">
        <v>268</v>
      </c>
      <c r="D206" s="210" t="s">
        <v>268</v>
      </c>
    </row>
    <row r="207" spans="2:4">
      <c r="B207" s="212" t="s">
        <v>472</v>
      </c>
      <c r="C207" s="212" t="s">
        <v>268</v>
      </c>
      <c r="D207" s="212" t="s">
        <v>268</v>
      </c>
    </row>
    <row r="208" spans="2:4">
      <c r="B208" s="210" t="s">
        <v>473</v>
      </c>
      <c r="C208" s="210" t="s">
        <v>268</v>
      </c>
      <c r="D208" s="210" t="s">
        <v>268</v>
      </c>
    </row>
    <row r="209" spans="2:4">
      <c r="B209" s="212" t="s">
        <v>474</v>
      </c>
      <c r="C209" s="212" t="s">
        <v>268</v>
      </c>
      <c r="D209" s="212" t="s">
        <v>268</v>
      </c>
    </row>
    <row r="210" spans="2:4">
      <c r="B210" s="210" t="s">
        <v>475</v>
      </c>
      <c r="C210" s="210" t="s">
        <v>268</v>
      </c>
      <c r="D210" s="210" t="s">
        <v>268</v>
      </c>
    </row>
    <row r="211" spans="2:4">
      <c r="B211" s="212" t="s">
        <v>476</v>
      </c>
      <c r="C211" s="212" t="s">
        <v>268</v>
      </c>
      <c r="D211" s="212" t="s">
        <v>268</v>
      </c>
    </row>
    <row r="212" spans="2:4">
      <c r="B212" s="210" t="s">
        <v>477</v>
      </c>
      <c r="C212" s="210" t="s">
        <v>268</v>
      </c>
      <c r="D212" s="210" t="s">
        <v>268</v>
      </c>
    </row>
    <row r="213" spans="2:4">
      <c r="B213" s="212" t="s">
        <v>478</v>
      </c>
      <c r="C213" s="212" t="s">
        <v>268</v>
      </c>
      <c r="D213" s="212" t="s">
        <v>268</v>
      </c>
    </row>
    <row r="214" spans="2:4">
      <c r="B214" s="210" t="s">
        <v>479</v>
      </c>
      <c r="C214" s="210" t="s">
        <v>268</v>
      </c>
      <c r="D214" s="210" t="s">
        <v>268</v>
      </c>
    </row>
    <row r="215" spans="2:4">
      <c r="B215" s="212" t="s">
        <v>480</v>
      </c>
      <c r="C215" s="212" t="s">
        <v>268</v>
      </c>
      <c r="D215" s="212" t="s">
        <v>268</v>
      </c>
    </row>
    <row r="216" spans="2:4">
      <c r="B216" s="210" t="s">
        <v>481</v>
      </c>
      <c r="C216" s="210" t="s">
        <v>268</v>
      </c>
      <c r="D216" s="210" t="s">
        <v>268</v>
      </c>
    </row>
    <row r="217" spans="2:4">
      <c r="B217" s="212" t="s">
        <v>482</v>
      </c>
      <c r="C217" s="212" t="s">
        <v>268</v>
      </c>
      <c r="D217" s="212" t="s">
        <v>268</v>
      </c>
    </row>
    <row r="218" spans="2:4">
      <c r="B218" s="210" t="s">
        <v>483</v>
      </c>
      <c r="C218" s="210" t="s">
        <v>268</v>
      </c>
      <c r="D218" s="210" t="s">
        <v>268</v>
      </c>
    </row>
    <row r="219" spans="2:4">
      <c r="B219" s="212" t="s">
        <v>484</v>
      </c>
      <c r="C219" s="212" t="s">
        <v>268</v>
      </c>
      <c r="D219" s="212" t="s">
        <v>268</v>
      </c>
    </row>
    <row r="220" spans="2:4">
      <c r="B220" s="210" t="s">
        <v>485</v>
      </c>
      <c r="C220" s="210" t="s">
        <v>268</v>
      </c>
      <c r="D220" s="210" t="s">
        <v>268</v>
      </c>
    </row>
    <row r="221" spans="2:4">
      <c r="B221" s="212" t="s">
        <v>486</v>
      </c>
      <c r="C221" s="212" t="s">
        <v>268</v>
      </c>
      <c r="D221" s="212" t="s">
        <v>268</v>
      </c>
    </row>
    <row r="222" spans="2:4">
      <c r="B222" s="210" t="s">
        <v>487</v>
      </c>
      <c r="C222" s="210" t="s">
        <v>268</v>
      </c>
      <c r="D222" s="210" t="s">
        <v>268</v>
      </c>
    </row>
    <row r="223" spans="2:4">
      <c r="B223" s="212" t="s">
        <v>488</v>
      </c>
      <c r="C223" s="212" t="s">
        <v>268</v>
      </c>
      <c r="D223" s="212" t="s">
        <v>268</v>
      </c>
    </row>
    <row r="224" spans="2:4">
      <c r="B224" s="210" t="s">
        <v>489</v>
      </c>
      <c r="C224" s="210" t="s">
        <v>268</v>
      </c>
      <c r="D224" s="210" t="s">
        <v>268</v>
      </c>
    </row>
    <row r="225" spans="2:4">
      <c r="B225" s="212" t="s">
        <v>490</v>
      </c>
      <c r="C225" s="212" t="s">
        <v>268</v>
      </c>
      <c r="D225" s="212" t="s">
        <v>268</v>
      </c>
    </row>
    <row r="226" spans="2:4">
      <c r="B226" s="210" t="s">
        <v>491</v>
      </c>
      <c r="C226" s="210" t="s">
        <v>268</v>
      </c>
      <c r="D226" s="210" t="s">
        <v>268</v>
      </c>
    </row>
    <row r="227" spans="2:4">
      <c r="B227" s="212" t="s">
        <v>492</v>
      </c>
      <c r="C227" s="212" t="s">
        <v>268</v>
      </c>
      <c r="D227" s="212" t="s">
        <v>268</v>
      </c>
    </row>
    <row r="228" spans="2:4">
      <c r="B228" s="210" t="s">
        <v>493</v>
      </c>
      <c r="C228" s="210" t="s">
        <v>268</v>
      </c>
      <c r="D228" s="210" t="s">
        <v>268</v>
      </c>
    </row>
    <row r="229" spans="2:4">
      <c r="B229" s="212" t="s">
        <v>494</v>
      </c>
      <c r="C229" s="212" t="s">
        <v>268</v>
      </c>
      <c r="D229" s="212" t="s">
        <v>268</v>
      </c>
    </row>
    <row r="230" spans="2:4">
      <c r="B230" s="210" t="s">
        <v>495</v>
      </c>
      <c r="C230" s="210" t="s">
        <v>268</v>
      </c>
      <c r="D230" s="210" t="s">
        <v>268</v>
      </c>
    </row>
    <row r="231" spans="2:4">
      <c r="B231" s="212" t="s">
        <v>496</v>
      </c>
      <c r="C231" s="212" t="s">
        <v>268</v>
      </c>
      <c r="D231" s="212" t="s">
        <v>268</v>
      </c>
    </row>
    <row r="232" spans="2:4">
      <c r="B232" s="210" t="s">
        <v>497</v>
      </c>
      <c r="C232" s="210" t="s">
        <v>268</v>
      </c>
      <c r="D232" s="210" t="s">
        <v>268</v>
      </c>
    </row>
    <row r="233" spans="2:4">
      <c r="B233" s="212" t="s">
        <v>498</v>
      </c>
      <c r="C233" s="212" t="s">
        <v>268</v>
      </c>
      <c r="D233" s="212" t="s">
        <v>268</v>
      </c>
    </row>
    <row r="234" spans="2:4">
      <c r="B234" s="210" t="s">
        <v>499</v>
      </c>
      <c r="C234" s="210" t="s">
        <v>268</v>
      </c>
      <c r="D234" s="210" t="s">
        <v>268</v>
      </c>
    </row>
    <row r="235" spans="2:4">
      <c r="B235" s="212" t="s">
        <v>500</v>
      </c>
      <c r="C235" s="212" t="s">
        <v>268</v>
      </c>
      <c r="D235" s="212" t="s">
        <v>268</v>
      </c>
    </row>
    <row r="236" spans="2:4">
      <c r="B236" s="210" t="s">
        <v>501</v>
      </c>
      <c r="C236" s="210" t="s">
        <v>268</v>
      </c>
      <c r="D236" s="210" t="s">
        <v>268</v>
      </c>
    </row>
    <row r="237" spans="2:4">
      <c r="B237" s="212" t="s">
        <v>502</v>
      </c>
      <c r="C237" s="212" t="s">
        <v>268</v>
      </c>
      <c r="D237" s="212" t="s">
        <v>268</v>
      </c>
    </row>
    <row r="238" spans="2:4">
      <c r="B238" s="210" t="s">
        <v>503</v>
      </c>
      <c r="C238" s="210" t="s">
        <v>268</v>
      </c>
      <c r="D238" s="210" t="s">
        <v>268</v>
      </c>
    </row>
    <row r="239" spans="2:4">
      <c r="B239" s="212" t="s">
        <v>504</v>
      </c>
      <c r="C239" s="212" t="s">
        <v>268</v>
      </c>
      <c r="D239" s="212" t="s">
        <v>268</v>
      </c>
    </row>
    <row r="240" spans="2:4">
      <c r="B240" s="210" t="s">
        <v>505</v>
      </c>
      <c r="C240" s="210" t="s">
        <v>268</v>
      </c>
      <c r="D240" s="210" t="s">
        <v>268</v>
      </c>
    </row>
    <row r="241" spans="2:4">
      <c r="B241" s="212" t="s">
        <v>506</v>
      </c>
      <c r="C241" s="212" t="s">
        <v>268</v>
      </c>
      <c r="D241" s="212" t="s">
        <v>268</v>
      </c>
    </row>
    <row r="242" spans="2:4">
      <c r="B242" s="210" t="s">
        <v>507</v>
      </c>
      <c r="C242" s="210" t="s">
        <v>268</v>
      </c>
      <c r="D242" s="210" t="s">
        <v>268</v>
      </c>
    </row>
    <row r="243" spans="2:4">
      <c r="B243" s="212" t="s">
        <v>508</v>
      </c>
      <c r="C243" s="212" t="s">
        <v>268</v>
      </c>
      <c r="D243" s="212" t="s">
        <v>268</v>
      </c>
    </row>
    <row r="244" spans="2:4">
      <c r="B244" s="210" t="s">
        <v>509</v>
      </c>
      <c r="C244" s="210" t="s">
        <v>268</v>
      </c>
      <c r="D244" s="210" t="s">
        <v>268</v>
      </c>
    </row>
    <row r="245" spans="2:4">
      <c r="B245" s="212" t="s">
        <v>510</v>
      </c>
      <c r="C245" s="212" t="s">
        <v>268</v>
      </c>
      <c r="D245" s="212" t="s">
        <v>268</v>
      </c>
    </row>
    <row r="246" spans="2:4">
      <c r="B246" s="210" t="s">
        <v>511</v>
      </c>
      <c r="C246" s="210" t="s">
        <v>268</v>
      </c>
      <c r="D246" s="210" t="s">
        <v>268</v>
      </c>
    </row>
    <row r="247" spans="2:4">
      <c r="B247" s="212" t="s">
        <v>512</v>
      </c>
      <c r="C247" s="212" t="s">
        <v>268</v>
      </c>
      <c r="D247" s="212" t="s">
        <v>268</v>
      </c>
    </row>
    <row r="248" spans="2:4">
      <c r="B248" s="210" t="s">
        <v>513</v>
      </c>
      <c r="C248" s="210" t="s">
        <v>268</v>
      </c>
      <c r="D248" s="210" t="s">
        <v>268</v>
      </c>
    </row>
    <row r="249" spans="2:4">
      <c r="B249" s="212" t="s">
        <v>514</v>
      </c>
      <c r="C249" s="212" t="s">
        <v>268</v>
      </c>
      <c r="D249" s="212" t="s">
        <v>268</v>
      </c>
    </row>
    <row r="250" spans="2:4">
      <c r="B250" s="210" t="s">
        <v>515</v>
      </c>
      <c r="C250" s="210" t="s">
        <v>268</v>
      </c>
      <c r="D250" s="210" t="s">
        <v>268</v>
      </c>
    </row>
    <row r="251" spans="2:4">
      <c r="B251" s="212" t="s">
        <v>516</v>
      </c>
      <c r="C251" s="212" t="s">
        <v>268</v>
      </c>
      <c r="D251" s="212" t="s">
        <v>268</v>
      </c>
    </row>
    <row r="252" spans="2:4">
      <c r="B252" s="210" t="s">
        <v>517</v>
      </c>
      <c r="C252" s="210" t="s">
        <v>268</v>
      </c>
      <c r="D252" s="210" t="s">
        <v>268</v>
      </c>
    </row>
    <row r="253" spans="2:4">
      <c r="B253" s="212" t="s">
        <v>518</v>
      </c>
      <c r="C253" s="212" t="s">
        <v>268</v>
      </c>
      <c r="D253" s="212" t="s">
        <v>268</v>
      </c>
    </row>
    <row r="254" spans="2:4">
      <c r="B254" s="210" t="s">
        <v>519</v>
      </c>
      <c r="C254" s="210" t="s">
        <v>268</v>
      </c>
      <c r="D254" s="210" t="s">
        <v>268</v>
      </c>
    </row>
    <row r="255" spans="2:4">
      <c r="B255" s="212" t="s">
        <v>520</v>
      </c>
      <c r="C255" s="212" t="s">
        <v>268</v>
      </c>
      <c r="D255" s="212" t="s">
        <v>268</v>
      </c>
    </row>
    <row r="256" spans="2:4">
      <c r="B256" s="210" t="s">
        <v>521</v>
      </c>
      <c r="C256" s="210" t="s">
        <v>268</v>
      </c>
      <c r="D256" s="210" t="s">
        <v>268</v>
      </c>
    </row>
    <row r="257" spans="2:4">
      <c r="B257" s="212" t="s">
        <v>522</v>
      </c>
      <c r="C257" s="212" t="s">
        <v>268</v>
      </c>
      <c r="D257" s="212" t="s">
        <v>268</v>
      </c>
    </row>
    <row r="258" spans="2:4">
      <c r="B258" s="210" t="s">
        <v>523</v>
      </c>
      <c r="C258" s="210" t="s">
        <v>268</v>
      </c>
      <c r="D258" s="210" t="s">
        <v>268</v>
      </c>
    </row>
    <row r="259" spans="2:4">
      <c r="B259" s="212" t="s">
        <v>524</v>
      </c>
      <c r="C259" s="212" t="s">
        <v>268</v>
      </c>
      <c r="D259" s="212" t="s">
        <v>268</v>
      </c>
    </row>
    <row r="260" spans="2:4">
      <c r="B260" s="210" t="s">
        <v>525</v>
      </c>
      <c r="C260" s="210" t="s">
        <v>268</v>
      </c>
      <c r="D260" s="210" t="s">
        <v>268</v>
      </c>
    </row>
    <row r="261" spans="2:4">
      <c r="B261" s="212" t="s">
        <v>526</v>
      </c>
      <c r="C261" s="212" t="s">
        <v>268</v>
      </c>
      <c r="D261" s="212" t="s">
        <v>268</v>
      </c>
    </row>
    <row r="262" spans="2:4">
      <c r="B262" s="210" t="s">
        <v>527</v>
      </c>
      <c r="C262" s="210" t="s">
        <v>268</v>
      </c>
      <c r="D262" s="210" t="s">
        <v>268</v>
      </c>
    </row>
    <row r="263" spans="2:4">
      <c r="B263" s="212" t="s">
        <v>528</v>
      </c>
      <c r="C263" s="212" t="s">
        <v>268</v>
      </c>
      <c r="D263" s="212" t="s">
        <v>268</v>
      </c>
    </row>
    <row r="264" spans="2:4">
      <c r="B264" s="210" t="s">
        <v>529</v>
      </c>
      <c r="C264" s="210" t="s">
        <v>268</v>
      </c>
      <c r="D264" s="210" t="s">
        <v>268</v>
      </c>
    </row>
    <row r="265" spans="2:4">
      <c r="B265" s="212" t="s">
        <v>530</v>
      </c>
      <c r="C265" s="212" t="s">
        <v>268</v>
      </c>
      <c r="D265" s="212" t="s">
        <v>268</v>
      </c>
    </row>
    <row r="266" spans="2:4">
      <c r="B266" s="210" t="s">
        <v>531</v>
      </c>
      <c r="C266" s="210" t="s">
        <v>268</v>
      </c>
      <c r="D266" s="210" t="s">
        <v>268</v>
      </c>
    </row>
    <row r="267" spans="2:4">
      <c r="B267" s="212" t="s">
        <v>532</v>
      </c>
      <c r="C267" s="212" t="s">
        <v>268</v>
      </c>
      <c r="D267" s="212" t="s">
        <v>268</v>
      </c>
    </row>
    <row r="268" spans="2:4">
      <c r="B268" s="210" t="s">
        <v>533</v>
      </c>
      <c r="C268" s="210" t="s">
        <v>268</v>
      </c>
      <c r="D268" s="210" t="s">
        <v>268</v>
      </c>
    </row>
    <row r="269" spans="2:4">
      <c r="B269" s="212" t="s">
        <v>534</v>
      </c>
      <c r="C269" s="212" t="s">
        <v>268</v>
      </c>
      <c r="D269" s="212" t="s">
        <v>268</v>
      </c>
    </row>
    <row r="270" spans="2:4">
      <c r="B270" s="210" t="s">
        <v>535</v>
      </c>
      <c r="C270" s="210" t="s">
        <v>268</v>
      </c>
      <c r="D270" s="210" t="s">
        <v>268</v>
      </c>
    </row>
    <row r="271" spans="2:4">
      <c r="B271" s="212" t="s">
        <v>536</v>
      </c>
      <c r="C271" s="212" t="s">
        <v>268</v>
      </c>
      <c r="D271" s="212" t="s">
        <v>268</v>
      </c>
    </row>
    <row r="272" spans="2:4">
      <c r="B272" s="210" t="s">
        <v>537</v>
      </c>
      <c r="C272" s="210" t="s">
        <v>268</v>
      </c>
      <c r="D272" s="210" t="s">
        <v>268</v>
      </c>
    </row>
    <row r="273" spans="2:4">
      <c r="B273" s="212" t="s">
        <v>538</v>
      </c>
      <c r="C273" s="212" t="s">
        <v>268</v>
      </c>
      <c r="D273" s="212" t="s">
        <v>268</v>
      </c>
    </row>
    <row r="274" spans="2:4">
      <c r="B274" s="210" t="s">
        <v>539</v>
      </c>
      <c r="C274" s="210" t="s">
        <v>268</v>
      </c>
      <c r="D274" s="210" t="s">
        <v>268</v>
      </c>
    </row>
    <row r="275" spans="2:4">
      <c r="B275" s="212" t="s">
        <v>540</v>
      </c>
      <c r="C275" s="212" t="s">
        <v>268</v>
      </c>
      <c r="D275" s="212" t="s">
        <v>268</v>
      </c>
    </row>
    <row r="276" spans="2:4">
      <c r="B276" s="210" t="s">
        <v>541</v>
      </c>
      <c r="C276" s="210" t="s">
        <v>268</v>
      </c>
      <c r="D276" s="210" t="s">
        <v>268</v>
      </c>
    </row>
    <row r="277" spans="2:4">
      <c r="B277" s="212" t="s">
        <v>542</v>
      </c>
      <c r="C277" s="212" t="s">
        <v>268</v>
      </c>
      <c r="D277" s="212" t="s">
        <v>268</v>
      </c>
    </row>
    <row r="278" spans="2:4">
      <c r="B278" s="210" t="s">
        <v>543</v>
      </c>
      <c r="C278" s="210" t="s">
        <v>268</v>
      </c>
      <c r="D278" s="210" t="s">
        <v>268</v>
      </c>
    </row>
    <row r="279" spans="2:4">
      <c r="B279" s="212" t="s">
        <v>544</v>
      </c>
      <c r="C279" s="212" t="s">
        <v>268</v>
      </c>
      <c r="D279" s="212" t="s">
        <v>268</v>
      </c>
    </row>
    <row r="280" spans="2:4">
      <c r="B280" s="210" t="s">
        <v>545</v>
      </c>
      <c r="C280" s="210" t="s">
        <v>268</v>
      </c>
      <c r="D280" s="210" t="s">
        <v>268</v>
      </c>
    </row>
    <row r="281" spans="2:4">
      <c r="B281" s="212" t="s">
        <v>546</v>
      </c>
      <c r="C281" s="212" t="s">
        <v>268</v>
      </c>
      <c r="D281" s="212" t="s">
        <v>268</v>
      </c>
    </row>
    <row r="282" spans="2:4">
      <c r="B282" s="210" t="s">
        <v>547</v>
      </c>
      <c r="C282" s="210" t="s">
        <v>268</v>
      </c>
      <c r="D282" s="210" t="s">
        <v>268</v>
      </c>
    </row>
    <row r="283" spans="2:4">
      <c r="B283" s="212" t="s">
        <v>548</v>
      </c>
      <c r="C283" s="212" t="s">
        <v>268</v>
      </c>
      <c r="D283" s="212" t="s">
        <v>268</v>
      </c>
    </row>
    <row r="284" spans="2:4">
      <c r="B284" s="210" t="s">
        <v>549</v>
      </c>
      <c r="C284" s="210" t="s">
        <v>268</v>
      </c>
      <c r="D284" s="210" t="s">
        <v>268</v>
      </c>
    </row>
    <row r="285" spans="2:4">
      <c r="B285" s="212" t="s">
        <v>550</v>
      </c>
      <c r="C285" s="212" t="s">
        <v>268</v>
      </c>
      <c r="D285" s="212" t="s">
        <v>268</v>
      </c>
    </row>
    <row r="286" spans="2:4">
      <c r="B286" s="210" t="s">
        <v>551</v>
      </c>
      <c r="C286" s="210" t="s">
        <v>268</v>
      </c>
      <c r="D286" s="210" t="s">
        <v>268</v>
      </c>
    </row>
    <row r="287" spans="2:4">
      <c r="B287" s="212" t="s">
        <v>552</v>
      </c>
      <c r="C287" s="212" t="s">
        <v>268</v>
      </c>
      <c r="D287" s="212" t="s">
        <v>268</v>
      </c>
    </row>
    <row r="288" spans="2:4">
      <c r="B288" s="210" t="s">
        <v>553</v>
      </c>
      <c r="C288" s="210" t="s">
        <v>268</v>
      </c>
      <c r="D288" s="210" t="s">
        <v>268</v>
      </c>
    </row>
    <row r="289" spans="2:4">
      <c r="B289" s="212" t="s">
        <v>554</v>
      </c>
      <c r="C289" s="212" t="s">
        <v>268</v>
      </c>
      <c r="D289" s="212" t="s">
        <v>268</v>
      </c>
    </row>
    <row r="290" spans="2:4">
      <c r="B290" s="210" t="s">
        <v>555</v>
      </c>
      <c r="C290" s="210" t="s">
        <v>268</v>
      </c>
      <c r="D290" s="210" t="s">
        <v>268</v>
      </c>
    </row>
    <row r="291" spans="2:4">
      <c r="B291" s="212" t="s">
        <v>556</v>
      </c>
      <c r="C291" s="212" t="s">
        <v>268</v>
      </c>
      <c r="D291" s="212" t="s">
        <v>268</v>
      </c>
    </row>
    <row r="292" spans="2:4">
      <c r="B292" s="210" t="s">
        <v>557</v>
      </c>
      <c r="C292" s="210" t="s">
        <v>268</v>
      </c>
      <c r="D292" s="210" t="s">
        <v>268</v>
      </c>
    </row>
    <row r="293" spans="2:4">
      <c r="B293" s="212" t="s">
        <v>558</v>
      </c>
      <c r="C293" s="212" t="s">
        <v>268</v>
      </c>
      <c r="D293" s="212" t="s">
        <v>268</v>
      </c>
    </row>
    <row r="294" spans="2:4">
      <c r="B294" s="210" t="s">
        <v>559</v>
      </c>
      <c r="C294" s="210" t="s">
        <v>268</v>
      </c>
      <c r="D294" s="210" t="s">
        <v>268</v>
      </c>
    </row>
    <row r="295" spans="2:4">
      <c r="B295" s="212" t="s">
        <v>560</v>
      </c>
      <c r="C295" s="212" t="s">
        <v>268</v>
      </c>
      <c r="D295" s="212" t="s">
        <v>268</v>
      </c>
    </row>
    <row r="296" spans="2:4">
      <c r="B296" s="210" t="s">
        <v>561</v>
      </c>
      <c r="C296" s="210" t="s">
        <v>268</v>
      </c>
      <c r="D296" s="210" t="s">
        <v>268</v>
      </c>
    </row>
    <row r="297" spans="2:4">
      <c r="B297" s="212" t="s">
        <v>562</v>
      </c>
      <c r="C297" s="212" t="s">
        <v>268</v>
      </c>
      <c r="D297" s="212" t="s">
        <v>268</v>
      </c>
    </row>
    <row r="298" spans="2:4">
      <c r="B298" s="210" t="s">
        <v>563</v>
      </c>
      <c r="C298" s="210" t="s">
        <v>268</v>
      </c>
      <c r="D298" s="210" t="s">
        <v>268</v>
      </c>
    </row>
    <row r="299" spans="2:4">
      <c r="B299" s="212" t="s">
        <v>564</v>
      </c>
      <c r="C299" s="212" t="s">
        <v>268</v>
      </c>
      <c r="D299" s="212" t="s">
        <v>268</v>
      </c>
    </row>
    <row r="300" spans="2:4">
      <c r="B300" s="210" t="s">
        <v>565</v>
      </c>
      <c r="C300" s="210" t="s">
        <v>268</v>
      </c>
      <c r="D300" s="210" t="s">
        <v>268</v>
      </c>
    </row>
    <row r="301" spans="2:4">
      <c r="B301" s="212" t="s">
        <v>566</v>
      </c>
      <c r="C301" s="212" t="s">
        <v>268</v>
      </c>
      <c r="D301" s="212" t="s">
        <v>268</v>
      </c>
    </row>
    <row r="302" spans="2:4">
      <c r="B302" s="210" t="s">
        <v>567</v>
      </c>
      <c r="C302" s="210" t="s">
        <v>268</v>
      </c>
      <c r="D302" s="210" t="s">
        <v>268</v>
      </c>
    </row>
    <row r="303" spans="2:4">
      <c r="B303" s="212" t="s">
        <v>568</v>
      </c>
      <c r="C303" s="212" t="s">
        <v>268</v>
      </c>
      <c r="D303" s="212" t="s">
        <v>268</v>
      </c>
    </row>
    <row r="304" spans="2:4">
      <c r="B304" s="210" t="s">
        <v>569</v>
      </c>
      <c r="C304" s="210" t="s">
        <v>268</v>
      </c>
      <c r="D304" s="210" t="s">
        <v>268</v>
      </c>
    </row>
    <row r="305" spans="2:4">
      <c r="B305" s="212" t="s">
        <v>570</v>
      </c>
      <c r="C305" s="212" t="s">
        <v>268</v>
      </c>
      <c r="D305" s="212" t="s">
        <v>268</v>
      </c>
    </row>
    <row r="306" spans="2:4">
      <c r="B306" s="210" t="s">
        <v>571</v>
      </c>
      <c r="C306" s="210" t="s">
        <v>268</v>
      </c>
      <c r="D306" s="210" t="s">
        <v>268</v>
      </c>
    </row>
  </sheetData>
  <autoFilter ref="B4:D306" xr:uid="{00000000-0009-0000-0000-000002000000}"/>
  <mergeCells count="4">
    <mergeCell ref="B5:D5"/>
    <mergeCell ref="F5:H5"/>
    <mergeCell ref="F2:H2"/>
    <mergeCell ref="A1:C1"/>
  </mergeCells>
  <hyperlinks>
    <hyperlink ref="A1:C1" location="Sommaire!A1" display="Sommaire!A1"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4"/>
  <dimension ref="A1:K59"/>
  <sheetViews>
    <sheetView showGridLines="0" zoomScaleNormal="100" workbookViewId="0">
      <selection sqref="A1:C1"/>
    </sheetView>
  </sheetViews>
  <sheetFormatPr baseColWidth="10" defaultColWidth="11.33203125" defaultRowHeight="12"/>
  <cols>
    <col min="1" max="2" width="4.33203125" style="3" customWidth="1"/>
    <col min="3" max="3" width="41" style="3" bestFit="1" customWidth="1"/>
    <col min="4" max="4" width="20.33203125" style="3" bestFit="1" customWidth="1"/>
    <col min="5" max="5" width="18.33203125" style="2" bestFit="1" customWidth="1"/>
    <col min="6" max="6" width="10.33203125" style="3" bestFit="1" customWidth="1"/>
    <col min="7" max="7" width="48" style="3" bestFit="1" customWidth="1"/>
    <col min="8" max="8" width="5.6640625" style="3" bestFit="1" customWidth="1"/>
    <col min="9" max="9" width="6.33203125" style="3" bestFit="1" customWidth="1"/>
    <col min="10" max="10" width="18.6640625" style="3" bestFit="1" customWidth="1"/>
    <col min="11" max="11" width="4.33203125" style="3" bestFit="1" customWidth="1"/>
    <col min="12" max="16384" width="11.33203125" style="3"/>
  </cols>
  <sheetData>
    <row r="1" spans="1:11" ht="14.5">
      <c r="A1" s="709" t="s">
        <v>140</v>
      </c>
      <c r="B1" s="709"/>
      <c r="C1" s="709"/>
    </row>
    <row r="2" spans="1:11" s="453" customFormat="1" ht="20.5">
      <c r="B2" s="558" t="s">
        <v>572</v>
      </c>
      <c r="E2" s="455"/>
    </row>
    <row r="4" spans="1:11" s="448" customFormat="1" ht="19">
      <c r="B4" s="476" t="s">
        <v>142</v>
      </c>
      <c r="E4" s="450"/>
    </row>
    <row r="5" spans="1:11" ht="26.5" customHeight="1" thickBot="1">
      <c r="B5" s="2"/>
      <c r="C5" s="2"/>
      <c r="D5" s="2"/>
      <c r="E5" s="714" t="s">
        <v>573</v>
      </c>
      <c r="F5" s="714"/>
      <c r="G5" s="714" t="s">
        <v>574</v>
      </c>
      <c r="H5" s="714"/>
      <c r="I5" s="714" t="s">
        <v>575</v>
      </c>
      <c r="J5" s="714"/>
      <c r="K5" s="2"/>
    </row>
    <row r="6" spans="1:11" ht="24.5" thickBot="1">
      <c r="B6" s="14" t="s">
        <v>143</v>
      </c>
      <c r="C6" s="14" t="s">
        <v>144</v>
      </c>
      <c r="D6" s="14" t="s">
        <v>576</v>
      </c>
      <c r="E6" s="14" t="s">
        <v>577</v>
      </c>
      <c r="F6" s="477" t="s">
        <v>578</v>
      </c>
      <c r="G6" s="14" t="s">
        <v>577</v>
      </c>
      <c r="H6" s="14" t="s">
        <v>579</v>
      </c>
      <c r="I6" s="14" t="s">
        <v>580</v>
      </c>
      <c r="J6" s="14" t="s">
        <v>581</v>
      </c>
      <c r="K6" s="14" t="s">
        <v>582</v>
      </c>
    </row>
    <row r="7" spans="1:11">
      <c r="B7" s="478">
        <v>1</v>
      </c>
      <c r="C7" s="479" t="s">
        <v>153</v>
      </c>
      <c r="D7" s="480">
        <v>0.99</v>
      </c>
      <c r="E7" s="481" t="s">
        <v>583</v>
      </c>
      <c r="F7" s="480">
        <v>0.01</v>
      </c>
      <c r="G7" s="482" t="s">
        <v>167</v>
      </c>
      <c r="H7" s="483" t="s">
        <v>167</v>
      </c>
      <c r="I7" s="482" t="s">
        <v>268</v>
      </c>
      <c r="J7" s="482" t="s">
        <v>167</v>
      </c>
      <c r="K7" s="484">
        <v>1</v>
      </c>
    </row>
    <row r="8" spans="1:11">
      <c r="B8" s="485">
        <v>2</v>
      </c>
      <c r="C8" s="486" t="s">
        <v>155</v>
      </c>
      <c r="D8" s="487">
        <v>0.1</v>
      </c>
      <c r="E8" s="488" t="s">
        <v>584</v>
      </c>
      <c r="F8" s="489">
        <v>0</v>
      </c>
      <c r="G8" s="490" t="s">
        <v>585</v>
      </c>
      <c r="H8" s="487">
        <v>0.9</v>
      </c>
      <c r="I8" s="491" t="s">
        <v>268</v>
      </c>
      <c r="J8" s="491" t="s">
        <v>268</v>
      </c>
      <c r="K8" s="492">
        <v>1</v>
      </c>
    </row>
    <row r="9" spans="1:11">
      <c r="B9" s="493">
        <v>3</v>
      </c>
      <c r="C9" s="494" t="s">
        <v>159</v>
      </c>
      <c r="D9" s="495" t="s">
        <v>167</v>
      </c>
      <c r="E9" s="496" t="s">
        <v>167</v>
      </c>
      <c r="F9" s="495" t="s">
        <v>167</v>
      </c>
      <c r="G9" s="497" t="s">
        <v>586</v>
      </c>
      <c r="H9" s="495">
        <v>1</v>
      </c>
      <c r="I9" s="496" t="s">
        <v>167</v>
      </c>
      <c r="J9" s="498" t="s">
        <v>167</v>
      </c>
      <c r="K9" s="484">
        <v>1</v>
      </c>
    </row>
    <row r="10" spans="1:11">
      <c r="B10" s="485">
        <v>4</v>
      </c>
      <c r="C10" s="486" t="s">
        <v>164</v>
      </c>
      <c r="D10" s="489" t="s">
        <v>167</v>
      </c>
      <c r="E10" s="491" t="s">
        <v>171</v>
      </c>
      <c r="F10" s="487">
        <v>0.1</v>
      </c>
      <c r="G10" s="490" t="s">
        <v>171</v>
      </c>
      <c r="H10" s="499">
        <v>0.9</v>
      </c>
      <c r="I10" s="500" t="s">
        <v>171</v>
      </c>
      <c r="J10" s="500" t="s">
        <v>171</v>
      </c>
      <c r="K10" s="492">
        <v>1</v>
      </c>
    </row>
    <row r="11" spans="1:11">
      <c r="B11" s="493">
        <v>5</v>
      </c>
      <c r="C11" s="494" t="s">
        <v>587</v>
      </c>
      <c r="D11" s="495" t="s">
        <v>167</v>
      </c>
      <c r="E11" s="496" t="s">
        <v>167</v>
      </c>
      <c r="F11" s="495" t="s">
        <v>167</v>
      </c>
      <c r="G11" s="501" t="s">
        <v>588</v>
      </c>
      <c r="H11" s="495">
        <v>1</v>
      </c>
      <c r="I11" s="496" t="s">
        <v>589</v>
      </c>
      <c r="J11" s="496" t="s">
        <v>590</v>
      </c>
      <c r="K11" s="484">
        <v>1</v>
      </c>
    </row>
    <row r="12" spans="1:11">
      <c r="B12" s="485">
        <v>6</v>
      </c>
      <c r="C12" s="486" t="s">
        <v>173</v>
      </c>
      <c r="D12" s="489" t="s">
        <v>167</v>
      </c>
      <c r="E12" s="488" t="s">
        <v>167</v>
      </c>
      <c r="F12" s="489" t="s">
        <v>167</v>
      </c>
      <c r="G12" s="502" t="s">
        <v>167</v>
      </c>
      <c r="H12" s="487">
        <v>1</v>
      </c>
      <c r="I12" s="491" t="s">
        <v>167</v>
      </c>
      <c r="J12" s="491" t="s">
        <v>167</v>
      </c>
      <c r="K12" s="492">
        <v>1</v>
      </c>
    </row>
    <row r="13" spans="1:11" ht="36">
      <c r="B13" s="503">
        <v>7</v>
      </c>
      <c r="C13" s="504" t="s">
        <v>591</v>
      </c>
      <c r="D13" s="495" t="s">
        <v>167</v>
      </c>
      <c r="E13" s="496" t="s">
        <v>167</v>
      </c>
      <c r="F13" s="495" t="s">
        <v>167</v>
      </c>
      <c r="G13" s="505" t="s">
        <v>592</v>
      </c>
      <c r="H13" s="506">
        <v>1</v>
      </c>
      <c r="I13" s="507" t="s">
        <v>268</v>
      </c>
      <c r="J13" s="507" t="s">
        <v>171</v>
      </c>
      <c r="K13" s="484">
        <v>1</v>
      </c>
    </row>
    <row r="14" spans="1:11">
      <c r="B14" s="508" t="s">
        <v>593</v>
      </c>
    </row>
    <row r="16" spans="1:11" s="448" customFormat="1" ht="19">
      <c r="B16" s="476" t="s">
        <v>182</v>
      </c>
      <c r="E16" s="450"/>
    </row>
    <row r="17" spans="2:11" ht="26.5" customHeight="1" thickBot="1">
      <c r="B17" s="2"/>
      <c r="C17" s="2"/>
      <c r="D17" s="2"/>
      <c r="E17" s="714" t="s">
        <v>573</v>
      </c>
      <c r="F17" s="714"/>
      <c r="G17" s="714" t="s">
        <v>574</v>
      </c>
      <c r="H17" s="714"/>
      <c r="I17" s="714" t="s">
        <v>575</v>
      </c>
      <c r="J17" s="714"/>
      <c r="K17" s="2"/>
    </row>
    <row r="18" spans="2:11" ht="24.5" thickBot="1">
      <c r="B18" s="14" t="s">
        <v>143</v>
      </c>
      <c r="C18" s="14" t="s">
        <v>144</v>
      </c>
      <c r="D18" s="14" t="s">
        <v>576</v>
      </c>
      <c r="E18" s="14" t="s">
        <v>577</v>
      </c>
      <c r="F18" s="477" t="s">
        <v>578</v>
      </c>
      <c r="G18" s="14" t="s">
        <v>577</v>
      </c>
      <c r="H18" s="14" t="s">
        <v>579</v>
      </c>
      <c r="I18" s="14" t="s">
        <v>580</v>
      </c>
      <c r="J18" s="14" t="s">
        <v>581</v>
      </c>
      <c r="K18" s="14" t="s">
        <v>582</v>
      </c>
    </row>
    <row r="19" spans="2:11">
      <c r="B19" s="478">
        <v>1</v>
      </c>
      <c r="C19" s="509" t="s">
        <v>184</v>
      </c>
      <c r="D19" s="480">
        <v>0.98829999999999996</v>
      </c>
      <c r="E19" s="481" t="s">
        <v>167</v>
      </c>
      <c r="F19" s="481" t="s">
        <v>167</v>
      </c>
      <c r="G19" s="482" t="s">
        <v>167</v>
      </c>
      <c r="H19" s="482" t="s">
        <v>167</v>
      </c>
      <c r="I19" s="482" t="s">
        <v>167</v>
      </c>
      <c r="J19" s="482" t="s">
        <v>167</v>
      </c>
      <c r="K19" s="510">
        <v>1</v>
      </c>
    </row>
    <row r="20" spans="2:11">
      <c r="B20" s="715">
        <v>2</v>
      </c>
      <c r="C20" s="718" t="s">
        <v>594</v>
      </c>
      <c r="D20" s="488" t="s">
        <v>167</v>
      </c>
      <c r="E20" s="488" t="s">
        <v>167</v>
      </c>
      <c r="F20" s="488" t="s">
        <v>167</v>
      </c>
      <c r="G20" s="513" t="s">
        <v>595</v>
      </c>
      <c r="H20" s="514">
        <v>0.55569999999999997</v>
      </c>
      <c r="I20" s="513" t="s">
        <v>154</v>
      </c>
      <c r="J20" s="513" t="s">
        <v>167</v>
      </c>
      <c r="K20" s="721">
        <v>1</v>
      </c>
    </row>
    <row r="21" spans="2:11">
      <c r="B21" s="715"/>
      <c r="C21" s="718"/>
      <c r="D21" s="488" t="s">
        <v>167</v>
      </c>
      <c r="E21" s="488" t="s">
        <v>167</v>
      </c>
      <c r="F21" s="488" t="s">
        <v>167</v>
      </c>
      <c r="G21" s="513" t="s">
        <v>596</v>
      </c>
      <c r="H21" s="515">
        <v>0.44330000000000003</v>
      </c>
      <c r="I21" s="513" t="s">
        <v>163</v>
      </c>
      <c r="J21" s="513" t="s">
        <v>597</v>
      </c>
      <c r="K21" s="721"/>
    </row>
    <row r="22" spans="2:11">
      <c r="B22" s="715"/>
      <c r="C22" s="718"/>
      <c r="D22" s="488" t="s">
        <v>167</v>
      </c>
      <c r="E22" s="488" t="s">
        <v>167</v>
      </c>
      <c r="F22" s="488" t="s">
        <v>167</v>
      </c>
      <c r="G22" s="513" t="s">
        <v>598</v>
      </c>
      <c r="H22" s="515">
        <v>8.0000000000000004E-4</v>
      </c>
      <c r="I22" s="513" t="s">
        <v>167</v>
      </c>
      <c r="J22" s="513" t="s">
        <v>167</v>
      </c>
      <c r="K22" s="721"/>
    </row>
    <row r="23" spans="2:11">
      <c r="B23" s="715"/>
      <c r="C23" s="718"/>
      <c r="D23" s="488" t="s">
        <v>167</v>
      </c>
      <c r="E23" s="488" t="s">
        <v>167</v>
      </c>
      <c r="F23" s="488" t="s">
        <v>167</v>
      </c>
      <c r="G23" s="513" t="s">
        <v>599</v>
      </c>
      <c r="H23" s="515">
        <v>2.0000000000000001E-4</v>
      </c>
      <c r="I23" s="513" t="s">
        <v>167</v>
      </c>
      <c r="J23" s="513" t="s">
        <v>167</v>
      </c>
      <c r="K23" s="721"/>
    </row>
    <row r="24" spans="2:11">
      <c r="B24" s="716">
        <v>3</v>
      </c>
      <c r="C24" s="719" t="s">
        <v>191</v>
      </c>
      <c r="D24" s="495">
        <v>0.1</v>
      </c>
      <c r="E24" s="496" t="s">
        <v>167</v>
      </c>
      <c r="F24" s="496" t="s">
        <v>167</v>
      </c>
      <c r="G24" s="497" t="s">
        <v>167</v>
      </c>
      <c r="H24" s="497" t="s">
        <v>167</v>
      </c>
      <c r="I24" s="497" t="s">
        <v>154</v>
      </c>
      <c r="J24" s="497" t="s">
        <v>167</v>
      </c>
      <c r="K24" s="717">
        <v>1</v>
      </c>
    </row>
    <row r="25" spans="2:11">
      <c r="B25" s="716"/>
      <c r="C25" s="719"/>
      <c r="D25" s="496" t="s">
        <v>167</v>
      </c>
      <c r="E25" s="496" t="s">
        <v>167</v>
      </c>
      <c r="F25" s="496" t="s">
        <v>167</v>
      </c>
      <c r="G25" s="497" t="s">
        <v>600</v>
      </c>
      <c r="H25" s="517">
        <v>0.9</v>
      </c>
      <c r="I25" s="497" t="s">
        <v>154</v>
      </c>
      <c r="J25" s="497" t="s">
        <v>167</v>
      </c>
      <c r="K25" s="717"/>
    </row>
    <row r="26" spans="2:11">
      <c r="B26" s="715">
        <v>4</v>
      </c>
      <c r="C26" s="718" t="s">
        <v>195</v>
      </c>
      <c r="D26" s="488" t="s">
        <v>167</v>
      </c>
      <c r="E26" s="488" t="s">
        <v>167</v>
      </c>
      <c r="F26" s="488" t="s">
        <v>167</v>
      </c>
      <c r="G26" s="513" t="s">
        <v>601</v>
      </c>
      <c r="H26" s="518">
        <v>0.96289999999999998</v>
      </c>
      <c r="I26" s="513" t="s">
        <v>176</v>
      </c>
      <c r="J26" s="513" t="s">
        <v>176</v>
      </c>
      <c r="K26" s="721">
        <v>1</v>
      </c>
    </row>
    <row r="27" spans="2:11">
      <c r="B27" s="715"/>
      <c r="C27" s="718"/>
      <c r="D27" s="488" t="s">
        <v>167</v>
      </c>
      <c r="E27" s="488" t="s">
        <v>167</v>
      </c>
      <c r="F27" s="488" t="s">
        <v>167</v>
      </c>
      <c r="G27" s="513" t="s">
        <v>602</v>
      </c>
      <c r="H27" s="518">
        <v>3.6999999999999998E-2</v>
      </c>
      <c r="I27" s="513" t="s">
        <v>176</v>
      </c>
      <c r="J27" s="513" t="s">
        <v>176</v>
      </c>
      <c r="K27" s="721"/>
    </row>
    <row r="28" spans="2:11">
      <c r="B28" s="715"/>
      <c r="C28" s="718"/>
      <c r="D28" s="488" t="s">
        <v>167</v>
      </c>
      <c r="E28" s="488" t="s">
        <v>167</v>
      </c>
      <c r="F28" s="488" t="s">
        <v>167</v>
      </c>
      <c r="G28" s="513" t="s">
        <v>603</v>
      </c>
      <c r="H28" s="518">
        <v>1E-4</v>
      </c>
      <c r="I28" s="513" t="s">
        <v>176</v>
      </c>
      <c r="J28" s="513" t="s">
        <v>176</v>
      </c>
      <c r="K28" s="721"/>
    </row>
    <row r="29" spans="2:11">
      <c r="B29" s="716">
        <v>5</v>
      </c>
      <c r="C29" s="719" t="s">
        <v>199</v>
      </c>
      <c r="D29" s="495" t="s">
        <v>167</v>
      </c>
      <c r="E29" s="496" t="s">
        <v>604</v>
      </c>
      <c r="F29" s="495">
        <v>0.1</v>
      </c>
      <c r="G29" s="497" t="s">
        <v>176</v>
      </c>
      <c r="H29" s="497" t="s">
        <v>176</v>
      </c>
      <c r="I29" s="497" t="s">
        <v>176</v>
      </c>
      <c r="J29" s="497" t="s">
        <v>176</v>
      </c>
      <c r="K29" s="717">
        <v>1</v>
      </c>
    </row>
    <row r="30" spans="2:11">
      <c r="B30" s="716"/>
      <c r="C30" s="719"/>
      <c r="D30" s="496" t="s">
        <v>167</v>
      </c>
      <c r="E30" s="497" t="s">
        <v>605</v>
      </c>
      <c r="F30" s="495">
        <v>0.9</v>
      </c>
      <c r="G30" s="497" t="s">
        <v>176</v>
      </c>
      <c r="H30" s="517" t="s">
        <v>176</v>
      </c>
      <c r="I30" s="497" t="s">
        <v>176</v>
      </c>
      <c r="J30" s="497" t="s">
        <v>176</v>
      </c>
      <c r="K30" s="717"/>
    </row>
    <row r="31" spans="2:11">
      <c r="B31" s="716"/>
      <c r="C31" s="719"/>
      <c r="D31" s="496" t="s">
        <v>167</v>
      </c>
      <c r="E31" s="496" t="s">
        <v>167</v>
      </c>
      <c r="F31" s="496" t="s">
        <v>167</v>
      </c>
      <c r="G31" s="497" t="s">
        <v>176</v>
      </c>
      <c r="H31" s="497" t="s">
        <v>176</v>
      </c>
      <c r="I31" s="497" t="s">
        <v>176</v>
      </c>
      <c r="J31" s="497" t="s">
        <v>176</v>
      </c>
      <c r="K31" s="717"/>
    </row>
    <row r="32" spans="2:11">
      <c r="B32" s="511">
        <v>6</v>
      </c>
      <c r="C32" s="512" t="s">
        <v>203</v>
      </c>
      <c r="D32" s="488" t="s">
        <v>606</v>
      </c>
      <c r="E32" s="488" t="s">
        <v>606</v>
      </c>
      <c r="F32" s="488" t="s">
        <v>606</v>
      </c>
      <c r="G32" s="519" t="s">
        <v>607</v>
      </c>
      <c r="H32" s="514">
        <v>1</v>
      </c>
      <c r="I32" s="519" t="s">
        <v>154</v>
      </c>
      <c r="J32" s="519" t="s">
        <v>606</v>
      </c>
      <c r="K32" s="520">
        <v>1</v>
      </c>
    </row>
    <row r="33" spans="2:11">
      <c r="B33" s="716">
        <v>7</v>
      </c>
      <c r="C33" s="719" t="s">
        <v>206</v>
      </c>
      <c r="D33" s="495" t="s">
        <v>167</v>
      </c>
      <c r="E33" s="496" t="s">
        <v>608</v>
      </c>
      <c r="F33" s="495">
        <v>0.15</v>
      </c>
      <c r="G33" s="521" t="s">
        <v>609</v>
      </c>
      <c r="H33" s="522">
        <v>0.78</v>
      </c>
      <c r="I33" s="521">
        <v>0</v>
      </c>
      <c r="J33" s="497">
        <v>0</v>
      </c>
      <c r="K33" s="717">
        <v>1</v>
      </c>
    </row>
    <row r="34" spans="2:11">
      <c r="B34" s="716"/>
      <c r="C34" s="719"/>
      <c r="D34" s="496" t="s">
        <v>167</v>
      </c>
      <c r="E34" s="496" t="s">
        <v>167</v>
      </c>
      <c r="F34" s="496" t="s">
        <v>167</v>
      </c>
      <c r="G34" s="521" t="s">
        <v>610</v>
      </c>
      <c r="H34" s="523">
        <v>6.7799999999999999E-2</v>
      </c>
      <c r="I34" s="521" t="s">
        <v>176</v>
      </c>
      <c r="J34" s="497" t="s">
        <v>176</v>
      </c>
      <c r="K34" s="717"/>
    </row>
    <row r="35" spans="2:11">
      <c r="B35" s="716"/>
      <c r="C35" s="719"/>
      <c r="D35" s="496" t="s">
        <v>167</v>
      </c>
      <c r="E35" s="496" t="s">
        <v>167</v>
      </c>
      <c r="F35" s="496" t="s">
        <v>167</v>
      </c>
      <c r="G35" s="521" t="s">
        <v>611</v>
      </c>
      <c r="H35" s="524">
        <v>2.2000000000000001E-3</v>
      </c>
      <c r="I35" s="521" t="s">
        <v>176</v>
      </c>
      <c r="J35" s="521" t="s">
        <v>176</v>
      </c>
      <c r="K35" s="717"/>
    </row>
    <row r="36" spans="2:11">
      <c r="B36" s="715">
        <v>8</v>
      </c>
      <c r="C36" s="718" t="s">
        <v>210</v>
      </c>
      <c r="D36" s="488" t="s">
        <v>167</v>
      </c>
      <c r="E36" s="488" t="s">
        <v>167</v>
      </c>
      <c r="F36" s="488" t="s">
        <v>167</v>
      </c>
      <c r="G36" s="525" t="s">
        <v>612</v>
      </c>
      <c r="H36" s="526" t="s">
        <v>613</v>
      </c>
      <c r="I36" s="519" t="s">
        <v>176</v>
      </c>
      <c r="J36" s="519" t="s">
        <v>176</v>
      </c>
      <c r="K36" s="713">
        <v>1</v>
      </c>
    </row>
    <row r="37" spans="2:11">
      <c r="B37" s="715"/>
      <c r="C37" s="718"/>
      <c r="D37" s="488" t="s">
        <v>167</v>
      </c>
      <c r="E37" s="488" t="s">
        <v>167</v>
      </c>
      <c r="F37" s="488" t="s">
        <v>167</v>
      </c>
      <c r="G37" s="525" t="s">
        <v>614</v>
      </c>
      <c r="H37" s="526" t="s">
        <v>615</v>
      </c>
      <c r="I37" s="519" t="s">
        <v>176</v>
      </c>
      <c r="J37" s="519" t="s">
        <v>176</v>
      </c>
      <c r="K37" s="713"/>
    </row>
    <row r="38" spans="2:11">
      <c r="B38" s="493">
        <v>9</v>
      </c>
      <c r="C38" s="516" t="s">
        <v>214</v>
      </c>
      <c r="D38" s="495">
        <v>0.1</v>
      </c>
      <c r="E38" s="496" t="s">
        <v>167</v>
      </c>
      <c r="F38" s="496" t="s">
        <v>167</v>
      </c>
      <c r="G38" s="497" t="s">
        <v>616</v>
      </c>
      <c r="H38" s="517">
        <v>0.9</v>
      </c>
      <c r="I38" s="497" t="s">
        <v>163</v>
      </c>
      <c r="J38" s="497" t="s">
        <v>617</v>
      </c>
      <c r="K38" s="484">
        <v>1</v>
      </c>
    </row>
    <row r="39" spans="2:11">
      <c r="B39" s="715">
        <v>10</v>
      </c>
      <c r="C39" s="718" t="s">
        <v>219</v>
      </c>
      <c r="D39" s="488" t="s">
        <v>167</v>
      </c>
      <c r="E39" s="488" t="s">
        <v>608</v>
      </c>
      <c r="F39" s="489">
        <v>0.1</v>
      </c>
      <c r="G39" s="525" t="s">
        <v>618</v>
      </c>
      <c r="H39" s="527">
        <v>0.25</v>
      </c>
      <c r="I39" s="519" t="s">
        <v>176</v>
      </c>
      <c r="J39" s="519" t="s">
        <v>176</v>
      </c>
      <c r="K39" s="713">
        <v>1</v>
      </c>
    </row>
    <row r="40" spans="2:11">
      <c r="B40" s="715"/>
      <c r="C40" s="718"/>
      <c r="D40" s="488" t="s">
        <v>167</v>
      </c>
      <c r="E40" s="488" t="s">
        <v>167</v>
      </c>
      <c r="F40" s="488" t="s">
        <v>167</v>
      </c>
      <c r="G40" s="525" t="s">
        <v>619</v>
      </c>
      <c r="H40" s="527">
        <v>0.62</v>
      </c>
      <c r="I40" s="519" t="s">
        <v>176</v>
      </c>
      <c r="J40" s="519" t="s">
        <v>176</v>
      </c>
      <c r="K40" s="713"/>
    </row>
    <row r="41" spans="2:11">
      <c r="B41" s="715"/>
      <c r="C41" s="718"/>
      <c r="D41" s="488" t="s">
        <v>167</v>
      </c>
      <c r="E41" s="488" t="s">
        <v>167</v>
      </c>
      <c r="F41" s="488" t="s">
        <v>167</v>
      </c>
      <c r="G41" s="525" t="s">
        <v>620</v>
      </c>
      <c r="H41" s="527">
        <v>0.01</v>
      </c>
      <c r="I41" s="519" t="s">
        <v>176</v>
      </c>
      <c r="J41" s="519" t="s">
        <v>176</v>
      </c>
      <c r="K41" s="713"/>
    </row>
    <row r="42" spans="2:11">
      <c r="B42" s="715"/>
      <c r="C42" s="718"/>
      <c r="D42" s="488" t="s">
        <v>167</v>
      </c>
      <c r="E42" s="488" t="s">
        <v>167</v>
      </c>
      <c r="F42" s="488" t="s">
        <v>167</v>
      </c>
      <c r="G42" s="525" t="s">
        <v>621</v>
      </c>
      <c r="H42" s="527">
        <v>0.01</v>
      </c>
      <c r="I42" s="519" t="s">
        <v>176</v>
      </c>
      <c r="J42" s="519" t="s">
        <v>176</v>
      </c>
      <c r="K42" s="713"/>
    </row>
    <row r="43" spans="2:11">
      <c r="B43" s="715"/>
      <c r="C43" s="718"/>
      <c r="D43" s="488" t="s">
        <v>167</v>
      </c>
      <c r="E43" s="488" t="s">
        <v>167</v>
      </c>
      <c r="F43" s="488" t="s">
        <v>167</v>
      </c>
      <c r="G43" s="525" t="s">
        <v>622</v>
      </c>
      <c r="H43" s="527">
        <v>0.01</v>
      </c>
      <c r="I43" s="519" t="s">
        <v>176</v>
      </c>
      <c r="J43" s="519" t="s">
        <v>176</v>
      </c>
      <c r="K43" s="713"/>
    </row>
    <row r="44" spans="2:11">
      <c r="B44" s="493">
        <v>11</v>
      </c>
      <c r="C44" s="516" t="s">
        <v>623</v>
      </c>
      <c r="D44" s="528" t="s">
        <v>624</v>
      </c>
      <c r="E44" s="528" t="s">
        <v>624</v>
      </c>
      <c r="F44" s="528" t="s">
        <v>624</v>
      </c>
      <c r="G44" s="521" t="s">
        <v>624</v>
      </c>
      <c r="H44" s="521" t="s">
        <v>624</v>
      </c>
      <c r="I44" s="521" t="s">
        <v>624</v>
      </c>
      <c r="J44" s="521" t="s">
        <v>624</v>
      </c>
      <c r="K44" s="529" t="s">
        <v>624</v>
      </c>
    </row>
    <row r="45" spans="2:11">
      <c r="B45" s="511">
        <v>12</v>
      </c>
      <c r="C45" s="512" t="s">
        <v>225</v>
      </c>
      <c r="D45" s="489">
        <v>0.1</v>
      </c>
      <c r="E45" s="488" t="s">
        <v>167</v>
      </c>
      <c r="F45" s="488" t="s">
        <v>167</v>
      </c>
      <c r="G45" s="519" t="s">
        <v>625</v>
      </c>
      <c r="H45" s="530">
        <v>0.9</v>
      </c>
      <c r="I45" s="519" t="s">
        <v>163</v>
      </c>
      <c r="J45" s="519" t="s">
        <v>626</v>
      </c>
      <c r="K45" s="520">
        <v>1</v>
      </c>
    </row>
    <row r="46" spans="2:11">
      <c r="B46" s="493">
        <v>13</v>
      </c>
      <c r="C46" s="531" t="s">
        <v>228</v>
      </c>
      <c r="D46" s="496" t="s">
        <v>167</v>
      </c>
      <c r="E46" s="496" t="s">
        <v>167</v>
      </c>
      <c r="F46" s="496" t="s">
        <v>167</v>
      </c>
      <c r="G46" s="497" t="s">
        <v>627</v>
      </c>
      <c r="H46" s="517">
        <v>1</v>
      </c>
      <c r="I46" s="497" t="s">
        <v>176</v>
      </c>
      <c r="J46" s="497" t="s">
        <v>176</v>
      </c>
      <c r="K46" s="484">
        <v>1</v>
      </c>
    </row>
    <row r="47" spans="2:11">
      <c r="B47" s="511">
        <v>14</v>
      </c>
      <c r="C47" s="512" t="s">
        <v>231</v>
      </c>
      <c r="D47" s="532">
        <v>0.1</v>
      </c>
      <c r="E47" s="488" t="s">
        <v>167</v>
      </c>
      <c r="F47" s="488" t="s">
        <v>167</v>
      </c>
      <c r="G47" s="525" t="s">
        <v>628</v>
      </c>
      <c r="H47" s="533">
        <v>0.9</v>
      </c>
      <c r="I47" s="530" t="s">
        <v>629</v>
      </c>
      <c r="J47" s="530" t="s">
        <v>629</v>
      </c>
      <c r="K47" s="520">
        <v>1</v>
      </c>
    </row>
    <row r="48" spans="2:11">
      <c r="B48" s="493">
        <v>15</v>
      </c>
      <c r="C48" s="531" t="s">
        <v>630</v>
      </c>
      <c r="D48" s="496" t="s">
        <v>606</v>
      </c>
      <c r="E48" s="496" t="s">
        <v>606</v>
      </c>
      <c r="F48" s="496" t="s">
        <v>606</v>
      </c>
      <c r="G48" s="517" t="s">
        <v>631</v>
      </c>
      <c r="H48" s="517">
        <v>1</v>
      </c>
      <c r="I48" s="497" t="s">
        <v>163</v>
      </c>
      <c r="J48" s="517" t="s">
        <v>632</v>
      </c>
      <c r="K48" s="484">
        <v>1</v>
      </c>
    </row>
    <row r="49" spans="2:11">
      <c r="B49" s="511">
        <v>16</v>
      </c>
      <c r="C49" s="534" t="s">
        <v>633</v>
      </c>
      <c r="D49" s="488" t="s">
        <v>167</v>
      </c>
      <c r="E49" s="488" t="s">
        <v>167</v>
      </c>
      <c r="F49" s="488" t="s">
        <v>167</v>
      </c>
      <c r="G49" s="530" t="s">
        <v>600</v>
      </c>
      <c r="H49" s="530">
        <v>1</v>
      </c>
      <c r="I49" s="519" t="s">
        <v>154</v>
      </c>
      <c r="J49" s="530" t="s">
        <v>167</v>
      </c>
      <c r="K49" s="520">
        <v>1</v>
      </c>
    </row>
    <row r="50" spans="2:11">
      <c r="B50" s="716">
        <v>17</v>
      </c>
      <c r="C50" s="719" t="s">
        <v>634</v>
      </c>
      <c r="D50" s="495" t="s">
        <v>606</v>
      </c>
      <c r="E50" s="496" t="s">
        <v>606</v>
      </c>
      <c r="F50" s="496" t="s">
        <v>606</v>
      </c>
      <c r="G50" s="497" t="s">
        <v>635</v>
      </c>
      <c r="H50" s="517">
        <v>0.65</v>
      </c>
      <c r="I50" s="497" t="s">
        <v>171</v>
      </c>
      <c r="J50" s="497" t="s">
        <v>171</v>
      </c>
      <c r="K50" s="717">
        <v>1</v>
      </c>
    </row>
    <row r="51" spans="2:11">
      <c r="B51" s="716"/>
      <c r="C51" s="719"/>
      <c r="D51" s="495" t="s">
        <v>606</v>
      </c>
      <c r="E51" s="496" t="s">
        <v>606</v>
      </c>
      <c r="F51" s="496" t="s">
        <v>606</v>
      </c>
      <c r="G51" s="497" t="s">
        <v>636</v>
      </c>
      <c r="H51" s="517">
        <v>0.35</v>
      </c>
      <c r="I51" s="497" t="s">
        <v>171</v>
      </c>
      <c r="J51" s="497" t="s">
        <v>171</v>
      </c>
      <c r="K51" s="717"/>
    </row>
    <row r="52" spans="2:11">
      <c r="B52" s="715">
        <v>18</v>
      </c>
      <c r="C52" s="720" t="s">
        <v>637</v>
      </c>
      <c r="D52" s="488" t="s">
        <v>167</v>
      </c>
      <c r="E52" s="488" t="s">
        <v>167</v>
      </c>
      <c r="F52" s="488" t="s">
        <v>167</v>
      </c>
      <c r="G52" s="525" t="s">
        <v>638</v>
      </c>
      <c r="H52" s="533">
        <v>0.81</v>
      </c>
      <c r="I52" s="519" t="s">
        <v>154</v>
      </c>
      <c r="J52" s="530" t="s">
        <v>167</v>
      </c>
      <c r="K52" s="713">
        <v>1</v>
      </c>
    </row>
    <row r="53" spans="2:11">
      <c r="B53" s="715"/>
      <c r="C53" s="720"/>
      <c r="D53" s="488" t="s">
        <v>167</v>
      </c>
      <c r="E53" s="488" t="s">
        <v>167</v>
      </c>
      <c r="F53" s="488" t="s">
        <v>167</v>
      </c>
      <c r="G53" s="525" t="s">
        <v>639</v>
      </c>
      <c r="H53" s="533">
        <v>0.19</v>
      </c>
      <c r="I53" s="519" t="s">
        <v>154</v>
      </c>
      <c r="J53" s="530" t="s">
        <v>167</v>
      </c>
      <c r="K53" s="713"/>
    </row>
    <row r="54" spans="2:11">
      <c r="B54" s="493">
        <v>19</v>
      </c>
      <c r="C54" s="531" t="s">
        <v>250</v>
      </c>
      <c r="D54" s="496" t="s">
        <v>171</v>
      </c>
      <c r="E54" s="496" t="s">
        <v>171</v>
      </c>
      <c r="F54" s="496" t="s">
        <v>171</v>
      </c>
      <c r="G54" s="517" t="s">
        <v>171</v>
      </c>
      <c r="H54" s="497" t="s">
        <v>171</v>
      </c>
      <c r="I54" s="497" t="s">
        <v>171</v>
      </c>
      <c r="J54" s="517" t="s">
        <v>171</v>
      </c>
      <c r="K54" s="484" t="s">
        <v>171</v>
      </c>
    </row>
    <row r="55" spans="2:11">
      <c r="B55" s="715">
        <v>20</v>
      </c>
      <c r="C55" s="720" t="s">
        <v>640</v>
      </c>
      <c r="D55" s="488" t="s">
        <v>167</v>
      </c>
      <c r="E55" s="488" t="s">
        <v>167</v>
      </c>
      <c r="F55" s="488" t="s">
        <v>167</v>
      </c>
      <c r="G55" s="530" t="s">
        <v>641</v>
      </c>
      <c r="H55" s="519">
        <v>0.98329999999999995</v>
      </c>
      <c r="I55" s="519" t="s">
        <v>171</v>
      </c>
      <c r="J55" s="530" t="s">
        <v>171</v>
      </c>
      <c r="K55" s="713">
        <v>1</v>
      </c>
    </row>
    <row r="56" spans="2:11">
      <c r="B56" s="715"/>
      <c r="C56" s="720"/>
      <c r="D56" s="488" t="s">
        <v>167</v>
      </c>
      <c r="E56" s="488" t="s">
        <v>167</v>
      </c>
      <c r="F56" s="488" t="s">
        <v>167</v>
      </c>
      <c r="G56" s="530" t="s">
        <v>603</v>
      </c>
      <c r="H56" s="519">
        <v>1.67E-2</v>
      </c>
      <c r="I56" s="519" t="s">
        <v>171</v>
      </c>
      <c r="J56" s="530" t="s">
        <v>171</v>
      </c>
      <c r="K56" s="713"/>
    </row>
    <row r="57" spans="2:11">
      <c r="B57" s="493">
        <v>21</v>
      </c>
      <c r="C57" s="516" t="s">
        <v>257</v>
      </c>
      <c r="D57" s="495" t="s">
        <v>606</v>
      </c>
      <c r="E57" s="496" t="s">
        <v>606</v>
      </c>
      <c r="F57" s="496" t="s">
        <v>606</v>
      </c>
      <c r="G57" s="521" t="s">
        <v>642</v>
      </c>
      <c r="H57" s="517">
        <v>1</v>
      </c>
      <c r="I57" s="517" t="s">
        <v>163</v>
      </c>
      <c r="J57" s="517" t="s">
        <v>597</v>
      </c>
      <c r="K57" s="484">
        <v>1</v>
      </c>
    </row>
    <row r="58" spans="2:11">
      <c r="B58" s="535">
        <v>22</v>
      </c>
      <c r="C58" s="536" t="s">
        <v>643</v>
      </c>
      <c r="D58" s="537" t="s">
        <v>167</v>
      </c>
      <c r="E58" s="537" t="s">
        <v>167</v>
      </c>
      <c r="F58" s="537" t="s">
        <v>167</v>
      </c>
      <c r="G58" s="538" t="s">
        <v>644</v>
      </c>
      <c r="H58" s="539">
        <v>1</v>
      </c>
      <c r="I58" s="540" t="s">
        <v>629</v>
      </c>
      <c r="J58" s="539" t="s">
        <v>629</v>
      </c>
      <c r="K58" s="541">
        <v>1</v>
      </c>
    </row>
    <row r="59" spans="2:11">
      <c r="B59" s="508" t="s">
        <v>593</v>
      </c>
    </row>
  </sheetData>
  <mergeCells count="37">
    <mergeCell ref="A1:C1"/>
    <mergeCell ref="B36:B37"/>
    <mergeCell ref="C36:C37"/>
    <mergeCell ref="B55:B56"/>
    <mergeCell ref="C55:C56"/>
    <mergeCell ref="C50:C51"/>
    <mergeCell ref="B50:B51"/>
    <mergeCell ref="E5:F5"/>
    <mergeCell ref="G5:H5"/>
    <mergeCell ref="I5:J5"/>
    <mergeCell ref="E17:F17"/>
    <mergeCell ref="B26:B28"/>
    <mergeCell ref="C26:C28"/>
    <mergeCell ref="B24:B25"/>
    <mergeCell ref="C24:C25"/>
    <mergeCell ref="K36:K37"/>
    <mergeCell ref="K39:K43"/>
    <mergeCell ref="K20:K23"/>
    <mergeCell ref="K24:K25"/>
    <mergeCell ref="K26:K28"/>
    <mergeCell ref="K29:K31"/>
    <mergeCell ref="K55:K56"/>
    <mergeCell ref="G17:H17"/>
    <mergeCell ref="I17:J17"/>
    <mergeCell ref="B20:B23"/>
    <mergeCell ref="B29:B31"/>
    <mergeCell ref="B33:B35"/>
    <mergeCell ref="B39:B43"/>
    <mergeCell ref="B52:B53"/>
    <mergeCell ref="K50:K51"/>
    <mergeCell ref="K52:K53"/>
    <mergeCell ref="C20:C23"/>
    <mergeCell ref="C29:C31"/>
    <mergeCell ref="C33:C35"/>
    <mergeCell ref="C39:C43"/>
    <mergeCell ref="C52:C53"/>
    <mergeCell ref="K33:K35"/>
  </mergeCells>
  <conditionalFormatting sqref="C45:D45">
    <cfRule type="containsText" dxfId="66" priority="20" operator="containsText" text="Not">
      <formula>NOT(ISERROR(SEARCH("Not",C45)))</formula>
    </cfRule>
  </conditionalFormatting>
  <conditionalFormatting sqref="C33:F33">
    <cfRule type="containsText" dxfId="65" priority="3" operator="containsText" text="Not">
      <formula>NOT(ISERROR(SEARCH("Not",C33)))</formula>
    </cfRule>
  </conditionalFormatting>
  <conditionalFormatting sqref="C47:F47">
    <cfRule type="containsText" dxfId="64" priority="10" operator="containsText" text="Not">
      <formula>NOT(ISERROR(SEARCH("Not",C47)))</formula>
    </cfRule>
  </conditionalFormatting>
  <conditionalFormatting sqref="C7:K13">
    <cfRule type="containsText" dxfId="63" priority="7" operator="containsText" text="Not">
      <formula>NOT(ISERROR(SEARCH("Not",C7)))</formula>
    </cfRule>
  </conditionalFormatting>
  <conditionalFormatting sqref="C19:K19 C20 G20:K20 D20:F23 G21:J23 D27:J28 C32:K32 C36 K36 C44 G44:J44 D53:J53 C54:J54 C55 D55:J56">
    <cfRule type="containsText" dxfId="62" priority="24" operator="containsText" text="Not">
      <formula>NOT(ISERROR(SEARCH("Not",C19)))</formula>
    </cfRule>
  </conditionalFormatting>
  <conditionalFormatting sqref="C24:K24">
    <cfRule type="containsText" dxfId="61" priority="6" operator="containsText" text="Not">
      <formula>NOT(ISERROR(SEARCH("Not",C24)))</formula>
    </cfRule>
  </conditionalFormatting>
  <conditionalFormatting sqref="C26:K26">
    <cfRule type="containsText" dxfId="60" priority="23" operator="containsText" text="Not">
      <formula>NOT(ISERROR(SEARCH("Not",C26)))</formula>
    </cfRule>
  </conditionalFormatting>
  <conditionalFormatting sqref="C29:K29 D30:J31 C48:C50">
    <cfRule type="containsText" dxfId="59" priority="15" operator="containsText" text="Not">
      <formula>NOT(ISERROR(SEARCH("Not",C29)))</formula>
    </cfRule>
  </conditionalFormatting>
  <conditionalFormatting sqref="C38:K39">
    <cfRule type="containsText" dxfId="58" priority="2" operator="containsText" text="Not">
      <formula>NOT(ISERROR(SEARCH("Not",C38)))</formula>
    </cfRule>
  </conditionalFormatting>
  <conditionalFormatting sqref="C46:K46">
    <cfRule type="containsText" dxfId="57" priority="19" operator="containsText" text="Not">
      <formula>NOT(ISERROR(SEARCH("Not",C46)))</formula>
    </cfRule>
  </conditionalFormatting>
  <conditionalFormatting sqref="C52:K52">
    <cfRule type="containsText" dxfId="56" priority="18" operator="containsText" text="Not">
      <formula>NOT(ISERROR(SEARCH("Not",C52)))</formula>
    </cfRule>
  </conditionalFormatting>
  <conditionalFormatting sqref="C57:K58">
    <cfRule type="containsText" dxfId="55" priority="11" operator="containsText" text="Not">
      <formula>NOT(ISERROR(SEARCH("Not",C57)))</formula>
    </cfRule>
  </conditionalFormatting>
  <conditionalFormatting sqref="D34:F37">
    <cfRule type="containsText" dxfId="54" priority="8" operator="containsText" text="Not">
      <formula>NOT(ISERROR(SEARCH("Not",D34)))</formula>
    </cfRule>
  </conditionalFormatting>
  <conditionalFormatting sqref="D48:F49">
    <cfRule type="containsText" dxfId="53" priority="16" operator="containsText" text="Not">
      <formula>NOT(ISERROR(SEARCH("Not",D48)))</formula>
    </cfRule>
  </conditionalFormatting>
  <conditionalFormatting sqref="D50:I51">
    <cfRule type="containsText" dxfId="52" priority="14" operator="containsText" text="Not">
      <formula>NOT(ISERROR(SEARCH("Not",D50)))</formula>
    </cfRule>
  </conditionalFormatting>
  <conditionalFormatting sqref="D25:J25">
    <cfRule type="containsText" dxfId="51" priority="5" operator="containsText" text="Not">
      <formula>NOT(ISERROR(SEARCH("Not",D25)))</formula>
    </cfRule>
  </conditionalFormatting>
  <conditionalFormatting sqref="D40:J43">
    <cfRule type="containsText" dxfId="50" priority="12" operator="containsText" text="Not">
      <formula>NOT(ISERROR(SEARCH("Not",D40)))</formula>
    </cfRule>
  </conditionalFormatting>
  <conditionalFormatting sqref="E44:F45">
    <cfRule type="containsText" dxfId="49" priority="17" operator="containsText" text="Not">
      <formula>NOT(ISERROR(SEARCH("Not",E44)))</formula>
    </cfRule>
  </conditionalFormatting>
  <conditionalFormatting sqref="G29:G30">
    <cfRule type="containsText" dxfId="48" priority="4" operator="containsText" text="Not">
      <formula>NOT(ISERROR(SEARCH("Not",G29)))</formula>
    </cfRule>
  </conditionalFormatting>
  <conditionalFormatting sqref="G33:J37">
    <cfRule type="containsText" dxfId="47" priority="21" operator="containsText" text="Not">
      <formula>NOT(ISERROR(SEARCH("Not",G33)))</formula>
    </cfRule>
  </conditionalFormatting>
  <conditionalFormatting sqref="G45:K45">
    <cfRule type="containsText" dxfId="46" priority="1" operator="containsText" text="Not">
      <formula>NOT(ISERROR(SEARCH("Not",G45)))</formula>
    </cfRule>
  </conditionalFormatting>
  <conditionalFormatting sqref="G47:K49">
    <cfRule type="containsText" dxfId="45" priority="9" operator="containsText" text="Not">
      <formula>NOT(ISERROR(SEARCH("Not",G47)))</formula>
    </cfRule>
  </conditionalFormatting>
  <conditionalFormatting sqref="J50:K50 J51">
    <cfRule type="containsText" dxfId="44" priority="13" operator="containsText" text="Not">
      <formula>NOT(ISERROR(SEARCH("Not",J50)))</formula>
    </cfRule>
  </conditionalFormatting>
  <conditionalFormatting sqref="K33">
    <cfRule type="containsText" dxfId="43" priority="22" operator="containsText" text="Not">
      <formula>NOT(ISERROR(SEARCH("Not",K33)))</formula>
    </cfRule>
  </conditionalFormatting>
  <hyperlinks>
    <hyperlink ref="A1:C1" location="Sommaire!A1" display="Sommaire!A1" xr:uid="{00000000-0004-0000-0300-000000000000}"/>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5"/>
  <dimension ref="A1:O39"/>
  <sheetViews>
    <sheetView showGridLines="0" zoomScaleNormal="100" workbookViewId="0">
      <selection sqref="A1:C1"/>
    </sheetView>
  </sheetViews>
  <sheetFormatPr baseColWidth="10" defaultColWidth="11.5" defaultRowHeight="12"/>
  <cols>
    <col min="1" max="1" width="4.5" style="215" customWidth="1"/>
    <col min="2" max="2" width="4.5" style="220" bestFit="1" customWidth="1"/>
    <col min="3" max="3" width="42" style="215" bestFit="1" customWidth="1"/>
    <col min="4" max="4" width="22.5" style="215" bestFit="1" customWidth="1"/>
    <col min="5" max="5" width="9.5" style="215" bestFit="1" customWidth="1"/>
    <col min="6" max="6" width="10.5" style="215" bestFit="1" customWidth="1"/>
    <col min="7" max="7" width="13" style="215" bestFit="1" customWidth="1"/>
    <col min="8" max="8" width="22.5" style="215" bestFit="1" customWidth="1"/>
    <col min="9" max="9" width="11.5" style="215" bestFit="1" customWidth="1"/>
    <col min="10" max="10" width="5.5" style="215" bestFit="1" customWidth="1"/>
    <col min="11" max="11" width="6" style="215" bestFit="1" customWidth="1"/>
    <col min="12" max="12" width="5" style="215" bestFit="1" customWidth="1"/>
    <col min="13" max="13" width="5.5" style="215" bestFit="1" customWidth="1"/>
    <col min="14" max="14" width="6" style="215" bestFit="1" customWidth="1"/>
    <col min="15" max="15" width="5" style="215" bestFit="1" customWidth="1"/>
    <col min="16" max="16" width="11.6640625" style="215" customWidth="1"/>
    <col min="17" max="16384" width="11.5" style="215"/>
  </cols>
  <sheetData>
    <row r="1" spans="1:15" ht="14.5">
      <c r="A1" s="709" t="s">
        <v>140</v>
      </c>
      <c r="B1" s="709"/>
      <c r="C1" s="709"/>
    </row>
    <row r="2" spans="1:15" s="217" customFormat="1" ht="19">
      <c r="A2" s="216" t="s">
        <v>645</v>
      </c>
      <c r="B2" s="224"/>
    </row>
    <row r="5" spans="1:15" ht="12.5" thickBot="1">
      <c r="B5" s="685"/>
      <c r="C5" s="686"/>
      <c r="D5" s="722" t="s">
        <v>646</v>
      </c>
      <c r="E5" s="722"/>
      <c r="F5" s="722"/>
      <c r="G5" s="722" t="s">
        <v>647</v>
      </c>
      <c r="H5" s="722"/>
      <c r="I5" s="722"/>
      <c r="J5" s="722" t="s">
        <v>648</v>
      </c>
      <c r="K5" s="722"/>
      <c r="L5" s="722"/>
      <c r="M5" s="722" t="s">
        <v>648</v>
      </c>
      <c r="N5" s="722"/>
      <c r="O5" s="722"/>
    </row>
    <row r="6" spans="1:15" ht="24.5" thickBot="1">
      <c r="B6" s="688" t="s">
        <v>143</v>
      </c>
      <c r="C6" s="688" t="s">
        <v>144</v>
      </c>
      <c r="D6" s="687" t="s">
        <v>649</v>
      </c>
      <c r="E6" s="687" t="s">
        <v>650</v>
      </c>
      <c r="F6" s="687" t="s">
        <v>651</v>
      </c>
      <c r="G6" s="687" t="s">
        <v>652</v>
      </c>
      <c r="H6" s="687" t="s">
        <v>653</v>
      </c>
      <c r="I6" s="687" t="s">
        <v>654</v>
      </c>
      <c r="J6" s="687" t="s">
        <v>655</v>
      </c>
      <c r="K6" s="687" t="s">
        <v>656</v>
      </c>
      <c r="L6" s="687" t="s">
        <v>657</v>
      </c>
      <c r="M6" s="687" t="s">
        <v>655</v>
      </c>
      <c r="N6" s="687" t="s">
        <v>656</v>
      </c>
      <c r="O6" s="687" t="s">
        <v>657</v>
      </c>
    </row>
    <row r="7" spans="1:15">
      <c r="B7" s="723" t="s">
        <v>265</v>
      </c>
      <c r="C7" s="723"/>
      <c r="D7" s="723"/>
      <c r="E7" s="723"/>
      <c r="F7" s="723"/>
      <c r="G7" s="723"/>
      <c r="H7" s="723"/>
      <c r="I7" s="723"/>
      <c r="J7" s="723"/>
      <c r="K7" s="723"/>
      <c r="L7" s="723"/>
      <c r="M7" s="723"/>
      <c r="N7" s="723"/>
      <c r="O7" s="723"/>
    </row>
    <row r="8" spans="1:15">
      <c r="B8" s="689">
        <v>1</v>
      </c>
      <c r="C8" s="690" t="s">
        <v>183</v>
      </c>
      <c r="D8" s="691" t="s">
        <v>589</v>
      </c>
      <c r="E8" s="691" t="s">
        <v>589</v>
      </c>
      <c r="F8" s="691" t="s">
        <v>658</v>
      </c>
      <c r="G8" s="691" t="s">
        <v>589</v>
      </c>
      <c r="H8" s="692" t="s">
        <v>659</v>
      </c>
      <c r="I8" s="691" t="s">
        <v>658</v>
      </c>
      <c r="J8" s="691" t="str">
        <f>IF(E8="Non","Faible","")</f>
        <v/>
      </c>
      <c r="K8" s="691" t="str">
        <f t="shared" ref="K8:K37" si="0">IF(AND(E8="Oui",D8="Oui",G8="Non"),"Moyen","")</f>
        <v/>
      </c>
      <c r="L8" s="691" t="str">
        <f t="shared" ref="L8:L37" si="1">IF(AND(D8="Oui",E8="Oui",G8="Oui"),"Elevé","")</f>
        <v>Elevé</v>
      </c>
      <c r="M8" s="691" t="str">
        <f>IF(J8="","",1)</f>
        <v/>
      </c>
      <c r="N8" s="691" t="str">
        <f t="shared" ref="N8:O23" si="2">IF(K8="","",1)</f>
        <v/>
      </c>
      <c r="O8" s="691">
        <f t="shared" si="2"/>
        <v>1</v>
      </c>
    </row>
    <row r="9" spans="1:15">
      <c r="B9" s="693">
        <v>2</v>
      </c>
      <c r="C9" s="694" t="s">
        <v>187</v>
      </c>
      <c r="D9" s="695" t="s">
        <v>589</v>
      </c>
      <c r="E9" s="695" t="s">
        <v>589</v>
      </c>
      <c r="F9" s="695" t="s">
        <v>658</v>
      </c>
      <c r="G9" s="695" t="s">
        <v>589</v>
      </c>
      <c r="H9" s="696" t="s">
        <v>659</v>
      </c>
      <c r="I9" s="695" t="s">
        <v>658</v>
      </c>
      <c r="J9" s="695" t="str">
        <f t="shared" ref="J9:J29" si="3">IF(E9="Non","Faible","")</f>
        <v/>
      </c>
      <c r="K9" s="695" t="str">
        <f t="shared" si="0"/>
        <v/>
      </c>
      <c r="L9" s="695" t="str">
        <f t="shared" si="1"/>
        <v>Elevé</v>
      </c>
      <c r="M9" s="695" t="str">
        <f t="shared" ref="M9:O37" si="4">IF(J9="","",1)</f>
        <v/>
      </c>
      <c r="N9" s="695" t="str">
        <f t="shared" si="2"/>
        <v/>
      </c>
      <c r="O9" s="695">
        <f t="shared" si="2"/>
        <v>1</v>
      </c>
    </row>
    <row r="10" spans="1:15">
      <c r="B10" s="697">
        <v>3</v>
      </c>
      <c r="C10" s="698" t="s">
        <v>191</v>
      </c>
      <c r="D10" s="699" t="s">
        <v>589</v>
      </c>
      <c r="E10" s="699" t="s">
        <v>589</v>
      </c>
      <c r="F10" s="699" t="s">
        <v>658</v>
      </c>
      <c r="G10" s="699" t="s">
        <v>589</v>
      </c>
      <c r="H10" s="700" t="s">
        <v>659</v>
      </c>
      <c r="I10" s="699" t="s">
        <v>658</v>
      </c>
      <c r="J10" s="699" t="str">
        <f t="shared" si="3"/>
        <v/>
      </c>
      <c r="K10" s="699" t="str">
        <f t="shared" si="0"/>
        <v/>
      </c>
      <c r="L10" s="699" t="str">
        <f t="shared" si="1"/>
        <v>Elevé</v>
      </c>
      <c r="M10" s="699" t="str">
        <f t="shared" si="4"/>
        <v/>
      </c>
      <c r="N10" s="699" t="str">
        <f t="shared" si="2"/>
        <v/>
      </c>
      <c r="O10" s="699">
        <f t="shared" si="2"/>
        <v>1</v>
      </c>
    </row>
    <row r="11" spans="1:15">
      <c r="B11" s="693">
        <v>4</v>
      </c>
      <c r="C11" s="694" t="s">
        <v>195</v>
      </c>
      <c r="D11" s="695" t="s">
        <v>589</v>
      </c>
      <c r="E11" s="695" t="s">
        <v>589</v>
      </c>
      <c r="F11" s="695" t="s">
        <v>658</v>
      </c>
      <c r="G11" s="695" t="s">
        <v>589</v>
      </c>
      <c r="H11" s="696" t="s">
        <v>659</v>
      </c>
      <c r="I11" s="695" t="s">
        <v>658</v>
      </c>
      <c r="J11" s="695" t="str">
        <f t="shared" si="3"/>
        <v/>
      </c>
      <c r="K11" s="695" t="str">
        <f t="shared" si="0"/>
        <v/>
      </c>
      <c r="L11" s="695" t="str">
        <f t="shared" si="1"/>
        <v>Elevé</v>
      </c>
      <c r="M11" s="695" t="str">
        <f t="shared" si="4"/>
        <v/>
      </c>
      <c r="N11" s="695" t="str">
        <f t="shared" si="2"/>
        <v/>
      </c>
      <c r="O11" s="695">
        <f t="shared" si="2"/>
        <v>1</v>
      </c>
    </row>
    <row r="12" spans="1:15">
      <c r="B12" s="697">
        <v>5</v>
      </c>
      <c r="C12" s="698" t="s">
        <v>199</v>
      </c>
      <c r="D12" s="699" t="s">
        <v>589</v>
      </c>
      <c r="E12" s="699" t="s">
        <v>268</v>
      </c>
      <c r="F12" s="699"/>
      <c r="G12" s="699" t="s">
        <v>589</v>
      </c>
      <c r="H12" s="700" t="s">
        <v>659</v>
      </c>
      <c r="I12" s="699" t="s">
        <v>658</v>
      </c>
      <c r="J12" s="699" t="str">
        <f t="shared" si="3"/>
        <v>Faible</v>
      </c>
      <c r="K12" s="699" t="str">
        <f t="shared" si="0"/>
        <v/>
      </c>
      <c r="L12" s="699" t="str">
        <f t="shared" si="1"/>
        <v/>
      </c>
      <c r="M12" s="699">
        <f t="shared" si="4"/>
        <v>1</v>
      </c>
      <c r="N12" s="699" t="str">
        <f t="shared" si="2"/>
        <v/>
      </c>
      <c r="O12" s="699" t="str">
        <f t="shared" si="2"/>
        <v/>
      </c>
    </row>
    <row r="13" spans="1:15">
      <c r="B13" s="693">
        <v>6</v>
      </c>
      <c r="C13" s="694" t="s">
        <v>203</v>
      </c>
      <c r="D13" s="695" t="s">
        <v>589</v>
      </c>
      <c r="E13" s="695" t="s">
        <v>589</v>
      </c>
      <c r="F13" s="695" t="s">
        <v>658</v>
      </c>
      <c r="G13" s="695" t="s">
        <v>589</v>
      </c>
      <c r="H13" s="696" t="s">
        <v>659</v>
      </c>
      <c r="I13" s="695" t="s">
        <v>658</v>
      </c>
      <c r="J13" s="695" t="str">
        <f t="shared" si="3"/>
        <v/>
      </c>
      <c r="K13" s="695" t="str">
        <f t="shared" si="0"/>
        <v/>
      </c>
      <c r="L13" s="695" t="str">
        <f t="shared" si="1"/>
        <v>Elevé</v>
      </c>
      <c r="M13" s="695" t="str">
        <f t="shared" si="4"/>
        <v/>
      </c>
      <c r="N13" s="695" t="str">
        <f t="shared" si="2"/>
        <v/>
      </c>
      <c r="O13" s="695">
        <f t="shared" si="2"/>
        <v>1</v>
      </c>
    </row>
    <row r="14" spans="1:15">
      <c r="B14" s="697">
        <v>7</v>
      </c>
      <c r="C14" s="698" t="s">
        <v>206</v>
      </c>
      <c r="D14" s="699" t="s">
        <v>589</v>
      </c>
      <c r="E14" s="699" t="s">
        <v>589</v>
      </c>
      <c r="F14" s="699" t="s">
        <v>658</v>
      </c>
      <c r="G14" s="699" t="s">
        <v>589</v>
      </c>
      <c r="H14" s="700" t="s">
        <v>659</v>
      </c>
      <c r="I14" s="699" t="s">
        <v>658</v>
      </c>
      <c r="J14" s="699" t="str">
        <f t="shared" si="3"/>
        <v/>
      </c>
      <c r="K14" s="699" t="str">
        <f t="shared" si="0"/>
        <v/>
      </c>
      <c r="L14" s="699" t="str">
        <f t="shared" si="1"/>
        <v>Elevé</v>
      </c>
      <c r="M14" s="699" t="str">
        <f t="shared" si="4"/>
        <v/>
      </c>
      <c r="N14" s="699" t="str">
        <f t="shared" si="2"/>
        <v/>
      </c>
      <c r="O14" s="699">
        <f t="shared" si="2"/>
        <v>1</v>
      </c>
    </row>
    <row r="15" spans="1:15">
      <c r="B15" s="693">
        <v>8</v>
      </c>
      <c r="C15" s="694" t="s">
        <v>210</v>
      </c>
      <c r="D15" s="695" t="s">
        <v>268</v>
      </c>
      <c r="E15" s="695" t="s">
        <v>268</v>
      </c>
      <c r="F15" s="695"/>
      <c r="G15" s="695" t="s">
        <v>589</v>
      </c>
      <c r="H15" s="696" t="s">
        <v>659</v>
      </c>
      <c r="I15" s="695" t="s">
        <v>658</v>
      </c>
      <c r="J15" s="695" t="str">
        <f t="shared" si="3"/>
        <v>Faible</v>
      </c>
      <c r="K15" s="695" t="str">
        <f t="shared" si="0"/>
        <v/>
      </c>
      <c r="L15" s="695" t="str">
        <f t="shared" si="1"/>
        <v/>
      </c>
      <c r="M15" s="695">
        <f t="shared" si="4"/>
        <v>1</v>
      </c>
      <c r="N15" s="695" t="str">
        <f t="shared" si="2"/>
        <v/>
      </c>
      <c r="O15" s="695" t="str">
        <f t="shared" si="2"/>
        <v/>
      </c>
    </row>
    <row r="16" spans="1:15">
      <c r="B16" s="697">
        <v>9</v>
      </c>
      <c r="C16" s="698" t="s">
        <v>214</v>
      </c>
      <c r="D16" s="699" t="s">
        <v>589</v>
      </c>
      <c r="E16" s="699" t="s">
        <v>589</v>
      </c>
      <c r="F16" s="699" t="s">
        <v>658</v>
      </c>
      <c r="G16" s="699" t="s">
        <v>589</v>
      </c>
      <c r="H16" s="700" t="s">
        <v>659</v>
      </c>
      <c r="I16" s="699" t="s">
        <v>658</v>
      </c>
      <c r="J16" s="699" t="str">
        <f t="shared" si="3"/>
        <v/>
      </c>
      <c r="K16" s="699" t="str">
        <f t="shared" si="0"/>
        <v/>
      </c>
      <c r="L16" s="699" t="str">
        <f t="shared" si="1"/>
        <v>Elevé</v>
      </c>
      <c r="M16" s="699" t="str">
        <f t="shared" si="4"/>
        <v/>
      </c>
      <c r="N16" s="699" t="str">
        <f t="shared" si="2"/>
        <v/>
      </c>
      <c r="O16" s="699">
        <f t="shared" si="2"/>
        <v>1</v>
      </c>
    </row>
    <row r="17" spans="2:15">
      <c r="B17" s="693">
        <v>10</v>
      </c>
      <c r="C17" s="694" t="s">
        <v>219</v>
      </c>
      <c r="D17" s="695" t="s">
        <v>589</v>
      </c>
      <c r="E17" s="695" t="s">
        <v>589</v>
      </c>
      <c r="F17" s="695" t="s">
        <v>658</v>
      </c>
      <c r="G17" s="695" t="s">
        <v>589</v>
      </c>
      <c r="H17" s="696" t="s">
        <v>659</v>
      </c>
      <c r="I17" s="695" t="s">
        <v>658</v>
      </c>
      <c r="J17" s="695" t="str">
        <f t="shared" si="3"/>
        <v/>
      </c>
      <c r="K17" s="695" t="str">
        <f t="shared" si="0"/>
        <v/>
      </c>
      <c r="L17" s="695" t="str">
        <f t="shared" si="1"/>
        <v>Elevé</v>
      </c>
      <c r="M17" s="695" t="str">
        <f t="shared" si="4"/>
        <v/>
      </c>
      <c r="N17" s="695" t="str">
        <f t="shared" si="2"/>
        <v/>
      </c>
      <c r="O17" s="695">
        <f t="shared" si="2"/>
        <v>1</v>
      </c>
    </row>
    <row r="18" spans="2:15">
      <c r="B18" s="697">
        <v>11</v>
      </c>
      <c r="C18" s="698" t="s">
        <v>223</v>
      </c>
      <c r="D18" s="699" t="s">
        <v>268</v>
      </c>
      <c r="E18" s="699" t="s">
        <v>268</v>
      </c>
      <c r="F18" s="699"/>
      <c r="G18" s="699" t="s">
        <v>268</v>
      </c>
      <c r="H18" s="700"/>
      <c r="I18" s="699"/>
      <c r="J18" s="699" t="str">
        <f t="shared" si="3"/>
        <v>Faible</v>
      </c>
      <c r="K18" s="699" t="str">
        <f t="shared" si="0"/>
        <v/>
      </c>
      <c r="L18" s="699" t="str">
        <f t="shared" si="1"/>
        <v/>
      </c>
      <c r="M18" s="699">
        <f t="shared" si="4"/>
        <v>1</v>
      </c>
      <c r="N18" s="699" t="str">
        <f t="shared" si="2"/>
        <v/>
      </c>
      <c r="O18" s="699" t="str">
        <f t="shared" si="2"/>
        <v/>
      </c>
    </row>
    <row r="19" spans="2:15">
      <c r="B19" s="693">
        <v>12</v>
      </c>
      <c r="C19" s="694" t="s">
        <v>225</v>
      </c>
      <c r="D19" s="695" t="s">
        <v>589</v>
      </c>
      <c r="E19" s="695" t="s">
        <v>589</v>
      </c>
      <c r="F19" s="695" t="s">
        <v>658</v>
      </c>
      <c r="G19" s="695" t="s">
        <v>589</v>
      </c>
      <c r="H19" s="696" t="s">
        <v>659</v>
      </c>
      <c r="I19" s="695" t="s">
        <v>658</v>
      </c>
      <c r="J19" s="695" t="str">
        <f t="shared" si="3"/>
        <v/>
      </c>
      <c r="K19" s="695" t="str">
        <f t="shared" si="0"/>
        <v/>
      </c>
      <c r="L19" s="695" t="str">
        <f t="shared" si="1"/>
        <v>Elevé</v>
      </c>
      <c r="M19" s="695" t="str">
        <f t="shared" si="4"/>
        <v/>
      </c>
      <c r="N19" s="695" t="str">
        <f t="shared" si="2"/>
        <v/>
      </c>
      <c r="O19" s="695">
        <f t="shared" si="2"/>
        <v>1</v>
      </c>
    </row>
    <row r="20" spans="2:15">
      <c r="B20" s="697">
        <v>13</v>
      </c>
      <c r="C20" s="698" t="s">
        <v>228</v>
      </c>
      <c r="D20" s="699" t="s">
        <v>589</v>
      </c>
      <c r="E20" s="699" t="s">
        <v>589</v>
      </c>
      <c r="F20" s="699"/>
      <c r="G20" s="699" t="s">
        <v>589</v>
      </c>
      <c r="H20" s="700" t="s">
        <v>659</v>
      </c>
      <c r="I20" s="699" t="s">
        <v>658</v>
      </c>
      <c r="J20" s="699" t="str">
        <f t="shared" si="3"/>
        <v/>
      </c>
      <c r="K20" s="699" t="str">
        <f t="shared" si="0"/>
        <v/>
      </c>
      <c r="L20" s="699" t="str">
        <f t="shared" si="1"/>
        <v>Elevé</v>
      </c>
      <c r="M20" s="699" t="str">
        <f t="shared" si="4"/>
        <v/>
      </c>
      <c r="N20" s="699" t="str">
        <f t="shared" si="2"/>
        <v/>
      </c>
      <c r="O20" s="699">
        <f t="shared" si="2"/>
        <v>1</v>
      </c>
    </row>
    <row r="21" spans="2:15">
      <c r="B21" s="693">
        <v>14</v>
      </c>
      <c r="C21" s="694" t="s">
        <v>231</v>
      </c>
      <c r="D21" s="695" t="s">
        <v>589</v>
      </c>
      <c r="E21" s="695" t="s">
        <v>268</v>
      </c>
      <c r="F21" s="695" t="s">
        <v>658</v>
      </c>
      <c r="G21" s="695" t="s">
        <v>589</v>
      </c>
      <c r="H21" s="696" t="s">
        <v>659</v>
      </c>
      <c r="I21" s="695" t="s">
        <v>658</v>
      </c>
      <c r="J21" s="695" t="str">
        <f t="shared" si="3"/>
        <v>Faible</v>
      </c>
      <c r="K21" s="695" t="str">
        <f t="shared" si="0"/>
        <v/>
      </c>
      <c r="L21" s="695" t="str">
        <f t="shared" si="1"/>
        <v/>
      </c>
      <c r="M21" s="695">
        <f t="shared" si="4"/>
        <v>1</v>
      </c>
      <c r="N21" s="695" t="str">
        <f t="shared" si="2"/>
        <v/>
      </c>
      <c r="O21" s="695" t="str">
        <f t="shared" si="2"/>
        <v/>
      </c>
    </row>
    <row r="22" spans="2:15">
      <c r="B22" s="697">
        <v>15</v>
      </c>
      <c r="C22" s="698" t="s">
        <v>235</v>
      </c>
      <c r="D22" s="699" t="s">
        <v>589</v>
      </c>
      <c r="E22" s="699" t="s">
        <v>589</v>
      </c>
      <c r="F22" s="699" t="s">
        <v>658</v>
      </c>
      <c r="G22" s="699" t="s">
        <v>268</v>
      </c>
      <c r="H22" s="700"/>
      <c r="I22" s="699"/>
      <c r="J22" s="699" t="str">
        <f t="shared" si="3"/>
        <v/>
      </c>
      <c r="K22" s="699" t="str">
        <f t="shared" si="0"/>
        <v>Moyen</v>
      </c>
      <c r="L22" s="699" t="str">
        <f t="shared" si="1"/>
        <v/>
      </c>
      <c r="M22" s="699" t="str">
        <f t="shared" si="4"/>
        <v/>
      </c>
      <c r="N22" s="699">
        <f t="shared" si="2"/>
        <v>1</v>
      </c>
      <c r="O22" s="699" t="str">
        <f t="shared" si="2"/>
        <v/>
      </c>
    </row>
    <row r="23" spans="2:15">
      <c r="B23" s="693">
        <v>16</v>
      </c>
      <c r="C23" s="694" t="s">
        <v>239</v>
      </c>
      <c r="D23" s="695" t="s">
        <v>589</v>
      </c>
      <c r="E23" s="695" t="s">
        <v>589</v>
      </c>
      <c r="F23" s="695" t="s">
        <v>658</v>
      </c>
      <c r="G23" s="695" t="s">
        <v>589</v>
      </c>
      <c r="H23" s="696" t="s">
        <v>659</v>
      </c>
      <c r="I23" s="695" t="s">
        <v>658</v>
      </c>
      <c r="J23" s="695" t="str">
        <f t="shared" si="3"/>
        <v/>
      </c>
      <c r="K23" s="695" t="str">
        <f t="shared" si="0"/>
        <v/>
      </c>
      <c r="L23" s="695" t="str">
        <f t="shared" si="1"/>
        <v>Elevé</v>
      </c>
      <c r="M23" s="695" t="str">
        <f t="shared" si="4"/>
        <v/>
      </c>
      <c r="N23" s="695" t="str">
        <f t="shared" si="2"/>
        <v/>
      </c>
      <c r="O23" s="695">
        <f t="shared" si="2"/>
        <v>1</v>
      </c>
    </row>
    <row r="24" spans="2:15">
      <c r="B24" s="697">
        <v>17</v>
      </c>
      <c r="C24" s="698" t="s">
        <v>242</v>
      </c>
      <c r="D24" s="699" t="s">
        <v>589</v>
      </c>
      <c r="E24" s="699" t="s">
        <v>589</v>
      </c>
      <c r="F24" s="699" t="s">
        <v>658</v>
      </c>
      <c r="G24" s="699" t="s">
        <v>589</v>
      </c>
      <c r="H24" s="700" t="s">
        <v>659</v>
      </c>
      <c r="I24" s="699" t="s">
        <v>658</v>
      </c>
      <c r="J24" s="699" t="str">
        <f t="shared" si="3"/>
        <v/>
      </c>
      <c r="K24" s="699" t="str">
        <f t="shared" si="0"/>
        <v/>
      </c>
      <c r="L24" s="699" t="str">
        <f t="shared" si="1"/>
        <v>Elevé</v>
      </c>
      <c r="M24" s="699" t="str">
        <f t="shared" si="4"/>
        <v/>
      </c>
      <c r="N24" s="699" t="str">
        <f t="shared" si="4"/>
        <v/>
      </c>
      <c r="O24" s="699">
        <f t="shared" si="4"/>
        <v>1</v>
      </c>
    </row>
    <row r="25" spans="2:15">
      <c r="B25" s="693">
        <v>18</v>
      </c>
      <c r="C25" s="694" t="s">
        <v>246</v>
      </c>
      <c r="D25" s="695" t="s">
        <v>589</v>
      </c>
      <c r="E25" s="695" t="s">
        <v>589</v>
      </c>
      <c r="F25" s="695"/>
      <c r="G25" s="695" t="s">
        <v>589</v>
      </c>
      <c r="H25" s="696" t="s">
        <v>659</v>
      </c>
      <c r="I25" s="695" t="s">
        <v>658</v>
      </c>
      <c r="J25" s="695" t="str">
        <f t="shared" si="3"/>
        <v/>
      </c>
      <c r="K25" s="695" t="str">
        <f t="shared" si="0"/>
        <v/>
      </c>
      <c r="L25" s="695" t="str">
        <f t="shared" si="1"/>
        <v>Elevé</v>
      </c>
      <c r="M25" s="695" t="str">
        <f t="shared" si="4"/>
        <v/>
      </c>
      <c r="N25" s="695" t="str">
        <f t="shared" si="4"/>
        <v/>
      </c>
      <c r="O25" s="695">
        <f t="shared" si="4"/>
        <v>1</v>
      </c>
    </row>
    <row r="26" spans="2:15">
      <c r="B26" s="697">
        <v>19</v>
      </c>
      <c r="C26" s="698" t="s">
        <v>250</v>
      </c>
      <c r="D26" s="699" t="s">
        <v>268</v>
      </c>
      <c r="E26" s="699" t="s">
        <v>268</v>
      </c>
      <c r="F26" s="699"/>
      <c r="G26" s="699" t="s">
        <v>268</v>
      </c>
      <c r="H26" s="700"/>
      <c r="I26" s="699"/>
      <c r="J26" s="699" t="str">
        <f t="shared" si="3"/>
        <v>Faible</v>
      </c>
      <c r="K26" s="699" t="str">
        <f t="shared" si="0"/>
        <v/>
      </c>
      <c r="L26" s="699" t="str">
        <f t="shared" si="1"/>
        <v/>
      </c>
      <c r="M26" s="699">
        <f t="shared" si="4"/>
        <v>1</v>
      </c>
      <c r="N26" s="699" t="str">
        <f t="shared" si="4"/>
        <v/>
      </c>
      <c r="O26" s="699" t="str">
        <f t="shared" si="4"/>
        <v/>
      </c>
    </row>
    <row r="27" spans="2:15">
      <c r="B27" s="693">
        <v>20</v>
      </c>
      <c r="C27" s="694" t="s">
        <v>252</v>
      </c>
      <c r="D27" s="695" t="s">
        <v>268</v>
      </c>
      <c r="E27" s="695" t="s">
        <v>268</v>
      </c>
      <c r="F27" s="695"/>
      <c r="G27" s="695" t="s">
        <v>268</v>
      </c>
      <c r="H27" s="696"/>
      <c r="I27" s="695"/>
      <c r="J27" s="695" t="str">
        <f t="shared" si="3"/>
        <v>Faible</v>
      </c>
      <c r="K27" s="695" t="str">
        <f t="shared" si="0"/>
        <v/>
      </c>
      <c r="L27" s="695" t="str">
        <f t="shared" si="1"/>
        <v/>
      </c>
      <c r="M27" s="695">
        <f t="shared" si="4"/>
        <v>1</v>
      </c>
      <c r="N27" s="695" t="str">
        <f t="shared" si="4"/>
        <v/>
      </c>
      <c r="O27" s="695" t="str">
        <f t="shared" si="4"/>
        <v/>
      </c>
    </row>
    <row r="28" spans="2:15">
      <c r="B28" s="697">
        <v>21</v>
      </c>
      <c r="C28" s="698" t="s">
        <v>256</v>
      </c>
      <c r="D28" s="699" t="s">
        <v>268</v>
      </c>
      <c r="E28" s="699" t="s">
        <v>268</v>
      </c>
      <c r="F28" s="699"/>
      <c r="G28" s="699" t="s">
        <v>268</v>
      </c>
      <c r="H28" s="700"/>
      <c r="I28" s="699"/>
      <c r="J28" s="699" t="str">
        <f t="shared" si="3"/>
        <v>Faible</v>
      </c>
      <c r="K28" s="699" t="str">
        <f t="shared" si="0"/>
        <v/>
      </c>
      <c r="L28" s="699" t="str">
        <f t="shared" si="1"/>
        <v/>
      </c>
      <c r="M28" s="699">
        <f t="shared" si="4"/>
        <v>1</v>
      </c>
      <c r="N28" s="699" t="str">
        <f t="shared" si="4"/>
        <v/>
      </c>
      <c r="O28" s="699" t="str">
        <f t="shared" si="4"/>
        <v/>
      </c>
    </row>
    <row r="29" spans="2:15" ht="12.5" thickBot="1">
      <c r="B29" s="693">
        <v>22</v>
      </c>
      <c r="C29" s="694" t="s">
        <v>260</v>
      </c>
      <c r="D29" s="695" t="s">
        <v>268</v>
      </c>
      <c r="E29" s="695" t="s">
        <v>268</v>
      </c>
      <c r="F29" s="695"/>
      <c r="G29" s="695" t="s">
        <v>589</v>
      </c>
      <c r="H29" s="696" t="s">
        <v>659</v>
      </c>
      <c r="I29" s="695" t="s">
        <v>658</v>
      </c>
      <c r="J29" s="695" t="str">
        <f t="shared" si="3"/>
        <v>Faible</v>
      </c>
      <c r="K29" s="695" t="str">
        <f t="shared" si="0"/>
        <v/>
      </c>
      <c r="L29" s="695" t="str">
        <f t="shared" si="1"/>
        <v/>
      </c>
      <c r="M29" s="695">
        <f t="shared" si="4"/>
        <v>1</v>
      </c>
      <c r="N29" s="695" t="str">
        <f t="shared" si="4"/>
        <v/>
      </c>
      <c r="O29" s="695" t="str">
        <f t="shared" si="4"/>
        <v/>
      </c>
    </row>
    <row r="30" spans="2:15">
      <c r="B30" s="723" t="s">
        <v>660</v>
      </c>
      <c r="C30" s="723"/>
      <c r="D30" s="723"/>
      <c r="E30" s="723"/>
      <c r="F30" s="723"/>
      <c r="G30" s="723"/>
      <c r="H30" s="723"/>
      <c r="I30" s="723"/>
      <c r="J30" s="723"/>
      <c r="K30" s="723"/>
      <c r="L30" s="723"/>
      <c r="M30" s="723"/>
      <c r="N30" s="723"/>
      <c r="O30" s="723"/>
    </row>
    <row r="31" spans="2:15">
      <c r="B31" s="697">
        <v>23</v>
      </c>
      <c r="C31" s="698" t="s">
        <v>153</v>
      </c>
      <c r="D31" s="699" t="s">
        <v>589</v>
      </c>
      <c r="E31" s="699" t="s">
        <v>268</v>
      </c>
      <c r="F31" s="699" t="s">
        <v>658</v>
      </c>
      <c r="G31" s="699" t="s">
        <v>268</v>
      </c>
      <c r="H31" s="700"/>
      <c r="I31" s="699"/>
      <c r="J31" s="699" t="str">
        <f>IF(E31="Non","Faible","")</f>
        <v>Faible</v>
      </c>
      <c r="K31" s="699" t="str">
        <f t="shared" si="0"/>
        <v/>
      </c>
      <c r="L31" s="699" t="str">
        <f t="shared" si="1"/>
        <v/>
      </c>
      <c r="M31" s="699">
        <f t="shared" si="4"/>
        <v>1</v>
      </c>
      <c r="N31" s="699" t="str">
        <f t="shared" si="4"/>
        <v/>
      </c>
      <c r="O31" s="699" t="str">
        <f t="shared" si="4"/>
        <v/>
      </c>
    </row>
    <row r="32" spans="2:15">
      <c r="B32" s="693">
        <v>24</v>
      </c>
      <c r="C32" s="694" t="s">
        <v>155</v>
      </c>
      <c r="D32" s="695" t="s">
        <v>589</v>
      </c>
      <c r="E32" s="695" t="s">
        <v>589</v>
      </c>
      <c r="F32" s="695" t="s">
        <v>658</v>
      </c>
      <c r="G32" s="695" t="s">
        <v>268</v>
      </c>
      <c r="H32" s="696"/>
      <c r="I32" s="695"/>
      <c r="J32" s="695" t="str">
        <f t="shared" ref="J32:J37" si="5">IF(E32="Non","Faible","")</f>
        <v/>
      </c>
      <c r="K32" s="695" t="str">
        <f t="shared" si="0"/>
        <v>Moyen</v>
      </c>
      <c r="L32" s="695" t="str">
        <f t="shared" si="1"/>
        <v/>
      </c>
      <c r="M32" s="695" t="str">
        <f t="shared" si="4"/>
        <v/>
      </c>
      <c r="N32" s="695">
        <f t="shared" si="4"/>
        <v>1</v>
      </c>
      <c r="O32" s="695" t="str">
        <f t="shared" si="4"/>
        <v/>
      </c>
    </row>
    <row r="33" spans="2:15">
      <c r="B33" s="697">
        <v>25</v>
      </c>
      <c r="C33" s="698" t="s">
        <v>159</v>
      </c>
      <c r="D33" s="699" t="s">
        <v>589</v>
      </c>
      <c r="E33" s="699" t="s">
        <v>589</v>
      </c>
      <c r="F33" s="699" t="s">
        <v>658</v>
      </c>
      <c r="G33" s="699" t="s">
        <v>589</v>
      </c>
      <c r="H33" s="700" t="s">
        <v>659</v>
      </c>
      <c r="I33" s="699" t="s">
        <v>658</v>
      </c>
      <c r="J33" s="699" t="str">
        <f t="shared" si="5"/>
        <v/>
      </c>
      <c r="K33" s="699" t="str">
        <f t="shared" si="0"/>
        <v/>
      </c>
      <c r="L33" s="699" t="str">
        <f t="shared" si="1"/>
        <v>Elevé</v>
      </c>
      <c r="M33" s="699" t="str">
        <f t="shared" si="4"/>
        <v/>
      </c>
      <c r="N33" s="699" t="str">
        <f t="shared" si="4"/>
        <v/>
      </c>
      <c r="O33" s="699">
        <f t="shared" si="4"/>
        <v>1</v>
      </c>
    </row>
    <row r="34" spans="2:15">
      <c r="B34" s="693">
        <v>26</v>
      </c>
      <c r="C34" s="694" t="s">
        <v>164</v>
      </c>
      <c r="D34" s="695" t="s">
        <v>268</v>
      </c>
      <c r="E34" s="695" t="s">
        <v>268</v>
      </c>
      <c r="F34" s="695" t="s">
        <v>658</v>
      </c>
      <c r="G34" s="695" t="s">
        <v>268</v>
      </c>
      <c r="H34" s="696"/>
      <c r="I34" s="695"/>
      <c r="J34" s="695" t="str">
        <f t="shared" si="5"/>
        <v>Faible</v>
      </c>
      <c r="K34" s="695" t="str">
        <f t="shared" si="0"/>
        <v/>
      </c>
      <c r="L34" s="695" t="str">
        <f t="shared" si="1"/>
        <v/>
      </c>
      <c r="M34" s="695">
        <f t="shared" si="4"/>
        <v>1</v>
      </c>
      <c r="N34" s="695" t="str">
        <f t="shared" si="4"/>
        <v/>
      </c>
      <c r="O34" s="695" t="str">
        <f t="shared" si="4"/>
        <v/>
      </c>
    </row>
    <row r="35" spans="2:15">
      <c r="B35" s="697">
        <v>27</v>
      </c>
      <c r="C35" s="698" t="s">
        <v>587</v>
      </c>
      <c r="D35" s="699" t="s">
        <v>589</v>
      </c>
      <c r="E35" s="699" t="s">
        <v>589</v>
      </c>
      <c r="F35" s="699" t="s">
        <v>658</v>
      </c>
      <c r="G35" s="699" t="s">
        <v>589</v>
      </c>
      <c r="H35" s="700" t="s">
        <v>659</v>
      </c>
      <c r="I35" s="699" t="s">
        <v>658</v>
      </c>
      <c r="J35" s="699" t="str">
        <f t="shared" si="5"/>
        <v/>
      </c>
      <c r="K35" s="699" t="str">
        <f t="shared" si="0"/>
        <v/>
      </c>
      <c r="L35" s="699" t="str">
        <f t="shared" si="1"/>
        <v>Elevé</v>
      </c>
      <c r="M35" s="699" t="str">
        <f t="shared" si="4"/>
        <v/>
      </c>
      <c r="N35" s="699" t="str">
        <f t="shared" si="4"/>
        <v/>
      </c>
      <c r="O35" s="699">
        <f t="shared" si="4"/>
        <v>1</v>
      </c>
    </row>
    <row r="36" spans="2:15">
      <c r="B36" s="693">
        <v>28</v>
      </c>
      <c r="C36" s="694" t="s">
        <v>173</v>
      </c>
      <c r="D36" s="695" t="s">
        <v>589</v>
      </c>
      <c r="E36" s="695" t="s">
        <v>589</v>
      </c>
      <c r="F36" s="695" t="s">
        <v>658</v>
      </c>
      <c r="G36" s="695" t="s">
        <v>589</v>
      </c>
      <c r="H36" s="696" t="s">
        <v>659</v>
      </c>
      <c r="I36" s="695" t="s">
        <v>658</v>
      </c>
      <c r="J36" s="695" t="str">
        <f t="shared" si="5"/>
        <v/>
      </c>
      <c r="K36" s="695" t="str">
        <f t="shared" si="0"/>
        <v/>
      </c>
      <c r="L36" s="695" t="str">
        <f t="shared" si="1"/>
        <v>Elevé</v>
      </c>
      <c r="M36" s="695" t="str">
        <f t="shared" si="4"/>
        <v/>
      </c>
      <c r="N36" s="695" t="str">
        <f t="shared" si="4"/>
        <v/>
      </c>
      <c r="O36" s="695">
        <f t="shared" si="4"/>
        <v>1</v>
      </c>
    </row>
    <row r="37" spans="2:15">
      <c r="B37" s="701">
        <v>29</v>
      </c>
      <c r="C37" s="702" t="s">
        <v>591</v>
      </c>
      <c r="D37" s="703" t="s">
        <v>589</v>
      </c>
      <c r="E37" s="703" t="s">
        <v>589</v>
      </c>
      <c r="F37" s="703" t="s">
        <v>658</v>
      </c>
      <c r="G37" s="703" t="s">
        <v>268</v>
      </c>
      <c r="H37" s="704"/>
      <c r="I37" s="703"/>
      <c r="J37" s="703" t="str">
        <f t="shared" si="5"/>
        <v/>
      </c>
      <c r="K37" s="703" t="str">
        <f t="shared" si="0"/>
        <v>Moyen</v>
      </c>
      <c r="L37" s="703" t="str">
        <f t="shared" si="1"/>
        <v/>
      </c>
      <c r="M37" s="703" t="str">
        <f t="shared" si="4"/>
        <v/>
      </c>
      <c r="N37" s="703">
        <f t="shared" si="4"/>
        <v>1</v>
      </c>
      <c r="O37" s="703" t="str">
        <f t="shared" si="4"/>
        <v/>
      </c>
    </row>
    <row r="38" spans="2:15">
      <c r="B38" s="705"/>
      <c r="C38" s="706"/>
      <c r="D38" s="706"/>
      <c r="E38" s="706"/>
      <c r="F38" s="706"/>
      <c r="G38" s="706"/>
      <c r="H38" s="706"/>
      <c r="I38" s="706"/>
      <c r="J38" s="706"/>
      <c r="K38" s="706"/>
      <c r="L38" s="706"/>
      <c r="M38" s="707">
        <f t="shared" ref="M38:O38" si="6">SUM(M8:M37)</f>
        <v>10</v>
      </c>
      <c r="N38" s="707">
        <f t="shared" si="6"/>
        <v>3</v>
      </c>
      <c r="O38" s="707">
        <f t="shared" si="6"/>
        <v>16</v>
      </c>
    </row>
    <row r="39" spans="2:15">
      <c r="C39" s="225" t="s">
        <v>661</v>
      </c>
      <c r="D39" s="226" t="s">
        <v>662</v>
      </c>
    </row>
  </sheetData>
  <mergeCells count="7">
    <mergeCell ref="M5:O5"/>
    <mergeCell ref="B7:O7"/>
    <mergeCell ref="B30:O30"/>
    <mergeCell ref="A1:C1"/>
    <mergeCell ref="D5:F5"/>
    <mergeCell ref="G5:I5"/>
    <mergeCell ref="J5:L5"/>
  </mergeCells>
  <hyperlinks>
    <hyperlink ref="A1:C1" location="Sommaire!A1" display="Sommaire!A1" xr:uid="{00000000-0004-0000-0400-000000000000}"/>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6"/>
  <dimension ref="A1:N437"/>
  <sheetViews>
    <sheetView workbookViewId="0">
      <selection sqref="A1:C1"/>
    </sheetView>
  </sheetViews>
  <sheetFormatPr baseColWidth="10" defaultColWidth="11" defaultRowHeight="12"/>
  <cols>
    <col min="1" max="1" width="4.6640625" style="215" customWidth="1"/>
    <col min="2" max="2" width="27" style="215" bestFit="1" customWidth="1"/>
    <col min="3" max="3" width="40.6640625" style="215" customWidth="1"/>
    <col min="4" max="7" width="12.1640625" style="215" customWidth="1"/>
    <col min="8" max="8" width="16.6640625" style="215" bestFit="1" customWidth="1"/>
    <col min="9" max="9" width="16.1640625" style="215" bestFit="1" customWidth="1"/>
    <col min="10" max="10" width="19.33203125" style="215" bestFit="1" customWidth="1"/>
    <col min="11" max="11" width="14.33203125" style="215" bestFit="1" customWidth="1"/>
    <col min="12" max="13" width="11" style="215"/>
    <col min="14" max="14" width="11" style="215" bestFit="1" customWidth="1"/>
    <col min="15" max="16384" width="11" style="215"/>
  </cols>
  <sheetData>
    <row r="1" spans="1:11" ht="14.5">
      <c r="A1" s="709" t="s">
        <v>140</v>
      </c>
      <c r="B1" s="709"/>
      <c r="C1" s="709"/>
    </row>
    <row r="2" spans="1:11" s="272" customFormat="1" ht="20.5">
      <c r="A2" s="216" t="s">
        <v>663</v>
      </c>
    </row>
    <row r="4" spans="1:11" s="217" customFormat="1" ht="19">
      <c r="A4" s="217" t="s">
        <v>664</v>
      </c>
    </row>
    <row r="6" spans="1:11" s="203" customFormat="1"/>
    <row r="7" spans="1:11" s="220" customFormat="1">
      <c r="B7" s="198"/>
      <c r="C7" s="198"/>
      <c r="D7" s="724" t="s">
        <v>665</v>
      </c>
      <c r="E7" s="724"/>
      <c r="F7" s="736" t="s">
        <v>666</v>
      </c>
      <c r="G7" s="737"/>
      <c r="H7" s="738" t="s">
        <v>667</v>
      </c>
      <c r="I7" s="738"/>
      <c r="J7" s="738" t="s">
        <v>668</v>
      </c>
      <c r="K7" s="738"/>
    </row>
    <row r="8" spans="1:11" ht="12.5" thickBot="1">
      <c r="A8" s="344" t="s">
        <v>143</v>
      </c>
      <c r="B8" s="290" t="s">
        <v>144</v>
      </c>
      <c r="C8" s="290" t="s">
        <v>669</v>
      </c>
      <c r="D8" s="291" t="s">
        <v>670</v>
      </c>
      <c r="E8" s="291" t="s">
        <v>671</v>
      </c>
      <c r="F8" s="291" t="s">
        <v>670</v>
      </c>
      <c r="G8" s="291" t="s">
        <v>671</v>
      </c>
      <c r="H8" s="345" t="s">
        <v>670</v>
      </c>
      <c r="I8" s="345" t="s">
        <v>671</v>
      </c>
      <c r="J8" s="345" t="s">
        <v>670</v>
      </c>
      <c r="K8" s="346" t="s">
        <v>671</v>
      </c>
    </row>
    <row r="9" spans="1:11">
      <c r="A9" s="730">
        <v>1</v>
      </c>
      <c r="B9" s="730" t="s">
        <v>184</v>
      </c>
      <c r="C9" s="301" t="s">
        <v>672</v>
      </c>
      <c r="D9" s="367">
        <v>0</v>
      </c>
      <c r="E9" s="367">
        <v>0</v>
      </c>
      <c r="F9" s="367">
        <v>0</v>
      </c>
      <c r="G9" s="367">
        <v>0</v>
      </c>
      <c r="H9" s="367">
        <v>0</v>
      </c>
      <c r="I9" s="367">
        <v>0</v>
      </c>
      <c r="J9" s="367">
        <v>0</v>
      </c>
      <c r="K9" s="370">
        <v>0</v>
      </c>
    </row>
    <row r="10" spans="1:11">
      <c r="A10" s="731"/>
      <c r="B10" s="731"/>
      <c r="C10" s="299" t="s">
        <v>673</v>
      </c>
      <c r="D10" s="367">
        <v>0</v>
      </c>
      <c r="E10" s="367">
        <v>0</v>
      </c>
      <c r="F10" s="367">
        <v>0</v>
      </c>
      <c r="G10" s="367">
        <v>0</v>
      </c>
      <c r="H10" s="367">
        <v>0</v>
      </c>
      <c r="I10" s="367">
        <v>0</v>
      </c>
      <c r="J10" s="367">
        <v>0</v>
      </c>
      <c r="K10" s="370">
        <v>0</v>
      </c>
    </row>
    <row r="11" spans="1:11">
      <c r="A11" s="731"/>
      <c r="B11" s="731"/>
      <c r="C11" s="299" t="s">
        <v>674</v>
      </c>
      <c r="D11" s="367">
        <v>0</v>
      </c>
      <c r="E11" s="367">
        <v>0</v>
      </c>
      <c r="F11" s="367">
        <v>0</v>
      </c>
      <c r="G11" s="367">
        <v>0</v>
      </c>
      <c r="H11" s="367">
        <v>0</v>
      </c>
      <c r="I11" s="367">
        <v>0</v>
      </c>
      <c r="J11" s="367">
        <v>0</v>
      </c>
      <c r="K11" s="370">
        <v>0</v>
      </c>
    </row>
    <row r="12" spans="1:11" ht="12.5" thickBot="1">
      <c r="A12" s="731"/>
      <c r="B12" s="731"/>
      <c r="C12" s="300" t="s">
        <v>675</v>
      </c>
      <c r="D12" s="371">
        <v>0</v>
      </c>
      <c r="E12" s="371">
        <v>0</v>
      </c>
      <c r="F12" s="371">
        <v>0</v>
      </c>
      <c r="G12" s="371">
        <v>0</v>
      </c>
      <c r="H12" s="371">
        <v>0</v>
      </c>
      <c r="I12" s="371">
        <v>0</v>
      </c>
      <c r="J12" s="371">
        <v>0</v>
      </c>
      <c r="K12" s="372">
        <v>0</v>
      </c>
    </row>
    <row r="13" spans="1:11" s="214" customFormat="1" ht="13" thickTop="1" thickBot="1">
      <c r="A13" s="731"/>
      <c r="B13" s="731"/>
      <c r="C13" s="297" t="s">
        <v>582</v>
      </c>
      <c r="D13" s="373">
        <f>SUM(D9:D12)</f>
        <v>0</v>
      </c>
      <c r="E13" s="373">
        <f t="shared" ref="E13:G13" si="0">SUM(E9:E12)</f>
        <v>0</v>
      </c>
      <c r="F13" s="373">
        <f t="shared" si="0"/>
        <v>0</v>
      </c>
      <c r="G13" s="373">
        <f t="shared" si="0"/>
        <v>0</v>
      </c>
      <c r="H13" s="373">
        <f>SUM(H9:H12)</f>
        <v>0</v>
      </c>
      <c r="I13" s="373">
        <f>SUM(I9:I12)</f>
        <v>0</v>
      </c>
      <c r="J13" s="373">
        <f t="shared" ref="J13:K13" si="1">SUM(J9:J12)</f>
        <v>0</v>
      </c>
      <c r="K13" s="374">
        <f t="shared" si="1"/>
        <v>0</v>
      </c>
    </row>
    <row r="14" spans="1:11" ht="12.5" thickTop="1">
      <c r="A14" s="731"/>
      <c r="B14" s="731"/>
      <c r="C14" s="308" t="s">
        <v>676</v>
      </c>
      <c r="D14" s="375">
        <v>0</v>
      </c>
      <c r="E14" s="375">
        <v>0</v>
      </c>
      <c r="F14" s="375">
        <v>0</v>
      </c>
      <c r="G14" s="375">
        <v>0</v>
      </c>
      <c r="H14" s="375">
        <v>0</v>
      </c>
      <c r="I14" s="375">
        <v>0</v>
      </c>
      <c r="J14" s="375">
        <v>0</v>
      </c>
      <c r="K14" s="376">
        <v>0</v>
      </c>
    </row>
    <row r="15" spans="1:11">
      <c r="A15" s="732"/>
      <c r="B15" s="732"/>
      <c r="C15" s="302" t="s">
        <v>677</v>
      </c>
      <c r="D15" s="367">
        <v>0</v>
      </c>
      <c r="E15" s="367">
        <v>0</v>
      </c>
      <c r="F15" s="367">
        <v>0</v>
      </c>
      <c r="G15" s="367">
        <v>0</v>
      </c>
      <c r="H15" s="367">
        <v>0</v>
      </c>
      <c r="I15" s="367">
        <v>0</v>
      </c>
      <c r="J15" s="367">
        <v>0</v>
      </c>
      <c r="K15" s="370">
        <v>0</v>
      </c>
    </row>
    <row r="16" spans="1:11">
      <c r="A16" s="733">
        <v>2</v>
      </c>
      <c r="B16" s="733" t="s">
        <v>594</v>
      </c>
      <c r="C16" s="295" t="s">
        <v>672</v>
      </c>
      <c r="D16" s="357">
        <v>13</v>
      </c>
      <c r="E16" s="357">
        <v>1</v>
      </c>
      <c r="F16" s="364">
        <v>11</v>
      </c>
      <c r="G16" s="357">
        <v>2</v>
      </c>
      <c r="H16" s="357">
        <v>958312241</v>
      </c>
      <c r="I16" s="357">
        <v>50466556</v>
      </c>
      <c r="J16" s="357">
        <v>328848610</v>
      </c>
      <c r="K16" s="377">
        <v>78372457</v>
      </c>
    </row>
    <row r="17" spans="1:11">
      <c r="A17" s="734"/>
      <c r="B17" s="734"/>
      <c r="C17" s="295" t="s">
        <v>673</v>
      </c>
      <c r="D17" s="357">
        <v>47</v>
      </c>
      <c r="E17" s="364">
        <v>11</v>
      </c>
      <c r="F17" s="364">
        <v>8</v>
      </c>
      <c r="G17" s="357">
        <v>4</v>
      </c>
      <c r="H17" s="357">
        <v>1502904277</v>
      </c>
      <c r="I17" s="357">
        <v>351440110</v>
      </c>
      <c r="J17" s="357">
        <v>113315324</v>
      </c>
      <c r="K17" s="377">
        <v>74467285</v>
      </c>
    </row>
    <row r="18" spans="1:11">
      <c r="A18" s="734"/>
      <c r="B18" s="734"/>
      <c r="C18" s="295" t="s">
        <v>674</v>
      </c>
      <c r="D18" s="357">
        <v>174</v>
      </c>
      <c r="E18" s="364">
        <v>15</v>
      </c>
      <c r="F18" s="357">
        <v>0</v>
      </c>
      <c r="G18" s="357">
        <v>0</v>
      </c>
      <c r="H18" s="357">
        <v>2847052237</v>
      </c>
      <c r="I18" s="357">
        <v>257054848</v>
      </c>
      <c r="J18" s="357">
        <v>0</v>
      </c>
      <c r="K18" s="377">
        <v>0</v>
      </c>
    </row>
    <row r="19" spans="1:11" ht="12.5" thickBot="1">
      <c r="A19" s="734"/>
      <c r="B19" s="734"/>
      <c r="C19" s="296" t="s">
        <v>675</v>
      </c>
      <c r="D19" s="359">
        <v>88</v>
      </c>
      <c r="E19" s="378">
        <v>4</v>
      </c>
      <c r="F19" s="359">
        <v>0</v>
      </c>
      <c r="G19" s="359">
        <v>0</v>
      </c>
      <c r="H19" s="359">
        <v>1225254281</v>
      </c>
      <c r="I19" s="359">
        <v>38778013</v>
      </c>
      <c r="J19" s="359">
        <v>0</v>
      </c>
      <c r="K19" s="379">
        <v>0</v>
      </c>
    </row>
    <row r="20" spans="1:11" s="214" customFormat="1" ht="13" thickTop="1" thickBot="1">
      <c r="A20" s="734"/>
      <c r="B20" s="734"/>
      <c r="C20" s="297" t="s">
        <v>582</v>
      </c>
      <c r="D20" s="373">
        <v>322</v>
      </c>
      <c r="E20" s="373">
        <v>31</v>
      </c>
      <c r="F20" s="373">
        <v>19</v>
      </c>
      <c r="G20" s="373">
        <v>6</v>
      </c>
      <c r="H20" s="373">
        <v>6533523036</v>
      </c>
      <c r="I20" s="373">
        <v>697739527</v>
      </c>
      <c r="J20" s="373">
        <v>442163934</v>
      </c>
      <c r="K20" s="374">
        <v>152839742</v>
      </c>
    </row>
    <row r="21" spans="1:11" ht="12.5" thickTop="1">
      <c r="A21" s="734"/>
      <c r="B21" s="734"/>
      <c r="C21" s="303" t="s">
        <v>676</v>
      </c>
      <c r="D21" s="380">
        <v>322</v>
      </c>
      <c r="E21" s="380">
        <v>31</v>
      </c>
      <c r="F21" s="380">
        <v>19</v>
      </c>
      <c r="G21" s="380">
        <v>6</v>
      </c>
      <c r="H21" s="380">
        <v>6533523036</v>
      </c>
      <c r="I21" s="380">
        <v>697739527</v>
      </c>
      <c r="J21" s="380">
        <v>442163934</v>
      </c>
      <c r="K21" s="381">
        <v>152839742</v>
      </c>
    </row>
    <row r="22" spans="1:11">
      <c r="A22" s="735"/>
      <c r="B22" s="735"/>
      <c r="C22" s="304" t="s">
        <v>677</v>
      </c>
      <c r="D22" s="357">
        <v>0</v>
      </c>
      <c r="E22" s="357">
        <v>0</v>
      </c>
      <c r="F22" s="357">
        <v>0</v>
      </c>
      <c r="G22" s="357">
        <v>0</v>
      </c>
      <c r="H22" s="357">
        <v>0</v>
      </c>
      <c r="I22" s="357">
        <v>0</v>
      </c>
      <c r="J22" s="357">
        <v>0</v>
      </c>
      <c r="K22" s="357">
        <v>0</v>
      </c>
    </row>
    <row r="23" spans="1:11">
      <c r="A23" s="730">
        <v>3</v>
      </c>
      <c r="B23" s="730" t="s">
        <v>678</v>
      </c>
      <c r="C23" s="299" t="s">
        <v>672</v>
      </c>
      <c r="D23" s="367">
        <v>68</v>
      </c>
      <c r="E23" s="367">
        <v>10</v>
      </c>
      <c r="F23" s="367">
        <v>0</v>
      </c>
      <c r="G23" s="367">
        <v>0</v>
      </c>
      <c r="H23" s="367">
        <v>2759463413</v>
      </c>
      <c r="I23" s="367" t="s">
        <v>679</v>
      </c>
      <c r="J23" s="367">
        <v>0</v>
      </c>
      <c r="K23" s="370">
        <v>0</v>
      </c>
    </row>
    <row r="24" spans="1:11">
      <c r="A24" s="731"/>
      <c r="B24" s="731"/>
      <c r="C24" s="299" t="s">
        <v>673</v>
      </c>
      <c r="D24" s="367">
        <v>113</v>
      </c>
      <c r="E24" s="367">
        <v>20</v>
      </c>
      <c r="F24" s="367"/>
      <c r="G24" s="367"/>
      <c r="H24" s="367">
        <v>2873255805</v>
      </c>
      <c r="I24" s="367" t="s">
        <v>680</v>
      </c>
      <c r="J24" s="367">
        <v>0</v>
      </c>
      <c r="K24" s="370">
        <v>0</v>
      </c>
    </row>
    <row r="25" spans="1:11">
      <c r="A25" s="731"/>
      <c r="B25" s="731"/>
      <c r="C25" s="299" t="s">
        <v>674</v>
      </c>
      <c r="D25" s="367">
        <v>461</v>
      </c>
      <c r="E25" s="367">
        <v>30</v>
      </c>
      <c r="F25" s="367"/>
      <c r="G25" s="367"/>
      <c r="H25" s="367">
        <v>10075436730</v>
      </c>
      <c r="I25" s="367" t="s">
        <v>681</v>
      </c>
      <c r="J25" s="367">
        <v>0</v>
      </c>
      <c r="K25" s="370">
        <v>0</v>
      </c>
    </row>
    <row r="26" spans="1:11" ht="12.5" thickBot="1">
      <c r="A26" s="731"/>
      <c r="B26" s="731"/>
      <c r="C26" s="300" t="s">
        <v>675</v>
      </c>
      <c r="D26" s="371">
        <v>428</v>
      </c>
      <c r="E26" s="371">
        <v>47</v>
      </c>
      <c r="F26" s="371"/>
      <c r="G26" s="371"/>
      <c r="H26" s="371">
        <v>5938350001</v>
      </c>
      <c r="I26" s="371">
        <v>358816774</v>
      </c>
      <c r="J26" s="371">
        <v>0</v>
      </c>
      <c r="K26" s="370">
        <v>0</v>
      </c>
    </row>
    <row r="27" spans="1:11" s="214" customFormat="1" ht="13" thickTop="1" thickBot="1">
      <c r="A27" s="731"/>
      <c r="B27" s="731"/>
      <c r="C27" s="297" t="s">
        <v>582</v>
      </c>
      <c r="D27" s="373">
        <v>1070</v>
      </c>
      <c r="E27" s="373">
        <v>107</v>
      </c>
      <c r="F27" s="373">
        <v>0</v>
      </c>
      <c r="G27" s="373">
        <v>0</v>
      </c>
      <c r="H27" s="373">
        <v>21646505949</v>
      </c>
      <c r="I27" s="373" t="s">
        <v>682</v>
      </c>
      <c r="J27" s="373">
        <v>0</v>
      </c>
      <c r="K27" s="374">
        <v>0</v>
      </c>
    </row>
    <row r="28" spans="1:11" ht="12.5" thickTop="1">
      <c r="A28" s="731"/>
      <c r="B28" s="731"/>
      <c r="C28" s="308" t="s">
        <v>676</v>
      </c>
      <c r="D28" s="375">
        <v>1070</v>
      </c>
      <c r="E28" s="375">
        <v>107</v>
      </c>
      <c r="F28" s="375"/>
      <c r="G28" s="375"/>
      <c r="H28" s="375">
        <v>21646505949</v>
      </c>
      <c r="I28" s="375">
        <v>1634544554</v>
      </c>
      <c r="J28" s="375">
        <v>0</v>
      </c>
      <c r="K28" s="376"/>
    </row>
    <row r="29" spans="1:11">
      <c r="A29" s="732"/>
      <c r="B29" s="732"/>
      <c r="C29" s="302" t="s">
        <v>677</v>
      </c>
      <c r="D29" s="367"/>
      <c r="E29" s="367"/>
      <c r="F29" s="367"/>
      <c r="G29" s="367"/>
      <c r="H29" s="367"/>
      <c r="I29" s="367"/>
      <c r="J29" s="367"/>
      <c r="K29" s="370"/>
    </row>
    <row r="30" spans="1:11">
      <c r="A30" s="733">
        <v>4</v>
      </c>
      <c r="B30" s="733" t="s">
        <v>683</v>
      </c>
      <c r="C30" s="295" t="s">
        <v>672</v>
      </c>
      <c r="D30" s="357">
        <v>132</v>
      </c>
      <c r="E30" s="357">
        <v>16</v>
      </c>
      <c r="F30" s="364">
        <v>19</v>
      </c>
      <c r="G30" s="357">
        <v>1</v>
      </c>
      <c r="H30" s="357">
        <v>4783703400</v>
      </c>
      <c r="I30" s="357">
        <v>182975615</v>
      </c>
      <c r="J30" s="357">
        <v>303378416</v>
      </c>
      <c r="K30" s="377">
        <v>18724687</v>
      </c>
    </row>
    <row r="31" spans="1:11">
      <c r="A31" s="734"/>
      <c r="B31" s="734"/>
      <c r="C31" s="295" t="s">
        <v>673</v>
      </c>
      <c r="D31" s="357">
        <v>312</v>
      </c>
      <c r="E31" s="364">
        <v>56</v>
      </c>
      <c r="F31" s="364">
        <v>0</v>
      </c>
      <c r="G31" s="357">
        <v>0</v>
      </c>
      <c r="H31" s="357">
        <v>1611942401</v>
      </c>
      <c r="I31" s="357">
        <v>284087703</v>
      </c>
      <c r="J31" s="357">
        <v>0</v>
      </c>
      <c r="K31" s="377">
        <v>0</v>
      </c>
    </row>
    <row r="32" spans="1:11">
      <c r="A32" s="734"/>
      <c r="B32" s="734"/>
      <c r="C32" s="295" t="s">
        <v>674</v>
      </c>
      <c r="D32" s="357">
        <v>625</v>
      </c>
      <c r="E32" s="364">
        <v>28</v>
      </c>
      <c r="F32" s="357">
        <v>0</v>
      </c>
      <c r="G32" s="357">
        <v>0</v>
      </c>
      <c r="H32" s="357">
        <v>1475669740</v>
      </c>
      <c r="I32" s="357">
        <v>88902004</v>
      </c>
      <c r="J32" s="357">
        <v>0</v>
      </c>
      <c r="K32" s="377">
        <v>0</v>
      </c>
    </row>
    <row r="33" spans="1:11" ht="12.5" thickBot="1">
      <c r="A33" s="734"/>
      <c r="B33" s="734"/>
      <c r="C33" s="296" t="s">
        <v>675</v>
      </c>
      <c r="D33" s="359">
        <v>19</v>
      </c>
      <c r="E33" s="378">
        <v>4</v>
      </c>
      <c r="F33" s="359">
        <v>0</v>
      </c>
      <c r="G33" s="359">
        <v>0</v>
      </c>
      <c r="H33" s="359">
        <v>35364954</v>
      </c>
      <c r="I33" s="359">
        <v>7557578</v>
      </c>
      <c r="J33" s="359">
        <v>0</v>
      </c>
      <c r="K33" s="379">
        <v>0</v>
      </c>
    </row>
    <row r="34" spans="1:11" s="214" customFormat="1" ht="13" thickTop="1" thickBot="1">
      <c r="A34" s="734"/>
      <c r="B34" s="734"/>
      <c r="C34" s="297" t="s">
        <v>582</v>
      </c>
      <c r="D34" s="373">
        <v>1088</v>
      </c>
      <c r="E34" s="373">
        <v>104</v>
      </c>
      <c r="F34" s="373">
        <v>19</v>
      </c>
      <c r="G34" s="373">
        <v>1</v>
      </c>
      <c r="H34" s="373">
        <v>7906680495</v>
      </c>
      <c r="I34" s="373">
        <v>563522900</v>
      </c>
      <c r="J34" s="373">
        <v>303378416</v>
      </c>
      <c r="K34" s="374">
        <v>18724687</v>
      </c>
    </row>
    <row r="35" spans="1:11" ht="12.5" thickTop="1">
      <c r="A35" s="734"/>
      <c r="B35" s="734"/>
      <c r="C35" s="303" t="s">
        <v>676</v>
      </c>
      <c r="D35" s="380">
        <v>0</v>
      </c>
      <c r="E35" s="380">
        <v>0</v>
      </c>
      <c r="F35" s="380">
        <v>0</v>
      </c>
      <c r="G35" s="380">
        <v>0</v>
      </c>
      <c r="H35" s="380">
        <v>0</v>
      </c>
      <c r="I35" s="380">
        <v>0</v>
      </c>
      <c r="J35" s="380">
        <v>0</v>
      </c>
      <c r="K35" s="381">
        <v>0</v>
      </c>
    </row>
    <row r="36" spans="1:11">
      <c r="A36" s="735"/>
      <c r="B36" s="735"/>
      <c r="C36" s="304" t="s">
        <v>677</v>
      </c>
      <c r="D36" s="357">
        <v>0</v>
      </c>
      <c r="E36" s="357">
        <v>0</v>
      </c>
      <c r="F36" s="357">
        <v>0</v>
      </c>
      <c r="G36" s="357">
        <v>0</v>
      </c>
      <c r="H36" s="357">
        <v>0</v>
      </c>
      <c r="I36" s="357">
        <v>0</v>
      </c>
      <c r="J36" s="357">
        <v>0</v>
      </c>
      <c r="K36" s="357">
        <v>0</v>
      </c>
    </row>
    <row r="37" spans="1:11">
      <c r="A37" s="730">
        <v>5</v>
      </c>
      <c r="B37" s="730" t="s">
        <v>684</v>
      </c>
      <c r="C37" s="299" t="s">
        <v>672</v>
      </c>
      <c r="D37" s="367">
        <v>32</v>
      </c>
      <c r="E37" s="367">
        <v>9</v>
      </c>
      <c r="F37" s="367">
        <v>53</v>
      </c>
      <c r="G37" s="367">
        <v>0</v>
      </c>
      <c r="H37" s="367">
        <v>1428303060</v>
      </c>
      <c r="I37" s="367">
        <v>363179027</v>
      </c>
      <c r="J37" s="367">
        <v>9763838395</v>
      </c>
      <c r="K37" s="370">
        <v>0</v>
      </c>
    </row>
    <row r="38" spans="1:11">
      <c r="A38" s="731"/>
      <c r="B38" s="731"/>
      <c r="C38" s="299" t="s">
        <v>673</v>
      </c>
      <c r="D38" s="367">
        <v>125</v>
      </c>
      <c r="E38" s="367">
        <v>34</v>
      </c>
      <c r="F38" s="367">
        <v>2</v>
      </c>
      <c r="G38" s="367">
        <v>0</v>
      </c>
      <c r="H38" s="367">
        <v>2761048137</v>
      </c>
      <c r="I38" s="367">
        <v>639255249</v>
      </c>
      <c r="J38" s="367">
        <v>39590830</v>
      </c>
      <c r="K38" s="370">
        <v>11929945</v>
      </c>
    </row>
    <row r="39" spans="1:11">
      <c r="A39" s="731"/>
      <c r="B39" s="731"/>
      <c r="C39" s="299" t="s">
        <v>674</v>
      </c>
      <c r="D39" s="367">
        <v>317</v>
      </c>
      <c r="E39" s="367">
        <v>39</v>
      </c>
      <c r="F39" s="367">
        <v>1</v>
      </c>
      <c r="G39" s="367">
        <v>1</v>
      </c>
      <c r="H39" s="367">
        <v>4283939147</v>
      </c>
      <c r="I39" s="367">
        <v>466743233</v>
      </c>
      <c r="J39" s="367">
        <v>16846675</v>
      </c>
      <c r="K39" s="370">
        <v>5090832</v>
      </c>
    </row>
    <row r="40" spans="1:11" ht="12.5" thickBot="1">
      <c r="A40" s="731"/>
      <c r="B40" s="731"/>
      <c r="C40" s="300" t="s">
        <v>675</v>
      </c>
      <c r="D40" s="371">
        <v>247</v>
      </c>
      <c r="E40" s="371">
        <v>27</v>
      </c>
      <c r="F40" s="371">
        <v>3</v>
      </c>
      <c r="G40" s="371">
        <v>4</v>
      </c>
      <c r="H40" s="371">
        <v>2351299615</v>
      </c>
      <c r="I40" s="371">
        <v>141381203</v>
      </c>
      <c r="J40" s="371">
        <v>3045972</v>
      </c>
      <c r="K40" s="372">
        <v>0</v>
      </c>
    </row>
    <row r="41" spans="1:11" s="214" customFormat="1" ht="13" thickTop="1" thickBot="1">
      <c r="A41" s="731"/>
      <c r="B41" s="731"/>
      <c r="C41" s="297" t="s">
        <v>582</v>
      </c>
      <c r="D41" s="373">
        <v>721</v>
      </c>
      <c r="E41" s="373">
        <v>109</v>
      </c>
      <c r="F41" s="373">
        <v>59</v>
      </c>
      <c r="G41" s="373">
        <v>5</v>
      </c>
      <c r="H41" s="373">
        <v>10824589959</v>
      </c>
      <c r="I41" s="373">
        <v>1610558712</v>
      </c>
      <c r="J41" s="373">
        <v>9823321872</v>
      </c>
      <c r="K41" s="374">
        <v>17020777</v>
      </c>
    </row>
    <row r="42" spans="1:11" ht="12.5" thickTop="1">
      <c r="A42" s="731"/>
      <c r="B42" s="731"/>
      <c r="C42" s="308" t="s">
        <v>676</v>
      </c>
      <c r="D42" s="375">
        <v>0</v>
      </c>
      <c r="E42" s="375">
        <v>0</v>
      </c>
      <c r="F42" s="375">
        <v>0</v>
      </c>
      <c r="G42" s="375">
        <v>0</v>
      </c>
      <c r="H42" s="375">
        <v>0</v>
      </c>
      <c r="I42" s="375">
        <v>0</v>
      </c>
      <c r="J42" s="375">
        <v>0</v>
      </c>
      <c r="K42" s="376">
        <v>9</v>
      </c>
    </row>
    <row r="43" spans="1:11">
      <c r="A43" s="732"/>
      <c r="B43" s="732"/>
      <c r="C43" s="302" t="s">
        <v>677</v>
      </c>
      <c r="D43" s="367">
        <v>0</v>
      </c>
      <c r="E43" s="367">
        <v>0</v>
      </c>
      <c r="F43" s="367">
        <v>0</v>
      </c>
      <c r="G43" s="367">
        <v>0</v>
      </c>
      <c r="H43" s="367">
        <v>0</v>
      </c>
      <c r="I43" s="367">
        <v>0</v>
      </c>
      <c r="J43" s="367">
        <v>0</v>
      </c>
      <c r="K43" s="370">
        <v>0</v>
      </c>
    </row>
    <row r="44" spans="1:11">
      <c r="A44" s="733">
        <v>6</v>
      </c>
      <c r="B44" s="733" t="s">
        <v>685</v>
      </c>
      <c r="C44" s="295" t="s">
        <v>672</v>
      </c>
      <c r="D44" s="357">
        <v>2</v>
      </c>
      <c r="E44" s="357">
        <v>1</v>
      </c>
      <c r="F44" s="364">
        <v>3</v>
      </c>
      <c r="G44" s="357">
        <v>0</v>
      </c>
      <c r="H44" s="357">
        <v>65455270</v>
      </c>
      <c r="I44" s="357">
        <v>19132146</v>
      </c>
      <c r="J44" s="357">
        <v>197466579</v>
      </c>
      <c r="K44" s="377">
        <v>0</v>
      </c>
    </row>
    <row r="45" spans="1:11">
      <c r="A45" s="734"/>
      <c r="B45" s="734"/>
      <c r="C45" s="295" t="s">
        <v>673</v>
      </c>
      <c r="D45" s="357">
        <v>5</v>
      </c>
      <c r="E45" s="364">
        <v>3</v>
      </c>
      <c r="F45" s="364">
        <v>1</v>
      </c>
      <c r="G45" s="357">
        <v>1</v>
      </c>
      <c r="H45" s="357">
        <v>81926783</v>
      </c>
      <c r="I45" s="357">
        <v>35454386</v>
      </c>
      <c r="J45" s="357">
        <v>7438265</v>
      </c>
      <c r="K45" s="377">
        <v>12789970</v>
      </c>
    </row>
    <row r="46" spans="1:11">
      <c r="A46" s="734"/>
      <c r="B46" s="734"/>
      <c r="C46" s="295" t="s">
        <v>674</v>
      </c>
      <c r="D46" s="357">
        <v>11</v>
      </c>
      <c r="E46" s="364">
        <v>1</v>
      </c>
      <c r="F46" s="357">
        <v>0</v>
      </c>
      <c r="G46" s="357">
        <v>0</v>
      </c>
      <c r="H46" s="357">
        <v>121972045</v>
      </c>
      <c r="I46" s="357">
        <v>6208783</v>
      </c>
      <c r="J46" s="357">
        <v>0</v>
      </c>
      <c r="K46" s="377">
        <v>0</v>
      </c>
    </row>
    <row r="47" spans="1:11" ht="12.5" thickBot="1">
      <c r="A47" s="734"/>
      <c r="B47" s="734"/>
      <c r="C47" s="296" t="s">
        <v>675</v>
      </c>
      <c r="D47" s="359">
        <v>48</v>
      </c>
      <c r="E47" s="378">
        <v>0</v>
      </c>
      <c r="F47" s="359">
        <v>0</v>
      </c>
      <c r="G47" s="359">
        <v>0</v>
      </c>
      <c r="H47" s="357">
        <v>232573651</v>
      </c>
      <c r="I47" s="357">
        <v>0</v>
      </c>
      <c r="J47" s="359">
        <v>0</v>
      </c>
      <c r="K47" s="379">
        <v>0</v>
      </c>
    </row>
    <row r="48" spans="1:11" s="214" customFormat="1" ht="13" thickTop="1" thickBot="1">
      <c r="A48" s="734"/>
      <c r="B48" s="734"/>
      <c r="C48" s="297" t="s">
        <v>582</v>
      </c>
      <c r="D48" s="373">
        <v>66</v>
      </c>
      <c r="E48" s="373">
        <v>5</v>
      </c>
      <c r="F48" s="373">
        <v>4</v>
      </c>
      <c r="G48" s="373">
        <v>1</v>
      </c>
      <c r="H48" s="373">
        <v>501927749</v>
      </c>
      <c r="I48" s="373">
        <v>60795315</v>
      </c>
      <c r="J48" s="373">
        <v>204904844</v>
      </c>
      <c r="K48" s="374">
        <v>12789970</v>
      </c>
    </row>
    <row r="49" spans="1:11" ht="12.5" thickTop="1">
      <c r="A49" s="734"/>
      <c r="B49" s="734"/>
      <c r="C49" s="303" t="s">
        <v>676</v>
      </c>
      <c r="D49" s="380">
        <v>66</v>
      </c>
      <c r="E49" s="380">
        <v>5</v>
      </c>
      <c r="F49" s="380">
        <v>4</v>
      </c>
      <c r="G49" s="380">
        <v>1</v>
      </c>
      <c r="H49" s="380"/>
      <c r="I49" s="380"/>
      <c r="J49" s="380"/>
      <c r="K49" s="381"/>
    </row>
    <row r="50" spans="1:11">
      <c r="A50" s="735"/>
      <c r="B50" s="735"/>
      <c r="C50" s="304" t="s">
        <v>677</v>
      </c>
      <c r="D50" s="357"/>
      <c r="E50" s="357"/>
      <c r="F50" s="357"/>
      <c r="G50" s="357"/>
      <c r="H50" s="357"/>
      <c r="I50" s="357"/>
      <c r="J50" s="357"/>
      <c r="K50" s="357"/>
    </row>
    <row r="51" spans="1:11">
      <c r="A51" s="730">
        <v>7</v>
      </c>
      <c r="B51" s="730" t="s">
        <v>686</v>
      </c>
      <c r="C51" s="299" t="s">
        <v>672</v>
      </c>
      <c r="D51" s="367">
        <v>7</v>
      </c>
      <c r="E51" s="367">
        <v>0</v>
      </c>
      <c r="F51" s="367">
        <v>14</v>
      </c>
      <c r="G51" s="367">
        <v>0</v>
      </c>
      <c r="H51" s="367">
        <v>654894354</v>
      </c>
      <c r="I51" s="367">
        <v>0</v>
      </c>
      <c r="J51" s="367">
        <v>888308607</v>
      </c>
      <c r="K51" s="370">
        <v>0</v>
      </c>
    </row>
    <row r="52" spans="1:11">
      <c r="A52" s="731"/>
      <c r="B52" s="731"/>
      <c r="C52" s="299" t="s">
        <v>673</v>
      </c>
      <c r="D52" s="367">
        <v>187</v>
      </c>
      <c r="E52" s="367">
        <v>25</v>
      </c>
      <c r="F52" s="367">
        <v>54</v>
      </c>
      <c r="G52" s="367">
        <v>0</v>
      </c>
      <c r="H52" s="367">
        <v>2956271118</v>
      </c>
      <c r="I52" s="367">
        <v>392693591</v>
      </c>
      <c r="J52" s="367">
        <v>1665753319</v>
      </c>
      <c r="K52" s="370">
        <v>0</v>
      </c>
    </row>
    <row r="53" spans="1:11">
      <c r="A53" s="731"/>
      <c r="B53" s="731"/>
      <c r="C53" s="299" t="s">
        <v>674</v>
      </c>
      <c r="D53" s="367">
        <v>465</v>
      </c>
      <c r="E53" s="367">
        <v>30</v>
      </c>
      <c r="F53" s="367">
        <v>2</v>
      </c>
      <c r="G53" s="367">
        <v>0</v>
      </c>
      <c r="H53" s="367">
        <v>6210960043</v>
      </c>
      <c r="I53" s="367">
        <v>232439970</v>
      </c>
      <c r="J53" s="367">
        <v>27586654</v>
      </c>
      <c r="K53" s="370">
        <v>0</v>
      </c>
    </row>
    <row r="54" spans="1:11" ht="12.5" thickBot="1">
      <c r="A54" s="731"/>
      <c r="B54" s="731"/>
      <c r="C54" s="300" t="s">
        <v>675</v>
      </c>
      <c r="D54" s="371">
        <v>622</v>
      </c>
      <c r="E54" s="371">
        <v>9</v>
      </c>
      <c r="F54" s="371">
        <v>0</v>
      </c>
      <c r="G54" s="371">
        <v>0</v>
      </c>
      <c r="H54" s="371">
        <v>6201682878</v>
      </c>
      <c r="I54" s="371">
        <v>51302306</v>
      </c>
      <c r="J54" s="371">
        <v>0</v>
      </c>
      <c r="K54" s="372">
        <v>0</v>
      </c>
    </row>
    <row r="55" spans="1:11" s="214" customFormat="1" ht="13" thickTop="1" thickBot="1">
      <c r="A55" s="731"/>
      <c r="B55" s="731"/>
      <c r="C55" s="297" t="s">
        <v>582</v>
      </c>
      <c r="D55" s="373">
        <v>1281</v>
      </c>
      <c r="E55" s="373">
        <v>64</v>
      </c>
      <c r="F55" s="373">
        <v>70</v>
      </c>
      <c r="G55" s="373">
        <v>0</v>
      </c>
      <c r="H55" s="373">
        <v>16023808393</v>
      </c>
      <c r="I55" s="373">
        <v>676435867</v>
      </c>
      <c r="J55" s="373">
        <v>2581648580</v>
      </c>
      <c r="K55" s="374">
        <v>0</v>
      </c>
    </row>
    <row r="56" spans="1:11" ht="12.5" thickTop="1">
      <c r="A56" s="731"/>
      <c r="B56" s="731"/>
      <c r="C56" s="308" t="s">
        <v>676</v>
      </c>
      <c r="D56" s="375">
        <v>1281</v>
      </c>
      <c r="E56" s="375">
        <v>64</v>
      </c>
      <c r="F56" s="375">
        <v>70</v>
      </c>
      <c r="G56" s="375">
        <v>0</v>
      </c>
      <c r="H56" s="375">
        <v>16023808393</v>
      </c>
      <c r="I56" s="375">
        <v>676435867</v>
      </c>
      <c r="J56" s="375">
        <v>2581648582</v>
      </c>
      <c r="K56" s="376">
        <v>0</v>
      </c>
    </row>
    <row r="57" spans="1:11">
      <c r="A57" s="732"/>
      <c r="B57" s="732"/>
      <c r="C57" s="302" t="s">
        <v>677</v>
      </c>
      <c r="D57" s="367">
        <v>0</v>
      </c>
      <c r="E57" s="367">
        <v>0</v>
      </c>
      <c r="F57" s="367"/>
      <c r="G57" s="367">
        <v>0</v>
      </c>
      <c r="H57" s="367">
        <v>0</v>
      </c>
      <c r="I57" s="367">
        <v>0</v>
      </c>
      <c r="J57" s="367">
        <v>0</v>
      </c>
      <c r="K57" s="370">
        <v>0</v>
      </c>
    </row>
    <row r="58" spans="1:11">
      <c r="A58" s="733">
        <v>8</v>
      </c>
      <c r="B58" s="733" t="s">
        <v>687</v>
      </c>
      <c r="C58" s="295" t="s">
        <v>672</v>
      </c>
      <c r="D58" s="357">
        <v>15</v>
      </c>
      <c r="E58" s="357">
        <v>2</v>
      </c>
      <c r="F58" s="364">
        <v>8</v>
      </c>
      <c r="G58" s="357">
        <v>4</v>
      </c>
      <c r="H58" s="357">
        <v>291029309</v>
      </c>
      <c r="I58" s="357">
        <v>101707802</v>
      </c>
      <c r="J58" s="357">
        <v>921308549</v>
      </c>
      <c r="K58" s="377">
        <v>0</v>
      </c>
    </row>
    <row r="59" spans="1:11">
      <c r="A59" s="734"/>
      <c r="B59" s="734"/>
      <c r="C59" s="295" t="s">
        <v>673</v>
      </c>
      <c r="D59" s="357">
        <v>77</v>
      </c>
      <c r="E59" s="364">
        <v>6</v>
      </c>
      <c r="F59" s="364">
        <v>3</v>
      </c>
      <c r="G59" s="357">
        <v>0</v>
      </c>
      <c r="H59" s="357">
        <v>2653265829</v>
      </c>
      <c r="I59" s="357">
        <v>171428539</v>
      </c>
      <c r="J59" s="357">
        <v>0</v>
      </c>
      <c r="K59" s="377">
        <v>0</v>
      </c>
    </row>
    <row r="60" spans="1:11">
      <c r="A60" s="734"/>
      <c r="B60" s="734"/>
      <c r="C60" s="295" t="s">
        <v>674</v>
      </c>
      <c r="D60" s="357">
        <v>200</v>
      </c>
      <c r="E60" s="364">
        <v>28</v>
      </c>
      <c r="F60" s="357">
        <v>0</v>
      </c>
      <c r="G60" s="357">
        <v>0</v>
      </c>
      <c r="H60" s="357">
        <v>0</v>
      </c>
      <c r="I60" s="357">
        <v>0</v>
      </c>
      <c r="J60" s="357">
        <v>0</v>
      </c>
      <c r="K60" s="377">
        <v>0</v>
      </c>
    </row>
    <row r="61" spans="1:11" ht="12.5" thickBot="1">
      <c r="A61" s="734"/>
      <c r="B61" s="734"/>
      <c r="C61" s="296" t="s">
        <v>675</v>
      </c>
      <c r="D61" s="359">
        <v>288</v>
      </c>
      <c r="E61" s="378">
        <v>3</v>
      </c>
      <c r="F61" s="359">
        <v>0</v>
      </c>
      <c r="G61" s="359">
        <v>0</v>
      </c>
      <c r="H61" s="359">
        <v>993507812</v>
      </c>
      <c r="I61" s="359">
        <v>22453972</v>
      </c>
      <c r="J61" s="359">
        <v>0</v>
      </c>
      <c r="K61" s="379">
        <v>0</v>
      </c>
    </row>
    <row r="62" spans="1:11" s="214" customFormat="1" ht="13" thickTop="1" thickBot="1">
      <c r="A62" s="734"/>
      <c r="B62" s="734"/>
      <c r="C62" s="297" t="s">
        <v>582</v>
      </c>
      <c r="D62" s="373">
        <v>580</v>
      </c>
      <c r="E62" s="373">
        <v>39</v>
      </c>
      <c r="F62" s="373">
        <v>11</v>
      </c>
      <c r="G62" s="373">
        <v>4</v>
      </c>
      <c r="H62" s="373">
        <v>3937802950</v>
      </c>
      <c r="I62" s="373">
        <v>295590313</v>
      </c>
      <c r="J62" s="373">
        <v>921308549</v>
      </c>
      <c r="K62" s="374">
        <v>0</v>
      </c>
    </row>
    <row r="63" spans="1:11" ht="12.5" thickTop="1">
      <c r="A63" s="734"/>
      <c r="B63" s="734"/>
      <c r="C63" s="303" t="s">
        <v>676</v>
      </c>
      <c r="D63" s="380">
        <v>0</v>
      </c>
      <c r="E63" s="380">
        <v>0</v>
      </c>
      <c r="F63" s="380">
        <v>0</v>
      </c>
      <c r="G63" s="380">
        <v>0</v>
      </c>
      <c r="H63" s="380">
        <v>0</v>
      </c>
      <c r="I63" s="380">
        <v>0</v>
      </c>
      <c r="J63" s="380">
        <v>0</v>
      </c>
      <c r="K63" s="381">
        <v>0</v>
      </c>
    </row>
    <row r="64" spans="1:11">
      <c r="A64" s="735"/>
      <c r="B64" s="735"/>
      <c r="C64" s="304" t="s">
        <v>677</v>
      </c>
      <c r="D64" s="357">
        <v>0</v>
      </c>
      <c r="E64" s="357">
        <v>0</v>
      </c>
      <c r="F64" s="357">
        <v>0</v>
      </c>
      <c r="G64" s="357">
        <v>0</v>
      </c>
      <c r="H64" s="357">
        <v>0</v>
      </c>
      <c r="I64" s="357">
        <v>0</v>
      </c>
      <c r="J64" s="357">
        <v>0</v>
      </c>
      <c r="K64" s="357">
        <v>0</v>
      </c>
    </row>
    <row r="65" spans="1:11">
      <c r="A65" s="730">
        <v>9</v>
      </c>
      <c r="B65" s="730" t="s">
        <v>688</v>
      </c>
      <c r="C65" s="299" t="s">
        <v>672</v>
      </c>
      <c r="D65" s="367">
        <v>39</v>
      </c>
      <c r="E65" s="367">
        <v>2</v>
      </c>
      <c r="F65" s="367">
        <v>39</v>
      </c>
      <c r="G65" s="367">
        <v>2</v>
      </c>
      <c r="H65" s="367">
        <v>1463000000</v>
      </c>
      <c r="I65" s="367">
        <v>68000000</v>
      </c>
      <c r="J65" s="367">
        <v>3162000000</v>
      </c>
      <c r="K65" s="370">
        <v>63000000</v>
      </c>
    </row>
    <row r="66" spans="1:11">
      <c r="A66" s="731"/>
      <c r="B66" s="731"/>
      <c r="C66" s="299" t="s">
        <v>673</v>
      </c>
      <c r="D66" s="367">
        <v>30</v>
      </c>
      <c r="E66" s="367">
        <v>4</v>
      </c>
      <c r="F66" s="367">
        <v>0</v>
      </c>
      <c r="G66" s="367">
        <v>0</v>
      </c>
      <c r="H66" s="367">
        <v>674496417</v>
      </c>
      <c r="I66" s="367">
        <v>71083424</v>
      </c>
      <c r="J66" s="367">
        <v>0</v>
      </c>
      <c r="K66" s="370">
        <v>0</v>
      </c>
    </row>
    <row r="67" spans="1:11">
      <c r="A67" s="731"/>
      <c r="B67" s="731"/>
      <c r="C67" s="299" t="s">
        <v>674</v>
      </c>
      <c r="D67" s="367">
        <v>97</v>
      </c>
      <c r="E67" s="367">
        <v>12</v>
      </c>
      <c r="F67" s="367">
        <v>0</v>
      </c>
      <c r="G67" s="367">
        <v>0</v>
      </c>
      <c r="H67" s="367">
        <v>945373773</v>
      </c>
      <c r="I67" s="367">
        <v>118198290</v>
      </c>
      <c r="J67" s="367">
        <v>0</v>
      </c>
      <c r="K67" s="370">
        <v>0</v>
      </c>
    </row>
    <row r="68" spans="1:11" ht="12.5" thickBot="1">
      <c r="A68" s="731"/>
      <c r="B68" s="731"/>
      <c r="C68" s="300" t="s">
        <v>675</v>
      </c>
      <c r="D68" s="371">
        <v>91</v>
      </c>
      <c r="E68" s="371">
        <v>9</v>
      </c>
      <c r="F68" s="371">
        <v>0</v>
      </c>
      <c r="G68" s="371">
        <v>0</v>
      </c>
      <c r="H68" s="371">
        <v>617011234</v>
      </c>
      <c r="I68" s="371">
        <v>58110765</v>
      </c>
      <c r="J68" s="371">
        <v>0</v>
      </c>
      <c r="K68" s="372">
        <v>0</v>
      </c>
    </row>
    <row r="69" spans="1:11" s="214" customFormat="1" ht="13" thickTop="1" thickBot="1">
      <c r="A69" s="731"/>
      <c r="B69" s="731"/>
      <c r="C69" s="297" t="s">
        <v>582</v>
      </c>
      <c r="D69" s="373">
        <v>257</v>
      </c>
      <c r="E69" s="373">
        <v>27</v>
      </c>
      <c r="F69" s="373">
        <v>39</v>
      </c>
      <c r="G69" s="373">
        <v>2</v>
      </c>
      <c r="H69" s="373">
        <v>3699881424</v>
      </c>
      <c r="I69" s="373">
        <v>315392479</v>
      </c>
      <c r="J69" s="373">
        <v>3162000000</v>
      </c>
      <c r="K69" s="374">
        <v>63000000</v>
      </c>
    </row>
    <row r="70" spans="1:11" ht="12.5" thickTop="1">
      <c r="A70" s="731"/>
      <c r="B70" s="731"/>
      <c r="C70" s="308" t="s">
        <v>676</v>
      </c>
      <c r="D70" s="375">
        <v>254</v>
      </c>
      <c r="E70" s="375">
        <v>26</v>
      </c>
      <c r="F70" s="375">
        <v>0</v>
      </c>
      <c r="G70" s="375">
        <v>0</v>
      </c>
      <c r="H70" s="375">
        <v>3699881424</v>
      </c>
      <c r="I70" s="375">
        <v>301392479</v>
      </c>
      <c r="J70" s="375">
        <v>3105000000</v>
      </c>
      <c r="K70" s="376">
        <v>63000000</v>
      </c>
    </row>
    <row r="71" spans="1:11">
      <c r="A71" s="732"/>
      <c r="B71" s="732"/>
      <c r="C71" s="302" t="s">
        <v>677</v>
      </c>
      <c r="D71" s="367">
        <v>3</v>
      </c>
      <c r="E71" s="367">
        <v>1</v>
      </c>
      <c r="F71" s="367">
        <v>0</v>
      </c>
      <c r="G71" s="367">
        <v>0</v>
      </c>
      <c r="H71" s="367">
        <v>57000000</v>
      </c>
      <c r="I71" s="367">
        <v>14000000</v>
      </c>
      <c r="J71" s="367">
        <v>0</v>
      </c>
      <c r="K71" s="370">
        <v>0</v>
      </c>
    </row>
    <row r="72" spans="1:11">
      <c r="A72" s="733">
        <v>10</v>
      </c>
      <c r="B72" s="733" t="s">
        <v>689</v>
      </c>
      <c r="C72" s="295" t="s">
        <v>672</v>
      </c>
      <c r="D72" s="357">
        <v>2</v>
      </c>
      <c r="E72" s="357">
        <v>0</v>
      </c>
      <c r="F72" s="364">
        <v>5</v>
      </c>
      <c r="G72" s="357">
        <v>1</v>
      </c>
      <c r="H72" s="357">
        <v>371290004</v>
      </c>
      <c r="I72" s="357">
        <v>0</v>
      </c>
      <c r="J72" s="357">
        <v>409597976</v>
      </c>
      <c r="K72" s="377">
        <v>58484412</v>
      </c>
    </row>
    <row r="73" spans="1:11">
      <c r="A73" s="734"/>
      <c r="B73" s="734"/>
      <c r="C73" s="295" t="s">
        <v>673</v>
      </c>
      <c r="D73" s="357">
        <v>7</v>
      </c>
      <c r="E73" s="364">
        <v>3</v>
      </c>
      <c r="F73" s="364">
        <v>0</v>
      </c>
      <c r="G73" s="357"/>
      <c r="H73" s="357">
        <v>156194069</v>
      </c>
      <c r="I73" s="357">
        <v>50074722</v>
      </c>
      <c r="J73" s="357">
        <v>0</v>
      </c>
      <c r="K73" s="377">
        <v>0</v>
      </c>
    </row>
    <row r="74" spans="1:11">
      <c r="A74" s="734"/>
      <c r="B74" s="734"/>
      <c r="C74" s="295" t="s">
        <v>674</v>
      </c>
      <c r="D74" s="357">
        <v>8</v>
      </c>
      <c r="E74" s="364">
        <v>3</v>
      </c>
      <c r="F74" s="357">
        <v>0</v>
      </c>
      <c r="G74" s="357">
        <v>0</v>
      </c>
      <c r="H74" s="357">
        <v>109729090</v>
      </c>
      <c r="I74" s="357">
        <v>34543411</v>
      </c>
      <c r="J74" s="357">
        <v>0</v>
      </c>
      <c r="K74" s="377">
        <v>0</v>
      </c>
    </row>
    <row r="75" spans="1:11" ht="12.5" thickBot="1">
      <c r="A75" s="734"/>
      <c r="B75" s="734"/>
      <c r="C75" s="296" t="s">
        <v>675</v>
      </c>
      <c r="D75" s="359">
        <v>144</v>
      </c>
      <c r="E75" s="378">
        <v>31</v>
      </c>
      <c r="F75" s="359">
        <v>0</v>
      </c>
      <c r="G75" s="359">
        <v>0</v>
      </c>
      <c r="H75" s="359">
        <v>935053534</v>
      </c>
      <c r="I75" s="359">
        <v>95388635</v>
      </c>
      <c r="J75" s="359">
        <v>0</v>
      </c>
      <c r="K75" s="379">
        <v>0</v>
      </c>
    </row>
    <row r="76" spans="1:11" s="214" customFormat="1" ht="13" thickTop="1" thickBot="1">
      <c r="A76" s="734"/>
      <c r="B76" s="734"/>
      <c r="C76" s="297" t="s">
        <v>582</v>
      </c>
      <c r="D76" s="373">
        <v>161</v>
      </c>
      <c r="E76" s="373">
        <v>37</v>
      </c>
      <c r="F76" s="373">
        <v>5</v>
      </c>
      <c r="G76" s="373">
        <v>1</v>
      </c>
      <c r="H76" s="373">
        <v>1572266697</v>
      </c>
      <c r="I76" s="373">
        <v>180006768</v>
      </c>
      <c r="J76" s="373">
        <v>409597976</v>
      </c>
      <c r="K76" s="374">
        <v>58484412</v>
      </c>
    </row>
    <row r="77" spans="1:11" ht="12.5" thickTop="1">
      <c r="A77" s="734"/>
      <c r="B77" s="734"/>
      <c r="C77" s="303" t="s">
        <v>676</v>
      </c>
      <c r="D77" s="380">
        <v>161</v>
      </c>
      <c r="E77" s="380">
        <v>37</v>
      </c>
      <c r="F77" s="380">
        <v>5</v>
      </c>
      <c r="G77" s="380">
        <v>1</v>
      </c>
      <c r="H77" s="380">
        <v>1572266697</v>
      </c>
      <c r="I77" s="380">
        <v>180006768</v>
      </c>
      <c r="J77" s="380">
        <v>409597976</v>
      </c>
      <c r="K77" s="381">
        <v>58484412</v>
      </c>
    </row>
    <row r="78" spans="1:11">
      <c r="A78" s="735"/>
      <c r="B78" s="735"/>
      <c r="C78" s="304" t="s">
        <v>677</v>
      </c>
      <c r="D78" s="357">
        <v>1133</v>
      </c>
      <c r="E78" s="357">
        <v>274</v>
      </c>
      <c r="F78" s="357">
        <v>0</v>
      </c>
      <c r="G78" s="357">
        <v>0</v>
      </c>
      <c r="H78" s="357">
        <v>110613793</v>
      </c>
      <c r="I78" s="357">
        <v>27813659</v>
      </c>
      <c r="J78" s="357">
        <v>0</v>
      </c>
      <c r="K78" s="357">
        <v>0</v>
      </c>
    </row>
    <row r="79" spans="1:11">
      <c r="A79" s="730">
        <v>11</v>
      </c>
      <c r="B79" s="730" t="s">
        <v>623</v>
      </c>
      <c r="C79" s="299" t="s">
        <v>672</v>
      </c>
      <c r="D79" s="367"/>
      <c r="E79" s="367"/>
      <c r="F79" s="367"/>
      <c r="G79" s="367"/>
      <c r="H79" s="367"/>
      <c r="I79" s="367"/>
      <c r="J79" s="367"/>
      <c r="K79" s="370"/>
    </row>
    <row r="80" spans="1:11">
      <c r="A80" s="731"/>
      <c r="B80" s="731"/>
      <c r="C80" s="299" t="s">
        <v>673</v>
      </c>
      <c r="D80" s="367"/>
      <c r="E80" s="367"/>
      <c r="F80" s="367"/>
      <c r="G80" s="367"/>
      <c r="H80" s="367"/>
      <c r="I80" s="367"/>
      <c r="J80" s="367"/>
      <c r="K80" s="370"/>
    </row>
    <row r="81" spans="1:11">
      <c r="A81" s="731"/>
      <c r="B81" s="731"/>
      <c r="C81" s="299" t="s">
        <v>674</v>
      </c>
      <c r="D81" s="367"/>
      <c r="E81" s="367"/>
      <c r="F81" s="367"/>
      <c r="G81" s="367"/>
      <c r="H81" s="367"/>
      <c r="I81" s="367"/>
      <c r="J81" s="367"/>
      <c r="K81" s="370"/>
    </row>
    <row r="82" spans="1:11" ht="12.5" thickBot="1">
      <c r="A82" s="731"/>
      <c r="B82" s="731"/>
      <c r="C82" s="300" t="s">
        <v>675</v>
      </c>
      <c r="D82" s="371"/>
      <c r="E82" s="371"/>
      <c r="F82" s="371"/>
      <c r="G82" s="371"/>
      <c r="H82" s="371"/>
      <c r="I82" s="371"/>
      <c r="J82" s="371"/>
      <c r="K82" s="372"/>
    </row>
    <row r="83" spans="1:11" s="214" customFormat="1" ht="13" thickTop="1" thickBot="1">
      <c r="A83" s="731"/>
      <c r="B83" s="731"/>
      <c r="C83" s="297" t="s">
        <v>582</v>
      </c>
      <c r="D83" s="373">
        <f>SUM(D79:D82)</f>
        <v>0</v>
      </c>
      <c r="E83" s="373">
        <f>SUM(E79:E82)</f>
        <v>0</v>
      </c>
      <c r="F83" s="373">
        <f>SUM(F79:F82)</f>
        <v>0</v>
      </c>
      <c r="G83" s="373">
        <f t="shared" ref="G83:K83" si="2">SUM(G79:G82)</f>
        <v>0</v>
      </c>
      <c r="H83" s="373">
        <f t="shared" si="2"/>
        <v>0</v>
      </c>
      <c r="I83" s="373">
        <f t="shared" si="2"/>
        <v>0</v>
      </c>
      <c r="J83" s="373">
        <f t="shared" si="2"/>
        <v>0</v>
      </c>
      <c r="K83" s="374">
        <f t="shared" si="2"/>
        <v>0</v>
      </c>
    </row>
    <row r="84" spans="1:11" ht="12.5" thickTop="1">
      <c r="A84" s="731"/>
      <c r="B84" s="731"/>
      <c r="C84" s="308" t="s">
        <v>676</v>
      </c>
      <c r="D84" s="375"/>
      <c r="E84" s="375"/>
      <c r="F84" s="375"/>
      <c r="G84" s="375"/>
      <c r="H84" s="375"/>
      <c r="I84" s="375"/>
      <c r="J84" s="375"/>
      <c r="K84" s="376"/>
    </row>
    <row r="85" spans="1:11">
      <c r="A85" s="732"/>
      <c r="B85" s="732"/>
      <c r="C85" s="302" t="s">
        <v>677</v>
      </c>
      <c r="D85" s="367"/>
      <c r="E85" s="367"/>
      <c r="F85" s="367"/>
      <c r="G85" s="367"/>
      <c r="H85" s="367"/>
      <c r="I85" s="367"/>
      <c r="J85" s="367"/>
      <c r="K85" s="370"/>
    </row>
    <row r="86" spans="1:11">
      <c r="A86" s="733">
        <v>12</v>
      </c>
      <c r="B86" s="733" t="s">
        <v>690</v>
      </c>
      <c r="C86" s="295" t="s">
        <v>672</v>
      </c>
      <c r="D86" s="357">
        <v>1</v>
      </c>
      <c r="E86" s="357">
        <v>2</v>
      </c>
      <c r="F86" s="364">
        <v>3</v>
      </c>
      <c r="G86" s="357">
        <v>0</v>
      </c>
      <c r="H86" s="357">
        <v>90822682</v>
      </c>
      <c r="I86" s="357">
        <v>123136435</v>
      </c>
      <c r="J86" s="357">
        <v>348641401</v>
      </c>
      <c r="K86" s="377">
        <v>0</v>
      </c>
    </row>
    <row r="87" spans="1:11">
      <c r="A87" s="734"/>
      <c r="B87" s="734"/>
      <c r="C87" s="295" t="s">
        <v>673</v>
      </c>
      <c r="D87" s="357">
        <v>12</v>
      </c>
      <c r="E87" s="364">
        <v>1</v>
      </c>
      <c r="F87" s="364">
        <v>2</v>
      </c>
      <c r="G87" s="357">
        <v>0</v>
      </c>
      <c r="H87" s="357">
        <v>379661577</v>
      </c>
      <c r="I87" s="357">
        <v>58611181</v>
      </c>
      <c r="J87" s="357">
        <v>57384532</v>
      </c>
      <c r="K87" s="377">
        <v>0</v>
      </c>
    </row>
    <row r="88" spans="1:11">
      <c r="A88" s="734"/>
      <c r="B88" s="734"/>
      <c r="C88" s="295" t="s">
        <v>674</v>
      </c>
      <c r="D88" s="357">
        <v>5</v>
      </c>
      <c r="E88" s="364">
        <v>0</v>
      </c>
      <c r="F88" s="357">
        <v>1</v>
      </c>
      <c r="G88" s="357">
        <v>0</v>
      </c>
      <c r="H88" s="357">
        <v>32401424</v>
      </c>
      <c r="I88" s="357"/>
      <c r="J88" s="357">
        <v>10210259</v>
      </c>
      <c r="K88" s="377">
        <v>0</v>
      </c>
    </row>
    <row r="89" spans="1:11" ht="12.5" thickBot="1">
      <c r="A89" s="734"/>
      <c r="B89" s="734"/>
      <c r="C89" s="296" t="s">
        <v>675</v>
      </c>
      <c r="D89" s="359">
        <v>42</v>
      </c>
      <c r="E89" s="378">
        <v>5</v>
      </c>
      <c r="F89" s="359">
        <v>0</v>
      </c>
      <c r="G89" s="359">
        <v>0</v>
      </c>
      <c r="H89" s="359">
        <v>170109796</v>
      </c>
      <c r="I89" s="359">
        <v>30826305</v>
      </c>
      <c r="J89" s="359">
        <v>0</v>
      </c>
      <c r="K89" s="379">
        <v>0</v>
      </c>
    </row>
    <row r="90" spans="1:11" s="214" customFormat="1" ht="13" thickTop="1" thickBot="1">
      <c r="A90" s="734"/>
      <c r="B90" s="734"/>
      <c r="C90" s="297" t="s">
        <v>582</v>
      </c>
      <c r="D90" s="373">
        <v>60</v>
      </c>
      <c r="E90" s="373">
        <v>8</v>
      </c>
      <c r="F90" s="373">
        <v>6</v>
      </c>
      <c r="G90" s="373">
        <v>0</v>
      </c>
      <c r="H90" s="373">
        <v>672995479</v>
      </c>
      <c r="I90" s="373">
        <v>212573921</v>
      </c>
      <c r="J90" s="373">
        <v>416236192</v>
      </c>
      <c r="K90" s="374">
        <v>0</v>
      </c>
    </row>
    <row r="91" spans="1:11" ht="12.5" thickTop="1">
      <c r="A91" s="734"/>
      <c r="B91" s="734"/>
      <c r="C91" s="303" t="s">
        <v>676</v>
      </c>
      <c r="D91" s="380">
        <v>0</v>
      </c>
      <c r="E91" s="380">
        <v>0</v>
      </c>
      <c r="F91" s="380">
        <v>0</v>
      </c>
      <c r="G91" s="380">
        <v>0</v>
      </c>
      <c r="H91" s="380">
        <v>0</v>
      </c>
      <c r="I91" s="380">
        <v>0</v>
      </c>
      <c r="J91" s="380">
        <v>0</v>
      </c>
      <c r="K91" s="381">
        <v>0</v>
      </c>
    </row>
    <row r="92" spans="1:11">
      <c r="A92" s="735"/>
      <c r="B92" s="735"/>
      <c r="C92" s="304" t="s">
        <v>677</v>
      </c>
      <c r="D92" s="357">
        <v>0</v>
      </c>
      <c r="E92" s="357">
        <v>0</v>
      </c>
      <c r="F92" s="357">
        <v>0</v>
      </c>
      <c r="G92" s="357">
        <v>0</v>
      </c>
      <c r="H92" s="357">
        <v>0</v>
      </c>
      <c r="I92" s="357">
        <v>0</v>
      </c>
      <c r="J92" s="357">
        <v>0</v>
      </c>
      <c r="K92" s="357">
        <v>0</v>
      </c>
    </row>
    <row r="93" spans="1:11">
      <c r="A93" s="730">
        <v>13</v>
      </c>
      <c r="B93" s="730" t="s">
        <v>228</v>
      </c>
      <c r="C93" s="299" t="s">
        <v>672</v>
      </c>
      <c r="D93" s="367">
        <v>0</v>
      </c>
      <c r="E93" s="367">
        <v>0</v>
      </c>
      <c r="F93" s="367">
        <v>0</v>
      </c>
      <c r="G93" s="367">
        <v>0</v>
      </c>
      <c r="H93" s="367">
        <v>0</v>
      </c>
      <c r="I93" s="367">
        <v>0</v>
      </c>
      <c r="J93" s="367">
        <v>0</v>
      </c>
      <c r="K93" s="370">
        <v>0</v>
      </c>
    </row>
    <row r="94" spans="1:11">
      <c r="A94" s="731"/>
      <c r="B94" s="731"/>
      <c r="C94" s="299" t="s">
        <v>673</v>
      </c>
      <c r="D94" s="367">
        <v>0</v>
      </c>
      <c r="E94" s="367">
        <v>0</v>
      </c>
      <c r="F94" s="367">
        <v>0</v>
      </c>
      <c r="G94" s="367">
        <v>0</v>
      </c>
      <c r="H94" s="367">
        <v>0</v>
      </c>
      <c r="I94" s="367">
        <v>0</v>
      </c>
      <c r="J94" s="367">
        <v>0</v>
      </c>
      <c r="K94" s="370">
        <v>0</v>
      </c>
    </row>
    <row r="95" spans="1:11">
      <c r="A95" s="731"/>
      <c r="B95" s="731"/>
      <c r="C95" s="299" t="s">
        <v>674</v>
      </c>
      <c r="D95" s="367">
        <v>0</v>
      </c>
      <c r="E95" s="367">
        <v>0</v>
      </c>
      <c r="F95" s="367">
        <v>0</v>
      </c>
      <c r="G95" s="367">
        <v>0</v>
      </c>
      <c r="H95" s="367">
        <v>0</v>
      </c>
      <c r="I95" s="367">
        <v>0</v>
      </c>
      <c r="J95" s="367">
        <v>0</v>
      </c>
      <c r="K95" s="370">
        <v>0</v>
      </c>
    </row>
    <row r="96" spans="1:11" ht="12.5" thickBot="1">
      <c r="A96" s="731"/>
      <c r="B96" s="731"/>
      <c r="C96" s="300" t="s">
        <v>675</v>
      </c>
      <c r="D96" s="371">
        <v>0</v>
      </c>
      <c r="E96" s="371">
        <v>0</v>
      </c>
      <c r="F96" s="371">
        <v>0</v>
      </c>
      <c r="G96" s="371">
        <v>0</v>
      </c>
      <c r="H96" s="371">
        <v>0</v>
      </c>
      <c r="I96" s="371">
        <v>0</v>
      </c>
      <c r="J96" s="371">
        <v>0</v>
      </c>
      <c r="K96" s="372">
        <v>0</v>
      </c>
    </row>
    <row r="97" spans="1:11" s="214" customFormat="1" ht="13" thickTop="1" thickBot="1">
      <c r="A97" s="731"/>
      <c r="B97" s="731"/>
      <c r="C97" s="297" t="s">
        <v>582</v>
      </c>
      <c r="D97" s="373">
        <v>0</v>
      </c>
      <c r="E97" s="373">
        <v>0</v>
      </c>
      <c r="F97" s="373">
        <v>0</v>
      </c>
      <c r="G97" s="373">
        <v>0</v>
      </c>
      <c r="H97" s="373">
        <v>0</v>
      </c>
      <c r="I97" s="373">
        <v>0</v>
      </c>
      <c r="J97" s="373">
        <v>0</v>
      </c>
      <c r="K97" s="374">
        <v>0</v>
      </c>
    </row>
    <row r="98" spans="1:11" ht="12.5" thickTop="1">
      <c r="A98" s="731"/>
      <c r="B98" s="731"/>
      <c r="C98" s="308" t="s">
        <v>676</v>
      </c>
      <c r="D98" s="375">
        <v>0</v>
      </c>
      <c r="E98" s="375">
        <v>0</v>
      </c>
      <c r="F98" s="375">
        <v>0</v>
      </c>
      <c r="G98" s="375">
        <v>0</v>
      </c>
      <c r="H98" s="375">
        <v>0</v>
      </c>
      <c r="I98" s="375">
        <v>0</v>
      </c>
      <c r="J98" s="375">
        <v>0</v>
      </c>
      <c r="K98" s="376">
        <v>0</v>
      </c>
    </row>
    <row r="99" spans="1:11">
      <c r="A99" s="732"/>
      <c r="B99" s="732"/>
      <c r="C99" s="302" t="s">
        <v>677</v>
      </c>
      <c r="D99" s="367">
        <v>0</v>
      </c>
      <c r="E99" s="367">
        <v>0</v>
      </c>
      <c r="F99" s="367">
        <v>0</v>
      </c>
      <c r="G99" s="367">
        <v>0</v>
      </c>
      <c r="H99" s="367">
        <v>0</v>
      </c>
      <c r="I99" s="367">
        <v>0</v>
      </c>
      <c r="J99" s="367">
        <v>0</v>
      </c>
      <c r="K99" s="370">
        <v>0</v>
      </c>
    </row>
    <row r="100" spans="1:11">
      <c r="A100" s="733">
        <v>14</v>
      </c>
      <c r="B100" s="733" t="s">
        <v>231</v>
      </c>
      <c r="C100" s="295" t="s">
        <v>672</v>
      </c>
      <c r="D100" s="357">
        <v>1</v>
      </c>
      <c r="E100" s="357">
        <v>0</v>
      </c>
      <c r="F100" s="364">
        <v>0</v>
      </c>
      <c r="G100" s="357">
        <v>0</v>
      </c>
      <c r="H100" s="357">
        <v>140826281</v>
      </c>
      <c r="I100" s="357">
        <v>0</v>
      </c>
      <c r="J100" s="357">
        <v>0</v>
      </c>
      <c r="K100" s="377">
        <v>0</v>
      </c>
    </row>
    <row r="101" spans="1:11">
      <c r="A101" s="734"/>
      <c r="B101" s="734"/>
      <c r="C101" s="295" t="s">
        <v>673</v>
      </c>
      <c r="D101" s="357">
        <v>2</v>
      </c>
      <c r="E101" s="364">
        <v>3</v>
      </c>
      <c r="F101" s="364">
        <v>3</v>
      </c>
      <c r="G101" s="357">
        <v>0</v>
      </c>
      <c r="H101" s="357">
        <v>92946893</v>
      </c>
      <c r="I101" s="357">
        <v>63176125</v>
      </c>
      <c r="J101" s="357">
        <v>27804720</v>
      </c>
      <c r="K101" s="377">
        <v>0</v>
      </c>
    </row>
    <row r="102" spans="1:11">
      <c r="A102" s="734"/>
      <c r="B102" s="734"/>
      <c r="C102" s="295" t="s">
        <v>674</v>
      </c>
      <c r="D102" s="357">
        <v>11</v>
      </c>
      <c r="E102" s="364">
        <v>2</v>
      </c>
      <c r="F102" s="357">
        <v>0</v>
      </c>
      <c r="G102" s="357">
        <v>0</v>
      </c>
      <c r="H102" s="357">
        <v>75769131</v>
      </c>
      <c r="I102" s="357">
        <v>9618039</v>
      </c>
      <c r="J102" s="357">
        <v>0</v>
      </c>
      <c r="K102" s="377">
        <v>0</v>
      </c>
    </row>
    <row r="103" spans="1:11" ht="12.5" thickBot="1">
      <c r="A103" s="734"/>
      <c r="B103" s="734"/>
      <c r="C103" s="296" t="s">
        <v>675</v>
      </c>
      <c r="D103" s="359">
        <v>4</v>
      </c>
      <c r="E103" s="378">
        <v>0</v>
      </c>
      <c r="F103" s="359">
        <v>0</v>
      </c>
      <c r="G103" s="359">
        <v>0</v>
      </c>
      <c r="H103" s="359">
        <v>9447092</v>
      </c>
      <c r="I103" s="359">
        <v>0</v>
      </c>
      <c r="J103" s="359">
        <v>0</v>
      </c>
      <c r="K103" s="379">
        <v>0</v>
      </c>
    </row>
    <row r="104" spans="1:11" s="214" customFormat="1" ht="13" thickTop="1" thickBot="1">
      <c r="A104" s="734"/>
      <c r="B104" s="734"/>
      <c r="C104" s="297" t="s">
        <v>582</v>
      </c>
      <c r="D104" s="373">
        <v>18</v>
      </c>
      <c r="E104" s="373">
        <v>5</v>
      </c>
      <c r="F104" s="373">
        <v>3</v>
      </c>
      <c r="G104" s="373">
        <v>0</v>
      </c>
      <c r="H104" s="373">
        <v>318989397</v>
      </c>
      <c r="I104" s="373">
        <v>72794164</v>
      </c>
      <c r="J104" s="373">
        <v>27804720</v>
      </c>
      <c r="K104" s="374"/>
    </row>
    <row r="105" spans="1:11" ht="12.5" thickTop="1">
      <c r="A105" s="734"/>
      <c r="B105" s="734"/>
      <c r="C105" s="303" t="s">
        <v>676</v>
      </c>
      <c r="D105" s="380">
        <v>18</v>
      </c>
      <c r="E105" s="380">
        <v>5</v>
      </c>
      <c r="F105" s="380">
        <v>3</v>
      </c>
      <c r="G105" s="380">
        <v>0</v>
      </c>
      <c r="H105" s="380">
        <v>0</v>
      </c>
      <c r="I105" s="380">
        <v>0</v>
      </c>
      <c r="J105" s="380">
        <v>0</v>
      </c>
      <c r="K105" s="381">
        <v>0</v>
      </c>
    </row>
    <row r="106" spans="1:11">
      <c r="A106" s="735"/>
      <c r="B106" s="735"/>
      <c r="C106" s="304" t="s">
        <v>677</v>
      </c>
      <c r="D106" s="357">
        <v>0</v>
      </c>
      <c r="E106" s="357">
        <v>0</v>
      </c>
      <c r="F106" s="357">
        <v>0</v>
      </c>
      <c r="G106" s="357">
        <v>0</v>
      </c>
      <c r="H106" s="357">
        <v>0</v>
      </c>
      <c r="I106" s="357">
        <v>0</v>
      </c>
      <c r="J106" s="357">
        <v>0</v>
      </c>
      <c r="K106" s="357">
        <v>0</v>
      </c>
    </row>
    <row r="107" spans="1:11">
      <c r="A107" s="730">
        <v>15</v>
      </c>
      <c r="B107" s="730" t="s">
        <v>630</v>
      </c>
      <c r="C107" s="299" t="s">
        <v>672</v>
      </c>
      <c r="D107" s="367">
        <v>2</v>
      </c>
      <c r="E107" s="367">
        <v>0</v>
      </c>
      <c r="F107" s="367">
        <v>3</v>
      </c>
      <c r="G107" s="367">
        <v>0</v>
      </c>
      <c r="H107" s="367">
        <v>192592368</v>
      </c>
      <c r="I107" s="367">
        <v>0</v>
      </c>
      <c r="J107" s="367">
        <v>251881522</v>
      </c>
      <c r="K107" s="370">
        <v>0</v>
      </c>
    </row>
    <row r="108" spans="1:11">
      <c r="A108" s="731"/>
      <c r="B108" s="731"/>
      <c r="C108" s="299" t="s">
        <v>673</v>
      </c>
      <c r="D108" s="367">
        <v>4</v>
      </c>
      <c r="E108" s="367">
        <v>3</v>
      </c>
      <c r="F108" s="367">
        <v>0</v>
      </c>
      <c r="G108" s="367">
        <v>0</v>
      </c>
      <c r="H108" s="367">
        <v>94874897</v>
      </c>
      <c r="I108" s="367">
        <v>96668419</v>
      </c>
      <c r="J108" s="367">
        <v>0</v>
      </c>
      <c r="K108" s="370">
        <v>0</v>
      </c>
    </row>
    <row r="109" spans="1:11">
      <c r="A109" s="731"/>
      <c r="B109" s="731"/>
      <c r="C109" s="299" t="s">
        <v>674</v>
      </c>
      <c r="D109" s="367">
        <v>6</v>
      </c>
      <c r="E109" s="367">
        <v>0</v>
      </c>
      <c r="F109" s="367">
        <v>0</v>
      </c>
      <c r="G109" s="367">
        <v>0</v>
      </c>
      <c r="H109" s="367">
        <v>64153030</v>
      </c>
      <c r="I109" s="367">
        <v>0</v>
      </c>
      <c r="J109" s="367">
        <v>0</v>
      </c>
      <c r="K109" s="370">
        <v>0</v>
      </c>
    </row>
    <row r="110" spans="1:11" ht="12.5" thickBot="1">
      <c r="A110" s="731"/>
      <c r="B110" s="731"/>
      <c r="C110" s="300" t="s">
        <v>675</v>
      </c>
      <c r="D110" s="371">
        <v>216</v>
      </c>
      <c r="E110" s="371">
        <v>27</v>
      </c>
      <c r="F110" s="371">
        <v>0</v>
      </c>
      <c r="G110" s="371">
        <v>0</v>
      </c>
      <c r="H110" s="371">
        <v>168085197</v>
      </c>
      <c r="I110" s="371">
        <v>20275472</v>
      </c>
      <c r="J110" s="371">
        <v>0</v>
      </c>
      <c r="K110" s="372">
        <v>0</v>
      </c>
    </row>
    <row r="111" spans="1:11" s="214" customFormat="1" ht="13" thickTop="1" thickBot="1">
      <c r="A111" s="731"/>
      <c r="B111" s="731"/>
      <c r="C111" s="297" t="s">
        <v>582</v>
      </c>
      <c r="D111" s="373">
        <v>228</v>
      </c>
      <c r="E111" s="373">
        <v>30</v>
      </c>
      <c r="F111" s="373">
        <v>3</v>
      </c>
      <c r="G111" s="373">
        <v>0</v>
      </c>
      <c r="H111" s="373">
        <v>519705492</v>
      </c>
      <c r="I111" s="373">
        <v>116943891</v>
      </c>
      <c r="J111" s="373">
        <v>251881522</v>
      </c>
      <c r="K111" s="374">
        <v>0</v>
      </c>
    </row>
    <row r="112" spans="1:11" ht="12.5" thickTop="1">
      <c r="A112" s="731"/>
      <c r="B112" s="731"/>
      <c r="C112" s="308" t="s">
        <v>676</v>
      </c>
      <c r="D112" s="375">
        <v>42</v>
      </c>
      <c r="E112" s="375">
        <v>7</v>
      </c>
      <c r="F112" s="375">
        <v>3</v>
      </c>
      <c r="G112" s="375">
        <v>0</v>
      </c>
      <c r="H112" s="375">
        <v>0</v>
      </c>
      <c r="I112" s="375">
        <v>0</v>
      </c>
      <c r="J112" s="375">
        <v>0</v>
      </c>
      <c r="K112" s="376">
        <v>0</v>
      </c>
    </row>
    <row r="113" spans="1:11">
      <c r="A113" s="732"/>
      <c r="B113" s="732"/>
      <c r="C113" s="302" t="s">
        <v>677</v>
      </c>
      <c r="D113" s="367">
        <v>19</v>
      </c>
      <c r="E113" s="367">
        <v>3</v>
      </c>
      <c r="F113" s="367">
        <v>0</v>
      </c>
      <c r="G113" s="367">
        <v>0</v>
      </c>
      <c r="H113" s="367">
        <v>0</v>
      </c>
      <c r="I113" s="367">
        <v>0</v>
      </c>
      <c r="J113" s="367">
        <v>0</v>
      </c>
      <c r="K113" s="370">
        <v>0</v>
      </c>
    </row>
    <row r="114" spans="1:11">
      <c r="A114" s="733">
        <v>16</v>
      </c>
      <c r="B114" s="733" t="s">
        <v>633</v>
      </c>
      <c r="C114" s="295" t="s">
        <v>672</v>
      </c>
      <c r="D114" s="357">
        <v>10</v>
      </c>
      <c r="E114" s="357">
        <v>0</v>
      </c>
      <c r="F114" s="364">
        <v>0</v>
      </c>
      <c r="G114" s="357">
        <v>0</v>
      </c>
      <c r="H114" s="357">
        <v>413910389</v>
      </c>
      <c r="I114" s="357">
        <v>0</v>
      </c>
      <c r="J114" s="357">
        <v>0</v>
      </c>
      <c r="K114" s="377">
        <v>0</v>
      </c>
    </row>
    <row r="115" spans="1:11">
      <c r="A115" s="734"/>
      <c r="B115" s="734"/>
      <c r="C115" s="295" t="s">
        <v>673</v>
      </c>
      <c r="D115" s="357">
        <v>3</v>
      </c>
      <c r="E115" s="364">
        <v>1</v>
      </c>
      <c r="F115" s="364">
        <v>0</v>
      </c>
      <c r="G115" s="357">
        <v>0</v>
      </c>
      <c r="H115" s="357">
        <v>89945400</v>
      </c>
      <c r="I115" s="357">
        <v>24161037</v>
      </c>
      <c r="J115" s="357">
        <v>0</v>
      </c>
      <c r="K115" s="377">
        <v>0</v>
      </c>
    </row>
    <row r="116" spans="1:11">
      <c r="A116" s="734"/>
      <c r="B116" s="734"/>
      <c r="C116" s="295" t="s">
        <v>674</v>
      </c>
      <c r="D116" s="357">
        <v>6</v>
      </c>
      <c r="E116" s="364">
        <v>0</v>
      </c>
      <c r="F116" s="357">
        <v>0</v>
      </c>
      <c r="G116" s="357">
        <v>0</v>
      </c>
      <c r="H116" s="357">
        <v>155760283</v>
      </c>
      <c r="I116" s="357">
        <v>0</v>
      </c>
      <c r="J116" s="357">
        <v>0</v>
      </c>
      <c r="K116" s="377">
        <v>0</v>
      </c>
    </row>
    <row r="117" spans="1:11" ht="12.5" thickBot="1">
      <c r="A117" s="734"/>
      <c r="B117" s="734"/>
      <c r="C117" s="296" t="s">
        <v>675</v>
      </c>
      <c r="D117" s="359">
        <v>16</v>
      </c>
      <c r="E117" s="378">
        <v>1</v>
      </c>
      <c r="F117" s="359">
        <v>0</v>
      </c>
      <c r="G117" s="359">
        <v>0</v>
      </c>
      <c r="H117" s="359">
        <v>165744040</v>
      </c>
      <c r="I117" s="359">
        <v>10649471</v>
      </c>
      <c r="J117" s="359">
        <v>0</v>
      </c>
      <c r="K117" s="379">
        <v>0</v>
      </c>
    </row>
    <row r="118" spans="1:11" s="214" customFormat="1" ht="13" thickTop="1" thickBot="1">
      <c r="A118" s="734"/>
      <c r="B118" s="734"/>
      <c r="C118" s="297" t="s">
        <v>582</v>
      </c>
      <c r="D118" s="373">
        <v>35</v>
      </c>
      <c r="E118" s="373">
        <v>2</v>
      </c>
      <c r="F118" s="373">
        <v>0</v>
      </c>
      <c r="G118" s="373">
        <v>0</v>
      </c>
      <c r="H118" s="373">
        <v>825360112</v>
      </c>
      <c r="I118" s="373">
        <v>34810508</v>
      </c>
      <c r="J118" s="373">
        <v>0</v>
      </c>
      <c r="K118" s="374">
        <v>0</v>
      </c>
    </row>
    <row r="119" spans="1:11" ht="12.5" thickTop="1">
      <c r="A119" s="734"/>
      <c r="B119" s="734"/>
      <c r="C119" s="303" t="s">
        <v>676</v>
      </c>
      <c r="D119" s="380">
        <v>0</v>
      </c>
      <c r="E119" s="380">
        <v>0</v>
      </c>
      <c r="F119" s="380">
        <v>0</v>
      </c>
      <c r="G119" s="380">
        <v>0</v>
      </c>
      <c r="H119" s="380">
        <v>825360112</v>
      </c>
      <c r="I119" s="380">
        <v>34810508</v>
      </c>
      <c r="J119" s="380">
        <v>0</v>
      </c>
      <c r="K119" s="381">
        <v>0</v>
      </c>
    </row>
    <row r="120" spans="1:11">
      <c r="A120" s="735"/>
      <c r="B120" s="735"/>
      <c r="C120" s="304" t="s">
        <v>677</v>
      </c>
      <c r="D120" s="357">
        <v>0</v>
      </c>
      <c r="E120" s="357">
        <v>0</v>
      </c>
      <c r="F120" s="357">
        <v>0</v>
      </c>
      <c r="G120" s="357">
        <v>0</v>
      </c>
      <c r="H120" s="357">
        <v>0</v>
      </c>
      <c r="I120" s="357">
        <v>0</v>
      </c>
      <c r="J120" s="357">
        <v>0</v>
      </c>
      <c r="K120" s="357">
        <v>0</v>
      </c>
    </row>
    <row r="121" spans="1:11">
      <c r="A121" s="730">
        <v>17</v>
      </c>
      <c r="B121" s="730" t="s">
        <v>634</v>
      </c>
      <c r="C121" s="299" t="s">
        <v>672</v>
      </c>
      <c r="D121" s="367">
        <v>5</v>
      </c>
      <c r="E121" s="367">
        <v>0</v>
      </c>
      <c r="F121" s="367">
        <v>0</v>
      </c>
      <c r="G121" s="367">
        <v>0</v>
      </c>
      <c r="H121" s="367">
        <v>211194762</v>
      </c>
      <c r="I121" s="367">
        <v>0</v>
      </c>
      <c r="J121" s="367">
        <v>0</v>
      </c>
      <c r="K121" s="370">
        <v>0</v>
      </c>
    </row>
    <row r="122" spans="1:11">
      <c r="A122" s="731"/>
      <c r="B122" s="731"/>
      <c r="C122" s="299" t="s">
        <v>673</v>
      </c>
      <c r="D122" s="367">
        <v>4</v>
      </c>
      <c r="E122" s="367">
        <v>1</v>
      </c>
      <c r="F122" s="367">
        <v>0</v>
      </c>
      <c r="G122" s="367">
        <v>0</v>
      </c>
      <c r="H122" s="367">
        <v>48317951</v>
      </c>
      <c r="I122" s="367">
        <v>0</v>
      </c>
      <c r="J122" s="367">
        <v>0</v>
      </c>
      <c r="K122" s="370">
        <v>0</v>
      </c>
    </row>
    <row r="123" spans="1:11">
      <c r="A123" s="731"/>
      <c r="B123" s="731"/>
      <c r="C123" s="299" t="s">
        <v>674</v>
      </c>
      <c r="D123" s="367">
        <v>20</v>
      </c>
      <c r="E123" s="367">
        <v>1</v>
      </c>
      <c r="F123" s="367">
        <v>0</v>
      </c>
      <c r="G123" s="367">
        <v>0</v>
      </c>
      <c r="H123" s="367">
        <v>119992568</v>
      </c>
      <c r="I123" s="367">
        <v>0</v>
      </c>
      <c r="J123" s="367">
        <v>0</v>
      </c>
      <c r="K123" s="370">
        <v>0</v>
      </c>
    </row>
    <row r="124" spans="1:11" ht="12.5" thickBot="1">
      <c r="A124" s="731"/>
      <c r="B124" s="731"/>
      <c r="C124" s="300" t="s">
        <v>675</v>
      </c>
      <c r="D124" s="371">
        <v>90</v>
      </c>
      <c r="E124" s="371">
        <v>0</v>
      </c>
      <c r="F124" s="371">
        <v>0</v>
      </c>
      <c r="G124" s="371">
        <v>0</v>
      </c>
      <c r="H124" s="371">
        <v>133159472</v>
      </c>
      <c r="I124" s="371">
        <v>0</v>
      </c>
      <c r="J124" s="371">
        <v>0</v>
      </c>
      <c r="K124" s="372">
        <v>0</v>
      </c>
    </row>
    <row r="125" spans="1:11" s="214" customFormat="1" ht="13" thickTop="1" thickBot="1">
      <c r="A125" s="731"/>
      <c r="B125" s="731"/>
      <c r="C125" s="297" t="s">
        <v>582</v>
      </c>
      <c r="D125" s="373">
        <v>119</v>
      </c>
      <c r="E125" s="373">
        <v>2</v>
      </c>
      <c r="F125" s="373">
        <v>0</v>
      </c>
      <c r="G125" s="373">
        <v>0</v>
      </c>
      <c r="H125" s="373">
        <v>512664753</v>
      </c>
      <c r="I125" s="373">
        <v>0</v>
      </c>
      <c r="J125" s="373">
        <v>0</v>
      </c>
      <c r="K125" s="374">
        <v>0</v>
      </c>
    </row>
    <row r="126" spans="1:11" ht="12.5" thickTop="1">
      <c r="A126" s="731"/>
      <c r="B126" s="731"/>
      <c r="C126" s="308" t="s">
        <v>676</v>
      </c>
      <c r="D126" s="375">
        <v>21</v>
      </c>
      <c r="E126" s="375">
        <v>2</v>
      </c>
      <c r="F126" s="375">
        <v>0</v>
      </c>
      <c r="G126" s="375">
        <v>0</v>
      </c>
      <c r="H126" s="375">
        <v>294102668</v>
      </c>
      <c r="I126" s="375">
        <v>0</v>
      </c>
      <c r="J126" s="375">
        <v>0</v>
      </c>
      <c r="K126" s="376">
        <v>0</v>
      </c>
    </row>
    <row r="127" spans="1:11">
      <c r="A127" s="732"/>
      <c r="B127" s="732"/>
      <c r="C127" s="302" t="s">
        <v>677</v>
      </c>
      <c r="D127" s="367">
        <v>97</v>
      </c>
      <c r="E127" s="367">
        <v>0</v>
      </c>
      <c r="F127" s="367">
        <v>0</v>
      </c>
      <c r="G127" s="367">
        <v>0</v>
      </c>
      <c r="H127" s="367">
        <v>163436178</v>
      </c>
      <c r="I127" s="367">
        <v>0</v>
      </c>
      <c r="J127" s="367">
        <v>0</v>
      </c>
      <c r="K127" s="370">
        <v>0</v>
      </c>
    </row>
    <row r="128" spans="1:11">
      <c r="A128" s="733">
        <v>18</v>
      </c>
      <c r="B128" s="733" t="s">
        <v>637</v>
      </c>
      <c r="C128" s="295" t="s">
        <v>672</v>
      </c>
      <c r="D128" s="357"/>
      <c r="E128" s="357"/>
      <c r="F128" s="364"/>
      <c r="G128" s="357"/>
      <c r="H128" s="357"/>
      <c r="I128" s="357"/>
      <c r="J128" s="357"/>
      <c r="K128" s="377"/>
    </row>
    <row r="129" spans="1:11">
      <c r="A129" s="734"/>
      <c r="B129" s="734"/>
      <c r="C129" s="295" t="s">
        <v>673</v>
      </c>
      <c r="D129" s="357">
        <v>4</v>
      </c>
      <c r="E129" s="364">
        <v>2</v>
      </c>
      <c r="F129" s="364"/>
      <c r="G129" s="357"/>
      <c r="H129" s="357">
        <v>50832317</v>
      </c>
      <c r="I129" s="357">
        <v>28236727</v>
      </c>
      <c r="J129" s="357"/>
      <c r="K129" s="377"/>
    </row>
    <row r="130" spans="1:11">
      <c r="A130" s="734"/>
      <c r="B130" s="734"/>
      <c r="C130" s="295" t="s">
        <v>674</v>
      </c>
      <c r="D130" s="357">
        <v>25</v>
      </c>
      <c r="E130" s="364">
        <v>3</v>
      </c>
      <c r="F130" s="357"/>
      <c r="G130" s="357"/>
      <c r="H130" s="357">
        <v>247980721</v>
      </c>
      <c r="I130" s="357">
        <v>32517497</v>
      </c>
      <c r="J130" s="357"/>
      <c r="K130" s="377"/>
    </row>
    <row r="131" spans="1:11" ht="12.5" thickBot="1">
      <c r="A131" s="734"/>
      <c r="B131" s="734"/>
      <c r="C131" s="296" t="s">
        <v>675</v>
      </c>
      <c r="D131" s="359">
        <v>18</v>
      </c>
      <c r="E131" s="378"/>
      <c r="F131" s="359"/>
      <c r="G131" s="359"/>
      <c r="H131" s="359">
        <v>152510686</v>
      </c>
      <c r="I131" s="359"/>
      <c r="J131" s="359"/>
      <c r="K131" s="379"/>
    </row>
    <row r="132" spans="1:11" s="214" customFormat="1" ht="13" thickTop="1" thickBot="1">
      <c r="A132" s="734"/>
      <c r="B132" s="734"/>
      <c r="C132" s="297" t="s">
        <v>582</v>
      </c>
      <c r="D132" s="373">
        <v>47</v>
      </c>
      <c r="E132" s="373">
        <v>5</v>
      </c>
      <c r="F132" s="373" t="s">
        <v>691</v>
      </c>
      <c r="G132" s="373">
        <v>0</v>
      </c>
      <c r="H132" s="373">
        <v>451323724</v>
      </c>
      <c r="I132" s="373">
        <v>60754224</v>
      </c>
      <c r="J132" s="373">
        <v>0</v>
      </c>
      <c r="K132" s="374">
        <v>0</v>
      </c>
    </row>
    <row r="133" spans="1:11" ht="12.5" thickTop="1">
      <c r="A133" s="734"/>
      <c r="B133" s="734"/>
      <c r="C133" s="303" t="s">
        <v>676</v>
      </c>
      <c r="D133" s="380">
        <v>47</v>
      </c>
      <c r="E133" s="380">
        <v>5</v>
      </c>
      <c r="F133" s="380"/>
      <c r="G133" s="380"/>
      <c r="H133" s="380">
        <v>451323724</v>
      </c>
      <c r="I133" s="380">
        <v>60754224</v>
      </c>
      <c r="J133" s="380"/>
      <c r="K133" s="381"/>
    </row>
    <row r="134" spans="1:11">
      <c r="A134" s="735"/>
      <c r="B134" s="735"/>
      <c r="C134" s="304" t="s">
        <v>677</v>
      </c>
      <c r="D134" s="357"/>
      <c r="E134" s="357"/>
      <c r="F134" s="357"/>
      <c r="G134" s="357"/>
      <c r="H134" s="357"/>
      <c r="I134" s="357"/>
      <c r="J134" s="357"/>
      <c r="K134" s="357"/>
    </row>
    <row r="135" spans="1:11">
      <c r="A135" s="730">
        <v>19</v>
      </c>
      <c r="B135" s="730" t="s">
        <v>692</v>
      </c>
      <c r="C135" s="299" t="s">
        <v>672</v>
      </c>
      <c r="D135" s="367"/>
      <c r="E135" s="367"/>
      <c r="F135" s="367"/>
      <c r="G135" s="367"/>
      <c r="H135" s="367"/>
      <c r="I135" s="367"/>
      <c r="J135" s="367"/>
      <c r="K135" s="370"/>
    </row>
    <row r="136" spans="1:11">
      <c r="A136" s="731"/>
      <c r="B136" s="731"/>
      <c r="C136" s="299" t="s">
        <v>673</v>
      </c>
      <c r="D136" s="367"/>
      <c r="E136" s="367"/>
      <c r="F136" s="367"/>
      <c r="G136" s="367"/>
      <c r="H136" s="367"/>
      <c r="I136" s="367"/>
      <c r="J136" s="367"/>
      <c r="K136" s="370"/>
    </row>
    <row r="137" spans="1:11">
      <c r="A137" s="731"/>
      <c r="B137" s="731"/>
      <c r="C137" s="299" t="s">
        <v>674</v>
      </c>
      <c r="D137" s="367"/>
      <c r="E137" s="367"/>
      <c r="F137" s="367"/>
      <c r="G137" s="367"/>
      <c r="H137" s="367"/>
      <c r="I137" s="367"/>
      <c r="J137" s="367"/>
      <c r="K137" s="370"/>
    </row>
    <row r="138" spans="1:11" ht="12.5" thickBot="1">
      <c r="A138" s="731"/>
      <c r="B138" s="731"/>
      <c r="C138" s="300" t="s">
        <v>675</v>
      </c>
      <c r="D138" s="371"/>
      <c r="E138" s="371"/>
      <c r="F138" s="371"/>
      <c r="G138" s="371"/>
      <c r="H138" s="371"/>
      <c r="I138" s="371"/>
      <c r="J138" s="371"/>
      <c r="K138" s="372"/>
    </row>
    <row r="139" spans="1:11" s="214" customFormat="1" ht="13" thickTop="1" thickBot="1">
      <c r="A139" s="731"/>
      <c r="B139" s="731"/>
      <c r="C139" s="297" t="s">
        <v>582</v>
      </c>
      <c r="D139" s="373">
        <f>SUM(D135:D138)</f>
        <v>0</v>
      </c>
      <c r="E139" s="373">
        <f>SUM(E135:E138)</f>
        <v>0</v>
      </c>
      <c r="F139" s="373">
        <f>SUM(F135:F138)</f>
        <v>0</v>
      </c>
      <c r="G139" s="373">
        <f>SUM(G135:G138)</f>
        <v>0</v>
      </c>
      <c r="H139" s="373">
        <f t="shared" ref="H139:K139" si="3">SUM(H135:H138)</f>
        <v>0</v>
      </c>
      <c r="I139" s="373">
        <f t="shared" si="3"/>
        <v>0</v>
      </c>
      <c r="J139" s="373">
        <f t="shared" si="3"/>
        <v>0</v>
      </c>
      <c r="K139" s="374">
        <f t="shared" si="3"/>
        <v>0</v>
      </c>
    </row>
    <row r="140" spans="1:11" ht="12.5" thickTop="1">
      <c r="A140" s="731"/>
      <c r="B140" s="731"/>
      <c r="C140" s="308" t="s">
        <v>676</v>
      </c>
      <c r="D140" s="375"/>
      <c r="E140" s="375"/>
      <c r="F140" s="375"/>
      <c r="G140" s="375"/>
      <c r="H140" s="375"/>
      <c r="I140" s="375"/>
      <c r="J140" s="375"/>
      <c r="K140" s="376"/>
    </row>
    <row r="141" spans="1:11">
      <c r="A141" s="732"/>
      <c r="B141" s="732"/>
      <c r="C141" s="302" t="s">
        <v>677</v>
      </c>
      <c r="D141" s="367"/>
      <c r="E141" s="367"/>
      <c r="F141" s="367"/>
      <c r="G141" s="367"/>
      <c r="H141" s="367"/>
      <c r="I141" s="367"/>
      <c r="J141" s="367"/>
      <c r="K141" s="370"/>
    </row>
    <row r="142" spans="1:11">
      <c r="A142" s="733">
        <v>20</v>
      </c>
      <c r="B142" s="733" t="s">
        <v>640</v>
      </c>
      <c r="C142" s="295" t="s">
        <v>672</v>
      </c>
      <c r="D142" s="357">
        <v>1</v>
      </c>
      <c r="E142" s="357">
        <v>0</v>
      </c>
      <c r="F142" s="364">
        <v>0</v>
      </c>
      <c r="G142" s="357">
        <v>0</v>
      </c>
      <c r="H142" s="357">
        <v>57636084</v>
      </c>
      <c r="I142" s="357">
        <v>0</v>
      </c>
      <c r="J142" s="357">
        <v>0</v>
      </c>
      <c r="K142" s="377">
        <v>0</v>
      </c>
    </row>
    <row r="143" spans="1:11">
      <c r="A143" s="734"/>
      <c r="B143" s="734"/>
      <c r="C143" s="295" t="s">
        <v>673</v>
      </c>
      <c r="D143" s="357">
        <v>4</v>
      </c>
      <c r="E143" s="364">
        <v>1</v>
      </c>
      <c r="F143" s="364">
        <v>3</v>
      </c>
      <c r="G143" s="357">
        <v>0</v>
      </c>
      <c r="H143" s="357">
        <v>83568243</v>
      </c>
      <c r="I143" s="357">
        <v>5154594</v>
      </c>
      <c r="J143" s="357">
        <v>54006559</v>
      </c>
      <c r="K143" s="377">
        <v>0</v>
      </c>
    </row>
    <row r="144" spans="1:11">
      <c r="A144" s="734"/>
      <c r="B144" s="734"/>
      <c r="C144" s="295" t="s">
        <v>674</v>
      </c>
      <c r="D144" s="357">
        <v>93</v>
      </c>
      <c r="E144" s="364">
        <v>9</v>
      </c>
      <c r="F144" s="357">
        <v>5</v>
      </c>
      <c r="G144" s="357">
        <v>0</v>
      </c>
      <c r="H144" s="357">
        <v>560804312</v>
      </c>
      <c r="I144" s="357">
        <v>63590894</v>
      </c>
      <c r="J144" s="357">
        <v>32280812</v>
      </c>
      <c r="K144" s="377">
        <v>0</v>
      </c>
    </row>
    <row r="145" spans="1:11" ht="12.5" thickBot="1">
      <c r="A145" s="734"/>
      <c r="B145" s="734"/>
      <c r="C145" s="296" t="s">
        <v>675</v>
      </c>
      <c r="D145" s="359">
        <v>619</v>
      </c>
      <c r="E145" s="378">
        <v>6</v>
      </c>
      <c r="F145" s="359">
        <v>4</v>
      </c>
      <c r="G145" s="359">
        <v>0</v>
      </c>
      <c r="H145" s="359">
        <v>1506260426</v>
      </c>
      <c r="I145" s="359">
        <v>16086278</v>
      </c>
      <c r="J145" s="359">
        <v>9877037</v>
      </c>
      <c r="K145" s="379">
        <v>0</v>
      </c>
    </row>
    <row r="146" spans="1:11" s="214" customFormat="1" ht="13" thickTop="1" thickBot="1">
      <c r="A146" s="734"/>
      <c r="B146" s="734"/>
      <c r="C146" s="297" t="s">
        <v>582</v>
      </c>
      <c r="D146" s="373">
        <v>717</v>
      </c>
      <c r="E146" s="373">
        <v>16</v>
      </c>
      <c r="F146" s="373">
        <v>12</v>
      </c>
      <c r="G146" s="373">
        <v>0</v>
      </c>
      <c r="H146" s="373">
        <v>2208269065</v>
      </c>
      <c r="I146" s="373">
        <v>84831766</v>
      </c>
      <c r="J146" s="373">
        <v>96164408</v>
      </c>
      <c r="K146" s="374">
        <v>0</v>
      </c>
    </row>
    <row r="147" spans="1:11" ht="12.5" thickTop="1">
      <c r="A147" s="734"/>
      <c r="B147" s="734"/>
      <c r="C147" s="303" t="s">
        <v>676</v>
      </c>
      <c r="D147" s="380">
        <v>581</v>
      </c>
      <c r="E147" s="380">
        <v>16</v>
      </c>
      <c r="F147" s="380">
        <v>0</v>
      </c>
      <c r="G147" s="380">
        <v>0</v>
      </c>
      <c r="H147" s="380">
        <v>2029556223</v>
      </c>
      <c r="I147" s="380">
        <v>84831766</v>
      </c>
      <c r="J147" s="380">
        <v>96164408</v>
      </c>
      <c r="K147" s="381">
        <v>0</v>
      </c>
    </row>
    <row r="148" spans="1:11">
      <c r="A148" s="735"/>
      <c r="B148" s="735"/>
      <c r="C148" s="304" t="s">
        <v>677</v>
      </c>
      <c r="D148" s="357">
        <v>136</v>
      </c>
      <c r="E148" s="357">
        <v>0</v>
      </c>
      <c r="F148" s="357">
        <v>0</v>
      </c>
      <c r="G148" s="357">
        <v>0</v>
      </c>
      <c r="H148" s="357">
        <v>178712842</v>
      </c>
      <c r="I148" s="357">
        <v>0</v>
      </c>
      <c r="J148" s="357">
        <v>0</v>
      </c>
      <c r="K148" s="357">
        <v>0</v>
      </c>
    </row>
    <row r="149" spans="1:11">
      <c r="A149" s="730">
        <v>21</v>
      </c>
      <c r="B149" s="730" t="s">
        <v>257</v>
      </c>
      <c r="C149" s="299" t="s">
        <v>672</v>
      </c>
      <c r="D149" s="367">
        <v>2</v>
      </c>
      <c r="E149" s="367">
        <v>0</v>
      </c>
      <c r="F149" s="367">
        <v>10</v>
      </c>
      <c r="G149" s="367">
        <v>1</v>
      </c>
      <c r="H149" s="367">
        <v>49956866</v>
      </c>
      <c r="I149" s="367">
        <v>0</v>
      </c>
      <c r="J149" s="367">
        <v>265771568</v>
      </c>
      <c r="K149" s="370">
        <v>33905923</v>
      </c>
    </row>
    <row r="150" spans="1:11">
      <c r="A150" s="731"/>
      <c r="B150" s="731"/>
      <c r="C150" s="299" t="s">
        <v>673</v>
      </c>
      <c r="D150" s="367">
        <v>13</v>
      </c>
      <c r="E150" s="367">
        <v>3</v>
      </c>
      <c r="F150" s="367">
        <v>5</v>
      </c>
      <c r="G150" s="367">
        <v>0</v>
      </c>
      <c r="H150" s="367">
        <v>185154613</v>
      </c>
      <c r="I150" s="367">
        <v>31736364</v>
      </c>
      <c r="J150" s="367">
        <v>70480441</v>
      </c>
      <c r="K150" s="370">
        <v>0</v>
      </c>
    </row>
    <row r="151" spans="1:11">
      <c r="A151" s="731"/>
      <c r="B151" s="731"/>
      <c r="C151" s="299" t="s">
        <v>674</v>
      </c>
      <c r="D151" s="367">
        <v>230</v>
      </c>
      <c r="E151" s="367">
        <v>37</v>
      </c>
      <c r="F151" s="367">
        <v>3</v>
      </c>
      <c r="G151" s="367">
        <v>0</v>
      </c>
      <c r="H151" s="367">
        <v>728013604</v>
      </c>
      <c r="I151" s="367">
        <v>132561918</v>
      </c>
      <c r="J151" s="367">
        <v>12381886</v>
      </c>
      <c r="K151" s="370">
        <v>0</v>
      </c>
    </row>
    <row r="152" spans="1:11" ht="12.5" thickBot="1">
      <c r="A152" s="731"/>
      <c r="B152" s="731"/>
      <c r="C152" s="300" t="s">
        <v>675</v>
      </c>
      <c r="D152" s="371">
        <v>178</v>
      </c>
      <c r="E152" s="371">
        <v>10</v>
      </c>
      <c r="F152" s="371">
        <v>0</v>
      </c>
      <c r="G152" s="371">
        <v>0</v>
      </c>
      <c r="H152" s="371">
        <v>357249127</v>
      </c>
      <c r="I152" s="371">
        <v>13484052</v>
      </c>
      <c r="J152" s="371">
        <v>0</v>
      </c>
      <c r="K152" s="372">
        <v>0</v>
      </c>
    </row>
    <row r="153" spans="1:11" s="214" customFormat="1" ht="13" thickTop="1" thickBot="1">
      <c r="A153" s="731"/>
      <c r="B153" s="731"/>
      <c r="C153" s="297" t="s">
        <v>582</v>
      </c>
      <c r="D153" s="373">
        <v>423</v>
      </c>
      <c r="E153" s="373">
        <v>50</v>
      </c>
      <c r="F153" s="373">
        <v>18</v>
      </c>
      <c r="G153" s="373">
        <v>1</v>
      </c>
      <c r="H153" s="373">
        <v>1320374210</v>
      </c>
      <c r="I153" s="373">
        <v>177782334</v>
      </c>
      <c r="J153" s="373">
        <v>348633895</v>
      </c>
      <c r="K153" s="374">
        <v>33905923</v>
      </c>
    </row>
    <row r="154" spans="1:11" ht="12.5" thickTop="1">
      <c r="A154" s="731"/>
      <c r="B154" s="731"/>
      <c r="C154" s="308" t="s">
        <v>676</v>
      </c>
      <c r="D154" s="375">
        <v>423</v>
      </c>
      <c r="E154" s="375">
        <v>50</v>
      </c>
      <c r="F154" s="375">
        <v>18</v>
      </c>
      <c r="G154" s="375">
        <v>1</v>
      </c>
      <c r="H154" s="375">
        <v>1320374210</v>
      </c>
      <c r="I154" s="375">
        <v>177782334</v>
      </c>
      <c r="J154" s="375">
        <v>348633895</v>
      </c>
      <c r="K154" s="376">
        <v>33905923</v>
      </c>
    </row>
    <row r="155" spans="1:11">
      <c r="A155" s="732"/>
      <c r="B155" s="732"/>
      <c r="C155" s="302" t="s">
        <v>677</v>
      </c>
      <c r="D155" s="367">
        <v>0</v>
      </c>
      <c r="E155" s="367">
        <v>0</v>
      </c>
      <c r="F155" s="367">
        <v>0</v>
      </c>
      <c r="G155" s="367">
        <v>0</v>
      </c>
      <c r="H155" s="367">
        <v>0</v>
      </c>
      <c r="I155" s="367">
        <v>0</v>
      </c>
      <c r="J155" s="367">
        <v>0</v>
      </c>
      <c r="K155" s="370">
        <v>0</v>
      </c>
    </row>
    <row r="156" spans="1:11">
      <c r="A156" s="733">
        <v>22</v>
      </c>
      <c r="B156" s="733" t="s">
        <v>243</v>
      </c>
      <c r="C156" s="295" t="s">
        <v>672</v>
      </c>
      <c r="D156" s="357"/>
      <c r="E156" s="357"/>
      <c r="F156" s="364"/>
      <c r="G156" s="357"/>
      <c r="H156" s="357"/>
      <c r="I156" s="357"/>
      <c r="J156" s="357"/>
      <c r="K156" s="377"/>
    </row>
    <row r="157" spans="1:11">
      <c r="A157" s="734"/>
      <c r="B157" s="734"/>
      <c r="C157" s="295" t="s">
        <v>673</v>
      </c>
      <c r="D157" s="357"/>
      <c r="E157" s="364"/>
      <c r="F157" s="364"/>
      <c r="G157" s="357"/>
      <c r="H157" s="357"/>
      <c r="I157" s="357"/>
      <c r="J157" s="357"/>
      <c r="K157" s="377"/>
    </row>
    <row r="158" spans="1:11">
      <c r="A158" s="734"/>
      <c r="B158" s="734"/>
      <c r="C158" s="295" t="s">
        <v>674</v>
      </c>
      <c r="D158" s="357"/>
      <c r="E158" s="364"/>
      <c r="F158" s="357"/>
      <c r="G158" s="357"/>
      <c r="H158" s="357"/>
      <c r="I158" s="357"/>
      <c r="J158" s="357"/>
      <c r="K158" s="377"/>
    </row>
    <row r="159" spans="1:11" ht="12.5" thickBot="1">
      <c r="A159" s="734"/>
      <c r="B159" s="734"/>
      <c r="C159" s="296" t="s">
        <v>675</v>
      </c>
      <c r="D159" s="359"/>
      <c r="E159" s="378"/>
      <c r="F159" s="359"/>
      <c r="G159" s="359"/>
      <c r="H159" s="359"/>
      <c r="I159" s="359"/>
      <c r="J159" s="359"/>
      <c r="K159" s="379"/>
    </row>
    <row r="160" spans="1:11" s="214" customFormat="1" ht="13" thickTop="1" thickBot="1">
      <c r="A160" s="734"/>
      <c r="B160" s="734"/>
      <c r="C160" s="297" t="s">
        <v>582</v>
      </c>
      <c r="D160" s="373">
        <f>SUM(D156:D159)</f>
        <v>0</v>
      </c>
      <c r="E160" s="373">
        <f>SUM(E156:E159)</f>
        <v>0</v>
      </c>
      <c r="F160" s="373">
        <f>SUM(F156:F159)</f>
        <v>0</v>
      </c>
      <c r="G160" s="373">
        <f>SUM(G156:G159)</f>
        <v>0</v>
      </c>
      <c r="H160" s="373">
        <f t="shared" ref="H160:K160" si="4">SUM(H156:H159)</f>
        <v>0</v>
      </c>
      <c r="I160" s="373">
        <f t="shared" si="4"/>
        <v>0</v>
      </c>
      <c r="J160" s="373">
        <f t="shared" si="4"/>
        <v>0</v>
      </c>
      <c r="K160" s="374">
        <f t="shared" si="4"/>
        <v>0</v>
      </c>
    </row>
    <row r="161" spans="1:11" ht="12.5" thickTop="1">
      <c r="A161" s="734"/>
      <c r="B161" s="734"/>
      <c r="C161" s="303" t="s">
        <v>676</v>
      </c>
      <c r="D161" s="380"/>
      <c r="E161" s="380"/>
      <c r="F161" s="380"/>
      <c r="G161" s="380"/>
      <c r="H161" s="380"/>
      <c r="I161" s="380"/>
      <c r="J161" s="380"/>
      <c r="K161" s="381"/>
    </row>
    <row r="162" spans="1:11">
      <c r="A162" s="735"/>
      <c r="B162" s="735"/>
      <c r="C162" s="304" t="s">
        <v>677</v>
      </c>
      <c r="D162" s="357"/>
      <c r="E162" s="357"/>
      <c r="F162" s="357"/>
      <c r="G162" s="357"/>
      <c r="H162" s="357"/>
      <c r="I162" s="357"/>
      <c r="J162" s="357"/>
      <c r="K162" s="357"/>
    </row>
    <row r="163" spans="1:11" s="203" customFormat="1"/>
    <row r="164" spans="1:11" s="217" customFormat="1" ht="19">
      <c r="A164" s="217" t="s">
        <v>693</v>
      </c>
    </row>
    <row r="165" spans="1:11" s="203" customFormat="1"/>
    <row r="166" spans="1:11" s="203" customFormat="1">
      <c r="D166" s="724" t="s">
        <v>665</v>
      </c>
      <c r="E166" s="724"/>
      <c r="F166" s="724" t="s">
        <v>666</v>
      </c>
      <c r="G166" s="724"/>
    </row>
    <row r="167" spans="1:11" s="214" customFormat="1" ht="24.5" thickBot="1">
      <c r="A167" s="206" t="s">
        <v>143</v>
      </c>
      <c r="B167" s="206" t="s">
        <v>144</v>
      </c>
      <c r="C167" s="206" t="s">
        <v>669</v>
      </c>
      <c r="D167" s="347" t="s">
        <v>670</v>
      </c>
      <c r="E167" s="347" t="s">
        <v>671</v>
      </c>
      <c r="F167" s="347" t="s">
        <v>670</v>
      </c>
      <c r="G167" s="347" t="s">
        <v>671</v>
      </c>
      <c r="H167" s="348" t="s">
        <v>694</v>
      </c>
      <c r="I167" s="348" t="s">
        <v>695</v>
      </c>
      <c r="J167" s="348" t="s">
        <v>696</v>
      </c>
    </row>
    <row r="168" spans="1:11">
      <c r="A168" s="318">
        <v>1</v>
      </c>
      <c r="B168" s="319" t="s">
        <v>184</v>
      </c>
      <c r="C168" s="301" t="s">
        <v>672</v>
      </c>
      <c r="D168" s="349">
        <v>0</v>
      </c>
      <c r="E168" s="349">
        <v>0</v>
      </c>
      <c r="F168" s="349">
        <v>0</v>
      </c>
      <c r="G168" s="349">
        <v>0</v>
      </c>
      <c r="H168" s="349">
        <v>0</v>
      </c>
      <c r="I168" s="349">
        <v>0</v>
      </c>
      <c r="J168" s="349">
        <v>0</v>
      </c>
    </row>
    <row r="169" spans="1:11">
      <c r="A169" s="318">
        <v>1</v>
      </c>
      <c r="B169" s="319" t="s">
        <v>184</v>
      </c>
      <c r="C169" s="299" t="s">
        <v>673</v>
      </c>
      <c r="D169" s="349">
        <v>0</v>
      </c>
      <c r="E169" s="349">
        <v>0</v>
      </c>
      <c r="F169" s="349">
        <v>0</v>
      </c>
      <c r="G169" s="349">
        <v>0</v>
      </c>
      <c r="H169" s="349">
        <v>0</v>
      </c>
      <c r="I169" s="349">
        <v>0</v>
      </c>
      <c r="J169" s="349">
        <v>0</v>
      </c>
    </row>
    <row r="170" spans="1:11">
      <c r="A170" s="318">
        <v>1</v>
      </c>
      <c r="B170" s="319" t="s">
        <v>184</v>
      </c>
      <c r="C170" s="299" t="s">
        <v>674</v>
      </c>
      <c r="D170" s="349">
        <v>0</v>
      </c>
      <c r="E170" s="349">
        <v>0</v>
      </c>
      <c r="F170" s="349">
        <v>0</v>
      </c>
      <c r="G170" s="349">
        <v>0</v>
      </c>
      <c r="H170" s="349">
        <v>0</v>
      </c>
      <c r="I170" s="349">
        <v>0</v>
      </c>
      <c r="J170" s="349">
        <v>0</v>
      </c>
    </row>
    <row r="171" spans="1:11" ht="12.5" thickBot="1">
      <c r="A171" s="320">
        <v>1</v>
      </c>
      <c r="B171" s="321" t="s">
        <v>184</v>
      </c>
      <c r="C171" s="300" t="s">
        <v>675</v>
      </c>
      <c r="D171" s="349">
        <v>0</v>
      </c>
      <c r="E171" s="349">
        <v>0</v>
      </c>
      <c r="F171" s="349">
        <v>0</v>
      </c>
      <c r="G171" s="349">
        <v>0</v>
      </c>
      <c r="H171" s="349">
        <v>0</v>
      </c>
      <c r="I171" s="349">
        <v>0</v>
      </c>
      <c r="J171" s="349">
        <v>0</v>
      </c>
    </row>
    <row r="172" spans="1:11" s="214" customFormat="1" ht="13" thickTop="1" thickBot="1">
      <c r="A172" s="322">
        <v>1</v>
      </c>
      <c r="B172" s="323" t="s">
        <v>184</v>
      </c>
      <c r="C172" s="297" t="s">
        <v>582</v>
      </c>
      <c r="D172" s="350">
        <v>0</v>
      </c>
      <c r="E172" s="350">
        <v>0</v>
      </c>
      <c r="F172" s="350">
        <v>0</v>
      </c>
      <c r="G172" s="350">
        <v>0</v>
      </c>
      <c r="H172" s="350">
        <v>0</v>
      </c>
      <c r="I172" s="350">
        <v>0</v>
      </c>
      <c r="J172" s="350">
        <v>0</v>
      </c>
      <c r="K172" s="215"/>
    </row>
    <row r="173" spans="1:11" ht="12.5" thickTop="1">
      <c r="A173" s="324">
        <v>1</v>
      </c>
      <c r="B173" s="325" t="s">
        <v>184</v>
      </c>
      <c r="C173" s="308" t="s">
        <v>676</v>
      </c>
      <c r="D173" s="349">
        <v>0</v>
      </c>
      <c r="E173" s="349">
        <v>0</v>
      </c>
      <c r="F173" s="349">
        <v>0</v>
      </c>
      <c r="G173" s="349">
        <v>0</v>
      </c>
      <c r="H173" s="349">
        <v>0</v>
      </c>
      <c r="I173" s="349">
        <v>0</v>
      </c>
      <c r="J173" s="349">
        <v>0</v>
      </c>
    </row>
    <row r="174" spans="1:11">
      <c r="A174" s="318">
        <v>1</v>
      </c>
      <c r="B174" s="319" t="s">
        <v>184</v>
      </c>
      <c r="C174" s="302" t="s">
        <v>677</v>
      </c>
      <c r="D174" s="349">
        <v>0</v>
      </c>
      <c r="E174" s="349">
        <v>0</v>
      </c>
      <c r="F174" s="349">
        <v>0</v>
      </c>
      <c r="G174" s="349">
        <v>0</v>
      </c>
      <c r="H174" s="349">
        <v>0</v>
      </c>
      <c r="I174" s="349">
        <v>0</v>
      </c>
      <c r="J174" s="349">
        <v>0</v>
      </c>
    </row>
    <row r="175" spans="1:11">
      <c r="A175" s="326">
        <v>2</v>
      </c>
      <c r="B175" s="294" t="s">
        <v>594</v>
      </c>
      <c r="C175" s="295" t="s">
        <v>672</v>
      </c>
      <c r="D175" s="351"/>
      <c r="E175" s="351"/>
      <c r="F175" s="351"/>
      <c r="G175" s="351"/>
      <c r="H175" s="351"/>
      <c r="I175" s="351"/>
      <c r="J175" s="351"/>
    </row>
    <row r="176" spans="1:11">
      <c r="A176" s="326">
        <v>2</v>
      </c>
      <c r="B176" s="294" t="s">
        <v>594</v>
      </c>
      <c r="C176" s="295" t="s">
        <v>673</v>
      </c>
      <c r="D176" s="351"/>
      <c r="E176" s="351"/>
      <c r="F176" s="351"/>
      <c r="G176" s="351"/>
      <c r="H176" s="351"/>
      <c r="I176" s="351"/>
      <c r="J176" s="351"/>
    </row>
    <row r="177" spans="1:11">
      <c r="A177" s="326">
        <v>2</v>
      </c>
      <c r="B177" s="294" t="s">
        <v>594</v>
      </c>
      <c r="C177" s="295" t="s">
        <v>674</v>
      </c>
      <c r="D177" s="351">
        <v>370</v>
      </c>
      <c r="E177" s="351">
        <v>14</v>
      </c>
      <c r="F177" s="351"/>
      <c r="G177" s="351"/>
      <c r="H177" s="351">
        <v>384</v>
      </c>
      <c r="I177" s="351">
        <v>2390065104</v>
      </c>
      <c r="J177" s="351"/>
    </row>
    <row r="178" spans="1:11" ht="12.5" thickBot="1">
      <c r="A178" s="328">
        <v>2</v>
      </c>
      <c r="B178" s="333" t="s">
        <v>594</v>
      </c>
      <c r="C178" s="296" t="s">
        <v>675</v>
      </c>
      <c r="D178" s="352"/>
      <c r="E178" s="352"/>
      <c r="F178" s="352"/>
      <c r="G178" s="352"/>
      <c r="H178" s="352"/>
      <c r="I178" s="352"/>
      <c r="J178" s="352"/>
    </row>
    <row r="179" spans="1:11" s="214" customFormat="1" ht="13" thickTop="1" thickBot="1">
      <c r="A179" s="322">
        <v>2</v>
      </c>
      <c r="B179" s="306" t="s">
        <v>594</v>
      </c>
      <c r="C179" s="297" t="s">
        <v>582</v>
      </c>
      <c r="D179" s="353">
        <v>370</v>
      </c>
      <c r="E179" s="353">
        <v>14</v>
      </c>
      <c r="F179" s="353">
        <v>0</v>
      </c>
      <c r="G179" s="353">
        <v>0</v>
      </c>
      <c r="H179" s="353">
        <v>384</v>
      </c>
      <c r="I179" s="353">
        <v>2390065104</v>
      </c>
      <c r="J179" s="353">
        <v>0</v>
      </c>
      <c r="K179" s="215"/>
    </row>
    <row r="180" spans="1:11" ht="12.5" thickTop="1">
      <c r="A180" s="331">
        <v>2</v>
      </c>
      <c r="B180" s="334" t="s">
        <v>594</v>
      </c>
      <c r="C180" s="303" t="s">
        <v>676</v>
      </c>
      <c r="D180" s="354"/>
      <c r="E180" s="354"/>
      <c r="F180" s="354"/>
      <c r="G180" s="354"/>
      <c r="H180" s="354"/>
      <c r="I180" s="354"/>
      <c r="J180" s="354"/>
    </row>
    <row r="181" spans="1:11">
      <c r="A181" s="326">
        <v>2</v>
      </c>
      <c r="B181" s="294" t="s">
        <v>594</v>
      </c>
      <c r="C181" s="304" t="s">
        <v>677</v>
      </c>
      <c r="D181" s="351">
        <v>370</v>
      </c>
      <c r="E181" s="351">
        <v>14</v>
      </c>
      <c r="F181" s="351"/>
      <c r="G181" s="351"/>
      <c r="H181" s="351">
        <v>384</v>
      </c>
      <c r="I181" s="351">
        <v>2390065104</v>
      </c>
      <c r="J181" s="351"/>
    </row>
    <row r="182" spans="1:11">
      <c r="A182" s="326">
        <v>2</v>
      </c>
      <c r="B182" s="294" t="s">
        <v>594</v>
      </c>
      <c r="C182" s="304" t="s">
        <v>697</v>
      </c>
      <c r="D182" s="351">
        <v>692</v>
      </c>
      <c r="E182" s="351">
        <v>44</v>
      </c>
      <c r="F182" s="351"/>
      <c r="G182" s="351"/>
      <c r="H182" s="351">
        <v>761</v>
      </c>
      <c r="I182" s="351">
        <v>9621327667</v>
      </c>
      <c r="J182" s="351">
        <v>595003676</v>
      </c>
    </row>
    <row r="183" spans="1:11">
      <c r="A183" s="318">
        <v>3</v>
      </c>
      <c r="B183" s="298" t="s">
        <v>678</v>
      </c>
      <c r="C183" s="299" t="s">
        <v>672</v>
      </c>
      <c r="D183" s="349"/>
      <c r="E183" s="349"/>
      <c r="F183" s="349">
        <v>11</v>
      </c>
      <c r="G183" s="349">
        <v>1</v>
      </c>
      <c r="H183" s="349">
        <v>12</v>
      </c>
      <c r="I183" s="349">
        <v>0</v>
      </c>
      <c r="J183" s="349">
        <v>0</v>
      </c>
    </row>
    <row r="184" spans="1:11">
      <c r="A184" s="318">
        <v>3</v>
      </c>
      <c r="B184" s="298" t="s">
        <v>678</v>
      </c>
      <c r="C184" s="299" t="s">
        <v>673</v>
      </c>
      <c r="D184" s="349">
        <v>36</v>
      </c>
      <c r="E184" s="349">
        <v>4</v>
      </c>
      <c r="F184" s="349">
        <v>50</v>
      </c>
      <c r="G184" s="349"/>
      <c r="H184" s="349">
        <v>90</v>
      </c>
      <c r="I184" s="349">
        <v>0</v>
      </c>
      <c r="J184" s="349">
        <v>0</v>
      </c>
    </row>
    <row r="185" spans="1:11">
      <c r="A185" s="318">
        <v>3</v>
      </c>
      <c r="B185" s="298" t="s">
        <v>678</v>
      </c>
      <c r="C185" s="299" t="s">
        <v>674</v>
      </c>
      <c r="D185" s="349">
        <v>61</v>
      </c>
      <c r="E185" s="349">
        <v>15</v>
      </c>
      <c r="F185" s="349">
        <v>0</v>
      </c>
      <c r="G185" s="349">
        <v>0</v>
      </c>
      <c r="H185" s="349">
        <v>76</v>
      </c>
      <c r="I185" s="349">
        <v>0</v>
      </c>
      <c r="J185" s="349">
        <v>0</v>
      </c>
    </row>
    <row r="186" spans="1:11" ht="12.5" thickBot="1">
      <c r="A186" s="320">
        <v>3</v>
      </c>
      <c r="B186" s="305" t="s">
        <v>678</v>
      </c>
      <c r="C186" s="300" t="s">
        <v>675</v>
      </c>
      <c r="D186" s="355">
        <v>453</v>
      </c>
      <c r="E186" s="355">
        <v>52</v>
      </c>
      <c r="F186" s="355">
        <v>0</v>
      </c>
      <c r="G186" s="355">
        <v>0</v>
      </c>
      <c r="H186" s="355">
        <v>505</v>
      </c>
      <c r="I186" s="355">
        <v>10434164502</v>
      </c>
      <c r="J186" s="355">
        <v>766619841</v>
      </c>
    </row>
    <row r="187" spans="1:11" s="214" customFormat="1" ht="13" thickTop="1" thickBot="1">
      <c r="A187" s="322">
        <v>3</v>
      </c>
      <c r="B187" s="306" t="s">
        <v>678</v>
      </c>
      <c r="C187" s="297" t="s">
        <v>582</v>
      </c>
      <c r="D187" s="353">
        <v>550</v>
      </c>
      <c r="E187" s="353">
        <v>71</v>
      </c>
      <c r="F187" s="353">
        <v>61</v>
      </c>
      <c r="G187" s="353">
        <v>1</v>
      </c>
      <c r="H187" s="353">
        <v>683</v>
      </c>
      <c r="I187" s="353">
        <v>10434164502</v>
      </c>
      <c r="J187" s="353">
        <v>766619841</v>
      </c>
      <c r="K187" s="215"/>
    </row>
    <row r="188" spans="1:11" ht="12.5" thickTop="1">
      <c r="A188" s="324">
        <v>3</v>
      </c>
      <c r="B188" s="315" t="s">
        <v>678</v>
      </c>
      <c r="C188" s="308" t="s">
        <v>676</v>
      </c>
      <c r="D188" s="356">
        <v>550</v>
      </c>
      <c r="E188" s="356">
        <v>71</v>
      </c>
      <c r="F188" s="356">
        <v>0</v>
      </c>
      <c r="G188" s="356">
        <v>0</v>
      </c>
      <c r="H188" s="356">
        <v>0</v>
      </c>
      <c r="I188" s="356">
        <v>0</v>
      </c>
      <c r="J188" s="356">
        <v>0</v>
      </c>
    </row>
    <row r="189" spans="1:11">
      <c r="A189" s="318">
        <v>3</v>
      </c>
      <c r="B189" s="298" t="s">
        <v>678</v>
      </c>
      <c r="C189" s="302" t="s">
        <v>677</v>
      </c>
      <c r="D189" s="349">
        <v>0</v>
      </c>
      <c r="E189" s="349">
        <v>0</v>
      </c>
      <c r="F189" s="349">
        <v>0</v>
      </c>
      <c r="G189" s="349">
        <v>0</v>
      </c>
      <c r="H189" s="349">
        <v>0</v>
      </c>
      <c r="I189" s="349">
        <v>0</v>
      </c>
      <c r="J189" s="349">
        <v>0</v>
      </c>
    </row>
    <row r="190" spans="1:11">
      <c r="A190" s="318">
        <v>3</v>
      </c>
      <c r="B190" s="298" t="s">
        <v>678</v>
      </c>
      <c r="C190" s="302" t="s">
        <v>697</v>
      </c>
      <c r="D190" s="349">
        <v>0</v>
      </c>
      <c r="E190" s="349">
        <v>0</v>
      </c>
      <c r="F190" s="349">
        <v>0</v>
      </c>
      <c r="G190" s="349">
        <v>0</v>
      </c>
      <c r="H190" s="349">
        <v>0</v>
      </c>
      <c r="I190" s="349">
        <v>32080670452</v>
      </c>
      <c r="J190" s="349">
        <v>0</v>
      </c>
    </row>
    <row r="191" spans="1:11">
      <c r="A191" s="326">
        <v>4</v>
      </c>
      <c r="B191" s="294" t="s">
        <v>683</v>
      </c>
      <c r="C191" s="295" t="s">
        <v>672</v>
      </c>
      <c r="D191" s="351"/>
      <c r="E191" s="351"/>
      <c r="F191" s="351"/>
      <c r="G191" s="351"/>
      <c r="H191" s="351"/>
      <c r="I191" s="351"/>
      <c r="J191" s="351">
        <v>0</v>
      </c>
    </row>
    <row r="192" spans="1:11">
      <c r="A192" s="326">
        <v>4</v>
      </c>
      <c r="B192" s="294" t="s">
        <v>683</v>
      </c>
      <c r="C192" s="295" t="s">
        <v>673</v>
      </c>
      <c r="D192" s="351"/>
      <c r="E192" s="351"/>
      <c r="F192" s="351"/>
      <c r="G192" s="351"/>
      <c r="H192" s="351"/>
      <c r="I192" s="351"/>
      <c r="J192" s="351">
        <v>0</v>
      </c>
    </row>
    <row r="193" spans="1:11">
      <c r="A193" s="326">
        <v>4</v>
      </c>
      <c r="B193" s="294" t="s">
        <v>683</v>
      </c>
      <c r="C193" s="295" t="s">
        <v>674</v>
      </c>
      <c r="D193" s="351">
        <v>0</v>
      </c>
      <c r="E193" s="351">
        <v>0</v>
      </c>
      <c r="F193" s="351">
        <v>0</v>
      </c>
      <c r="G193" s="351">
        <v>0</v>
      </c>
      <c r="H193" s="351">
        <v>0</v>
      </c>
      <c r="I193" s="351">
        <v>0</v>
      </c>
      <c r="J193" s="351">
        <v>0</v>
      </c>
    </row>
    <row r="194" spans="1:11" ht="12.5" thickBot="1">
      <c r="A194" s="328">
        <v>4</v>
      </c>
      <c r="B194" s="333" t="s">
        <v>683</v>
      </c>
      <c r="C194" s="296" t="s">
        <v>675</v>
      </c>
      <c r="D194" s="351">
        <v>0</v>
      </c>
      <c r="E194" s="351">
        <v>0</v>
      </c>
      <c r="F194" s="351">
        <v>0</v>
      </c>
      <c r="G194" s="351">
        <v>0</v>
      </c>
      <c r="H194" s="351">
        <v>0</v>
      </c>
      <c r="I194" s="351">
        <v>0</v>
      </c>
      <c r="J194" s="351">
        <v>0</v>
      </c>
    </row>
    <row r="195" spans="1:11" s="214" customFormat="1" ht="13" thickTop="1" thickBot="1">
      <c r="A195" s="322">
        <v>4</v>
      </c>
      <c r="B195" s="306" t="s">
        <v>683</v>
      </c>
      <c r="C195" s="297" t="s">
        <v>582</v>
      </c>
      <c r="D195" s="353">
        <v>0</v>
      </c>
      <c r="E195" s="353">
        <v>0</v>
      </c>
      <c r="F195" s="353">
        <v>0</v>
      </c>
      <c r="G195" s="353">
        <v>0</v>
      </c>
      <c r="H195" s="353">
        <v>0</v>
      </c>
      <c r="I195" s="353">
        <v>0</v>
      </c>
      <c r="J195" s="353">
        <v>0</v>
      </c>
      <c r="K195" s="215"/>
    </row>
    <row r="196" spans="1:11" ht="12.5" thickTop="1">
      <c r="A196" s="331">
        <v>4</v>
      </c>
      <c r="B196" s="334" t="s">
        <v>683</v>
      </c>
      <c r="C196" s="303" t="s">
        <v>676</v>
      </c>
      <c r="D196" s="351">
        <v>0</v>
      </c>
      <c r="E196" s="351">
        <v>0</v>
      </c>
      <c r="F196" s="351">
        <v>0</v>
      </c>
      <c r="G196" s="351">
        <v>0</v>
      </c>
      <c r="H196" s="351">
        <v>0</v>
      </c>
      <c r="I196" s="351">
        <v>0</v>
      </c>
      <c r="J196" s="351">
        <v>0</v>
      </c>
    </row>
    <row r="197" spans="1:11">
      <c r="A197" s="326">
        <v>4</v>
      </c>
      <c r="B197" s="294" t="s">
        <v>683</v>
      </c>
      <c r="C197" s="304" t="s">
        <v>677</v>
      </c>
      <c r="D197" s="351">
        <v>0</v>
      </c>
      <c r="E197" s="351">
        <v>0</v>
      </c>
      <c r="F197" s="351">
        <v>0</v>
      </c>
      <c r="G197" s="351">
        <v>0</v>
      </c>
      <c r="H197" s="351">
        <v>0</v>
      </c>
      <c r="I197" s="351">
        <v>0</v>
      </c>
      <c r="J197" s="351">
        <v>0</v>
      </c>
    </row>
    <row r="198" spans="1:11">
      <c r="A198" s="320">
        <v>5</v>
      </c>
      <c r="B198" s="305" t="s">
        <v>684</v>
      </c>
      <c r="C198" s="299" t="s">
        <v>672</v>
      </c>
      <c r="D198" s="349">
        <v>0</v>
      </c>
      <c r="E198" s="349">
        <v>0</v>
      </c>
      <c r="F198" s="349">
        <v>0</v>
      </c>
      <c r="G198" s="349">
        <v>0</v>
      </c>
      <c r="H198" s="349">
        <v>0</v>
      </c>
      <c r="I198" s="349">
        <v>0</v>
      </c>
      <c r="J198" s="349">
        <v>0</v>
      </c>
    </row>
    <row r="199" spans="1:11">
      <c r="A199" s="320">
        <v>5</v>
      </c>
      <c r="B199" s="305" t="s">
        <v>684</v>
      </c>
      <c r="C199" s="299" t="s">
        <v>673</v>
      </c>
      <c r="D199" s="349">
        <v>2</v>
      </c>
      <c r="E199" s="349">
        <v>2</v>
      </c>
      <c r="F199" s="349">
        <v>0</v>
      </c>
      <c r="G199" s="349">
        <v>0</v>
      </c>
      <c r="H199" s="349">
        <v>4</v>
      </c>
      <c r="I199" s="349">
        <v>27238519</v>
      </c>
      <c r="J199" s="349">
        <v>0</v>
      </c>
    </row>
    <row r="200" spans="1:11">
      <c r="A200" s="320">
        <v>5</v>
      </c>
      <c r="B200" s="305" t="s">
        <v>684</v>
      </c>
      <c r="C200" s="299" t="s">
        <v>674</v>
      </c>
      <c r="D200" s="349">
        <v>21</v>
      </c>
      <c r="E200" s="349">
        <v>11</v>
      </c>
      <c r="F200" s="349">
        <v>0</v>
      </c>
      <c r="G200" s="349">
        <v>0</v>
      </c>
      <c r="H200" s="349">
        <v>32</v>
      </c>
      <c r="I200" s="349">
        <v>198152549</v>
      </c>
      <c r="J200" s="349">
        <v>0</v>
      </c>
    </row>
    <row r="201" spans="1:11" ht="12.5" thickBot="1">
      <c r="A201" s="320">
        <v>5</v>
      </c>
      <c r="B201" s="305" t="s">
        <v>684</v>
      </c>
      <c r="C201" s="300" t="s">
        <v>675</v>
      </c>
      <c r="D201" s="355">
        <v>159</v>
      </c>
      <c r="E201" s="355">
        <v>15</v>
      </c>
      <c r="F201" s="349">
        <v>0</v>
      </c>
      <c r="G201" s="349">
        <v>0</v>
      </c>
      <c r="H201" s="355">
        <v>174</v>
      </c>
      <c r="I201" s="355">
        <v>785939324</v>
      </c>
      <c r="J201" s="349">
        <v>0</v>
      </c>
    </row>
    <row r="202" spans="1:11" s="214" customFormat="1" ht="13" thickTop="1" thickBot="1">
      <c r="A202" s="322">
        <v>5</v>
      </c>
      <c r="B202" s="306" t="s">
        <v>684</v>
      </c>
      <c r="C202" s="297" t="s">
        <v>582</v>
      </c>
      <c r="D202" s="353">
        <v>182</v>
      </c>
      <c r="E202" s="353">
        <v>28</v>
      </c>
      <c r="F202" s="353">
        <v>0</v>
      </c>
      <c r="G202" s="353">
        <v>0</v>
      </c>
      <c r="H202" s="353">
        <v>210</v>
      </c>
      <c r="I202" s="353">
        <v>1011330392</v>
      </c>
      <c r="J202" s="353">
        <v>0</v>
      </c>
      <c r="K202" s="215"/>
    </row>
    <row r="203" spans="1:11" ht="12.5" thickTop="1">
      <c r="A203" s="335">
        <v>5</v>
      </c>
      <c r="B203" s="307" t="s">
        <v>684</v>
      </c>
      <c r="C203" s="308" t="s">
        <v>676</v>
      </c>
      <c r="D203" s="356">
        <v>0</v>
      </c>
      <c r="E203" s="356">
        <v>0</v>
      </c>
      <c r="F203" s="356">
        <v>0</v>
      </c>
      <c r="G203" s="356">
        <v>0</v>
      </c>
      <c r="H203" s="356">
        <v>0</v>
      </c>
      <c r="I203" s="356">
        <v>0</v>
      </c>
      <c r="J203" s="356">
        <v>0</v>
      </c>
    </row>
    <row r="204" spans="1:11">
      <c r="A204" s="320">
        <v>5</v>
      </c>
      <c r="B204" s="305" t="s">
        <v>684</v>
      </c>
      <c r="C204" s="302" t="s">
        <v>677</v>
      </c>
      <c r="D204" s="356">
        <v>0</v>
      </c>
      <c r="E204" s="356">
        <v>0</v>
      </c>
      <c r="F204" s="356">
        <v>0</v>
      </c>
      <c r="G204" s="356">
        <v>0</v>
      </c>
      <c r="H204" s="356">
        <v>0</v>
      </c>
      <c r="I204" s="356">
        <v>0</v>
      </c>
      <c r="J204" s="356">
        <v>0</v>
      </c>
    </row>
    <row r="205" spans="1:11">
      <c r="A205" s="320">
        <v>5</v>
      </c>
      <c r="B205" s="305" t="s">
        <v>684</v>
      </c>
      <c r="C205" s="302" t="s">
        <v>697</v>
      </c>
      <c r="D205" s="349">
        <v>586</v>
      </c>
      <c r="E205" s="349">
        <v>98</v>
      </c>
      <c r="F205" s="349">
        <v>59</v>
      </c>
      <c r="G205" s="349">
        <v>5</v>
      </c>
      <c r="H205" s="349">
        <v>23286821712</v>
      </c>
      <c r="I205" s="356">
        <v>0</v>
      </c>
      <c r="J205" s="356">
        <v>0</v>
      </c>
    </row>
    <row r="206" spans="1:11">
      <c r="A206" s="336">
        <v>6</v>
      </c>
      <c r="B206" s="309" t="s">
        <v>685</v>
      </c>
      <c r="C206" s="295" t="s">
        <v>672</v>
      </c>
      <c r="D206" s="357">
        <v>0</v>
      </c>
      <c r="E206" s="357">
        <v>0</v>
      </c>
      <c r="F206" s="357">
        <v>0</v>
      </c>
      <c r="G206" s="357">
        <v>0</v>
      </c>
      <c r="H206" s="357">
        <v>0</v>
      </c>
      <c r="I206" s="357">
        <v>0</v>
      </c>
      <c r="J206" s="357">
        <v>0</v>
      </c>
    </row>
    <row r="207" spans="1:11">
      <c r="A207" s="336">
        <v>6</v>
      </c>
      <c r="B207" s="309" t="s">
        <v>685</v>
      </c>
      <c r="C207" s="295" t="s">
        <v>673</v>
      </c>
      <c r="D207" s="357">
        <v>0</v>
      </c>
      <c r="E207" s="357">
        <v>0</v>
      </c>
      <c r="F207" s="357">
        <v>0</v>
      </c>
      <c r="G207" s="357">
        <v>0</v>
      </c>
      <c r="H207" s="357">
        <v>0</v>
      </c>
      <c r="I207" s="357">
        <v>0</v>
      </c>
      <c r="J207" s="357">
        <v>0</v>
      </c>
    </row>
    <row r="208" spans="1:11">
      <c r="A208" s="336">
        <v>6</v>
      </c>
      <c r="B208" s="309" t="s">
        <v>685</v>
      </c>
      <c r="C208" s="295" t="s">
        <v>674</v>
      </c>
      <c r="D208" s="357">
        <v>0</v>
      </c>
      <c r="E208" s="357">
        <v>0</v>
      </c>
      <c r="F208" s="357">
        <v>0</v>
      </c>
      <c r="G208" s="357">
        <v>0</v>
      </c>
      <c r="H208" s="357">
        <v>0</v>
      </c>
      <c r="I208" s="357">
        <v>0</v>
      </c>
      <c r="J208" s="357">
        <v>0</v>
      </c>
    </row>
    <row r="209" spans="1:11" ht="12.5" thickBot="1">
      <c r="A209" s="337">
        <v>6</v>
      </c>
      <c r="B209" s="310" t="s">
        <v>685</v>
      </c>
      <c r="C209" s="296" t="s">
        <v>675</v>
      </c>
      <c r="D209" s="358">
        <v>71</v>
      </c>
      <c r="E209" s="359">
        <v>0</v>
      </c>
      <c r="F209" s="359">
        <v>0</v>
      </c>
      <c r="G209" s="359">
        <v>0</v>
      </c>
      <c r="H209" s="359">
        <v>0</v>
      </c>
      <c r="I209" s="359">
        <v>0</v>
      </c>
      <c r="J209" s="359"/>
    </row>
    <row r="210" spans="1:11" s="214" customFormat="1" ht="13" thickTop="1" thickBot="1">
      <c r="A210" s="338">
        <v>6</v>
      </c>
      <c r="B210" s="311" t="s">
        <v>685</v>
      </c>
      <c r="C210" s="297" t="s">
        <v>582</v>
      </c>
      <c r="D210" s="360">
        <v>71</v>
      </c>
      <c r="E210" s="353">
        <v>0</v>
      </c>
      <c r="F210" s="353">
        <v>0</v>
      </c>
      <c r="G210" s="353">
        <v>0</v>
      </c>
      <c r="H210" s="353">
        <v>0</v>
      </c>
      <c r="I210" s="353">
        <v>0</v>
      </c>
      <c r="J210" s="353"/>
      <c r="K210" s="215"/>
    </row>
    <row r="211" spans="1:11" ht="12.5" thickTop="1">
      <c r="A211" s="339">
        <v>6</v>
      </c>
      <c r="B211" s="312" t="s">
        <v>685</v>
      </c>
      <c r="C211" s="303" t="s">
        <v>676</v>
      </c>
      <c r="D211" s="361"/>
      <c r="E211" s="361"/>
      <c r="F211" s="361"/>
      <c r="G211" s="361"/>
      <c r="H211" s="361"/>
      <c r="I211" s="361"/>
      <c r="J211" s="361"/>
    </row>
    <row r="212" spans="1:11">
      <c r="A212" s="336">
        <v>6</v>
      </c>
      <c r="B212" s="309" t="s">
        <v>685</v>
      </c>
      <c r="C212" s="304" t="s">
        <v>677</v>
      </c>
      <c r="D212" s="357"/>
      <c r="E212" s="357"/>
      <c r="F212" s="357"/>
      <c r="G212" s="357"/>
      <c r="H212" s="357"/>
      <c r="I212" s="357"/>
      <c r="J212" s="357"/>
    </row>
    <row r="213" spans="1:11">
      <c r="A213" s="336">
        <v>6</v>
      </c>
      <c r="B213" s="309" t="s">
        <v>685</v>
      </c>
      <c r="C213" s="304" t="s">
        <v>697</v>
      </c>
      <c r="D213" s="357">
        <v>137</v>
      </c>
      <c r="E213" s="357">
        <v>5</v>
      </c>
      <c r="F213" s="357">
        <v>4</v>
      </c>
      <c r="G213" s="357">
        <v>1</v>
      </c>
      <c r="H213" s="357">
        <v>147</v>
      </c>
      <c r="I213" s="357">
        <v>1016390100</v>
      </c>
      <c r="J213" s="357"/>
    </row>
    <row r="214" spans="1:11">
      <c r="A214" s="340">
        <v>7</v>
      </c>
      <c r="B214" s="313" t="s">
        <v>686</v>
      </c>
      <c r="C214" s="299" t="s">
        <v>672</v>
      </c>
      <c r="D214" s="349">
        <v>0</v>
      </c>
      <c r="E214" s="349">
        <v>0</v>
      </c>
      <c r="F214" s="349">
        <v>0</v>
      </c>
      <c r="G214" s="349">
        <v>0</v>
      </c>
      <c r="H214" s="349">
        <v>0</v>
      </c>
      <c r="I214" s="349">
        <v>0</v>
      </c>
      <c r="J214" s="349">
        <v>0</v>
      </c>
    </row>
    <row r="215" spans="1:11">
      <c r="A215" s="340">
        <v>7</v>
      </c>
      <c r="B215" s="313" t="s">
        <v>686</v>
      </c>
      <c r="C215" s="299" t="s">
        <v>673</v>
      </c>
      <c r="D215" s="349">
        <v>0</v>
      </c>
      <c r="E215" s="349">
        <v>0</v>
      </c>
      <c r="F215" s="349">
        <v>0</v>
      </c>
      <c r="G215" s="349">
        <v>0</v>
      </c>
      <c r="H215" s="349">
        <v>0</v>
      </c>
      <c r="I215" s="349">
        <v>0</v>
      </c>
      <c r="J215" s="349">
        <v>0</v>
      </c>
    </row>
    <row r="216" spans="1:11">
      <c r="A216" s="340">
        <v>7</v>
      </c>
      <c r="B216" s="313" t="s">
        <v>686</v>
      </c>
      <c r="C216" s="299" t="s">
        <v>674</v>
      </c>
      <c r="D216" s="349">
        <v>0</v>
      </c>
      <c r="E216" s="349">
        <v>0</v>
      </c>
      <c r="F216" s="349">
        <v>0</v>
      </c>
      <c r="G216" s="349">
        <v>0</v>
      </c>
      <c r="H216" s="349">
        <v>0</v>
      </c>
      <c r="I216" s="349">
        <v>0</v>
      </c>
      <c r="J216" s="349">
        <v>0</v>
      </c>
    </row>
    <row r="217" spans="1:11" ht="12.5" thickBot="1">
      <c r="A217" s="341">
        <v>7</v>
      </c>
      <c r="B217" s="314" t="s">
        <v>686</v>
      </c>
      <c r="C217" s="300" t="s">
        <v>675</v>
      </c>
      <c r="D217" s="349">
        <v>0</v>
      </c>
      <c r="E217" s="349">
        <v>0</v>
      </c>
      <c r="F217" s="349">
        <v>0</v>
      </c>
      <c r="G217" s="349">
        <v>0</v>
      </c>
      <c r="H217" s="349">
        <v>0</v>
      </c>
      <c r="I217" s="349">
        <v>0</v>
      </c>
      <c r="J217" s="349">
        <v>0</v>
      </c>
    </row>
    <row r="218" spans="1:11" s="214" customFormat="1" ht="13" thickTop="1" thickBot="1">
      <c r="A218" s="338">
        <v>7</v>
      </c>
      <c r="B218" s="311" t="s">
        <v>686</v>
      </c>
      <c r="C218" s="297" t="s">
        <v>582</v>
      </c>
      <c r="D218" s="362">
        <v>0</v>
      </c>
      <c r="E218" s="362">
        <v>0</v>
      </c>
      <c r="F218" s="362">
        <v>0</v>
      </c>
      <c r="G218" s="362">
        <v>0</v>
      </c>
      <c r="H218" s="362">
        <v>0</v>
      </c>
      <c r="I218" s="362">
        <v>0</v>
      </c>
      <c r="J218" s="362">
        <v>0</v>
      </c>
      <c r="K218" s="215"/>
    </row>
    <row r="219" spans="1:11" ht="12.5" thickTop="1">
      <c r="A219" s="342">
        <v>7</v>
      </c>
      <c r="B219" s="343" t="s">
        <v>686</v>
      </c>
      <c r="C219" s="308" t="s">
        <v>676</v>
      </c>
      <c r="D219" s="349">
        <v>0</v>
      </c>
      <c r="E219" s="349">
        <v>0</v>
      </c>
      <c r="F219" s="349">
        <v>0</v>
      </c>
      <c r="G219" s="349">
        <v>0</v>
      </c>
      <c r="H219" s="349">
        <v>0</v>
      </c>
      <c r="I219" s="349">
        <v>0</v>
      </c>
      <c r="J219" s="349">
        <v>0</v>
      </c>
    </row>
    <row r="220" spans="1:11">
      <c r="A220" s="340">
        <v>7</v>
      </c>
      <c r="B220" s="313" t="s">
        <v>686</v>
      </c>
      <c r="C220" s="302" t="s">
        <v>677</v>
      </c>
      <c r="D220" s="349">
        <v>0</v>
      </c>
      <c r="E220" s="349">
        <v>0</v>
      </c>
      <c r="F220" s="349">
        <v>0</v>
      </c>
      <c r="G220" s="349">
        <v>0</v>
      </c>
      <c r="H220" s="349">
        <v>0</v>
      </c>
      <c r="I220" s="349">
        <v>0</v>
      </c>
      <c r="J220" s="349">
        <v>0</v>
      </c>
    </row>
    <row r="221" spans="1:11">
      <c r="A221" s="336">
        <v>8</v>
      </c>
      <c r="B221" s="309" t="s">
        <v>687</v>
      </c>
      <c r="C221" s="295" t="s">
        <v>672</v>
      </c>
      <c r="D221" s="351">
        <v>0</v>
      </c>
      <c r="E221" s="351">
        <v>0</v>
      </c>
      <c r="F221" s="351">
        <v>0</v>
      </c>
      <c r="G221" s="351">
        <v>0</v>
      </c>
      <c r="H221" s="351">
        <v>0</v>
      </c>
      <c r="I221" s="351">
        <v>0</v>
      </c>
      <c r="J221" s="351">
        <v>0</v>
      </c>
    </row>
    <row r="222" spans="1:11">
      <c r="A222" s="336">
        <v>8</v>
      </c>
      <c r="B222" s="309" t="s">
        <v>687</v>
      </c>
      <c r="C222" s="295" t="s">
        <v>673</v>
      </c>
      <c r="D222" s="351">
        <v>0</v>
      </c>
      <c r="E222" s="351">
        <v>0</v>
      </c>
      <c r="F222" s="351">
        <v>0</v>
      </c>
      <c r="G222" s="351">
        <v>0</v>
      </c>
      <c r="H222" s="351">
        <v>0</v>
      </c>
      <c r="I222" s="351">
        <v>0</v>
      </c>
      <c r="J222" s="351">
        <v>0</v>
      </c>
    </row>
    <row r="223" spans="1:11">
      <c r="A223" s="336">
        <v>8</v>
      </c>
      <c r="B223" s="309" t="s">
        <v>687</v>
      </c>
      <c r="C223" s="295" t="s">
        <v>674</v>
      </c>
      <c r="D223" s="351">
        <v>0</v>
      </c>
      <c r="E223" s="351">
        <v>0</v>
      </c>
      <c r="F223" s="351">
        <v>0</v>
      </c>
      <c r="G223" s="351">
        <v>0</v>
      </c>
      <c r="H223" s="351">
        <v>0</v>
      </c>
      <c r="I223" s="351">
        <v>0</v>
      </c>
      <c r="J223" s="351">
        <v>0</v>
      </c>
    </row>
    <row r="224" spans="1:11" ht="12.5" thickBot="1">
      <c r="A224" s="337">
        <v>8</v>
      </c>
      <c r="B224" s="310" t="s">
        <v>687</v>
      </c>
      <c r="C224" s="296" t="s">
        <v>675</v>
      </c>
      <c r="D224" s="352">
        <v>350</v>
      </c>
      <c r="E224" s="352">
        <v>0</v>
      </c>
      <c r="F224" s="352">
        <v>0</v>
      </c>
      <c r="G224" s="352">
        <v>0</v>
      </c>
      <c r="H224" s="352">
        <v>350</v>
      </c>
      <c r="I224" s="363">
        <v>1637200948</v>
      </c>
      <c r="J224" s="352">
        <v>0</v>
      </c>
    </row>
    <row r="225" spans="1:11" s="214" customFormat="1" ht="13" thickTop="1" thickBot="1">
      <c r="A225" s="338">
        <v>8</v>
      </c>
      <c r="B225" s="311" t="s">
        <v>687</v>
      </c>
      <c r="C225" s="297" t="s">
        <v>582</v>
      </c>
      <c r="D225" s="353">
        <v>350</v>
      </c>
      <c r="E225" s="353">
        <v>0</v>
      </c>
      <c r="F225" s="353">
        <v>0</v>
      </c>
      <c r="G225" s="353">
        <v>0</v>
      </c>
      <c r="H225" s="353">
        <v>350</v>
      </c>
      <c r="I225" s="353">
        <v>1637200948</v>
      </c>
      <c r="J225" s="353"/>
      <c r="K225" s="215"/>
    </row>
    <row r="226" spans="1:11" ht="12.5" thickTop="1">
      <c r="A226" s="339">
        <v>8</v>
      </c>
      <c r="B226" s="312" t="s">
        <v>687</v>
      </c>
      <c r="C226" s="303" t="s">
        <v>676</v>
      </c>
      <c r="D226" s="351">
        <v>0</v>
      </c>
      <c r="E226" s="351">
        <v>0</v>
      </c>
      <c r="F226" s="351">
        <v>0</v>
      </c>
      <c r="G226" s="351">
        <v>0</v>
      </c>
      <c r="H226" s="351">
        <v>0</v>
      </c>
      <c r="I226" s="351">
        <v>0</v>
      </c>
      <c r="J226" s="351">
        <v>0</v>
      </c>
    </row>
    <row r="227" spans="1:11">
      <c r="A227" s="336">
        <v>8</v>
      </c>
      <c r="B227" s="309" t="s">
        <v>687</v>
      </c>
      <c r="C227" s="304" t="s">
        <v>677</v>
      </c>
      <c r="D227" s="351">
        <v>0</v>
      </c>
      <c r="E227" s="351">
        <v>0</v>
      </c>
      <c r="F227" s="351">
        <v>0</v>
      </c>
      <c r="G227" s="351">
        <v>0</v>
      </c>
      <c r="H227" s="351">
        <v>0</v>
      </c>
      <c r="I227" s="351">
        <v>0</v>
      </c>
      <c r="J227" s="351">
        <v>0</v>
      </c>
    </row>
    <row r="228" spans="1:11">
      <c r="A228" s="336">
        <v>8</v>
      </c>
      <c r="B228" s="309" t="s">
        <v>687</v>
      </c>
      <c r="C228" s="304" t="s">
        <v>697</v>
      </c>
      <c r="D228" s="351">
        <v>930</v>
      </c>
      <c r="E228" s="357">
        <v>39</v>
      </c>
      <c r="F228" s="357">
        <v>11</v>
      </c>
      <c r="G228" s="357">
        <v>4</v>
      </c>
      <c r="H228" s="357">
        <v>984</v>
      </c>
      <c r="I228" s="357">
        <v>8242350910</v>
      </c>
      <c r="J228" s="357">
        <v>0</v>
      </c>
    </row>
    <row r="229" spans="1:11">
      <c r="A229" s="340">
        <v>9</v>
      </c>
      <c r="B229" s="313" t="s">
        <v>688</v>
      </c>
      <c r="C229" s="299" t="s">
        <v>672</v>
      </c>
      <c r="D229" s="349">
        <v>0</v>
      </c>
      <c r="E229" s="349">
        <v>0</v>
      </c>
      <c r="F229" s="349">
        <v>0</v>
      </c>
      <c r="G229" s="349">
        <v>0</v>
      </c>
      <c r="H229" s="349">
        <v>0</v>
      </c>
      <c r="I229" s="349">
        <v>0</v>
      </c>
      <c r="J229" s="349">
        <v>0</v>
      </c>
    </row>
    <row r="230" spans="1:11">
      <c r="A230" s="340">
        <v>9</v>
      </c>
      <c r="B230" s="313" t="s">
        <v>688</v>
      </c>
      <c r="C230" s="299" t="s">
        <v>673</v>
      </c>
      <c r="D230" s="349">
        <v>0</v>
      </c>
      <c r="E230" s="349">
        <v>0</v>
      </c>
      <c r="F230" s="349">
        <v>0</v>
      </c>
      <c r="G230" s="349">
        <v>0</v>
      </c>
      <c r="H230" s="349">
        <v>0</v>
      </c>
      <c r="I230" s="349">
        <v>0</v>
      </c>
      <c r="J230" s="349">
        <v>0</v>
      </c>
    </row>
    <row r="231" spans="1:11">
      <c r="A231" s="340">
        <v>9</v>
      </c>
      <c r="B231" s="313" t="s">
        <v>688</v>
      </c>
      <c r="C231" s="299" t="s">
        <v>674</v>
      </c>
      <c r="D231" s="349">
        <v>0</v>
      </c>
      <c r="E231" s="349">
        <v>0</v>
      </c>
      <c r="F231" s="349">
        <v>0</v>
      </c>
      <c r="G231" s="349">
        <v>0</v>
      </c>
      <c r="H231" s="349">
        <v>0</v>
      </c>
      <c r="I231" s="349">
        <v>0</v>
      </c>
      <c r="J231" s="349">
        <v>0</v>
      </c>
    </row>
    <row r="232" spans="1:11" ht="12.5" thickBot="1">
      <c r="A232" s="341">
        <v>9</v>
      </c>
      <c r="B232" s="314" t="s">
        <v>688</v>
      </c>
      <c r="C232" s="300" t="s">
        <v>675</v>
      </c>
      <c r="D232" s="349">
        <v>0</v>
      </c>
      <c r="E232" s="349">
        <v>0</v>
      </c>
      <c r="F232" s="349">
        <v>0</v>
      </c>
      <c r="G232" s="349">
        <v>0</v>
      </c>
      <c r="H232" s="349">
        <v>0</v>
      </c>
      <c r="I232" s="349">
        <v>0</v>
      </c>
      <c r="J232" s="349">
        <v>0</v>
      </c>
    </row>
    <row r="233" spans="1:11" s="214" customFormat="1" ht="13" thickTop="1" thickBot="1">
      <c r="A233" s="338">
        <v>9</v>
      </c>
      <c r="B233" s="311" t="s">
        <v>688</v>
      </c>
      <c r="C233" s="297" t="s">
        <v>582</v>
      </c>
      <c r="D233" s="350">
        <v>0</v>
      </c>
      <c r="E233" s="350">
        <v>0</v>
      </c>
      <c r="F233" s="350">
        <v>0</v>
      </c>
      <c r="G233" s="350">
        <v>0</v>
      </c>
      <c r="H233" s="350">
        <v>0</v>
      </c>
      <c r="I233" s="350">
        <v>0</v>
      </c>
      <c r="J233" s="350">
        <v>0</v>
      </c>
      <c r="K233" s="215"/>
    </row>
    <row r="234" spans="1:11" ht="12.5" thickTop="1">
      <c r="A234" s="342">
        <v>9</v>
      </c>
      <c r="B234" s="343" t="s">
        <v>688</v>
      </c>
      <c r="C234" s="308" t="s">
        <v>676</v>
      </c>
      <c r="D234" s="349">
        <v>0</v>
      </c>
      <c r="E234" s="349">
        <v>0</v>
      </c>
      <c r="F234" s="349">
        <v>0</v>
      </c>
      <c r="G234" s="349">
        <v>0</v>
      </c>
      <c r="H234" s="349">
        <v>0</v>
      </c>
      <c r="I234" s="349">
        <v>0</v>
      </c>
      <c r="J234" s="349">
        <v>0</v>
      </c>
    </row>
    <row r="235" spans="1:11">
      <c r="A235" s="340">
        <v>9</v>
      </c>
      <c r="B235" s="313" t="s">
        <v>688</v>
      </c>
      <c r="C235" s="302" t="s">
        <v>677</v>
      </c>
      <c r="D235" s="349">
        <v>0</v>
      </c>
      <c r="E235" s="349">
        <v>0</v>
      </c>
      <c r="F235" s="349">
        <v>0</v>
      </c>
      <c r="G235" s="349">
        <v>0</v>
      </c>
      <c r="H235" s="349">
        <v>0</v>
      </c>
      <c r="I235" s="349">
        <v>0</v>
      </c>
      <c r="J235" s="349">
        <v>0</v>
      </c>
    </row>
    <row r="236" spans="1:11">
      <c r="A236" s="336">
        <v>10</v>
      </c>
      <c r="B236" s="309" t="s">
        <v>689</v>
      </c>
      <c r="C236" s="295" t="s">
        <v>672</v>
      </c>
      <c r="D236" s="351">
        <v>0</v>
      </c>
      <c r="E236" s="351">
        <v>0</v>
      </c>
      <c r="F236" s="351">
        <v>0</v>
      </c>
      <c r="G236" s="351">
        <v>0</v>
      </c>
      <c r="H236" s="351">
        <v>0</v>
      </c>
      <c r="I236" s="351">
        <v>0</v>
      </c>
      <c r="J236" s="351">
        <v>0</v>
      </c>
    </row>
    <row r="237" spans="1:11">
      <c r="A237" s="336">
        <v>10</v>
      </c>
      <c r="B237" s="309" t="s">
        <v>689</v>
      </c>
      <c r="C237" s="295" t="s">
        <v>673</v>
      </c>
      <c r="D237" s="351"/>
      <c r="E237" s="364">
        <v>1</v>
      </c>
      <c r="F237" s="351">
        <v>0</v>
      </c>
      <c r="G237" s="351">
        <v>0</v>
      </c>
      <c r="H237" s="364">
        <v>1</v>
      </c>
      <c r="I237" s="364">
        <v>24000000</v>
      </c>
      <c r="J237" s="351"/>
    </row>
    <row r="238" spans="1:11">
      <c r="A238" s="336">
        <v>10</v>
      </c>
      <c r="B238" s="309" t="s">
        <v>689</v>
      </c>
      <c r="C238" s="295" t="s">
        <v>674</v>
      </c>
      <c r="D238" s="365">
        <v>0</v>
      </c>
      <c r="E238" s="365">
        <v>0</v>
      </c>
      <c r="F238" s="351">
        <v>0</v>
      </c>
      <c r="G238" s="351">
        <v>0</v>
      </c>
      <c r="H238" s="351">
        <v>0</v>
      </c>
      <c r="I238" s="351">
        <v>0</v>
      </c>
      <c r="J238" s="351">
        <v>0</v>
      </c>
    </row>
    <row r="239" spans="1:11" ht="12.5" thickBot="1">
      <c r="A239" s="337">
        <v>10</v>
      </c>
      <c r="B239" s="310" t="s">
        <v>689</v>
      </c>
      <c r="C239" s="296" t="s">
        <v>675</v>
      </c>
      <c r="D239" s="363">
        <v>26</v>
      </c>
      <c r="E239" s="363">
        <v>6</v>
      </c>
      <c r="F239" s="351">
        <v>0</v>
      </c>
      <c r="G239" s="351">
        <v>0</v>
      </c>
      <c r="H239" s="352">
        <v>32</v>
      </c>
      <c r="I239" s="363">
        <v>166300696</v>
      </c>
      <c r="J239" s="352"/>
    </row>
    <row r="240" spans="1:11" s="214" customFormat="1" ht="13" thickTop="1" thickBot="1">
      <c r="A240" s="338">
        <v>10</v>
      </c>
      <c r="B240" s="311" t="s">
        <v>689</v>
      </c>
      <c r="C240" s="297" t="s">
        <v>582</v>
      </c>
      <c r="D240" s="353">
        <v>26</v>
      </c>
      <c r="E240" s="353">
        <v>7</v>
      </c>
      <c r="F240" s="353">
        <v>0</v>
      </c>
      <c r="G240" s="353">
        <v>0</v>
      </c>
      <c r="H240" s="353">
        <v>33</v>
      </c>
      <c r="I240" s="353">
        <v>190300696</v>
      </c>
      <c r="J240" s="353"/>
      <c r="K240" s="215"/>
    </row>
    <row r="241" spans="1:11" ht="12.5" thickTop="1">
      <c r="A241" s="339">
        <v>10</v>
      </c>
      <c r="B241" s="312" t="s">
        <v>689</v>
      </c>
      <c r="C241" s="303" t="s">
        <v>676</v>
      </c>
      <c r="D241" s="354"/>
      <c r="E241" s="354"/>
      <c r="F241" s="354"/>
      <c r="G241" s="354"/>
      <c r="H241" s="354"/>
      <c r="I241" s="354"/>
      <c r="J241" s="354"/>
    </row>
    <row r="242" spans="1:11">
      <c r="A242" s="336">
        <v>10</v>
      </c>
      <c r="B242" s="309" t="s">
        <v>689</v>
      </c>
      <c r="C242" s="304" t="s">
        <v>677</v>
      </c>
      <c r="D242" s="351"/>
      <c r="E242" s="351"/>
      <c r="F242" s="351"/>
      <c r="G242" s="351"/>
      <c r="H242" s="351"/>
      <c r="I242" s="365"/>
      <c r="J242" s="351"/>
    </row>
    <row r="243" spans="1:11">
      <c r="A243" s="336">
        <v>10</v>
      </c>
      <c r="B243" s="309" t="s">
        <v>689</v>
      </c>
      <c r="C243" s="304" t="s">
        <v>697</v>
      </c>
      <c r="D243" s="351">
        <v>187</v>
      </c>
      <c r="E243" s="351">
        <v>44</v>
      </c>
      <c r="F243" s="351">
        <v>5</v>
      </c>
      <c r="G243" s="351">
        <v>1</v>
      </c>
      <c r="H243" s="351">
        <v>237</v>
      </c>
      <c r="I243" s="365"/>
      <c r="J243" s="351"/>
    </row>
    <row r="244" spans="1:11">
      <c r="A244" s="340">
        <v>11</v>
      </c>
      <c r="B244" s="313" t="s">
        <v>623</v>
      </c>
      <c r="C244" s="299" t="s">
        <v>672</v>
      </c>
      <c r="D244" s="349"/>
      <c r="E244" s="349"/>
      <c r="F244" s="349"/>
      <c r="G244" s="349"/>
      <c r="H244" s="349"/>
      <c r="I244" s="349"/>
      <c r="J244" s="349"/>
    </row>
    <row r="245" spans="1:11">
      <c r="A245" s="340">
        <v>11</v>
      </c>
      <c r="B245" s="313" t="s">
        <v>623</v>
      </c>
      <c r="C245" s="299" t="s">
        <v>673</v>
      </c>
      <c r="D245" s="349"/>
      <c r="E245" s="349"/>
      <c r="F245" s="349"/>
      <c r="G245" s="349"/>
      <c r="H245" s="349"/>
      <c r="I245" s="349"/>
      <c r="J245" s="349"/>
    </row>
    <row r="246" spans="1:11">
      <c r="A246" s="340">
        <v>11</v>
      </c>
      <c r="B246" s="313" t="s">
        <v>623</v>
      </c>
      <c r="C246" s="299" t="s">
        <v>674</v>
      </c>
      <c r="D246" s="349"/>
      <c r="E246" s="349"/>
      <c r="F246" s="349"/>
      <c r="G246" s="349"/>
      <c r="H246" s="349"/>
      <c r="I246" s="349"/>
      <c r="J246" s="349"/>
    </row>
    <row r="247" spans="1:11" ht="12.5" thickBot="1">
      <c r="A247" s="341">
        <v>11</v>
      </c>
      <c r="B247" s="314" t="s">
        <v>623</v>
      </c>
      <c r="C247" s="300" t="s">
        <v>675</v>
      </c>
      <c r="D247" s="355"/>
      <c r="E247" s="355"/>
      <c r="F247" s="355"/>
      <c r="G247" s="355"/>
      <c r="H247" s="355"/>
      <c r="I247" s="355"/>
      <c r="J247" s="355"/>
    </row>
    <row r="248" spans="1:11" s="214" customFormat="1" ht="13" thickTop="1" thickBot="1">
      <c r="A248" s="338">
        <v>11</v>
      </c>
      <c r="B248" s="311" t="s">
        <v>623</v>
      </c>
      <c r="C248" s="297" t="s">
        <v>582</v>
      </c>
      <c r="D248" s="353"/>
      <c r="E248" s="353"/>
      <c r="F248" s="353"/>
      <c r="G248" s="353"/>
      <c r="H248" s="353"/>
      <c r="I248" s="353"/>
      <c r="J248" s="353"/>
      <c r="K248" s="215"/>
    </row>
    <row r="249" spans="1:11" ht="12.5" thickTop="1">
      <c r="A249" s="342">
        <v>11</v>
      </c>
      <c r="B249" s="343" t="s">
        <v>623</v>
      </c>
      <c r="C249" s="308" t="s">
        <v>676</v>
      </c>
      <c r="D249" s="356"/>
      <c r="E249" s="356"/>
      <c r="F249" s="356"/>
      <c r="G249" s="356"/>
      <c r="H249" s="356"/>
      <c r="I249" s="356"/>
      <c r="J249" s="356"/>
    </row>
    <row r="250" spans="1:11">
      <c r="A250" s="340">
        <v>11</v>
      </c>
      <c r="B250" s="313" t="s">
        <v>623</v>
      </c>
      <c r="C250" s="302" t="s">
        <v>677</v>
      </c>
      <c r="D250" s="349"/>
      <c r="E250" s="349"/>
      <c r="F250" s="349"/>
      <c r="G250" s="349"/>
      <c r="H250" s="349"/>
      <c r="I250" s="349"/>
      <c r="J250" s="349"/>
    </row>
    <row r="251" spans="1:11">
      <c r="A251" s="336">
        <v>12</v>
      </c>
      <c r="B251" s="309" t="s">
        <v>690</v>
      </c>
      <c r="C251" s="295" t="s">
        <v>672</v>
      </c>
      <c r="D251" s="351">
        <v>0</v>
      </c>
      <c r="E251" s="351">
        <v>0</v>
      </c>
      <c r="F251" s="351">
        <v>0</v>
      </c>
      <c r="G251" s="351">
        <v>0</v>
      </c>
      <c r="H251" s="351">
        <v>0</v>
      </c>
      <c r="I251" s="351">
        <v>0</v>
      </c>
      <c r="J251" s="351">
        <v>0</v>
      </c>
    </row>
    <row r="252" spans="1:11">
      <c r="A252" s="336">
        <v>12</v>
      </c>
      <c r="B252" s="309" t="s">
        <v>690</v>
      </c>
      <c r="C252" s="295" t="s">
        <v>673</v>
      </c>
      <c r="D252" s="351">
        <v>6</v>
      </c>
      <c r="E252" s="351">
        <v>0</v>
      </c>
      <c r="F252" s="351">
        <v>0</v>
      </c>
      <c r="G252" s="351">
        <v>0</v>
      </c>
      <c r="H252" s="351">
        <v>6</v>
      </c>
      <c r="I252" s="351">
        <v>30341936</v>
      </c>
      <c r="J252" s="351"/>
    </row>
    <row r="253" spans="1:11">
      <c r="A253" s="336">
        <v>12</v>
      </c>
      <c r="B253" s="309" t="s">
        <v>690</v>
      </c>
      <c r="C253" s="295" t="s">
        <v>674</v>
      </c>
      <c r="D253" s="351">
        <v>0</v>
      </c>
      <c r="E253" s="351">
        <v>0</v>
      </c>
      <c r="F253" s="351">
        <v>0</v>
      </c>
      <c r="G253" s="351">
        <v>0</v>
      </c>
      <c r="H253" s="351">
        <v>0</v>
      </c>
      <c r="I253" s="351">
        <v>0</v>
      </c>
      <c r="J253" s="351">
        <v>0</v>
      </c>
    </row>
    <row r="254" spans="1:11" ht="12.5" thickBot="1">
      <c r="A254" s="337">
        <v>12</v>
      </c>
      <c r="B254" s="310" t="s">
        <v>690</v>
      </c>
      <c r="C254" s="296" t="s">
        <v>675</v>
      </c>
      <c r="D254" s="351">
        <v>0</v>
      </c>
      <c r="E254" s="351">
        <v>0</v>
      </c>
      <c r="F254" s="351">
        <v>0</v>
      </c>
      <c r="G254" s="351">
        <v>0</v>
      </c>
      <c r="H254" s="351">
        <v>0</v>
      </c>
      <c r="I254" s="351">
        <v>0</v>
      </c>
      <c r="J254" s="351">
        <v>0</v>
      </c>
    </row>
    <row r="255" spans="1:11" s="214" customFormat="1" ht="13" thickTop="1" thickBot="1">
      <c r="A255" s="338">
        <v>12</v>
      </c>
      <c r="B255" s="311" t="s">
        <v>690</v>
      </c>
      <c r="C255" s="297" t="s">
        <v>582</v>
      </c>
      <c r="D255" s="353">
        <v>0</v>
      </c>
      <c r="E255" s="353">
        <v>0</v>
      </c>
      <c r="F255" s="353">
        <v>0</v>
      </c>
      <c r="G255" s="353">
        <v>0</v>
      </c>
      <c r="H255" s="353">
        <v>0</v>
      </c>
      <c r="I255" s="353">
        <v>0</v>
      </c>
      <c r="J255" s="353">
        <v>0</v>
      </c>
      <c r="K255" s="215"/>
    </row>
    <row r="256" spans="1:11" ht="12.5" thickTop="1">
      <c r="A256" s="339">
        <v>12</v>
      </c>
      <c r="B256" s="312" t="s">
        <v>690</v>
      </c>
      <c r="C256" s="303" t="s">
        <v>676</v>
      </c>
      <c r="D256" s="354"/>
      <c r="E256" s="354"/>
      <c r="F256" s="354"/>
      <c r="G256" s="354"/>
      <c r="H256" s="354"/>
      <c r="I256" s="354"/>
      <c r="J256" s="354"/>
    </row>
    <row r="257" spans="1:11">
      <c r="A257" s="336">
        <v>12</v>
      </c>
      <c r="B257" s="309" t="s">
        <v>690</v>
      </c>
      <c r="C257" s="304" t="s">
        <v>677</v>
      </c>
      <c r="D257" s="351"/>
      <c r="E257" s="351"/>
      <c r="F257" s="351"/>
      <c r="G257" s="351"/>
      <c r="H257" s="351"/>
      <c r="I257" s="351"/>
      <c r="J257" s="351"/>
    </row>
    <row r="258" spans="1:11">
      <c r="A258" s="340">
        <v>13</v>
      </c>
      <c r="B258" s="313" t="s">
        <v>228</v>
      </c>
      <c r="C258" s="299" t="s">
        <v>672</v>
      </c>
      <c r="D258" s="349">
        <v>0</v>
      </c>
      <c r="E258" s="349">
        <v>0</v>
      </c>
      <c r="F258" s="349">
        <v>0</v>
      </c>
      <c r="G258" s="349">
        <v>0</v>
      </c>
      <c r="H258" s="349">
        <v>0</v>
      </c>
      <c r="I258" s="349">
        <v>0</v>
      </c>
      <c r="J258" s="349">
        <v>0</v>
      </c>
    </row>
    <row r="259" spans="1:11">
      <c r="A259" s="340">
        <v>13</v>
      </c>
      <c r="B259" s="313" t="s">
        <v>228</v>
      </c>
      <c r="C259" s="299" t="s">
        <v>673</v>
      </c>
      <c r="D259" s="349">
        <v>0</v>
      </c>
      <c r="E259" s="349">
        <v>0</v>
      </c>
      <c r="F259" s="349">
        <v>0</v>
      </c>
      <c r="G259" s="349">
        <v>0</v>
      </c>
      <c r="H259" s="349">
        <v>0</v>
      </c>
      <c r="I259" s="349">
        <v>0</v>
      </c>
      <c r="J259" s="349">
        <v>0</v>
      </c>
    </row>
    <row r="260" spans="1:11">
      <c r="A260" s="340">
        <v>13</v>
      </c>
      <c r="B260" s="313" t="s">
        <v>228</v>
      </c>
      <c r="C260" s="299" t="s">
        <v>674</v>
      </c>
      <c r="D260" s="349">
        <v>0</v>
      </c>
      <c r="E260" s="349">
        <v>0</v>
      </c>
      <c r="F260" s="349">
        <v>0</v>
      </c>
      <c r="G260" s="349">
        <v>0</v>
      </c>
      <c r="H260" s="349">
        <v>0</v>
      </c>
      <c r="I260" s="349">
        <v>0</v>
      </c>
      <c r="J260" s="349">
        <v>0</v>
      </c>
    </row>
    <row r="261" spans="1:11" ht="12.5" thickBot="1">
      <c r="A261" s="341">
        <v>13</v>
      </c>
      <c r="B261" s="314" t="s">
        <v>228</v>
      </c>
      <c r="C261" s="300" t="s">
        <v>675</v>
      </c>
      <c r="D261" s="349">
        <v>0</v>
      </c>
      <c r="E261" s="349">
        <v>0</v>
      </c>
      <c r="F261" s="349">
        <v>0</v>
      </c>
      <c r="G261" s="349">
        <v>0</v>
      </c>
      <c r="H261" s="349">
        <v>0</v>
      </c>
      <c r="I261" s="349">
        <v>0</v>
      </c>
      <c r="J261" s="349">
        <v>0</v>
      </c>
    </row>
    <row r="262" spans="1:11" s="214" customFormat="1" ht="13" thickTop="1" thickBot="1">
      <c r="A262" s="338">
        <v>13</v>
      </c>
      <c r="B262" s="311" t="s">
        <v>228</v>
      </c>
      <c r="C262" s="297" t="s">
        <v>582</v>
      </c>
      <c r="D262" s="353">
        <v>0</v>
      </c>
      <c r="E262" s="353">
        <v>0</v>
      </c>
      <c r="F262" s="353">
        <v>0</v>
      </c>
      <c r="G262" s="353">
        <v>0</v>
      </c>
      <c r="H262" s="353">
        <v>0</v>
      </c>
      <c r="I262" s="353">
        <v>0</v>
      </c>
      <c r="J262" s="353">
        <v>0</v>
      </c>
      <c r="K262" s="215"/>
    </row>
    <row r="263" spans="1:11" ht="12.5" thickTop="1">
      <c r="A263" s="342">
        <v>13</v>
      </c>
      <c r="B263" s="343" t="s">
        <v>228</v>
      </c>
      <c r="C263" s="308" t="s">
        <v>676</v>
      </c>
      <c r="D263" s="356"/>
      <c r="E263" s="356"/>
      <c r="F263" s="356"/>
      <c r="G263" s="356"/>
      <c r="H263" s="356"/>
      <c r="I263" s="356"/>
      <c r="J263" s="356"/>
    </row>
    <row r="264" spans="1:11">
      <c r="A264" s="340">
        <v>13</v>
      </c>
      <c r="B264" s="313" t="s">
        <v>228</v>
      </c>
      <c r="C264" s="302" t="s">
        <v>677</v>
      </c>
      <c r="D264" s="349"/>
      <c r="E264" s="349"/>
      <c r="F264" s="349"/>
      <c r="G264" s="349"/>
      <c r="H264" s="349"/>
      <c r="I264" s="349"/>
      <c r="J264" s="349"/>
    </row>
    <row r="265" spans="1:11">
      <c r="A265" s="336">
        <v>14</v>
      </c>
      <c r="B265" s="309" t="s">
        <v>231</v>
      </c>
      <c r="C265" s="295" t="s">
        <v>672</v>
      </c>
      <c r="D265" s="351">
        <v>0</v>
      </c>
      <c r="E265" s="351">
        <v>0</v>
      </c>
      <c r="F265" s="351">
        <v>0</v>
      </c>
      <c r="G265" s="351">
        <v>0</v>
      </c>
      <c r="H265" s="351">
        <v>0</v>
      </c>
      <c r="I265" s="351">
        <v>0</v>
      </c>
      <c r="J265" s="351">
        <v>0</v>
      </c>
    </row>
    <row r="266" spans="1:11">
      <c r="A266" s="336">
        <v>14</v>
      </c>
      <c r="B266" s="309" t="s">
        <v>231</v>
      </c>
      <c r="C266" s="295" t="s">
        <v>673</v>
      </c>
      <c r="D266" s="351">
        <v>0</v>
      </c>
      <c r="E266" s="351">
        <v>0</v>
      </c>
      <c r="F266" s="351">
        <v>0</v>
      </c>
      <c r="G266" s="351">
        <v>0</v>
      </c>
      <c r="H266" s="351">
        <v>0</v>
      </c>
      <c r="I266" s="351">
        <v>0</v>
      </c>
      <c r="J266" s="351">
        <v>0</v>
      </c>
    </row>
    <row r="267" spans="1:11">
      <c r="A267" s="336">
        <v>14</v>
      </c>
      <c r="B267" s="309" t="s">
        <v>231</v>
      </c>
      <c r="C267" s="295" t="s">
        <v>674</v>
      </c>
      <c r="D267" s="351">
        <v>195</v>
      </c>
      <c r="E267" s="351">
        <v>0</v>
      </c>
      <c r="F267" s="351">
        <v>0</v>
      </c>
      <c r="G267" s="351">
        <v>0</v>
      </c>
      <c r="H267" s="351">
        <v>195</v>
      </c>
      <c r="I267" s="351">
        <v>1129245486</v>
      </c>
      <c r="J267" s="351"/>
    </row>
    <row r="268" spans="1:11" ht="12.5" thickBot="1">
      <c r="A268" s="337">
        <v>14</v>
      </c>
      <c r="B268" s="310" t="s">
        <v>231</v>
      </c>
      <c r="C268" s="296" t="s">
        <v>675</v>
      </c>
      <c r="D268" s="352">
        <v>0</v>
      </c>
      <c r="E268" s="352">
        <v>0</v>
      </c>
      <c r="F268" s="352">
        <v>0</v>
      </c>
      <c r="G268" s="352">
        <v>0</v>
      </c>
      <c r="H268" s="352">
        <v>0</v>
      </c>
      <c r="I268" s="352">
        <v>0</v>
      </c>
      <c r="J268" s="352">
        <v>0</v>
      </c>
    </row>
    <row r="269" spans="1:11" s="214" customFormat="1" ht="13" thickTop="1" thickBot="1">
      <c r="A269" s="338">
        <v>14</v>
      </c>
      <c r="B269" s="311" t="s">
        <v>231</v>
      </c>
      <c r="C269" s="297" t="s">
        <v>582</v>
      </c>
      <c r="D269" s="353">
        <v>195</v>
      </c>
      <c r="E269" s="353">
        <v>0</v>
      </c>
      <c r="F269" s="353">
        <v>0</v>
      </c>
      <c r="G269" s="353">
        <v>0</v>
      </c>
      <c r="H269" s="353">
        <v>195</v>
      </c>
      <c r="I269" s="353">
        <v>1129245486</v>
      </c>
      <c r="J269" s="353"/>
      <c r="K269" s="215"/>
    </row>
    <row r="270" spans="1:11" ht="12.5" thickTop="1">
      <c r="A270" s="339">
        <v>14</v>
      </c>
      <c r="B270" s="312" t="s">
        <v>231</v>
      </c>
      <c r="C270" s="303" t="s">
        <v>676</v>
      </c>
      <c r="D270" s="354"/>
      <c r="E270" s="354"/>
      <c r="F270" s="354"/>
      <c r="G270" s="354"/>
      <c r="H270" s="354"/>
      <c r="I270" s="354"/>
      <c r="J270" s="354"/>
    </row>
    <row r="271" spans="1:11">
      <c r="A271" s="336">
        <v>14</v>
      </c>
      <c r="B271" s="309" t="s">
        <v>231</v>
      </c>
      <c r="C271" s="304" t="s">
        <v>677</v>
      </c>
      <c r="D271" s="351"/>
      <c r="E271" s="351"/>
      <c r="F271" s="351"/>
      <c r="G271" s="351"/>
      <c r="H271" s="351"/>
      <c r="I271" s="351"/>
      <c r="J271" s="351"/>
    </row>
    <row r="272" spans="1:11">
      <c r="A272" s="340">
        <v>15</v>
      </c>
      <c r="B272" s="313" t="s">
        <v>630</v>
      </c>
      <c r="C272" s="299" t="s">
        <v>672</v>
      </c>
      <c r="D272" s="349"/>
      <c r="E272" s="349">
        <v>0</v>
      </c>
      <c r="F272" s="349">
        <v>0</v>
      </c>
      <c r="G272" s="349">
        <v>0</v>
      </c>
      <c r="H272" s="349">
        <v>0</v>
      </c>
      <c r="I272" s="349"/>
      <c r="J272" s="349"/>
    </row>
    <row r="273" spans="1:11">
      <c r="A273" s="340">
        <v>15</v>
      </c>
      <c r="B273" s="313" t="s">
        <v>630</v>
      </c>
      <c r="C273" s="299" t="s">
        <v>673</v>
      </c>
      <c r="D273" s="349">
        <v>1</v>
      </c>
      <c r="E273" s="349">
        <v>0</v>
      </c>
      <c r="F273" s="349">
        <v>0</v>
      </c>
      <c r="G273" s="349">
        <v>0</v>
      </c>
      <c r="H273" s="349">
        <v>0</v>
      </c>
      <c r="I273" s="349"/>
      <c r="J273" s="349"/>
    </row>
    <row r="274" spans="1:11">
      <c r="A274" s="340">
        <v>15</v>
      </c>
      <c r="B274" s="313" t="s">
        <v>630</v>
      </c>
      <c r="C274" s="299" t="s">
        <v>674</v>
      </c>
      <c r="D274" s="349"/>
      <c r="E274" s="349">
        <v>0</v>
      </c>
      <c r="F274" s="349">
        <v>0</v>
      </c>
      <c r="G274" s="349">
        <v>0</v>
      </c>
      <c r="H274" s="349">
        <v>0</v>
      </c>
      <c r="I274" s="349">
        <v>0</v>
      </c>
      <c r="J274" s="349"/>
    </row>
    <row r="275" spans="1:11" ht="12.5" thickBot="1">
      <c r="A275" s="341">
        <v>15</v>
      </c>
      <c r="B275" s="314" t="s">
        <v>630</v>
      </c>
      <c r="C275" s="300" t="s">
        <v>675</v>
      </c>
      <c r="D275" s="355"/>
      <c r="E275" s="349">
        <v>0</v>
      </c>
      <c r="F275" s="349">
        <v>0</v>
      </c>
      <c r="G275" s="349">
        <v>0</v>
      </c>
      <c r="H275" s="349">
        <v>0</v>
      </c>
      <c r="I275" s="355"/>
      <c r="J275" s="355"/>
    </row>
    <row r="276" spans="1:11" s="214" customFormat="1" ht="13" thickTop="1" thickBot="1">
      <c r="A276" s="338">
        <v>15</v>
      </c>
      <c r="B276" s="311" t="s">
        <v>630</v>
      </c>
      <c r="C276" s="297" t="s">
        <v>582</v>
      </c>
      <c r="D276" s="353">
        <v>1</v>
      </c>
      <c r="E276" s="353">
        <v>0</v>
      </c>
      <c r="F276" s="353">
        <v>0</v>
      </c>
      <c r="G276" s="353">
        <v>0</v>
      </c>
      <c r="H276" s="353">
        <v>0</v>
      </c>
      <c r="I276" s="353">
        <v>5817370</v>
      </c>
      <c r="J276" s="353"/>
      <c r="K276" s="215"/>
    </row>
    <row r="277" spans="1:11" ht="12.5" thickTop="1">
      <c r="A277" s="342">
        <v>15</v>
      </c>
      <c r="B277" s="343" t="s">
        <v>630</v>
      </c>
      <c r="C277" s="308" t="s">
        <v>676</v>
      </c>
      <c r="D277" s="356"/>
      <c r="E277" s="356"/>
      <c r="F277" s="356"/>
      <c r="G277" s="356"/>
      <c r="H277" s="356"/>
      <c r="I277" s="356"/>
      <c r="J277" s="356"/>
    </row>
    <row r="278" spans="1:11">
      <c r="A278" s="340">
        <v>15</v>
      </c>
      <c r="B278" s="313" t="s">
        <v>630</v>
      </c>
      <c r="C278" s="302" t="s">
        <v>677</v>
      </c>
      <c r="D278" s="349"/>
      <c r="E278" s="349"/>
      <c r="F278" s="349"/>
      <c r="G278" s="349"/>
      <c r="H278" s="349"/>
      <c r="I278" s="349"/>
      <c r="J278" s="349"/>
    </row>
    <row r="279" spans="1:11">
      <c r="A279" s="336">
        <v>16</v>
      </c>
      <c r="B279" s="309" t="s">
        <v>633</v>
      </c>
      <c r="C279" s="295" t="s">
        <v>672</v>
      </c>
      <c r="D279" s="351"/>
      <c r="E279" s="351"/>
      <c r="F279" s="351"/>
      <c r="G279" s="351"/>
      <c r="H279" s="351"/>
      <c r="I279" s="351"/>
      <c r="J279" s="351"/>
    </row>
    <row r="280" spans="1:11">
      <c r="A280" s="336">
        <v>16</v>
      </c>
      <c r="B280" s="309" t="s">
        <v>633</v>
      </c>
      <c r="C280" s="295" t="s">
        <v>673</v>
      </c>
      <c r="D280" s="365">
        <v>11</v>
      </c>
      <c r="E280" s="357">
        <v>1</v>
      </c>
      <c r="F280" s="351"/>
      <c r="G280" s="351"/>
      <c r="H280" s="365">
        <v>12</v>
      </c>
      <c r="I280" s="351">
        <v>302614172</v>
      </c>
      <c r="J280" s="351"/>
    </row>
    <row r="281" spans="1:11">
      <c r="A281" s="336">
        <v>16</v>
      </c>
      <c r="B281" s="309" t="s">
        <v>633</v>
      </c>
      <c r="C281" s="295" t="s">
        <v>674</v>
      </c>
      <c r="D281" s="351">
        <v>3</v>
      </c>
      <c r="E281" s="351">
        <v>24</v>
      </c>
      <c r="F281" s="351"/>
      <c r="G281" s="351"/>
      <c r="H281" s="351">
        <v>27</v>
      </c>
      <c r="I281" s="351">
        <v>66162856</v>
      </c>
      <c r="J281" s="351"/>
    </row>
    <row r="282" spans="1:11" ht="12.5" thickBot="1">
      <c r="A282" s="337">
        <v>16</v>
      </c>
      <c r="B282" s="310" t="s">
        <v>633</v>
      </c>
      <c r="C282" s="296" t="s">
        <v>675</v>
      </c>
      <c r="D282" s="363">
        <v>29</v>
      </c>
      <c r="E282" s="363">
        <v>2</v>
      </c>
      <c r="F282" s="352"/>
      <c r="G282" s="352"/>
      <c r="H282" s="363">
        <v>31</v>
      </c>
      <c r="I282" s="352">
        <v>248977585</v>
      </c>
      <c r="J282" s="352"/>
    </row>
    <row r="283" spans="1:11" s="214" customFormat="1" ht="13" thickTop="1" thickBot="1">
      <c r="A283" s="338">
        <v>16</v>
      </c>
      <c r="B283" s="311" t="s">
        <v>633</v>
      </c>
      <c r="C283" s="297" t="s">
        <v>582</v>
      </c>
      <c r="D283" s="353">
        <v>43</v>
      </c>
      <c r="E283" s="353">
        <v>27</v>
      </c>
      <c r="F283" s="353"/>
      <c r="G283" s="353"/>
      <c r="H283" s="353">
        <v>70</v>
      </c>
      <c r="I283" s="353">
        <v>617754613</v>
      </c>
      <c r="J283" s="353"/>
      <c r="K283" s="215"/>
    </row>
    <row r="284" spans="1:11" ht="12.5" thickTop="1">
      <c r="A284" s="339">
        <v>16</v>
      </c>
      <c r="B284" s="312" t="s">
        <v>633</v>
      </c>
      <c r="C284" s="303" t="s">
        <v>676</v>
      </c>
      <c r="D284" s="354"/>
      <c r="E284" s="354"/>
      <c r="F284" s="354"/>
      <c r="G284" s="354"/>
      <c r="H284" s="354"/>
      <c r="I284" s="354"/>
      <c r="J284" s="354"/>
    </row>
    <row r="285" spans="1:11">
      <c r="A285" s="336">
        <v>16</v>
      </c>
      <c r="B285" s="309" t="s">
        <v>633</v>
      </c>
      <c r="C285" s="304" t="s">
        <v>677</v>
      </c>
      <c r="D285" s="351"/>
      <c r="E285" s="366"/>
      <c r="F285" s="351"/>
      <c r="G285" s="351"/>
      <c r="H285" s="351"/>
      <c r="I285" s="351"/>
      <c r="J285" s="351"/>
    </row>
    <row r="286" spans="1:11">
      <c r="A286" s="336">
        <v>16</v>
      </c>
      <c r="B286" s="309" t="s">
        <v>633</v>
      </c>
      <c r="C286" s="304" t="s">
        <v>697</v>
      </c>
      <c r="D286" s="351">
        <v>78</v>
      </c>
      <c r="E286" s="366">
        <v>29</v>
      </c>
      <c r="F286" s="351"/>
      <c r="G286" s="351"/>
      <c r="H286" s="351">
        <v>107</v>
      </c>
      <c r="I286" s="351">
        <v>1477925233</v>
      </c>
      <c r="J286" s="351"/>
    </row>
    <row r="287" spans="1:11">
      <c r="A287" s="340">
        <v>17</v>
      </c>
      <c r="B287" s="313" t="s">
        <v>634</v>
      </c>
      <c r="C287" s="299" t="s">
        <v>672</v>
      </c>
      <c r="D287" s="349">
        <v>0</v>
      </c>
      <c r="E287" s="349">
        <v>0</v>
      </c>
      <c r="F287" s="349">
        <v>0</v>
      </c>
      <c r="G287" s="349">
        <v>0</v>
      </c>
      <c r="H287" s="349">
        <v>0</v>
      </c>
      <c r="I287" s="349">
        <v>0</v>
      </c>
      <c r="J287" s="349">
        <v>0</v>
      </c>
    </row>
    <row r="288" spans="1:11">
      <c r="A288" s="340">
        <v>17</v>
      </c>
      <c r="B288" s="313" t="s">
        <v>634</v>
      </c>
      <c r="C288" s="299" t="s">
        <v>673</v>
      </c>
      <c r="D288" s="349">
        <v>0</v>
      </c>
      <c r="E288" s="349">
        <v>0</v>
      </c>
      <c r="F288" s="349">
        <v>0</v>
      </c>
      <c r="G288" s="349">
        <v>0</v>
      </c>
      <c r="H288" s="349">
        <v>1</v>
      </c>
      <c r="I288" s="349">
        <v>0</v>
      </c>
      <c r="J288" s="349">
        <v>0</v>
      </c>
    </row>
    <row r="289" spans="1:14">
      <c r="A289" s="340">
        <v>17</v>
      </c>
      <c r="B289" s="313" t="s">
        <v>634</v>
      </c>
      <c r="C289" s="299" t="s">
        <v>674</v>
      </c>
      <c r="D289" s="349">
        <v>0</v>
      </c>
      <c r="E289" s="349">
        <v>0</v>
      </c>
      <c r="F289" s="349">
        <v>0</v>
      </c>
      <c r="G289" s="349">
        <v>0</v>
      </c>
      <c r="H289" s="349">
        <v>1</v>
      </c>
      <c r="I289" s="349">
        <v>0</v>
      </c>
      <c r="J289" s="349">
        <v>0</v>
      </c>
    </row>
    <row r="290" spans="1:14" ht="12.5" thickBot="1">
      <c r="A290" s="341">
        <v>17</v>
      </c>
      <c r="B290" s="314" t="s">
        <v>634</v>
      </c>
      <c r="C290" s="300" t="s">
        <v>675</v>
      </c>
      <c r="D290" s="349">
        <v>0</v>
      </c>
      <c r="E290" s="349">
        <v>0</v>
      </c>
      <c r="F290" s="349">
        <v>0</v>
      </c>
      <c r="G290" s="349">
        <v>0</v>
      </c>
      <c r="H290" s="355"/>
      <c r="I290" s="349">
        <v>0</v>
      </c>
      <c r="J290" s="349">
        <v>0</v>
      </c>
    </row>
    <row r="291" spans="1:14" s="214" customFormat="1" ht="13" thickTop="1" thickBot="1">
      <c r="A291" s="338">
        <v>17</v>
      </c>
      <c r="B291" s="311" t="s">
        <v>634</v>
      </c>
      <c r="C291" s="297" t="s">
        <v>582</v>
      </c>
      <c r="D291" s="353">
        <v>0</v>
      </c>
      <c r="E291" s="353">
        <v>0</v>
      </c>
      <c r="F291" s="353">
        <v>0</v>
      </c>
      <c r="G291" s="353">
        <v>0</v>
      </c>
      <c r="H291" s="353">
        <v>0</v>
      </c>
      <c r="I291" s="353">
        <v>0</v>
      </c>
      <c r="J291" s="353">
        <v>0</v>
      </c>
      <c r="K291" s="215"/>
      <c r="N291" s="214">
        <v>0</v>
      </c>
    </row>
    <row r="292" spans="1:14" ht="12.5" thickTop="1">
      <c r="A292" s="342">
        <v>17</v>
      </c>
      <c r="B292" s="343" t="s">
        <v>634</v>
      </c>
      <c r="C292" s="308" t="s">
        <v>676</v>
      </c>
      <c r="D292" s="356"/>
      <c r="E292" s="356"/>
      <c r="F292" s="356"/>
      <c r="G292" s="356"/>
      <c r="H292" s="356"/>
      <c r="I292" s="356"/>
      <c r="J292" s="356"/>
    </row>
    <row r="293" spans="1:14">
      <c r="A293" s="340">
        <v>17</v>
      </c>
      <c r="B293" s="313" t="s">
        <v>634</v>
      </c>
      <c r="C293" s="302" t="s">
        <v>677</v>
      </c>
      <c r="D293" s="349"/>
      <c r="E293" s="349"/>
      <c r="F293" s="349"/>
      <c r="G293" s="349"/>
      <c r="H293" s="349"/>
      <c r="I293" s="349"/>
      <c r="J293" s="349"/>
    </row>
    <row r="294" spans="1:14">
      <c r="A294" s="336">
        <v>18</v>
      </c>
      <c r="B294" s="309" t="s">
        <v>637</v>
      </c>
      <c r="C294" s="295" t="s">
        <v>672</v>
      </c>
      <c r="D294" s="351">
        <v>1</v>
      </c>
      <c r="E294" s="357"/>
      <c r="F294" s="357"/>
      <c r="G294" s="357"/>
      <c r="H294" s="351"/>
      <c r="I294" s="357">
        <v>20231578</v>
      </c>
      <c r="J294" s="357">
        <v>0</v>
      </c>
    </row>
    <row r="295" spans="1:14">
      <c r="A295" s="336">
        <v>18</v>
      </c>
      <c r="B295" s="309" t="s">
        <v>637</v>
      </c>
      <c r="C295" s="295" t="s">
        <v>673</v>
      </c>
      <c r="D295" s="351">
        <v>2</v>
      </c>
      <c r="E295" s="357"/>
      <c r="F295" s="357"/>
      <c r="G295" s="357"/>
      <c r="H295" s="351"/>
      <c r="I295" s="357">
        <v>31392593</v>
      </c>
      <c r="J295" s="357">
        <v>0</v>
      </c>
    </row>
    <row r="296" spans="1:14">
      <c r="A296" s="336">
        <v>18</v>
      </c>
      <c r="B296" s="309" t="s">
        <v>637</v>
      </c>
      <c r="C296" s="295" t="s">
        <v>674</v>
      </c>
      <c r="D296" s="365">
        <v>1</v>
      </c>
      <c r="E296" s="357"/>
      <c r="F296" s="357"/>
      <c r="G296" s="357"/>
      <c r="H296" s="351"/>
      <c r="I296" s="357">
        <v>6919143</v>
      </c>
      <c r="J296" s="357">
        <v>0</v>
      </c>
    </row>
    <row r="297" spans="1:14" ht="12.5" thickBot="1">
      <c r="A297" s="337">
        <v>18</v>
      </c>
      <c r="B297" s="310" t="s">
        <v>637</v>
      </c>
      <c r="C297" s="296" t="s">
        <v>675</v>
      </c>
      <c r="D297" s="359"/>
      <c r="E297" s="363">
        <v>1</v>
      </c>
      <c r="F297" s="359"/>
      <c r="G297" s="359"/>
      <c r="H297" s="359"/>
      <c r="I297" s="363">
        <v>884208</v>
      </c>
      <c r="J297" s="357">
        <v>0</v>
      </c>
    </row>
    <row r="298" spans="1:14" s="214" customFormat="1" ht="13" thickTop="1" thickBot="1">
      <c r="A298" s="338">
        <v>18</v>
      </c>
      <c r="B298" s="311" t="s">
        <v>637</v>
      </c>
      <c r="C298" s="297" t="s">
        <v>582</v>
      </c>
      <c r="D298" s="353">
        <v>4</v>
      </c>
      <c r="E298" s="353">
        <v>1</v>
      </c>
      <c r="F298" s="353"/>
      <c r="G298" s="353"/>
      <c r="H298" s="353">
        <v>0</v>
      </c>
      <c r="I298" s="353">
        <v>59427522</v>
      </c>
      <c r="J298" s="353">
        <v>0</v>
      </c>
      <c r="K298" s="215"/>
    </row>
    <row r="299" spans="1:14" ht="12.5" thickTop="1">
      <c r="A299" s="339">
        <v>18</v>
      </c>
      <c r="B299" s="312" t="s">
        <v>637</v>
      </c>
      <c r="C299" s="303" t="s">
        <v>676</v>
      </c>
      <c r="D299" s="361">
        <v>4</v>
      </c>
      <c r="E299" s="361">
        <v>1</v>
      </c>
      <c r="F299" s="361"/>
      <c r="G299" s="361"/>
      <c r="H299" s="361"/>
      <c r="I299" s="361"/>
      <c r="J299" s="357">
        <v>0</v>
      </c>
    </row>
    <row r="300" spans="1:14">
      <c r="A300" s="336">
        <v>18</v>
      </c>
      <c r="B300" s="309" t="s">
        <v>637</v>
      </c>
      <c r="C300" s="304" t="s">
        <v>677</v>
      </c>
      <c r="D300" s="357"/>
      <c r="E300" s="357"/>
      <c r="F300" s="357"/>
      <c r="G300" s="357"/>
      <c r="H300" s="357"/>
      <c r="I300" s="357"/>
      <c r="J300" s="357">
        <v>0</v>
      </c>
    </row>
    <row r="301" spans="1:14">
      <c r="A301" s="336">
        <v>18</v>
      </c>
      <c r="B301" s="309" t="s">
        <v>637</v>
      </c>
      <c r="C301" s="304" t="s">
        <v>697</v>
      </c>
      <c r="D301" s="357">
        <v>51</v>
      </c>
      <c r="E301" s="357">
        <v>6</v>
      </c>
      <c r="F301" s="357"/>
      <c r="G301" s="357"/>
      <c r="H301" s="357">
        <v>57</v>
      </c>
      <c r="I301" s="357">
        <v>59427522</v>
      </c>
      <c r="J301" s="357">
        <v>0</v>
      </c>
    </row>
    <row r="302" spans="1:14">
      <c r="A302" s="340">
        <v>19</v>
      </c>
      <c r="B302" s="313" t="s">
        <v>692</v>
      </c>
      <c r="C302" s="299" t="s">
        <v>672</v>
      </c>
      <c r="D302" s="349"/>
      <c r="E302" s="349"/>
      <c r="F302" s="367"/>
      <c r="G302" s="367"/>
      <c r="H302" s="349"/>
      <c r="I302" s="368"/>
      <c r="J302" s="349"/>
    </row>
    <row r="303" spans="1:14">
      <c r="A303" s="340">
        <v>19</v>
      </c>
      <c r="B303" s="313" t="s">
        <v>692</v>
      </c>
      <c r="C303" s="299" t="s">
        <v>673</v>
      </c>
      <c r="D303" s="349"/>
      <c r="E303" s="367"/>
      <c r="F303" s="349"/>
      <c r="G303" s="349"/>
      <c r="H303" s="349"/>
      <c r="I303" s="349"/>
      <c r="J303" s="368"/>
    </row>
    <row r="304" spans="1:14">
      <c r="A304" s="340">
        <v>19</v>
      </c>
      <c r="B304" s="313" t="s">
        <v>692</v>
      </c>
      <c r="C304" s="299" t="s">
        <v>674</v>
      </c>
      <c r="D304" s="349"/>
      <c r="E304" s="349"/>
      <c r="F304" s="349"/>
      <c r="G304" s="349"/>
      <c r="H304" s="349"/>
      <c r="I304" s="349"/>
      <c r="J304" s="349"/>
    </row>
    <row r="305" spans="1:11" ht="12.5" thickBot="1">
      <c r="A305" s="341">
        <v>19</v>
      </c>
      <c r="B305" s="314" t="s">
        <v>692</v>
      </c>
      <c r="C305" s="300" t="s">
        <v>675</v>
      </c>
      <c r="D305" s="355"/>
      <c r="E305" s="355"/>
      <c r="F305" s="355"/>
      <c r="G305" s="355"/>
      <c r="H305" s="355"/>
      <c r="I305" s="355"/>
      <c r="J305" s="355"/>
    </row>
    <row r="306" spans="1:11" s="214" customFormat="1" ht="13" thickTop="1" thickBot="1">
      <c r="A306" s="338">
        <v>19</v>
      </c>
      <c r="B306" s="311" t="s">
        <v>692</v>
      </c>
      <c r="C306" s="297" t="s">
        <v>582</v>
      </c>
      <c r="D306" s="353"/>
      <c r="E306" s="353"/>
      <c r="F306" s="353"/>
      <c r="G306" s="353"/>
      <c r="H306" s="353"/>
      <c r="I306" s="353"/>
      <c r="J306" s="353"/>
      <c r="K306" s="215"/>
    </row>
    <row r="307" spans="1:11" ht="12.5" thickTop="1">
      <c r="A307" s="342">
        <v>19</v>
      </c>
      <c r="B307" s="343" t="s">
        <v>692</v>
      </c>
      <c r="C307" s="308" t="s">
        <v>676</v>
      </c>
      <c r="D307" s="356"/>
      <c r="E307" s="356"/>
      <c r="F307" s="356"/>
      <c r="G307" s="356"/>
      <c r="H307" s="356"/>
      <c r="I307" s="356"/>
      <c r="J307" s="356"/>
    </row>
    <row r="308" spans="1:11">
      <c r="A308" s="340">
        <v>19</v>
      </c>
      <c r="B308" s="313" t="s">
        <v>692</v>
      </c>
      <c r="C308" s="302" t="s">
        <v>677</v>
      </c>
      <c r="D308" s="349"/>
      <c r="E308" s="349"/>
      <c r="F308" s="349"/>
      <c r="G308" s="349"/>
      <c r="H308" s="349"/>
      <c r="I308" s="349"/>
      <c r="J308" s="349"/>
    </row>
    <row r="309" spans="1:11">
      <c r="A309" s="336">
        <v>20</v>
      </c>
      <c r="B309" s="309" t="s">
        <v>640</v>
      </c>
      <c r="C309" s="295" t="s">
        <v>672</v>
      </c>
      <c r="D309" s="351">
        <v>0</v>
      </c>
      <c r="E309" s="351">
        <v>0</v>
      </c>
      <c r="F309" s="351">
        <v>0</v>
      </c>
      <c r="G309" s="351">
        <v>0</v>
      </c>
      <c r="H309" s="351">
        <v>0</v>
      </c>
      <c r="I309" s="351">
        <v>0</v>
      </c>
      <c r="J309" s="351">
        <v>0</v>
      </c>
    </row>
    <row r="310" spans="1:11">
      <c r="A310" s="336">
        <v>20</v>
      </c>
      <c r="B310" s="309" t="s">
        <v>640</v>
      </c>
      <c r="C310" s="295" t="s">
        <v>673</v>
      </c>
      <c r="D310" s="351">
        <v>0</v>
      </c>
      <c r="E310" s="351">
        <v>0</v>
      </c>
      <c r="F310" s="351">
        <v>0</v>
      </c>
      <c r="G310" s="351">
        <v>0</v>
      </c>
      <c r="H310" s="351">
        <v>0</v>
      </c>
      <c r="I310" s="351">
        <v>0</v>
      </c>
      <c r="J310" s="351">
        <v>0</v>
      </c>
    </row>
    <row r="311" spans="1:11">
      <c r="A311" s="336">
        <v>20</v>
      </c>
      <c r="B311" s="309" t="s">
        <v>640</v>
      </c>
      <c r="C311" s="295" t="s">
        <v>674</v>
      </c>
      <c r="D311" s="351">
        <v>0</v>
      </c>
      <c r="E311" s="351">
        <v>0</v>
      </c>
      <c r="F311" s="351">
        <v>0</v>
      </c>
      <c r="G311" s="351">
        <v>0</v>
      </c>
      <c r="H311" s="351">
        <v>0</v>
      </c>
      <c r="I311" s="351">
        <v>0</v>
      </c>
      <c r="J311" s="351">
        <v>0</v>
      </c>
    </row>
    <row r="312" spans="1:11" ht="12.5" thickBot="1">
      <c r="A312" s="337">
        <v>20</v>
      </c>
      <c r="B312" s="310" t="s">
        <v>640</v>
      </c>
      <c r="C312" s="296" t="s">
        <v>675</v>
      </c>
      <c r="D312" s="351">
        <v>0</v>
      </c>
      <c r="E312" s="351">
        <v>0</v>
      </c>
      <c r="F312" s="351">
        <v>0</v>
      </c>
      <c r="G312" s="351">
        <v>0</v>
      </c>
      <c r="H312" s="351">
        <v>0</v>
      </c>
      <c r="I312" s="351">
        <v>0</v>
      </c>
      <c r="J312" s="351">
        <v>0</v>
      </c>
    </row>
    <row r="313" spans="1:11" s="214" customFormat="1" ht="13" thickTop="1" thickBot="1">
      <c r="A313" s="338">
        <v>20</v>
      </c>
      <c r="B313" s="311" t="s">
        <v>640</v>
      </c>
      <c r="C313" s="297" t="s">
        <v>582</v>
      </c>
      <c r="D313" s="353">
        <v>0</v>
      </c>
      <c r="E313" s="353">
        <v>0</v>
      </c>
      <c r="F313" s="353">
        <v>0</v>
      </c>
      <c r="G313" s="353">
        <v>0</v>
      </c>
      <c r="H313" s="353">
        <v>0</v>
      </c>
      <c r="I313" s="353">
        <v>0</v>
      </c>
      <c r="J313" s="353">
        <v>0</v>
      </c>
      <c r="K313" s="215"/>
    </row>
    <row r="314" spans="1:11" ht="12.5" thickTop="1">
      <c r="A314" s="339">
        <v>20</v>
      </c>
      <c r="B314" s="312" t="s">
        <v>640</v>
      </c>
      <c r="C314" s="303" t="s">
        <v>676</v>
      </c>
      <c r="D314" s="351">
        <v>0</v>
      </c>
      <c r="E314" s="351">
        <v>0</v>
      </c>
      <c r="F314" s="351">
        <v>0</v>
      </c>
      <c r="G314" s="351">
        <v>0</v>
      </c>
      <c r="H314" s="351">
        <v>0</v>
      </c>
      <c r="I314" s="351">
        <v>0</v>
      </c>
      <c r="J314" s="351">
        <v>0</v>
      </c>
    </row>
    <row r="315" spans="1:11">
      <c r="A315" s="336">
        <v>20</v>
      </c>
      <c r="B315" s="309" t="s">
        <v>640</v>
      </c>
      <c r="C315" s="304" t="s">
        <v>677</v>
      </c>
      <c r="D315" s="351">
        <v>0</v>
      </c>
      <c r="E315" s="351">
        <v>0</v>
      </c>
      <c r="F315" s="351">
        <v>0</v>
      </c>
      <c r="G315" s="351">
        <v>0</v>
      </c>
      <c r="H315" s="351">
        <v>0</v>
      </c>
      <c r="I315" s="351">
        <v>0</v>
      </c>
      <c r="J315" s="351">
        <v>0</v>
      </c>
    </row>
    <row r="316" spans="1:11">
      <c r="A316" s="336">
        <v>20</v>
      </c>
      <c r="B316" s="309" t="s">
        <v>640</v>
      </c>
      <c r="C316" s="309" t="s">
        <v>697</v>
      </c>
      <c r="D316" s="351">
        <v>717</v>
      </c>
      <c r="E316" s="351">
        <v>16</v>
      </c>
      <c r="F316" s="351">
        <v>12</v>
      </c>
      <c r="G316" s="351">
        <v>0</v>
      </c>
      <c r="H316" s="351">
        <v>2208269065</v>
      </c>
      <c r="I316" s="351">
        <v>84831766</v>
      </c>
      <c r="J316" s="351">
        <v>96164408</v>
      </c>
    </row>
    <row r="317" spans="1:11">
      <c r="A317" s="340">
        <v>21</v>
      </c>
      <c r="B317" s="313" t="s">
        <v>257</v>
      </c>
      <c r="C317" s="299" t="s">
        <v>672</v>
      </c>
      <c r="D317" s="349">
        <v>0</v>
      </c>
      <c r="E317" s="349">
        <v>0</v>
      </c>
      <c r="F317" s="349">
        <v>0</v>
      </c>
      <c r="G317" s="349">
        <v>0</v>
      </c>
      <c r="H317" s="349">
        <v>0</v>
      </c>
      <c r="I317" s="349">
        <v>0</v>
      </c>
      <c r="J317" s="349">
        <v>0</v>
      </c>
    </row>
    <row r="318" spans="1:11">
      <c r="A318" s="340">
        <v>21</v>
      </c>
      <c r="B318" s="313" t="s">
        <v>257</v>
      </c>
      <c r="C318" s="299" t="s">
        <v>673</v>
      </c>
      <c r="D318" s="349">
        <v>0</v>
      </c>
      <c r="E318" s="349">
        <v>0</v>
      </c>
      <c r="F318" s="349">
        <v>0</v>
      </c>
      <c r="G318" s="349">
        <v>0</v>
      </c>
      <c r="H318" s="349">
        <v>0</v>
      </c>
      <c r="I318" s="349">
        <v>0</v>
      </c>
      <c r="J318" s="349">
        <v>0</v>
      </c>
    </row>
    <row r="319" spans="1:11">
      <c r="A319" s="340">
        <v>21</v>
      </c>
      <c r="B319" s="313" t="s">
        <v>257</v>
      </c>
      <c r="C319" s="299" t="s">
        <v>674</v>
      </c>
      <c r="D319" s="349">
        <v>1</v>
      </c>
      <c r="E319" s="349">
        <v>2</v>
      </c>
      <c r="F319" s="349">
        <v>0</v>
      </c>
      <c r="G319" s="349">
        <v>0</v>
      </c>
      <c r="H319" s="349">
        <v>3</v>
      </c>
      <c r="I319" s="349">
        <v>4871457</v>
      </c>
      <c r="J319" s="349">
        <v>0</v>
      </c>
    </row>
    <row r="320" spans="1:11" ht="12.5" thickBot="1">
      <c r="A320" s="341">
        <v>21</v>
      </c>
      <c r="B320" s="314" t="s">
        <v>257</v>
      </c>
      <c r="C320" s="300" t="s">
        <v>675</v>
      </c>
      <c r="D320" s="355">
        <v>14</v>
      </c>
      <c r="E320" s="355">
        <v>0</v>
      </c>
      <c r="F320" s="355">
        <v>0</v>
      </c>
      <c r="G320" s="355">
        <v>0</v>
      </c>
      <c r="H320" s="355">
        <v>14</v>
      </c>
      <c r="I320" s="355">
        <v>10211815</v>
      </c>
      <c r="J320" s="355">
        <v>0</v>
      </c>
    </row>
    <row r="321" spans="1:11" s="214" customFormat="1" ht="13" thickTop="1" thickBot="1">
      <c r="A321" s="338">
        <v>21</v>
      </c>
      <c r="B321" s="311" t="s">
        <v>257</v>
      </c>
      <c r="C321" s="297" t="s">
        <v>582</v>
      </c>
      <c r="D321" s="353">
        <v>15</v>
      </c>
      <c r="E321" s="353">
        <v>2</v>
      </c>
      <c r="F321" s="353">
        <v>0</v>
      </c>
      <c r="G321" s="353">
        <v>0</v>
      </c>
      <c r="H321" s="353">
        <v>17</v>
      </c>
      <c r="I321" s="353">
        <v>15083272</v>
      </c>
      <c r="J321" s="353">
        <v>0</v>
      </c>
      <c r="K321" s="215"/>
    </row>
    <row r="322" spans="1:11" ht="12.5" thickTop="1">
      <c r="A322" s="342">
        <v>21</v>
      </c>
      <c r="B322" s="343" t="s">
        <v>257</v>
      </c>
      <c r="C322" s="308" t="s">
        <v>676</v>
      </c>
      <c r="D322" s="356">
        <v>15</v>
      </c>
      <c r="E322" s="356">
        <v>2</v>
      </c>
      <c r="F322" s="356">
        <v>0</v>
      </c>
      <c r="G322" s="356">
        <v>0</v>
      </c>
      <c r="H322" s="356">
        <v>17</v>
      </c>
      <c r="I322" s="356">
        <v>15083272</v>
      </c>
      <c r="J322" s="356">
        <v>0</v>
      </c>
    </row>
    <row r="323" spans="1:11">
      <c r="A323" s="340">
        <v>21</v>
      </c>
      <c r="B323" s="313" t="s">
        <v>257</v>
      </c>
      <c r="C323" s="302" t="s">
        <v>677</v>
      </c>
      <c r="D323" s="349">
        <v>0</v>
      </c>
      <c r="E323" s="349">
        <v>0</v>
      </c>
      <c r="F323" s="349">
        <v>0</v>
      </c>
      <c r="G323" s="349">
        <v>0</v>
      </c>
      <c r="H323" s="349">
        <v>0</v>
      </c>
      <c r="I323" s="349">
        <v>0</v>
      </c>
      <c r="J323" s="349">
        <v>0</v>
      </c>
    </row>
    <row r="324" spans="1:11">
      <c r="A324" s="340">
        <v>21</v>
      </c>
      <c r="B324" s="313" t="s">
        <v>257</v>
      </c>
      <c r="C324" s="302" t="s">
        <v>697</v>
      </c>
      <c r="D324" s="349">
        <v>438</v>
      </c>
      <c r="E324" s="349">
        <v>52</v>
      </c>
      <c r="F324" s="349">
        <v>18</v>
      </c>
      <c r="G324" s="349">
        <v>1</v>
      </c>
      <c r="H324" s="349">
        <v>0</v>
      </c>
      <c r="I324" s="349">
        <v>1513239816</v>
      </c>
      <c r="J324" s="349">
        <v>380539818</v>
      </c>
    </row>
    <row r="325" spans="1:11">
      <c r="A325" s="336">
        <v>22</v>
      </c>
      <c r="B325" s="309" t="s">
        <v>698</v>
      </c>
      <c r="C325" s="295" t="s">
        <v>672</v>
      </c>
      <c r="D325" s="351"/>
      <c r="E325" s="365"/>
      <c r="F325" s="364"/>
      <c r="G325" s="357"/>
      <c r="H325" s="351"/>
      <c r="I325" s="369"/>
      <c r="J325" s="351"/>
    </row>
    <row r="326" spans="1:11">
      <c r="A326" s="336">
        <v>22</v>
      </c>
      <c r="B326" s="309" t="s">
        <v>698</v>
      </c>
      <c r="C326" s="295" t="s">
        <v>673</v>
      </c>
      <c r="D326" s="351"/>
      <c r="E326" s="364"/>
      <c r="F326" s="365"/>
      <c r="G326" s="365"/>
      <c r="H326" s="351"/>
      <c r="I326" s="351"/>
      <c r="J326" s="369"/>
    </row>
    <row r="327" spans="1:11">
      <c r="A327" s="336">
        <v>22</v>
      </c>
      <c r="B327" s="309" t="s">
        <v>698</v>
      </c>
      <c r="C327" s="295" t="s">
        <v>674</v>
      </c>
      <c r="D327" s="365"/>
      <c r="E327" s="365"/>
      <c r="F327" s="365"/>
      <c r="G327" s="365"/>
      <c r="H327" s="351"/>
      <c r="I327" s="365"/>
      <c r="J327" s="365"/>
    </row>
    <row r="328" spans="1:11" ht="12.5" thickBot="1">
      <c r="A328" s="337">
        <v>22</v>
      </c>
      <c r="B328" s="310" t="s">
        <v>698</v>
      </c>
      <c r="C328" s="296" t="s">
        <v>675</v>
      </c>
      <c r="D328" s="363"/>
      <c r="E328" s="363"/>
      <c r="F328" s="363"/>
      <c r="G328" s="363"/>
      <c r="H328" s="352"/>
      <c r="I328" s="363"/>
      <c r="J328" s="363"/>
    </row>
    <row r="329" spans="1:11" s="214" customFormat="1" ht="13" thickTop="1" thickBot="1">
      <c r="A329" s="338">
        <v>22</v>
      </c>
      <c r="B329" s="311" t="s">
        <v>698</v>
      </c>
      <c r="C329" s="297" t="s">
        <v>582</v>
      </c>
      <c r="D329" s="353"/>
      <c r="E329" s="353"/>
      <c r="F329" s="353"/>
      <c r="G329" s="353"/>
      <c r="H329" s="353"/>
      <c r="I329" s="353"/>
      <c r="J329" s="353"/>
      <c r="K329" s="215"/>
    </row>
    <row r="330" spans="1:11" ht="12.5" thickTop="1">
      <c r="A330" s="339">
        <v>22</v>
      </c>
      <c r="B330" s="312" t="s">
        <v>698</v>
      </c>
      <c r="C330" s="303" t="s">
        <v>676</v>
      </c>
      <c r="D330" s="354"/>
      <c r="E330" s="354"/>
      <c r="F330" s="354"/>
      <c r="G330" s="354"/>
      <c r="H330" s="354"/>
      <c r="I330" s="354"/>
      <c r="J330" s="354"/>
    </row>
    <row r="331" spans="1:11">
      <c r="A331" s="336">
        <v>22</v>
      </c>
      <c r="B331" s="309" t="s">
        <v>698</v>
      </c>
      <c r="C331" s="304" t="s">
        <v>677</v>
      </c>
      <c r="D331" s="351"/>
      <c r="E331" s="351"/>
      <c r="F331" s="351"/>
      <c r="G331" s="351"/>
      <c r="H331" s="351"/>
      <c r="I331" s="351"/>
      <c r="J331" s="351"/>
    </row>
    <row r="333" spans="1:11" s="217" customFormat="1" ht="19">
      <c r="A333" s="217" t="s">
        <v>699</v>
      </c>
    </row>
    <row r="335" spans="1:11" s="203" customFormat="1"/>
    <row r="336" spans="1:11">
      <c r="A336" s="220"/>
      <c r="B336" s="198"/>
      <c r="C336" s="198"/>
      <c r="D336" s="728" t="s">
        <v>665</v>
      </c>
      <c r="E336" s="728"/>
      <c r="F336" s="728" t="s">
        <v>666</v>
      </c>
      <c r="G336" s="728"/>
      <c r="H336" s="729" t="s">
        <v>667</v>
      </c>
      <c r="I336" s="729"/>
      <c r="J336" s="729" t="s">
        <v>668</v>
      </c>
      <c r="K336" s="729"/>
    </row>
    <row r="337" spans="1:11" ht="12.5" thickBot="1">
      <c r="A337" s="288" t="s">
        <v>143</v>
      </c>
      <c r="B337" s="289" t="s">
        <v>144</v>
      </c>
      <c r="C337" s="290" t="s">
        <v>669</v>
      </c>
      <c r="D337" s="291" t="s">
        <v>670</v>
      </c>
      <c r="E337" s="291" t="s">
        <v>671</v>
      </c>
      <c r="F337" s="291" t="s">
        <v>670</v>
      </c>
      <c r="G337" s="291" t="s">
        <v>671</v>
      </c>
      <c r="H337" s="292" t="s">
        <v>670</v>
      </c>
      <c r="I337" s="292" t="s">
        <v>671</v>
      </c>
      <c r="J337" s="292" t="s">
        <v>670</v>
      </c>
      <c r="K337" s="293" t="s">
        <v>671</v>
      </c>
    </row>
    <row r="338" spans="1:11">
      <c r="A338" s="725">
        <v>1</v>
      </c>
      <c r="B338" s="294" t="s">
        <v>700</v>
      </c>
      <c r="C338" s="295" t="s">
        <v>672</v>
      </c>
      <c r="D338" s="351">
        <v>2</v>
      </c>
      <c r="E338" s="357">
        <v>2</v>
      </c>
      <c r="F338" s="357">
        <v>1</v>
      </c>
      <c r="G338" s="357">
        <v>0</v>
      </c>
      <c r="H338" s="357">
        <v>243968996</v>
      </c>
      <c r="I338" s="357">
        <v>598992587</v>
      </c>
      <c r="J338" s="357">
        <v>106723362</v>
      </c>
      <c r="K338" s="357">
        <v>0</v>
      </c>
    </row>
    <row r="339" spans="1:11">
      <c r="A339" s="726"/>
      <c r="B339" s="294" t="s">
        <v>700</v>
      </c>
      <c r="C339" s="295" t="s">
        <v>673</v>
      </c>
      <c r="D339" s="365">
        <v>0</v>
      </c>
      <c r="E339" s="357">
        <v>0</v>
      </c>
      <c r="F339" s="357">
        <v>0</v>
      </c>
      <c r="G339" s="357">
        <v>0</v>
      </c>
      <c r="H339" s="357">
        <v>0</v>
      </c>
      <c r="I339" s="365">
        <v>0</v>
      </c>
      <c r="J339" s="357">
        <v>0</v>
      </c>
      <c r="K339" s="357">
        <v>0</v>
      </c>
    </row>
    <row r="340" spans="1:11">
      <c r="A340" s="726"/>
      <c r="B340" s="294" t="s">
        <v>700</v>
      </c>
      <c r="C340" s="295" t="s">
        <v>674</v>
      </c>
      <c r="D340" s="365">
        <v>0</v>
      </c>
      <c r="E340" s="357">
        <v>0</v>
      </c>
      <c r="F340" s="357">
        <v>0</v>
      </c>
      <c r="G340" s="357">
        <v>0</v>
      </c>
      <c r="H340" s="357">
        <v>0</v>
      </c>
      <c r="I340" s="365">
        <v>0</v>
      </c>
      <c r="J340" s="357">
        <v>0</v>
      </c>
      <c r="K340" s="357">
        <v>0</v>
      </c>
    </row>
    <row r="341" spans="1:11" ht="12.5" thickBot="1">
      <c r="A341" s="726"/>
      <c r="B341" s="294" t="s">
        <v>700</v>
      </c>
      <c r="C341" s="296" t="s">
        <v>675</v>
      </c>
      <c r="D341" s="352">
        <v>0</v>
      </c>
      <c r="E341" s="357">
        <v>0</v>
      </c>
      <c r="F341" s="357">
        <v>0</v>
      </c>
      <c r="G341" s="357">
        <v>0</v>
      </c>
      <c r="H341" s="357">
        <v>0</v>
      </c>
      <c r="I341" s="352">
        <v>0</v>
      </c>
      <c r="J341" s="357">
        <v>0</v>
      </c>
      <c r="K341" s="357">
        <v>0</v>
      </c>
    </row>
    <row r="342" spans="1:11" s="214" customFormat="1" ht="13" thickTop="1" thickBot="1">
      <c r="A342" s="726"/>
      <c r="B342" s="297" t="s">
        <v>700</v>
      </c>
      <c r="C342" s="297" t="s">
        <v>701</v>
      </c>
      <c r="D342" s="353">
        <v>2</v>
      </c>
      <c r="E342" s="373">
        <v>2</v>
      </c>
      <c r="F342" s="373">
        <v>1</v>
      </c>
      <c r="G342" s="373">
        <v>0</v>
      </c>
      <c r="H342" s="373">
        <v>243968996</v>
      </c>
      <c r="I342" s="373">
        <v>598992587</v>
      </c>
      <c r="J342" s="373">
        <v>106723362</v>
      </c>
      <c r="K342" s="373">
        <v>0</v>
      </c>
    </row>
    <row r="343" spans="1:11" ht="12.5" thickTop="1">
      <c r="A343" s="726"/>
      <c r="B343" s="294" t="s">
        <v>700</v>
      </c>
      <c r="C343" s="295" t="s">
        <v>702</v>
      </c>
      <c r="D343" s="365">
        <v>2</v>
      </c>
      <c r="E343" s="357">
        <v>2</v>
      </c>
      <c r="F343" s="357">
        <v>1</v>
      </c>
      <c r="G343" s="357">
        <v>0</v>
      </c>
      <c r="H343" s="357">
        <v>0</v>
      </c>
      <c r="I343" s="365">
        <v>0</v>
      </c>
      <c r="J343" s="357">
        <v>0</v>
      </c>
      <c r="K343" s="357">
        <v>0</v>
      </c>
    </row>
    <row r="344" spans="1:11">
      <c r="A344" s="727"/>
      <c r="B344" s="294" t="s">
        <v>700</v>
      </c>
      <c r="C344" s="296" t="s">
        <v>703</v>
      </c>
      <c r="D344" s="352">
        <v>0</v>
      </c>
      <c r="E344" s="357">
        <v>0</v>
      </c>
      <c r="F344" s="357">
        <v>0</v>
      </c>
      <c r="G344" s="357">
        <v>0</v>
      </c>
      <c r="H344" s="357">
        <v>0</v>
      </c>
      <c r="I344" s="352">
        <v>0</v>
      </c>
      <c r="J344" s="357">
        <v>0</v>
      </c>
      <c r="K344" s="357">
        <v>0</v>
      </c>
    </row>
    <row r="345" spans="1:11">
      <c r="A345" s="725">
        <v>2</v>
      </c>
      <c r="B345" s="298" t="s">
        <v>704</v>
      </c>
      <c r="C345" s="299" t="s">
        <v>672</v>
      </c>
      <c r="D345" s="349">
        <v>11</v>
      </c>
      <c r="E345" s="349">
        <v>0</v>
      </c>
      <c r="F345" s="349">
        <v>0</v>
      </c>
      <c r="G345" s="349">
        <v>0</v>
      </c>
      <c r="H345" s="349">
        <v>97523606</v>
      </c>
      <c r="I345" s="349">
        <v>0</v>
      </c>
      <c r="J345" s="349">
        <v>0</v>
      </c>
      <c r="K345" s="382">
        <v>0</v>
      </c>
    </row>
    <row r="346" spans="1:11">
      <c r="A346" s="726"/>
      <c r="B346" s="298" t="s">
        <v>704</v>
      </c>
      <c r="C346" s="299" t="s">
        <v>673</v>
      </c>
      <c r="D346" s="349">
        <v>0</v>
      </c>
      <c r="E346" s="349">
        <v>0</v>
      </c>
      <c r="F346" s="349">
        <v>0</v>
      </c>
      <c r="G346" s="349">
        <v>0</v>
      </c>
      <c r="H346" s="349">
        <v>0</v>
      </c>
      <c r="I346" s="349">
        <v>0</v>
      </c>
      <c r="J346" s="349">
        <v>0</v>
      </c>
      <c r="K346" s="382">
        <v>0</v>
      </c>
    </row>
    <row r="347" spans="1:11">
      <c r="A347" s="726"/>
      <c r="B347" s="298" t="s">
        <v>704</v>
      </c>
      <c r="C347" s="299" t="s">
        <v>674</v>
      </c>
      <c r="D347" s="349">
        <v>18</v>
      </c>
      <c r="E347" s="349">
        <v>4</v>
      </c>
      <c r="F347" s="349">
        <v>0</v>
      </c>
      <c r="G347" s="349">
        <v>0</v>
      </c>
      <c r="H347" s="349">
        <v>83710953</v>
      </c>
      <c r="I347" s="368">
        <v>13695806</v>
      </c>
      <c r="J347" s="349">
        <v>0</v>
      </c>
      <c r="K347" s="382">
        <v>0</v>
      </c>
    </row>
    <row r="348" spans="1:11" ht="12.5" thickBot="1">
      <c r="A348" s="726"/>
      <c r="B348" s="298" t="s">
        <v>704</v>
      </c>
      <c r="C348" s="300" t="s">
        <v>675</v>
      </c>
      <c r="D348" s="355">
        <v>32</v>
      </c>
      <c r="E348" s="355">
        <v>5</v>
      </c>
      <c r="F348" s="355">
        <v>0</v>
      </c>
      <c r="G348" s="355">
        <v>0</v>
      </c>
      <c r="H348" s="349">
        <v>81453022</v>
      </c>
      <c r="I348" s="368">
        <v>10678010</v>
      </c>
      <c r="J348" s="349">
        <v>0</v>
      </c>
      <c r="K348" s="383">
        <v>0</v>
      </c>
    </row>
    <row r="349" spans="1:11" s="214" customFormat="1" ht="13" thickTop="1" thickBot="1">
      <c r="A349" s="726"/>
      <c r="B349" s="297" t="s">
        <v>704</v>
      </c>
      <c r="C349" s="297" t="s">
        <v>582</v>
      </c>
      <c r="D349" s="353">
        <v>61</v>
      </c>
      <c r="E349" s="373">
        <v>9</v>
      </c>
      <c r="F349" s="373">
        <v>0</v>
      </c>
      <c r="G349" s="373">
        <v>0</v>
      </c>
      <c r="H349" s="373">
        <v>262687581</v>
      </c>
      <c r="I349" s="373">
        <v>24373816</v>
      </c>
      <c r="J349" s="373">
        <v>0</v>
      </c>
      <c r="K349" s="373">
        <v>0</v>
      </c>
    </row>
    <row r="350" spans="1:11" ht="12.5" thickTop="1">
      <c r="A350" s="726"/>
      <c r="B350" s="298" t="s">
        <v>704</v>
      </c>
      <c r="C350" s="301" t="s">
        <v>676</v>
      </c>
      <c r="D350" s="356">
        <v>0</v>
      </c>
      <c r="E350" s="356">
        <v>0</v>
      </c>
      <c r="F350" s="356">
        <v>0</v>
      </c>
      <c r="G350" s="356">
        <v>0</v>
      </c>
      <c r="H350" s="356">
        <v>0</v>
      </c>
      <c r="I350" s="356">
        <v>0</v>
      </c>
      <c r="J350" s="356">
        <v>0</v>
      </c>
      <c r="K350" s="384">
        <v>0</v>
      </c>
    </row>
    <row r="351" spans="1:11">
      <c r="A351" s="727"/>
      <c r="B351" s="298" t="s">
        <v>704</v>
      </c>
      <c r="C351" s="302" t="s">
        <v>677</v>
      </c>
      <c r="D351" s="349">
        <v>0</v>
      </c>
      <c r="E351" s="349">
        <v>0</v>
      </c>
      <c r="F351" s="349">
        <v>0</v>
      </c>
      <c r="G351" s="349">
        <v>0</v>
      </c>
      <c r="H351" s="349">
        <v>0</v>
      </c>
      <c r="I351" s="349">
        <v>0</v>
      </c>
      <c r="J351" s="349">
        <v>0</v>
      </c>
      <c r="K351" s="382">
        <v>0</v>
      </c>
    </row>
    <row r="352" spans="1:11">
      <c r="A352" s="725">
        <v>3</v>
      </c>
      <c r="B352" s="294" t="s">
        <v>705</v>
      </c>
      <c r="C352" s="295" t="s">
        <v>672</v>
      </c>
      <c r="D352" s="351">
        <v>2</v>
      </c>
      <c r="E352" s="357">
        <v>0</v>
      </c>
      <c r="F352" s="357">
        <v>0</v>
      </c>
      <c r="G352" s="357">
        <v>0</v>
      </c>
      <c r="H352" s="357">
        <v>268193785</v>
      </c>
      <c r="I352" s="357"/>
      <c r="J352" s="357">
        <v>0</v>
      </c>
      <c r="K352" s="357">
        <v>0</v>
      </c>
    </row>
    <row r="353" spans="1:11">
      <c r="A353" s="726"/>
      <c r="B353" s="294" t="s">
        <v>705</v>
      </c>
      <c r="C353" s="295" t="s">
        <v>673</v>
      </c>
      <c r="D353" s="365">
        <v>9</v>
      </c>
      <c r="E353" s="357">
        <v>6</v>
      </c>
      <c r="F353" s="357">
        <v>0</v>
      </c>
      <c r="G353" s="357">
        <v>0</v>
      </c>
      <c r="H353" s="357">
        <v>368113780</v>
      </c>
      <c r="I353" s="365">
        <v>283614044</v>
      </c>
      <c r="J353" s="357">
        <v>0</v>
      </c>
      <c r="K353" s="357">
        <v>0</v>
      </c>
    </row>
    <row r="354" spans="1:11">
      <c r="A354" s="726"/>
      <c r="B354" s="294" t="s">
        <v>705</v>
      </c>
      <c r="C354" s="295" t="s">
        <v>674</v>
      </c>
      <c r="D354" s="365">
        <v>9</v>
      </c>
      <c r="E354" s="357">
        <v>9</v>
      </c>
      <c r="F354" s="357">
        <v>0</v>
      </c>
      <c r="G354" s="357">
        <v>0</v>
      </c>
      <c r="H354" s="357">
        <v>90619474</v>
      </c>
      <c r="I354" s="365">
        <v>99969078</v>
      </c>
      <c r="J354" s="357">
        <v>0</v>
      </c>
      <c r="K354" s="357">
        <v>0</v>
      </c>
    </row>
    <row r="355" spans="1:11" ht="12.5" thickBot="1">
      <c r="A355" s="726"/>
      <c r="B355" s="294" t="s">
        <v>705</v>
      </c>
      <c r="C355" s="296" t="s">
        <v>675</v>
      </c>
      <c r="D355" s="352">
        <v>5</v>
      </c>
      <c r="E355" s="357">
        <v>0</v>
      </c>
      <c r="F355" s="357">
        <v>0</v>
      </c>
      <c r="G355" s="357">
        <v>0</v>
      </c>
      <c r="H355" s="357">
        <v>31363755</v>
      </c>
      <c r="I355" s="352"/>
      <c r="J355" s="357">
        <v>0</v>
      </c>
      <c r="K355" s="357">
        <v>0</v>
      </c>
    </row>
    <row r="356" spans="1:11" s="214" customFormat="1" ht="13" thickTop="1" thickBot="1">
      <c r="A356" s="726"/>
      <c r="B356" s="297" t="s">
        <v>705</v>
      </c>
      <c r="C356" s="297" t="s">
        <v>582</v>
      </c>
      <c r="D356" s="353">
        <v>25</v>
      </c>
      <c r="E356" s="373">
        <v>15</v>
      </c>
      <c r="F356" s="373">
        <v>0</v>
      </c>
      <c r="G356" s="373">
        <v>0</v>
      </c>
      <c r="H356" s="373">
        <v>758290794</v>
      </c>
      <c r="I356" s="373">
        <v>383583122</v>
      </c>
      <c r="J356" s="373">
        <v>0</v>
      </c>
      <c r="K356" s="373">
        <v>0</v>
      </c>
    </row>
    <row r="357" spans="1:11" ht="12.5" thickTop="1">
      <c r="A357" s="726"/>
      <c r="B357" s="294" t="s">
        <v>705</v>
      </c>
      <c r="C357" s="303" t="s">
        <v>676</v>
      </c>
      <c r="D357" s="365">
        <v>0</v>
      </c>
      <c r="E357" s="357">
        <v>0</v>
      </c>
      <c r="F357" s="357">
        <v>0</v>
      </c>
      <c r="G357" s="357">
        <v>0</v>
      </c>
      <c r="H357" s="357">
        <v>0</v>
      </c>
      <c r="I357" s="365">
        <v>0</v>
      </c>
      <c r="J357" s="357">
        <v>0</v>
      </c>
      <c r="K357" s="357">
        <v>0</v>
      </c>
    </row>
    <row r="358" spans="1:11">
      <c r="A358" s="727"/>
      <c r="B358" s="294" t="s">
        <v>705</v>
      </c>
      <c r="C358" s="304" t="s">
        <v>677</v>
      </c>
      <c r="D358" s="352">
        <v>0</v>
      </c>
      <c r="E358" s="357">
        <v>0</v>
      </c>
      <c r="F358" s="357">
        <v>0</v>
      </c>
      <c r="G358" s="357">
        <v>0</v>
      </c>
      <c r="H358" s="357">
        <v>0</v>
      </c>
      <c r="I358" s="352">
        <v>0</v>
      </c>
      <c r="J358" s="357">
        <v>0</v>
      </c>
      <c r="K358" s="357">
        <v>0</v>
      </c>
    </row>
    <row r="359" spans="1:11">
      <c r="A359" s="725">
        <v>4</v>
      </c>
      <c r="B359" s="305" t="s">
        <v>587</v>
      </c>
      <c r="C359" s="299" t="s">
        <v>672</v>
      </c>
      <c r="D359" s="349">
        <v>0</v>
      </c>
      <c r="E359" s="349">
        <v>0</v>
      </c>
      <c r="F359" s="349">
        <v>0</v>
      </c>
      <c r="G359" s="349">
        <v>0</v>
      </c>
      <c r="H359" s="349">
        <v>0</v>
      </c>
      <c r="I359" s="349">
        <v>0</v>
      </c>
      <c r="J359" s="349">
        <v>0</v>
      </c>
      <c r="K359" s="382">
        <v>0</v>
      </c>
    </row>
    <row r="360" spans="1:11">
      <c r="A360" s="726"/>
      <c r="B360" s="305" t="s">
        <v>587</v>
      </c>
      <c r="C360" s="299" t="s">
        <v>673</v>
      </c>
      <c r="D360" s="349">
        <v>0</v>
      </c>
      <c r="E360" s="349">
        <v>0</v>
      </c>
      <c r="F360" s="349">
        <v>0</v>
      </c>
      <c r="G360" s="349">
        <v>0</v>
      </c>
      <c r="H360" s="349">
        <v>0</v>
      </c>
      <c r="I360" s="349">
        <v>0</v>
      </c>
      <c r="J360" s="349">
        <v>0</v>
      </c>
      <c r="K360" s="382">
        <v>0</v>
      </c>
    </row>
    <row r="361" spans="1:11">
      <c r="A361" s="726"/>
      <c r="B361" s="305" t="s">
        <v>587</v>
      </c>
      <c r="C361" s="299" t="s">
        <v>674</v>
      </c>
      <c r="D361" s="349">
        <v>0</v>
      </c>
      <c r="E361" s="349">
        <v>0</v>
      </c>
      <c r="F361" s="349">
        <v>0</v>
      </c>
      <c r="G361" s="349">
        <v>0</v>
      </c>
      <c r="H361" s="349">
        <v>0</v>
      </c>
      <c r="I361" s="368">
        <v>0</v>
      </c>
      <c r="J361" s="349">
        <v>0</v>
      </c>
      <c r="K361" s="382">
        <v>0</v>
      </c>
    </row>
    <row r="362" spans="1:11" ht="12.5" thickBot="1">
      <c r="A362" s="726"/>
      <c r="B362" s="305" t="s">
        <v>587</v>
      </c>
      <c r="C362" s="300" t="s">
        <v>675</v>
      </c>
      <c r="D362" s="355">
        <v>0</v>
      </c>
      <c r="E362" s="355">
        <v>0</v>
      </c>
      <c r="F362" s="355">
        <v>0</v>
      </c>
      <c r="G362" s="355">
        <v>0</v>
      </c>
      <c r="H362" s="349">
        <v>0</v>
      </c>
      <c r="I362" s="368">
        <v>0</v>
      </c>
      <c r="J362" s="349">
        <v>0</v>
      </c>
      <c r="K362" s="383">
        <v>0</v>
      </c>
    </row>
    <row r="363" spans="1:11" s="214" customFormat="1" ht="13" thickTop="1" thickBot="1">
      <c r="A363" s="726"/>
      <c r="B363" s="306" t="s">
        <v>587</v>
      </c>
      <c r="C363" s="297" t="s">
        <v>582</v>
      </c>
      <c r="D363" s="353">
        <v>0</v>
      </c>
      <c r="E363" s="373">
        <v>0</v>
      </c>
      <c r="F363" s="373">
        <v>0</v>
      </c>
      <c r="G363" s="373">
        <v>0</v>
      </c>
      <c r="H363" s="373">
        <v>0</v>
      </c>
      <c r="I363" s="373">
        <v>0</v>
      </c>
      <c r="J363" s="373">
        <v>0</v>
      </c>
      <c r="K363" s="373">
        <v>0</v>
      </c>
    </row>
    <row r="364" spans="1:11" ht="12.5" thickTop="1">
      <c r="A364" s="726"/>
      <c r="B364" s="307" t="s">
        <v>587</v>
      </c>
      <c r="C364" s="308" t="s">
        <v>676</v>
      </c>
      <c r="D364" s="356">
        <v>0</v>
      </c>
      <c r="E364" s="356">
        <v>0</v>
      </c>
      <c r="F364" s="356">
        <v>0</v>
      </c>
      <c r="G364" s="356">
        <v>0</v>
      </c>
      <c r="H364" s="356">
        <v>0</v>
      </c>
      <c r="I364" s="356">
        <v>0</v>
      </c>
      <c r="J364" s="356">
        <v>0</v>
      </c>
      <c r="K364" s="384">
        <v>0</v>
      </c>
    </row>
    <row r="365" spans="1:11">
      <c r="A365" s="727"/>
      <c r="B365" s="305" t="s">
        <v>587</v>
      </c>
      <c r="C365" s="302" t="s">
        <v>677</v>
      </c>
      <c r="D365" s="349">
        <v>0</v>
      </c>
      <c r="E365" s="349">
        <v>0</v>
      </c>
      <c r="F365" s="349">
        <v>0</v>
      </c>
      <c r="G365" s="349">
        <v>0</v>
      </c>
      <c r="H365" s="349">
        <v>0</v>
      </c>
      <c r="I365" s="349">
        <v>0</v>
      </c>
      <c r="J365" s="349">
        <v>0</v>
      </c>
      <c r="K365" s="382">
        <v>0</v>
      </c>
    </row>
    <row r="366" spans="1:11">
      <c r="A366" s="725">
        <v>5</v>
      </c>
      <c r="B366" s="309" t="s">
        <v>173</v>
      </c>
      <c r="C366" s="295" t="s">
        <v>672</v>
      </c>
      <c r="D366" s="351">
        <v>8</v>
      </c>
      <c r="E366" s="357">
        <v>15</v>
      </c>
      <c r="F366" s="357">
        <v>60</v>
      </c>
      <c r="G366" s="357">
        <v>6</v>
      </c>
      <c r="H366" s="357">
        <v>620609695</v>
      </c>
      <c r="I366" s="357">
        <v>718466960</v>
      </c>
      <c r="J366" s="357">
        <v>15457391433</v>
      </c>
      <c r="K366" s="357">
        <v>512615391</v>
      </c>
    </row>
    <row r="367" spans="1:11">
      <c r="A367" s="726"/>
      <c r="B367" s="309" t="s">
        <v>173</v>
      </c>
      <c r="C367" s="295" t="s">
        <v>673</v>
      </c>
      <c r="D367" s="365">
        <v>20</v>
      </c>
      <c r="E367" s="357">
        <v>3</v>
      </c>
      <c r="F367" s="357">
        <v>1</v>
      </c>
      <c r="G367" s="357">
        <v>0</v>
      </c>
      <c r="H367" s="357">
        <v>1501609840</v>
      </c>
      <c r="I367" s="365">
        <v>252829578</v>
      </c>
      <c r="J367" s="357">
        <v>74085456</v>
      </c>
      <c r="K367" s="357">
        <v>0</v>
      </c>
    </row>
    <row r="368" spans="1:11">
      <c r="A368" s="726"/>
      <c r="B368" s="309" t="s">
        <v>173</v>
      </c>
      <c r="C368" s="295" t="s">
        <v>674</v>
      </c>
      <c r="D368" s="365">
        <v>0</v>
      </c>
      <c r="E368" s="357">
        <v>0</v>
      </c>
      <c r="F368" s="357">
        <v>0</v>
      </c>
      <c r="G368" s="357">
        <v>0</v>
      </c>
      <c r="H368" s="357">
        <v>0</v>
      </c>
      <c r="I368" s="365">
        <v>0</v>
      </c>
      <c r="J368" s="357">
        <v>0</v>
      </c>
      <c r="K368" s="357">
        <v>0</v>
      </c>
    </row>
    <row r="369" spans="1:11" ht="12.5" thickBot="1">
      <c r="A369" s="726"/>
      <c r="B369" s="310" t="s">
        <v>173</v>
      </c>
      <c r="C369" s="296" t="s">
        <v>675</v>
      </c>
      <c r="D369" s="352">
        <v>0</v>
      </c>
      <c r="E369" s="357">
        <v>0</v>
      </c>
      <c r="F369" s="357">
        <v>0</v>
      </c>
      <c r="G369" s="357">
        <v>0</v>
      </c>
      <c r="H369" s="357">
        <v>0</v>
      </c>
      <c r="I369" s="352">
        <v>0</v>
      </c>
      <c r="J369" s="357">
        <v>0</v>
      </c>
      <c r="K369" s="357">
        <v>0</v>
      </c>
    </row>
    <row r="370" spans="1:11" s="214" customFormat="1" ht="13" thickTop="1" thickBot="1">
      <c r="A370" s="726"/>
      <c r="B370" s="311" t="s">
        <v>173</v>
      </c>
      <c r="C370" s="297" t="s">
        <v>582</v>
      </c>
      <c r="D370" s="353">
        <v>28</v>
      </c>
      <c r="E370" s="373">
        <v>18</v>
      </c>
      <c r="F370" s="373">
        <v>61</v>
      </c>
      <c r="G370" s="373">
        <v>6</v>
      </c>
      <c r="H370" s="373">
        <v>2122219535</v>
      </c>
      <c r="I370" s="373">
        <v>971296538</v>
      </c>
      <c r="J370" s="373">
        <v>15531476889</v>
      </c>
      <c r="K370" s="373">
        <v>512615391</v>
      </c>
    </row>
    <row r="371" spans="1:11" ht="12.5" thickTop="1">
      <c r="A371" s="726"/>
      <c r="B371" s="312" t="s">
        <v>173</v>
      </c>
      <c r="C371" s="303" t="s">
        <v>676</v>
      </c>
      <c r="D371" s="365">
        <v>28</v>
      </c>
      <c r="E371" s="357">
        <v>18</v>
      </c>
      <c r="F371" s="357">
        <v>61</v>
      </c>
      <c r="G371" s="357">
        <v>6</v>
      </c>
      <c r="H371" s="357">
        <v>2122219535</v>
      </c>
      <c r="I371" s="365">
        <v>971296538</v>
      </c>
      <c r="J371" s="357">
        <v>15531476889</v>
      </c>
      <c r="K371" s="357">
        <v>512615391</v>
      </c>
    </row>
    <row r="372" spans="1:11">
      <c r="A372" s="727"/>
      <c r="B372" s="309" t="s">
        <v>173</v>
      </c>
      <c r="C372" s="304" t="s">
        <v>677</v>
      </c>
      <c r="D372" s="352">
        <v>0</v>
      </c>
      <c r="E372" s="357">
        <v>0</v>
      </c>
      <c r="F372" s="357">
        <v>0</v>
      </c>
      <c r="G372" s="357">
        <v>0</v>
      </c>
      <c r="H372" s="357">
        <v>0</v>
      </c>
      <c r="I372" s="352">
        <v>0</v>
      </c>
      <c r="J372" s="357">
        <v>0</v>
      </c>
      <c r="K372" s="357">
        <v>0</v>
      </c>
    </row>
    <row r="373" spans="1:11">
      <c r="A373" s="725">
        <v>6</v>
      </c>
      <c r="B373" s="313" t="s">
        <v>591</v>
      </c>
      <c r="C373" s="299" t="s">
        <v>672</v>
      </c>
      <c r="D373" s="349">
        <v>13</v>
      </c>
      <c r="E373" s="349">
        <v>11</v>
      </c>
      <c r="F373" s="349">
        <v>55</v>
      </c>
      <c r="G373" s="349">
        <v>14</v>
      </c>
      <c r="H373" s="349">
        <v>0</v>
      </c>
      <c r="I373" s="349">
        <v>0</v>
      </c>
      <c r="J373" s="349">
        <v>0</v>
      </c>
      <c r="K373" s="382">
        <v>0</v>
      </c>
    </row>
    <row r="374" spans="1:11">
      <c r="A374" s="726"/>
      <c r="B374" s="313" t="s">
        <v>591</v>
      </c>
      <c r="C374" s="299" t="s">
        <v>673</v>
      </c>
      <c r="D374" s="349">
        <v>0</v>
      </c>
      <c r="E374" s="349">
        <v>0</v>
      </c>
      <c r="F374" s="349">
        <v>0</v>
      </c>
      <c r="G374" s="349">
        <v>0</v>
      </c>
      <c r="H374" s="349">
        <v>0</v>
      </c>
      <c r="I374" s="349">
        <v>0</v>
      </c>
      <c r="J374" s="349">
        <v>0</v>
      </c>
      <c r="K374" s="382">
        <v>0</v>
      </c>
    </row>
    <row r="375" spans="1:11">
      <c r="A375" s="726"/>
      <c r="B375" s="313" t="s">
        <v>591</v>
      </c>
      <c r="C375" s="299" t="s">
        <v>674</v>
      </c>
      <c r="D375" s="349">
        <v>1</v>
      </c>
      <c r="E375" s="349">
        <v>2</v>
      </c>
      <c r="F375" s="349">
        <v>0</v>
      </c>
      <c r="G375" s="349">
        <v>0</v>
      </c>
      <c r="H375" s="349">
        <v>0</v>
      </c>
      <c r="I375" s="368">
        <v>0</v>
      </c>
      <c r="J375" s="349">
        <v>0</v>
      </c>
      <c r="K375" s="382">
        <v>0</v>
      </c>
    </row>
    <row r="376" spans="1:11" ht="12.5" thickBot="1">
      <c r="A376" s="726"/>
      <c r="B376" s="314" t="s">
        <v>591</v>
      </c>
      <c r="C376" s="300" t="s">
        <v>675</v>
      </c>
      <c r="D376" s="355">
        <v>0</v>
      </c>
      <c r="E376" s="355">
        <v>2</v>
      </c>
      <c r="F376" s="355">
        <v>0</v>
      </c>
      <c r="G376" s="355">
        <v>0</v>
      </c>
      <c r="H376" s="349">
        <v>0</v>
      </c>
      <c r="I376" s="368">
        <v>0</v>
      </c>
      <c r="J376" s="349">
        <v>0</v>
      </c>
      <c r="K376" s="383">
        <v>0</v>
      </c>
    </row>
    <row r="377" spans="1:11" s="214" customFormat="1" ht="13" thickTop="1" thickBot="1">
      <c r="A377" s="726"/>
      <c r="B377" s="311" t="s">
        <v>591</v>
      </c>
      <c r="C377" s="297" t="s">
        <v>582</v>
      </c>
      <c r="D377" s="353">
        <v>14</v>
      </c>
      <c r="E377" s="373">
        <v>15</v>
      </c>
      <c r="F377" s="373">
        <v>55</v>
      </c>
      <c r="G377" s="373">
        <v>14</v>
      </c>
      <c r="H377" s="373">
        <v>0</v>
      </c>
      <c r="I377" s="373">
        <v>0</v>
      </c>
      <c r="J377" s="373">
        <v>0</v>
      </c>
      <c r="K377" s="373">
        <v>0</v>
      </c>
    </row>
    <row r="378" spans="1:11" ht="12.5" thickTop="1">
      <c r="A378" s="726"/>
      <c r="B378" s="315" t="s">
        <v>591</v>
      </c>
      <c r="C378" s="301" t="s">
        <v>676</v>
      </c>
      <c r="D378" s="356">
        <v>14</v>
      </c>
      <c r="E378" s="356">
        <v>15</v>
      </c>
      <c r="F378" s="356">
        <v>55</v>
      </c>
      <c r="G378" s="356">
        <v>14</v>
      </c>
      <c r="H378" s="356">
        <v>0</v>
      </c>
      <c r="I378" s="356">
        <v>0</v>
      </c>
      <c r="J378" s="356">
        <v>0</v>
      </c>
      <c r="K378" s="384">
        <v>0</v>
      </c>
    </row>
    <row r="379" spans="1:11">
      <c r="A379" s="727"/>
      <c r="B379" s="313" t="s">
        <v>591</v>
      </c>
      <c r="C379" s="302" t="s">
        <v>677</v>
      </c>
      <c r="D379" s="349">
        <v>0</v>
      </c>
      <c r="E379" s="349">
        <v>0</v>
      </c>
      <c r="F379" s="349">
        <v>0</v>
      </c>
      <c r="G379" s="349">
        <v>0</v>
      </c>
      <c r="H379" s="349">
        <v>0</v>
      </c>
      <c r="I379" s="349">
        <v>0</v>
      </c>
      <c r="J379" s="349">
        <v>0</v>
      </c>
      <c r="K379" s="382">
        <v>0</v>
      </c>
    </row>
    <row r="381" spans="1:11" s="217" customFormat="1" ht="19">
      <c r="A381" s="217" t="s">
        <v>706</v>
      </c>
    </row>
    <row r="382" spans="1:11" s="203" customFormat="1"/>
    <row r="383" spans="1:11" s="203" customFormat="1">
      <c r="D383" s="724" t="s">
        <v>665</v>
      </c>
      <c r="E383" s="724"/>
      <c r="F383" s="724" t="s">
        <v>666</v>
      </c>
      <c r="G383" s="724"/>
    </row>
    <row r="384" spans="1:11" ht="24.5" thickBot="1">
      <c r="A384" s="288" t="s">
        <v>143</v>
      </c>
      <c r="B384" s="316" t="s">
        <v>144</v>
      </c>
      <c r="C384" s="316" t="s">
        <v>669</v>
      </c>
      <c r="D384" s="291" t="s">
        <v>670</v>
      </c>
      <c r="E384" s="291" t="s">
        <v>671</v>
      </c>
      <c r="F384" s="291" t="s">
        <v>670</v>
      </c>
      <c r="G384" s="291" t="s">
        <v>671</v>
      </c>
      <c r="H384" s="317" t="s">
        <v>694</v>
      </c>
      <c r="I384" s="317" t="s">
        <v>695</v>
      </c>
      <c r="J384" s="317" t="s">
        <v>696</v>
      </c>
    </row>
    <row r="385" spans="1:11">
      <c r="A385" s="318">
        <v>1</v>
      </c>
      <c r="B385" s="319" t="s">
        <v>153</v>
      </c>
      <c r="C385" s="301" t="s">
        <v>672</v>
      </c>
      <c r="D385" s="349">
        <v>0</v>
      </c>
      <c r="E385" s="349">
        <v>0</v>
      </c>
      <c r="F385" s="349">
        <v>0</v>
      </c>
      <c r="G385" s="349">
        <v>0</v>
      </c>
      <c r="H385" s="349">
        <v>0</v>
      </c>
      <c r="I385" s="349">
        <v>0</v>
      </c>
      <c r="J385" s="349">
        <v>0</v>
      </c>
      <c r="K385" s="220"/>
    </row>
    <row r="386" spans="1:11">
      <c r="A386" s="318">
        <v>1</v>
      </c>
      <c r="B386" s="319" t="s">
        <v>153</v>
      </c>
      <c r="C386" s="299" t="s">
        <v>673</v>
      </c>
      <c r="D386" s="349">
        <v>0</v>
      </c>
      <c r="E386" s="349">
        <v>0</v>
      </c>
      <c r="F386" s="349">
        <v>0</v>
      </c>
      <c r="G386" s="349">
        <v>0</v>
      </c>
      <c r="H386" s="349">
        <v>0</v>
      </c>
      <c r="I386" s="349">
        <v>0</v>
      </c>
      <c r="J386" s="349">
        <v>0</v>
      </c>
      <c r="K386" s="220"/>
    </row>
    <row r="387" spans="1:11">
      <c r="A387" s="318">
        <v>1</v>
      </c>
      <c r="B387" s="319" t="s">
        <v>153</v>
      </c>
      <c r="C387" s="299" t="s">
        <v>674</v>
      </c>
      <c r="D387" s="349">
        <v>0</v>
      </c>
      <c r="E387" s="349">
        <v>0</v>
      </c>
      <c r="F387" s="349">
        <v>0</v>
      </c>
      <c r="G387" s="349">
        <v>0</v>
      </c>
      <c r="H387" s="349">
        <v>0</v>
      </c>
      <c r="I387" s="349">
        <v>0</v>
      </c>
      <c r="J387" s="349">
        <v>0</v>
      </c>
      <c r="K387" s="220"/>
    </row>
    <row r="388" spans="1:11" ht="12.5" thickBot="1">
      <c r="A388" s="320">
        <v>1</v>
      </c>
      <c r="B388" s="321" t="s">
        <v>153</v>
      </c>
      <c r="C388" s="300" t="s">
        <v>675</v>
      </c>
      <c r="D388" s="349">
        <v>0</v>
      </c>
      <c r="E388" s="349">
        <v>0</v>
      </c>
      <c r="F388" s="349">
        <v>0</v>
      </c>
      <c r="G388" s="349">
        <v>0</v>
      </c>
      <c r="H388" s="349">
        <v>0</v>
      </c>
      <c r="I388" s="349">
        <v>0</v>
      </c>
      <c r="J388" s="349">
        <v>0</v>
      </c>
      <c r="K388" s="220"/>
    </row>
    <row r="389" spans="1:11" s="214" customFormat="1" ht="13" thickTop="1" thickBot="1">
      <c r="A389" s="322">
        <v>1</v>
      </c>
      <c r="B389" s="323" t="s">
        <v>153</v>
      </c>
      <c r="C389" s="297" t="s">
        <v>582</v>
      </c>
      <c r="D389" s="350">
        <v>0</v>
      </c>
      <c r="E389" s="350">
        <v>0</v>
      </c>
      <c r="F389" s="350">
        <v>0</v>
      </c>
      <c r="G389" s="350">
        <v>0</v>
      </c>
      <c r="H389" s="350">
        <v>0</v>
      </c>
      <c r="I389" s="350">
        <v>0</v>
      </c>
      <c r="J389" s="350">
        <v>0</v>
      </c>
      <c r="K389" s="220"/>
    </row>
    <row r="390" spans="1:11" ht="12.5" thickTop="1">
      <c r="A390" s="324">
        <v>1</v>
      </c>
      <c r="B390" s="325" t="s">
        <v>153</v>
      </c>
      <c r="C390" s="308" t="s">
        <v>676</v>
      </c>
      <c r="D390" s="349">
        <v>0</v>
      </c>
      <c r="E390" s="349">
        <v>0</v>
      </c>
      <c r="F390" s="349">
        <v>0</v>
      </c>
      <c r="G390" s="349">
        <v>0</v>
      </c>
      <c r="H390" s="349">
        <v>0</v>
      </c>
      <c r="I390" s="349">
        <v>0</v>
      </c>
      <c r="J390" s="349">
        <v>0</v>
      </c>
      <c r="K390" s="220"/>
    </row>
    <row r="391" spans="1:11">
      <c r="A391" s="318">
        <v>1</v>
      </c>
      <c r="B391" s="319" t="s">
        <v>153</v>
      </c>
      <c r="C391" s="302" t="s">
        <v>677</v>
      </c>
      <c r="D391" s="349">
        <v>0</v>
      </c>
      <c r="E391" s="349">
        <v>0</v>
      </c>
      <c r="F391" s="349">
        <v>0</v>
      </c>
      <c r="G391" s="349">
        <v>0</v>
      </c>
      <c r="H391" s="349">
        <v>0</v>
      </c>
      <c r="I391" s="349">
        <v>0</v>
      </c>
      <c r="J391" s="349">
        <v>0</v>
      </c>
      <c r="K391" s="220"/>
    </row>
    <row r="392" spans="1:11">
      <c r="A392" s="318"/>
      <c r="B392" s="319"/>
      <c r="C392" s="302" t="s">
        <v>697</v>
      </c>
      <c r="D392" s="349">
        <v>25</v>
      </c>
      <c r="E392" s="349">
        <v>15</v>
      </c>
      <c r="F392" s="349">
        <v>0</v>
      </c>
      <c r="G392" s="349">
        <v>0</v>
      </c>
      <c r="H392" s="349">
        <v>758290794</v>
      </c>
      <c r="I392" s="349">
        <v>383583122</v>
      </c>
      <c r="J392" s="349"/>
      <c r="K392" s="220"/>
    </row>
    <row r="393" spans="1:11">
      <c r="A393" s="326">
        <v>2</v>
      </c>
      <c r="B393" s="327" t="s">
        <v>155</v>
      </c>
      <c r="C393" s="295" t="s">
        <v>672</v>
      </c>
      <c r="D393" s="351">
        <v>0</v>
      </c>
      <c r="E393" s="351">
        <v>0</v>
      </c>
      <c r="F393" s="351">
        <v>0</v>
      </c>
      <c r="G393" s="351">
        <v>0</v>
      </c>
      <c r="H393" s="351">
        <v>0</v>
      </c>
      <c r="I393" s="351">
        <v>0</v>
      </c>
      <c r="J393" s="351">
        <v>0</v>
      </c>
    </row>
    <row r="394" spans="1:11">
      <c r="A394" s="326">
        <v>2</v>
      </c>
      <c r="B394" s="327" t="s">
        <v>155</v>
      </c>
      <c r="C394" s="295" t="s">
        <v>673</v>
      </c>
      <c r="D394" s="351">
        <v>0</v>
      </c>
      <c r="E394" s="351">
        <v>0</v>
      </c>
      <c r="F394" s="351">
        <v>0</v>
      </c>
      <c r="G394" s="351">
        <v>0</v>
      </c>
      <c r="H394" s="351">
        <v>0</v>
      </c>
      <c r="I394" s="351">
        <v>0</v>
      </c>
      <c r="J394" s="351">
        <v>0</v>
      </c>
    </row>
    <row r="395" spans="1:11">
      <c r="A395" s="326">
        <v>2</v>
      </c>
      <c r="B395" s="327" t="s">
        <v>155</v>
      </c>
      <c r="C395" s="295" t="s">
        <v>674</v>
      </c>
      <c r="D395" s="351">
        <v>0</v>
      </c>
      <c r="E395" s="351">
        <v>0</v>
      </c>
      <c r="F395" s="351">
        <v>0</v>
      </c>
      <c r="G395" s="351">
        <v>0</v>
      </c>
      <c r="H395" s="351">
        <v>0</v>
      </c>
      <c r="I395" s="351">
        <v>0</v>
      </c>
      <c r="J395" s="351">
        <v>0</v>
      </c>
    </row>
    <row r="396" spans="1:11" ht="12.5" thickBot="1">
      <c r="A396" s="328">
        <v>2</v>
      </c>
      <c r="B396" s="329" t="s">
        <v>155</v>
      </c>
      <c r="C396" s="296" t="s">
        <v>675</v>
      </c>
      <c r="D396" s="352">
        <v>26</v>
      </c>
      <c r="E396" s="352">
        <v>5</v>
      </c>
      <c r="F396" s="351">
        <v>0</v>
      </c>
      <c r="G396" s="351">
        <v>0</v>
      </c>
      <c r="H396" s="352">
        <v>32</v>
      </c>
      <c r="I396" s="385">
        <v>53084220</v>
      </c>
      <c r="J396" s="351">
        <v>0</v>
      </c>
    </row>
    <row r="397" spans="1:11" s="214" customFormat="1" ht="13" thickTop="1" thickBot="1">
      <c r="A397" s="322">
        <v>2</v>
      </c>
      <c r="B397" s="330" t="s">
        <v>155</v>
      </c>
      <c r="C397" s="297" t="s">
        <v>582</v>
      </c>
      <c r="D397" s="353">
        <v>26</v>
      </c>
      <c r="E397" s="353">
        <v>5</v>
      </c>
      <c r="F397" s="353">
        <v>0</v>
      </c>
      <c r="G397" s="353">
        <v>0</v>
      </c>
      <c r="H397" s="353">
        <v>32</v>
      </c>
      <c r="I397" s="353">
        <v>53084220</v>
      </c>
      <c r="J397" s="353"/>
      <c r="K397" s="215"/>
    </row>
    <row r="398" spans="1:11" ht="12.5" thickTop="1">
      <c r="A398" s="331">
        <v>2</v>
      </c>
      <c r="B398" s="332" t="s">
        <v>155</v>
      </c>
      <c r="C398" s="303" t="s">
        <v>676</v>
      </c>
      <c r="D398" s="354">
        <v>27</v>
      </c>
      <c r="E398" s="354">
        <v>5</v>
      </c>
      <c r="F398" s="354">
        <v>0</v>
      </c>
      <c r="G398" s="354">
        <v>0</v>
      </c>
      <c r="H398" s="354">
        <v>0</v>
      </c>
      <c r="I398" s="354">
        <v>0</v>
      </c>
      <c r="J398" s="354">
        <v>0</v>
      </c>
    </row>
    <row r="399" spans="1:11">
      <c r="A399" s="326">
        <v>2</v>
      </c>
      <c r="B399" s="327" t="s">
        <v>155</v>
      </c>
      <c r="C399" s="304" t="s">
        <v>677</v>
      </c>
      <c r="D399" s="351">
        <v>0</v>
      </c>
      <c r="E399" s="351">
        <v>0</v>
      </c>
      <c r="F399" s="354">
        <v>0</v>
      </c>
      <c r="G399" s="354">
        <v>0</v>
      </c>
      <c r="H399" s="354">
        <v>0</v>
      </c>
      <c r="I399" s="354">
        <v>0</v>
      </c>
      <c r="J399" s="354">
        <v>0</v>
      </c>
    </row>
    <row r="400" spans="1:11">
      <c r="A400" s="326">
        <v>2</v>
      </c>
      <c r="B400" s="327" t="s">
        <v>155</v>
      </c>
      <c r="C400" s="304" t="s">
        <v>697</v>
      </c>
      <c r="D400" s="351">
        <v>88</v>
      </c>
      <c r="E400" s="351">
        <v>0</v>
      </c>
      <c r="F400" s="354">
        <v>0</v>
      </c>
      <c r="G400" s="354">
        <v>0</v>
      </c>
      <c r="H400" s="354">
        <v>0</v>
      </c>
      <c r="I400" s="354">
        <v>0</v>
      </c>
      <c r="J400" s="354">
        <v>0</v>
      </c>
    </row>
    <row r="401" spans="1:11">
      <c r="A401" s="318">
        <v>3</v>
      </c>
      <c r="B401" s="298" t="s">
        <v>159</v>
      </c>
      <c r="C401" s="299" t="s">
        <v>672</v>
      </c>
      <c r="D401" s="349"/>
      <c r="E401" s="349"/>
      <c r="F401" s="349"/>
      <c r="G401" s="349"/>
      <c r="H401" s="349"/>
      <c r="I401" s="349"/>
      <c r="J401" s="349"/>
    </row>
    <row r="402" spans="1:11">
      <c r="A402" s="318">
        <v>3</v>
      </c>
      <c r="B402" s="298" t="s">
        <v>159</v>
      </c>
      <c r="C402" s="299" t="s">
        <v>673</v>
      </c>
      <c r="D402" s="349"/>
      <c r="E402" s="349"/>
      <c r="F402" s="349"/>
      <c r="G402" s="349"/>
      <c r="H402" s="349"/>
      <c r="I402" s="349"/>
      <c r="J402" s="349"/>
    </row>
    <row r="403" spans="1:11">
      <c r="A403" s="318">
        <v>3</v>
      </c>
      <c r="B403" s="298" t="s">
        <v>159</v>
      </c>
      <c r="C403" s="299" t="s">
        <v>674</v>
      </c>
      <c r="D403" s="349"/>
      <c r="E403" s="349">
        <v>1</v>
      </c>
      <c r="F403" s="349"/>
      <c r="G403" s="349"/>
      <c r="H403" s="349">
        <v>1</v>
      </c>
      <c r="I403" s="349">
        <v>4824083</v>
      </c>
      <c r="J403" s="349"/>
    </row>
    <row r="404" spans="1:11" ht="12.5" thickBot="1">
      <c r="A404" s="320">
        <v>3</v>
      </c>
      <c r="B404" s="305" t="s">
        <v>159</v>
      </c>
      <c r="C404" s="300" t="s">
        <v>675</v>
      </c>
      <c r="D404" s="355">
        <v>2</v>
      </c>
      <c r="E404" s="355">
        <v>3</v>
      </c>
      <c r="F404" s="355">
        <v>1</v>
      </c>
      <c r="G404" s="355">
        <v>0</v>
      </c>
      <c r="H404" s="355">
        <v>6</v>
      </c>
      <c r="I404" s="355">
        <v>42929740</v>
      </c>
      <c r="J404" s="355"/>
    </row>
    <row r="405" spans="1:11" s="214" customFormat="1" ht="13" thickTop="1" thickBot="1">
      <c r="A405" s="322">
        <v>3</v>
      </c>
      <c r="B405" s="306" t="s">
        <v>159</v>
      </c>
      <c r="C405" s="297" t="s">
        <v>582</v>
      </c>
      <c r="D405" s="353">
        <v>2</v>
      </c>
      <c r="E405" s="353">
        <v>4</v>
      </c>
      <c r="F405" s="353">
        <v>1</v>
      </c>
      <c r="G405" s="353">
        <v>0</v>
      </c>
      <c r="H405" s="353">
        <v>7</v>
      </c>
      <c r="I405" s="353">
        <v>47753823</v>
      </c>
      <c r="J405" s="353"/>
      <c r="K405" s="215"/>
    </row>
    <row r="406" spans="1:11" ht="12.5" thickTop="1">
      <c r="A406" s="324">
        <v>3</v>
      </c>
      <c r="B406" s="315" t="s">
        <v>159</v>
      </c>
      <c r="C406" s="308" t="s">
        <v>676</v>
      </c>
      <c r="D406" s="356"/>
      <c r="E406" s="356"/>
      <c r="F406" s="356"/>
      <c r="G406" s="356"/>
      <c r="H406" s="356"/>
      <c r="I406" s="356"/>
      <c r="J406" s="356"/>
    </row>
    <row r="407" spans="1:11">
      <c r="A407" s="318">
        <v>3</v>
      </c>
      <c r="B407" s="298" t="s">
        <v>159</v>
      </c>
      <c r="C407" s="302" t="s">
        <v>677</v>
      </c>
      <c r="D407" s="349">
        <v>2</v>
      </c>
      <c r="E407" s="349">
        <v>4</v>
      </c>
      <c r="F407" s="349">
        <v>1</v>
      </c>
      <c r="G407" s="349">
        <v>0</v>
      </c>
      <c r="H407" s="349">
        <v>1</v>
      </c>
      <c r="I407" s="349">
        <v>47753823</v>
      </c>
      <c r="J407" s="349"/>
    </row>
    <row r="408" spans="1:11">
      <c r="A408" s="318">
        <v>3</v>
      </c>
      <c r="B408" s="298" t="s">
        <v>159</v>
      </c>
      <c r="C408" s="302" t="s">
        <v>697</v>
      </c>
      <c r="D408" s="349">
        <v>2</v>
      </c>
      <c r="E408" s="349">
        <v>4</v>
      </c>
      <c r="F408" s="349">
        <v>1</v>
      </c>
      <c r="G408" s="349">
        <v>0</v>
      </c>
      <c r="H408" s="349">
        <v>1</v>
      </c>
      <c r="I408" s="349">
        <v>47753823</v>
      </c>
      <c r="J408" s="349"/>
    </row>
    <row r="409" spans="1:11">
      <c r="A409" s="326">
        <v>4</v>
      </c>
      <c r="B409" s="294" t="s">
        <v>164</v>
      </c>
      <c r="C409" s="295" t="s">
        <v>672</v>
      </c>
      <c r="D409" s="351"/>
      <c r="E409" s="351"/>
      <c r="F409" s="351"/>
      <c r="G409" s="351"/>
      <c r="H409" s="351"/>
      <c r="I409" s="351"/>
      <c r="J409" s="351"/>
    </row>
    <row r="410" spans="1:11">
      <c r="A410" s="326">
        <v>4</v>
      </c>
      <c r="B410" s="294" t="s">
        <v>164</v>
      </c>
      <c r="C410" s="295" t="s">
        <v>673</v>
      </c>
      <c r="D410" s="351"/>
      <c r="E410" s="351"/>
      <c r="F410" s="351"/>
      <c r="G410" s="351"/>
      <c r="H410" s="351"/>
      <c r="I410" s="351"/>
      <c r="J410" s="351"/>
    </row>
    <row r="411" spans="1:11">
      <c r="A411" s="326">
        <v>4</v>
      </c>
      <c r="B411" s="294" t="s">
        <v>164</v>
      </c>
      <c r="C411" s="295" t="s">
        <v>674</v>
      </c>
      <c r="D411" s="351"/>
      <c r="E411" s="351"/>
      <c r="F411" s="351"/>
      <c r="G411" s="351"/>
      <c r="H411" s="351"/>
      <c r="I411" s="351"/>
      <c r="J411" s="351"/>
    </row>
    <row r="412" spans="1:11" ht="12.5" thickBot="1">
      <c r="A412" s="328">
        <v>4</v>
      </c>
      <c r="B412" s="333" t="s">
        <v>164</v>
      </c>
      <c r="C412" s="296" t="s">
        <v>675</v>
      </c>
      <c r="D412" s="352"/>
      <c r="E412" s="352"/>
      <c r="F412" s="352"/>
      <c r="G412" s="352"/>
      <c r="H412" s="352"/>
      <c r="I412" s="352"/>
      <c r="J412" s="352"/>
    </row>
    <row r="413" spans="1:11" s="214" customFormat="1" ht="13" thickTop="1" thickBot="1">
      <c r="A413" s="322">
        <v>4</v>
      </c>
      <c r="B413" s="306" t="s">
        <v>164</v>
      </c>
      <c r="C413" s="297" t="s">
        <v>582</v>
      </c>
      <c r="D413" s="353"/>
      <c r="E413" s="353"/>
      <c r="F413" s="353"/>
      <c r="G413" s="353"/>
      <c r="H413" s="353"/>
      <c r="I413" s="353"/>
      <c r="J413" s="353"/>
      <c r="K413" s="215"/>
    </row>
    <row r="414" spans="1:11" ht="12.5" thickTop="1">
      <c r="A414" s="331">
        <v>4</v>
      </c>
      <c r="B414" s="334" t="s">
        <v>164</v>
      </c>
      <c r="C414" s="303" t="s">
        <v>676</v>
      </c>
      <c r="D414" s="354"/>
      <c r="E414" s="354"/>
      <c r="F414" s="354"/>
      <c r="G414" s="354"/>
      <c r="H414" s="354"/>
      <c r="I414" s="354"/>
      <c r="J414" s="354"/>
    </row>
    <row r="415" spans="1:11">
      <c r="A415" s="326">
        <v>4</v>
      </c>
      <c r="B415" s="294" t="s">
        <v>164</v>
      </c>
      <c r="C415" s="304" t="s">
        <v>677</v>
      </c>
      <c r="D415" s="351"/>
      <c r="E415" s="351"/>
      <c r="F415" s="351"/>
      <c r="G415" s="351"/>
      <c r="H415" s="351"/>
      <c r="I415" s="351"/>
      <c r="J415" s="351"/>
    </row>
    <row r="416" spans="1:11">
      <c r="A416" s="320">
        <v>5</v>
      </c>
      <c r="B416" s="305" t="s">
        <v>587</v>
      </c>
      <c r="C416" s="299" t="s">
        <v>672</v>
      </c>
      <c r="D416" s="349"/>
      <c r="E416" s="349"/>
      <c r="F416" s="349">
        <v>0</v>
      </c>
      <c r="G416" s="349">
        <v>0</v>
      </c>
      <c r="H416" s="349"/>
      <c r="I416" s="349"/>
      <c r="J416" s="349"/>
    </row>
    <row r="417" spans="1:11">
      <c r="A417" s="320">
        <v>5</v>
      </c>
      <c r="B417" s="305" t="s">
        <v>587</v>
      </c>
      <c r="C417" s="299" t="s">
        <v>673</v>
      </c>
      <c r="D417" s="349">
        <v>1</v>
      </c>
      <c r="E417" s="349"/>
      <c r="F417" s="349">
        <v>0</v>
      </c>
      <c r="G417" s="349">
        <v>0</v>
      </c>
      <c r="H417" s="349">
        <v>1</v>
      </c>
      <c r="I417" s="349">
        <v>3620471000</v>
      </c>
      <c r="J417" s="349"/>
    </row>
    <row r="418" spans="1:11">
      <c r="A418" s="320">
        <v>5</v>
      </c>
      <c r="B418" s="305" t="s">
        <v>587</v>
      </c>
      <c r="C418" s="299" t="s">
        <v>674</v>
      </c>
      <c r="D418" s="349"/>
      <c r="E418" s="349">
        <v>1</v>
      </c>
      <c r="F418" s="349">
        <v>0</v>
      </c>
      <c r="G418" s="349">
        <v>0</v>
      </c>
      <c r="H418" s="349">
        <v>1</v>
      </c>
      <c r="I418" s="349">
        <v>926966900</v>
      </c>
      <c r="J418" s="349"/>
    </row>
    <row r="419" spans="1:11" ht="12.5" thickBot="1">
      <c r="A419" s="320">
        <v>5</v>
      </c>
      <c r="B419" s="305" t="s">
        <v>587</v>
      </c>
      <c r="C419" s="300" t="s">
        <v>675</v>
      </c>
      <c r="D419" s="355"/>
      <c r="E419" s="355"/>
      <c r="F419" s="349">
        <v>0</v>
      </c>
      <c r="G419" s="349">
        <v>0</v>
      </c>
      <c r="H419" s="355"/>
      <c r="I419" s="355"/>
      <c r="J419" s="355"/>
    </row>
    <row r="420" spans="1:11" s="214" customFormat="1" ht="13" thickTop="1" thickBot="1">
      <c r="A420" s="322">
        <v>5</v>
      </c>
      <c r="B420" s="306" t="s">
        <v>587</v>
      </c>
      <c r="C420" s="297" t="s">
        <v>582</v>
      </c>
      <c r="D420" s="353">
        <v>1</v>
      </c>
      <c r="E420" s="353">
        <v>1</v>
      </c>
      <c r="F420" s="353">
        <v>0</v>
      </c>
      <c r="G420" s="353">
        <v>0</v>
      </c>
      <c r="H420" s="353">
        <v>2</v>
      </c>
      <c r="I420" s="353">
        <v>0</v>
      </c>
      <c r="J420" s="353"/>
      <c r="K420" s="215"/>
    </row>
    <row r="421" spans="1:11" ht="12.5" thickTop="1">
      <c r="A421" s="335">
        <v>5</v>
      </c>
      <c r="B421" s="307" t="s">
        <v>587</v>
      </c>
      <c r="C421" s="308" t="s">
        <v>676</v>
      </c>
      <c r="D421" s="356"/>
      <c r="E421" s="356"/>
      <c r="F421" s="356"/>
      <c r="G421" s="356"/>
      <c r="H421" s="356"/>
      <c r="I421" s="356"/>
      <c r="J421" s="356"/>
    </row>
    <row r="422" spans="1:11">
      <c r="A422" s="320">
        <v>5</v>
      </c>
      <c r="B422" s="305" t="s">
        <v>587</v>
      </c>
      <c r="C422" s="302" t="s">
        <v>677</v>
      </c>
      <c r="D422" s="349"/>
      <c r="E422" s="349"/>
      <c r="F422" s="349"/>
      <c r="G422" s="349"/>
      <c r="H422" s="349"/>
      <c r="I422" s="349"/>
      <c r="J422" s="349"/>
    </row>
    <row r="423" spans="1:11">
      <c r="A423" s="320"/>
      <c r="B423" s="305"/>
      <c r="C423" s="302"/>
      <c r="D423" s="349">
        <v>1</v>
      </c>
      <c r="E423" s="349">
        <v>1</v>
      </c>
      <c r="F423" s="349"/>
      <c r="G423" s="349"/>
      <c r="H423" s="349">
        <v>2</v>
      </c>
      <c r="I423" s="386">
        <v>4547437900</v>
      </c>
      <c r="J423" s="349"/>
    </row>
    <row r="424" spans="1:11">
      <c r="A424" s="336">
        <v>6</v>
      </c>
      <c r="B424" s="309" t="s">
        <v>173</v>
      </c>
      <c r="C424" s="295" t="s">
        <v>672</v>
      </c>
      <c r="D424" s="351">
        <v>9</v>
      </c>
      <c r="E424" s="351">
        <v>3</v>
      </c>
      <c r="F424" s="364">
        <v>5</v>
      </c>
      <c r="G424" s="357">
        <v>0</v>
      </c>
      <c r="H424" s="365">
        <v>17</v>
      </c>
      <c r="I424" s="385">
        <v>0</v>
      </c>
      <c r="J424" s="387">
        <v>0</v>
      </c>
    </row>
    <row r="425" spans="1:11">
      <c r="A425" s="336">
        <v>6</v>
      </c>
      <c r="B425" s="309" t="s">
        <v>173</v>
      </c>
      <c r="C425" s="295" t="s">
        <v>673</v>
      </c>
      <c r="D425" s="351">
        <v>0</v>
      </c>
      <c r="E425" s="351">
        <v>0</v>
      </c>
      <c r="F425" s="351">
        <v>0</v>
      </c>
      <c r="G425" s="351">
        <v>0</v>
      </c>
      <c r="H425" s="351">
        <v>0</v>
      </c>
      <c r="I425" s="351">
        <v>0</v>
      </c>
      <c r="J425" s="351">
        <v>0</v>
      </c>
    </row>
    <row r="426" spans="1:11">
      <c r="A426" s="336">
        <v>6</v>
      </c>
      <c r="B426" s="309" t="s">
        <v>173</v>
      </c>
      <c r="C426" s="295" t="s">
        <v>674</v>
      </c>
      <c r="D426" s="388">
        <v>0</v>
      </c>
      <c r="E426" s="388">
        <v>0</v>
      </c>
      <c r="F426" s="388">
        <v>0</v>
      </c>
      <c r="G426" s="388">
        <v>0</v>
      </c>
      <c r="H426" s="388">
        <v>0</v>
      </c>
      <c r="I426" s="388">
        <v>0</v>
      </c>
      <c r="J426" s="388">
        <v>0</v>
      </c>
    </row>
    <row r="427" spans="1:11" ht="12.5" thickBot="1">
      <c r="A427" s="337">
        <v>6</v>
      </c>
      <c r="B427" s="310" t="s">
        <v>173</v>
      </c>
      <c r="C427" s="296" t="s">
        <v>675</v>
      </c>
      <c r="D427" s="358">
        <v>1</v>
      </c>
      <c r="E427" s="358"/>
      <c r="F427" s="358"/>
      <c r="G427" s="358"/>
      <c r="H427" s="358">
        <v>1</v>
      </c>
      <c r="I427" s="358">
        <v>1330000</v>
      </c>
      <c r="J427" s="358" t="s">
        <v>707</v>
      </c>
    </row>
    <row r="428" spans="1:11" s="214" customFormat="1" ht="13" thickTop="1" thickBot="1">
      <c r="A428" s="338">
        <v>6</v>
      </c>
      <c r="B428" s="311" t="s">
        <v>173</v>
      </c>
      <c r="C428" s="297" t="s">
        <v>582</v>
      </c>
      <c r="D428" s="360">
        <v>10</v>
      </c>
      <c r="E428" s="353">
        <v>3</v>
      </c>
      <c r="F428" s="353">
        <v>5</v>
      </c>
      <c r="G428" s="353"/>
      <c r="H428" s="353">
        <v>18</v>
      </c>
      <c r="I428" s="353">
        <v>1330000</v>
      </c>
      <c r="J428" s="353">
        <v>1306735527</v>
      </c>
      <c r="K428" s="215"/>
    </row>
    <row r="429" spans="1:11" ht="12.5" thickTop="1">
      <c r="A429" s="339">
        <v>6</v>
      </c>
      <c r="B429" s="312" t="s">
        <v>173</v>
      </c>
      <c r="C429" s="303" t="s">
        <v>676</v>
      </c>
      <c r="D429" s="389">
        <v>0</v>
      </c>
      <c r="E429" s="389">
        <v>0</v>
      </c>
      <c r="F429" s="389">
        <v>0</v>
      </c>
      <c r="G429" s="389">
        <v>0</v>
      </c>
      <c r="H429" s="389">
        <v>0</v>
      </c>
      <c r="I429" s="389">
        <v>0</v>
      </c>
      <c r="J429" s="389">
        <v>0</v>
      </c>
    </row>
    <row r="430" spans="1:11">
      <c r="A430" s="336">
        <v>6</v>
      </c>
      <c r="B430" s="309" t="s">
        <v>173</v>
      </c>
      <c r="C430" s="304" t="s">
        <v>677</v>
      </c>
      <c r="D430" s="389">
        <v>0</v>
      </c>
      <c r="E430" s="389">
        <v>0</v>
      </c>
      <c r="F430" s="389">
        <v>0</v>
      </c>
      <c r="G430" s="389">
        <v>0</v>
      </c>
      <c r="H430" s="389">
        <v>0</v>
      </c>
      <c r="I430" s="389">
        <v>0</v>
      </c>
      <c r="J430" s="389">
        <v>0</v>
      </c>
    </row>
    <row r="431" spans="1:11">
      <c r="A431" s="340">
        <v>7</v>
      </c>
      <c r="B431" s="313" t="s">
        <v>591</v>
      </c>
      <c r="C431" s="299" t="s">
        <v>672</v>
      </c>
      <c r="D431" s="349">
        <v>1</v>
      </c>
      <c r="E431" s="349"/>
      <c r="F431" s="367">
        <v>14</v>
      </c>
      <c r="G431" s="367">
        <v>0</v>
      </c>
      <c r="H431" s="367">
        <v>0</v>
      </c>
      <c r="I431" s="367">
        <v>0</v>
      </c>
      <c r="J431" s="367">
        <v>0</v>
      </c>
    </row>
    <row r="432" spans="1:11">
      <c r="A432" s="340">
        <v>7</v>
      </c>
      <c r="B432" s="313" t="s">
        <v>591</v>
      </c>
      <c r="C432" s="299" t="s">
        <v>673</v>
      </c>
      <c r="D432" s="349"/>
      <c r="E432" s="367">
        <v>1</v>
      </c>
      <c r="F432" s="349"/>
      <c r="G432" s="367">
        <v>0</v>
      </c>
      <c r="H432" s="367">
        <v>0</v>
      </c>
      <c r="I432" s="367">
        <v>0</v>
      </c>
      <c r="J432" s="367">
        <v>0</v>
      </c>
    </row>
    <row r="433" spans="1:11">
      <c r="A433" s="340">
        <v>7</v>
      </c>
      <c r="B433" s="313" t="s">
        <v>591</v>
      </c>
      <c r="C433" s="299" t="s">
        <v>674</v>
      </c>
      <c r="D433" s="349"/>
      <c r="E433" s="349"/>
      <c r="F433" s="349"/>
      <c r="G433" s="367">
        <v>0</v>
      </c>
      <c r="H433" s="367">
        <v>0</v>
      </c>
      <c r="I433" s="367">
        <v>0</v>
      </c>
      <c r="J433" s="367">
        <v>0</v>
      </c>
    </row>
    <row r="434" spans="1:11" ht="12.5" thickBot="1">
      <c r="A434" s="341">
        <v>7</v>
      </c>
      <c r="B434" s="314" t="s">
        <v>591</v>
      </c>
      <c r="C434" s="300" t="s">
        <v>675</v>
      </c>
      <c r="D434" s="355"/>
      <c r="E434" s="355"/>
      <c r="F434" s="355"/>
      <c r="G434" s="367">
        <v>0</v>
      </c>
      <c r="H434" s="367">
        <v>0</v>
      </c>
      <c r="I434" s="367">
        <v>0</v>
      </c>
      <c r="J434" s="367">
        <v>0</v>
      </c>
    </row>
    <row r="435" spans="1:11" s="214" customFormat="1" ht="13" thickTop="1" thickBot="1">
      <c r="A435" s="338">
        <v>7</v>
      </c>
      <c r="B435" s="311" t="s">
        <v>591</v>
      </c>
      <c r="C435" s="297" t="s">
        <v>582</v>
      </c>
      <c r="D435" s="353">
        <v>1</v>
      </c>
      <c r="E435" s="353">
        <v>1</v>
      </c>
      <c r="F435" s="353">
        <v>14</v>
      </c>
      <c r="G435" s="353">
        <v>0</v>
      </c>
      <c r="H435" s="353">
        <v>0</v>
      </c>
      <c r="I435" s="353">
        <v>0</v>
      </c>
      <c r="J435" s="353">
        <v>0</v>
      </c>
      <c r="K435" s="215"/>
    </row>
    <row r="436" spans="1:11" ht="12.5" thickTop="1">
      <c r="A436" s="342">
        <v>7</v>
      </c>
      <c r="B436" s="343" t="s">
        <v>591</v>
      </c>
      <c r="C436" s="308" t="s">
        <v>676</v>
      </c>
      <c r="D436" s="356">
        <v>1</v>
      </c>
      <c r="E436" s="356">
        <v>1</v>
      </c>
      <c r="F436" s="356"/>
      <c r="G436" s="367">
        <v>0</v>
      </c>
      <c r="H436" s="367">
        <v>0</v>
      </c>
      <c r="I436" s="367">
        <v>0</v>
      </c>
      <c r="J436" s="367">
        <v>0</v>
      </c>
    </row>
    <row r="437" spans="1:11">
      <c r="A437" s="340">
        <v>7</v>
      </c>
      <c r="B437" s="313" t="s">
        <v>591</v>
      </c>
      <c r="C437" s="302" t="s">
        <v>677</v>
      </c>
      <c r="D437" s="349"/>
      <c r="E437" s="349"/>
      <c r="F437" s="349">
        <v>14</v>
      </c>
      <c r="G437" s="367">
        <v>0</v>
      </c>
      <c r="H437" s="367">
        <v>0</v>
      </c>
      <c r="I437" s="367">
        <v>0</v>
      </c>
      <c r="J437" s="367">
        <v>0</v>
      </c>
    </row>
  </sheetData>
  <mergeCells count="63">
    <mergeCell ref="A1:C1"/>
    <mergeCell ref="A121:A127"/>
    <mergeCell ref="B121:B127"/>
    <mergeCell ref="A128:A134"/>
    <mergeCell ref="B128:B134"/>
    <mergeCell ref="A100:A106"/>
    <mergeCell ref="B100:B106"/>
    <mergeCell ref="A107:A113"/>
    <mergeCell ref="B107:B113"/>
    <mergeCell ref="A114:A120"/>
    <mergeCell ref="B114:B120"/>
    <mergeCell ref="A79:A85"/>
    <mergeCell ref="B79:B85"/>
    <mergeCell ref="A86:A92"/>
    <mergeCell ref="B86:B92"/>
    <mergeCell ref="A93:A99"/>
    <mergeCell ref="D166:E166"/>
    <mergeCell ref="F166:G166"/>
    <mergeCell ref="A135:A141"/>
    <mergeCell ref="B135:B141"/>
    <mergeCell ref="A142:A148"/>
    <mergeCell ref="B142:B148"/>
    <mergeCell ref="A149:A155"/>
    <mergeCell ref="B149:B155"/>
    <mergeCell ref="A156:A162"/>
    <mergeCell ref="B156:B162"/>
    <mergeCell ref="B93:B99"/>
    <mergeCell ref="A58:A64"/>
    <mergeCell ref="B58:B64"/>
    <mergeCell ref="A65:A71"/>
    <mergeCell ref="B65:B71"/>
    <mergeCell ref="A72:A78"/>
    <mergeCell ref="B72:B78"/>
    <mergeCell ref="F7:G7"/>
    <mergeCell ref="H7:I7"/>
    <mergeCell ref="J7:K7"/>
    <mergeCell ref="A9:A15"/>
    <mergeCell ref="B9:B15"/>
    <mergeCell ref="D7:E7"/>
    <mergeCell ref="A16:A22"/>
    <mergeCell ref="B16:B22"/>
    <mergeCell ref="A23:A29"/>
    <mergeCell ref="B23:B29"/>
    <mergeCell ref="A30:A36"/>
    <mergeCell ref="B30:B36"/>
    <mergeCell ref="A37:A43"/>
    <mergeCell ref="B37:B43"/>
    <mergeCell ref="A44:A50"/>
    <mergeCell ref="B44:B50"/>
    <mergeCell ref="A51:A57"/>
    <mergeCell ref="B51:B57"/>
    <mergeCell ref="D336:E336"/>
    <mergeCell ref="F336:G336"/>
    <mergeCell ref="H336:I336"/>
    <mergeCell ref="J336:K336"/>
    <mergeCell ref="A338:A344"/>
    <mergeCell ref="D383:E383"/>
    <mergeCell ref="F383:G383"/>
    <mergeCell ref="A345:A351"/>
    <mergeCell ref="A352:A358"/>
    <mergeCell ref="A359:A365"/>
    <mergeCell ref="A366:A372"/>
    <mergeCell ref="A373:A379"/>
  </mergeCells>
  <conditionalFormatting sqref="A79:B79">
    <cfRule type="containsText" dxfId="42" priority="20" operator="containsText" text="Not">
      <formula>NOT(ISERROR(SEARCH("Not",A79)))</formula>
    </cfRule>
  </conditionalFormatting>
  <conditionalFormatting sqref="A86:B86 B168:C332">
    <cfRule type="containsText" dxfId="41" priority="19" operator="containsText" text="Not">
      <formula>NOT(ISERROR(SEARCH("Not",A86)))</formula>
    </cfRule>
  </conditionalFormatting>
  <conditionalFormatting sqref="A93:B93">
    <cfRule type="containsText" dxfId="40" priority="18" operator="containsText" text="Not">
      <formula>NOT(ISERROR(SEARCH("Not",A93)))</formula>
    </cfRule>
  </conditionalFormatting>
  <conditionalFormatting sqref="A100:B100">
    <cfRule type="containsText" dxfId="39" priority="17" operator="containsText" text="Not">
      <formula>NOT(ISERROR(SEARCH("Not",A100)))</formula>
    </cfRule>
  </conditionalFormatting>
  <conditionalFormatting sqref="A107:B107">
    <cfRule type="containsText" dxfId="38" priority="16" operator="containsText" text="Not">
      <formula>NOT(ISERROR(SEARCH("Not",A107)))</formula>
    </cfRule>
  </conditionalFormatting>
  <conditionalFormatting sqref="A114:B114">
    <cfRule type="containsText" dxfId="37" priority="15" operator="containsText" text="Not">
      <formula>NOT(ISERROR(SEARCH("Not",A114)))</formula>
    </cfRule>
  </conditionalFormatting>
  <conditionalFormatting sqref="A121:B121">
    <cfRule type="containsText" dxfId="36" priority="14" operator="containsText" text="Not">
      <formula>NOT(ISERROR(SEARCH("Not",A121)))</formula>
    </cfRule>
  </conditionalFormatting>
  <conditionalFormatting sqref="A128:B128">
    <cfRule type="containsText" dxfId="35" priority="13" operator="containsText" text="Not">
      <formula>NOT(ISERROR(SEARCH("Not",A128)))</formula>
    </cfRule>
  </conditionalFormatting>
  <conditionalFormatting sqref="A135:B135">
    <cfRule type="containsText" dxfId="34" priority="12" operator="containsText" text="Not">
      <formula>NOT(ISERROR(SEARCH("Not",A135)))</formula>
    </cfRule>
  </conditionalFormatting>
  <conditionalFormatting sqref="A142:B142">
    <cfRule type="containsText" dxfId="33" priority="11" operator="containsText" text="Not">
      <formula>NOT(ISERROR(SEARCH("Not",A142)))</formula>
    </cfRule>
  </conditionalFormatting>
  <conditionalFormatting sqref="A149:B149">
    <cfRule type="containsText" dxfId="32" priority="10" operator="containsText" text="Not">
      <formula>NOT(ISERROR(SEARCH("Not",A149)))</formula>
    </cfRule>
  </conditionalFormatting>
  <conditionalFormatting sqref="A156:B156">
    <cfRule type="containsText" dxfId="31" priority="9" operator="containsText" text="Not">
      <formula>NOT(ISERROR(SEARCH("Not",A156)))</formula>
    </cfRule>
  </conditionalFormatting>
  <conditionalFormatting sqref="A9:C9 A16:B16 A23:B23 A30:B30 A37:B37 A44:B44 A51:B51 A58:B58 A65:B65 A72:B72">
    <cfRule type="containsText" dxfId="30" priority="21" operator="containsText" text="Not">
      <formula>NOT(ISERROR(SEARCH("Not",A9)))</formula>
    </cfRule>
  </conditionalFormatting>
  <conditionalFormatting sqref="B338:C379">
    <cfRule type="containsText" dxfId="29" priority="4" operator="containsText" text="Not">
      <formula>NOT(ISERROR(SEARCH("Not",B338)))</formula>
    </cfRule>
  </conditionalFormatting>
  <conditionalFormatting sqref="B385:C385 B393:B437">
    <cfRule type="containsText" dxfId="28" priority="3" operator="containsText" text="Not">
      <formula>NOT(ISERROR(SEARCH("Not",B385)))</formula>
    </cfRule>
  </conditionalFormatting>
  <conditionalFormatting sqref="C10:C162">
    <cfRule type="containsText" dxfId="27" priority="8" operator="containsText" text="Not">
      <formula>NOT(ISERROR(SEARCH("Not",C10)))</formula>
    </cfRule>
  </conditionalFormatting>
  <conditionalFormatting sqref="C386:C437">
    <cfRule type="containsText" dxfId="26" priority="2" operator="containsText" text="Not">
      <formula>NOT(ISERROR(SEARCH("Not",C386)))</formula>
    </cfRule>
  </conditionalFormatting>
  <conditionalFormatting sqref="D172:J172">
    <cfRule type="containsText" dxfId="25" priority="6" operator="containsText" text="Not">
      <formula>NOT(ISERROR(SEARCH("Not",D172)))</formula>
    </cfRule>
  </conditionalFormatting>
  <conditionalFormatting sqref="D218:J218">
    <cfRule type="containsText" dxfId="24" priority="7" operator="containsText" text="Not">
      <formula>NOT(ISERROR(SEARCH("Not",D218)))</formula>
    </cfRule>
  </conditionalFormatting>
  <conditionalFormatting sqref="D233:J233">
    <cfRule type="containsText" dxfId="23" priority="5" operator="containsText" text="Not">
      <formula>NOT(ISERROR(SEARCH("Not",D233)))</formula>
    </cfRule>
  </conditionalFormatting>
  <conditionalFormatting sqref="D389:J389">
    <cfRule type="containsText" dxfId="22" priority="1" operator="containsText" text="Not">
      <formula>NOT(ISERROR(SEARCH("Not",D389)))</formula>
    </cfRule>
  </conditionalFormatting>
  <hyperlinks>
    <hyperlink ref="A1:C1" location="Sommaire!A1" display="Sommaire!A1"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8"/>
  <dimension ref="A1:M577"/>
  <sheetViews>
    <sheetView workbookViewId="0">
      <selection sqref="A1:C1"/>
    </sheetView>
  </sheetViews>
  <sheetFormatPr baseColWidth="10" defaultColWidth="20.1640625" defaultRowHeight="12"/>
  <cols>
    <col min="1" max="1" width="18" style="215" customWidth="1"/>
    <col min="2" max="2" width="8.6640625" style="215" bestFit="1" customWidth="1"/>
    <col min="3" max="3" width="57" style="215" bestFit="1" customWidth="1"/>
    <col min="4" max="4" width="42.33203125" style="215" bestFit="1" customWidth="1"/>
    <col min="5" max="5" width="24" style="215" bestFit="1" customWidth="1"/>
    <col min="6" max="6" width="34.33203125" style="215" bestFit="1" customWidth="1"/>
    <col min="7" max="7" width="39.6640625" style="215" bestFit="1" customWidth="1"/>
    <col min="8" max="8" width="50.6640625" style="215" bestFit="1" customWidth="1"/>
    <col min="9" max="9" width="51.5" style="215" bestFit="1" customWidth="1"/>
    <col min="10" max="10" width="17" style="215" bestFit="1" customWidth="1"/>
    <col min="11" max="11" width="10.33203125" style="215" bestFit="1" customWidth="1"/>
    <col min="12" max="12" width="74.6640625" style="215" bestFit="1" customWidth="1"/>
    <col min="13" max="13" width="35.33203125" style="215" bestFit="1" customWidth="1"/>
    <col min="14" max="16384" width="20.1640625" style="215"/>
  </cols>
  <sheetData>
    <row r="1" spans="1:13" ht="14.5">
      <c r="A1" s="709" t="s">
        <v>140</v>
      </c>
      <c r="B1" s="709"/>
      <c r="C1" s="709"/>
    </row>
    <row r="2" spans="1:13" s="273" customFormat="1" ht="23">
      <c r="A2" s="216" t="s">
        <v>708</v>
      </c>
    </row>
    <row r="3" spans="1:13" s="273" customFormat="1" ht="23">
      <c r="A3" s="270"/>
    </row>
    <row r="4" spans="1:13" s="273" customFormat="1" ht="23">
      <c r="A4" s="219" t="s">
        <v>265</v>
      </c>
    </row>
    <row r="5" spans="1:13" ht="12.5" thickBot="1"/>
    <row r="6" spans="1:13" ht="12.5" thickBot="1">
      <c r="C6" s="253" t="s">
        <v>709</v>
      </c>
      <c r="D6" s="254"/>
      <c r="E6" s="255"/>
      <c r="F6" s="256" t="s">
        <v>710</v>
      </c>
      <c r="G6" s="254"/>
      <c r="H6" s="255"/>
      <c r="I6" s="256" t="s">
        <v>711</v>
      </c>
      <c r="J6" s="254"/>
      <c r="K6" s="255"/>
      <c r="L6" s="257" t="s">
        <v>712</v>
      </c>
    </row>
    <row r="7" spans="1:13" ht="36">
      <c r="A7" s="258" t="s">
        <v>144</v>
      </c>
      <c r="B7" s="258" t="s">
        <v>713</v>
      </c>
      <c r="C7" s="258" t="s">
        <v>714</v>
      </c>
      <c r="D7" s="258" t="s">
        <v>715</v>
      </c>
      <c r="E7" s="258" t="s">
        <v>716</v>
      </c>
      <c r="F7" s="259" t="s">
        <v>717</v>
      </c>
      <c r="G7" s="260" t="s">
        <v>718</v>
      </c>
      <c r="H7" s="258" t="s">
        <v>719</v>
      </c>
      <c r="I7" s="258" t="s">
        <v>720</v>
      </c>
      <c r="J7" s="258" t="s">
        <v>721</v>
      </c>
      <c r="K7" s="258" t="s">
        <v>722</v>
      </c>
      <c r="L7" s="258" t="s">
        <v>723</v>
      </c>
      <c r="M7" s="258" t="s">
        <v>724</v>
      </c>
    </row>
    <row r="8" spans="1:13">
      <c r="A8" s="237" t="s">
        <v>678</v>
      </c>
      <c r="B8" s="261" t="s">
        <v>725</v>
      </c>
      <c r="C8" s="237" t="s">
        <v>726</v>
      </c>
      <c r="D8" s="237" t="s">
        <v>727</v>
      </c>
      <c r="E8" s="237" t="s">
        <v>728</v>
      </c>
      <c r="F8" s="262">
        <v>30426997.809999999</v>
      </c>
      <c r="G8" s="263">
        <v>44941</v>
      </c>
      <c r="H8" s="231" t="s">
        <v>729</v>
      </c>
      <c r="I8" s="237" t="s">
        <v>167</v>
      </c>
      <c r="J8" s="262" t="s">
        <v>167</v>
      </c>
      <c r="K8" s="237" t="s">
        <v>167</v>
      </c>
      <c r="L8" s="237" t="s">
        <v>730</v>
      </c>
      <c r="M8" s="237" t="s">
        <v>606</v>
      </c>
    </row>
    <row r="9" spans="1:13">
      <c r="A9" s="241" t="s">
        <v>678</v>
      </c>
      <c r="B9" s="264" t="s">
        <v>725</v>
      </c>
      <c r="C9" s="241" t="s">
        <v>726</v>
      </c>
      <c r="D9" s="241" t="s">
        <v>731</v>
      </c>
      <c r="E9" s="241" t="s">
        <v>728</v>
      </c>
      <c r="F9" s="233">
        <v>4447669</v>
      </c>
      <c r="G9" s="265">
        <v>44942</v>
      </c>
      <c r="H9" s="232" t="s">
        <v>729</v>
      </c>
      <c r="I9" s="241" t="s">
        <v>167</v>
      </c>
      <c r="J9" s="266" t="s">
        <v>167</v>
      </c>
      <c r="K9" s="241" t="s">
        <v>167</v>
      </c>
      <c r="L9" s="241"/>
      <c r="M9" s="241" t="s">
        <v>606</v>
      </c>
    </row>
    <row r="10" spans="1:13">
      <c r="A10" s="237" t="s">
        <v>678</v>
      </c>
      <c r="B10" s="261" t="s">
        <v>725</v>
      </c>
      <c r="C10" s="237" t="s">
        <v>726</v>
      </c>
      <c r="D10" s="237" t="s">
        <v>732</v>
      </c>
      <c r="E10" s="237" t="s">
        <v>728</v>
      </c>
      <c r="F10" s="262">
        <v>1144649</v>
      </c>
      <c r="G10" s="263">
        <v>44942</v>
      </c>
      <c r="H10" s="231" t="s">
        <v>733</v>
      </c>
      <c r="I10" s="237" t="s">
        <v>167</v>
      </c>
      <c r="J10" s="262" t="s">
        <v>167</v>
      </c>
      <c r="K10" s="237" t="s">
        <v>167</v>
      </c>
      <c r="L10" s="237"/>
      <c r="M10" s="237" t="s">
        <v>606</v>
      </c>
    </row>
    <row r="11" spans="1:13">
      <c r="A11" s="241" t="s">
        <v>678</v>
      </c>
      <c r="B11" s="264" t="s">
        <v>725</v>
      </c>
      <c r="C11" s="241" t="s">
        <v>726</v>
      </c>
      <c r="D11" s="241" t="s">
        <v>734</v>
      </c>
      <c r="E11" s="241" t="s">
        <v>728</v>
      </c>
      <c r="F11" s="233">
        <v>29998.42</v>
      </c>
      <c r="G11" s="265">
        <v>44943</v>
      </c>
      <c r="H11" s="232" t="s">
        <v>735</v>
      </c>
      <c r="I11" s="241" t="s">
        <v>167</v>
      </c>
      <c r="J11" s="266" t="s">
        <v>167</v>
      </c>
      <c r="K11" s="241" t="s">
        <v>167</v>
      </c>
      <c r="L11" s="241"/>
      <c r="M11" s="241" t="s">
        <v>606</v>
      </c>
    </row>
    <row r="12" spans="1:13">
      <c r="A12" s="237" t="s">
        <v>678</v>
      </c>
      <c r="B12" s="261" t="s">
        <v>725</v>
      </c>
      <c r="C12" s="237" t="s">
        <v>726</v>
      </c>
      <c r="D12" s="237" t="s">
        <v>736</v>
      </c>
      <c r="E12" s="237" t="s">
        <v>728</v>
      </c>
      <c r="F12" s="262">
        <v>174999.88</v>
      </c>
      <c r="G12" s="263">
        <v>44943</v>
      </c>
      <c r="H12" s="231" t="s">
        <v>735</v>
      </c>
      <c r="I12" s="237" t="s">
        <v>167</v>
      </c>
      <c r="J12" s="262" t="s">
        <v>167</v>
      </c>
      <c r="K12" s="237" t="s">
        <v>167</v>
      </c>
      <c r="L12" s="237"/>
      <c r="M12" s="237" t="s">
        <v>606</v>
      </c>
    </row>
    <row r="13" spans="1:13">
      <c r="A13" s="241" t="s">
        <v>678</v>
      </c>
      <c r="B13" s="264" t="s">
        <v>725</v>
      </c>
      <c r="C13" s="241" t="s">
        <v>726</v>
      </c>
      <c r="D13" s="241" t="s">
        <v>737</v>
      </c>
      <c r="E13" s="241" t="s">
        <v>728</v>
      </c>
      <c r="F13" s="233">
        <v>18000.259999999998</v>
      </c>
      <c r="G13" s="265">
        <v>44943</v>
      </c>
      <c r="H13" s="232" t="s">
        <v>735</v>
      </c>
      <c r="I13" s="241" t="s">
        <v>167</v>
      </c>
      <c r="J13" s="266" t="s">
        <v>167</v>
      </c>
      <c r="K13" s="241" t="s">
        <v>167</v>
      </c>
      <c r="L13" s="241"/>
      <c r="M13" s="241" t="s">
        <v>606</v>
      </c>
    </row>
    <row r="14" spans="1:13">
      <c r="A14" s="237" t="s">
        <v>678</v>
      </c>
      <c r="B14" s="261" t="s">
        <v>725</v>
      </c>
      <c r="C14" s="237" t="s">
        <v>726</v>
      </c>
      <c r="D14" s="237" t="s">
        <v>738</v>
      </c>
      <c r="E14" s="237" t="s">
        <v>728</v>
      </c>
      <c r="F14" s="262">
        <v>11998.16</v>
      </c>
      <c r="G14" s="263">
        <v>44943</v>
      </c>
      <c r="H14" s="231" t="s">
        <v>735</v>
      </c>
      <c r="I14" s="237" t="s">
        <v>167</v>
      </c>
      <c r="J14" s="262" t="s">
        <v>167</v>
      </c>
      <c r="K14" s="237" t="s">
        <v>167</v>
      </c>
      <c r="L14" s="237"/>
      <c r="M14" s="237" t="s">
        <v>606</v>
      </c>
    </row>
    <row r="15" spans="1:13">
      <c r="A15" s="241" t="s">
        <v>678</v>
      </c>
      <c r="B15" s="264" t="s">
        <v>725</v>
      </c>
      <c r="C15" s="241" t="s">
        <v>726</v>
      </c>
      <c r="D15" s="241" t="s">
        <v>739</v>
      </c>
      <c r="E15" s="241" t="s">
        <v>728</v>
      </c>
      <c r="F15" s="233">
        <v>18000.259999999998</v>
      </c>
      <c r="G15" s="265">
        <v>44943</v>
      </c>
      <c r="H15" s="232" t="s">
        <v>735</v>
      </c>
      <c r="I15" s="241" t="s">
        <v>167</v>
      </c>
      <c r="J15" s="266" t="s">
        <v>167</v>
      </c>
      <c r="K15" s="241" t="s">
        <v>167</v>
      </c>
      <c r="L15" s="241"/>
      <c r="M15" s="241" t="s">
        <v>606</v>
      </c>
    </row>
    <row r="16" spans="1:13">
      <c r="A16" s="237" t="s">
        <v>678</v>
      </c>
      <c r="B16" s="261" t="s">
        <v>725</v>
      </c>
      <c r="C16" s="237" t="s">
        <v>726</v>
      </c>
      <c r="D16" s="237" t="s">
        <v>740</v>
      </c>
      <c r="E16" s="237" t="s">
        <v>728</v>
      </c>
      <c r="F16" s="262">
        <v>14002.9</v>
      </c>
      <c r="G16" s="263">
        <v>44943</v>
      </c>
      <c r="H16" s="231" t="s">
        <v>735</v>
      </c>
      <c r="I16" s="237" t="s">
        <v>167</v>
      </c>
      <c r="J16" s="262" t="s">
        <v>167</v>
      </c>
      <c r="K16" s="237" t="s">
        <v>167</v>
      </c>
      <c r="L16" s="237"/>
      <c r="M16" s="237" t="s">
        <v>606</v>
      </c>
    </row>
    <row r="17" spans="1:13">
      <c r="A17" s="241" t="s">
        <v>678</v>
      </c>
      <c r="B17" s="264" t="s">
        <v>725</v>
      </c>
      <c r="C17" s="241" t="s">
        <v>726</v>
      </c>
      <c r="D17" s="241" t="s">
        <v>741</v>
      </c>
      <c r="E17" s="241" t="s">
        <v>728</v>
      </c>
      <c r="F17" s="233">
        <v>125002.51</v>
      </c>
      <c r="G17" s="265">
        <v>44943</v>
      </c>
      <c r="H17" s="232" t="s">
        <v>735</v>
      </c>
      <c r="I17" s="241" t="s">
        <v>167</v>
      </c>
      <c r="J17" s="266" t="s">
        <v>167</v>
      </c>
      <c r="K17" s="241" t="s">
        <v>167</v>
      </c>
      <c r="L17" s="241"/>
      <c r="M17" s="241" t="s">
        <v>606</v>
      </c>
    </row>
    <row r="18" spans="1:13">
      <c r="A18" s="237" t="s">
        <v>678</v>
      </c>
      <c r="B18" s="261" t="s">
        <v>725</v>
      </c>
      <c r="C18" s="237" t="s">
        <v>726</v>
      </c>
      <c r="D18" s="237" t="s">
        <v>742</v>
      </c>
      <c r="E18" s="237" t="s">
        <v>728</v>
      </c>
      <c r="F18" s="262">
        <v>101999.48</v>
      </c>
      <c r="G18" s="263">
        <v>44943</v>
      </c>
      <c r="H18" s="231" t="s">
        <v>735</v>
      </c>
      <c r="I18" s="237" t="s">
        <v>167</v>
      </c>
      <c r="J18" s="262" t="s">
        <v>167</v>
      </c>
      <c r="K18" s="237" t="s">
        <v>167</v>
      </c>
      <c r="L18" s="237"/>
      <c r="M18" s="237" t="s">
        <v>606</v>
      </c>
    </row>
    <row r="19" spans="1:13">
      <c r="A19" s="241" t="s">
        <v>678</v>
      </c>
      <c r="B19" s="264" t="s">
        <v>725</v>
      </c>
      <c r="C19" s="241" t="s">
        <v>726</v>
      </c>
      <c r="D19" s="241" t="s">
        <v>743</v>
      </c>
      <c r="E19" s="241" t="s">
        <v>728</v>
      </c>
      <c r="F19" s="233">
        <v>599998.03</v>
      </c>
      <c r="G19" s="265">
        <v>44948</v>
      </c>
      <c r="H19" s="232" t="s">
        <v>735</v>
      </c>
      <c r="I19" s="241" t="s">
        <v>167</v>
      </c>
      <c r="J19" s="266" t="s">
        <v>167</v>
      </c>
      <c r="K19" s="241" t="s">
        <v>167</v>
      </c>
      <c r="L19" s="241"/>
      <c r="M19" s="241" t="s">
        <v>606</v>
      </c>
    </row>
    <row r="20" spans="1:13">
      <c r="A20" s="237" t="s">
        <v>678</v>
      </c>
      <c r="B20" s="261" t="s">
        <v>725</v>
      </c>
      <c r="C20" s="237" t="s">
        <v>726</v>
      </c>
      <c r="D20" s="237" t="s">
        <v>744</v>
      </c>
      <c r="E20" s="237" t="s">
        <v>728</v>
      </c>
      <c r="F20" s="262">
        <v>5600003.7699999996</v>
      </c>
      <c r="G20" s="263">
        <v>44948</v>
      </c>
      <c r="H20" s="231" t="s">
        <v>735</v>
      </c>
      <c r="I20" s="237" t="s">
        <v>167</v>
      </c>
      <c r="J20" s="262" t="s">
        <v>167</v>
      </c>
      <c r="K20" s="237" t="s">
        <v>167</v>
      </c>
      <c r="L20" s="237"/>
      <c r="M20" s="237" t="s">
        <v>606</v>
      </c>
    </row>
    <row r="21" spans="1:13">
      <c r="A21" s="241" t="s">
        <v>678</v>
      </c>
      <c r="B21" s="264" t="s">
        <v>725</v>
      </c>
      <c r="C21" s="241" t="s">
        <v>726</v>
      </c>
      <c r="D21" s="241" t="s">
        <v>745</v>
      </c>
      <c r="E21" s="241" t="s">
        <v>728</v>
      </c>
      <c r="F21" s="233">
        <v>2232001.61</v>
      </c>
      <c r="G21" s="265">
        <v>44948</v>
      </c>
      <c r="H21" s="232" t="s">
        <v>735</v>
      </c>
      <c r="I21" s="241" t="s">
        <v>167</v>
      </c>
      <c r="J21" s="266" t="s">
        <v>167</v>
      </c>
      <c r="K21" s="241" t="s">
        <v>167</v>
      </c>
      <c r="L21" s="241"/>
      <c r="M21" s="241" t="s">
        <v>606</v>
      </c>
    </row>
    <row r="22" spans="1:13">
      <c r="A22" s="237" t="s">
        <v>678</v>
      </c>
      <c r="B22" s="261" t="s">
        <v>725</v>
      </c>
      <c r="C22" s="237" t="s">
        <v>726</v>
      </c>
      <c r="D22" s="237" t="s">
        <v>746</v>
      </c>
      <c r="E22" s="237" t="s">
        <v>728</v>
      </c>
      <c r="F22" s="262">
        <v>599998.03</v>
      </c>
      <c r="G22" s="263">
        <v>44948</v>
      </c>
      <c r="H22" s="231" t="s">
        <v>735</v>
      </c>
      <c r="I22" s="237" t="s">
        <v>167</v>
      </c>
      <c r="J22" s="262" t="s">
        <v>167</v>
      </c>
      <c r="K22" s="237" t="s">
        <v>167</v>
      </c>
      <c r="L22" s="237"/>
      <c r="M22" s="237" t="s">
        <v>606</v>
      </c>
    </row>
    <row r="23" spans="1:13" s="271" customFormat="1">
      <c r="A23" s="241" t="s">
        <v>678</v>
      </c>
      <c r="B23" s="264" t="s">
        <v>725</v>
      </c>
      <c r="C23" s="241" t="s">
        <v>726</v>
      </c>
      <c r="D23" s="241" t="s">
        <v>747</v>
      </c>
      <c r="E23" s="241" t="s">
        <v>728</v>
      </c>
      <c r="F23" s="233">
        <v>150002.51999999999</v>
      </c>
      <c r="G23" s="265">
        <v>44948</v>
      </c>
      <c r="H23" s="232" t="s">
        <v>735</v>
      </c>
      <c r="I23" s="241" t="s">
        <v>167</v>
      </c>
      <c r="J23" s="266" t="s">
        <v>167</v>
      </c>
      <c r="K23" s="241" t="s">
        <v>167</v>
      </c>
      <c r="L23" s="241"/>
      <c r="M23" s="241" t="s">
        <v>606</v>
      </c>
    </row>
    <row r="24" spans="1:13">
      <c r="A24" s="237" t="s">
        <v>678</v>
      </c>
      <c r="B24" s="261" t="s">
        <v>725</v>
      </c>
      <c r="C24" s="237" t="s">
        <v>726</v>
      </c>
      <c r="D24" s="237" t="s">
        <v>748</v>
      </c>
      <c r="E24" s="237" t="s">
        <v>728</v>
      </c>
      <c r="F24" s="262">
        <v>599998.03</v>
      </c>
      <c r="G24" s="263">
        <v>44948</v>
      </c>
      <c r="H24" s="231" t="s">
        <v>735</v>
      </c>
      <c r="I24" s="237" t="s">
        <v>167</v>
      </c>
      <c r="J24" s="262" t="s">
        <v>167</v>
      </c>
      <c r="K24" s="237" t="s">
        <v>167</v>
      </c>
      <c r="L24" s="237"/>
      <c r="M24" s="237" t="s">
        <v>606</v>
      </c>
    </row>
    <row r="25" spans="1:13">
      <c r="A25" s="241" t="s">
        <v>678</v>
      </c>
      <c r="B25" s="264" t="s">
        <v>725</v>
      </c>
      <c r="C25" s="241" t="s">
        <v>726</v>
      </c>
      <c r="D25" s="241" t="s">
        <v>749</v>
      </c>
      <c r="E25" s="241" t="s">
        <v>728</v>
      </c>
      <c r="F25" s="233">
        <v>1200002.1000000001</v>
      </c>
      <c r="G25" s="265">
        <v>44948</v>
      </c>
      <c r="H25" s="232" t="s">
        <v>735</v>
      </c>
      <c r="I25" s="241" t="s">
        <v>167</v>
      </c>
      <c r="J25" s="266" t="s">
        <v>167</v>
      </c>
      <c r="K25" s="241" t="s">
        <v>167</v>
      </c>
      <c r="L25" s="241"/>
      <c r="M25" s="241" t="s">
        <v>606</v>
      </c>
    </row>
    <row r="26" spans="1:13">
      <c r="A26" s="237" t="s">
        <v>678</v>
      </c>
      <c r="B26" s="261" t="s">
        <v>725</v>
      </c>
      <c r="C26" s="237" t="s">
        <v>726</v>
      </c>
      <c r="D26" s="237" t="s">
        <v>750</v>
      </c>
      <c r="E26" s="237" t="s">
        <v>728</v>
      </c>
      <c r="F26" s="262">
        <v>4199998.3099999996</v>
      </c>
      <c r="G26" s="263">
        <v>44948</v>
      </c>
      <c r="H26" s="231" t="s">
        <v>735</v>
      </c>
      <c r="I26" s="237" t="s">
        <v>167</v>
      </c>
      <c r="J26" s="262" t="s">
        <v>167</v>
      </c>
      <c r="K26" s="237" t="s">
        <v>167</v>
      </c>
      <c r="L26" s="237"/>
      <c r="M26" s="237" t="s">
        <v>606</v>
      </c>
    </row>
    <row r="27" spans="1:13">
      <c r="A27" s="241" t="s">
        <v>678</v>
      </c>
      <c r="B27" s="264" t="s">
        <v>725</v>
      </c>
      <c r="C27" s="241" t="s">
        <v>726</v>
      </c>
      <c r="D27" s="241" t="s">
        <v>751</v>
      </c>
      <c r="E27" s="241" t="s">
        <v>728</v>
      </c>
      <c r="F27" s="233">
        <v>1800000.13</v>
      </c>
      <c r="G27" s="265">
        <v>44948</v>
      </c>
      <c r="H27" s="232" t="s">
        <v>735</v>
      </c>
      <c r="I27" s="241" t="s">
        <v>167</v>
      </c>
      <c r="J27" s="266" t="s">
        <v>167</v>
      </c>
      <c r="K27" s="241" t="s">
        <v>167</v>
      </c>
      <c r="L27" s="241"/>
      <c r="M27" s="241" t="s">
        <v>606</v>
      </c>
    </row>
    <row r="28" spans="1:13">
      <c r="A28" s="237" t="s">
        <v>678</v>
      </c>
      <c r="B28" s="261" t="s">
        <v>725</v>
      </c>
      <c r="C28" s="237" t="s">
        <v>726</v>
      </c>
      <c r="D28" s="237" t="s">
        <v>752</v>
      </c>
      <c r="E28" s="237" t="s">
        <v>728</v>
      </c>
      <c r="F28" s="262">
        <v>1399999.44</v>
      </c>
      <c r="G28" s="263">
        <v>44948</v>
      </c>
      <c r="H28" s="231" t="s">
        <v>735</v>
      </c>
      <c r="I28" s="237" t="s">
        <v>167</v>
      </c>
      <c r="J28" s="262" t="s">
        <v>167</v>
      </c>
      <c r="K28" s="237" t="s">
        <v>167</v>
      </c>
      <c r="L28" s="237"/>
      <c r="M28" s="237" t="s">
        <v>606</v>
      </c>
    </row>
    <row r="29" spans="1:13">
      <c r="A29" s="241" t="s">
        <v>678</v>
      </c>
      <c r="B29" s="264" t="s">
        <v>725</v>
      </c>
      <c r="C29" s="241" t="s">
        <v>726</v>
      </c>
      <c r="D29" s="241" t="s">
        <v>753</v>
      </c>
      <c r="E29" s="241" t="s">
        <v>728</v>
      </c>
      <c r="F29" s="233">
        <v>599998.03</v>
      </c>
      <c r="G29" s="265">
        <v>44948</v>
      </c>
      <c r="H29" s="232" t="s">
        <v>735</v>
      </c>
      <c r="I29" s="241" t="s">
        <v>167</v>
      </c>
      <c r="J29" s="266" t="s">
        <v>167</v>
      </c>
      <c r="K29" s="241" t="s">
        <v>167</v>
      </c>
      <c r="L29" s="241"/>
      <c r="M29" s="241" t="s">
        <v>606</v>
      </c>
    </row>
    <row r="30" spans="1:13">
      <c r="A30" s="237" t="s">
        <v>678</v>
      </c>
      <c r="B30" s="261" t="s">
        <v>725</v>
      </c>
      <c r="C30" s="237" t="s">
        <v>726</v>
      </c>
      <c r="D30" s="237" t="s">
        <v>754</v>
      </c>
      <c r="E30" s="237" t="s">
        <v>728</v>
      </c>
      <c r="F30" s="262">
        <v>2701425.43</v>
      </c>
      <c r="G30" s="263">
        <v>44952</v>
      </c>
      <c r="H30" s="231" t="s">
        <v>735</v>
      </c>
      <c r="I30" s="237" t="s">
        <v>167</v>
      </c>
      <c r="J30" s="262" t="s">
        <v>167</v>
      </c>
      <c r="K30" s="237" t="s">
        <v>167</v>
      </c>
      <c r="L30" s="237"/>
      <c r="M30" s="237" t="s">
        <v>606</v>
      </c>
    </row>
    <row r="31" spans="1:13">
      <c r="A31" s="241" t="s">
        <v>678</v>
      </c>
      <c r="B31" s="264" t="s">
        <v>725</v>
      </c>
      <c r="C31" s="241" t="s">
        <v>726</v>
      </c>
      <c r="D31" s="241" t="s">
        <v>754</v>
      </c>
      <c r="E31" s="241" t="s">
        <v>728</v>
      </c>
      <c r="F31" s="233">
        <v>1800946.29</v>
      </c>
      <c r="G31" s="265">
        <v>44952</v>
      </c>
      <c r="H31" s="232" t="s">
        <v>735</v>
      </c>
      <c r="I31" s="241" t="s">
        <v>167</v>
      </c>
      <c r="J31" s="266" t="s">
        <v>167</v>
      </c>
      <c r="K31" s="241" t="s">
        <v>167</v>
      </c>
      <c r="L31" s="241"/>
      <c r="M31" s="241" t="s">
        <v>606</v>
      </c>
    </row>
    <row r="32" spans="1:13">
      <c r="A32" s="237" t="s">
        <v>678</v>
      </c>
      <c r="B32" s="261" t="s">
        <v>725</v>
      </c>
      <c r="C32" s="237" t="s">
        <v>726</v>
      </c>
      <c r="D32" s="237" t="s">
        <v>754</v>
      </c>
      <c r="E32" s="237" t="s">
        <v>728</v>
      </c>
      <c r="F32" s="262">
        <v>1800946.28</v>
      </c>
      <c r="G32" s="263">
        <v>44952</v>
      </c>
      <c r="H32" s="231" t="s">
        <v>735</v>
      </c>
      <c r="I32" s="237" t="s">
        <v>167</v>
      </c>
      <c r="J32" s="262" t="s">
        <v>167</v>
      </c>
      <c r="K32" s="237" t="s">
        <v>167</v>
      </c>
      <c r="L32" s="237"/>
      <c r="M32" s="237" t="s">
        <v>606</v>
      </c>
    </row>
    <row r="33" spans="1:13">
      <c r="A33" s="241" t="s">
        <v>678</v>
      </c>
      <c r="B33" s="264" t="s">
        <v>725</v>
      </c>
      <c r="C33" s="241" t="s">
        <v>726</v>
      </c>
      <c r="D33" s="241" t="s">
        <v>755</v>
      </c>
      <c r="E33" s="241" t="s">
        <v>728</v>
      </c>
      <c r="F33" s="233">
        <v>105000</v>
      </c>
      <c r="G33" s="265">
        <v>44956</v>
      </c>
      <c r="H33" s="232" t="s">
        <v>735</v>
      </c>
      <c r="I33" s="241" t="s">
        <v>167</v>
      </c>
      <c r="J33" s="266" t="s">
        <v>167</v>
      </c>
      <c r="K33" s="241" t="s">
        <v>167</v>
      </c>
      <c r="L33" s="241"/>
      <c r="M33" s="241" t="s">
        <v>606</v>
      </c>
    </row>
    <row r="34" spans="1:13">
      <c r="A34" s="237" t="s">
        <v>678</v>
      </c>
      <c r="B34" s="261" t="s">
        <v>725</v>
      </c>
      <c r="C34" s="237" t="s">
        <v>726</v>
      </c>
      <c r="D34" s="237" t="s">
        <v>756</v>
      </c>
      <c r="E34" s="237" t="s">
        <v>728</v>
      </c>
      <c r="F34" s="262">
        <v>95000</v>
      </c>
      <c r="G34" s="263">
        <v>44957</v>
      </c>
      <c r="H34" s="231" t="s">
        <v>729</v>
      </c>
      <c r="I34" s="237" t="s">
        <v>167</v>
      </c>
      <c r="J34" s="262" t="s">
        <v>167</v>
      </c>
      <c r="K34" s="237" t="s">
        <v>167</v>
      </c>
      <c r="L34" s="237"/>
      <c r="M34" s="237" t="s">
        <v>606</v>
      </c>
    </row>
    <row r="35" spans="1:13">
      <c r="A35" s="241" t="s">
        <v>678</v>
      </c>
      <c r="B35" s="264" t="s">
        <v>725</v>
      </c>
      <c r="C35" s="241" t="s">
        <v>726</v>
      </c>
      <c r="D35" s="241" t="s">
        <v>757</v>
      </c>
      <c r="E35" s="241" t="s">
        <v>728</v>
      </c>
      <c r="F35" s="233">
        <v>3379345</v>
      </c>
      <c r="G35" s="265">
        <v>44957</v>
      </c>
      <c r="H35" s="232" t="s">
        <v>733</v>
      </c>
      <c r="I35" s="241" t="s">
        <v>167</v>
      </c>
      <c r="J35" s="266" t="s">
        <v>167</v>
      </c>
      <c r="K35" s="241" t="s">
        <v>167</v>
      </c>
      <c r="L35" s="241"/>
      <c r="M35" s="241" t="s">
        <v>606</v>
      </c>
    </row>
    <row r="36" spans="1:13">
      <c r="A36" s="237" t="s">
        <v>678</v>
      </c>
      <c r="B36" s="261" t="s">
        <v>725</v>
      </c>
      <c r="C36" s="237" t="s">
        <v>726</v>
      </c>
      <c r="D36" s="237" t="s">
        <v>758</v>
      </c>
      <c r="E36" s="237" t="s">
        <v>728</v>
      </c>
      <c r="F36" s="262">
        <v>5638000</v>
      </c>
      <c r="G36" s="263">
        <v>44957</v>
      </c>
      <c r="H36" s="231" t="s">
        <v>733</v>
      </c>
      <c r="I36" s="237" t="s">
        <v>167</v>
      </c>
      <c r="J36" s="262" t="s">
        <v>167</v>
      </c>
      <c r="K36" s="237" t="s">
        <v>167</v>
      </c>
      <c r="L36" s="237"/>
      <c r="M36" s="237" t="s">
        <v>606</v>
      </c>
    </row>
    <row r="37" spans="1:13">
      <c r="A37" s="241" t="s">
        <v>678</v>
      </c>
      <c r="B37" s="264" t="s">
        <v>725</v>
      </c>
      <c r="C37" s="241" t="s">
        <v>726</v>
      </c>
      <c r="D37" s="241" t="s">
        <v>759</v>
      </c>
      <c r="E37" s="241" t="s">
        <v>728</v>
      </c>
      <c r="F37" s="233">
        <v>1134597</v>
      </c>
      <c r="G37" s="265">
        <v>44957</v>
      </c>
      <c r="H37" s="232" t="s">
        <v>735</v>
      </c>
      <c r="I37" s="241" t="s">
        <v>167</v>
      </c>
      <c r="J37" s="266" t="s">
        <v>167</v>
      </c>
      <c r="K37" s="241" t="s">
        <v>167</v>
      </c>
      <c r="L37" s="241"/>
      <c r="M37" s="241" t="s">
        <v>606</v>
      </c>
    </row>
    <row r="38" spans="1:13">
      <c r="A38" s="237" t="s">
        <v>678</v>
      </c>
      <c r="B38" s="261" t="s">
        <v>725</v>
      </c>
      <c r="C38" s="237" t="s">
        <v>726</v>
      </c>
      <c r="D38" s="237" t="s">
        <v>760</v>
      </c>
      <c r="E38" s="237" t="s">
        <v>728</v>
      </c>
      <c r="F38" s="262">
        <v>150000.01999999999</v>
      </c>
      <c r="G38" s="263">
        <v>44957</v>
      </c>
      <c r="H38" s="231" t="s">
        <v>735</v>
      </c>
      <c r="I38" s="237" t="s">
        <v>167</v>
      </c>
      <c r="J38" s="262" t="s">
        <v>167</v>
      </c>
      <c r="K38" s="237" t="s">
        <v>167</v>
      </c>
      <c r="L38" s="237"/>
      <c r="M38" s="237" t="s">
        <v>606</v>
      </c>
    </row>
    <row r="39" spans="1:13">
      <c r="A39" s="241" t="s">
        <v>678</v>
      </c>
      <c r="B39" s="264" t="s">
        <v>725</v>
      </c>
      <c r="C39" s="241" t="s">
        <v>726</v>
      </c>
      <c r="D39" s="241" t="s">
        <v>761</v>
      </c>
      <c r="E39" s="241" t="s">
        <v>728</v>
      </c>
      <c r="F39" s="233">
        <v>14998.8</v>
      </c>
      <c r="G39" s="265">
        <v>44957</v>
      </c>
      <c r="H39" s="232" t="s">
        <v>735</v>
      </c>
      <c r="I39" s="241" t="s">
        <v>167</v>
      </c>
      <c r="J39" s="266" t="s">
        <v>167</v>
      </c>
      <c r="K39" s="241" t="s">
        <v>167</v>
      </c>
      <c r="L39" s="241"/>
      <c r="M39" s="241" t="s">
        <v>606</v>
      </c>
    </row>
    <row r="40" spans="1:13">
      <c r="A40" s="237" t="s">
        <v>678</v>
      </c>
      <c r="B40" s="261" t="s">
        <v>725</v>
      </c>
      <c r="C40" s="237" t="s">
        <v>726</v>
      </c>
      <c r="D40" s="237" t="s">
        <v>762</v>
      </c>
      <c r="E40" s="237" t="s">
        <v>728</v>
      </c>
      <c r="F40" s="262">
        <v>14250.67</v>
      </c>
      <c r="G40" s="263">
        <v>44957</v>
      </c>
      <c r="H40" s="231" t="s">
        <v>735</v>
      </c>
      <c r="I40" s="237" t="s">
        <v>167</v>
      </c>
      <c r="J40" s="262" t="s">
        <v>167</v>
      </c>
      <c r="K40" s="237" t="s">
        <v>167</v>
      </c>
      <c r="L40" s="237"/>
      <c r="M40" s="237" t="s">
        <v>606</v>
      </c>
    </row>
    <row r="41" spans="1:13">
      <c r="A41" s="241" t="s">
        <v>678</v>
      </c>
      <c r="B41" s="264" t="s">
        <v>725</v>
      </c>
      <c r="C41" s="241" t="s">
        <v>726</v>
      </c>
      <c r="D41" s="241" t="s">
        <v>763</v>
      </c>
      <c r="E41" s="241" t="s">
        <v>728</v>
      </c>
      <c r="F41" s="233">
        <v>225000.03</v>
      </c>
      <c r="G41" s="265">
        <v>44957</v>
      </c>
      <c r="H41" s="232" t="s">
        <v>735</v>
      </c>
      <c r="I41" s="241" t="s">
        <v>167</v>
      </c>
      <c r="J41" s="266" t="s">
        <v>167</v>
      </c>
      <c r="K41" s="241" t="s">
        <v>167</v>
      </c>
      <c r="L41" s="241"/>
      <c r="M41" s="241" t="s">
        <v>606</v>
      </c>
    </row>
    <row r="42" spans="1:13">
      <c r="A42" s="237" t="s">
        <v>678</v>
      </c>
      <c r="B42" s="261" t="s">
        <v>725</v>
      </c>
      <c r="C42" s="237" t="s">
        <v>726</v>
      </c>
      <c r="D42" s="237" t="s">
        <v>764</v>
      </c>
      <c r="E42" s="237" t="s">
        <v>728</v>
      </c>
      <c r="F42" s="262">
        <v>45002.42</v>
      </c>
      <c r="G42" s="263">
        <v>44957</v>
      </c>
      <c r="H42" s="231" t="s">
        <v>735</v>
      </c>
      <c r="I42" s="237" t="s">
        <v>167</v>
      </c>
      <c r="J42" s="262" t="s">
        <v>167</v>
      </c>
      <c r="K42" s="237" t="s">
        <v>167</v>
      </c>
      <c r="L42" s="237"/>
      <c r="M42" s="237" t="s">
        <v>606</v>
      </c>
    </row>
    <row r="43" spans="1:13">
      <c r="A43" s="241" t="s">
        <v>678</v>
      </c>
      <c r="B43" s="264" t="s">
        <v>725</v>
      </c>
      <c r="C43" s="241" t="s">
        <v>726</v>
      </c>
      <c r="D43" s="241" t="s">
        <v>765</v>
      </c>
      <c r="E43" s="241" t="s">
        <v>728</v>
      </c>
      <c r="F43" s="233">
        <v>17997.349999999999</v>
      </c>
      <c r="G43" s="265">
        <v>44957</v>
      </c>
      <c r="H43" s="232" t="s">
        <v>735</v>
      </c>
      <c r="I43" s="241" t="s">
        <v>167</v>
      </c>
      <c r="J43" s="266" t="s">
        <v>167</v>
      </c>
      <c r="K43" s="241" t="s">
        <v>167</v>
      </c>
      <c r="L43" s="241"/>
      <c r="M43" s="241" t="s">
        <v>606</v>
      </c>
    </row>
    <row r="44" spans="1:13">
      <c r="A44" s="237" t="s">
        <v>678</v>
      </c>
      <c r="B44" s="261" t="s">
        <v>725</v>
      </c>
      <c r="C44" s="237" t="s">
        <v>726</v>
      </c>
      <c r="D44" s="237" t="s">
        <v>766</v>
      </c>
      <c r="E44" s="237" t="s">
        <v>728</v>
      </c>
      <c r="F44" s="262">
        <v>9001.69</v>
      </c>
      <c r="G44" s="263">
        <v>44957</v>
      </c>
      <c r="H44" s="231" t="s">
        <v>735</v>
      </c>
      <c r="I44" s="237" t="s">
        <v>167</v>
      </c>
      <c r="J44" s="262" t="s">
        <v>167</v>
      </c>
      <c r="K44" s="237" t="s">
        <v>167</v>
      </c>
      <c r="L44" s="237"/>
      <c r="M44" s="237" t="s">
        <v>606</v>
      </c>
    </row>
    <row r="45" spans="1:13">
      <c r="A45" s="241" t="s">
        <v>678</v>
      </c>
      <c r="B45" s="264" t="s">
        <v>725</v>
      </c>
      <c r="C45" s="241" t="s">
        <v>726</v>
      </c>
      <c r="D45" s="241" t="s">
        <v>767</v>
      </c>
      <c r="E45" s="241" t="s">
        <v>728</v>
      </c>
      <c r="F45" s="233">
        <v>187497</v>
      </c>
      <c r="G45" s="265">
        <v>44957</v>
      </c>
      <c r="H45" s="232" t="s">
        <v>735</v>
      </c>
      <c r="I45" s="241" t="s">
        <v>167</v>
      </c>
      <c r="J45" s="266" t="s">
        <v>167</v>
      </c>
      <c r="K45" s="241" t="s">
        <v>167</v>
      </c>
      <c r="L45" s="241"/>
      <c r="M45" s="241" t="s">
        <v>606</v>
      </c>
    </row>
    <row r="46" spans="1:13">
      <c r="A46" s="237" t="s">
        <v>678</v>
      </c>
      <c r="B46" s="261" t="s">
        <v>725</v>
      </c>
      <c r="C46" s="237" t="s">
        <v>726</v>
      </c>
      <c r="D46" s="237" t="s">
        <v>768</v>
      </c>
      <c r="E46" s="237" t="s">
        <v>728</v>
      </c>
      <c r="F46" s="262">
        <v>100002.02</v>
      </c>
      <c r="G46" s="263">
        <v>44957</v>
      </c>
      <c r="H46" s="231" t="s">
        <v>735</v>
      </c>
      <c r="I46" s="237" t="s">
        <v>167</v>
      </c>
      <c r="J46" s="262" t="s">
        <v>167</v>
      </c>
      <c r="K46" s="237" t="s">
        <v>167</v>
      </c>
      <c r="L46" s="237"/>
      <c r="M46" s="237" t="s">
        <v>606</v>
      </c>
    </row>
    <row r="47" spans="1:13">
      <c r="A47" s="241" t="s">
        <v>678</v>
      </c>
      <c r="B47" s="264" t="s">
        <v>725</v>
      </c>
      <c r="C47" s="241" t="s">
        <v>726</v>
      </c>
      <c r="D47" s="241" t="s">
        <v>769</v>
      </c>
      <c r="E47" s="241" t="s">
        <v>728</v>
      </c>
      <c r="F47" s="233">
        <v>12500000</v>
      </c>
      <c r="G47" s="265">
        <v>44964</v>
      </c>
      <c r="H47" s="232" t="s">
        <v>733</v>
      </c>
      <c r="I47" s="241" t="s">
        <v>167</v>
      </c>
      <c r="J47" s="266" t="s">
        <v>167</v>
      </c>
      <c r="K47" s="241" t="s">
        <v>167</v>
      </c>
      <c r="L47" s="241"/>
      <c r="M47" s="241" t="s">
        <v>606</v>
      </c>
    </row>
    <row r="48" spans="1:13" s="271" customFormat="1">
      <c r="A48" s="237" t="s">
        <v>678</v>
      </c>
      <c r="B48" s="261" t="s">
        <v>725</v>
      </c>
      <c r="C48" s="237" t="s">
        <v>726</v>
      </c>
      <c r="D48" s="237" t="s">
        <v>770</v>
      </c>
      <c r="E48" s="237" t="s">
        <v>728</v>
      </c>
      <c r="F48" s="262">
        <v>566116.62</v>
      </c>
      <c r="G48" s="263">
        <v>44966</v>
      </c>
      <c r="H48" s="231" t="s">
        <v>771</v>
      </c>
      <c r="I48" s="237" t="s">
        <v>167</v>
      </c>
      <c r="J48" s="262" t="s">
        <v>167</v>
      </c>
      <c r="K48" s="237" t="s">
        <v>167</v>
      </c>
      <c r="L48" s="237"/>
      <c r="M48" s="237" t="s">
        <v>606</v>
      </c>
    </row>
    <row r="49" spans="1:13">
      <c r="A49" s="241" t="s">
        <v>678</v>
      </c>
      <c r="B49" s="264" t="s">
        <v>725</v>
      </c>
      <c r="C49" s="241" t="s">
        <v>726</v>
      </c>
      <c r="D49" s="241" t="s">
        <v>770</v>
      </c>
      <c r="E49" s="241" t="s">
        <v>728</v>
      </c>
      <c r="F49" s="233">
        <v>2.4307200219482183E-3</v>
      </c>
      <c r="G49" s="265">
        <v>44966</v>
      </c>
      <c r="H49" s="232" t="s">
        <v>771</v>
      </c>
      <c r="I49" s="241" t="s">
        <v>167</v>
      </c>
      <c r="J49" s="266" t="s">
        <v>167</v>
      </c>
      <c r="K49" s="241" t="s">
        <v>167</v>
      </c>
      <c r="L49" s="241"/>
      <c r="M49" s="241" t="s">
        <v>606</v>
      </c>
    </row>
    <row r="50" spans="1:13">
      <c r="A50" s="237" t="s">
        <v>678</v>
      </c>
      <c r="B50" s="261" t="s">
        <v>725</v>
      </c>
      <c r="C50" s="237" t="s">
        <v>726</v>
      </c>
      <c r="D50" s="237" t="s">
        <v>772</v>
      </c>
      <c r="E50" s="237" t="s">
        <v>728</v>
      </c>
      <c r="F50" s="262">
        <v>2425549</v>
      </c>
      <c r="G50" s="263">
        <v>44966</v>
      </c>
      <c r="H50" s="231" t="s">
        <v>735</v>
      </c>
      <c r="I50" s="237" t="s">
        <v>167</v>
      </c>
      <c r="J50" s="262" t="s">
        <v>167</v>
      </c>
      <c r="K50" s="237" t="s">
        <v>167</v>
      </c>
      <c r="L50" s="237"/>
      <c r="M50" s="237" t="s">
        <v>606</v>
      </c>
    </row>
    <row r="51" spans="1:13">
      <c r="A51" s="241" t="s">
        <v>678</v>
      </c>
      <c r="B51" s="264" t="s">
        <v>725</v>
      </c>
      <c r="C51" s="241" t="s">
        <v>726</v>
      </c>
      <c r="D51" s="241" t="s">
        <v>773</v>
      </c>
      <c r="E51" s="241" t="s">
        <v>728</v>
      </c>
      <c r="F51" s="233">
        <v>761.67</v>
      </c>
      <c r="G51" s="265">
        <v>44968</v>
      </c>
      <c r="H51" s="232" t="s">
        <v>735</v>
      </c>
      <c r="I51" s="241" t="s">
        <v>167</v>
      </c>
      <c r="J51" s="266" t="s">
        <v>167</v>
      </c>
      <c r="K51" s="241" t="s">
        <v>167</v>
      </c>
      <c r="L51" s="241"/>
      <c r="M51" s="241" t="s">
        <v>606</v>
      </c>
    </row>
    <row r="52" spans="1:13">
      <c r="A52" s="237" t="s">
        <v>678</v>
      </c>
      <c r="B52" s="261" t="s">
        <v>725</v>
      </c>
      <c r="C52" s="237" t="s">
        <v>726</v>
      </c>
      <c r="D52" s="237" t="s">
        <v>773</v>
      </c>
      <c r="E52" s="237" t="s">
        <v>728</v>
      </c>
      <c r="F52" s="262">
        <v>25319.29</v>
      </c>
      <c r="G52" s="263">
        <v>44968</v>
      </c>
      <c r="H52" s="231" t="s">
        <v>735</v>
      </c>
      <c r="I52" s="237" t="s">
        <v>167</v>
      </c>
      <c r="J52" s="262" t="s">
        <v>167</v>
      </c>
      <c r="K52" s="237" t="s">
        <v>167</v>
      </c>
      <c r="L52" s="237"/>
      <c r="M52" s="237" t="s">
        <v>606</v>
      </c>
    </row>
    <row r="53" spans="1:13">
      <c r="A53" s="241" t="s">
        <v>678</v>
      </c>
      <c r="B53" s="264" t="s">
        <v>725</v>
      </c>
      <c r="C53" s="241" t="s">
        <v>726</v>
      </c>
      <c r="D53" s="241" t="s">
        <v>773</v>
      </c>
      <c r="E53" s="241" t="s">
        <v>728</v>
      </c>
      <c r="F53" s="233">
        <v>374.69</v>
      </c>
      <c r="G53" s="265">
        <v>44968</v>
      </c>
      <c r="H53" s="232" t="s">
        <v>735</v>
      </c>
      <c r="I53" s="241" t="s">
        <v>167</v>
      </c>
      <c r="J53" s="266" t="s">
        <v>167</v>
      </c>
      <c r="K53" s="241" t="s">
        <v>167</v>
      </c>
      <c r="L53" s="241"/>
      <c r="M53" s="241" t="s">
        <v>606</v>
      </c>
    </row>
    <row r="54" spans="1:13">
      <c r="A54" s="237" t="s">
        <v>678</v>
      </c>
      <c r="B54" s="261" t="s">
        <v>725</v>
      </c>
      <c r="C54" s="237" t="s">
        <v>726</v>
      </c>
      <c r="D54" s="237" t="s">
        <v>773</v>
      </c>
      <c r="E54" s="237" t="s">
        <v>728</v>
      </c>
      <c r="F54" s="262">
        <v>792.38</v>
      </c>
      <c r="G54" s="263">
        <v>44968</v>
      </c>
      <c r="H54" s="231" t="s">
        <v>735</v>
      </c>
      <c r="I54" s="237" t="s">
        <v>167</v>
      </c>
      <c r="J54" s="262" t="s">
        <v>167</v>
      </c>
      <c r="K54" s="237" t="s">
        <v>167</v>
      </c>
      <c r="L54" s="237"/>
      <c r="M54" s="237" t="s">
        <v>606</v>
      </c>
    </row>
    <row r="55" spans="1:13">
      <c r="A55" s="241" t="s">
        <v>678</v>
      </c>
      <c r="B55" s="264" t="s">
        <v>725</v>
      </c>
      <c r="C55" s="241" t="s">
        <v>726</v>
      </c>
      <c r="D55" s="241" t="s">
        <v>773</v>
      </c>
      <c r="E55" s="241" t="s">
        <v>728</v>
      </c>
      <c r="F55" s="233">
        <v>374.69</v>
      </c>
      <c r="G55" s="265">
        <v>44968</v>
      </c>
      <c r="H55" s="232" t="s">
        <v>735</v>
      </c>
      <c r="I55" s="241" t="s">
        <v>167</v>
      </c>
      <c r="J55" s="266" t="s">
        <v>167</v>
      </c>
      <c r="K55" s="241" t="s">
        <v>167</v>
      </c>
      <c r="L55" s="241"/>
      <c r="M55" s="241" t="s">
        <v>606</v>
      </c>
    </row>
    <row r="56" spans="1:13">
      <c r="A56" s="237" t="s">
        <v>678</v>
      </c>
      <c r="B56" s="261" t="s">
        <v>725</v>
      </c>
      <c r="C56" s="237" t="s">
        <v>726</v>
      </c>
      <c r="D56" s="237" t="s">
        <v>774</v>
      </c>
      <c r="E56" s="237" t="s">
        <v>728</v>
      </c>
      <c r="F56" s="262">
        <v>12831.63</v>
      </c>
      <c r="G56" s="263">
        <v>44968</v>
      </c>
      <c r="H56" s="231" t="s">
        <v>735</v>
      </c>
      <c r="I56" s="237" t="s">
        <v>167</v>
      </c>
      <c r="J56" s="262" t="s">
        <v>167</v>
      </c>
      <c r="K56" s="237" t="s">
        <v>167</v>
      </c>
      <c r="L56" s="237"/>
      <c r="M56" s="237" t="s">
        <v>606</v>
      </c>
    </row>
    <row r="57" spans="1:13">
      <c r="A57" s="241" t="s">
        <v>678</v>
      </c>
      <c r="B57" s="264" t="s">
        <v>725</v>
      </c>
      <c r="C57" s="241" t="s">
        <v>726</v>
      </c>
      <c r="D57" s="241" t="s">
        <v>775</v>
      </c>
      <c r="E57" s="241" t="s">
        <v>728</v>
      </c>
      <c r="F57" s="233">
        <v>5589.65</v>
      </c>
      <c r="G57" s="265">
        <v>44968</v>
      </c>
      <c r="H57" s="232" t="s">
        <v>735</v>
      </c>
      <c r="I57" s="241" t="s">
        <v>167</v>
      </c>
      <c r="J57" s="266" t="s">
        <v>167</v>
      </c>
      <c r="K57" s="241" t="s">
        <v>167</v>
      </c>
      <c r="L57" s="241"/>
      <c r="M57" s="241" t="s">
        <v>606</v>
      </c>
    </row>
    <row r="58" spans="1:13">
      <c r="A58" s="237" t="s">
        <v>678</v>
      </c>
      <c r="B58" s="261" t="s">
        <v>725</v>
      </c>
      <c r="C58" s="237" t="s">
        <v>726</v>
      </c>
      <c r="D58" s="237" t="s">
        <v>776</v>
      </c>
      <c r="E58" s="237" t="s">
        <v>728</v>
      </c>
      <c r="F58" s="262">
        <v>6707.58</v>
      </c>
      <c r="G58" s="263">
        <v>44968</v>
      </c>
      <c r="H58" s="231" t="s">
        <v>735</v>
      </c>
      <c r="I58" s="237" t="s">
        <v>167</v>
      </c>
      <c r="J58" s="262" t="s">
        <v>167</v>
      </c>
      <c r="K58" s="237" t="s">
        <v>167</v>
      </c>
      <c r="L58" s="237"/>
      <c r="M58" s="237" t="s">
        <v>606</v>
      </c>
    </row>
    <row r="59" spans="1:13">
      <c r="A59" s="241" t="s">
        <v>678</v>
      </c>
      <c r="B59" s="264" t="s">
        <v>725</v>
      </c>
      <c r="C59" s="241" t="s">
        <v>726</v>
      </c>
      <c r="D59" s="241" t="s">
        <v>777</v>
      </c>
      <c r="E59" s="241" t="s">
        <v>728</v>
      </c>
      <c r="F59" s="233">
        <v>815825.23</v>
      </c>
      <c r="G59" s="265">
        <v>44968</v>
      </c>
      <c r="H59" s="232" t="s">
        <v>735</v>
      </c>
      <c r="I59" s="241" t="s">
        <v>167</v>
      </c>
      <c r="J59" s="266" t="s">
        <v>167</v>
      </c>
      <c r="K59" s="241" t="s">
        <v>167</v>
      </c>
      <c r="L59" s="241"/>
      <c r="M59" s="241" t="s">
        <v>606</v>
      </c>
    </row>
    <row r="60" spans="1:13">
      <c r="A60" s="237" t="s">
        <v>678</v>
      </c>
      <c r="B60" s="261" t="s">
        <v>725</v>
      </c>
      <c r="C60" s="237" t="s">
        <v>726</v>
      </c>
      <c r="D60" s="237" t="s">
        <v>778</v>
      </c>
      <c r="E60" s="237" t="s">
        <v>728</v>
      </c>
      <c r="F60" s="262">
        <v>71627.41</v>
      </c>
      <c r="G60" s="263">
        <v>44968</v>
      </c>
      <c r="H60" s="231" t="s">
        <v>735</v>
      </c>
      <c r="I60" s="237" t="s">
        <v>167</v>
      </c>
      <c r="J60" s="262" t="s">
        <v>167</v>
      </c>
      <c r="K60" s="237" t="s">
        <v>167</v>
      </c>
      <c r="L60" s="237"/>
      <c r="M60" s="237" t="s">
        <v>606</v>
      </c>
    </row>
    <row r="61" spans="1:13">
      <c r="A61" s="241" t="s">
        <v>678</v>
      </c>
      <c r="B61" s="264" t="s">
        <v>725</v>
      </c>
      <c r="C61" s="241" t="s">
        <v>726</v>
      </c>
      <c r="D61" s="241" t="s">
        <v>779</v>
      </c>
      <c r="E61" s="241" t="s">
        <v>728</v>
      </c>
      <c r="F61" s="233">
        <v>372528.88</v>
      </c>
      <c r="G61" s="265">
        <v>44968</v>
      </c>
      <c r="H61" s="232" t="s">
        <v>735</v>
      </c>
      <c r="I61" s="241" t="s">
        <v>167</v>
      </c>
      <c r="J61" s="266" t="s">
        <v>167</v>
      </c>
      <c r="K61" s="241" t="s">
        <v>167</v>
      </c>
      <c r="L61" s="241"/>
      <c r="M61" s="241" t="s">
        <v>606</v>
      </c>
    </row>
    <row r="62" spans="1:13">
      <c r="A62" s="237" t="s">
        <v>678</v>
      </c>
      <c r="B62" s="261" t="s">
        <v>725</v>
      </c>
      <c r="C62" s="237" t="s">
        <v>726</v>
      </c>
      <c r="D62" s="237" t="s">
        <v>780</v>
      </c>
      <c r="E62" s="237" t="s">
        <v>728</v>
      </c>
      <c r="F62" s="262">
        <v>40706.19</v>
      </c>
      <c r="G62" s="263">
        <v>44968</v>
      </c>
      <c r="H62" s="231" t="s">
        <v>735</v>
      </c>
      <c r="I62" s="237" t="s">
        <v>167</v>
      </c>
      <c r="J62" s="262" t="s">
        <v>167</v>
      </c>
      <c r="K62" s="237" t="s">
        <v>167</v>
      </c>
      <c r="L62" s="237"/>
      <c r="M62" s="237" t="s">
        <v>606</v>
      </c>
    </row>
    <row r="63" spans="1:13">
      <c r="A63" s="241" t="s">
        <v>678</v>
      </c>
      <c r="B63" s="264" t="s">
        <v>725</v>
      </c>
      <c r="C63" s="241" t="s">
        <v>726</v>
      </c>
      <c r="D63" s="241" t="s">
        <v>781</v>
      </c>
      <c r="E63" s="241" t="s">
        <v>728</v>
      </c>
      <c r="F63" s="233">
        <v>17622.759999999998</v>
      </c>
      <c r="G63" s="265">
        <v>44968</v>
      </c>
      <c r="H63" s="232" t="s">
        <v>735</v>
      </c>
      <c r="I63" s="241" t="s">
        <v>167</v>
      </c>
      <c r="J63" s="266" t="s">
        <v>167</v>
      </c>
      <c r="K63" s="241" t="s">
        <v>167</v>
      </c>
      <c r="L63" s="241"/>
      <c r="M63" s="241" t="s">
        <v>606</v>
      </c>
    </row>
    <row r="64" spans="1:13">
      <c r="A64" s="237" t="s">
        <v>678</v>
      </c>
      <c r="B64" s="261" t="s">
        <v>725</v>
      </c>
      <c r="C64" s="237" t="s">
        <v>726</v>
      </c>
      <c r="D64" s="237" t="s">
        <v>782</v>
      </c>
      <c r="E64" s="237" t="s">
        <v>728</v>
      </c>
      <c r="F64" s="262">
        <v>8132.64</v>
      </c>
      <c r="G64" s="263">
        <v>44968</v>
      </c>
      <c r="H64" s="231" t="s">
        <v>735</v>
      </c>
      <c r="I64" s="237" t="s">
        <v>167</v>
      </c>
      <c r="J64" s="262" t="s">
        <v>167</v>
      </c>
      <c r="K64" s="237" t="s">
        <v>167</v>
      </c>
      <c r="L64" s="237"/>
      <c r="M64" s="237" t="s">
        <v>606</v>
      </c>
    </row>
    <row r="65" spans="1:13">
      <c r="A65" s="241" t="s">
        <v>678</v>
      </c>
      <c r="B65" s="264" t="s">
        <v>725</v>
      </c>
      <c r="C65" s="241" t="s">
        <v>726</v>
      </c>
      <c r="D65" s="241" t="s">
        <v>783</v>
      </c>
      <c r="E65" s="241" t="s">
        <v>728</v>
      </c>
      <c r="F65" s="233">
        <v>2432.42</v>
      </c>
      <c r="G65" s="265">
        <v>44968</v>
      </c>
      <c r="H65" s="232" t="s">
        <v>735</v>
      </c>
      <c r="I65" s="241" t="s">
        <v>167</v>
      </c>
      <c r="J65" s="266" t="s">
        <v>167</v>
      </c>
      <c r="K65" s="241" t="s">
        <v>167</v>
      </c>
      <c r="L65" s="241"/>
      <c r="M65" s="241" t="s">
        <v>606</v>
      </c>
    </row>
    <row r="66" spans="1:13">
      <c r="A66" s="237" t="s">
        <v>678</v>
      </c>
      <c r="B66" s="261" t="s">
        <v>725</v>
      </c>
      <c r="C66" s="237" t="s">
        <v>726</v>
      </c>
      <c r="D66" s="237" t="s">
        <v>784</v>
      </c>
      <c r="E66" s="237" t="s">
        <v>728</v>
      </c>
      <c r="F66" s="262">
        <v>125890.05</v>
      </c>
      <c r="G66" s="263">
        <v>44968</v>
      </c>
      <c r="H66" s="231" t="s">
        <v>735</v>
      </c>
      <c r="I66" s="237" t="s">
        <v>167</v>
      </c>
      <c r="J66" s="262" t="s">
        <v>167</v>
      </c>
      <c r="K66" s="237" t="s">
        <v>167</v>
      </c>
      <c r="L66" s="237"/>
      <c r="M66" s="237" t="s">
        <v>606</v>
      </c>
    </row>
    <row r="67" spans="1:13">
      <c r="A67" s="241" t="s">
        <v>678</v>
      </c>
      <c r="B67" s="264" t="s">
        <v>725</v>
      </c>
      <c r="C67" s="241" t="s">
        <v>726</v>
      </c>
      <c r="D67" s="241" t="s">
        <v>785</v>
      </c>
      <c r="E67" s="241" t="s">
        <v>728</v>
      </c>
      <c r="F67" s="233">
        <v>42346.23</v>
      </c>
      <c r="G67" s="265">
        <v>44968</v>
      </c>
      <c r="H67" s="232" t="s">
        <v>735</v>
      </c>
      <c r="I67" s="241" t="s">
        <v>167</v>
      </c>
      <c r="J67" s="266" t="s">
        <v>167</v>
      </c>
      <c r="K67" s="241" t="s">
        <v>167</v>
      </c>
      <c r="L67" s="241"/>
      <c r="M67" s="241" t="s">
        <v>606</v>
      </c>
    </row>
    <row r="68" spans="1:13">
      <c r="A68" s="237" t="s">
        <v>678</v>
      </c>
      <c r="B68" s="261" t="s">
        <v>725</v>
      </c>
      <c r="C68" s="237" t="s">
        <v>726</v>
      </c>
      <c r="D68" s="237" t="s">
        <v>786</v>
      </c>
      <c r="E68" s="237" t="s">
        <v>728</v>
      </c>
      <c r="F68" s="262">
        <v>5712.5</v>
      </c>
      <c r="G68" s="263">
        <v>44968</v>
      </c>
      <c r="H68" s="231" t="s">
        <v>735</v>
      </c>
      <c r="I68" s="237" t="s">
        <v>167</v>
      </c>
      <c r="J68" s="262" t="s">
        <v>167</v>
      </c>
      <c r="K68" s="237" t="s">
        <v>167</v>
      </c>
      <c r="L68" s="237"/>
      <c r="M68" s="237" t="s">
        <v>606</v>
      </c>
    </row>
    <row r="69" spans="1:13">
      <c r="A69" s="241" t="s">
        <v>678</v>
      </c>
      <c r="B69" s="264" t="s">
        <v>725</v>
      </c>
      <c r="C69" s="241" t="s">
        <v>726</v>
      </c>
      <c r="D69" s="241" t="s">
        <v>787</v>
      </c>
      <c r="E69" s="241" t="s">
        <v>728</v>
      </c>
      <c r="F69" s="233">
        <v>369746.34</v>
      </c>
      <c r="G69" s="265">
        <v>44968</v>
      </c>
      <c r="H69" s="232" t="s">
        <v>735</v>
      </c>
      <c r="I69" s="241" t="s">
        <v>167</v>
      </c>
      <c r="J69" s="266" t="s">
        <v>167</v>
      </c>
      <c r="K69" s="241" t="s">
        <v>167</v>
      </c>
      <c r="L69" s="241"/>
      <c r="M69" s="241" t="s">
        <v>606</v>
      </c>
    </row>
    <row r="70" spans="1:13" s="271" customFormat="1">
      <c r="A70" s="237" t="s">
        <v>678</v>
      </c>
      <c r="B70" s="261" t="s">
        <v>725</v>
      </c>
      <c r="C70" s="237" t="s">
        <v>726</v>
      </c>
      <c r="D70" s="237" t="s">
        <v>788</v>
      </c>
      <c r="E70" s="237" t="s">
        <v>728</v>
      </c>
      <c r="F70" s="262">
        <v>29047.77</v>
      </c>
      <c r="G70" s="263">
        <v>44968</v>
      </c>
      <c r="H70" s="231" t="s">
        <v>735</v>
      </c>
      <c r="I70" s="237" t="s">
        <v>167</v>
      </c>
      <c r="J70" s="262" t="s">
        <v>167</v>
      </c>
      <c r="K70" s="237" t="s">
        <v>167</v>
      </c>
      <c r="L70" s="237"/>
      <c r="M70" s="237" t="s">
        <v>606</v>
      </c>
    </row>
    <row r="71" spans="1:13" s="271" customFormat="1">
      <c r="A71" s="241" t="s">
        <v>678</v>
      </c>
      <c r="B71" s="264" t="s">
        <v>725</v>
      </c>
      <c r="C71" s="241" t="s">
        <v>726</v>
      </c>
      <c r="D71" s="241" t="s">
        <v>789</v>
      </c>
      <c r="E71" s="241" t="s">
        <v>728</v>
      </c>
      <c r="F71" s="233">
        <v>311896.5</v>
      </c>
      <c r="G71" s="265">
        <v>44968</v>
      </c>
      <c r="H71" s="232" t="s">
        <v>735</v>
      </c>
      <c r="I71" s="241" t="s">
        <v>167</v>
      </c>
      <c r="J71" s="266" t="s">
        <v>167</v>
      </c>
      <c r="K71" s="241" t="s">
        <v>167</v>
      </c>
      <c r="L71" s="241"/>
      <c r="M71" s="241" t="s">
        <v>606</v>
      </c>
    </row>
    <row r="72" spans="1:13">
      <c r="A72" s="237" t="s">
        <v>678</v>
      </c>
      <c r="B72" s="261" t="s">
        <v>725</v>
      </c>
      <c r="C72" s="237" t="s">
        <v>726</v>
      </c>
      <c r="D72" s="237" t="s">
        <v>789</v>
      </c>
      <c r="E72" s="237" t="s">
        <v>728</v>
      </c>
      <c r="F72" s="262">
        <v>356030.19</v>
      </c>
      <c r="G72" s="263">
        <v>44968</v>
      </c>
      <c r="H72" s="231" t="s">
        <v>735</v>
      </c>
      <c r="I72" s="237" t="s">
        <v>167</v>
      </c>
      <c r="J72" s="262" t="s">
        <v>167</v>
      </c>
      <c r="K72" s="237" t="s">
        <v>167</v>
      </c>
      <c r="L72" s="237"/>
      <c r="M72" s="237" t="s">
        <v>606</v>
      </c>
    </row>
    <row r="73" spans="1:13">
      <c r="A73" s="241" t="s">
        <v>678</v>
      </c>
      <c r="B73" s="264" t="s">
        <v>725</v>
      </c>
      <c r="C73" s="241" t="s">
        <v>726</v>
      </c>
      <c r="D73" s="241" t="s">
        <v>790</v>
      </c>
      <c r="E73" s="241" t="s">
        <v>728</v>
      </c>
      <c r="F73" s="233">
        <v>218868.7</v>
      </c>
      <c r="G73" s="265">
        <v>44968</v>
      </c>
      <c r="H73" s="232" t="s">
        <v>735</v>
      </c>
      <c r="I73" s="241" t="s">
        <v>167</v>
      </c>
      <c r="J73" s="266" t="s">
        <v>167</v>
      </c>
      <c r="K73" s="241" t="s">
        <v>167</v>
      </c>
      <c r="L73" s="241"/>
      <c r="M73" s="241" t="s">
        <v>606</v>
      </c>
    </row>
    <row r="74" spans="1:13">
      <c r="A74" s="237" t="s">
        <v>678</v>
      </c>
      <c r="B74" s="261" t="s">
        <v>725</v>
      </c>
      <c r="C74" s="237" t="s">
        <v>726</v>
      </c>
      <c r="D74" s="237" t="s">
        <v>791</v>
      </c>
      <c r="E74" s="237" t="s">
        <v>728</v>
      </c>
      <c r="F74" s="262">
        <v>6216.19</v>
      </c>
      <c r="G74" s="263">
        <v>44968</v>
      </c>
      <c r="H74" s="231" t="s">
        <v>735</v>
      </c>
      <c r="I74" s="237" t="s">
        <v>167</v>
      </c>
      <c r="J74" s="262" t="s">
        <v>167</v>
      </c>
      <c r="K74" s="237" t="s">
        <v>167</v>
      </c>
      <c r="L74" s="237"/>
      <c r="M74" s="237" t="s">
        <v>606</v>
      </c>
    </row>
    <row r="75" spans="1:13">
      <c r="A75" s="241" t="s">
        <v>678</v>
      </c>
      <c r="B75" s="264" t="s">
        <v>725</v>
      </c>
      <c r="C75" s="241" t="s">
        <v>726</v>
      </c>
      <c r="D75" s="241" t="s">
        <v>792</v>
      </c>
      <c r="E75" s="241" t="s">
        <v>728</v>
      </c>
      <c r="F75" s="233">
        <v>195607.15</v>
      </c>
      <c r="G75" s="265">
        <v>44968</v>
      </c>
      <c r="H75" s="232" t="s">
        <v>735</v>
      </c>
      <c r="I75" s="241" t="s">
        <v>167</v>
      </c>
      <c r="J75" s="266" t="s">
        <v>167</v>
      </c>
      <c r="K75" s="241" t="s">
        <v>167</v>
      </c>
      <c r="L75" s="241"/>
      <c r="M75" s="241" t="s">
        <v>606</v>
      </c>
    </row>
    <row r="76" spans="1:13">
      <c r="A76" s="237" t="s">
        <v>678</v>
      </c>
      <c r="B76" s="261" t="s">
        <v>725</v>
      </c>
      <c r="C76" s="237" t="s">
        <v>726</v>
      </c>
      <c r="D76" s="237" t="s">
        <v>793</v>
      </c>
      <c r="E76" s="237" t="s">
        <v>728</v>
      </c>
      <c r="F76" s="262">
        <v>12002.4</v>
      </c>
      <c r="G76" s="263">
        <v>44968</v>
      </c>
      <c r="H76" s="231" t="s">
        <v>735</v>
      </c>
      <c r="I76" s="237" t="s">
        <v>167</v>
      </c>
      <c r="J76" s="262" t="s">
        <v>167</v>
      </c>
      <c r="K76" s="237" t="s">
        <v>167</v>
      </c>
      <c r="L76" s="237"/>
      <c r="M76" s="237" t="s">
        <v>606</v>
      </c>
    </row>
    <row r="77" spans="1:13">
      <c r="A77" s="241" t="s">
        <v>678</v>
      </c>
      <c r="B77" s="264" t="s">
        <v>725</v>
      </c>
      <c r="C77" s="241" t="s">
        <v>726</v>
      </c>
      <c r="D77" s="241" t="s">
        <v>794</v>
      </c>
      <c r="E77" s="241" t="s">
        <v>728</v>
      </c>
      <c r="F77" s="233">
        <v>55589.41</v>
      </c>
      <c r="G77" s="265">
        <v>44968</v>
      </c>
      <c r="H77" s="232" t="s">
        <v>735</v>
      </c>
      <c r="I77" s="241" t="s">
        <v>167</v>
      </c>
      <c r="J77" s="266" t="s">
        <v>167</v>
      </c>
      <c r="K77" s="241" t="s">
        <v>167</v>
      </c>
      <c r="L77" s="241"/>
      <c r="M77" s="241" t="s">
        <v>606</v>
      </c>
    </row>
    <row r="78" spans="1:13">
      <c r="A78" s="237" t="s">
        <v>678</v>
      </c>
      <c r="B78" s="261" t="s">
        <v>725</v>
      </c>
      <c r="C78" s="237" t="s">
        <v>726</v>
      </c>
      <c r="D78" s="237" t="s">
        <v>793</v>
      </c>
      <c r="E78" s="237" t="s">
        <v>728</v>
      </c>
      <c r="F78" s="262">
        <v>27849.99</v>
      </c>
      <c r="G78" s="263">
        <v>44968</v>
      </c>
      <c r="H78" s="231" t="s">
        <v>735</v>
      </c>
      <c r="I78" s="237" t="s">
        <v>167</v>
      </c>
      <c r="J78" s="262" t="s">
        <v>167</v>
      </c>
      <c r="K78" s="237" t="s">
        <v>167</v>
      </c>
      <c r="L78" s="237"/>
      <c r="M78" s="237" t="s">
        <v>606</v>
      </c>
    </row>
    <row r="79" spans="1:13">
      <c r="A79" s="241" t="s">
        <v>678</v>
      </c>
      <c r="B79" s="264" t="s">
        <v>725</v>
      </c>
      <c r="C79" s="241" t="s">
        <v>726</v>
      </c>
      <c r="D79" s="241" t="s">
        <v>795</v>
      </c>
      <c r="E79" s="241" t="s">
        <v>728</v>
      </c>
      <c r="F79" s="233">
        <v>27794.7</v>
      </c>
      <c r="G79" s="265">
        <v>44968</v>
      </c>
      <c r="H79" s="232" t="s">
        <v>735</v>
      </c>
      <c r="I79" s="241" t="s">
        <v>167</v>
      </c>
      <c r="J79" s="266" t="s">
        <v>167</v>
      </c>
      <c r="K79" s="241" t="s">
        <v>167</v>
      </c>
      <c r="L79" s="241"/>
      <c r="M79" s="241" t="s">
        <v>606</v>
      </c>
    </row>
    <row r="80" spans="1:13" s="271" customFormat="1">
      <c r="A80" s="237" t="s">
        <v>678</v>
      </c>
      <c r="B80" s="261" t="s">
        <v>725</v>
      </c>
      <c r="C80" s="237" t="s">
        <v>726</v>
      </c>
      <c r="D80" s="237" t="s">
        <v>795</v>
      </c>
      <c r="E80" s="237" t="s">
        <v>728</v>
      </c>
      <c r="F80" s="262">
        <v>13924.99</v>
      </c>
      <c r="G80" s="263">
        <v>44968</v>
      </c>
      <c r="H80" s="231" t="s">
        <v>735</v>
      </c>
      <c r="I80" s="237" t="s">
        <v>167</v>
      </c>
      <c r="J80" s="262" t="s">
        <v>167</v>
      </c>
      <c r="K80" s="237" t="s">
        <v>167</v>
      </c>
      <c r="L80" s="237"/>
      <c r="M80" s="237" t="s">
        <v>606</v>
      </c>
    </row>
    <row r="81" spans="1:13">
      <c r="A81" s="241" t="s">
        <v>678</v>
      </c>
      <c r="B81" s="264" t="s">
        <v>725</v>
      </c>
      <c r="C81" s="241" t="s">
        <v>726</v>
      </c>
      <c r="D81" s="241" t="s">
        <v>796</v>
      </c>
      <c r="E81" s="241" t="s">
        <v>728</v>
      </c>
      <c r="F81" s="233">
        <v>404334.63</v>
      </c>
      <c r="G81" s="265">
        <v>44968</v>
      </c>
      <c r="H81" s="232" t="s">
        <v>735</v>
      </c>
      <c r="I81" s="241" t="s">
        <v>167</v>
      </c>
      <c r="J81" s="266" t="s">
        <v>167</v>
      </c>
      <c r="K81" s="241" t="s">
        <v>167</v>
      </c>
      <c r="L81" s="241"/>
      <c r="M81" s="241" t="s">
        <v>606</v>
      </c>
    </row>
    <row r="82" spans="1:13">
      <c r="A82" s="237" t="s">
        <v>678</v>
      </c>
      <c r="B82" s="261" t="s">
        <v>725</v>
      </c>
      <c r="C82" s="237" t="s">
        <v>726</v>
      </c>
      <c r="D82" s="237" t="s">
        <v>797</v>
      </c>
      <c r="E82" s="237" t="s">
        <v>728</v>
      </c>
      <c r="F82" s="262">
        <v>166983.21</v>
      </c>
      <c r="G82" s="263">
        <v>44968</v>
      </c>
      <c r="H82" s="231" t="s">
        <v>735</v>
      </c>
      <c r="I82" s="237" t="s">
        <v>167</v>
      </c>
      <c r="J82" s="262" t="s">
        <v>167</v>
      </c>
      <c r="K82" s="237" t="s">
        <v>167</v>
      </c>
      <c r="L82" s="237"/>
      <c r="M82" s="237" t="s">
        <v>606</v>
      </c>
    </row>
    <row r="83" spans="1:13">
      <c r="A83" s="241" t="s">
        <v>678</v>
      </c>
      <c r="B83" s="264" t="s">
        <v>725</v>
      </c>
      <c r="C83" s="241" t="s">
        <v>726</v>
      </c>
      <c r="D83" s="241" t="s">
        <v>798</v>
      </c>
      <c r="E83" s="241" t="s">
        <v>728</v>
      </c>
      <c r="F83" s="233">
        <v>208475.64</v>
      </c>
      <c r="G83" s="265">
        <v>44968</v>
      </c>
      <c r="H83" s="232" t="s">
        <v>735</v>
      </c>
      <c r="I83" s="241" t="s">
        <v>167</v>
      </c>
      <c r="J83" s="266" t="s">
        <v>167</v>
      </c>
      <c r="K83" s="241" t="s">
        <v>167</v>
      </c>
      <c r="L83" s="241"/>
      <c r="M83" s="241" t="s">
        <v>606</v>
      </c>
    </row>
    <row r="84" spans="1:13">
      <c r="A84" s="237" t="s">
        <v>678</v>
      </c>
      <c r="B84" s="261" t="s">
        <v>725</v>
      </c>
      <c r="C84" s="237" t="s">
        <v>726</v>
      </c>
      <c r="D84" s="237" t="s">
        <v>799</v>
      </c>
      <c r="E84" s="237" t="s">
        <v>728</v>
      </c>
      <c r="F84" s="262">
        <v>14993.78</v>
      </c>
      <c r="G84" s="263">
        <v>44968</v>
      </c>
      <c r="H84" s="231" t="s">
        <v>735</v>
      </c>
      <c r="I84" s="237" t="s">
        <v>167</v>
      </c>
      <c r="J84" s="262" t="s">
        <v>167</v>
      </c>
      <c r="K84" s="237" t="s">
        <v>167</v>
      </c>
      <c r="L84" s="237"/>
      <c r="M84" s="237" t="s">
        <v>606</v>
      </c>
    </row>
    <row r="85" spans="1:13">
      <c r="A85" s="241" t="s">
        <v>678</v>
      </c>
      <c r="B85" s="264" t="s">
        <v>725</v>
      </c>
      <c r="C85" s="241" t="s">
        <v>726</v>
      </c>
      <c r="D85" s="241" t="s">
        <v>800</v>
      </c>
      <c r="E85" s="241" t="s">
        <v>728</v>
      </c>
      <c r="F85" s="233">
        <v>38132.49</v>
      </c>
      <c r="G85" s="265">
        <v>44968</v>
      </c>
      <c r="H85" s="232" t="s">
        <v>735</v>
      </c>
      <c r="I85" s="241" t="s">
        <v>167</v>
      </c>
      <c r="J85" s="266" t="s">
        <v>167</v>
      </c>
      <c r="K85" s="241" t="s">
        <v>167</v>
      </c>
      <c r="L85" s="241"/>
      <c r="M85" s="241" t="s">
        <v>606</v>
      </c>
    </row>
    <row r="86" spans="1:13">
      <c r="A86" s="237" t="s">
        <v>678</v>
      </c>
      <c r="B86" s="261" t="s">
        <v>725</v>
      </c>
      <c r="C86" s="237" t="s">
        <v>726</v>
      </c>
      <c r="D86" s="237" t="s">
        <v>801</v>
      </c>
      <c r="E86" s="237" t="s">
        <v>728</v>
      </c>
      <c r="F86" s="262">
        <v>206037.07</v>
      </c>
      <c r="G86" s="263">
        <v>44968</v>
      </c>
      <c r="H86" s="231" t="s">
        <v>735</v>
      </c>
      <c r="I86" s="237" t="s">
        <v>167</v>
      </c>
      <c r="J86" s="262" t="s">
        <v>167</v>
      </c>
      <c r="K86" s="237" t="s">
        <v>167</v>
      </c>
      <c r="L86" s="237"/>
      <c r="M86" s="237" t="s">
        <v>606</v>
      </c>
    </row>
    <row r="87" spans="1:13">
      <c r="A87" s="241" t="s">
        <v>678</v>
      </c>
      <c r="B87" s="264" t="s">
        <v>725</v>
      </c>
      <c r="C87" s="241" t="s">
        <v>726</v>
      </c>
      <c r="D87" s="241" t="s">
        <v>802</v>
      </c>
      <c r="E87" s="241" t="s">
        <v>728</v>
      </c>
      <c r="F87" s="233">
        <v>61836.31</v>
      </c>
      <c r="G87" s="265">
        <v>44968</v>
      </c>
      <c r="H87" s="232" t="s">
        <v>735</v>
      </c>
      <c r="I87" s="241" t="s">
        <v>167</v>
      </c>
      <c r="J87" s="266" t="s">
        <v>167</v>
      </c>
      <c r="K87" s="241" t="s">
        <v>167</v>
      </c>
      <c r="L87" s="241"/>
      <c r="M87" s="241" t="s">
        <v>606</v>
      </c>
    </row>
    <row r="88" spans="1:13">
      <c r="A88" s="237" t="s">
        <v>678</v>
      </c>
      <c r="B88" s="261" t="s">
        <v>725</v>
      </c>
      <c r="C88" s="237" t="s">
        <v>726</v>
      </c>
      <c r="D88" s="237" t="s">
        <v>803</v>
      </c>
      <c r="E88" s="237" t="s">
        <v>728</v>
      </c>
      <c r="F88" s="262">
        <v>3310.79</v>
      </c>
      <c r="G88" s="263">
        <v>44968</v>
      </c>
      <c r="H88" s="231" t="s">
        <v>735</v>
      </c>
      <c r="I88" s="237" t="s">
        <v>167</v>
      </c>
      <c r="J88" s="262" t="s">
        <v>167</v>
      </c>
      <c r="K88" s="237" t="s">
        <v>167</v>
      </c>
      <c r="L88" s="237"/>
      <c r="M88" s="237" t="s">
        <v>606</v>
      </c>
    </row>
    <row r="89" spans="1:13">
      <c r="A89" s="241" t="s">
        <v>678</v>
      </c>
      <c r="B89" s="264" t="s">
        <v>725</v>
      </c>
      <c r="C89" s="241" t="s">
        <v>726</v>
      </c>
      <c r="D89" s="241" t="s">
        <v>804</v>
      </c>
      <c r="E89" s="241" t="s">
        <v>728</v>
      </c>
      <c r="F89" s="233">
        <v>72198.66</v>
      </c>
      <c r="G89" s="265">
        <v>44968</v>
      </c>
      <c r="H89" s="232" t="s">
        <v>735</v>
      </c>
      <c r="I89" s="241" t="s">
        <v>167</v>
      </c>
      <c r="J89" s="266" t="s">
        <v>167</v>
      </c>
      <c r="K89" s="241" t="s">
        <v>167</v>
      </c>
      <c r="L89" s="241"/>
      <c r="M89" s="241" t="s">
        <v>606</v>
      </c>
    </row>
    <row r="90" spans="1:13">
      <c r="A90" s="237" t="s">
        <v>678</v>
      </c>
      <c r="B90" s="261" t="s">
        <v>725</v>
      </c>
      <c r="C90" s="237" t="s">
        <v>726</v>
      </c>
      <c r="D90" s="237" t="s">
        <v>805</v>
      </c>
      <c r="E90" s="237" t="s">
        <v>728</v>
      </c>
      <c r="F90" s="262">
        <v>279279.96000000002</v>
      </c>
      <c r="G90" s="263">
        <v>44968</v>
      </c>
      <c r="H90" s="231" t="s">
        <v>735</v>
      </c>
      <c r="I90" s="237" t="s">
        <v>167</v>
      </c>
      <c r="J90" s="262" t="s">
        <v>167</v>
      </c>
      <c r="K90" s="237" t="s">
        <v>167</v>
      </c>
      <c r="L90" s="237"/>
      <c r="M90" s="237" t="s">
        <v>606</v>
      </c>
    </row>
    <row r="91" spans="1:13">
      <c r="A91" s="241" t="s">
        <v>678</v>
      </c>
      <c r="B91" s="264" t="s">
        <v>725</v>
      </c>
      <c r="C91" s="241" t="s">
        <v>726</v>
      </c>
      <c r="D91" s="241" t="s">
        <v>806</v>
      </c>
      <c r="E91" s="241" t="s">
        <v>728</v>
      </c>
      <c r="F91" s="233">
        <v>6885.72</v>
      </c>
      <c r="G91" s="265">
        <v>44968</v>
      </c>
      <c r="H91" s="232" t="s">
        <v>735</v>
      </c>
      <c r="I91" s="241" t="s">
        <v>167</v>
      </c>
      <c r="J91" s="266" t="s">
        <v>167</v>
      </c>
      <c r="K91" s="241" t="s">
        <v>167</v>
      </c>
      <c r="L91" s="241"/>
      <c r="M91" s="241" t="s">
        <v>606</v>
      </c>
    </row>
    <row r="92" spans="1:13">
      <c r="A92" s="237" t="s">
        <v>678</v>
      </c>
      <c r="B92" s="261" t="s">
        <v>725</v>
      </c>
      <c r="C92" s="237" t="s">
        <v>726</v>
      </c>
      <c r="D92" s="237" t="s">
        <v>807</v>
      </c>
      <c r="E92" s="237" t="s">
        <v>728</v>
      </c>
      <c r="F92" s="262">
        <v>251577.39</v>
      </c>
      <c r="G92" s="263">
        <v>44968</v>
      </c>
      <c r="H92" s="231" t="s">
        <v>735</v>
      </c>
      <c r="I92" s="237" t="s">
        <v>167</v>
      </c>
      <c r="J92" s="262" t="s">
        <v>167</v>
      </c>
      <c r="K92" s="237" t="s">
        <v>167</v>
      </c>
      <c r="L92" s="237"/>
      <c r="M92" s="237" t="s">
        <v>606</v>
      </c>
    </row>
    <row r="93" spans="1:13">
      <c r="A93" s="241" t="s">
        <v>678</v>
      </c>
      <c r="B93" s="264" t="s">
        <v>725</v>
      </c>
      <c r="C93" s="241" t="s">
        <v>726</v>
      </c>
      <c r="D93" s="241" t="s">
        <v>808</v>
      </c>
      <c r="E93" s="241" t="s">
        <v>728</v>
      </c>
      <c r="F93" s="233">
        <v>67131.12</v>
      </c>
      <c r="G93" s="265">
        <v>44968</v>
      </c>
      <c r="H93" s="232" t="s">
        <v>735</v>
      </c>
      <c r="I93" s="241" t="s">
        <v>167</v>
      </c>
      <c r="J93" s="266" t="s">
        <v>167</v>
      </c>
      <c r="K93" s="241" t="s">
        <v>167</v>
      </c>
      <c r="L93" s="241"/>
      <c r="M93" s="241" t="s">
        <v>606</v>
      </c>
    </row>
    <row r="94" spans="1:13">
      <c r="A94" s="237" t="s">
        <v>678</v>
      </c>
      <c r="B94" s="261" t="s">
        <v>725</v>
      </c>
      <c r="C94" s="237" t="s">
        <v>726</v>
      </c>
      <c r="D94" s="237" t="s">
        <v>808</v>
      </c>
      <c r="E94" s="237" t="s">
        <v>728</v>
      </c>
      <c r="F94" s="262">
        <v>67131.12</v>
      </c>
      <c r="G94" s="263">
        <v>44968</v>
      </c>
      <c r="H94" s="231" t="s">
        <v>735</v>
      </c>
      <c r="I94" s="237" t="s">
        <v>167</v>
      </c>
      <c r="J94" s="262" t="s">
        <v>167</v>
      </c>
      <c r="K94" s="237" t="s">
        <v>167</v>
      </c>
      <c r="L94" s="237"/>
      <c r="M94" s="237" t="s">
        <v>606</v>
      </c>
    </row>
    <row r="95" spans="1:13">
      <c r="A95" s="241" t="s">
        <v>678</v>
      </c>
      <c r="B95" s="264" t="s">
        <v>725</v>
      </c>
      <c r="C95" s="241" t="s">
        <v>726</v>
      </c>
      <c r="D95" s="241" t="s">
        <v>809</v>
      </c>
      <c r="E95" s="241" t="s">
        <v>728</v>
      </c>
      <c r="F95" s="233">
        <v>64139.73</v>
      </c>
      <c r="G95" s="265">
        <v>44968</v>
      </c>
      <c r="H95" s="232" t="s">
        <v>735</v>
      </c>
      <c r="I95" s="241" t="s">
        <v>167</v>
      </c>
      <c r="J95" s="266" t="s">
        <v>167</v>
      </c>
      <c r="K95" s="241" t="s">
        <v>167</v>
      </c>
      <c r="L95" s="241"/>
      <c r="M95" s="241" t="s">
        <v>606</v>
      </c>
    </row>
    <row r="96" spans="1:13">
      <c r="A96" s="237" t="s">
        <v>678</v>
      </c>
      <c r="B96" s="261" t="s">
        <v>725</v>
      </c>
      <c r="C96" s="237" t="s">
        <v>726</v>
      </c>
      <c r="D96" s="237" t="s">
        <v>810</v>
      </c>
      <c r="E96" s="237" t="s">
        <v>728</v>
      </c>
      <c r="F96" s="262">
        <v>29404.03</v>
      </c>
      <c r="G96" s="263">
        <v>44968</v>
      </c>
      <c r="H96" s="231" t="s">
        <v>735</v>
      </c>
      <c r="I96" s="237" t="s">
        <v>167</v>
      </c>
      <c r="J96" s="262" t="s">
        <v>167</v>
      </c>
      <c r="K96" s="237" t="s">
        <v>167</v>
      </c>
      <c r="L96" s="237"/>
      <c r="M96" s="237" t="s">
        <v>606</v>
      </c>
    </row>
    <row r="97" spans="1:13">
      <c r="A97" s="241" t="s">
        <v>678</v>
      </c>
      <c r="B97" s="264" t="s">
        <v>725</v>
      </c>
      <c r="C97" s="241" t="s">
        <v>726</v>
      </c>
      <c r="D97" s="241" t="s">
        <v>811</v>
      </c>
      <c r="E97" s="241" t="s">
        <v>728</v>
      </c>
      <c r="F97" s="233">
        <v>26904.04</v>
      </c>
      <c r="G97" s="265">
        <v>44968</v>
      </c>
      <c r="H97" s="232" t="s">
        <v>735</v>
      </c>
      <c r="I97" s="241" t="s">
        <v>167</v>
      </c>
      <c r="J97" s="266" t="s">
        <v>167</v>
      </c>
      <c r="K97" s="241" t="s">
        <v>167</v>
      </c>
      <c r="L97" s="241"/>
      <c r="M97" s="241" t="s">
        <v>606</v>
      </c>
    </row>
    <row r="98" spans="1:13">
      <c r="A98" s="237" t="s">
        <v>678</v>
      </c>
      <c r="B98" s="261" t="s">
        <v>725</v>
      </c>
      <c r="C98" s="237" t="s">
        <v>726</v>
      </c>
      <c r="D98" s="237" t="s">
        <v>812</v>
      </c>
      <c r="E98" s="237" t="s">
        <v>728</v>
      </c>
      <c r="F98" s="262">
        <v>41308.15</v>
      </c>
      <c r="G98" s="263">
        <v>44968</v>
      </c>
      <c r="H98" s="231" t="s">
        <v>735</v>
      </c>
      <c r="I98" s="237" t="s">
        <v>167</v>
      </c>
      <c r="J98" s="262" t="s">
        <v>167</v>
      </c>
      <c r="K98" s="237" t="s">
        <v>167</v>
      </c>
      <c r="L98" s="237"/>
      <c r="M98" s="237" t="s">
        <v>606</v>
      </c>
    </row>
    <row r="99" spans="1:13">
      <c r="A99" s="241" t="s">
        <v>678</v>
      </c>
      <c r="B99" s="264" t="s">
        <v>725</v>
      </c>
      <c r="C99" s="241" t="s">
        <v>726</v>
      </c>
      <c r="D99" s="241" t="s">
        <v>806</v>
      </c>
      <c r="E99" s="241" t="s">
        <v>728</v>
      </c>
      <c r="F99" s="233">
        <v>7708.81</v>
      </c>
      <c r="G99" s="265">
        <v>44968</v>
      </c>
      <c r="H99" s="232" t="s">
        <v>735</v>
      </c>
      <c r="I99" s="241" t="s">
        <v>167</v>
      </c>
      <c r="J99" s="266" t="s">
        <v>167</v>
      </c>
      <c r="K99" s="241" t="s">
        <v>167</v>
      </c>
      <c r="L99" s="241"/>
      <c r="M99" s="241" t="s">
        <v>606</v>
      </c>
    </row>
    <row r="100" spans="1:13">
      <c r="A100" s="237" t="s">
        <v>678</v>
      </c>
      <c r="B100" s="261" t="s">
        <v>725</v>
      </c>
      <c r="C100" s="237" t="s">
        <v>726</v>
      </c>
      <c r="D100" s="237" t="s">
        <v>813</v>
      </c>
      <c r="E100" s="237" t="s">
        <v>728</v>
      </c>
      <c r="F100" s="262">
        <v>233561.51</v>
      </c>
      <c r="G100" s="263">
        <v>44968</v>
      </c>
      <c r="H100" s="231" t="s">
        <v>735</v>
      </c>
      <c r="I100" s="237" t="s">
        <v>167</v>
      </c>
      <c r="J100" s="262" t="s">
        <v>167</v>
      </c>
      <c r="K100" s="237" t="s">
        <v>167</v>
      </c>
      <c r="L100" s="237"/>
      <c r="M100" s="237" t="s">
        <v>606</v>
      </c>
    </row>
    <row r="101" spans="1:13">
      <c r="A101" s="241" t="s">
        <v>678</v>
      </c>
      <c r="B101" s="264" t="s">
        <v>725</v>
      </c>
      <c r="C101" s="241" t="s">
        <v>726</v>
      </c>
      <c r="D101" s="241" t="s">
        <v>814</v>
      </c>
      <c r="E101" s="241" t="s">
        <v>728</v>
      </c>
      <c r="F101" s="233">
        <v>5046854.84</v>
      </c>
      <c r="G101" s="265">
        <v>44968</v>
      </c>
      <c r="H101" s="232" t="s">
        <v>735</v>
      </c>
      <c r="I101" s="241" t="s">
        <v>167</v>
      </c>
      <c r="J101" s="266" t="s">
        <v>167</v>
      </c>
      <c r="K101" s="241" t="s">
        <v>167</v>
      </c>
      <c r="L101" s="241"/>
      <c r="M101" s="241" t="s">
        <v>606</v>
      </c>
    </row>
    <row r="102" spans="1:13">
      <c r="A102" s="237" t="s">
        <v>678</v>
      </c>
      <c r="B102" s="261" t="s">
        <v>725</v>
      </c>
      <c r="C102" s="237" t="s">
        <v>726</v>
      </c>
      <c r="D102" s="237" t="s">
        <v>815</v>
      </c>
      <c r="E102" s="237" t="s">
        <v>728</v>
      </c>
      <c r="F102" s="262">
        <v>5108488.45</v>
      </c>
      <c r="G102" s="263">
        <v>44968</v>
      </c>
      <c r="H102" s="231" t="s">
        <v>735</v>
      </c>
      <c r="I102" s="237" t="s">
        <v>167</v>
      </c>
      <c r="J102" s="262" t="s">
        <v>167</v>
      </c>
      <c r="K102" s="237" t="s">
        <v>167</v>
      </c>
      <c r="L102" s="237"/>
      <c r="M102" s="237" t="s">
        <v>606</v>
      </c>
    </row>
    <row r="103" spans="1:13">
      <c r="A103" s="241" t="s">
        <v>678</v>
      </c>
      <c r="B103" s="264" t="s">
        <v>725</v>
      </c>
      <c r="C103" s="241" t="s">
        <v>726</v>
      </c>
      <c r="D103" s="241" t="s">
        <v>816</v>
      </c>
      <c r="E103" s="241" t="s">
        <v>728</v>
      </c>
      <c r="F103" s="233">
        <v>3370816</v>
      </c>
      <c r="G103" s="265">
        <v>44969</v>
      </c>
      <c r="H103" s="232" t="s">
        <v>733</v>
      </c>
      <c r="I103" s="241" t="s">
        <v>167</v>
      </c>
      <c r="J103" s="266" t="s">
        <v>167</v>
      </c>
      <c r="K103" s="241" t="s">
        <v>167</v>
      </c>
      <c r="L103" s="241"/>
      <c r="M103" s="241" t="s">
        <v>606</v>
      </c>
    </row>
    <row r="104" spans="1:13">
      <c r="A104" s="237" t="s">
        <v>678</v>
      </c>
      <c r="B104" s="261" t="s">
        <v>725</v>
      </c>
      <c r="C104" s="237" t="s">
        <v>726</v>
      </c>
      <c r="D104" s="237" t="s">
        <v>817</v>
      </c>
      <c r="E104" s="237" t="s">
        <v>728</v>
      </c>
      <c r="F104" s="262">
        <v>374000</v>
      </c>
      <c r="G104" s="263">
        <v>44972</v>
      </c>
      <c r="H104" s="231" t="s">
        <v>735</v>
      </c>
      <c r="I104" s="237" t="s">
        <v>167</v>
      </c>
      <c r="J104" s="262" t="s">
        <v>167</v>
      </c>
      <c r="K104" s="237" t="s">
        <v>167</v>
      </c>
      <c r="L104" s="237"/>
      <c r="M104" s="237" t="s">
        <v>606</v>
      </c>
    </row>
    <row r="105" spans="1:13">
      <c r="A105" s="241" t="s">
        <v>678</v>
      </c>
      <c r="B105" s="264" t="s">
        <v>725</v>
      </c>
      <c r="C105" s="241" t="s">
        <v>726</v>
      </c>
      <c r="D105" s="241" t="s">
        <v>818</v>
      </c>
      <c r="E105" s="241" t="s">
        <v>728</v>
      </c>
      <c r="F105" s="233">
        <v>1901600</v>
      </c>
      <c r="G105" s="265">
        <v>44972</v>
      </c>
      <c r="H105" s="232" t="s">
        <v>735</v>
      </c>
      <c r="I105" s="241" t="s">
        <v>167</v>
      </c>
      <c r="J105" s="266" t="s">
        <v>167</v>
      </c>
      <c r="K105" s="241" t="s">
        <v>167</v>
      </c>
      <c r="L105" s="241"/>
      <c r="M105" s="241" t="s">
        <v>606</v>
      </c>
    </row>
    <row r="106" spans="1:13">
      <c r="A106" s="237" t="s">
        <v>678</v>
      </c>
      <c r="B106" s="261" t="s">
        <v>725</v>
      </c>
      <c r="C106" s="237" t="s">
        <v>726</v>
      </c>
      <c r="D106" s="237" t="s">
        <v>819</v>
      </c>
      <c r="E106" s="237" t="s">
        <v>728</v>
      </c>
      <c r="F106" s="262">
        <v>919510</v>
      </c>
      <c r="G106" s="263">
        <v>44975</v>
      </c>
      <c r="H106" s="231" t="s">
        <v>735</v>
      </c>
      <c r="I106" s="237" t="s">
        <v>167</v>
      </c>
      <c r="J106" s="262" t="s">
        <v>167</v>
      </c>
      <c r="K106" s="237" t="s">
        <v>167</v>
      </c>
      <c r="L106" s="237"/>
      <c r="M106" s="237" t="s">
        <v>606</v>
      </c>
    </row>
    <row r="107" spans="1:13">
      <c r="A107" s="241" t="s">
        <v>678</v>
      </c>
      <c r="B107" s="264" t="s">
        <v>725</v>
      </c>
      <c r="C107" s="241" t="s">
        <v>726</v>
      </c>
      <c r="D107" s="241" t="s">
        <v>819</v>
      </c>
      <c r="E107" s="241" t="s">
        <v>728</v>
      </c>
      <c r="F107" s="233">
        <v>972698.34</v>
      </c>
      <c r="G107" s="265">
        <v>44975</v>
      </c>
      <c r="H107" s="232" t="s">
        <v>735</v>
      </c>
      <c r="I107" s="241" t="s">
        <v>167</v>
      </c>
      <c r="J107" s="266" t="s">
        <v>167</v>
      </c>
      <c r="K107" s="241" t="s">
        <v>167</v>
      </c>
      <c r="L107" s="241"/>
      <c r="M107" s="241" t="s">
        <v>606</v>
      </c>
    </row>
    <row r="108" spans="1:13">
      <c r="A108" s="237" t="s">
        <v>678</v>
      </c>
      <c r="B108" s="261" t="s">
        <v>725</v>
      </c>
      <c r="C108" s="237" t="s">
        <v>726</v>
      </c>
      <c r="D108" s="237" t="s">
        <v>819</v>
      </c>
      <c r="E108" s="237" t="s">
        <v>728</v>
      </c>
      <c r="F108" s="262">
        <v>908720</v>
      </c>
      <c r="G108" s="263">
        <v>44975</v>
      </c>
      <c r="H108" s="231" t="s">
        <v>735</v>
      </c>
      <c r="I108" s="237" t="s">
        <v>167</v>
      </c>
      <c r="J108" s="262" t="s">
        <v>167</v>
      </c>
      <c r="K108" s="237" t="s">
        <v>167</v>
      </c>
      <c r="L108" s="237"/>
      <c r="M108" s="237" t="s">
        <v>606</v>
      </c>
    </row>
    <row r="109" spans="1:13">
      <c r="A109" s="241" t="s">
        <v>678</v>
      </c>
      <c r="B109" s="264" t="s">
        <v>725</v>
      </c>
      <c r="C109" s="241" t="s">
        <v>726</v>
      </c>
      <c r="D109" s="241" t="s">
        <v>820</v>
      </c>
      <c r="E109" s="241" t="s">
        <v>728</v>
      </c>
      <c r="F109" s="233">
        <v>850000</v>
      </c>
      <c r="G109" s="265">
        <v>44977</v>
      </c>
      <c r="H109" s="232" t="s">
        <v>821</v>
      </c>
      <c r="I109" s="241" t="s">
        <v>167</v>
      </c>
      <c r="J109" s="266" t="s">
        <v>167</v>
      </c>
      <c r="K109" s="241" t="s">
        <v>167</v>
      </c>
      <c r="L109" s="241"/>
      <c r="M109" s="241" t="s">
        <v>606</v>
      </c>
    </row>
    <row r="110" spans="1:13">
      <c r="A110" s="237" t="s">
        <v>678</v>
      </c>
      <c r="B110" s="261" t="s">
        <v>725</v>
      </c>
      <c r="C110" s="237" t="s">
        <v>726</v>
      </c>
      <c r="D110" s="237" t="s">
        <v>822</v>
      </c>
      <c r="E110" s="237" t="s">
        <v>728</v>
      </c>
      <c r="F110" s="262">
        <v>420000</v>
      </c>
      <c r="G110" s="263">
        <v>44978</v>
      </c>
      <c r="H110" s="231" t="s">
        <v>821</v>
      </c>
      <c r="I110" s="237" t="s">
        <v>167</v>
      </c>
      <c r="J110" s="262" t="s">
        <v>167</v>
      </c>
      <c r="K110" s="237" t="s">
        <v>167</v>
      </c>
      <c r="L110" s="237"/>
      <c r="M110" s="237" t="s">
        <v>606</v>
      </c>
    </row>
    <row r="111" spans="1:13">
      <c r="A111" s="241" t="s">
        <v>678</v>
      </c>
      <c r="B111" s="264" t="s">
        <v>725</v>
      </c>
      <c r="C111" s="241" t="s">
        <v>726</v>
      </c>
      <c r="D111" s="241" t="s">
        <v>823</v>
      </c>
      <c r="E111" s="241" t="s">
        <v>728</v>
      </c>
      <c r="F111" s="233">
        <v>1350001.2</v>
      </c>
      <c r="G111" s="265">
        <v>44979</v>
      </c>
      <c r="H111" s="232" t="s">
        <v>735</v>
      </c>
      <c r="I111" s="241" t="s">
        <v>167</v>
      </c>
      <c r="J111" s="266" t="s">
        <v>167</v>
      </c>
      <c r="K111" s="241" t="s">
        <v>167</v>
      </c>
      <c r="L111" s="241"/>
      <c r="M111" s="241" t="s">
        <v>606</v>
      </c>
    </row>
    <row r="112" spans="1:13">
      <c r="A112" s="237" t="s">
        <v>678</v>
      </c>
      <c r="B112" s="261" t="s">
        <v>725</v>
      </c>
      <c r="C112" s="237" t="s">
        <v>726</v>
      </c>
      <c r="D112" s="237" t="s">
        <v>824</v>
      </c>
      <c r="E112" s="237" t="s">
        <v>728</v>
      </c>
      <c r="F112" s="262">
        <v>71097.070000000007</v>
      </c>
      <c r="G112" s="263">
        <v>44979</v>
      </c>
      <c r="H112" s="231" t="s">
        <v>735</v>
      </c>
      <c r="I112" s="237" t="s">
        <v>167</v>
      </c>
      <c r="J112" s="262" t="s">
        <v>167</v>
      </c>
      <c r="K112" s="237" t="s">
        <v>167</v>
      </c>
      <c r="L112" s="237"/>
      <c r="M112" s="237" t="s">
        <v>606</v>
      </c>
    </row>
    <row r="113" spans="1:13">
      <c r="A113" s="241" t="s">
        <v>678</v>
      </c>
      <c r="B113" s="264" t="s">
        <v>725</v>
      </c>
      <c r="C113" s="241" t="s">
        <v>726</v>
      </c>
      <c r="D113" s="241" t="s">
        <v>825</v>
      </c>
      <c r="E113" s="241" t="s">
        <v>728</v>
      </c>
      <c r="F113" s="233">
        <v>143997.42000000001</v>
      </c>
      <c r="G113" s="265">
        <v>44979</v>
      </c>
      <c r="H113" s="232" t="s">
        <v>735</v>
      </c>
      <c r="I113" s="241" t="s">
        <v>167</v>
      </c>
      <c r="J113" s="266" t="s">
        <v>167</v>
      </c>
      <c r="K113" s="241" t="s">
        <v>167</v>
      </c>
      <c r="L113" s="241"/>
      <c r="M113" s="241" t="s">
        <v>606</v>
      </c>
    </row>
    <row r="114" spans="1:13">
      <c r="A114" s="237" t="s">
        <v>678</v>
      </c>
      <c r="B114" s="261" t="s">
        <v>725</v>
      </c>
      <c r="C114" s="237" t="s">
        <v>726</v>
      </c>
      <c r="D114" s="237" t="s">
        <v>826</v>
      </c>
      <c r="E114" s="237" t="s">
        <v>728</v>
      </c>
      <c r="F114" s="262">
        <v>971701.01</v>
      </c>
      <c r="G114" s="263">
        <v>44979</v>
      </c>
      <c r="H114" s="231" t="s">
        <v>735</v>
      </c>
      <c r="I114" s="237" t="s">
        <v>167</v>
      </c>
      <c r="J114" s="262" t="s">
        <v>167</v>
      </c>
      <c r="K114" s="237" t="s">
        <v>167</v>
      </c>
      <c r="L114" s="237"/>
      <c r="M114" s="237" t="s">
        <v>606</v>
      </c>
    </row>
    <row r="115" spans="1:13">
      <c r="A115" s="241" t="s">
        <v>678</v>
      </c>
      <c r="B115" s="264" t="s">
        <v>725</v>
      </c>
      <c r="C115" s="241" t="s">
        <v>726</v>
      </c>
      <c r="D115" s="241" t="s">
        <v>827</v>
      </c>
      <c r="E115" s="241" t="s">
        <v>728</v>
      </c>
      <c r="F115" s="233">
        <v>516598.51</v>
      </c>
      <c r="G115" s="265">
        <v>44979</v>
      </c>
      <c r="H115" s="232" t="s">
        <v>735</v>
      </c>
      <c r="I115" s="241" t="s">
        <v>167</v>
      </c>
      <c r="J115" s="266" t="s">
        <v>167</v>
      </c>
      <c r="K115" s="241" t="s">
        <v>167</v>
      </c>
      <c r="L115" s="241"/>
      <c r="M115" s="241" t="s">
        <v>606</v>
      </c>
    </row>
    <row r="116" spans="1:13">
      <c r="A116" s="237" t="s">
        <v>678</v>
      </c>
      <c r="B116" s="261" t="s">
        <v>725</v>
      </c>
      <c r="C116" s="237" t="s">
        <v>726</v>
      </c>
      <c r="D116" s="237" t="s">
        <v>828</v>
      </c>
      <c r="E116" s="237" t="s">
        <v>728</v>
      </c>
      <c r="F116" s="262">
        <v>768749.4</v>
      </c>
      <c r="G116" s="263">
        <v>44979</v>
      </c>
      <c r="H116" s="231" t="s">
        <v>735</v>
      </c>
      <c r="I116" s="237" t="s">
        <v>167</v>
      </c>
      <c r="J116" s="262" t="s">
        <v>167</v>
      </c>
      <c r="K116" s="237" t="s">
        <v>167</v>
      </c>
      <c r="L116" s="237"/>
      <c r="M116" s="237" t="s">
        <v>606</v>
      </c>
    </row>
    <row r="117" spans="1:13">
      <c r="A117" s="241" t="s">
        <v>678</v>
      </c>
      <c r="B117" s="264" t="s">
        <v>725</v>
      </c>
      <c r="C117" s="241" t="s">
        <v>726</v>
      </c>
      <c r="D117" s="241" t="s">
        <v>829</v>
      </c>
      <c r="E117" s="241" t="s">
        <v>728</v>
      </c>
      <c r="F117" s="233">
        <v>242999.11</v>
      </c>
      <c r="G117" s="265">
        <v>44979</v>
      </c>
      <c r="H117" s="232" t="s">
        <v>735</v>
      </c>
      <c r="I117" s="241" t="s">
        <v>167</v>
      </c>
      <c r="J117" s="266" t="s">
        <v>167</v>
      </c>
      <c r="K117" s="241" t="s">
        <v>167</v>
      </c>
      <c r="L117" s="241"/>
      <c r="M117" s="241" t="s">
        <v>606</v>
      </c>
    </row>
    <row r="118" spans="1:13">
      <c r="A118" s="237" t="s">
        <v>678</v>
      </c>
      <c r="B118" s="261" t="s">
        <v>725</v>
      </c>
      <c r="C118" s="237" t="s">
        <v>726</v>
      </c>
      <c r="D118" s="237" t="s">
        <v>830</v>
      </c>
      <c r="E118" s="237" t="s">
        <v>728</v>
      </c>
      <c r="F118" s="262">
        <v>360002.78</v>
      </c>
      <c r="G118" s="263">
        <v>44979</v>
      </c>
      <c r="H118" s="231" t="s">
        <v>735</v>
      </c>
      <c r="I118" s="237" t="s">
        <v>167</v>
      </c>
      <c r="J118" s="262" t="s">
        <v>167</v>
      </c>
      <c r="K118" s="237" t="s">
        <v>167</v>
      </c>
      <c r="L118" s="237"/>
      <c r="M118" s="237" t="s">
        <v>606</v>
      </c>
    </row>
    <row r="119" spans="1:13">
      <c r="A119" s="241" t="s">
        <v>678</v>
      </c>
      <c r="B119" s="264" t="s">
        <v>725</v>
      </c>
      <c r="C119" s="241" t="s">
        <v>726</v>
      </c>
      <c r="D119" s="241" t="s">
        <v>831</v>
      </c>
      <c r="E119" s="241" t="s">
        <v>728</v>
      </c>
      <c r="F119" s="233">
        <v>750002.72</v>
      </c>
      <c r="G119" s="265">
        <v>44979</v>
      </c>
      <c r="H119" s="232" t="s">
        <v>735</v>
      </c>
      <c r="I119" s="241" t="s">
        <v>167</v>
      </c>
      <c r="J119" s="266" t="s">
        <v>167</v>
      </c>
      <c r="K119" s="241" t="s">
        <v>167</v>
      </c>
      <c r="L119" s="241"/>
      <c r="M119" s="241" t="s">
        <v>606</v>
      </c>
    </row>
    <row r="120" spans="1:13">
      <c r="A120" s="237" t="s">
        <v>678</v>
      </c>
      <c r="B120" s="261" t="s">
        <v>725</v>
      </c>
      <c r="C120" s="237" t="s">
        <v>726</v>
      </c>
      <c r="D120" s="237" t="s">
        <v>832</v>
      </c>
      <c r="E120" s="237" t="s">
        <v>728</v>
      </c>
      <c r="F120" s="262">
        <v>149998.07999999999</v>
      </c>
      <c r="G120" s="263">
        <v>44979</v>
      </c>
      <c r="H120" s="231" t="s">
        <v>735</v>
      </c>
      <c r="I120" s="237" t="s">
        <v>167</v>
      </c>
      <c r="J120" s="262" t="s">
        <v>167</v>
      </c>
      <c r="K120" s="237" t="s">
        <v>167</v>
      </c>
      <c r="L120" s="237"/>
      <c r="M120" s="237" t="s">
        <v>606</v>
      </c>
    </row>
    <row r="121" spans="1:13">
      <c r="A121" s="241" t="s">
        <v>678</v>
      </c>
      <c r="B121" s="264" t="s">
        <v>725</v>
      </c>
      <c r="C121" s="241" t="s">
        <v>726</v>
      </c>
      <c r="D121" s="241" t="s">
        <v>823</v>
      </c>
      <c r="E121" s="241" t="s">
        <v>728</v>
      </c>
      <c r="F121" s="233">
        <v>1800001.59</v>
      </c>
      <c r="G121" s="265">
        <v>44979</v>
      </c>
      <c r="H121" s="232" t="s">
        <v>735</v>
      </c>
      <c r="I121" s="241" t="s">
        <v>167</v>
      </c>
      <c r="J121" s="266" t="s">
        <v>167</v>
      </c>
      <c r="K121" s="241" t="s">
        <v>167</v>
      </c>
      <c r="L121" s="241"/>
      <c r="M121" s="241" t="s">
        <v>606</v>
      </c>
    </row>
    <row r="122" spans="1:13">
      <c r="A122" s="237" t="s">
        <v>678</v>
      </c>
      <c r="B122" s="261" t="s">
        <v>725</v>
      </c>
      <c r="C122" s="237" t="s">
        <v>726</v>
      </c>
      <c r="D122" s="237" t="s">
        <v>824</v>
      </c>
      <c r="E122" s="237" t="s">
        <v>728</v>
      </c>
      <c r="F122" s="262">
        <v>94398.1</v>
      </c>
      <c r="G122" s="263">
        <v>44979</v>
      </c>
      <c r="H122" s="231" t="s">
        <v>735</v>
      </c>
      <c r="I122" s="237" t="s">
        <v>167</v>
      </c>
      <c r="J122" s="262" t="s">
        <v>167</v>
      </c>
      <c r="K122" s="237" t="s">
        <v>167</v>
      </c>
      <c r="L122" s="237"/>
      <c r="M122" s="237" t="s">
        <v>606</v>
      </c>
    </row>
    <row r="123" spans="1:13">
      <c r="A123" s="241" t="s">
        <v>678</v>
      </c>
      <c r="B123" s="264" t="s">
        <v>725</v>
      </c>
      <c r="C123" s="241" t="s">
        <v>726</v>
      </c>
      <c r="D123" s="241" t="s">
        <v>825</v>
      </c>
      <c r="E123" s="241" t="s">
        <v>728</v>
      </c>
      <c r="F123" s="233">
        <v>187202.18</v>
      </c>
      <c r="G123" s="265">
        <v>44979</v>
      </c>
      <c r="H123" s="232" t="s">
        <v>735</v>
      </c>
      <c r="I123" s="241" t="s">
        <v>167</v>
      </c>
      <c r="J123" s="266" t="s">
        <v>167</v>
      </c>
      <c r="K123" s="241" t="s">
        <v>167</v>
      </c>
      <c r="L123" s="241"/>
      <c r="M123" s="241" t="s">
        <v>606</v>
      </c>
    </row>
    <row r="124" spans="1:13">
      <c r="A124" s="237" t="s">
        <v>678</v>
      </c>
      <c r="B124" s="261" t="s">
        <v>725</v>
      </c>
      <c r="C124" s="237" t="s">
        <v>726</v>
      </c>
      <c r="D124" s="237" t="s">
        <v>826</v>
      </c>
      <c r="E124" s="237" t="s">
        <v>728</v>
      </c>
      <c r="F124" s="262">
        <v>1295601.3500000001</v>
      </c>
      <c r="G124" s="263">
        <v>44979</v>
      </c>
      <c r="H124" s="231" t="s">
        <v>735</v>
      </c>
      <c r="I124" s="237" t="s">
        <v>167</v>
      </c>
      <c r="J124" s="262" t="s">
        <v>167</v>
      </c>
      <c r="K124" s="237" t="s">
        <v>167</v>
      </c>
      <c r="L124" s="237"/>
      <c r="M124" s="237" t="s">
        <v>606</v>
      </c>
    </row>
    <row r="125" spans="1:13">
      <c r="A125" s="241" t="s">
        <v>678</v>
      </c>
      <c r="B125" s="264" t="s">
        <v>725</v>
      </c>
      <c r="C125" s="241" t="s">
        <v>726</v>
      </c>
      <c r="D125" s="241" t="s">
        <v>827</v>
      </c>
      <c r="E125" s="241" t="s">
        <v>728</v>
      </c>
      <c r="F125" s="233">
        <v>688802.12</v>
      </c>
      <c r="G125" s="265">
        <v>44979</v>
      </c>
      <c r="H125" s="232" t="s">
        <v>735</v>
      </c>
      <c r="I125" s="241" t="s">
        <v>167</v>
      </c>
      <c r="J125" s="266" t="s">
        <v>167</v>
      </c>
      <c r="K125" s="241" t="s">
        <v>167</v>
      </c>
      <c r="L125" s="241"/>
      <c r="M125" s="241" t="s">
        <v>606</v>
      </c>
    </row>
    <row r="126" spans="1:13">
      <c r="A126" s="237" t="s">
        <v>678</v>
      </c>
      <c r="B126" s="261" t="s">
        <v>725</v>
      </c>
      <c r="C126" s="237" t="s">
        <v>726</v>
      </c>
      <c r="D126" s="237" t="s">
        <v>828</v>
      </c>
      <c r="E126" s="237" t="s">
        <v>728</v>
      </c>
      <c r="F126" s="262">
        <v>1024999.2</v>
      </c>
      <c r="G126" s="263">
        <v>44979</v>
      </c>
      <c r="H126" s="231" t="s">
        <v>735</v>
      </c>
      <c r="I126" s="237" t="s">
        <v>167</v>
      </c>
      <c r="J126" s="262" t="s">
        <v>167</v>
      </c>
      <c r="K126" s="237" t="s">
        <v>167</v>
      </c>
      <c r="L126" s="237"/>
      <c r="M126" s="237" t="s">
        <v>606</v>
      </c>
    </row>
    <row r="127" spans="1:13">
      <c r="A127" s="241" t="s">
        <v>678</v>
      </c>
      <c r="B127" s="264" t="s">
        <v>725</v>
      </c>
      <c r="C127" s="241" t="s">
        <v>726</v>
      </c>
      <c r="D127" s="241" t="s">
        <v>829</v>
      </c>
      <c r="E127" s="241" t="s">
        <v>728</v>
      </c>
      <c r="F127" s="233">
        <v>311997.49</v>
      </c>
      <c r="G127" s="265">
        <v>44979</v>
      </c>
      <c r="H127" s="232" t="s">
        <v>735</v>
      </c>
      <c r="I127" s="241" t="s">
        <v>167</v>
      </c>
      <c r="J127" s="266" t="s">
        <v>167</v>
      </c>
      <c r="K127" s="241" t="s">
        <v>167</v>
      </c>
      <c r="L127" s="241"/>
      <c r="M127" s="241" t="s">
        <v>606</v>
      </c>
    </row>
    <row r="128" spans="1:13">
      <c r="A128" s="237" t="s">
        <v>678</v>
      </c>
      <c r="B128" s="261" t="s">
        <v>725</v>
      </c>
      <c r="C128" s="237" t="s">
        <v>726</v>
      </c>
      <c r="D128" s="237" t="s">
        <v>830</v>
      </c>
      <c r="E128" s="237" t="s">
        <v>728</v>
      </c>
      <c r="F128" s="262">
        <v>480003.71</v>
      </c>
      <c r="G128" s="263">
        <v>44979</v>
      </c>
      <c r="H128" s="231" t="s">
        <v>735</v>
      </c>
      <c r="I128" s="237" t="s">
        <v>167</v>
      </c>
      <c r="J128" s="262" t="s">
        <v>167</v>
      </c>
      <c r="K128" s="237" t="s">
        <v>167</v>
      </c>
      <c r="L128" s="237"/>
      <c r="M128" s="237" t="s">
        <v>606</v>
      </c>
    </row>
    <row r="129" spans="1:13">
      <c r="A129" s="241" t="s">
        <v>678</v>
      </c>
      <c r="B129" s="264" t="s">
        <v>725</v>
      </c>
      <c r="C129" s="241" t="s">
        <v>726</v>
      </c>
      <c r="D129" s="241" t="s">
        <v>831</v>
      </c>
      <c r="E129" s="241" t="s">
        <v>728</v>
      </c>
      <c r="F129" s="233">
        <v>999999.52</v>
      </c>
      <c r="G129" s="265">
        <v>44979</v>
      </c>
      <c r="H129" s="232" t="s">
        <v>735</v>
      </c>
      <c r="I129" s="241" t="s">
        <v>167</v>
      </c>
      <c r="J129" s="266" t="s">
        <v>167</v>
      </c>
      <c r="K129" s="241" t="s">
        <v>167</v>
      </c>
      <c r="L129" s="241"/>
      <c r="M129" s="241"/>
    </row>
    <row r="130" spans="1:13">
      <c r="A130" s="237" t="s">
        <v>678</v>
      </c>
      <c r="B130" s="261" t="s">
        <v>725</v>
      </c>
      <c r="C130" s="237" t="s">
        <v>726</v>
      </c>
      <c r="D130" s="237" t="s">
        <v>832</v>
      </c>
      <c r="E130" s="237" t="s">
        <v>728</v>
      </c>
      <c r="F130" s="262">
        <v>199997.44</v>
      </c>
      <c r="G130" s="263">
        <v>44979</v>
      </c>
      <c r="H130" s="231" t="s">
        <v>735</v>
      </c>
      <c r="I130" s="237" t="s">
        <v>167</v>
      </c>
      <c r="J130" s="262" t="s">
        <v>167</v>
      </c>
      <c r="K130" s="237" t="s">
        <v>167</v>
      </c>
      <c r="L130" s="237"/>
      <c r="M130" s="237"/>
    </row>
    <row r="131" spans="1:13">
      <c r="A131" s="241" t="s">
        <v>678</v>
      </c>
      <c r="B131" s="264" t="s">
        <v>725</v>
      </c>
      <c r="C131" s="241" t="s">
        <v>726</v>
      </c>
      <c r="D131" s="241" t="s">
        <v>833</v>
      </c>
      <c r="E131" s="241" t="s">
        <v>728</v>
      </c>
      <c r="F131" s="233">
        <v>-5009.78</v>
      </c>
      <c r="G131" s="265">
        <v>44980</v>
      </c>
      <c r="H131" s="232" t="s">
        <v>735</v>
      </c>
      <c r="I131" s="241" t="s">
        <v>167</v>
      </c>
      <c r="J131" s="266" t="s">
        <v>167</v>
      </c>
      <c r="K131" s="241" t="s">
        <v>167</v>
      </c>
      <c r="L131" s="241"/>
      <c r="M131" s="241"/>
    </row>
    <row r="132" spans="1:13">
      <c r="A132" s="237" t="s">
        <v>678</v>
      </c>
      <c r="B132" s="261" t="s">
        <v>725</v>
      </c>
      <c r="C132" s="237" t="s">
        <v>726</v>
      </c>
      <c r="D132" s="237" t="s">
        <v>834</v>
      </c>
      <c r="E132" s="237" t="s">
        <v>728</v>
      </c>
      <c r="F132" s="262">
        <v>2880000</v>
      </c>
      <c r="G132" s="263">
        <v>44984</v>
      </c>
      <c r="H132" s="231" t="s">
        <v>735</v>
      </c>
      <c r="I132" s="237" t="s">
        <v>167</v>
      </c>
      <c r="J132" s="262" t="s">
        <v>167</v>
      </c>
      <c r="K132" s="237" t="s">
        <v>167</v>
      </c>
      <c r="L132" s="237"/>
      <c r="M132" s="237"/>
    </row>
    <row r="133" spans="1:13">
      <c r="A133" s="241" t="s">
        <v>678</v>
      </c>
      <c r="B133" s="264" t="s">
        <v>725</v>
      </c>
      <c r="C133" s="241" t="s">
        <v>726</v>
      </c>
      <c r="D133" s="241" t="s">
        <v>834</v>
      </c>
      <c r="E133" s="241" t="s">
        <v>728</v>
      </c>
      <c r="F133" s="233">
        <v>8048506</v>
      </c>
      <c r="G133" s="265">
        <v>44984</v>
      </c>
      <c r="H133" s="232" t="s">
        <v>735</v>
      </c>
      <c r="I133" s="241" t="s">
        <v>167</v>
      </c>
      <c r="J133" s="266" t="s">
        <v>167</v>
      </c>
      <c r="K133" s="241" t="s">
        <v>167</v>
      </c>
      <c r="L133" s="241"/>
      <c r="M133" s="241"/>
    </row>
    <row r="134" spans="1:13">
      <c r="A134" s="237" t="s">
        <v>678</v>
      </c>
      <c r="B134" s="261" t="s">
        <v>725</v>
      </c>
      <c r="C134" s="237" t="s">
        <v>726</v>
      </c>
      <c r="D134" s="237" t="s">
        <v>835</v>
      </c>
      <c r="E134" s="237" t="s">
        <v>728</v>
      </c>
      <c r="F134" s="262">
        <v>179101.02</v>
      </c>
      <c r="G134" s="263">
        <v>44985</v>
      </c>
      <c r="H134" s="231" t="s">
        <v>821</v>
      </c>
      <c r="I134" s="237" t="s">
        <v>167</v>
      </c>
      <c r="J134" s="262" t="s">
        <v>167</v>
      </c>
      <c r="K134" s="237" t="s">
        <v>167</v>
      </c>
      <c r="L134" s="237"/>
      <c r="M134" s="237"/>
    </row>
    <row r="135" spans="1:13">
      <c r="A135" s="241" t="s">
        <v>678</v>
      </c>
      <c r="B135" s="264" t="s">
        <v>725</v>
      </c>
      <c r="C135" s="241" t="s">
        <v>726</v>
      </c>
      <c r="D135" s="241" t="s">
        <v>836</v>
      </c>
      <c r="E135" s="241" t="s">
        <v>728</v>
      </c>
      <c r="F135" s="233">
        <v>336411.7</v>
      </c>
      <c r="G135" s="265">
        <v>44985</v>
      </c>
      <c r="H135" s="232" t="s">
        <v>821</v>
      </c>
      <c r="I135" s="241" t="s">
        <v>167</v>
      </c>
      <c r="J135" s="266" t="s">
        <v>167</v>
      </c>
      <c r="K135" s="241" t="s">
        <v>167</v>
      </c>
      <c r="L135" s="241"/>
      <c r="M135" s="241"/>
    </row>
    <row r="136" spans="1:13">
      <c r="A136" s="237" t="s">
        <v>678</v>
      </c>
      <c r="B136" s="261" t="s">
        <v>725</v>
      </c>
      <c r="C136" s="237" t="s">
        <v>726</v>
      </c>
      <c r="D136" s="237" t="s">
        <v>837</v>
      </c>
      <c r="E136" s="237" t="s">
        <v>728</v>
      </c>
      <c r="F136" s="262">
        <v>68537.95</v>
      </c>
      <c r="G136" s="263">
        <v>44985</v>
      </c>
      <c r="H136" s="231" t="s">
        <v>821</v>
      </c>
      <c r="I136" s="237" t="s">
        <v>167</v>
      </c>
      <c r="J136" s="262" t="s">
        <v>167</v>
      </c>
      <c r="K136" s="237" t="s">
        <v>167</v>
      </c>
      <c r="L136" s="237"/>
      <c r="M136" s="237"/>
    </row>
    <row r="137" spans="1:13">
      <c r="A137" s="241" t="s">
        <v>678</v>
      </c>
      <c r="B137" s="264" t="s">
        <v>725</v>
      </c>
      <c r="C137" s="241" t="s">
        <v>726</v>
      </c>
      <c r="D137" s="241" t="s">
        <v>838</v>
      </c>
      <c r="E137" s="241" t="s">
        <v>728</v>
      </c>
      <c r="F137" s="233">
        <v>342288</v>
      </c>
      <c r="G137" s="265">
        <v>44985</v>
      </c>
      <c r="H137" s="232" t="s">
        <v>735</v>
      </c>
      <c r="I137" s="241" t="s">
        <v>167</v>
      </c>
      <c r="J137" s="266" t="s">
        <v>167</v>
      </c>
      <c r="K137" s="241" t="s">
        <v>167</v>
      </c>
      <c r="L137" s="241"/>
      <c r="M137" s="241"/>
    </row>
    <row r="138" spans="1:13">
      <c r="A138" s="237" t="s">
        <v>678</v>
      </c>
      <c r="B138" s="261" t="s">
        <v>725</v>
      </c>
      <c r="C138" s="237" t="s">
        <v>726</v>
      </c>
      <c r="D138" s="237" t="s">
        <v>839</v>
      </c>
      <c r="E138" s="237" t="s">
        <v>728</v>
      </c>
      <c r="F138" s="262">
        <v>518400</v>
      </c>
      <c r="G138" s="263">
        <v>44985</v>
      </c>
      <c r="H138" s="231" t="s">
        <v>735</v>
      </c>
      <c r="I138" s="237" t="s">
        <v>167</v>
      </c>
      <c r="J138" s="262" t="s">
        <v>167</v>
      </c>
      <c r="K138" s="237" t="s">
        <v>167</v>
      </c>
      <c r="L138" s="237"/>
      <c r="M138" s="237"/>
    </row>
    <row r="139" spans="1:13">
      <c r="A139" s="241" t="s">
        <v>678</v>
      </c>
      <c r="B139" s="264" t="s">
        <v>725</v>
      </c>
      <c r="C139" s="241" t="s">
        <v>726</v>
      </c>
      <c r="D139" s="241" t="s">
        <v>840</v>
      </c>
      <c r="E139" s="241" t="s">
        <v>728</v>
      </c>
      <c r="F139" s="233">
        <v>1448731</v>
      </c>
      <c r="G139" s="265">
        <v>44985</v>
      </c>
      <c r="H139" s="232" t="s">
        <v>735</v>
      </c>
      <c r="I139" s="241" t="s">
        <v>167</v>
      </c>
      <c r="J139" s="266" t="s">
        <v>167</v>
      </c>
      <c r="K139" s="241" t="s">
        <v>167</v>
      </c>
      <c r="L139" s="241"/>
      <c r="M139" s="241"/>
    </row>
    <row r="140" spans="1:13">
      <c r="A140" s="237" t="s">
        <v>678</v>
      </c>
      <c r="B140" s="261" t="s">
        <v>725</v>
      </c>
      <c r="C140" s="237" t="s">
        <v>726</v>
      </c>
      <c r="D140" s="237" t="s">
        <v>841</v>
      </c>
      <c r="E140" s="237" t="s">
        <v>728</v>
      </c>
      <c r="F140" s="262">
        <v>2172347</v>
      </c>
      <c r="G140" s="263">
        <v>44985</v>
      </c>
      <c r="H140" s="231" t="s">
        <v>735</v>
      </c>
      <c r="I140" s="237" t="s">
        <v>167</v>
      </c>
      <c r="J140" s="262" t="s">
        <v>167</v>
      </c>
      <c r="K140" s="237" t="s">
        <v>167</v>
      </c>
      <c r="L140" s="237"/>
      <c r="M140" s="237"/>
    </row>
    <row r="141" spans="1:13">
      <c r="A141" s="241" t="s">
        <v>678</v>
      </c>
      <c r="B141" s="264" t="s">
        <v>725</v>
      </c>
      <c r="C141" s="241" t="s">
        <v>726</v>
      </c>
      <c r="D141" s="241" t="s">
        <v>834</v>
      </c>
      <c r="E141" s="241" t="s">
        <v>728</v>
      </c>
      <c r="F141" s="233">
        <v>9192757.4100000001</v>
      </c>
      <c r="G141" s="265">
        <v>44985</v>
      </c>
      <c r="H141" s="232" t="s">
        <v>735</v>
      </c>
      <c r="I141" s="241" t="s">
        <v>167</v>
      </c>
      <c r="J141" s="266" t="s">
        <v>167</v>
      </c>
      <c r="K141" s="241" t="s">
        <v>167</v>
      </c>
      <c r="L141" s="241"/>
      <c r="M141" s="241"/>
    </row>
    <row r="142" spans="1:13">
      <c r="A142" s="237" t="s">
        <v>678</v>
      </c>
      <c r="B142" s="261" t="s">
        <v>725</v>
      </c>
      <c r="C142" s="237" t="s">
        <v>726</v>
      </c>
      <c r="D142" s="237" t="s">
        <v>842</v>
      </c>
      <c r="E142" s="237" t="s">
        <v>728</v>
      </c>
      <c r="F142" s="262">
        <v>2880751.59</v>
      </c>
      <c r="G142" s="263">
        <v>44985</v>
      </c>
      <c r="H142" s="231" t="s">
        <v>735</v>
      </c>
      <c r="I142" s="237" t="s">
        <v>167</v>
      </c>
      <c r="J142" s="262" t="s">
        <v>167</v>
      </c>
      <c r="K142" s="237" t="s">
        <v>167</v>
      </c>
      <c r="L142" s="237"/>
      <c r="M142" s="237"/>
    </row>
    <row r="143" spans="1:13">
      <c r="A143" s="241" t="s">
        <v>678</v>
      </c>
      <c r="B143" s="264" t="s">
        <v>725</v>
      </c>
      <c r="C143" s="241" t="s">
        <v>726</v>
      </c>
      <c r="D143" s="241" t="s">
        <v>843</v>
      </c>
      <c r="E143" s="241" t="s">
        <v>728</v>
      </c>
      <c r="F143" s="233">
        <v>269999.53000000003</v>
      </c>
      <c r="G143" s="265">
        <v>44992</v>
      </c>
      <c r="H143" s="232" t="s">
        <v>821</v>
      </c>
      <c r="I143" s="241" t="s">
        <v>167</v>
      </c>
      <c r="J143" s="266" t="s">
        <v>167</v>
      </c>
      <c r="K143" s="241" t="s">
        <v>167</v>
      </c>
      <c r="L143" s="241"/>
      <c r="M143" s="241"/>
    </row>
    <row r="144" spans="1:13">
      <c r="A144" s="237" t="s">
        <v>678</v>
      </c>
      <c r="B144" s="261" t="s">
        <v>725</v>
      </c>
      <c r="C144" s="237" t="s">
        <v>726</v>
      </c>
      <c r="D144" s="237" t="s">
        <v>844</v>
      </c>
      <c r="E144" s="237" t="s">
        <v>728</v>
      </c>
      <c r="F144" s="262">
        <v>900000.47</v>
      </c>
      <c r="G144" s="263">
        <v>44992</v>
      </c>
      <c r="H144" s="231" t="s">
        <v>821</v>
      </c>
      <c r="I144" s="237" t="s">
        <v>167</v>
      </c>
      <c r="J144" s="262" t="s">
        <v>167</v>
      </c>
      <c r="K144" s="237" t="s">
        <v>167</v>
      </c>
      <c r="L144" s="237"/>
      <c r="M144" s="237"/>
    </row>
    <row r="145" spans="1:13">
      <c r="A145" s="241" t="s">
        <v>678</v>
      </c>
      <c r="B145" s="264" t="s">
        <v>725</v>
      </c>
      <c r="C145" s="241" t="s">
        <v>726</v>
      </c>
      <c r="D145" s="241" t="s">
        <v>845</v>
      </c>
      <c r="E145" s="241" t="s">
        <v>728</v>
      </c>
      <c r="F145" s="233">
        <v>550001.18000000005</v>
      </c>
      <c r="G145" s="265">
        <v>45014</v>
      </c>
      <c r="H145" s="232" t="s">
        <v>771</v>
      </c>
      <c r="I145" s="241" t="s">
        <v>167</v>
      </c>
      <c r="J145" s="266" t="s">
        <v>167</v>
      </c>
      <c r="K145" s="241" t="s">
        <v>167</v>
      </c>
      <c r="L145" s="241"/>
      <c r="M145" s="241"/>
    </row>
    <row r="146" spans="1:13">
      <c r="A146" s="237" t="s">
        <v>678</v>
      </c>
      <c r="B146" s="261" t="s">
        <v>725</v>
      </c>
      <c r="C146" s="237" t="s">
        <v>726</v>
      </c>
      <c r="D146" s="237" t="s">
        <v>845</v>
      </c>
      <c r="E146" s="237" t="s">
        <v>728</v>
      </c>
      <c r="F146" s="262">
        <v>550001.18999999994</v>
      </c>
      <c r="G146" s="263">
        <v>45014</v>
      </c>
      <c r="H146" s="231" t="s">
        <v>771</v>
      </c>
      <c r="I146" s="237" t="s">
        <v>167</v>
      </c>
      <c r="J146" s="262" t="s">
        <v>167</v>
      </c>
      <c r="K146" s="237" t="s">
        <v>167</v>
      </c>
      <c r="L146" s="237"/>
      <c r="M146" s="237"/>
    </row>
    <row r="147" spans="1:13">
      <c r="A147" s="241" t="s">
        <v>678</v>
      </c>
      <c r="B147" s="264" t="s">
        <v>725</v>
      </c>
      <c r="C147" s="241" t="s">
        <v>726</v>
      </c>
      <c r="D147" s="241" t="s">
        <v>846</v>
      </c>
      <c r="E147" s="241" t="s">
        <v>728</v>
      </c>
      <c r="F147" s="233">
        <v>550001.18000000005</v>
      </c>
      <c r="G147" s="265">
        <v>45014</v>
      </c>
      <c r="H147" s="232" t="s">
        <v>771</v>
      </c>
      <c r="I147" s="241" t="s">
        <v>167</v>
      </c>
      <c r="J147" s="266" t="s">
        <v>167</v>
      </c>
      <c r="K147" s="241" t="s">
        <v>167</v>
      </c>
      <c r="L147" s="241"/>
      <c r="M147" s="241"/>
    </row>
    <row r="148" spans="1:13">
      <c r="A148" s="237" t="s">
        <v>678</v>
      </c>
      <c r="B148" s="261" t="s">
        <v>725</v>
      </c>
      <c r="C148" s="237" t="s">
        <v>726</v>
      </c>
      <c r="D148" s="237" t="s">
        <v>847</v>
      </c>
      <c r="E148" s="237" t="s">
        <v>728</v>
      </c>
      <c r="F148" s="262">
        <v>119996.96</v>
      </c>
      <c r="G148" s="263">
        <v>45014</v>
      </c>
      <c r="H148" s="231" t="s">
        <v>771</v>
      </c>
      <c r="I148" s="237" t="s">
        <v>167</v>
      </c>
      <c r="J148" s="262" t="s">
        <v>167</v>
      </c>
      <c r="K148" s="237" t="s">
        <v>167</v>
      </c>
      <c r="L148" s="237"/>
      <c r="M148" s="237"/>
    </row>
    <row r="149" spans="1:13">
      <c r="A149" s="241" t="s">
        <v>678</v>
      </c>
      <c r="B149" s="264" t="s">
        <v>725</v>
      </c>
      <c r="C149" s="241" t="s">
        <v>726</v>
      </c>
      <c r="D149" s="241" t="s">
        <v>848</v>
      </c>
      <c r="E149" s="241" t="s">
        <v>728</v>
      </c>
      <c r="F149" s="233">
        <v>19999.490000000002</v>
      </c>
      <c r="G149" s="265">
        <v>45014</v>
      </c>
      <c r="H149" s="232" t="s">
        <v>771</v>
      </c>
      <c r="I149" s="241" t="s">
        <v>167</v>
      </c>
      <c r="J149" s="266" t="s">
        <v>167</v>
      </c>
      <c r="K149" s="241" t="s">
        <v>167</v>
      </c>
      <c r="L149" s="241"/>
      <c r="M149" s="241"/>
    </row>
    <row r="150" spans="1:13">
      <c r="A150" s="237" t="s">
        <v>678</v>
      </c>
      <c r="B150" s="261" t="s">
        <v>725</v>
      </c>
      <c r="C150" s="237" t="s">
        <v>726</v>
      </c>
      <c r="D150" s="237" t="s">
        <v>849</v>
      </c>
      <c r="E150" s="237" t="s">
        <v>728</v>
      </c>
      <c r="F150" s="262">
        <v>4608018.0599999996</v>
      </c>
      <c r="G150" s="263">
        <v>45022</v>
      </c>
      <c r="H150" s="231" t="s">
        <v>850</v>
      </c>
      <c r="I150" s="237" t="s">
        <v>167</v>
      </c>
      <c r="J150" s="262" t="s">
        <v>167</v>
      </c>
      <c r="K150" s="237" t="s">
        <v>167</v>
      </c>
      <c r="L150" s="237"/>
      <c r="M150" s="237"/>
    </row>
    <row r="151" spans="1:13">
      <c r="A151" s="241" t="s">
        <v>678</v>
      </c>
      <c r="B151" s="264" t="s">
        <v>725</v>
      </c>
      <c r="C151" s="241" t="s">
        <v>726</v>
      </c>
      <c r="D151" s="241" t="s">
        <v>851</v>
      </c>
      <c r="E151" s="241" t="s">
        <v>728</v>
      </c>
      <c r="F151" s="233">
        <v>108658.14</v>
      </c>
      <c r="G151" s="265">
        <v>45022</v>
      </c>
      <c r="H151" s="232" t="s">
        <v>850</v>
      </c>
      <c r="I151" s="241" t="s">
        <v>167</v>
      </c>
      <c r="J151" s="266" t="s">
        <v>167</v>
      </c>
      <c r="K151" s="241" t="s">
        <v>167</v>
      </c>
      <c r="L151" s="241"/>
      <c r="M151" s="241"/>
    </row>
    <row r="152" spans="1:13">
      <c r="A152" s="237" t="s">
        <v>678</v>
      </c>
      <c r="B152" s="261" t="s">
        <v>725</v>
      </c>
      <c r="C152" s="237" t="s">
        <v>726</v>
      </c>
      <c r="D152" s="237" t="s">
        <v>852</v>
      </c>
      <c r="E152" s="237" t="s">
        <v>728</v>
      </c>
      <c r="F152" s="262">
        <v>2809498.8</v>
      </c>
      <c r="G152" s="263">
        <v>45022</v>
      </c>
      <c r="H152" s="231" t="s">
        <v>850</v>
      </c>
      <c r="I152" s="237" t="s">
        <v>167</v>
      </c>
      <c r="J152" s="262" t="s">
        <v>167</v>
      </c>
      <c r="K152" s="237" t="s">
        <v>167</v>
      </c>
      <c r="L152" s="237"/>
      <c r="M152" s="237"/>
    </row>
    <row r="153" spans="1:13">
      <c r="A153" s="241" t="s">
        <v>678</v>
      </c>
      <c r="B153" s="264" t="s">
        <v>725</v>
      </c>
      <c r="C153" s="241" t="s">
        <v>726</v>
      </c>
      <c r="D153" s="241" t="s">
        <v>853</v>
      </c>
      <c r="E153" s="241" t="s">
        <v>728</v>
      </c>
      <c r="F153" s="233">
        <v>239999.03</v>
      </c>
      <c r="G153" s="265">
        <v>45026</v>
      </c>
      <c r="H153" s="232" t="s">
        <v>771</v>
      </c>
      <c r="I153" s="241" t="s">
        <v>167</v>
      </c>
      <c r="J153" s="266" t="s">
        <v>167</v>
      </c>
      <c r="K153" s="241" t="s">
        <v>167</v>
      </c>
      <c r="L153" s="241"/>
      <c r="M153" s="241"/>
    </row>
    <row r="154" spans="1:13">
      <c r="A154" s="237" t="s">
        <v>678</v>
      </c>
      <c r="B154" s="261" t="s">
        <v>725</v>
      </c>
      <c r="C154" s="237" t="s">
        <v>726</v>
      </c>
      <c r="D154" s="237" t="s">
        <v>854</v>
      </c>
      <c r="E154" s="237" t="s">
        <v>728</v>
      </c>
      <c r="F154" s="262">
        <v>3059998.15</v>
      </c>
      <c r="G154" s="263">
        <v>45026</v>
      </c>
      <c r="H154" s="231" t="s">
        <v>771</v>
      </c>
      <c r="I154" s="237" t="s">
        <v>167</v>
      </c>
      <c r="J154" s="262" t="s">
        <v>167</v>
      </c>
      <c r="K154" s="237" t="s">
        <v>167</v>
      </c>
      <c r="L154" s="237"/>
      <c r="M154" s="237"/>
    </row>
    <row r="155" spans="1:13">
      <c r="A155" s="241" t="s">
        <v>678</v>
      </c>
      <c r="B155" s="264" t="s">
        <v>725</v>
      </c>
      <c r="C155" s="241" t="s">
        <v>726</v>
      </c>
      <c r="D155" s="241" t="s">
        <v>855</v>
      </c>
      <c r="E155" s="241" t="s">
        <v>728</v>
      </c>
      <c r="F155" s="233">
        <v>360001.56</v>
      </c>
      <c r="G155" s="265">
        <v>45026</v>
      </c>
      <c r="H155" s="232" t="s">
        <v>771</v>
      </c>
      <c r="I155" s="241" t="s">
        <v>167</v>
      </c>
      <c r="J155" s="266" t="s">
        <v>167</v>
      </c>
      <c r="K155" s="241" t="s">
        <v>167</v>
      </c>
      <c r="L155" s="241"/>
      <c r="M155" s="241"/>
    </row>
    <row r="156" spans="1:13">
      <c r="A156" s="237" t="s">
        <v>678</v>
      </c>
      <c r="B156" s="261" t="s">
        <v>725</v>
      </c>
      <c r="C156" s="237" t="s">
        <v>726</v>
      </c>
      <c r="D156" s="237" t="s">
        <v>856</v>
      </c>
      <c r="E156" s="237" t="s">
        <v>728</v>
      </c>
      <c r="F156" s="262">
        <v>60001.26</v>
      </c>
      <c r="G156" s="263">
        <v>45026</v>
      </c>
      <c r="H156" s="231" t="s">
        <v>771</v>
      </c>
      <c r="I156" s="237" t="s">
        <v>167</v>
      </c>
      <c r="J156" s="262" t="s">
        <v>167</v>
      </c>
      <c r="K156" s="237" t="s">
        <v>167</v>
      </c>
      <c r="L156" s="237"/>
      <c r="M156" s="237"/>
    </row>
    <row r="157" spans="1:13">
      <c r="A157" s="241" t="s">
        <v>678</v>
      </c>
      <c r="B157" s="264" t="s">
        <v>725</v>
      </c>
      <c r="C157" s="241" t="s">
        <v>726</v>
      </c>
      <c r="D157" s="241" t="s">
        <v>818</v>
      </c>
      <c r="E157" s="241" t="s">
        <v>728</v>
      </c>
      <c r="F157" s="233">
        <v>1711440</v>
      </c>
      <c r="G157" s="265">
        <v>45027</v>
      </c>
      <c r="H157" s="232" t="s">
        <v>735</v>
      </c>
      <c r="I157" s="241" t="s">
        <v>167</v>
      </c>
      <c r="J157" s="266" t="s">
        <v>167</v>
      </c>
      <c r="K157" s="241" t="s">
        <v>167</v>
      </c>
      <c r="L157" s="241"/>
      <c r="M157" s="241"/>
    </row>
    <row r="158" spans="1:13">
      <c r="A158" s="237" t="s">
        <v>678</v>
      </c>
      <c r="B158" s="261" t="s">
        <v>725</v>
      </c>
      <c r="C158" s="237" t="s">
        <v>726</v>
      </c>
      <c r="D158" s="237" t="s">
        <v>823</v>
      </c>
      <c r="E158" s="237" t="s">
        <v>728</v>
      </c>
      <c r="F158" s="262">
        <v>1349997.92</v>
      </c>
      <c r="G158" s="263">
        <v>45030</v>
      </c>
      <c r="H158" s="231" t="s">
        <v>735</v>
      </c>
      <c r="I158" s="237" t="s">
        <v>167</v>
      </c>
      <c r="J158" s="262" t="s">
        <v>167</v>
      </c>
      <c r="K158" s="237" t="s">
        <v>167</v>
      </c>
      <c r="L158" s="237"/>
      <c r="M158" s="237"/>
    </row>
    <row r="159" spans="1:13">
      <c r="A159" s="241" t="s">
        <v>678</v>
      </c>
      <c r="B159" s="264" t="s">
        <v>725</v>
      </c>
      <c r="C159" s="241" t="s">
        <v>726</v>
      </c>
      <c r="D159" s="241" t="s">
        <v>824</v>
      </c>
      <c r="E159" s="241" t="s">
        <v>728</v>
      </c>
      <c r="F159" s="233">
        <v>70801.23</v>
      </c>
      <c r="G159" s="265">
        <v>45030</v>
      </c>
      <c r="H159" s="232" t="s">
        <v>735</v>
      </c>
      <c r="I159" s="241" t="s">
        <v>167</v>
      </c>
      <c r="J159" s="266" t="s">
        <v>167</v>
      </c>
      <c r="K159" s="241" t="s">
        <v>167</v>
      </c>
      <c r="L159" s="241"/>
      <c r="M159" s="241"/>
    </row>
    <row r="160" spans="1:13">
      <c r="A160" s="237" t="s">
        <v>678</v>
      </c>
      <c r="B160" s="261" t="s">
        <v>725</v>
      </c>
      <c r="C160" s="237" t="s">
        <v>726</v>
      </c>
      <c r="D160" s="237" t="s">
        <v>825</v>
      </c>
      <c r="E160" s="237" t="s">
        <v>728</v>
      </c>
      <c r="F160" s="262">
        <v>140399.93</v>
      </c>
      <c r="G160" s="263">
        <v>45030</v>
      </c>
      <c r="H160" s="231" t="s">
        <v>735</v>
      </c>
      <c r="I160" s="237" t="s">
        <v>167</v>
      </c>
      <c r="J160" s="262" t="s">
        <v>167</v>
      </c>
      <c r="K160" s="237" t="s">
        <v>167</v>
      </c>
      <c r="L160" s="237"/>
      <c r="M160" s="237"/>
    </row>
    <row r="161" spans="1:13">
      <c r="A161" s="241" t="s">
        <v>678</v>
      </c>
      <c r="B161" s="264" t="s">
        <v>725</v>
      </c>
      <c r="C161" s="241" t="s">
        <v>726</v>
      </c>
      <c r="D161" s="241" t="s">
        <v>826</v>
      </c>
      <c r="E161" s="241" t="s">
        <v>728</v>
      </c>
      <c r="F161" s="233">
        <v>965549.39</v>
      </c>
      <c r="G161" s="265">
        <v>45030</v>
      </c>
      <c r="H161" s="232" t="s">
        <v>735</v>
      </c>
      <c r="I161" s="241" t="s">
        <v>167</v>
      </c>
      <c r="J161" s="266" t="s">
        <v>167</v>
      </c>
      <c r="K161" s="241" t="s">
        <v>167</v>
      </c>
      <c r="L161" s="241"/>
      <c r="M161" s="241"/>
    </row>
    <row r="162" spans="1:13">
      <c r="A162" s="237" t="s">
        <v>678</v>
      </c>
      <c r="B162" s="261" t="s">
        <v>725</v>
      </c>
      <c r="C162" s="237" t="s">
        <v>726</v>
      </c>
      <c r="D162" s="237" t="s">
        <v>827</v>
      </c>
      <c r="E162" s="237" t="s">
        <v>728</v>
      </c>
      <c r="F162" s="262">
        <v>516596.61</v>
      </c>
      <c r="G162" s="263">
        <v>45030</v>
      </c>
      <c r="H162" s="231" t="s">
        <v>735</v>
      </c>
      <c r="I162" s="237" t="s">
        <v>167</v>
      </c>
      <c r="J162" s="262" t="s">
        <v>167</v>
      </c>
      <c r="K162" s="237" t="s">
        <v>167</v>
      </c>
      <c r="L162" s="237"/>
      <c r="M162" s="237"/>
    </row>
    <row r="163" spans="1:13">
      <c r="A163" s="241" t="s">
        <v>678</v>
      </c>
      <c r="B163" s="264" t="s">
        <v>725</v>
      </c>
      <c r="C163" s="241" t="s">
        <v>726</v>
      </c>
      <c r="D163" s="241" t="s">
        <v>828</v>
      </c>
      <c r="E163" s="241" t="s">
        <v>728</v>
      </c>
      <c r="F163" s="233">
        <v>768748.98</v>
      </c>
      <c r="G163" s="265">
        <v>45030</v>
      </c>
      <c r="H163" s="232" t="s">
        <v>735</v>
      </c>
      <c r="I163" s="241" t="s">
        <v>167</v>
      </c>
      <c r="J163" s="266" t="s">
        <v>167</v>
      </c>
      <c r="K163" s="241" t="s">
        <v>167</v>
      </c>
      <c r="L163" s="241"/>
      <c r="M163" s="241"/>
    </row>
    <row r="164" spans="1:13">
      <c r="A164" s="237" t="s">
        <v>678</v>
      </c>
      <c r="B164" s="261" t="s">
        <v>725</v>
      </c>
      <c r="C164" s="237" t="s">
        <v>726</v>
      </c>
      <c r="D164" s="237" t="s">
        <v>829</v>
      </c>
      <c r="E164" s="237" t="s">
        <v>728</v>
      </c>
      <c r="F164" s="262">
        <v>234001.85</v>
      </c>
      <c r="G164" s="263">
        <v>45030</v>
      </c>
      <c r="H164" s="231" t="s">
        <v>735</v>
      </c>
      <c r="I164" s="237" t="s">
        <v>167</v>
      </c>
      <c r="J164" s="262" t="s">
        <v>167</v>
      </c>
      <c r="K164" s="237" t="s">
        <v>167</v>
      </c>
      <c r="L164" s="237"/>
      <c r="M164" s="237"/>
    </row>
    <row r="165" spans="1:13">
      <c r="A165" s="241" t="s">
        <v>678</v>
      </c>
      <c r="B165" s="264" t="s">
        <v>725</v>
      </c>
      <c r="C165" s="241" t="s">
        <v>726</v>
      </c>
      <c r="D165" s="241" t="s">
        <v>830</v>
      </c>
      <c r="E165" s="241" t="s">
        <v>728</v>
      </c>
      <c r="F165" s="233">
        <v>360001.03</v>
      </c>
      <c r="G165" s="265">
        <v>45030</v>
      </c>
      <c r="H165" s="232" t="s">
        <v>735</v>
      </c>
      <c r="I165" s="241" t="s">
        <v>167</v>
      </c>
      <c r="J165" s="266" t="s">
        <v>167</v>
      </c>
      <c r="K165" s="241" t="s">
        <v>167</v>
      </c>
      <c r="L165" s="241"/>
      <c r="M165" s="241"/>
    </row>
    <row r="166" spans="1:13">
      <c r="A166" s="237" t="s">
        <v>678</v>
      </c>
      <c r="B166" s="261" t="s">
        <v>725</v>
      </c>
      <c r="C166" s="237" t="s">
        <v>726</v>
      </c>
      <c r="D166" s="237" t="s">
        <v>831</v>
      </c>
      <c r="E166" s="237" t="s">
        <v>728</v>
      </c>
      <c r="F166" s="262">
        <v>750000.16</v>
      </c>
      <c r="G166" s="263">
        <v>45030</v>
      </c>
      <c r="H166" s="231" t="s">
        <v>735</v>
      </c>
      <c r="I166" s="237" t="s">
        <v>167</v>
      </c>
      <c r="J166" s="262" t="s">
        <v>167</v>
      </c>
      <c r="K166" s="237" t="s">
        <v>167</v>
      </c>
      <c r="L166" s="237"/>
      <c r="M166" s="237"/>
    </row>
    <row r="167" spans="1:13">
      <c r="A167" s="241" t="s">
        <v>678</v>
      </c>
      <c r="B167" s="264" t="s">
        <v>725</v>
      </c>
      <c r="C167" s="241" t="s">
        <v>726</v>
      </c>
      <c r="D167" s="241" t="s">
        <v>832</v>
      </c>
      <c r="E167" s="241" t="s">
        <v>728</v>
      </c>
      <c r="F167" s="233">
        <v>150002.4</v>
      </c>
      <c r="G167" s="265">
        <v>45030</v>
      </c>
      <c r="H167" s="232" t="s">
        <v>735</v>
      </c>
      <c r="I167" s="241" t="s">
        <v>167</v>
      </c>
      <c r="J167" s="266" t="s">
        <v>167</v>
      </c>
      <c r="K167" s="241" t="s">
        <v>167</v>
      </c>
      <c r="L167" s="241"/>
      <c r="M167" s="241"/>
    </row>
    <row r="168" spans="1:13">
      <c r="A168" s="237" t="s">
        <v>678</v>
      </c>
      <c r="B168" s="261" t="s">
        <v>725</v>
      </c>
      <c r="C168" s="237" t="s">
        <v>726</v>
      </c>
      <c r="D168" s="237" t="s">
        <v>823</v>
      </c>
      <c r="E168" s="237" t="s">
        <v>728</v>
      </c>
      <c r="F168" s="262">
        <v>360001.03</v>
      </c>
      <c r="G168" s="263">
        <v>45030</v>
      </c>
      <c r="H168" s="231" t="s">
        <v>735</v>
      </c>
      <c r="I168" s="237" t="s">
        <v>167</v>
      </c>
      <c r="J168" s="262" t="s">
        <v>167</v>
      </c>
      <c r="K168" s="237" t="s">
        <v>167</v>
      </c>
      <c r="L168" s="237"/>
      <c r="M168" s="237"/>
    </row>
    <row r="169" spans="1:13">
      <c r="A169" s="241" t="s">
        <v>678</v>
      </c>
      <c r="B169" s="264" t="s">
        <v>725</v>
      </c>
      <c r="C169" s="241" t="s">
        <v>726</v>
      </c>
      <c r="D169" s="241" t="s">
        <v>824</v>
      </c>
      <c r="E169" s="241" t="s">
        <v>728</v>
      </c>
      <c r="F169" s="233">
        <v>59599.33</v>
      </c>
      <c r="G169" s="265">
        <v>45030</v>
      </c>
      <c r="H169" s="232" t="s">
        <v>735</v>
      </c>
      <c r="I169" s="241" t="s">
        <v>167</v>
      </c>
      <c r="J169" s="266" t="s">
        <v>167</v>
      </c>
      <c r="K169" s="241" t="s">
        <v>167</v>
      </c>
      <c r="L169" s="241"/>
      <c r="M169" s="241"/>
    </row>
    <row r="170" spans="1:13">
      <c r="A170" s="237" t="s">
        <v>678</v>
      </c>
      <c r="B170" s="261" t="s">
        <v>725</v>
      </c>
      <c r="C170" s="237" t="s">
        <v>726</v>
      </c>
      <c r="D170" s="237" t="s">
        <v>825</v>
      </c>
      <c r="E170" s="237" t="s">
        <v>728</v>
      </c>
      <c r="F170" s="262">
        <v>192002.13</v>
      </c>
      <c r="G170" s="263">
        <v>45030</v>
      </c>
      <c r="H170" s="231" t="s">
        <v>735</v>
      </c>
      <c r="I170" s="237" t="s">
        <v>167</v>
      </c>
      <c r="J170" s="262" t="s">
        <v>167</v>
      </c>
      <c r="K170" s="237" t="s">
        <v>167</v>
      </c>
      <c r="L170" s="237"/>
      <c r="M170" s="237"/>
    </row>
    <row r="171" spans="1:13">
      <c r="A171" s="241" t="s">
        <v>678</v>
      </c>
      <c r="B171" s="264" t="s">
        <v>725</v>
      </c>
      <c r="C171" s="241" t="s">
        <v>726</v>
      </c>
      <c r="D171" s="241" t="s">
        <v>826</v>
      </c>
      <c r="E171" s="241" t="s">
        <v>728</v>
      </c>
      <c r="F171" s="233">
        <v>1287395.23</v>
      </c>
      <c r="G171" s="265">
        <v>45030</v>
      </c>
      <c r="H171" s="232" t="s">
        <v>735</v>
      </c>
      <c r="I171" s="241" t="s">
        <v>167</v>
      </c>
      <c r="J171" s="266" t="s">
        <v>167</v>
      </c>
      <c r="K171" s="241" t="s">
        <v>167</v>
      </c>
      <c r="L171" s="241"/>
      <c r="M171" s="241"/>
    </row>
    <row r="172" spans="1:13">
      <c r="A172" s="237" t="s">
        <v>678</v>
      </c>
      <c r="B172" s="261" t="s">
        <v>725</v>
      </c>
      <c r="C172" s="237" t="s">
        <v>726</v>
      </c>
      <c r="D172" s="237" t="s">
        <v>827</v>
      </c>
      <c r="E172" s="237" t="s">
        <v>728</v>
      </c>
      <c r="F172" s="262">
        <v>688801.41</v>
      </c>
      <c r="G172" s="263">
        <v>45030</v>
      </c>
      <c r="H172" s="231" t="s">
        <v>735</v>
      </c>
      <c r="I172" s="237" t="s">
        <v>167</v>
      </c>
      <c r="J172" s="262" t="s">
        <v>167</v>
      </c>
      <c r="K172" s="237" t="s">
        <v>167</v>
      </c>
      <c r="L172" s="237"/>
      <c r="M172" s="237"/>
    </row>
    <row r="173" spans="1:13">
      <c r="A173" s="241" t="s">
        <v>678</v>
      </c>
      <c r="B173" s="264" t="s">
        <v>725</v>
      </c>
      <c r="C173" s="241" t="s">
        <v>726</v>
      </c>
      <c r="D173" s="241" t="s">
        <v>828</v>
      </c>
      <c r="E173" s="241" t="s">
        <v>728</v>
      </c>
      <c r="F173" s="233">
        <v>1025000.62</v>
      </c>
      <c r="G173" s="265">
        <v>45030</v>
      </c>
      <c r="H173" s="232" t="s">
        <v>735</v>
      </c>
      <c r="I173" s="241" t="s">
        <v>167</v>
      </c>
      <c r="J173" s="266" t="s">
        <v>167</v>
      </c>
      <c r="K173" s="241" t="s">
        <v>167</v>
      </c>
      <c r="L173" s="241"/>
      <c r="M173" s="241"/>
    </row>
    <row r="174" spans="1:13">
      <c r="A174" s="237" t="s">
        <v>678</v>
      </c>
      <c r="B174" s="261" t="s">
        <v>725</v>
      </c>
      <c r="C174" s="237" t="s">
        <v>726</v>
      </c>
      <c r="D174" s="237" t="s">
        <v>829</v>
      </c>
      <c r="E174" s="237" t="s">
        <v>728</v>
      </c>
      <c r="F174" s="262">
        <v>324002.11</v>
      </c>
      <c r="G174" s="263">
        <v>45030</v>
      </c>
      <c r="H174" s="231" t="s">
        <v>735</v>
      </c>
      <c r="I174" s="237" t="s">
        <v>167</v>
      </c>
      <c r="J174" s="262" t="s">
        <v>167</v>
      </c>
      <c r="K174" s="237" t="s">
        <v>167</v>
      </c>
      <c r="L174" s="237"/>
      <c r="M174" s="237"/>
    </row>
    <row r="175" spans="1:13">
      <c r="A175" s="241" t="s">
        <v>678</v>
      </c>
      <c r="B175" s="264" t="s">
        <v>725</v>
      </c>
      <c r="C175" s="241" t="s">
        <v>726</v>
      </c>
      <c r="D175" s="241" t="s">
        <v>830</v>
      </c>
      <c r="E175" s="241" t="s">
        <v>728</v>
      </c>
      <c r="F175" s="233">
        <v>479999.39</v>
      </c>
      <c r="G175" s="265">
        <v>45030</v>
      </c>
      <c r="H175" s="232" t="s">
        <v>735</v>
      </c>
      <c r="I175" s="241" t="s">
        <v>167</v>
      </c>
      <c r="J175" s="266" t="s">
        <v>167</v>
      </c>
      <c r="K175" s="241" t="s">
        <v>167</v>
      </c>
      <c r="L175" s="241"/>
      <c r="M175" s="241"/>
    </row>
    <row r="176" spans="1:13">
      <c r="A176" s="237" t="s">
        <v>678</v>
      </c>
      <c r="B176" s="261" t="s">
        <v>725</v>
      </c>
      <c r="C176" s="237" t="s">
        <v>726</v>
      </c>
      <c r="D176" s="237" t="s">
        <v>831</v>
      </c>
      <c r="E176" s="237" t="s">
        <v>728</v>
      </c>
      <c r="F176" s="262">
        <v>199999.25</v>
      </c>
      <c r="G176" s="263">
        <v>45030</v>
      </c>
      <c r="H176" s="231" t="s">
        <v>735</v>
      </c>
      <c r="I176" s="237" t="s">
        <v>167</v>
      </c>
      <c r="J176" s="262" t="s">
        <v>167</v>
      </c>
      <c r="K176" s="237" t="s">
        <v>167</v>
      </c>
      <c r="L176" s="237"/>
      <c r="M176" s="237"/>
    </row>
    <row r="177" spans="1:13">
      <c r="A177" s="241" t="s">
        <v>678</v>
      </c>
      <c r="B177" s="264" t="s">
        <v>725</v>
      </c>
      <c r="C177" s="241" t="s">
        <v>726</v>
      </c>
      <c r="D177" s="241" t="s">
        <v>857</v>
      </c>
      <c r="E177" s="241" t="s">
        <v>728</v>
      </c>
      <c r="F177" s="233">
        <v>298502.99</v>
      </c>
      <c r="G177" s="265">
        <v>45031</v>
      </c>
      <c r="H177" s="232" t="s">
        <v>735</v>
      </c>
      <c r="I177" s="241" t="s">
        <v>167</v>
      </c>
      <c r="J177" s="266" t="s">
        <v>167</v>
      </c>
      <c r="K177" s="241" t="s">
        <v>167</v>
      </c>
      <c r="L177" s="241"/>
      <c r="M177" s="241"/>
    </row>
    <row r="178" spans="1:13">
      <c r="A178" s="237" t="s">
        <v>678</v>
      </c>
      <c r="B178" s="261" t="s">
        <v>725</v>
      </c>
      <c r="C178" s="237" t="s">
        <v>726</v>
      </c>
      <c r="D178" s="237" t="s">
        <v>858</v>
      </c>
      <c r="E178" s="237" t="s">
        <v>728</v>
      </c>
      <c r="F178" s="262">
        <v>1431311.26</v>
      </c>
      <c r="G178" s="263">
        <v>45031</v>
      </c>
      <c r="H178" s="231" t="s">
        <v>735</v>
      </c>
      <c r="I178" s="237" t="s">
        <v>167</v>
      </c>
      <c r="J178" s="262" t="s">
        <v>167</v>
      </c>
      <c r="K178" s="237" t="s">
        <v>167</v>
      </c>
      <c r="L178" s="237"/>
      <c r="M178" s="237"/>
    </row>
    <row r="179" spans="1:13">
      <c r="A179" s="241" t="s">
        <v>678</v>
      </c>
      <c r="B179" s="264" t="s">
        <v>725</v>
      </c>
      <c r="C179" s="241" t="s">
        <v>726</v>
      </c>
      <c r="D179" s="241" t="s">
        <v>859</v>
      </c>
      <c r="E179" s="241" t="s">
        <v>728</v>
      </c>
      <c r="F179" s="233">
        <v>669600</v>
      </c>
      <c r="G179" s="265">
        <v>45032</v>
      </c>
      <c r="H179" s="232" t="s">
        <v>771</v>
      </c>
      <c r="I179" s="241" t="s">
        <v>167</v>
      </c>
      <c r="J179" s="266" t="s">
        <v>167</v>
      </c>
      <c r="K179" s="241" t="s">
        <v>167</v>
      </c>
      <c r="L179" s="241"/>
      <c r="M179" s="241"/>
    </row>
    <row r="180" spans="1:13">
      <c r="A180" s="237" t="s">
        <v>678</v>
      </c>
      <c r="B180" s="261" t="s">
        <v>725</v>
      </c>
      <c r="C180" s="237" t="s">
        <v>726</v>
      </c>
      <c r="D180" s="237" t="s">
        <v>860</v>
      </c>
      <c r="E180" s="237" t="s">
        <v>728</v>
      </c>
      <c r="F180" s="262">
        <v>169032.71</v>
      </c>
      <c r="G180" s="263">
        <v>45032</v>
      </c>
      <c r="H180" s="231" t="s">
        <v>771</v>
      </c>
      <c r="I180" s="237" t="s">
        <v>167</v>
      </c>
      <c r="J180" s="262" t="s">
        <v>167</v>
      </c>
      <c r="K180" s="237" t="s">
        <v>167</v>
      </c>
      <c r="L180" s="237"/>
      <c r="M180" s="237"/>
    </row>
    <row r="181" spans="1:13">
      <c r="A181" s="241" t="s">
        <v>678</v>
      </c>
      <c r="B181" s="264" t="s">
        <v>725</v>
      </c>
      <c r="C181" s="241" t="s">
        <v>726</v>
      </c>
      <c r="D181" s="241" t="s">
        <v>861</v>
      </c>
      <c r="E181" s="241" t="s">
        <v>728</v>
      </c>
      <c r="F181" s="233">
        <v>500000</v>
      </c>
      <c r="G181" s="265">
        <v>45034</v>
      </c>
      <c r="H181" s="232" t="s">
        <v>821</v>
      </c>
      <c r="I181" s="241" t="s">
        <v>167</v>
      </c>
      <c r="J181" s="266" t="s">
        <v>167</v>
      </c>
      <c r="K181" s="241" t="s">
        <v>167</v>
      </c>
      <c r="L181" s="241"/>
      <c r="M181" s="241"/>
    </row>
    <row r="182" spans="1:13">
      <c r="A182" s="237" t="s">
        <v>678</v>
      </c>
      <c r="B182" s="261" t="s">
        <v>725</v>
      </c>
      <c r="C182" s="237" t="s">
        <v>726</v>
      </c>
      <c r="D182" s="237" t="s">
        <v>862</v>
      </c>
      <c r="E182" s="237" t="s">
        <v>728</v>
      </c>
      <c r="F182" s="262">
        <v>29001.07</v>
      </c>
      <c r="G182" s="263">
        <v>45034</v>
      </c>
      <c r="H182" s="231" t="s">
        <v>821</v>
      </c>
      <c r="I182" s="237" t="s">
        <v>167</v>
      </c>
      <c r="J182" s="262" t="s">
        <v>167</v>
      </c>
      <c r="K182" s="237" t="s">
        <v>167</v>
      </c>
      <c r="L182" s="237"/>
      <c r="M182" s="237"/>
    </row>
    <row r="183" spans="1:13">
      <c r="A183" s="241" t="s">
        <v>678</v>
      </c>
      <c r="B183" s="264" t="s">
        <v>725</v>
      </c>
      <c r="C183" s="241" t="s">
        <v>726</v>
      </c>
      <c r="D183" s="241" t="s">
        <v>863</v>
      </c>
      <c r="E183" s="241" t="s">
        <v>728</v>
      </c>
      <c r="F183" s="233">
        <v>4999.3599999999997</v>
      </c>
      <c r="G183" s="265">
        <v>45034</v>
      </c>
      <c r="H183" s="232" t="s">
        <v>821</v>
      </c>
      <c r="I183" s="241" t="s">
        <v>167</v>
      </c>
      <c r="J183" s="266" t="s">
        <v>167</v>
      </c>
      <c r="K183" s="241" t="s">
        <v>167</v>
      </c>
      <c r="L183" s="241"/>
      <c r="M183" s="241"/>
    </row>
    <row r="184" spans="1:13">
      <c r="A184" s="237" t="s">
        <v>678</v>
      </c>
      <c r="B184" s="261" t="s">
        <v>725</v>
      </c>
      <c r="C184" s="237" t="s">
        <v>726</v>
      </c>
      <c r="D184" s="237" t="s">
        <v>864</v>
      </c>
      <c r="E184" s="237" t="s">
        <v>728</v>
      </c>
      <c r="F184" s="262">
        <v>56000</v>
      </c>
      <c r="G184" s="263">
        <v>45034</v>
      </c>
      <c r="H184" s="231" t="s">
        <v>821</v>
      </c>
      <c r="I184" s="237" t="s">
        <v>167</v>
      </c>
      <c r="J184" s="262" t="s">
        <v>167</v>
      </c>
      <c r="K184" s="237" t="s">
        <v>167</v>
      </c>
      <c r="L184" s="237"/>
      <c r="M184" s="237"/>
    </row>
    <row r="185" spans="1:13">
      <c r="A185" s="241" t="s">
        <v>678</v>
      </c>
      <c r="B185" s="264" t="s">
        <v>725</v>
      </c>
      <c r="C185" s="241" t="s">
        <v>726</v>
      </c>
      <c r="D185" s="241" t="s">
        <v>865</v>
      </c>
      <c r="E185" s="241" t="s">
        <v>728</v>
      </c>
      <c r="F185" s="233">
        <v>30002.14</v>
      </c>
      <c r="G185" s="265">
        <v>45034</v>
      </c>
      <c r="H185" s="232" t="s">
        <v>821</v>
      </c>
      <c r="I185" s="241" t="s">
        <v>167</v>
      </c>
      <c r="J185" s="266" t="s">
        <v>167</v>
      </c>
      <c r="K185" s="241" t="s">
        <v>167</v>
      </c>
      <c r="L185" s="241"/>
      <c r="M185" s="241"/>
    </row>
    <row r="186" spans="1:13">
      <c r="A186" s="237" t="s">
        <v>678</v>
      </c>
      <c r="B186" s="261" t="s">
        <v>725</v>
      </c>
      <c r="C186" s="237" t="s">
        <v>726</v>
      </c>
      <c r="D186" s="237" t="s">
        <v>866</v>
      </c>
      <c r="E186" s="237" t="s">
        <v>728</v>
      </c>
      <c r="F186" s="262">
        <v>19997.43</v>
      </c>
      <c r="G186" s="263">
        <v>45034</v>
      </c>
      <c r="H186" s="231" t="s">
        <v>821</v>
      </c>
      <c r="I186" s="237" t="s">
        <v>167</v>
      </c>
      <c r="J186" s="262" t="s">
        <v>167</v>
      </c>
      <c r="K186" s="237" t="s">
        <v>167</v>
      </c>
      <c r="L186" s="237"/>
      <c r="M186" s="237"/>
    </row>
    <row r="187" spans="1:13">
      <c r="A187" s="241" t="s">
        <v>678</v>
      </c>
      <c r="B187" s="264" t="s">
        <v>725</v>
      </c>
      <c r="C187" s="241" t="s">
        <v>726</v>
      </c>
      <c r="D187" s="241" t="s">
        <v>867</v>
      </c>
      <c r="E187" s="241" t="s">
        <v>728</v>
      </c>
      <c r="F187" s="233">
        <v>630003.11</v>
      </c>
      <c r="G187" s="265">
        <v>45038</v>
      </c>
      <c r="H187" s="232" t="s">
        <v>821</v>
      </c>
      <c r="I187" s="241" t="s">
        <v>167</v>
      </c>
      <c r="J187" s="266" t="s">
        <v>167</v>
      </c>
      <c r="K187" s="241" t="s">
        <v>167</v>
      </c>
      <c r="L187" s="241"/>
      <c r="M187" s="241"/>
    </row>
    <row r="188" spans="1:13">
      <c r="A188" s="237" t="s">
        <v>678</v>
      </c>
      <c r="B188" s="261" t="s">
        <v>725</v>
      </c>
      <c r="C188" s="237" t="s">
        <v>726</v>
      </c>
      <c r="D188" s="237" t="s">
        <v>868</v>
      </c>
      <c r="E188" s="237" t="s">
        <v>728</v>
      </c>
      <c r="F188" s="262">
        <v>1574998.89</v>
      </c>
      <c r="G188" s="263">
        <v>45038</v>
      </c>
      <c r="H188" s="231" t="s">
        <v>821</v>
      </c>
      <c r="I188" s="237" t="s">
        <v>167</v>
      </c>
      <c r="J188" s="262" t="s">
        <v>167</v>
      </c>
      <c r="K188" s="237" t="s">
        <v>167</v>
      </c>
      <c r="L188" s="237"/>
      <c r="M188" s="237"/>
    </row>
    <row r="189" spans="1:13">
      <c r="A189" s="241" t="s">
        <v>678</v>
      </c>
      <c r="B189" s="264" t="s">
        <v>725</v>
      </c>
      <c r="C189" s="241" t="s">
        <v>726</v>
      </c>
      <c r="D189" s="241" t="s">
        <v>869</v>
      </c>
      <c r="E189" s="241" t="s">
        <v>728</v>
      </c>
      <c r="F189" s="233">
        <v>449998</v>
      </c>
      <c r="G189" s="265">
        <v>45038</v>
      </c>
      <c r="H189" s="232" t="s">
        <v>821</v>
      </c>
      <c r="I189" s="241" t="s">
        <v>167</v>
      </c>
      <c r="J189" s="266" t="s">
        <v>167</v>
      </c>
      <c r="K189" s="241" t="s">
        <v>167</v>
      </c>
      <c r="L189" s="241"/>
      <c r="M189" s="241"/>
    </row>
    <row r="190" spans="1:13">
      <c r="A190" s="237" t="s">
        <v>678</v>
      </c>
      <c r="B190" s="261" t="s">
        <v>725</v>
      </c>
      <c r="C190" s="237" t="s">
        <v>726</v>
      </c>
      <c r="D190" s="237" t="s">
        <v>870</v>
      </c>
      <c r="E190" s="237" t="s">
        <v>728</v>
      </c>
      <c r="F190" s="262">
        <v>630002.31000000006</v>
      </c>
      <c r="G190" s="263">
        <v>45044</v>
      </c>
      <c r="H190" s="231" t="s">
        <v>821</v>
      </c>
      <c r="I190" s="237" t="s">
        <v>167</v>
      </c>
      <c r="J190" s="262" t="s">
        <v>167</v>
      </c>
      <c r="K190" s="237" t="s">
        <v>167</v>
      </c>
      <c r="L190" s="237"/>
      <c r="M190" s="237"/>
    </row>
    <row r="191" spans="1:13">
      <c r="A191" s="241" t="s">
        <v>678</v>
      </c>
      <c r="B191" s="264" t="s">
        <v>725</v>
      </c>
      <c r="C191" s="241" t="s">
        <v>726</v>
      </c>
      <c r="D191" s="241" t="s">
        <v>871</v>
      </c>
      <c r="E191" s="241" t="s">
        <v>728</v>
      </c>
      <c r="F191" s="233">
        <v>102807.7</v>
      </c>
      <c r="G191" s="265">
        <v>45044</v>
      </c>
      <c r="H191" s="232" t="s">
        <v>771</v>
      </c>
      <c r="I191" s="241" t="s">
        <v>167</v>
      </c>
      <c r="J191" s="266" t="s">
        <v>167</v>
      </c>
      <c r="K191" s="241" t="s">
        <v>167</v>
      </c>
      <c r="L191" s="241"/>
      <c r="M191" s="241"/>
    </row>
    <row r="192" spans="1:13">
      <c r="A192" s="237" t="s">
        <v>678</v>
      </c>
      <c r="B192" s="261" t="s">
        <v>725</v>
      </c>
      <c r="C192" s="237" t="s">
        <v>726</v>
      </c>
      <c r="D192" s="237" t="s">
        <v>872</v>
      </c>
      <c r="E192" s="237" t="s">
        <v>728</v>
      </c>
      <c r="F192" s="262">
        <v>1395103.27</v>
      </c>
      <c r="G192" s="263">
        <v>45044</v>
      </c>
      <c r="H192" s="231" t="s">
        <v>733</v>
      </c>
      <c r="I192" s="237" t="s">
        <v>167</v>
      </c>
      <c r="J192" s="262" t="s">
        <v>167</v>
      </c>
      <c r="K192" s="237" t="s">
        <v>167</v>
      </c>
      <c r="L192" s="237"/>
      <c r="M192" s="237"/>
    </row>
    <row r="193" spans="1:13">
      <c r="A193" s="241" t="s">
        <v>678</v>
      </c>
      <c r="B193" s="264" t="s">
        <v>725</v>
      </c>
      <c r="C193" s="241" t="s">
        <v>726</v>
      </c>
      <c r="D193" s="241" t="s">
        <v>873</v>
      </c>
      <c r="E193" s="241" t="s">
        <v>728</v>
      </c>
      <c r="F193" s="233">
        <v>1600689.73</v>
      </c>
      <c r="G193" s="265">
        <v>45044</v>
      </c>
      <c r="H193" s="232" t="s">
        <v>733</v>
      </c>
      <c r="I193" s="241" t="s">
        <v>167</v>
      </c>
      <c r="J193" s="266" t="s">
        <v>167</v>
      </c>
      <c r="K193" s="241" t="s">
        <v>167</v>
      </c>
      <c r="L193" s="241"/>
      <c r="M193" s="241"/>
    </row>
    <row r="194" spans="1:13">
      <c r="A194" s="237" t="s">
        <v>678</v>
      </c>
      <c r="B194" s="261" t="s">
        <v>725</v>
      </c>
      <c r="C194" s="237" t="s">
        <v>726</v>
      </c>
      <c r="D194" s="237" t="s">
        <v>874</v>
      </c>
      <c r="E194" s="237" t="s">
        <v>728</v>
      </c>
      <c r="F194" s="262">
        <v>865394.5</v>
      </c>
      <c r="G194" s="263">
        <v>45052</v>
      </c>
      <c r="H194" s="231" t="s">
        <v>733</v>
      </c>
      <c r="I194" s="237" t="s">
        <v>167</v>
      </c>
      <c r="J194" s="262" t="s">
        <v>167</v>
      </c>
      <c r="K194" s="237" t="s">
        <v>167</v>
      </c>
      <c r="L194" s="237"/>
      <c r="M194" s="237"/>
    </row>
    <row r="195" spans="1:13">
      <c r="A195" s="241" t="s">
        <v>678</v>
      </c>
      <c r="B195" s="264" t="s">
        <v>725</v>
      </c>
      <c r="C195" s="241" t="s">
        <v>726</v>
      </c>
      <c r="D195" s="241" t="s">
        <v>816</v>
      </c>
      <c r="E195" s="241" t="s">
        <v>728</v>
      </c>
      <c r="F195" s="233">
        <v>842704</v>
      </c>
      <c r="G195" s="265">
        <v>45052</v>
      </c>
      <c r="H195" s="232" t="s">
        <v>733</v>
      </c>
      <c r="I195" s="241" t="s">
        <v>167</v>
      </c>
      <c r="J195" s="266" t="s">
        <v>167</v>
      </c>
      <c r="K195" s="241" t="s">
        <v>167</v>
      </c>
      <c r="L195" s="241"/>
      <c r="M195" s="241"/>
    </row>
    <row r="196" spans="1:13">
      <c r="A196" s="237" t="s">
        <v>678</v>
      </c>
      <c r="B196" s="261" t="s">
        <v>725</v>
      </c>
      <c r="C196" s="237" t="s">
        <v>726</v>
      </c>
      <c r="D196" s="237" t="s">
        <v>818</v>
      </c>
      <c r="E196" s="237" t="s">
        <v>728</v>
      </c>
      <c r="F196" s="262">
        <v>190160</v>
      </c>
      <c r="G196" s="263">
        <v>45052</v>
      </c>
      <c r="H196" s="231" t="s">
        <v>735</v>
      </c>
      <c r="I196" s="237" t="s">
        <v>167</v>
      </c>
      <c r="J196" s="262" t="s">
        <v>167</v>
      </c>
      <c r="K196" s="237" t="s">
        <v>167</v>
      </c>
      <c r="L196" s="237"/>
      <c r="M196" s="237"/>
    </row>
    <row r="197" spans="1:13">
      <c r="A197" s="241" t="s">
        <v>678</v>
      </c>
      <c r="B197" s="264" t="s">
        <v>725</v>
      </c>
      <c r="C197" s="241" t="s">
        <v>726</v>
      </c>
      <c r="D197" s="241" t="s">
        <v>849</v>
      </c>
      <c r="E197" s="241" t="s">
        <v>728</v>
      </c>
      <c r="F197" s="233">
        <v>1536006.14</v>
      </c>
      <c r="G197" s="265">
        <v>45052</v>
      </c>
      <c r="H197" s="232" t="s">
        <v>850</v>
      </c>
      <c r="I197" s="241" t="s">
        <v>167</v>
      </c>
      <c r="J197" s="266" t="s">
        <v>167</v>
      </c>
      <c r="K197" s="241" t="s">
        <v>167</v>
      </c>
      <c r="L197" s="241"/>
      <c r="M197" s="241"/>
    </row>
    <row r="198" spans="1:13">
      <c r="A198" s="237" t="s">
        <v>678</v>
      </c>
      <c r="B198" s="261" t="s">
        <v>725</v>
      </c>
      <c r="C198" s="237" t="s">
        <v>726</v>
      </c>
      <c r="D198" s="237" t="s">
        <v>851</v>
      </c>
      <c r="E198" s="237" t="s">
        <v>728</v>
      </c>
      <c r="F198" s="262">
        <v>36220.07</v>
      </c>
      <c r="G198" s="263">
        <v>45052</v>
      </c>
      <c r="H198" s="231" t="s">
        <v>850</v>
      </c>
      <c r="I198" s="237" t="s">
        <v>167</v>
      </c>
      <c r="J198" s="262" t="s">
        <v>167</v>
      </c>
      <c r="K198" s="237" t="s">
        <v>167</v>
      </c>
      <c r="L198" s="237"/>
      <c r="M198" s="237"/>
    </row>
    <row r="199" spans="1:13">
      <c r="A199" s="241" t="s">
        <v>678</v>
      </c>
      <c r="B199" s="264" t="s">
        <v>725</v>
      </c>
      <c r="C199" s="241" t="s">
        <v>726</v>
      </c>
      <c r="D199" s="241" t="s">
        <v>852</v>
      </c>
      <c r="E199" s="241" t="s">
        <v>728</v>
      </c>
      <c r="F199" s="233">
        <v>936499.34</v>
      </c>
      <c r="G199" s="265">
        <v>45052</v>
      </c>
      <c r="H199" s="232" t="s">
        <v>850</v>
      </c>
      <c r="I199" s="241" t="s">
        <v>167</v>
      </c>
      <c r="J199" s="266" t="s">
        <v>167</v>
      </c>
      <c r="K199" s="241" t="s">
        <v>167</v>
      </c>
      <c r="L199" s="241"/>
      <c r="M199" s="241"/>
    </row>
    <row r="200" spans="1:13">
      <c r="A200" s="237" t="s">
        <v>678</v>
      </c>
      <c r="B200" s="261" t="s">
        <v>725</v>
      </c>
      <c r="C200" s="237" t="s">
        <v>726</v>
      </c>
      <c r="D200" s="237" t="s">
        <v>875</v>
      </c>
      <c r="E200" s="237" t="s">
        <v>728</v>
      </c>
      <c r="F200" s="262">
        <v>424999.45</v>
      </c>
      <c r="G200" s="263">
        <v>45052</v>
      </c>
      <c r="H200" s="231" t="s">
        <v>850</v>
      </c>
      <c r="I200" s="237" t="s">
        <v>167</v>
      </c>
      <c r="J200" s="262" t="s">
        <v>167</v>
      </c>
      <c r="K200" s="237" t="s">
        <v>167</v>
      </c>
      <c r="L200" s="237"/>
      <c r="M200" s="237"/>
    </row>
    <row r="201" spans="1:13">
      <c r="A201" s="241" t="s">
        <v>678</v>
      </c>
      <c r="B201" s="264" t="s">
        <v>725</v>
      </c>
      <c r="C201" s="241" t="s">
        <v>726</v>
      </c>
      <c r="D201" s="241" t="s">
        <v>875</v>
      </c>
      <c r="E201" s="241" t="s">
        <v>728</v>
      </c>
      <c r="F201" s="233">
        <v>83725</v>
      </c>
      <c r="G201" s="265">
        <v>45052</v>
      </c>
      <c r="H201" s="232" t="s">
        <v>850</v>
      </c>
      <c r="I201" s="241" t="s">
        <v>167</v>
      </c>
      <c r="J201" s="266" t="s">
        <v>167</v>
      </c>
      <c r="K201" s="241" t="s">
        <v>167</v>
      </c>
      <c r="L201" s="241"/>
      <c r="M201" s="241"/>
    </row>
    <row r="202" spans="1:13">
      <c r="A202" s="237" t="s">
        <v>678</v>
      </c>
      <c r="B202" s="261" t="s">
        <v>725</v>
      </c>
      <c r="C202" s="237" t="s">
        <v>726</v>
      </c>
      <c r="D202" s="237" t="s">
        <v>876</v>
      </c>
      <c r="E202" s="237" t="s">
        <v>728</v>
      </c>
      <c r="F202" s="262">
        <v>80376.320000000007</v>
      </c>
      <c r="G202" s="263">
        <v>45061</v>
      </c>
      <c r="H202" s="231" t="s">
        <v>733</v>
      </c>
      <c r="I202" s="237" t="s">
        <v>167</v>
      </c>
      <c r="J202" s="262" t="s">
        <v>167</v>
      </c>
      <c r="K202" s="237" t="s">
        <v>167</v>
      </c>
      <c r="L202" s="237"/>
      <c r="M202" s="237"/>
    </row>
    <row r="203" spans="1:13">
      <c r="A203" s="241" t="s">
        <v>678</v>
      </c>
      <c r="B203" s="264" t="s">
        <v>725</v>
      </c>
      <c r="C203" s="241" t="s">
        <v>726</v>
      </c>
      <c r="D203" s="241" t="s">
        <v>877</v>
      </c>
      <c r="E203" s="241" t="s">
        <v>728</v>
      </c>
      <c r="F203" s="233">
        <v>-190160</v>
      </c>
      <c r="G203" s="265">
        <v>45061</v>
      </c>
      <c r="H203" s="232" t="s">
        <v>735</v>
      </c>
      <c r="I203" s="241" t="s">
        <v>167</v>
      </c>
      <c r="J203" s="266" t="s">
        <v>167</v>
      </c>
      <c r="K203" s="241" t="s">
        <v>167</v>
      </c>
      <c r="L203" s="241"/>
      <c r="M203" s="241"/>
    </row>
    <row r="204" spans="1:13">
      <c r="A204" s="237" t="s">
        <v>678</v>
      </c>
      <c r="B204" s="261" t="s">
        <v>725</v>
      </c>
      <c r="C204" s="237" t="s">
        <v>726</v>
      </c>
      <c r="D204" s="237" t="s">
        <v>877</v>
      </c>
      <c r="E204" s="237" t="s">
        <v>728</v>
      </c>
      <c r="F204" s="262">
        <v>205373</v>
      </c>
      <c r="G204" s="263">
        <v>45061</v>
      </c>
      <c r="H204" s="231" t="s">
        <v>735</v>
      </c>
      <c r="I204" s="237" t="s">
        <v>167</v>
      </c>
      <c r="J204" s="262" t="s">
        <v>167</v>
      </c>
      <c r="K204" s="237" t="s">
        <v>167</v>
      </c>
      <c r="L204" s="237"/>
      <c r="M204" s="237"/>
    </row>
    <row r="205" spans="1:13">
      <c r="A205" s="241" t="s">
        <v>678</v>
      </c>
      <c r="B205" s="264" t="s">
        <v>725</v>
      </c>
      <c r="C205" s="241" t="s">
        <v>726</v>
      </c>
      <c r="D205" s="241" t="s">
        <v>849</v>
      </c>
      <c r="E205" s="241" t="s">
        <v>728</v>
      </c>
      <c r="F205" s="233">
        <v>3840013.29</v>
      </c>
      <c r="G205" s="265">
        <v>45061</v>
      </c>
      <c r="H205" s="232" t="s">
        <v>850</v>
      </c>
      <c r="I205" s="241" t="s">
        <v>167</v>
      </c>
      <c r="J205" s="266" t="s">
        <v>167</v>
      </c>
      <c r="K205" s="241" t="s">
        <v>167</v>
      </c>
      <c r="L205" s="241"/>
      <c r="M205" s="241"/>
    </row>
    <row r="206" spans="1:13">
      <c r="A206" s="237" t="s">
        <v>678</v>
      </c>
      <c r="B206" s="261" t="s">
        <v>725</v>
      </c>
      <c r="C206" s="237" t="s">
        <v>726</v>
      </c>
      <c r="D206" s="237" t="s">
        <v>851</v>
      </c>
      <c r="E206" s="237" t="s">
        <v>728</v>
      </c>
      <c r="F206" s="262">
        <v>90547.59</v>
      </c>
      <c r="G206" s="263">
        <v>45061</v>
      </c>
      <c r="H206" s="231" t="s">
        <v>850</v>
      </c>
      <c r="I206" s="237" t="s">
        <v>167</v>
      </c>
      <c r="J206" s="262" t="s">
        <v>167</v>
      </c>
      <c r="K206" s="237" t="s">
        <v>167</v>
      </c>
      <c r="L206" s="237"/>
      <c r="M206" s="237"/>
    </row>
    <row r="207" spans="1:13">
      <c r="A207" s="241" t="s">
        <v>678</v>
      </c>
      <c r="B207" s="264" t="s">
        <v>725</v>
      </c>
      <c r="C207" s="241" t="s">
        <v>726</v>
      </c>
      <c r="D207" s="241" t="s">
        <v>852</v>
      </c>
      <c r="E207" s="241" t="s">
        <v>728</v>
      </c>
      <c r="F207" s="233">
        <v>2341249.4</v>
      </c>
      <c r="G207" s="265">
        <v>45061</v>
      </c>
      <c r="H207" s="232" t="s">
        <v>850</v>
      </c>
      <c r="I207" s="241" t="s">
        <v>167</v>
      </c>
      <c r="J207" s="266" t="s">
        <v>167</v>
      </c>
      <c r="K207" s="241" t="s">
        <v>167</v>
      </c>
      <c r="L207" s="241"/>
      <c r="M207" s="241"/>
    </row>
    <row r="208" spans="1:13">
      <c r="A208" s="237" t="s">
        <v>678</v>
      </c>
      <c r="B208" s="261" t="s">
        <v>725</v>
      </c>
      <c r="C208" s="237" t="s">
        <v>726</v>
      </c>
      <c r="D208" s="237" t="s">
        <v>875</v>
      </c>
      <c r="E208" s="237" t="s">
        <v>728</v>
      </c>
      <c r="F208" s="262">
        <v>2508777.2200000002</v>
      </c>
      <c r="G208" s="263">
        <v>45061</v>
      </c>
      <c r="H208" s="231" t="s">
        <v>850</v>
      </c>
      <c r="I208" s="237" t="s">
        <v>167</v>
      </c>
      <c r="J208" s="262" t="s">
        <v>167</v>
      </c>
      <c r="K208" s="237" t="s">
        <v>167</v>
      </c>
      <c r="L208" s="237"/>
      <c r="M208" s="237"/>
    </row>
    <row r="209" spans="1:13">
      <c r="A209" s="241" t="s">
        <v>678</v>
      </c>
      <c r="B209" s="264" t="s">
        <v>725</v>
      </c>
      <c r="C209" s="241" t="s">
        <v>726</v>
      </c>
      <c r="D209" s="241" t="s">
        <v>878</v>
      </c>
      <c r="E209" s="241" t="s">
        <v>728</v>
      </c>
      <c r="F209" s="233">
        <v>0</v>
      </c>
      <c r="G209" s="265">
        <v>45062</v>
      </c>
      <c r="H209" s="232" t="s">
        <v>850</v>
      </c>
      <c r="I209" s="241" t="s">
        <v>167</v>
      </c>
      <c r="J209" s="266" t="s">
        <v>167</v>
      </c>
      <c r="K209" s="241" t="s">
        <v>167</v>
      </c>
      <c r="L209" s="241"/>
      <c r="M209" s="241"/>
    </row>
    <row r="210" spans="1:13">
      <c r="A210" s="237" t="s">
        <v>678</v>
      </c>
      <c r="B210" s="261" t="s">
        <v>725</v>
      </c>
      <c r="C210" s="237" t="s">
        <v>726</v>
      </c>
      <c r="D210" s="237" t="s">
        <v>823</v>
      </c>
      <c r="E210" s="237" t="s">
        <v>728</v>
      </c>
      <c r="F210" s="262">
        <v>1439999.05</v>
      </c>
      <c r="G210" s="263">
        <v>45084</v>
      </c>
      <c r="H210" s="231" t="s">
        <v>735</v>
      </c>
      <c r="I210" s="237" t="s">
        <v>167</v>
      </c>
      <c r="J210" s="262" t="s">
        <v>167</v>
      </c>
      <c r="K210" s="237" t="s">
        <v>167</v>
      </c>
      <c r="L210" s="237"/>
      <c r="M210" s="237"/>
    </row>
    <row r="211" spans="1:13">
      <c r="A211" s="241" t="s">
        <v>678</v>
      </c>
      <c r="B211" s="264" t="s">
        <v>725</v>
      </c>
      <c r="C211" s="241" t="s">
        <v>726</v>
      </c>
      <c r="D211" s="241" t="s">
        <v>824</v>
      </c>
      <c r="E211" s="241" t="s">
        <v>728</v>
      </c>
      <c r="F211" s="233">
        <v>35201.440000000002</v>
      </c>
      <c r="G211" s="265">
        <v>45084</v>
      </c>
      <c r="H211" s="232" t="s">
        <v>735</v>
      </c>
      <c r="I211" s="241" t="s">
        <v>167</v>
      </c>
      <c r="J211" s="266" t="s">
        <v>167</v>
      </c>
      <c r="K211" s="241" t="s">
        <v>167</v>
      </c>
      <c r="L211" s="241"/>
      <c r="M211" s="241"/>
    </row>
    <row r="212" spans="1:13">
      <c r="A212" s="237" t="s">
        <v>678</v>
      </c>
      <c r="B212" s="261" t="s">
        <v>725</v>
      </c>
      <c r="C212" s="237" t="s">
        <v>726</v>
      </c>
      <c r="D212" s="237" t="s">
        <v>831</v>
      </c>
      <c r="E212" s="237" t="s">
        <v>728</v>
      </c>
      <c r="F212" s="262">
        <v>800000.84</v>
      </c>
      <c r="G212" s="263">
        <v>45084</v>
      </c>
      <c r="H212" s="231" t="s">
        <v>735</v>
      </c>
      <c r="I212" s="237" t="s">
        <v>167</v>
      </c>
      <c r="J212" s="262" t="s">
        <v>167</v>
      </c>
      <c r="K212" s="237" t="s">
        <v>167</v>
      </c>
      <c r="L212" s="237"/>
      <c r="M212" s="237"/>
    </row>
    <row r="213" spans="1:13">
      <c r="A213" s="241" t="s">
        <v>678</v>
      </c>
      <c r="B213" s="264" t="s">
        <v>725</v>
      </c>
      <c r="C213" s="241" t="s">
        <v>726</v>
      </c>
      <c r="D213" s="241" t="s">
        <v>832</v>
      </c>
      <c r="E213" s="241" t="s">
        <v>728</v>
      </c>
      <c r="F213" s="233">
        <v>199998.67</v>
      </c>
      <c r="G213" s="265">
        <v>45084</v>
      </c>
      <c r="H213" s="232" t="s">
        <v>735</v>
      </c>
      <c r="I213" s="241" t="s">
        <v>167</v>
      </c>
      <c r="J213" s="266" t="s">
        <v>167</v>
      </c>
      <c r="K213" s="241" t="s">
        <v>167</v>
      </c>
      <c r="L213" s="241"/>
      <c r="M213" s="241"/>
    </row>
    <row r="214" spans="1:13">
      <c r="A214" s="237" t="s">
        <v>678</v>
      </c>
      <c r="B214" s="261" t="s">
        <v>725</v>
      </c>
      <c r="C214" s="237" t="s">
        <v>726</v>
      </c>
      <c r="D214" s="237" t="s">
        <v>879</v>
      </c>
      <c r="E214" s="237" t="s">
        <v>728</v>
      </c>
      <c r="F214" s="262">
        <v>453443.87</v>
      </c>
      <c r="G214" s="263">
        <v>45086</v>
      </c>
      <c r="H214" s="231" t="s">
        <v>735</v>
      </c>
      <c r="I214" s="237" t="s">
        <v>167</v>
      </c>
      <c r="J214" s="262" t="s">
        <v>167</v>
      </c>
      <c r="K214" s="237" t="s">
        <v>167</v>
      </c>
      <c r="L214" s="237"/>
      <c r="M214" s="237"/>
    </row>
    <row r="215" spans="1:13">
      <c r="A215" s="241" t="s">
        <v>678</v>
      </c>
      <c r="B215" s="264" t="s">
        <v>725</v>
      </c>
      <c r="C215" s="241" t="s">
        <v>726</v>
      </c>
      <c r="D215" s="241" t="s">
        <v>880</v>
      </c>
      <c r="E215" s="241" t="s">
        <v>728</v>
      </c>
      <c r="F215" s="233">
        <v>136374.43</v>
      </c>
      <c r="G215" s="265">
        <v>45086</v>
      </c>
      <c r="H215" s="232" t="s">
        <v>735</v>
      </c>
      <c r="I215" s="241" t="s">
        <v>167</v>
      </c>
      <c r="J215" s="266" t="s">
        <v>167</v>
      </c>
      <c r="K215" s="241" t="s">
        <v>167</v>
      </c>
      <c r="L215" s="241"/>
      <c r="M215" s="241"/>
    </row>
    <row r="216" spans="1:13">
      <c r="A216" s="237" t="s">
        <v>678</v>
      </c>
      <c r="B216" s="261" t="s">
        <v>725</v>
      </c>
      <c r="C216" s="237" t="s">
        <v>726</v>
      </c>
      <c r="D216" s="237" t="s">
        <v>881</v>
      </c>
      <c r="E216" s="237" t="s">
        <v>728</v>
      </c>
      <c r="F216" s="262">
        <v>187500</v>
      </c>
      <c r="G216" s="263">
        <v>45100</v>
      </c>
      <c r="H216" s="231" t="s">
        <v>821</v>
      </c>
      <c r="I216" s="237" t="s">
        <v>167</v>
      </c>
      <c r="J216" s="262" t="s">
        <v>167</v>
      </c>
      <c r="K216" s="237" t="s">
        <v>167</v>
      </c>
      <c r="L216" s="237"/>
      <c r="M216" s="237"/>
    </row>
    <row r="217" spans="1:13">
      <c r="A217" s="241" t="s">
        <v>678</v>
      </c>
      <c r="B217" s="264" t="s">
        <v>725</v>
      </c>
      <c r="C217" s="241" t="s">
        <v>726</v>
      </c>
      <c r="D217" s="241" t="s">
        <v>882</v>
      </c>
      <c r="E217" s="241" t="s">
        <v>728</v>
      </c>
      <c r="F217" s="233">
        <v>6349604</v>
      </c>
      <c r="G217" s="265">
        <v>45104</v>
      </c>
      <c r="H217" s="232" t="s">
        <v>821</v>
      </c>
      <c r="I217" s="241" t="s">
        <v>167</v>
      </c>
      <c r="J217" s="266" t="s">
        <v>167</v>
      </c>
      <c r="K217" s="241" t="s">
        <v>167</v>
      </c>
      <c r="L217" s="241"/>
      <c r="M217" s="241"/>
    </row>
    <row r="218" spans="1:13">
      <c r="A218" s="237" t="s">
        <v>678</v>
      </c>
      <c r="B218" s="261" t="s">
        <v>725</v>
      </c>
      <c r="C218" s="237" t="s">
        <v>726</v>
      </c>
      <c r="D218" s="237" t="s">
        <v>883</v>
      </c>
      <c r="E218" s="237" t="s">
        <v>728</v>
      </c>
      <c r="F218" s="262">
        <v>-1213368.1299999999</v>
      </c>
      <c r="G218" s="263">
        <v>45112</v>
      </c>
      <c r="H218" s="231" t="s">
        <v>884</v>
      </c>
      <c r="I218" s="237" t="s">
        <v>167</v>
      </c>
      <c r="J218" s="262" t="s">
        <v>167</v>
      </c>
      <c r="K218" s="237" t="s">
        <v>167</v>
      </c>
      <c r="L218" s="237"/>
      <c r="M218" s="237"/>
    </row>
    <row r="219" spans="1:13">
      <c r="A219" s="241" t="s">
        <v>678</v>
      </c>
      <c r="B219" s="264" t="s">
        <v>725</v>
      </c>
      <c r="C219" s="241" t="s">
        <v>726</v>
      </c>
      <c r="D219" s="241" t="s">
        <v>885</v>
      </c>
      <c r="E219" s="241" t="s">
        <v>728</v>
      </c>
      <c r="F219" s="233">
        <v>75000</v>
      </c>
      <c r="G219" s="265">
        <v>45137</v>
      </c>
      <c r="H219" s="232" t="s">
        <v>821</v>
      </c>
      <c r="I219" s="241" t="s">
        <v>167</v>
      </c>
      <c r="J219" s="266" t="s">
        <v>167</v>
      </c>
      <c r="K219" s="241" t="s">
        <v>167</v>
      </c>
      <c r="L219" s="241"/>
      <c r="M219" s="241"/>
    </row>
    <row r="220" spans="1:13">
      <c r="A220" s="237" t="s">
        <v>678</v>
      </c>
      <c r="B220" s="261" t="s">
        <v>725</v>
      </c>
      <c r="C220" s="237" t="s">
        <v>726</v>
      </c>
      <c r="D220" s="237" t="s">
        <v>886</v>
      </c>
      <c r="E220" s="237" t="s">
        <v>728</v>
      </c>
      <c r="F220" s="262">
        <v>463602</v>
      </c>
      <c r="G220" s="263">
        <v>45216</v>
      </c>
      <c r="H220" s="231" t="s">
        <v>733</v>
      </c>
      <c r="I220" s="237" t="s">
        <v>167</v>
      </c>
      <c r="J220" s="262" t="s">
        <v>167</v>
      </c>
      <c r="K220" s="237" t="s">
        <v>167</v>
      </c>
      <c r="L220" s="237"/>
      <c r="M220" s="237"/>
    </row>
    <row r="221" spans="1:13">
      <c r="A221" s="241" t="s">
        <v>678</v>
      </c>
      <c r="B221" s="264" t="s">
        <v>725</v>
      </c>
      <c r="C221" s="241" t="s">
        <v>726</v>
      </c>
      <c r="D221" s="241" t="s">
        <v>887</v>
      </c>
      <c r="E221" s="241" t="s">
        <v>728</v>
      </c>
      <c r="F221" s="233">
        <v>75000</v>
      </c>
      <c r="G221" s="265">
        <v>45261</v>
      </c>
      <c r="H221" s="232" t="s">
        <v>733</v>
      </c>
      <c r="I221" s="241" t="s">
        <v>167</v>
      </c>
      <c r="J221" s="266" t="s">
        <v>167</v>
      </c>
      <c r="K221" s="241" t="s">
        <v>167</v>
      </c>
      <c r="L221" s="241"/>
      <c r="M221" s="241"/>
    </row>
    <row r="222" spans="1:13">
      <c r="A222" s="237" t="s">
        <v>678</v>
      </c>
      <c r="B222" s="261" t="s">
        <v>725</v>
      </c>
      <c r="C222" s="237" t="s">
        <v>726</v>
      </c>
      <c r="D222" s="237" t="s">
        <v>888</v>
      </c>
      <c r="E222" s="237" t="s">
        <v>728</v>
      </c>
      <c r="F222" s="262">
        <v>91888.88</v>
      </c>
      <c r="G222" s="263">
        <v>45287</v>
      </c>
      <c r="H222" s="231" t="s">
        <v>733</v>
      </c>
      <c r="I222" s="237" t="s">
        <v>167</v>
      </c>
      <c r="J222" s="262" t="s">
        <v>167</v>
      </c>
      <c r="K222" s="237" t="s">
        <v>167</v>
      </c>
      <c r="L222" s="237"/>
      <c r="M222" s="237"/>
    </row>
    <row r="223" spans="1:13">
      <c r="A223" s="241" t="s">
        <v>678</v>
      </c>
      <c r="B223" s="264" t="s">
        <v>725</v>
      </c>
      <c r="C223" s="241" t="s">
        <v>726</v>
      </c>
      <c r="D223" s="241"/>
      <c r="E223" s="241" t="s">
        <v>728</v>
      </c>
      <c r="F223" s="233"/>
      <c r="G223" s="265"/>
      <c r="H223" s="232"/>
      <c r="I223" s="241"/>
      <c r="J223" s="266"/>
      <c r="K223" s="241"/>
      <c r="L223" s="241"/>
      <c r="M223" s="241"/>
    </row>
    <row r="224" spans="1:13">
      <c r="A224" s="237" t="s">
        <v>678</v>
      </c>
      <c r="B224" s="261"/>
      <c r="C224" s="237"/>
      <c r="D224" s="237"/>
      <c r="E224" s="237"/>
      <c r="F224" s="262"/>
      <c r="G224" s="263"/>
      <c r="H224" s="231" t="s">
        <v>735</v>
      </c>
      <c r="I224" s="237"/>
      <c r="J224" s="262"/>
      <c r="K224" s="237"/>
      <c r="L224" s="237"/>
      <c r="M224" s="237"/>
    </row>
    <row r="225" spans="1:13">
      <c r="A225" s="241" t="s">
        <v>630</v>
      </c>
      <c r="B225" s="264" t="s">
        <v>237</v>
      </c>
      <c r="C225" s="241" t="s">
        <v>889</v>
      </c>
      <c r="D225" s="241"/>
      <c r="E225" s="241" t="s">
        <v>890</v>
      </c>
      <c r="F225" s="233">
        <v>3000000</v>
      </c>
      <c r="G225" s="265"/>
      <c r="H225" s="232" t="s">
        <v>891</v>
      </c>
      <c r="I225" s="241"/>
      <c r="J225" s="266"/>
      <c r="K225" s="241"/>
      <c r="L225" s="241"/>
      <c r="M225" s="241"/>
    </row>
    <row r="226" spans="1:13">
      <c r="A226" s="237" t="s">
        <v>630</v>
      </c>
      <c r="B226" s="261" t="s">
        <v>237</v>
      </c>
      <c r="C226" s="237" t="s">
        <v>892</v>
      </c>
      <c r="D226" s="237"/>
      <c r="E226" s="237" t="s">
        <v>893</v>
      </c>
      <c r="F226" s="262">
        <v>300000</v>
      </c>
      <c r="G226" s="263"/>
      <c r="H226" s="231" t="s">
        <v>894</v>
      </c>
      <c r="I226" s="237"/>
      <c r="J226" s="262"/>
      <c r="K226" s="237"/>
      <c r="L226" s="237"/>
      <c r="M226" s="237"/>
    </row>
    <row r="227" spans="1:13">
      <c r="A227" s="241" t="s">
        <v>630</v>
      </c>
      <c r="B227" s="264" t="s">
        <v>237</v>
      </c>
      <c r="C227" s="241" t="s">
        <v>895</v>
      </c>
      <c r="D227" s="241"/>
      <c r="E227" s="241" t="s">
        <v>896</v>
      </c>
      <c r="F227" s="233">
        <v>300000</v>
      </c>
      <c r="G227" s="265"/>
      <c r="H227" s="232" t="s">
        <v>894</v>
      </c>
      <c r="I227" s="241"/>
      <c r="J227" s="266"/>
      <c r="K227" s="241"/>
      <c r="L227" s="241"/>
      <c r="M227" s="241"/>
    </row>
    <row r="228" spans="1:13">
      <c r="A228" s="237" t="s">
        <v>630</v>
      </c>
      <c r="B228" s="261" t="s">
        <v>237</v>
      </c>
      <c r="C228" s="237" t="s">
        <v>897</v>
      </c>
      <c r="D228" s="237"/>
      <c r="E228" s="237" t="s">
        <v>898</v>
      </c>
      <c r="F228" s="262">
        <v>300000</v>
      </c>
      <c r="G228" s="263"/>
      <c r="H228" s="231" t="s">
        <v>894</v>
      </c>
      <c r="I228" s="237"/>
      <c r="J228" s="262"/>
      <c r="K228" s="237"/>
      <c r="L228" s="237"/>
      <c r="M228" s="237"/>
    </row>
    <row r="229" spans="1:13">
      <c r="A229" s="241" t="s">
        <v>630</v>
      </c>
      <c r="B229" s="264" t="s">
        <v>237</v>
      </c>
      <c r="C229" s="241" t="s">
        <v>899</v>
      </c>
      <c r="D229" s="241"/>
      <c r="E229" s="241" t="s">
        <v>900</v>
      </c>
      <c r="F229" s="233">
        <v>300000</v>
      </c>
      <c r="G229" s="265"/>
      <c r="H229" s="232" t="s">
        <v>901</v>
      </c>
      <c r="I229" s="241"/>
      <c r="J229" s="266"/>
      <c r="K229" s="241"/>
      <c r="L229" s="241"/>
      <c r="M229" s="241"/>
    </row>
    <row r="230" spans="1:13">
      <c r="A230" s="237" t="s">
        <v>630</v>
      </c>
      <c r="B230" s="261" t="s">
        <v>237</v>
      </c>
      <c r="C230" s="237" t="s">
        <v>902</v>
      </c>
      <c r="D230" s="237"/>
      <c r="E230" s="237" t="s">
        <v>902</v>
      </c>
      <c r="F230" s="262">
        <v>6480650</v>
      </c>
      <c r="G230" s="263"/>
      <c r="H230" s="231" t="s">
        <v>903</v>
      </c>
      <c r="I230" s="237"/>
      <c r="J230" s="262"/>
      <c r="K230" s="237"/>
      <c r="L230" s="237"/>
      <c r="M230" s="237"/>
    </row>
    <row r="231" spans="1:13">
      <c r="A231" s="241" t="s">
        <v>630</v>
      </c>
      <c r="B231" s="264" t="s">
        <v>237</v>
      </c>
      <c r="C231" s="241" t="s">
        <v>904</v>
      </c>
      <c r="D231" s="241"/>
      <c r="E231" s="241" t="s">
        <v>904</v>
      </c>
      <c r="F231" s="233">
        <v>2025000</v>
      </c>
      <c r="G231" s="265"/>
      <c r="H231" s="232" t="s">
        <v>905</v>
      </c>
      <c r="I231" s="241"/>
      <c r="J231" s="266"/>
      <c r="K231" s="241"/>
      <c r="L231" s="241"/>
      <c r="M231" s="241"/>
    </row>
    <row r="232" spans="1:13">
      <c r="A232" s="237" t="s">
        <v>630</v>
      </c>
      <c r="B232" s="261" t="s">
        <v>237</v>
      </c>
      <c r="C232" s="237" t="s">
        <v>904</v>
      </c>
      <c r="D232" s="237"/>
      <c r="E232" s="237" t="s">
        <v>904</v>
      </c>
      <c r="F232" s="262">
        <v>5900000</v>
      </c>
      <c r="G232" s="263"/>
      <c r="H232" s="231" t="s">
        <v>906</v>
      </c>
      <c r="I232" s="237"/>
      <c r="J232" s="262"/>
      <c r="K232" s="237"/>
      <c r="L232" s="237"/>
      <c r="M232" s="237"/>
    </row>
    <row r="233" spans="1:13">
      <c r="A233" s="241" t="s">
        <v>630</v>
      </c>
      <c r="B233" s="264" t="s">
        <v>237</v>
      </c>
      <c r="C233" s="241" t="s">
        <v>907</v>
      </c>
      <c r="D233" s="241"/>
      <c r="E233" s="241" t="s">
        <v>908</v>
      </c>
      <c r="F233" s="233">
        <v>405000</v>
      </c>
      <c r="G233" s="265"/>
      <c r="H233" s="232" t="s">
        <v>901</v>
      </c>
      <c r="I233" s="241"/>
      <c r="J233" s="266"/>
      <c r="K233" s="241"/>
      <c r="L233" s="241"/>
      <c r="M233" s="241"/>
    </row>
    <row r="234" spans="1:13">
      <c r="A234" s="237" t="s">
        <v>630</v>
      </c>
      <c r="B234" s="261" t="s">
        <v>237</v>
      </c>
      <c r="C234" s="237" t="s">
        <v>909</v>
      </c>
      <c r="D234" s="237"/>
      <c r="E234" s="237" t="s">
        <v>890</v>
      </c>
      <c r="F234" s="262">
        <v>1510000</v>
      </c>
      <c r="G234" s="263"/>
      <c r="H234" s="231" t="s">
        <v>910</v>
      </c>
      <c r="I234" s="237"/>
      <c r="J234" s="262"/>
      <c r="K234" s="237"/>
      <c r="L234" s="237"/>
      <c r="M234" s="237"/>
    </row>
    <row r="235" spans="1:13">
      <c r="A235" s="241" t="s">
        <v>630</v>
      </c>
      <c r="B235" s="264" t="s">
        <v>237</v>
      </c>
      <c r="C235" s="241" t="s">
        <v>911</v>
      </c>
      <c r="D235" s="241"/>
      <c r="E235" s="241" t="s">
        <v>912</v>
      </c>
      <c r="F235" s="233">
        <v>5411700</v>
      </c>
      <c r="G235" s="265"/>
      <c r="H235" s="232" t="s">
        <v>903</v>
      </c>
      <c r="I235" s="241"/>
      <c r="J235" s="266"/>
      <c r="K235" s="241"/>
      <c r="L235" s="241"/>
      <c r="M235" s="241"/>
    </row>
    <row r="236" spans="1:13">
      <c r="A236" s="237" t="s">
        <v>630</v>
      </c>
      <c r="B236" s="261" t="s">
        <v>237</v>
      </c>
      <c r="C236" s="237" t="s">
        <v>913</v>
      </c>
      <c r="D236" s="237"/>
      <c r="E236" s="237" t="s">
        <v>890</v>
      </c>
      <c r="F236" s="262">
        <v>342000</v>
      </c>
      <c r="G236" s="263"/>
      <c r="H236" s="231" t="s">
        <v>914</v>
      </c>
      <c r="I236" s="237"/>
      <c r="J236" s="262"/>
      <c r="K236" s="237"/>
      <c r="L236" s="237"/>
      <c r="M236" s="237"/>
    </row>
    <row r="237" spans="1:13">
      <c r="A237" s="241" t="s">
        <v>630</v>
      </c>
      <c r="B237" s="264" t="s">
        <v>237</v>
      </c>
      <c r="C237" s="241" t="s">
        <v>915</v>
      </c>
      <c r="D237" s="241"/>
      <c r="E237" s="241" t="s">
        <v>916</v>
      </c>
      <c r="F237" s="233">
        <v>4800000</v>
      </c>
      <c r="G237" s="265"/>
      <c r="H237" s="232" t="s">
        <v>910</v>
      </c>
      <c r="I237" s="241"/>
      <c r="J237" s="266"/>
      <c r="K237" s="241"/>
      <c r="L237" s="241"/>
      <c r="M237" s="241"/>
    </row>
    <row r="238" spans="1:13">
      <c r="A238" s="237" t="s">
        <v>630</v>
      </c>
      <c r="B238" s="261" t="s">
        <v>237</v>
      </c>
      <c r="C238" s="237" t="s">
        <v>917</v>
      </c>
      <c r="D238" s="237"/>
      <c r="E238" s="237" t="s">
        <v>917</v>
      </c>
      <c r="F238" s="262">
        <v>3091155</v>
      </c>
      <c r="G238" s="263"/>
      <c r="H238" s="231" t="s">
        <v>918</v>
      </c>
      <c r="I238" s="237"/>
      <c r="J238" s="262"/>
      <c r="K238" s="237"/>
      <c r="L238" s="237"/>
      <c r="M238" s="237"/>
    </row>
    <row r="239" spans="1:13">
      <c r="A239" s="241" t="s">
        <v>630</v>
      </c>
      <c r="B239" s="264" t="s">
        <v>237</v>
      </c>
      <c r="C239" s="241" t="s">
        <v>917</v>
      </c>
      <c r="D239" s="241"/>
      <c r="E239" s="241" t="s">
        <v>917</v>
      </c>
      <c r="F239" s="233">
        <v>6800000</v>
      </c>
      <c r="G239" s="265"/>
      <c r="H239" s="232" t="s">
        <v>906</v>
      </c>
      <c r="I239" s="241"/>
      <c r="J239" s="266"/>
      <c r="K239" s="241"/>
      <c r="L239" s="241"/>
      <c r="M239" s="241"/>
    </row>
    <row r="240" spans="1:13">
      <c r="A240" s="237" t="s">
        <v>630</v>
      </c>
      <c r="B240" s="261" t="s">
        <v>237</v>
      </c>
      <c r="C240" s="237" t="s">
        <v>919</v>
      </c>
      <c r="D240" s="237"/>
      <c r="E240" s="237" t="s">
        <v>919</v>
      </c>
      <c r="F240" s="262">
        <v>5273202.5</v>
      </c>
      <c r="G240" s="263"/>
      <c r="H240" s="231" t="s">
        <v>920</v>
      </c>
      <c r="I240" s="237"/>
      <c r="J240" s="262"/>
      <c r="K240" s="237"/>
      <c r="L240" s="237"/>
      <c r="M240" s="237"/>
    </row>
    <row r="241" spans="1:13">
      <c r="A241" s="241" t="s">
        <v>630</v>
      </c>
      <c r="B241" s="264" t="s">
        <v>237</v>
      </c>
      <c r="C241" s="241" t="s">
        <v>919</v>
      </c>
      <c r="D241" s="241"/>
      <c r="E241" s="241" t="s">
        <v>919</v>
      </c>
      <c r="F241" s="233">
        <v>12805000</v>
      </c>
      <c r="G241" s="265"/>
      <c r="H241" s="232" t="s">
        <v>921</v>
      </c>
      <c r="I241" s="241"/>
      <c r="J241" s="266"/>
      <c r="K241" s="241"/>
      <c r="L241" s="241"/>
      <c r="M241" s="241"/>
    </row>
    <row r="242" spans="1:13">
      <c r="A242" s="237" t="s">
        <v>630</v>
      </c>
      <c r="B242" s="261" t="s">
        <v>237</v>
      </c>
      <c r="C242" s="237" t="s">
        <v>922</v>
      </c>
      <c r="D242" s="237"/>
      <c r="E242" s="237" t="s">
        <v>922</v>
      </c>
      <c r="F242" s="262">
        <v>5273202.5</v>
      </c>
      <c r="G242" s="263"/>
      <c r="H242" s="231" t="s">
        <v>920</v>
      </c>
      <c r="I242" s="237"/>
      <c r="J242" s="262"/>
      <c r="K242" s="237"/>
      <c r="L242" s="237"/>
      <c r="M242" s="237"/>
    </row>
    <row r="243" spans="1:13">
      <c r="A243" s="241" t="s">
        <v>630</v>
      </c>
      <c r="B243" s="264" t="s">
        <v>237</v>
      </c>
      <c r="C243" s="241" t="s">
        <v>900</v>
      </c>
      <c r="D243" s="241"/>
      <c r="E243" s="241" t="s">
        <v>900</v>
      </c>
      <c r="F243" s="233">
        <v>2436250</v>
      </c>
      <c r="G243" s="265"/>
      <c r="H243" s="232" t="s">
        <v>906</v>
      </c>
      <c r="I243" s="241"/>
      <c r="J243" s="266"/>
      <c r="K243" s="241"/>
      <c r="L243" s="241"/>
      <c r="M243" s="241"/>
    </row>
    <row r="244" spans="1:13">
      <c r="A244" s="237" t="s">
        <v>630</v>
      </c>
      <c r="B244" s="261" t="s">
        <v>237</v>
      </c>
      <c r="C244" s="237" t="s">
        <v>923</v>
      </c>
      <c r="D244" s="237"/>
      <c r="E244" s="237" t="s">
        <v>924</v>
      </c>
      <c r="F244" s="262">
        <v>1485000</v>
      </c>
      <c r="G244" s="263"/>
      <c r="H244" s="231" t="s">
        <v>903</v>
      </c>
      <c r="I244" s="237"/>
      <c r="J244" s="262"/>
      <c r="K244" s="237"/>
      <c r="L244" s="237"/>
      <c r="M244" s="237"/>
    </row>
    <row r="245" spans="1:13">
      <c r="A245" s="241" t="s">
        <v>630</v>
      </c>
      <c r="B245" s="264" t="s">
        <v>237</v>
      </c>
      <c r="C245" s="241" t="s">
        <v>925</v>
      </c>
      <c r="D245" s="241"/>
      <c r="E245" s="241" t="s">
        <v>907</v>
      </c>
      <c r="F245" s="233">
        <v>31640767</v>
      </c>
      <c r="G245" s="265"/>
      <c r="H245" s="232" t="s">
        <v>926</v>
      </c>
      <c r="I245" s="241"/>
      <c r="J245" s="266"/>
      <c r="K245" s="241"/>
      <c r="L245" s="241"/>
      <c r="M245" s="241"/>
    </row>
    <row r="246" spans="1:13">
      <c r="A246" s="237" t="s">
        <v>630</v>
      </c>
      <c r="B246" s="261" t="s">
        <v>237</v>
      </c>
      <c r="C246" s="237" t="s">
        <v>908</v>
      </c>
      <c r="D246" s="237"/>
      <c r="E246" s="237" t="s">
        <v>908</v>
      </c>
      <c r="F246" s="262">
        <v>2436250</v>
      </c>
      <c r="G246" s="263"/>
      <c r="H246" s="231" t="s">
        <v>906</v>
      </c>
      <c r="I246" s="237"/>
      <c r="J246" s="262"/>
      <c r="K246" s="237"/>
      <c r="L246" s="237"/>
      <c r="M246" s="237"/>
    </row>
    <row r="247" spans="1:13">
      <c r="A247" s="241" t="s">
        <v>634</v>
      </c>
      <c r="B247" s="264" t="s">
        <v>927</v>
      </c>
      <c r="C247" s="241" t="s">
        <v>928</v>
      </c>
      <c r="D247" s="241"/>
      <c r="E247" s="241" t="s">
        <v>929</v>
      </c>
      <c r="F247" s="233">
        <v>2100000</v>
      </c>
      <c r="G247" s="265"/>
      <c r="H247" s="232" t="s">
        <v>930</v>
      </c>
      <c r="I247" s="241" t="s">
        <v>931</v>
      </c>
      <c r="J247" s="266"/>
      <c r="K247" s="241"/>
      <c r="L247" s="241"/>
      <c r="M247" s="241"/>
    </row>
    <row r="248" spans="1:13">
      <c r="A248" s="237" t="s">
        <v>634</v>
      </c>
      <c r="B248" s="261" t="s">
        <v>927</v>
      </c>
      <c r="C248" s="237" t="s">
        <v>932</v>
      </c>
      <c r="D248" s="237"/>
      <c r="E248" s="237" t="s">
        <v>929</v>
      </c>
      <c r="F248" s="262">
        <v>8004000</v>
      </c>
      <c r="G248" s="263"/>
      <c r="H248" s="231" t="s">
        <v>933</v>
      </c>
      <c r="I248" s="237" t="s">
        <v>934</v>
      </c>
      <c r="J248" s="262"/>
      <c r="K248" s="237"/>
      <c r="L248" s="237"/>
      <c r="M248" s="237"/>
    </row>
    <row r="249" spans="1:13">
      <c r="A249" s="241" t="s">
        <v>634</v>
      </c>
      <c r="B249" s="264" t="s">
        <v>927</v>
      </c>
      <c r="C249" s="241"/>
      <c r="D249" s="241"/>
      <c r="E249" s="241" t="s">
        <v>935</v>
      </c>
      <c r="F249" s="233">
        <v>2100000</v>
      </c>
      <c r="G249" s="265"/>
      <c r="H249" s="232" t="s">
        <v>930</v>
      </c>
      <c r="I249" s="241" t="s">
        <v>931</v>
      </c>
      <c r="J249" s="266"/>
      <c r="K249" s="241"/>
      <c r="L249" s="241"/>
      <c r="M249" s="241"/>
    </row>
    <row r="250" spans="1:13">
      <c r="A250" s="237" t="s">
        <v>634</v>
      </c>
      <c r="B250" s="261" t="s">
        <v>927</v>
      </c>
      <c r="C250" s="237"/>
      <c r="D250" s="237"/>
      <c r="E250" s="237" t="s">
        <v>935</v>
      </c>
      <c r="F250" s="262">
        <v>8004000</v>
      </c>
      <c r="G250" s="263"/>
      <c r="H250" s="231" t="s">
        <v>933</v>
      </c>
      <c r="I250" s="237" t="s">
        <v>934</v>
      </c>
      <c r="J250" s="262"/>
      <c r="K250" s="237"/>
      <c r="L250" s="237"/>
      <c r="M250" s="237"/>
    </row>
    <row r="251" spans="1:13">
      <c r="A251" s="241" t="s">
        <v>634</v>
      </c>
      <c r="B251" s="264" t="s">
        <v>927</v>
      </c>
      <c r="C251" s="241"/>
      <c r="D251" s="241"/>
      <c r="E251" s="241" t="s">
        <v>936</v>
      </c>
      <c r="F251" s="233">
        <v>1194857</v>
      </c>
      <c r="G251" s="265"/>
      <c r="H251" s="232" t="s">
        <v>733</v>
      </c>
      <c r="I251" s="241" t="s">
        <v>937</v>
      </c>
      <c r="J251" s="266"/>
      <c r="K251" s="241"/>
      <c r="L251" s="241"/>
      <c r="M251" s="241"/>
    </row>
    <row r="252" spans="1:13">
      <c r="A252" s="237" t="s">
        <v>634</v>
      </c>
      <c r="B252" s="261" t="s">
        <v>927</v>
      </c>
      <c r="C252" s="237"/>
      <c r="D252" s="237"/>
      <c r="E252" s="237" t="s">
        <v>936</v>
      </c>
      <c r="F252" s="262">
        <v>2100000</v>
      </c>
      <c r="G252" s="263"/>
      <c r="H252" s="231" t="s">
        <v>930</v>
      </c>
      <c r="I252" s="237" t="s">
        <v>931</v>
      </c>
      <c r="J252" s="262"/>
      <c r="K252" s="237"/>
      <c r="L252" s="237"/>
      <c r="M252" s="237"/>
    </row>
    <row r="253" spans="1:13">
      <c r="A253" s="241" t="s">
        <v>634</v>
      </c>
      <c r="B253" s="264" t="s">
        <v>927</v>
      </c>
      <c r="C253" s="241"/>
      <c r="D253" s="241"/>
      <c r="E253" s="241" t="s">
        <v>938</v>
      </c>
      <c r="F253" s="233">
        <v>2100000</v>
      </c>
      <c r="G253" s="265"/>
      <c r="H253" s="232" t="s">
        <v>930</v>
      </c>
      <c r="I253" s="241" t="s">
        <v>931</v>
      </c>
      <c r="J253" s="266"/>
      <c r="K253" s="241"/>
      <c r="L253" s="241"/>
      <c r="M253" s="241"/>
    </row>
    <row r="254" spans="1:13">
      <c r="A254" s="237" t="s">
        <v>634</v>
      </c>
      <c r="B254" s="261" t="s">
        <v>927</v>
      </c>
      <c r="C254" s="237"/>
      <c r="D254" s="237"/>
      <c r="E254" s="237" t="s">
        <v>939</v>
      </c>
      <c r="F254" s="262">
        <v>1194857</v>
      </c>
      <c r="G254" s="263"/>
      <c r="H254" s="231" t="s">
        <v>733</v>
      </c>
      <c r="I254" s="237" t="s">
        <v>937</v>
      </c>
      <c r="J254" s="262"/>
      <c r="K254" s="237"/>
      <c r="L254" s="237"/>
      <c r="M254" s="237"/>
    </row>
    <row r="255" spans="1:13">
      <c r="A255" s="241" t="s">
        <v>634</v>
      </c>
      <c r="B255" s="264" t="s">
        <v>927</v>
      </c>
      <c r="C255" s="241"/>
      <c r="D255" s="241"/>
      <c r="E255" s="241" t="s">
        <v>939</v>
      </c>
      <c r="F255" s="233">
        <v>2100000</v>
      </c>
      <c r="G255" s="265"/>
      <c r="H255" s="232" t="s">
        <v>930</v>
      </c>
      <c r="I255" s="241" t="s">
        <v>931</v>
      </c>
      <c r="J255" s="266"/>
      <c r="K255" s="241"/>
      <c r="L255" s="241"/>
      <c r="M255" s="241"/>
    </row>
    <row r="256" spans="1:13">
      <c r="A256" s="237" t="s">
        <v>634</v>
      </c>
      <c r="B256" s="261" t="s">
        <v>927</v>
      </c>
      <c r="C256" s="237"/>
      <c r="D256" s="237"/>
      <c r="E256" s="237" t="s">
        <v>939</v>
      </c>
      <c r="F256" s="262">
        <v>2500000</v>
      </c>
      <c r="G256" s="263"/>
      <c r="H256" s="231" t="s">
        <v>930</v>
      </c>
      <c r="I256" s="237" t="s">
        <v>940</v>
      </c>
      <c r="J256" s="262"/>
      <c r="K256" s="237"/>
      <c r="L256" s="237"/>
      <c r="M256" s="237"/>
    </row>
    <row r="257" spans="1:13">
      <c r="A257" s="241" t="s">
        <v>634</v>
      </c>
      <c r="B257" s="264" t="s">
        <v>927</v>
      </c>
      <c r="C257" s="241"/>
      <c r="D257" s="241"/>
      <c r="E257" s="241" t="s">
        <v>939</v>
      </c>
      <c r="F257" s="233">
        <v>2249500</v>
      </c>
      <c r="G257" s="265"/>
      <c r="H257" s="232" t="s">
        <v>933</v>
      </c>
      <c r="I257" s="241" t="s">
        <v>941</v>
      </c>
      <c r="J257" s="266"/>
      <c r="K257" s="241"/>
      <c r="L257" s="241"/>
      <c r="M257" s="241"/>
    </row>
    <row r="258" spans="1:13">
      <c r="A258" s="237" t="s">
        <v>634</v>
      </c>
      <c r="B258" s="261" t="s">
        <v>927</v>
      </c>
      <c r="C258" s="237"/>
      <c r="D258" s="237"/>
      <c r="E258" s="237" t="s">
        <v>939</v>
      </c>
      <c r="F258" s="262">
        <v>4520500</v>
      </c>
      <c r="G258" s="263"/>
      <c r="H258" s="231" t="s">
        <v>729</v>
      </c>
      <c r="I258" s="237" t="s">
        <v>942</v>
      </c>
      <c r="J258" s="262"/>
      <c r="K258" s="237"/>
      <c r="L258" s="237"/>
      <c r="M258" s="237"/>
    </row>
    <row r="259" spans="1:13">
      <c r="A259" s="241" t="s">
        <v>634</v>
      </c>
      <c r="B259" s="264" t="s">
        <v>927</v>
      </c>
      <c r="C259" s="241"/>
      <c r="D259" s="241"/>
      <c r="E259" s="241" t="s">
        <v>939</v>
      </c>
      <c r="F259" s="233">
        <v>2500000</v>
      </c>
      <c r="G259" s="265"/>
      <c r="H259" s="232" t="s">
        <v>729</v>
      </c>
      <c r="I259" s="241" t="s">
        <v>943</v>
      </c>
      <c r="J259" s="266"/>
      <c r="K259" s="241"/>
      <c r="L259" s="241"/>
      <c r="M259" s="241"/>
    </row>
    <row r="260" spans="1:13">
      <c r="A260" s="237" t="s">
        <v>634</v>
      </c>
      <c r="B260" s="261" t="s">
        <v>927</v>
      </c>
      <c r="C260" s="237"/>
      <c r="D260" s="237"/>
      <c r="E260" s="237" t="s">
        <v>939</v>
      </c>
      <c r="F260" s="262">
        <v>8004000</v>
      </c>
      <c r="G260" s="263"/>
      <c r="H260" s="231" t="s">
        <v>933</v>
      </c>
      <c r="I260" s="237" t="s">
        <v>934</v>
      </c>
      <c r="J260" s="262"/>
      <c r="K260" s="237"/>
      <c r="L260" s="237"/>
      <c r="M260" s="237"/>
    </row>
    <row r="261" spans="1:13">
      <c r="A261" s="241" t="s">
        <v>634</v>
      </c>
      <c r="B261" s="264" t="s">
        <v>927</v>
      </c>
      <c r="C261" s="241"/>
      <c r="D261" s="241"/>
      <c r="E261" s="241" t="s">
        <v>939</v>
      </c>
      <c r="F261" s="233">
        <v>1567000</v>
      </c>
      <c r="G261" s="265"/>
      <c r="H261" s="232" t="s">
        <v>733</v>
      </c>
      <c r="I261" s="241" t="s">
        <v>944</v>
      </c>
      <c r="J261" s="266"/>
      <c r="K261" s="241"/>
      <c r="L261" s="241"/>
      <c r="M261" s="241"/>
    </row>
    <row r="262" spans="1:13">
      <c r="A262" s="237" t="s">
        <v>634</v>
      </c>
      <c r="B262" s="261" t="s">
        <v>927</v>
      </c>
      <c r="C262" s="237"/>
      <c r="D262" s="237"/>
      <c r="E262" s="237" t="s">
        <v>945</v>
      </c>
      <c r="F262" s="262">
        <v>1194857</v>
      </c>
      <c r="G262" s="263"/>
      <c r="H262" s="231" t="s">
        <v>733</v>
      </c>
      <c r="I262" s="237" t="s">
        <v>937</v>
      </c>
      <c r="J262" s="262"/>
      <c r="K262" s="237"/>
      <c r="L262" s="237"/>
      <c r="M262" s="237"/>
    </row>
    <row r="263" spans="1:13">
      <c r="A263" s="241" t="s">
        <v>634</v>
      </c>
      <c r="B263" s="264" t="s">
        <v>927</v>
      </c>
      <c r="C263" s="241"/>
      <c r="D263" s="241"/>
      <c r="E263" s="241" t="s">
        <v>945</v>
      </c>
      <c r="F263" s="233">
        <v>4520500</v>
      </c>
      <c r="G263" s="265"/>
      <c r="H263" s="232" t="s">
        <v>729</v>
      </c>
      <c r="I263" s="241" t="s">
        <v>946</v>
      </c>
      <c r="J263" s="266"/>
      <c r="K263" s="241"/>
      <c r="L263" s="241"/>
      <c r="M263" s="241"/>
    </row>
    <row r="264" spans="1:13">
      <c r="A264" s="237" t="s">
        <v>634</v>
      </c>
      <c r="B264" s="261" t="s">
        <v>927</v>
      </c>
      <c r="C264" s="237"/>
      <c r="D264" s="237"/>
      <c r="E264" s="237" t="s">
        <v>945</v>
      </c>
      <c r="F264" s="262">
        <v>2500000</v>
      </c>
      <c r="G264" s="263"/>
      <c r="H264" s="231" t="s">
        <v>729</v>
      </c>
      <c r="I264" s="237" t="s">
        <v>947</v>
      </c>
      <c r="J264" s="262"/>
      <c r="K264" s="237"/>
      <c r="L264" s="237"/>
      <c r="M264" s="237"/>
    </row>
    <row r="265" spans="1:13">
      <c r="A265" s="241" t="s">
        <v>634</v>
      </c>
      <c r="B265" s="264" t="s">
        <v>927</v>
      </c>
      <c r="C265" s="241"/>
      <c r="D265" s="241"/>
      <c r="E265" s="241" t="s">
        <v>945</v>
      </c>
      <c r="F265" s="233">
        <v>307142</v>
      </c>
      <c r="G265" s="265"/>
      <c r="H265" s="232" t="s">
        <v>733</v>
      </c>
      <c r="I265" s="241" t="s">
        <v>948</v>
      </c>
      <c r="J265" s="266"/>
      <c r="K265" s="241"/>
      <c r="L265" s="241"/>
      <c r="M265" s="241"/>
    </row>
    <row r="266" spans="1:13">
      <c r="A266" s="237" t="s">
        <v>634</v>
      </c>
      <c r="B266" s="261" t="s">
        <v>927</v>
      </c>
      <c r="C266" s="237"/>
      <c r="D266" s="237"/>
      <c r="E266" s="237" t="s">
        <v>945</v>
      </c>
      <c r="F266" s="262">
        <v>8004000</v>
      </c>
      <c r="G266" s="263"/>
      <c r="H266" s="231" t="s">
        <v>933</v>
      </c>
      <c r="I266" s="237" t="s">
        <v>934</v>
      </c>
      <c r="J266" s="262"/>
      <c r="K266" s="237"/>
      <c r="L266" s="237"/>
      <c r="M266" s="237"/>
    </row>
    <row r="267" spans="1:13">
      <c r="A267" s="241" t="s">
        <v>634</v>
      </c>
      <c r="B267" s="264" t="s">
        <v>927</v>
      </c>
      <c r="C267" s="241"/>
      <c r="D267" s="241"/>
      <c r="E267" s="241" t="s">
        <v>949</v>
      </c>
      <c r="F267" s="233">
        <v>307142</v>
      </c>
      <c r="G267" s="265"/>
      <c r="H267" s="232" t="s">
        <v>733</v>
      </c>
      <c r="I267" s="241" t="s">
        <v>948</v>
      </c>
      <c r="J267" s="266"/>
      <c r="K267" s="241"/>
      <c r="L267" s="241"/>
      <c r="M267" s="241"/>
    </row>
    <row r="268" spans="1:13">
      <c r="A268" s="237" t="s">
        <v>634</v>
      </c>
      <c r="B268" s="261" t="s">
        <v>927</v>
      </c>
      <c r="C268" s="237"/>
      <c r="D268" s="237"/>
      <c r="E268" s="237" t="s">
        <v>949</v>
      </c>
      <c r="F268" s="262">
        <v>1194857</v>
      </c>
      <c r="G268" s="263"/>
      <c r="H268" s="231" t="s">
        <v>733</v>
      </c>
      <c r="I268" s="237" t="s">
        <v>937</v>
      </c>
      <c r="J268" s="262"/>
      <c r="K268" s="237"/>
      <c r="L268" s="237"/>
      <c r="M268" s="237"/>
    </row>
    <row r="269" spans="1:13">
      <c r="A269" s="241" t="s">
        <v>634</v>
      </c>
      <c r="B269" s="264" t="s">
        <v>927</v>
      </c>
      <c r="C269" s="241"/>
      <c r="D269" s="241"/>
      <c r="E269" s="241" t="s">
        <v>949</v>
      </c>
      <c r="F269" s="233">
        <v>2000000</v>
      </c>
      <c r="G269" s="265"/>
      <c r="H269" s="232" t="s">
        <v>729</v>
      </c>
      <c r="I269" s="241" t="s">
        <v>950</v>
      </c>
      <c r="J269" s="266"/>
      <c r="K269" s="241"/>
      <c r="L269" s="241"/>
      <c r="M269" s="241"/>
    </row>
    <row r="270" spans="1:13">
      <c r="A270" s="237" t="s">
        <v>634</v>
      </c>
      <c r="B270" s="261" t="s">
        <v>927</v>
      </c>
      <c r="C270" s="237"/>
      <c r="D270" s="237"/>
      <c r="E270" s="237" t="s">
        <v>949</v>
      </c>
      <c r="F270" s="262">
        <v>900000</v>
      </c>
      <c r="G270" s="263"/>
      <c r="H270" s="231" t="s">
        <v>729</v>
      </c>
      <c r="I270" s="237" t="s">
        <v>951</v>
      </c>
      <c r="J270" s="262"/>
      <c r="K270" s="237"/>
      <c r="L270" s="237"/>
      <c r="M270" s="237"/>
    </row>
    <row r="271" spans="1:13">
      <c r="A271" s="241" t="s">
        <v>634</v>
      </c>
      <c r="B271" s="264" t="s">
        <v>927</v>
      </c>
      <c r="C271" s="241"/>
      <c r="D271" s="241"/>
      <c r="E271" s="241" t="s">
        <v>949</v>
      </c>
      <c r="F271" s="233">
        <v>4000000</v>
      </c>
      <c r="G271" s="265"/>
      <c r="H271" s="232" t="s">
        <v>733</v>
      </c>
      <c r="I271" s="241" t="s">
        <v>952</v>
      </c>
      <c r="J271" s="266"/>
      <c r="K271" s="241"/>
      <c r="L271" s="241"/>
      <c r="M271" s="241"/>
    </row>
    <row r="272" spans="1:13">
      <c r="A272" s="237" t="s">
        <v>634</v>
      </c>
      <c r="B272" s="261" t="s">
        <v>927</v>
      </c>
      <c r="C272" s="237"/>
      <c r="D272" s="237"/>
      <c r="E272" s="237" t="s">
        <v>953</v>
      </c>
      <c r="F272" s="262">
        <v>1194857</v>
      </c>
      <c r="G272" s="263"/>
      <c r="H272" s="231" t="s">
        <v>733</v>
      </c>
      <c r="I272" s="237" t="s">
        <v>937</v>
      </c>
      <c r="J272" s="262"/>
      <c r="K272" s="237"/>
      <c r="L272" s="237"/>
      <c r="M272" s="237"/>
    </row>
    <row r="273" spans="1:13">
      <c r="A273" s="241" t="s">
        <v>634</v>
      </c>
      <c r="B273" s="264" t="s">
        <v>927</v>
      </c>
      <c r="C273" s="241"/>
      <c r="D273" s="241"/>
      <c r="E273" s="241" t="s">
        <v>953</v>
      </c>
      <c r="F273" s="233">
        <v>8004000</v>
      </c>
      <c r="G273" s="265"/>
      <c r="H273" s="232" t="s">
        <v>933</v>
      </c>
      <c r="I273" s="241" t="s">
        <v>934</v>
      </c>
      <c r="J273" s="266"/>
      <c r="K273" s="241"/>
      <c r="L273" s="241"/>
      <c r="M273" s="241"/>
    </row>
    <row r="274" spans="1:13">
      <c r="A274" s="237" t="s">
        <v>634</v>
      </c>
      <c r="B274" s="261" t="s">
        <v>927</v>
      </c>
      <c r="C274" s="237"/>
      <c r="D274" s="237"/>
      <c r="E274" s="237" t="s">
        <v>954</v>
      </c>
      <c r="F274" s="262">
        <v>11200600</v>
      </c>
      <c r="G274" s="263"/>
      <c r="H274" s="231" t="s">
        <v>729</v>
      </c>
      <c r="I274" s="237" t="s">
        <v>955</v>
      </c>
      <c r="J274" s="262"/>
      <c r="K274" s="237"/>
      <c r="L274" s="237"/>
      <c r="M274" s="237"/>
    </row>
    <row r="275" spans="1:13">
      <c r="A275" s="241" t="s">
        <v>634</v>
      </c>
      <c r="B275" s="264" t="s">
        <v>927</v>
      </c>
      <c r="C275" s="241"/>
      <c r="D275" s="241"/>
      <c r="E275" s="241" t="s">
        <v>954</v>
      </c>
      <c r="F275" s="233">
        <v>800000</v>
      </c>
      <c r="G275" s="265"/>
      <c r="H275" s="232" t="s">
        <v>729</v>
      </c>
      <c r="I275" s="241" t="s">
        <v>956</v>
      </c>
      <c r="J275" s="266"/>
      <c r="K275" s="241"/>
      <c r="L275" s="241"/>
      <c r="M275" s="241"/>
    </row>
    <row r="276" spans="1:13">
      <c r="A276" s="237" t="s">
        <v>634</v>
      </c>
      <c r="B276" s="261" t="s">
        <v>927</v>
      </c>
      <c r="C276" s="237"/>
      <c r="D276" s="237"/>
      <c r="E276" s="237" t="s">
        <v>957</v>
      </c>
      <c r="F276" s="262">
        <v>307142</v>
      </c>
      <c r="G276" s="263"/>
      <c r="H276" s="231" t="s">
        <v>733</v>
      </c>
      <c r="I276" s="237" t="s">
        <v>958</v>
      </c>
      <c r="J276" s="262"/>
      <c r="K276" s="237"/>
      <c r="L276" s="237"/>
      <c r="M276" s="237"/>
    </row>
    <row r="277" spans="1:13">
      <c r="A277" s="241" t="s">
        <v>634</v>
      </c>
      <c r="B277" s="264" t="s">
        <v>927</v>
      </c>
      <c r="C277" s="241"/>
      <c r="D277" s="241"/>
      <c r="E277" s="241" t="s">
        <v>957</v>
      </c>
      <c r="F277" s="233">
        <v>1194857</v>
      </c>
      <c r="G277" s="265"/>
      <c r="H277" s="232" t="s">
        <v>733</v>
      </c>
      <c r="I277" s="241" t="s">
        <v>937</v>
      </c>
      <c r="J277" s="266"/>
      <c r="K277" s="241"/>
      <c r="L277" s="241"/>
      <c r="M277" s="241"/>
    </row>
    <row r="278" spans="1:13">
      <c r="A278" s="237" t="s">
        <v>634</v>
      </c>
      <c r="B278" s="261" t="s">
        <v>927</v>
      </c>
      <c r="C278" s="237"/>
      <c r="D278" s="237"/>
      <c r="E278" s="237" t="s">
        <v>959</v>
      </c>
      <c r="F278" s="262">
        <v>307142</v>
      </c>
      <c r="G278" s="263"/>
      <c r="H278" s="231" t="s">
        <v>733</v>
      </c>
      <c r="I278" s="237" t="s">
        <v>958</v>
      </c>
      <c r="J278" s="262"/>
      <c r="K278" s="237"/>
      <c r="L278" s="237"/>
      <c r="M278" s="237"/>
    </row>
    <row r="279" spans="1:13">
      <c r="A279" s="241" t="s">
        <v>634</v>
      </c>
      <c r="B279" s="264" t="s">
        <v>927</v>
      </c>
      <c r="C279" s="241"/>
      <c r="D279" s="241"/>
      <c r="E279" s="241" t="s">
        <v>959</v>
      </c>
      <c r="F279" s="233">
        <v>8004000</v>
      </c>
      <c r="G279" s="265"/>
      <c r="H279" s="232" t="s">
        <v>933</v>
      </c>
      <c r="I279" s="241" t="s">
        <v>960</v>
      </c>
      <c r="J279" s="266"/>
      <c r="K279" s="241"/>
      <c r="L279" s="241"/>
      <c r="M279" s="241"/>
    </row>
    <row r="280" spans="1:13">
      <c r="A280" s="237" t="s">
        <v>634</v>
      </c>
      <c r="B280" s="261" t="s">
        <v>927</v>
      </c>
      <c r="C280" s="237"/>
      <c r="D280" s="237"/>
      <c r="E280" s="237" t="s">
        <v>959</v>
      </c>
      <c r="F280" s="262">
        <v>1194857</v>
      </c>
      <c r="G280" s="263"/>
      <c r="H280" s="231" t="s">
        <v>733</v>
      </c>
      <c r="I280" s="237" t="s">
        <v>937</v>
      </c>
      <c r="J280" s="262"/>
      <c r="K280" s="237"/>
      <c r="L280" s="237"/>
      <c r="M280" s="237"/>
    </row>
    <row r="281" spans="1:13">
      <c r="A281" s="241" t="s">
        <v>634</v>
      </c>
      <c r="B281" s="264" t="s">
        <v>927</v>
      </c>
      <c r="C281" s="241"/>
      <c r="D281" s="241"/>
      <c r="E281" s="241" t="s">
        <v>961</v>
      </c>
      <c r="F281" s="233">
        <v>307142</v>
      </c>
      <c r="G281" s="265"/>
      <c r="H281" s="232" t="s">
        <v>733</v>
      </c>
      <c r="I281" s="241" t="s">
        <v>962</v>
      </c>
      <c r="J281" s="266"/>
      <c r="K281" s="241"/>
      <c r="L281" s="241"/>
      <c r="M281" s="241"/>
    </row>
    <row r="282" spans="1:13">
      <c r="A282" s="237" t="s">
        <v>634</v>
      </c>
      <c r="B282" s="261" t="s">
        <v>927</v>
      </c>
      <c r="C282" s="237"/>
      <c r="D282" s="237"/>
      <c r="E282" s="237" t="s">
        <v>961</v>
      </c>
      <c r="F282" s="262">
        <v>2100000</v>
      </c>
      <c r="G282" s="263"/>
      <c r="H282" s="231" t="s">
        <v>930</v>
      </c>
      <c r="I282" s="237" t="s">
        <v>963</v>
      </c>
      <c r="J282" s="262"/>
      <c r="K282" s="237"/>
      <c r="L282" s="237"/>
      <c r="M282" s="237"/>
    </row>
    <row r="283" spans="1:13">
      <c r="A283" s="241" t="s">
        <v>634</v>
      </c>
      <c r="B283" s="264" t="s">
        <v>927</v>
      </c>
      <c r="C283" s="241"/>
      <c r="D283" s="241"/>
      <c r="E283" s="241" t="s">
        <v>964</v>
      </c>
      <c r="F283" s="233">
        <v>8004000</v>
      </c>
      <c r="G283" s="265"/>
      <c r="H283" s="232" t="s">
        <v>933</v>
      </c>
      <c r="I283" s="241" t="s">
        <v>934</v>
      </c>
      <c r="J283" s="266"/>
      <c r="K283" s="241"/>
      <c r="L283" s="241"/>
      <c r="M283" s="241"/>
    </row>
    <row r="284" spans="1:13">
      <c r="A284" s="237" t="s">
        <v>634</v>
      </c>
      <c r="B284" s="261" t="s">
        <v>927</v>
      </c>
      <c r="C284" s="237"/>
      <c r="D284" s="237"/>
      <c r="E284" s="237" t="s">
        <v>965</v>
      </c>
      <c r="F284" s="262">
        <v>8004000</v>
      </c>
      <c r="G284" s="263"/>
      <c r="H284" s="231" t="s">
        <v>933</v>
      </c>
      <c r="I284" s="237" t="s">
        <v>934</v>
      </c>
      <c r="J284" s="262"/>
      <c r="K284" s="237"/>
      <c r="L284" s="237"/>
      <c r="M284" s="237"/>
    </row>
    <row r="285" spans="1:13">
      <c r="A285" s="241" t="s">
        <v>634</v>
      </c>
      <c r="B285" s="264" t="s">
        <v>927</v>
      </c>
      <c r="C285" s="241"/>
      <c r="D285" s="241"/>
      <c r="E285" s="241" t="s">
        <v>966</v>
      </c>
      <c r="F285" s="233">
        <v>2100000</v>
      </c>
      <c r="G285" s="265"/>
      <c r="H285" s="232" t="s">
        <v>930</v>
      </c>
      <c r="I285" s="241" t="s">
        <v>963</v>
      </c>
      <c r="J285" s="266"/>
      <c r="K285" s="241"/>
      <c r="L285" s="241"/>
      <c r="M285" s="241"/>
    </row>
    <row r="286" spans="1:13">
      <c r="A286" s="237" t="s">
        <v>634</v>
      </c>
      <c r="B286" s="261" t="s">
        <v>927</v>
      </c>
      <c r="C286" s="237"/>
      <c r="D286" s="237"/>
      <c r="E286" s="237" t="s">
        <v>967</v>
      </c>
      <c r="F286" s="262">
        <v>615285</v>
      </c>
      <c r="G286" s="263"/>
      <c r="H286" s="231" t="s">
        <v>729</v>
      </c>
      <c r="I286" s="237" t="s">
        <v>968</v>
      </c>
      <c r="J286" s="262"/>
      <c r="K286" s="237"/>
      <c r="L286" s="237"/>
      <c r="M286" s="237"/>
    </row>
    <row r="287" spans="1:13">
      <c r="A287" s="241" t="s">
        <v>634</v>
      </c>
      <c r="B287" s="264" t="s">
        <v>927</v>
      </c>
      <c r="C287" s="241"/>
      <c r="D287" s="241"/>
      <c r="E287" s="241" t="s">
        <v>969</v>
      </c>
      <c r="F287" s="233">
        <v>1240000</v>
      </c>
      <c r="G287" s="265"/>
      <c r="H287" s="232" t="s">
        <v>733</v>
      </c>
      <c r="I287" s="241" t="s">
        <v>970</v>
      </c>
      <c r="J287" s="266"/>
      <c r="K287" s="241"/>
      <c r="L287" s="241"/>
      <c r="M287" s="241"/>
    </row>
    <row r="288" spans="1:13">
      <c r="A288" s="237" t="s">
        <v>634</v>
      </c>
      <c r="B288" s="261" t="s">
        <v>927</v>
      </c>
      <c r="C288" s="237"/>
      <c r="D288" s="237"/>
      <c r="E288" s="237" t="s">
        <v>971</v>
      </c>
      <c r="F288" s="262">
        <v>1240000</v>
      </c>
      <c r="G288" s="263"/>
      <c r="H288" s="231" t="s">
        <v>733</v>
      </c>
      <c r="I288" s="237" t="s">
        <v>972</v>
      </c>
      <c r="J288" s="262"/>
      <c r="K288" s="237"/>
      <c r="L288" s="237"/>
      <c r="M288" s="237"/>
    </row>
    <row r="289" spans="1:13">
      <c r="A289" s="241" t="s">
        <v>634</v>
      </c>
      <c r="B289" s="264" t="s">
        <v>927</v>
      </c>
      <c r="C289" s="241"/>
      <c r="D289" s="241"/>
      <c r="E289" s="241" t="s">
        <v>973</v>
      </c>
      <c r="F289" s="233">
        <v>2000000</v>
      </c>
      <c r="G289" s="265"/>
      <c r="H289" s="232" t="s">
        <v>974</v>
      </c>
      <c r="I289" s="241" t="s">
        <v>975</v>
      </c>
      <c r="J289" s="266"/>
      <c r="K289" s="241"/>
      <c r="L289" s="241"/>
      <c r="M289" s="241"/>
    </row>
    <row r="290" spans="1:13">
      <c r="A290" s="237" t="s">
        <v>634</v>
      </c>
      <c r="B290" s="261" t="s">
        <v>927</v>
      </c>
      <c r="C290" s="237"/>
      <c r="D290" s="237"/>
      <c r="E290" s="237" t="s">
        <v>976</v>
      </c>
      <c r="F290" s="262">
        <v>3210000</v>
      </c>
      <c r="G290" s="263"/>
      <c r="H290" s="231" t="s">
        <v>933</v>
      </c>
      <c r="I290" s="237" t="s">
        <v>977</v>
      </c>
      <c r="J290" s="262"/>
      <c r="K290" s="237"/>
      <c r="L290" s="237"/>
      <c r="M290" s="237"/>
    </row>
    <row r="291" spans="1:13">
      <c r="A291" s="241" t="s">
        <v>978</v>
      </c>
      <c r="B291" s="264">
        <v>4408622</v>
      </c>
      <c r="C291" s="241"/>
      <c r="D291" s="241"/>
      <c r="E291" s="241"/>
      <c r="F291" s="233">
        <v>21179868</v>
      </c>
      <c r="G291" s="265">
        <v>45159</v>
      </c>
      <c r="H291" s="232" t="s">
        <v>979</v>
      </c>
      <c r="I291" s="241" t="s">
        <v>980</v>
      </c>
      <c r="J291" s="266">
        <v>21179868</v>
      </c>
      <c r="K291" s="241"/>
      <c r="L291" s="241"/>
      <c r="M291" s="241"/>
    </row>
    <row r="292" spans="1:13">
      <c r="A292" s="237" t="s">
        <v>978</v>
      </c>
      <c r="B292" s="261">
        <v>4408622</v>
      </c>
      <c r="C292" s="237"/>
      <c r="D292" s="237"/>
      <c r="E292" s="237"/>
      <c r="F292" s="262">
        <v>2500000</v>
      </c>
      <c r="G292" s="263">
        <v>45161</v>
      </c>
      <c r="H292" s="231" t="s">
        <v>979</v>
      </c>
      <c r="I292" s="237" t="s">
        <v>981</v>
      </c>
      <c r="J292" s="262">
        <v>2500000</v>
      </c>
      <c r="K292" s="237"/>
      <c r="L292" s="237"/>
      <c r="M292" s="237"/>
    </row>
    <row r="293" spans="1:13">
      <c r="A293" s="241" t="s">
        <v>978</v>
      </c>
      <c r="B293" s="264">
        <v>4408622</v>
      </c>
      <c r="C293" s="241"/>
      <c r="D293" s="241"/>
      <c r="E293" s="241"/>
      <c r="F293" s="233">
        <v>4207820</v>
      </c>
      <c r="G293" s="265">
        <v>45188</v>
      </c>
      <c r="H293" s="232" t="s">
        <v>979</v>
      </c>
      <c r="I293" s="241" t="s">
        <v>982</v>
      </c>
      <c r="J293" s="266">
        <v>4207820</v>
      </c>
      <c r="K293" s="241"/>
      <c r="L293" s="241"/>
      <c r="M293" s="241"/>
    </row>
    <row r="294" spans="1:13">
      <c r="A294" s="237" t="s">
        <v>978</v>
      </c>
      <c r="B294" s="261">
        <v>4408622</v>
      </c>
      <c r="C294" s="237"/>
      <c r="D294" s="237"/>
      <c r="E294" s="237"/>
      <c r="F294" s="262">
        <v>6014500</v>
      </c>
      <c r="G294" s="263">
        <v>45222</v>
      </c>
      <c r="H294" s="231" t="s">
        <v>979</v>
      </c>
      <c r="I294" s="237" t="s">
        <v>983</v>
      </c>
      <c r="J294" s="262">
        <v>6014500</v>
      </c>
      <c r="K294" s="237"/>
      <c r="L294" s="237"/>
      <c r="M294" s="237"/>
    </row>
    <row r="295" spans="1:13">
      <c r="A295" s="241" t="s">
        <v>978</v>
      </c>
      <c r="B295" s="264">
        <v>4408622</v>
      </c>
      <c r="C295" s="241"/>
      <c r="D295" s="241"/>
      <c r="E295" s="241"/>
      <c r="F295" s="233">
        <v>3000000</v>
      </c>
      <c r="G295" s="265">
        <v>45246</v>
      </c>
      <c r="H295" s="232" t="s">
        <v>979</v>
      </c>
      <c r="I295" s="241" t="s">
        <v>984</v>
      </c>
      <c r="J295" s="266">
        <v>3000000</v>
      </c>
      <c r="K295" s="241"/>
      <c r="L295" s="241"/>
      <c r="M295" s="241"/>
    </row>
    <row r="296" spans="1:13">
      <c r="A296" s="237" t="s">
        <v>978</v>
      </c>
      <c r="B296" s="261">
        <v>4408622</v>
      </c>
      <c r="C296" s="237"/>
      <c r="D296" s="237"/>
      <c r="E296" s="237"/>
      <c r="F296" s="262">
        <v>16340963</v>
      </c>
      <c r="G296" s="263">
        <v>45260</v>
      </c>
      <c r="H296" s="231" t="s">
        <v>979</v>
      </c>
      <c r="I296" s="237" t="s">
        <v>985</v>
      </c>
      <c r="J296" s="262">
        <v>16340963</v>
      </c>
      <c r="K296" s="237"/>
      <c r="L296" s="237"/>
      <c r="M296" s="237"/>
    </row>
    <row r="297" spans="1:13">
      <c r="A297" s="241" t="s">
        <v>978</v>
      </c>
      <c r="B297" s="264">
        <v>4408622</v>
      </c>
      <c r="C297" s="241"/>
      <c r="D297" s="241"/>
      <c r="E297" s="241"/>
      <c r="F297" s="233">
        <v>4193730</v>
      </c>
      <c r="G297" s="265">
        <v>45264</v>
      </c>
      <c r="H297" s="232" t="s">
        <v>979</v>
      </c>
      <c r="I297" s="241" t="s">
        <v>986</v>
      </c>
      <c r="J297" s="266">
        <v>4193730</v>
      </c>
      <c r="K297" s="241"/>
      <c r="L297" s="241"/>
      <c r="M297" s="241"/>
    </row>
    <row r="298" spans="1:13">
      <c r="A298" s="237" t="s">
        <v>978</v>
      </c>
      <c r="B298" s="261">
        <v>4408622</v>
      </c>
      <c r="C298" s="237"/>
      <c r="D298" s="237"/>
      <c r="E298" s="237"/>
      <c r="F298" s="262">
        <v>16340960</v>
      </c>
      <c r="G298" s="263">
        <v>45265</v>
      </c>
      <c r="H298" s="231" t="s">
        <v>979</v>
      </c>
      <c r="I298" s="237" t="s">
        <v>987</v>
      </c>
      <c r="J298" s="262">
        <v>16340960</v>
      </c>
      <c r="K298" s="237"/>
      <c r="L298" s="237"/>
      <c r="M298" s="237"/>
    </row>
    <row r="299" spans="1:13">
      <c r="A299" s="241" t="s">
        <v>988</v>
      </c>
      <c r="B299" s="264">
        <v>4716033</v>
      </c>
      <c r="C299" s="241" t="s">
        <v>989</v>
      </c>
      <c r="D299" s="241" t="s">
        <v>990</v>
      </c>
      <c r="E299" s="241" t="s">
        <v>991</v>
      </c>
      <c r="F299" s="233">
        <v>409041</v>
      </c>
      <c r="G299" s="265">
        <v>45013</v>
      </c>
      <c r="H299" s="232" t="s">
        <v>992</v>
      </c>
      <c r="I299" s="241"/>
      <c r="J299" s="266"/>
      <c r="K299" s="241"/>
      <c r="L299" s="241"/>
      <c r="M299" s="241"/>
    </row>
    <row r="300" spans="1:13">
      <c r="A300" s="237" t="s">
        <v>988</v>
      </c>
      <c r="B300" s="261">
        <v>4716033</v>
      </c>
      <c r="C300" s="237" t="s">
        <v>993</v>
      </c>
      <c r="D300" s="237" t="s">
        <v>990</v>
      </c>
      <c r="E300" s="237" t="s">
        <v>991</v>
      </c>
      <c r="F300" s="262">
        <v>141775</v>
      </c>
      <c r="G300" s="263">
        <v>45013</v>
      </c>
      <c r="H300" s="231" t="s">
        <v>992</v>
      </c>
      <c r="I300" s="237"/>
      <c r="J300" s="262"/>
      <c r="K300" s="237"/>
      <c r="L300" s="237"/>
      <c r="M300" s="237"/>
    </row>
    <row r="301" spans="1:13">
      <c r="A301" s="241" t="s">
        <v>988</v>
      </c>
      <c r="B301" s="264">
        <v>4716033</v>
      </c>
      <c r="C301" s="241" t="s">
        <v>994</v>
      </c>
      <c r="D301" s="241" t="s">
        <v>990</v>
      </c>
      <c r="E301" s="241" t="s">
        <v>991</v>
      </c>
      <c r="F301" s="233">
        <v>1122184</v>
      </c>
      <c r="G301" s="265">
        <v>45013</v>
      </c>
      <c r="H301" s="232" t="s">
        <v>992</v>
      </c>
      <c r="I301" s="241"/>
      <c r="J301" s="266"/>
      <c r="K301" s="241"/>
      <c r="L301" s="241"/>
      <c r="M301" s="241"/>
    </row>
    <row r="302" spans="1:13">
      <c r="A302" s="237" t="s">
        <v>988</v>
      </c>
      <c r="B302" s="261">
        <v>4716033</v>
      </c>
      <c r="C302" s="237" t="s">
        <v>995</v>
      </c>
      <c r="D302" s="237" t="s">
        <v>990</v>
      </c>
      <c r="E302" s="237" t="s">
        <v>991</v>
      </c>
      <c r="F302" s="262">
        <v>4626394</v>
      </c>
      <c r="G302" s="263">
        <v>45046</v>
      </c>
      <c r="H302" s="231" t="s">
        <v>992</v>
      </c>
      <c r="I302" s="237"/>
      <c r="J302" s="262"/>
      <c r="K302" s="237"/>
      <c r="L302" s="237"/>
      <c r="M302" s="237"/>
    </row>
    <row r="303" spans="1:13">
      <c r="A303" s="241" t="s">
        <v>988</v>
      </c>
      <c r="B303" s="264">
        <v>4716033</v>
      </c>
      <c r="C303" s="241" t="s">
        <v>996</v>
      </c>
      <c r="D303" s="241" t="s">
        <v>990</v>
      </c>
      <c r="E303" s="241" t="s">
        <v>991</v>
      </c>
      <c r="F303" s="233">
        <v>5570893</v>
      </c>
      <c r="G303" s="265">
        <v>45046</v>
      </c>
      <c r="H303" s="232" t="s">
        <v>992</v>
      </c>
      <c r="I303" s="241"/>
      <c r="J303" s="266"/>
      <c r="K303" s="241"/>
      <c r="L303" s="241"/>
      <c r="M303" s="241"/>
    </row>
    <row r="304" spans="1:13">
      <c r="A304" s="237" t="s">
        <v>988</v>
      </c>
      <c r="B304" s="261">
        <v>4716033</v>
      </c>
      <c r="C304" s="237" t="s">
        <v>997</v>
      </c>
      <c r="D304" s="237" t="s">
        <v>990</v>
      </c>
      <c r="E304" s="237" t="s">
        <v>991</v>
      </c>
      <c r="F304" s="262">
        <v>3244753</v>
      </c>
      <c r="G304" s="263">
        <v>45046</v>
      </c>
      <c r="H304" s="231" t="s">
        <v>992</v>
      </c>
      <c r="I304" s="237"/>
      <c r="J304" s="262"/>
      <c r="K304" s="237"/>
      <c r="L304" s="237"/>
      <c r="M304" s="237"/>
    </row>
    <row r="305" spans="1:13">
      <c r="A305" s="241" t="s">
        <v>988</v>
      </c>
      <c r="B305" s="264">
        <v>4716033</v>
      </c>
      <c r="C305" s="241" t="s">
        <v>998</v>
      </c>
      <c r="D305" s="241" t="s">
        <v>990</v>
      </c>
      <c r="E305" s="241" t="s">
        <v>991</v>
      </c>
      <c r="F305" s="233">
        <v>8777228</v>
      </c>
      <c r="G305" s="265">
        <v>45046</v>
      </c>
      <c r="H305" s="232" t="s">
        <v>992</v>
      </c>
      <c r="I305" s="241"/>
      <c r="J305" s="266"/>
      <c r="K305" s="241"/>
      <c r="L305" s="241"/>
      <c r="M305" s="241"/>
    </row>
    <row r="306" spans="1:13">
      <c r="A306" s="237" t="s">
        <v>988</v>
      </c>
      <c r="B306" s="261">
        <v>4716033</v>
      </c>
      <c r="C306" s="237" t="s">
        <v>999</v>
      </c>
      <c r="D306" s="237" t="s">
        <v>990</v>
      </c>
      <c r="E306" s="237" t="s">
        <v>991</v>
      </c>
      <c r="F306" s="262">
        <v>5491660</v>
      </c>
      <c r="G306" s="263">
        <v>45046</v>
      </c>
      <c r="H306" s="231" t="s">
        <v>992</v>
      </c>
      <c r="I306" s="237"/>
      <c r="J306" s="262"/>
      <c r="K306" s="237"/>
      <c r="L306" s="237"/>
      <c r="M306" s="237"/>
    </row>
    <row r="307" spans="1:13">
      <c r="A307" s="241" t="s">
        <v>988</v>
      </c>
      <c r="B307" s="264">
        <v>4716033</v>
      </c>
      <c r="C307" s="241" t="s">
        <v>1000</v>
      </c>
      <c r="D307" s="241" t="s">
        <v>990</v>
      </c>
      <c r="E307" s="241" t="s">
        <v>991</v>
      </c>
      <c r="F307" s="233">
        <v>10415530</v>
      </c>
      <c r="G307" s="265">
        <v>45046</v>
      </c>
      <c r="H307" s="232" t="s">
        <v>992</v>
      </c>
      <c r="I307" s="241"/>
      <c r="J307" s="266"/>
      <c r="K307" s="241"/>
      <c r="L307" s="241"/>
      <c r="M307" s="241"/>
    </row>
    <row r="308" spans="1:13">
      <c r="A308" s="237" t="s">
        <v>988</v>
      </c>
      <c r="B308" s="261">
        <v>4716033</v>
      </c>
      <c r="C308" s="237" t="s">
        <v>1001</v>
      </c>
      <c r="D308" s="237" t="s">
        <v>990</v>
      </c>
      <c r="E308" s="237" t="s">
        <v>991</v>
      </c>
      <c r="F308" s="262">
        <v>3464746</v>
      </c>
      <c r="G308" s="263">
        <v>45046</v>
      </c>
      <c r="H308" s="231" t="s">
        <v>992</v>
      </c>
      <c r="I308" s="237"/>
      <c r="J308" s="262"/>
      <c r="K308" s="237"/>
      <c r="L308" s="237"/>
      <c r="M308" s="237"/>
    </row>
    <row r="309" spans="1:13">
      <c r="A309" s="241" t="s">
        <v>988</v>
      </c>
      <c r="B309" s="264">
        <v>4716033</v>
      </c>
      <c r="C309" s="241" t="s">
        <v>1002</v>
      </c>
      <c r="D309" s="241" t="s">
        <v>990</v>
      </c>
      <c r="E309" s="241" t="s">
        <v>991</v>
      </c>
      <c r="F309" s="233">
        <v>3246618</v>
      </c>
      <c r="G309" s="265">
        <v>45046</v>
      </c>
      <c r="H309" s="232" t="s">
        <v>992</v>
      </c>
      <c r="I309" s="241"/>
      <c r="J309" s="266"/>
      <c r="K309" s="241"/>
      <c r="L309" s="241"/>
      <c r="M309" s="241"/>
    </row>
    <row r="310" spans="1:13">
      <c r="A310" s="237" t="s">
        <v>988</v>
      </c>
      <c r="B310" s="261">
        <v>4716033</v>
      </c>
      <c r="C310" s="237" t="s">
        <v>1003</v>
      </c>
      <c r="D310" s="237" t="s">
        <v>990</v>
      </c>
      <c r="E310" s="237" t="s">
        <v>991</v>
      </c>
      <c r="F310" s="262">
        <v>5324891</v>
      </c>
      <c r="G310" s="263">
        <v>45046</v>
      </c>
      <c r="H310" s="231" t="s">
        <v>992</v>
      </c>
      <c r="I310" s="237"/>
      <c r="J310" s="262"/>
      <c r="K310" s="237"/>
      <c r="L310" s="237"/>
      <c r="M310" s="237"/>
    </row>
    <row r="311" spans="1:13" s="271" customFormat="1">
      <c r="A311" s="241" t="s">
        <v>988</v>
      </c>
      <c r="B311" s="264">
        <v>4716033</v>
      </c>
      <c r="C311" s="241" t="s">
        <v>1004</v>
      </c>
      <c r="D311" s="241" t="s">
        <v>990</v>
      </c>
      <c r="E311" s="241" t="s">
        <v>991</v>
      </c>
      <c r="F311" s="233">
        <v>6574203</v>
      </c>
      <c r="G311" s="265">
        <v>45046</v>
      </c>
      <c r="H311" s="232" t="s">
        <v>992</v>
      </c>
      <c r="I311" s="241"/>
      <c r="J311" s="266"/>
      <c r="K311" s="241"/>
      <c r="L311" s="241"/>
      <c r="M311" s="241"/>
    </row>
    <row r="312" spans="1:13">
      <c r="A312" s="237" t="s">
        <v>988</v>
      </c>
      <c r="B312" s="261">
        <v>4716033</v>
      </c>
      <c r="C312" s="237" t="s">
        <v>1005</v>
      </c>
      <c r="D312" s="237" t="s">
        <v>990</v>
      </c>
      <c r="E312" s="237" t="s">
        <v>991</v>
      </c>
      <c r="F312" s="262">
        <v>6855859</v>
      </c>
      <c r="G312" s="263">
        <v>45046</v>
      </c>
      <c r="H312" s="231" t="s">
        <v>992</v>
      </c>
      <c r="I312" s="237"/>
      <c r="J312" s="262"/>
      <c r="K312" s="237"/>
      <c r="L312" s="237"/>
      <c r="M312" s="237"/>
    </row>
    <row r="313" spans="1:13">
      <c r="A313" s="241" t="s">
        <v>988</v>
      </c>
      <c r="B313" s="264">
        <v>4716033</v>
      </c>
      <c r="C313" s="241" t="s">
        <v>1006</v>
      </c>
      <c r="D313" s="241" t="s">
        <v>990</v>
      </c>
      <c r="E313" s="241" t="s">
        <v>991</v>
      </c>
      <c r="F313" s="233">
        <v>4775714</v>
      </c>
      <c r="G313" s="265">
        <v>45046</v>
      </c>
      <c r="H313" s="232" t="s">
        <v>992</v>
      </c>
      <c r="I313" s="241"/>
      <c r="J313" s="266"/>
      <c r="K313" s="241"/>
      <c r="L313" s="241"/>
      <c r="M313" s="241"/>
    </row>
    <row r="314" spans="1:13">
      <c r="A314" s="237" t="s">
        <v>988</v>
      </c>
      <c r="B314" s="261">
        <v>4716033</v>
      </c>
      <c r="C314" s="237" t="s">
        <v>998</v>
      </c>
      <c r="D314" s="237" t="s">
        <v>990</v>
      </c>
      <c r="E314" s="237" t="s">
        <v>991</v>
      </c>
      <c r="F314" s="262">
        <v>3390998</v>
      </c>
      <c r="G314" s="263">
        <v>45046</v>
      </c>
      <c r="H314" s="231" t="s">
        <v>992</v>
      </c>
      <c r="I314" s="237"/>
      <c r="J314" s="262"/>
      <c r="K314" s="237"/>
      <c r="L314" s="237"/>
      <c r="M314" s="237"/>
    </row>
    <row r="315" spans="1:13">
      <c r="A315" s="241" t="s">
        <v>988</v>
      </c>
      <c r="B315" s="264">
        <v>4716033</v>
      </c>
      <c r="C315" s="241" t="s">
        <v>1007</v>
      </c>
      <c r="D315" s="241" t="s">
        <v>990</v>
      </c>
      <c r="E315" s="241" t="s">
        <v>991</v>
      </c>
      <c r="F315" s="233">
        <v>15502609</v>
      </c>
      <c r="G315" s="265">
        <v>45046</v>
      </c>
      <c r="H315" s="232" t="s">
        <v>992</v>
      </c>
      <c r="I315" s="241"/>
      <c r="J315" s="266"/>
      <c r="K315" s="241"/>
      <c r="L315" s="241"/>
      <c r="M315" s="241"/>
    </row>
    <row r="316" spans="1:13">
      <c r="A316" s="237" t="s">
        <v>988</v>
      </c>
      <c r="B316" s="261">
        <v>4716033</v>
      </c>
      <c r="C316" s="237" t="s">
        <v>1008</v>
      </c>
      <c r="D316" s="237" t="s">
        <v>990</v>
      </c>
      <c r="E316" s="237" t="s">
        <v>991</v>
      </c>
      <c r="F316" s="262">
        <v>2040000</v>
      </c>
      <c r="G316" s="263">
        <v>45046</v>
      </c>
      <c r="H316" s="231" t="s">
        <v>992</v>
      </c>
      <c r="I316" s="237"/>
      <c r="J316" s="262"/>
      <c r="K316" s="237"/>
      <c r="L316" s="237"/>
      <c r="M316" s="237"/>
    </row>
    <row r="317" spans="1:13">
      <c r="A317" s="241" t="s">
        <v>988</v>
      </c>
      <c r="B317" s="264">
        <v>4716033</v>
      </c>
      <c r="C317" s="241" t="s">
        <v>1009</v>
      </c>
      <c r="D317" s="241" t="s">
        <v>990</v>
      </c>
      <c r="E317" s="241" t="s">
        <v>991</v>
      </c>
      <c r="F317" s="233">
        <v>2749282</v>
      </c>
      <c r="G317" s="265">
        <v>45046</v>
      </c>
      <c r="H317" s="232" t="s">
        <v>992</v>
      </c>
      <c r="I317" s="241"/>
      <c r="J317" s="266"/>
      <c r="K317" s="241"/>
      <c r="L317" s="241"/>
      <c r="M317" s="241"/>
    </row>
    <row r="318" spans="1:13">
      <c r="A318" s="237" t="s">
        <v>988</v>
      </c>
      <c r="B318" s="261">
        <v>4716033</v>
      </c>
      <c r="C318" s="237" t="s">
        <v>1010</v>
      </c>
      <c r="D318" s="237" t="s">
        <v>990</v>
      </c>
      <c r="E318" s="237" t="s">
        <v>991</v>
      </c>
      <c r="F318" s="262">
        <v>2654160</v>
      </c>
      <c r="G318" s="263">
        <v>45046</v>
      </c>
      <c r="H318" s="231" t="s">
        <v>992</v>
      </c>
      <c r="I318" s="237"/>
      <c r="J318" s="262"/>
      <c r="K318" s="237"/>
      <c r="L318" s="237"/>
      <c r="M318" s="237"/>
    </row>
    <row r="319" spans="1:13">
      <c r="A319" s="241" t="s">
        <v>988</v>
      </c>
      <c r="B319" s="264">
        <v>4716033</v>
      </c>
      <c r="C319" s="241" t="s">
        <v>1011</v>
      </c>
      <c r="D319" s="241" t="s">
        <v>990</v>
      </c>
      <c r="E319" s="241" t="s">
        <v>991</v>
      </c>
      <c r="F319" s="233">
        <v>17569558</v>
      </c>
      <c r="G319" s="265">
        <v>45046</v>
      </c>
      <c r="H319" s="232" t="s">
        <v>992</v>
      </c>
      <c r="I319" s="241"/>
      <c r="J319" s="266"/>
      <c r="K319" s="241"/>
      <c r="L319" s="241"/>
      <c r="M319" s="241"/>
    </row>
    <row r="320" spans="1:13">
      <c r="A320" s="237" t="s">
        <v>988</v>
      </c>
      <c r="B320" s="261">
        <v>4716033</v>
      </c>
      <c r="C320" s="237" t="s">
        <v>1011</v>
      </c>
      <c r="D320" s="237" t="s">
        <v>990</v>
      </c>
      <c r="E320" s="237" t="s">
        <v>991</v>
      </c>
      <c r="F320" s="262">
        <v>2640000</v>
      </c>
      <c r="G320" s="263">
        <v>45046</v>
      </c>
      <c r="H320" s="231" t="s">
        <v>992</v>
      </c>
      <c r="I320" s="237"/>
      <c r="J320" s="262"/>
      <c r="K320" s="237"/>
      <c r="L320" s="237"/>
      <c r="M320" s="237"/>
    </row>
    <row r="321" spans="1:13">
      <c r="A321" s="241" t="s">
        <v>988</v>
      </c>
      <c r="B321" s="264">
        <v>4716033</v>
      </c>
      <c r="C321" s="241" t="s">
        <v>1012</v>
      </c>
      <c r="D321" s="241" t="s">
        <v>990</v>
      </c>
      <c r="E321" s="241" t="s">
        <v>991</v>
      </c>
      <c r="F321" s="233">
        <v>2588275</v>
      </c>
      <c r="G321" s="265">
        <v>45046</v>
      </c>
      <c r="H321" s="232" t="s">
        <v>992</v>
      </c>
      <c r="I321" s="241"/>
      <c r="J321" s="266"/>
      <c r="K321" s="241"/>
      <c r="L321" s="241"/>
      <c r="M321" s="241"/>
    </row>
    <row r="322" spans="1:13">
      <c r="A322" s="237" t="s">
        <v>988</v>
      </c>
      <c r="B322" s="261">
        <v>4716033</v>
      </c>
      <c r="C322" s="237" t="s">
        <v>1013</v>
      </c>
      <c r="D322" s="237" t="s">
        <v>990</v>
      </c>
      <c r="E322" s="237" t="s">
        <v>991</v>
      </c>
      <c r="F322" s="262">
        <v>3629468</v>
      </c>
      <c r="G322" s="263">
        <v>45046</v>
      </c>
      <c r="H322" s="231" t="s">
        <v>992</v>
      </c>
      <c r="I322" s="237"/>
      <c r="J322" s="262"/>
      <c r="K322" s="237"/>
      <c r="L322" s="237"/>
      <c r="M322" s="237"/>
    </row>
    <row r="323" spans="1:13">
      <c r="A323" s="241" t="s">
        <v>988</v>
      </c>
      <c r="B323" s="264">
        <v>4716033</v>
      </c>
      <c r="C323" s="241" t="s">
        <v>1014</v>
      </c>
      <c r="D323" s="241" t="s">
        <v>990</v>
      </c>
      <c r="E323" s="241" t="s">
        <v>991</v>
      </c>
      <c r="F323" s="233">
        <v>2701997</v>
      </c>
      <c r="G323" s="265">
        <v>45046</v>
      </c>
      <c r="H323" s="232" t="s">
        <v>992</v>
      </c>
      <c r="I323" s="241"/>
      <c r="J323" s="266"/>
      <c r="K323" s="241"/>
      <c r="L323" s="241"/>
      <c r="M323" s="241"/>
    </row>
    <row r="324" spans="1:13">
      <c r="A324" s="237" t="s">
        <v>988</v>
      </c>
      <c r="B324" s="261">
        <v>4716033</v>
      </c>
      <c r="C324" s="237" t="s">
        <v>1015</v>
      </c>
      <c r="D324" s="237" t="s">
        <v>990</v>
      </c>
      <c r="E324" s="237" t="s">
        <v>991</v>
      </c>
      <c r="F324" s="262">
        <v>5088856</v>
      </c>
      <c r="G324" s="263">
        <v>45046</v>
      </c>
      <c r="H324" s="231" t="s">
        <v>992</v>
      </c>
      <c r="I324" s="237"/>
      <c r="J324" s="262"/>
      <c r="K324" s="237"/>
      <c r="L324" s="237"/>
      <c r="M324" s="237"/>
    </row>
    <row r="325" spans="1:13">
      <c r="A325" s="241" t="s">
        <v>988</v>
      </c>
      <c r="B325" s="264">
        <v>4716033</v>
      </c>
      <c r="C325" s="241" t="s">
        <v>1016</v>
      </c>
      <c r="D325" s="241" t="s">
        <v>990</v>
      </c>
      <c r="E325" s="241" t="s">
        <v>991</v>
      </c>
      <c r="F325" s="233">
        <v>4419610</v>
      </c>
      <c r="G325" s="265">
        <v>45046</v>
      </c>
      <c r="H325" s="232" t="s">
        <v>992</v>
      </c>
      <c r="I325" s="241"/>
      <c r="J325" s="266"/>
      <c r="K325" s="241"/>
      <c r="L325" s="241"/>
      <c r="M325" s="241"/>
    </row>
    <row r="326" spans="1:13">
      <c r="A326" s="237" t="s">
        <v>988</v>
      </c>
      <c r="B326" s="261">
        <v>4716033</v>
      </c>
      <c r="C326" s="237" t="s">
        <v>1017</v>
      </c>
      <c r="D326" s="237" t="s">
        <v>990</v>
      </c>
      <c r="E326" s="237" t="s">
        <v>991</v>
      </c>
      <c r="F326" s="262">
        <v>3680827</v>
      </c>
      <c r="G326" s="263">
        <v>45046</v>
      </c>
      <c r="H326" s="231" t="s">
        <v>992</v>
      </c>
      <c r="I326" s="237"/>
      <c r="J326" s="262"/>
      <c r="K326" s="237"/>
      <c r="L326" s="237"/>
      <c r="M326" s="237"/>
    </row>
    <row r="327" spans="1:13">
      <c r="A327" s="241" t="s">
        <v>988</v>
      </c>
      <c r="B327" s="264">
        <v>4716033</v>
      </c>
      <c r="C327" s="241" t="s">
        <v>1018</v>
      </c>
      <c r="D327" s="241" t="s">
        <v>990</v>
      </c>
      <c r="E327" s="241" t="s">
        <v>991</v>
      </c>
      <c r="F327" s="233">
        <v>4403410</v>
      </c>
      <c r="G327" s="265">
        <v>45046</v>
      </c>
      <c r="H327" s="232" t="s">
        <v>992</v>
      </c>
      <c r="I327" s="241"/>
      <c r="J327" s="266"/>
      <c r="K327" s="241"/>
      <c r="L327" s="241"/>
      <c r="M327" s="241"/>
    </row>
    <row r="328" spans="1:13">
      <c r="A328" s="237" t="s">
        <v>988</v>
      </c>
      <c r="B328" s="261">
        <v>4716033</v>
      </c>
      <c r="C328" s="237" t="s">
        <v>1019</v>
      </c>
      <c r="D328" s="237" t="s">
        <v>990</v>
      </c>
      <c r="E328" s="237" t="s">
        <v>991</v>
      </c>
      <c r="F328" s="262">
        <v>5119327</v>
      </c>
      <c r="G328" s="263">
        <v>45046</v>
      </c>
      <c r="H328" s="231" t="s">
        <v>992</v>
      </c>
      <c r="I328" s="237"/>
      <c r="J328" s="262"/>
      <c r="K328" s="237"/>
      <c r="L328" s="237"/>
      <c r="M328" s="237"/>
    </row>
    <row r="329" spans="1:13">
      <c r="A329" s="241" t="s">
        <v>988</v>
      </c>
      <c r="B329" s="264">
        <v>4716033</v>
      </c>
      <c r="C329" s="241" t="s">
        <v>1020</v>
      </c>
      <c r="D329" s="241" t="s">
        <v>990</v>
      </c>
      <c r="E329" s="241" t="s">
        <v>991</v>
      </c>
      <c r="F329" s="233">
        <v>4510070</v>
      </c>
      <c r="G329" s="265">
        <v>45046</v>
      </c>
      <c r="H329" s="232" t="s">
        <v>992</v>
      </c>
      <c r="I329" s="241"/>
      <c r="J329" s="266"/>
      <c r="K329" s="241"/>
      <c r="L329" s="241"/>
      <c r="M329" s="241"/>
    </row>
    <row r="330" spans="1:13">
      <c r="A330" s="237" t="s">
        <v>988</v>
      </c>
      <c r="B330" s="261">
        <v>4716033</v>
      </c>
      <c r="C330" s="237" t="s">
        <v>1021</v>
      </c>
      <c r="D330" s="237" t="s">
        <v>990</v>
      </c>
      <c r="E330" s="237" t="s">
        <v>991</v>
      </c>
      <c r="F330" s="262">
        <v>19696694</v>
      </c>
      <c r="G330" s="263">
        <v>45046</v>
      </c>
      <c r="H330" s="231" t="s">
        <v>992</v>
      </c>
      <c r="I330" s="237"/>
      <c r="J330" s="262"/>
      <c r="K330" s="237"/>
      <c r="L330" s="237"/>
      <c r="M330" s="237"/>
    </row>
    <row r="331" spans="1:13">
      <c r="A331" s="241" t="s">
        <v>988</v>
      </c>
      <c r="B331" s="264">
        <v>4716033</v>
      </c>
      <c r="C331" s="241" t="s">
        <v>1022</v>
      </c>
      <c r="D331" s="241" t="s">
        <v>990</v>
      </c>
      <c r="E331" s="241" t="s">
        <v>991</v>
      </c>
      <c r="F331" s="233">
        <v>3622633</v>
      </c>
      <c r="G331" s="265">
        <v>45046</v>
      </c>
      <c r="H331" s="232" t="s">
        <v>992</v>
      </c>
      <c r="I331" s="241"/>
      <c r="J331" s="266"/>
      <c r="K331" s="241"/>
      <c r="L331" s="241"/>
      <c r="M331" s="241"/>
    </row>
    <row r="332" spans="1:13">
      <c r="A332" s="237" t="s">
        <v>988</v>
      </c>
      <c r="B332" s="261">
        <v>4716033</v>
      </c>
      <c r="C332" s="237" t="s">
        <v>1023</v>
      </c>
      <c r="D332" s="237" t="s">
        <v>990</v>
      </c>
      <c r="E332" s="237" t="s">
        <v>991</v>
      </c>
      <c r="F332" s="262">
        <v>3470377</v>
      </c>
      <c r="G332" s="263">
        <v>45046</v>
      </c>
      <c r="H332" s="231" t="s">
        <v>992</v>
      </c>
      <c r="I332" s="237"/>
      <c r="J332" s="262"/>
      <c r="K332" s="237"/>
      <c r="L332" s="237"/>
      <c r="M332" s="237"/>
    </row>
    <row r="333" spans="1:13">
      <c r="A333" s="241" t="s">
        <v>988</v>
      </c>
      <c r="B333" s="264">
        <v>4716033</v>
      </c>
      <c r="C333" s="241" t="s">
        <v>1024</v>
      </c>
      <c r="D333" s="241" t="s">
        <v>990</v>
      </c>
      <c r="E333" s="241" t="s">
        <v>991</v>
      </c>
      <c r="F333" s="233">
        <v>4428166</v>
      </c>
      <c r="G333" s="265">
        <v>45046</v>
      </c>
      <c r="H333" s="232" t="s">
        <v>992</v>
      </c>
      <c r="I333" s="241"/>
      <c r="J333" s="266"/>
      <c r="K333" s="241"/>
      <c r="L333" s="241"/>
      <c r="M333" s="241"/>
    </row>
    <row r="334" spans="1:13">
      <c r="A334" s="237" t="s">
        <v>988</v>
      </c>
      <c r="B334" s="261">
        <v>4716033</v>
      </c>
      <c r="C334" s="237" t="s">
        <v>1025</v>
      </c>
      <c r="D334" s="237" t="s">
        <v>990</v>
      </c>
      <c r="E334" s="237" t="s">
        <v>991</v>
      </c>
      <c r="F334" s="262">
        <v>2847000</v>
      </c>
      <c r="G334" s="263">
        <v>45046</v>
      </c>
      <c r="H334" s="231" t="s">
        <v>992</v>
      </c>
      <c r="I334" s="237"/>
      <c r="J334" s="262"/>
      <c r="K334" s="237"/>
      <c r="L334" s="237"/>
      <c r="M334" s="237"/>
    </row>
    <row r="335" spans="1:13">
      <c r="A335" s="241" t="s">
        <v>988</v>
      </c>
      <c r="B335" s="264">
        <v>4716033</v>
      </c>
      <c r="C335" s="241" t="s">
        <v>1026</v>
      </c>
      <c r="D335" s="241" t="s">
        <v>990</v>
      </c>
      <c r="E335" s="241" t="s">
        <v>991</v>
      </c>
      <c r="F335" s="233">
        <v>2387890</v>
      </c>
      <c r="G335" s="265">
        <v>45046</v>
      </c>
      <c r="H335" s="232" t="s">
        <v>992</v>
      </c>
      <c r="I335" s="241"/>
      <c r="J335" s="266"/>
      <c r="K335" s="241"/>
      <c r="L335" s="241"/>
      <c r="M335" s="241"/>
    </row>
    <row r="336" spans="1:13">
      <c r="A336" s="237" t="s">
        <v>988</v>
      </c>
      <c r="B336" s="261">
        <v>4716033</v>
      </c>
      <c r="C336" s="237" t="s">
        <v>1027</v>
      </c>
      <c r="D336" s="237" t="s">
        <v>990</v>
      </c>
      <c r="E336" s="237" t="s">
        <v>991</v>
      </c>
      <c r="F336" s="262">
        <v>4366685</v>
      </c>
      <c r="G336" s="263">
        <v>45046</v>
      </c>
      <c r="H336" s="231" t="s">
        <v>992</v>
      </c>
      <c r="I336" s="237"/>
      <c r="J336" s="262"/>
      <c r="K336" s="237"/>
      <c r="L336" s="237"/>
      <c r="M336" s="237"/>
    </row>
    <row r="337" spans="1:13">
      <c r="A337" s="241" t="s">
        <v>988</v>
      </c>
      <c r="B337" s="264">
        <v>4716033</v>
      </c>
      <c r="C337" s="241" t="s">
        <v>1028</v>
      </c>
      <c r="D337" s="241" t="s">
        <v>990</v>
      </c>
      <c r="E337" s="241" t="s">
        <v>991</v>
      </c>
      <c r="F337" s="233">
        <v>3011577</v>
      </c>
      <c r="G337" s="265">
        <v>45046</v>
      </c>
      <c r="H337" s="232" t="s">
        <v>992</v>
      </c>
      <c r="I337" s="241"/>
      <c r="J337" s="266"/>
      <c r="K337" s="241"/>
      <c r="L337" s="241"/>
      <c r="M337" s="241"/>
    </row>
    <row r="338" spans="1:13">
      <c r="A338" s="237" t="s">
        <v>988</v>
      </c>
      <c r="B338" s="261">
        <v>4716033</v>
      </c>
      <c r="C338" s="237" t="s">
        <v>1029</v>
      </c>
      <c r="D338" s="237" t="s">
        <v>990</v>
      </c>
      <c r="E338" s="237" t="s">
        <v>991</v>
      </c>
      <c r="F338" s="262">
        <v>3955892</v>
      </c>
      <c r="G338" s="263">
        <v>45046</v>
      </c>
      <c r="H338" s="231" t="s">
        <v>992</v>
      </c>
      <c r="I338" s="237"/>
      <c r="J338" s="262"/>
      <c r="K338" s="237"/>
      <c r="L338" s="237"/>
      <c r="M338" s="237"/>
    </row>
    <row r="339" spans="1:13">
      <c r="A339" s="241" t="s">
        <v>988</v>
      </c>
      <c r="B339" s="264">
        <v>4716033</v>
      </c>
      <c r="C339" s="241" t="s">
        <v>1030</v>
      </c>
      <c r="D339" s="241" t="s">
        <v>990</v>
      </c>
      <c r="E339" s="241" t="s">
        <v>991</v>
      </c>
      <c r="F339" s="233">
        <v>12966326</v>
      </c>
      <c r="G339" s="265">
        <v>45046</v>
      </c>
      <c r="H339" s="232" t="s">
        <v>992</v>
      </c>
      <c r="I339" s="241"/>
      <c r="J339" s="266"/>
      <c r="K339" s="241"/>
      <c r="L339" s="241"/>
      <c r="M339" s="241"/>
    </row>
    <row r="340" spans="1:13">
      <c r="A340" s="237" t="s">
        <v>988</v>
      </c>
      <c r="B340" s="261">
        <v>4716033</v>
      </c>
      <c r="C340" s="237" t="s">
        <v>1031</v>
      </c>
      <c r="D340" s="237" t="s">
        <v>990</v>
      </c>
      <c r="E340" s="237" t="s">
        <v>991</v>
      </c>
      <c r="F340" s="262">
        <v>3499930</v>
      </c>
      <c r="G340" s="263">
        <v>45046</v>
      </c>
      <c r="H340" s="231" t="s">
        <v>992</v>
      </c>
      <c r="I340" s="237"/>
      <c r="J340" s="262"/>
      <c r="K340" s="237"/>
      <c r="L340" s="237"/>
      <c r="M340" s="237"/>
    </row>
    <row r="341" spans="1:13">
      <c r="A341" s="241" t="s">
        <v>988</v>
      </c>
      <c r="B341" s="264">
        <v>4716033</v>
      </c>
      <c r="C341" s="241" t="s">
        <v>1032</v>
      </c>
      <c r="D341" s="241" t="s">
        <v>990</v>
      </c>
      <c r="E341" s="241" t="s">
        <v>991</v>
      </c>
      <c r="F341" s="233">
        <v>1421926</v>
      </c>
      <c r="G341" s="265">
        <v>45046</v>
      </c>
      <c r="H341" s="232" t="s">
        <v>992</v>
      </c>
      <c r="I341" s="241"/>
      <c r="J341" s="266"/>
      <c r="K341" s="241"/>
      <c r="L341" s="241"/>
      <c r="M341" s="241"/>
    </row>
    <row r="342" spans="1:13" s="271" customFormat="1">
      <c r="A342" s="237" t="s">
        <v>988</v>
      </c>
      <c r="B342" s="261">
        <v>4716033</v>
      </c>
      <c r="C342" s="237" t="s">
        <v>1033</v>
      </c>
      <c r="D342" s="237" t="s">
        <v>1034</v>
      </c>
      <c r="E342" s="237" t="s">
        <v>991</v>
      </c>
      <c r="F342" s="262">
        <v>10000000</v>
      </c>
      <c r="G342" s="263">
        <v>45046</v>
      </c>
      <c r="H342" s="231" t="s">
        <v>1035</v>
      </c>
      <c r="I342" s="237"/>
      <c r="J342" s="262"/>
      <c r="K342" s="237"/>
      <c r="L342" s="237"/>
      <c r="M342" s="237"/>
    </row>
    <row r="343" spans="1:13">
      <c r="A343" s="241" t="s">
        <v>988</v>
      </c>
      <c r="B343" s="264">
        <v>4716033</v>
      </c>
      <c r="C343" s="241" t="s">
        <v>1036</v>
      </c>
      <c r="D343" s="241" t="s">
        <v>990</v>
      </c>
      <c r="E343" s="241" t="s">
        <v>991</v>
      </c>
      <c r="F343" s="233">
        <v>1350998</v>
      </c>
      <c r="G343" s="265">
        <v>45071</v>
      </c>
      <c r="H343" s="232" t="s">
        <v>992</v>
      </c>
      <c r="I343" s="241"/>
      <c r="J343" s="266"/>
      <c r="K343" s="241"/>
      <c r="L343" s="241"/>
      <c r="M343" s="241"/>
    </row>
    <row r="344" spans="1:13">
      <c r="A344" s="237" t="s">
        <v>988</v>
      </c>
      <c r="B344" s="261">
        <v>4716033</v>
      </c>
      <c r="C344" s="237" t="s">
        <v>1037</v>
      </c>
      <c r="D344" s="237" t="s">
        <v>990</v>
      </c>
      <c r="E344" s="237" t="s">
        <v>991</v>
      </c>
      <c r="F344" s="262">
        <v>26281426</v>
      </c>
      <c r="G344" s="263">
        <v>45071</v>
      </c>
      <c r="H344" s="231" t="s">
        <v>992</v>
      </c>
      <c r="I344" s="237"/>
      <c r="J344" s="262"/>
      <c r="K344" s="237"/>
      <c r="L344" s="237"/>
      <c r="M344" s="237"/>
    </row>
    <row r="345" spans="1:13">
      <c r="A345" s="241" t="s">
        <v>988</v>
      </c>
      <c r="B345" s="264">
        <v>4716033</v>
      </c>
      <c r="C345" s="241" t="s">
        <v>1038</v>
      </c>
      <c r="D345" s="241" t="s">
        <v>990</v>
      </c>
      <c r="E345" s="241" t="s">
        <v>991</v>
      </c>
      <c r="F345" s="233">
        <v>6982973</v>
      </c>
      <c r="G345" s="265">
        <v>45071</v>
      </c>
      <c r="H345" s="232" t="s">
        <v>992</v>
      </c>
      <c r="I345" s="241"/>
      <c r="J345" s="266"/>
      <c r="K345" s="241"/>
      <c r="L345" s="241"/>
      <c r="M345" s="241"/>
    </row>
    <row r="346" spans="1:13">
      <c r="A346" s="237" t="s">
        <v>988</v>
      </c>
      <c r="B346" s="261">
        <v>4716033</v>
      </c>
      <c r="C346" s="237" t="s">
        <v>1038</v>
      </c>
      <c r="D346" s="237" t="s">
        <v>990</v>
      </c>
      <c r="E346" s="237" t="s">
        <v>991</v>
      </c>
      <c r="F346" s="262">
        <v>2071200</v>
      </c>
      <c r="G346" s="263">
        <v>45071</v>
      </c>
      <c r="H346" s="231" t="s">
        <v>992</v>
      </c>
      <c r="I346" s="237"/>
      <c r="J346" s="262"/>
      <c r="K346" s="237"/>
      <c r="L346" s="237"/>
      <c r="M346" s="237"/>
    </row>
    <row r="347" spans="1:13">
      <c r="A347" s="241" t="s">
        <v>988</v>
      </c>
      <c r="B347" s="264">
        <v>4716033</v>
      </c>
      <c r="C347" s="241" t="s">
        <v>1039</v>
      </c>
      <c r="D347" s="241" t="s">
        <v>990</v>
      </c>
      <c r="E347" s="241" t="s">
        <v>991</v>
      </c>
      <c r="F347" s="233">
        <v>14283568</v>
      </c>
      <c r="G347" s="265">
        <v>45083</v>
      </c>
      <c r="H347" s="232" t="s">
        <v>992</v>
      </c>
      <c r="I347" s="241"/>
      <c r="J347" s="266"/>
      <c r="K347" s="241"/>
      <c r="L347" s="241"/>
      <c r="M347" s="241"/>
    </row>
    <row r="348" spans="1:13">
      <c r="A348" s="237" t="s">
        <v>988</v>
      </c>
      <c r="B348" s="261">
        <v>4716033</v>
      </c>
      <c r="C348" s="237" t="s">
        <v>1027</v>
      </c>
      <c r="D348" s="237" t="s">
        <v>990</v>
      </c>
      <c r="E348" s="237" t="s">
        <v>991</v>
      </c>
      <c r="F348" s="262">
        <v>2911123</v>
      </c>
      <c r="G348" s="263">
        <v>45181</v>
      </c>
      <c r="H348" s="231" t="s">
        <v>992</v>
      </c>
      <c r="I348" s="237"/>
      <c r="J348" s="262"/>
      <c r="K348" s="237"/>
      <c r="L348" s="237"/>
      <c r="M348" s="237"/>
    </row>
    <row r="349" spans="1:13">
      <c r="A349" s="241" t="s">
        <v>988</v>
      </c>
      <c r="B349" s="264">
        <v>4716033</v>
      </c>
      <c r="C349" s="241" t="s">
        <v>1025</v>
      </c>
      <c r="D349" s="241" t="s">
        <v>990</v>
      </c>
      <c r="E349" s="241" t="s">
        <v>991</v>
      </c>
      <c r="F349" s="233">
        <v>1898000</v>
      </c>
      <c r="G349" s="265">
        <v>45181</v>
      </c>
      <c r="H349" s="232" t="s">
        <v>992</v>
      </c>
      <c r="I349" s="241"/>
      <c r="J349" s="266"/>
      <c r="K349" s="241"/>
      <c r="L349" s="241"/>
      <c r="M349" s="241"/>
    </row>
    <row r="350" spans="1:13">
      <c r="A350" s="237" t="s">
        <v>988</v>
      </c>
      <c r="B350" s="261">
        <v>4716033</v>
      </c>
      <c r="C350" s="237" t="s">
        <v>1022</v>
      </c>
      <c r="D350" s="237" t="s">
        <v>990</v>
      </c>
      <c r="E350" s="237" t="s">
        <v>991</v>
      </c>
      <c r="F350" s="262">
        <v>2415088</v>
      </c>
      <c r="G350" s="263">
        <v>45181</v>
      </c>
      <c r="H350" s="231" t="s">
        <v>992</v>
      </c>
      <c r="I350" s="237"/>
      <c r="J350" s="262"/>
      <c r="K350" s="237"/>
      <c r="L350" s="237"/>
      <c r="M350" s="237"/>
    </row>
    <row r="351" spans="1:13">
      <c r="A351" s="241" t="s">
        <v>988</v>
      </c>
      <c r="B351" s="264">
        <v>4716033</v>
      </c>
      <c r="C351" s="241" t="s">
        <v>1040</v>
      </c>
      <c r="D351" s="241" t="s">
        <v>990</v>
      </c>
      <c r="E351" s="241" t="s">
        <v>991</v>
      </c>
      <c r="F351" s="233">
        <v>2333287</v>
      </c>
      <c r="G351" s="265">
        <v>45181</v>
      </c>
      <c r="H351" s="232" t="s">
        <v>992</v>
      </c>
      <c r="I351" s="241"/>
      <c r="J351" s="266"/>
      <c r="K351" s="241"/>
      <c r="L351" s="241"/>
      <c r="M351" s="241"/>
    </row>
    <row r="352" spans="1:13">
      <c r="A352" s="237" t="s">
        <v>988</v>
      </c>
      <c r="B352" s="261">
        <v>4716033</v>
      </c>
      <c r="C352" s="237" t="s">
        <v>1041</v>
      </c>
      <c r="D352" s="237" t="s">
        <v>990</v>
      </c>
      <c r="E352" s="237" t="s">
        <v>991</v>
      </c>
      <c r="F352" s="262">
        <v>4382802</v>
      </c>
      <c r="G352" s="263">
        <v>45181</v>
      </c>
      <c r="H352" s="231" t="s">
        <v>992</v>
      </c>
      <c r="I352" s="237"/>
      <c r="J352" s="262"/>
      <c r="K352" s="237"/>
      <c r="L352" s="237"/>
      <c r="M352" s="237"/>
    </row>
    <row r="353" spans="1:13">
      <c r="A353" s="241" t="s">
        <v>988</v>
      </c>
      <c r="B353" s="264">
        <v>4716033</v>
      </c>
      <c r="C353" s="241" t="s">
        <v>1042</v>
      </c>
      <c r="D353" s="241" t="s">
        <v>990</v>
      </c>
      <c r="E353" s="241" t="s">
        <v>991</v>
      </c>
      <c r="F353" s="233">
        <v>3084262</v>
      </c>
      <c r="G353" s="265">
        <v>45181</v>
      </c>
      <c r="H353" s="232" t="s">
        <v>992</v>
      </c>
      <c r="I353" s="241"/>
      <c r="J353" s="266"/>
      <c r="K353" s="241"/>
      <c r="L353" s="241"/>
      <c r="M353" s="241"/>
    </row>
    <row r="354" spans="1:13">
      <c r="A354" s="237" t="s">
        <v>988</v>
      </c>
      <c r="B354" s="261">
        <v>4716033</v>
      </c>
      <c r="C354" s="237" t="s">
        <v>1026</v>
      </c>
      <c r="D354" s="237" t="s">
        <v>990</v>
      </c>
      <c r="E354" s="237" t="s">
        <v>991</v>
      </c>
      <c r="F354" s="262">
        <v>1591926</v>
      </c>
      <c r="G354" s="263">
        <v>45181</v>
      </c>
      <c r="H354" s="231" t="s">
        <v>992</v>
      </c>
      <c r="I354" s="237"/>
      <c r="J354" s="262"/>
      <c r="K354" s="237"/>
      <c r="L354" s="237"/>
      <c r="M354" s="237"/>
    </row>
    <row r="355" spans="1:13" s="271" customFormat="1">
      <c r="A355" s="241" t="s">
        <v>988</v>
      </c>
      <c r="B355" s="264">
        <v>4716033</v>
      </c>
      <c r="C355" s="241" t="s">
        <v>1043</v>
      </c>
      <c r="D355" s="241" t="s">
        <v>990</v>
      </c>
      <c r="E355" s="241" t="s">
        <v>991</v>
      </c>
      <c r="F355" s="233">
        <v>3412885</v>
      </c>
      <c r="G355" s="265">
        <v>45181</v>
      </c>
      <c r="H355" s="232" t="s">
        <v>992</v>
      </c>
      <c r="I355" s="241"/>
      <c r="J355" s="266"/>
      <c r="K355" s="241"/>
      <c r="L355" s="241"/>
      <c r="M355" s="241"/>
    </row>
    <row r="356" spans="1:13">
      <c r="A356" s="237" t="s">
        <v>988</v>
      </c>
      <c r="B356" s="261">
        <v>4716033</v>
      </c>
      <c r="C356" s="237" t="s">
        <v>1044</v>
      </c>
      <c r="D356" s="237" t="s">
        <v>990</v>
      </c>
      <c r="E356" s="237" t="s">
        <v>991</v>
      </c>
      <c r="F356" s="262">
        <v>2946407</v>
      </c>
      <c r="G356" s="263">
        <v>45181</v>
      </c>
      <c r="H356" s="231" t="s">
        <v>992</v>
      </c>
      <c r="I356" s="237"/>
      <c r="J356" s="262"/>
      <c r="K356" s="237"/>
      <c r="L356" s="237"/>
      <c r="M356" s="237"/>
    </row>
    <row r="357" spans="1:13">
      <c r="A357" s="241" t="s">
        <v>988</v>
      </c>
      <c r="B357" s="264">
        <v>4716033</v>
      </c>
      <c r="C357" s="241" t="s">
        <v>1045</v>
      </c>
      <c r="D357" s="241" t="s">
        <v>990</v>
      </c>
      <c r="E357" s="241" t="s">
        <v>991</v>
      </c>
      <c r="F357" s="233">
        <v>3183810</v>
      </c>
      <c r="G357" s="265">
        <v>45181</v>
      </c>
      <c r="H357" s="232" t="s">
        <v>992</v>
      </c>
      <c r="I357" s="241"/>
      <c r="J357" s="266"/>
      <c r="K357" s="241"/>
      <c r="L357" s="241"/>
      <c r="M357" s="241"/>
    </row>
    <row r="358" spans="1:13">
      <c r="A358" s="237" t="s">
        <v>988</v>
      </c>
      <c r="B358" s="261">
        <v>4716033</v>
      </c>
      <c r="C358" s="237" t="s">
        <v>1010</v>
      </c>
      <c r="D358" s="237" t="s">
        <v>990</v>
      </c>
      <c r="E358" s="237" t="s">
        <v>991</v>
      </c>
      <c r="F358" s="262">
        <v>1769440</v>
      </c>
      <c r="G358" s="263">
        <v>45181</v>
      </c>
      <c r="H358" s="231" t="s">
        <v>992</v>
      </c>
      <c r="I358" s="237"/>
      <c r="J358" s="262"/>
      <c r="K358" s="237"/>
      <c r="L358" s="237"/>
      <c r="M358" s="237"/>
    </row>
    <row r="359" spans="1:13">
      <c r="A359" s="241" t="s">
        <v>988</v>
      </c>
      <c r="B359" s="264">
        <v>4716033</v>
      </c>
      <c r="C359" s="241" t="s">
        <v>1046</v>
      </c>
      <c r="D359" s="241" t="s">
        <v>990</v>
      </c>
      <c r="E359" s="241" t="s">
        <v>991</v>
      </c>
      <c r="F359" s="233">
        <v>1801331</v>
      </c>
      <c r="G359" s="265">
        <v>45181</v>
      </c>
      <c r="H359" s="232" t="s">
        <v>992</v>
      </c>
      <c r="I359" s="241"/>
      <c r="J359" s="266"/>
      <c r="K359" s="241"/>
      <c r="L359" s="241"/>
      <c r="M359" s="241"/>
    </row>
    <row r="360" spans="1:13">
      <c r="A360" s="237" t="s">
        <v>988</v>
      </c>
      <c r="B360" s="261">
        <v>4716033</v>
      </c>
      <c r="C360" s="237" t="s">
        <v>1020</v>
      </c>
      <c r="D360" s="237" t="s">
        <v>990</v>
      </c>
      <c r="E360" s="237" t="s">
        <v>991</v>
      </c>
      <c r="F360" s="262">
        <v>3006713</v>
      </c>
      <c r="G360" s="263">
        <v>45181</v>
      </c>
      <c r="H360" s="231" t="s">
        <v>992</v>
      </c>
      <c r="I360" s="237"/>
      <c r="J360" s="262"/>
      <c r="K360" s="237"/>
      <c r="L360" s="237"/>
      <c r="M360" s="237"/>
    </row>
    <row r="361" spans="1:13">
      <c r="A361" s="241" t="s">
        <v>988</v>
      </c>
      <c r="B361" s="264">
        <v>4716033</v>
      </c>
      <c r="C361" s="241" t="s">
        <v>1023</v>
      </c>
      <c r="D361" s="241" t="s">
        <v>990</v>
      </c>
      <c r="E361" s="241" t="s">
        <v>991</v>
      </c>
      <c r="F361" s="233">
        <v>2313585</v>
      </c>
      <c r="G361" s="265">
        <v>45181</v>
      </c>
      <c r="H361" s="232" t="s">
        <v>992</v>
      </c>
      <c r="I361" s="241"/>
      <c r="J361" s="266"/>
      <c r="K361" s="241"/>
      <c r="L361" s="241"/>
      <c r="M361" s="241"/>
    </row>
    <row r="362" spans="1:13">
      <c r="A362" s="237" t="s">
        <v>988</v>
      </c>
      <c r="B362" s="261">
        <v>4716033</v>
      </c>
      <c r="C362" s="237" t="s">
        <v>1047</v>
      </c>
      <c r="D362" s="237" t="s">
        <v>990</v>
      </c>
      <c r="E362" s="237" t="s">
        <v>991</v>
      </c>
      <c r="F362" s="262">
        <v>2007718</v>
      </c>
      <c r="G362" s="263">
        <v>45181</v>
      </c>
      <c r="H362" s="231" t="s">
        <v>992</v>
      </c>
      <c r="I362" s="237"/>
      <c r="J362" s="262"/>
      <c r="K362" s="237"/>
      <c r="L362" s="237"/>
      <c r="M362" s="237"/>
    </row>
    <row r="363" spans="1:13">
      <c r="A363" s="241" t="s">
        <v>988</v>
      </c>
      <c r="B363" s="264">
        <v>4716033</v>
      </c>
      <c r="C363" s="241" t="s">
        <v>1048</v>
      </c>
      <c r="D363" s="241" t="s">
        <v>990</v>
      </c>
      <c r="E363" s="241" t="s">
        <v>991</v>
      </c>
      <c r="F363" s="233">
        <v>1760000</v>
      </c>
      <c r="G363" s="265">
        <v>45181</v>
      </c>
      <c r="H363" s="232" t="s">
        <v>992</v>
      </c>
      <c r="I363" s="241"/>
      <c r="J363" s="266"/>
      <c r="K363" s="241"/>
      <c r="L363" s="241"/>
      <c r="M363" s="241"/>
    </row>
    <row r="364" spans="1:13">
      <c r="A364" s="237" t="s">
        <v>988</v>
      </c>
      <c r="B364" s="261">
        <v>4716033</v>
      </c>
      <c r="C364" s="237" t="s">
        <v>1049</v>
      </c>
      <c r="D364" s="237" t="s">
        <v>990</v>
      </c>
      <c r="E364" s="237" t="s">
        <v>991</v>
      </c>
      <c r="F364" s="262">
        <v>1360000</v>
      </c>
      <c r="G364" s="263">
        <v>45181</v>
      </c>
      <c r="H364" s="231" t="s">
        <v>992</v>
      </c>
      <c r="I364" s="237"/>
      <c r="J364" s="262"/>
      <c r="K364" s="237"/>
      <c r="L364" s="237"/>
      <c r="M364" s="237"/>
    </row>
    <row r="365" spans="1:13">
      <c r="A365" s="241" t="s">
        <v>988</v>
      </c>
      <c r="B365" s="264">
        <v>4716033</v>
      </c>
      <c r="C365" s="241" t="s">
        <v>1050</v>
      </c>
      <c r="D365" s="241" t="s">
        <v>990</v>
      </c>
      <c r="E365" s="241" t="s">
        <v>991</v>
      </c>
      <c r="F365" s="233">
        <v>2453885</v>
      </c>
      <c r="G365" s="265">
        <v>45181</v>
      </c>
      <c r="H365" s="232" t="s">
        <v>992</v>
      </c>
      <c r="I365" s="241"/>
      <c r="J365" s="266"/>
      <c r="K365" s="241"/>
      <c r="L365" s="241"/>
      <c r="M365" s="241"/>
    </row>
    <row r="366" spans="1:13">
      <c r="A366" s="237" t="s">
        <v>988</v>
      </c>
      <c r="B366" s="261">
        <v>4716033</v>
      </c>
      <c r="C366" s="237" t="s">
        <v>1050</v>
      </c>
      <c r="D366" s="237" t="s">
        <v>990</v>
      </c>
      <c r="E366" s="237" t="s">
        <v>991</v>
      </c>
      <c r="F366" s="262">
        <v>2935607</v>
      </c>
      <c r="G366" s="263">
        <v>45181</v>
      </c>
      <c r="H366" s="231" t="s">
        <v>992</v>
      </c>
      <c r="I366" s="237"/>
      <c r="J366" s="262"/>
      <c r="K366" s="237"/>
      <c r="L366" s="237"/>
      <c r="M366" s="237"/>
    </row>
    <row r="367" spans="1:13">
      <c r="A367" s="241" t="s">
        <v>988</v>
      </c>
      <c r="B367" s="264">
        <v>4716033</v>
      </c>
      <c r="C367" s="241" t="s">
        <v>1051</v>
      </c>
      <c r="D367" s="241" t="s">
        <v>990</v>
      </c>
      <c r="E367" s="241" t="s">
        <v>991</v>
      </c>
      <c r="F367" s="233">
        <v>1380800</v>
      </c>
      <c r="G367" s="265">
        <v>45181</v>
      </c>
      <c r="H367" s="232" t="s">
        <v>992</v>
      </c>
      <c r="I367" s="241"/>
      <c r="J367" s="266"/>
      <c r="K367" s="241"/>
      <c r="L367" s="241"/>
      <c r="M367" s="241"/>
    </row>
    <row r="368" spans="1:13">
      <c r="A368" s="237" t="s">
        <v>988</v>
      </c>
      <c r="B368" s="261">
        <v>4716033</v>
      </c>
      <c r="C368" s="237" t="s">
        <v>1051</v>
      </c>
      <c r="D368" s="237" t="s">
        <v>990</v>
      </c>
      <c r="E368" s="237" t="s">
        <v>991</v>
      </c>
      <c r="F368" s="262">
        <v>4655315</v>
      </c>
      <c r="G368" s="263">
        <v>45181</v>
      </c>
      <c r="H368" s="231" t="s">
        <v>992</v>
      </c>
      <c r="I368" s="237"/>
      <c r="J368" s="262"/>
      <c r="K368" s="237"/>
      <c r="L368" s="237"/>
      <c r="M368" s="237"/>
    </row>
    <row r="369" spans="1:13">
      <c r="A369" s="241" t="s">
        <v>988</v>
      </c>
      <c r="B369" s="264">
        <v>4716033</v>
      </c>
      <c r="C369" s="241" t="s">
        <v>1051</v>
      </c>
      <c r="D369" s="241" t="s">
        <v>990</v>
      </c>
      <c r="E369" s="241" t="s">
        <v>991</v>
      </c>
      <c r="F369" s="233">
        <v>4570572</v>
      </c>
      <c r="G369" s="265">
        <v>45181</v>
      </c>
      <c r="H369" s="232" t="s">
        <v>992</v>
      </c>
      <c r="I369" s="241"/>
      <c r="J369" s="266"/>
      <c r="K369" s="241"/>
      <c r="L369" s="241"/>
      <c r="M369" s="241"/>
    </row>
    <row r="370" spans="1:13">
      <c r="A370" s="237" t="s">
        <v>988</v>
      </c>
      <c r="B370" s="261">
        <v>4716033</v>
      </c>
      <c r="C370" s="237" t="s">
        <v>1052</v>
      </c>
      <c r="D370" s="237" t="s">
        <v>990</v>
      </c>
      <c r="E370" s="237" t="s">
        <v>991</v>
      </c>
      <c r="F370" s="262">
        <v>2952110</v>
      </c>
      <c r="G370" s="263">
        <v>45181</v>
      </c>
      <c r="H370" s="231" t="s">
        <v>992</v>
      </c>
      <c r="I370" s="237"/>
      <c r="J370" s="262"/>
      <c r="K370" s="237"/>
      <c r="L370" s="237"/>
      <c r="M370" s="237"/>
    </row>
    <row r="371" spans="1:13">
      <c r="A371" s="241" t="s">
        <v>988</v>
      </c>
      <c r="B371" s="264">
        <v>4716033</v>
      </c>
      <c r="C371" s="241" t="s">
        <v>1053</v>
      </c>
      <c r="D371" s="241" t="s">
        <v>990</v>
      </c>
      <c r="E371" s="241" t="s">
        <v>991</v>
      </c>
      <c r="F371" s="233">
        <v>3661107</v>
      </c>
      <c r="G371" s="265">
        <v>45181</v>
      </c>
      <c r="H371" s="232" t="s">
        <v>992</v>
      </c>
      <c r="I371" s="241"/>
      <c r="J371" s="266"/>
      <c r="K371" s="241"/>
      <c r="L371" s="241"/>
      <c r="M371" s="241"/>
    </row>
    <row r="372" spans="1:13">
      <c r="A372" s="237" t="s">
        <v>988</v>
      </c>
      <c r="B372" s="261">
        <v>4716033</v>
      </c>
      <c r="C372" s="237" t="s">
        <v>1054</v>
      </c>
      <c r="D372" s="237" t="s">
        <v>990</v>
      </c>
      <c r="E372" s="237" t="s">
        <v>991</v>
      </c>
      <c r="F372" s="262">
        <v>2637262</v>
      </c>
      <c r="G372" s="263">
        <v>45181</v>
      </c>
      <c r="H372" s="231" t="s">
        <v>992</v>
      </c>
      <c r="I372" s="237"/>
      <c r="J372" s="262"/>
      <c r="K372" s="237"/>
      <c r="L372" s="237"/>
      <c r="M372" s="237"/>
    </row>
    <row r="373" spans="1:13">
      <c r="A373" s="241" t="s">
        <v>988</v>
      </c>
      <c r="B373" s="264">
        <v>4716033</v>
      </c>
      <c r="C373" s="241" t="s">
        <v>1055</v>
      </c>
      <c r="D373" s="241" t="s">
        <v>990</v>
      </c>
      <c r="E373" s="241" t="s">
        <v>991</v>
      </c>
      <c r="F373" s="233">
        <v>3392571</v>
      </c>
      <c r="G373" s="265">
        <v>45181</v>
      </c>
      <c r="H373" s="232" t="s">
        <v>992</v>
      </c>
      <c r="I373" s="241"/>
      <c r="J373" s="266"/>
      <c r="K373" s="241"/>
      <c r="L373" s="241"/>
      <c r="M373" s="241"/>
    </row>
    <row r="374" spans="1:13">
      <c r="A374" s="237" t="s">
        <v>988</v>
      </c>
      <c r="B374" s="261">
        <v>4716033</v>
      </c>
      <c r="C374" s="237" t="s">
        <v>1056</v>
      </c>
      <c r="D374" s="237" t="s">
        <v>990</v>
      </c>
      <c r="E374" s="237" t="s">
        <v>991</v>
      </c>
      <c r="F374" s="262">
        <v>2164412</v>
      </c>
      <c r="G374" s="263">
        <v>45181</v>
      </c>
      <c r="H374" s="231" t="s">
        <v>992</v>
      </c>
      <c r="I374" s="237"/>
      <c r="J374" s="262"/>
      <c r="K374" s="237"/>
      <c r="L374" s="237"/>
      <c r="M374" s="237"/>
    </row>
    <row r="375" spans="1:13">
      <c r="A375" s="241" t="s">
        <v>988</v>
      </c>
      <c r="B375" s="264">
        <v>4716033</v>
      </c>
      <c r="C375" s="241" t="s">
        <v>1057</v>
      </c>
      <c r="D375" s="241" t="s">
        <v>990</v>
      </c>
      <c r="E375" s="241" t="s">
        <v>991</v>
      </c>
      <c r="F375" s="233">
        <v>2309830</v>
      </c>
      <c r="G375" s="265">
        <v>45181</v>
      </c>
      <c r="H375" s="232" t="s">
        <v>992</v>
      </c>
      <c r="I375" s="241"/>
      <c r="J375" s="266"/>
      <c r="K375" s="241"/>
      <c r="L375" s="241"/>
      <c r="M375" s="241"/>
    </row>
    <row r="376" spans="1:13">
      <c r="A376" s="237" t="s">
        <v>988</v>
      </c>
      <c r="B376" s="261">
        <v>4716033</v>
      </c>
      <c r="C376" s="237" t="s">
        <v>1058</v>
      </c>
      <c r="D376" s="237" t="s">
        <v>990</v>
      </c>
      <c r="E376" s="237" t="s">
        <v>991</v>
      </c>
      <c r="F376" s="262">
        <v>3549927</v>
      </c>
      <c r="G376" s="263">
        <v>45181</v>
      </c>
      <c r="H376" s="231" t="s">
        <v>992</v>
      </c>
      <c r="I376" s="237"/>
      <c r="J376" s="262"/>
      <c r="K376" s="237"/>
      <c r="L376" s="237"/>
      <c r="M376" s="237"/>
    </row>
    <row r="377" spans="1:13">
      <c r="A377" s="241" t="s">
        <v>988</v>
      </c>
      <c r="B377" s="264">
        <v>4716033</v>
      </c>
      <c r="C377" s="241" t="s">
        <v>1059</v>
      </c>
      <c r="D377" s="241" t="s">
        <v>990</v>
      </c>
      <c r="E377" s="241" t="s">
        <v>991</v>
      </c>
      <c r="F377" s="233">
        <v>2260666</v>
      </c>
      <c r="G377" s="265">
        <v>45181</v>
      </c>
      <c r="H377" s="232" t="s">
        <v>992</v>
      </c>
      <c r="I377" s="241"/>
      <c r="J377" s="266"/>
      <c r="K377" s="241"/>
      <c r="L377" s="241"/>
      <c r="M377" s="241"/>
    </row>
    <row r="378" spans="1:13">
      <c r="A378" s="237" t="s">
        <v>988</v>
      </c>
      <c r="B378" s="261">
        <v>4716033</v>
      </c>
      <c r="C378" s="237" t="s">
        <v>1060</v>
      </c>
      <c r="D378" s="237" t="s">
        <v>990</v>
      </c>
      <c r="E378" s="237" t="s">
        <v>991</v>
      </c>
      <c r="F378" s="262">
        <v>947950</v>
      </c>
      <c r="G378" s="263">
        <v>45181</v>
      </c>
      <c r="H378" s="231" t="s">
        <v>992</v>
      </c>
      <c r="I378" s="237"/>
      <c r="J378" s="262"/>
      <c r="K378" s="237"/>
      <c r="L378" s="237"/>
      <c r="M378" s="237"/>
    </row>
    <row r="379" spans="1:13">
      <c r="A379" s="241" t="s">
        <v>988</v>
      </c>
      <c r="B379" s="264">
        <v>4716033</v>
      </c>
      <c r="C379" s="241" t="s">
        <v>1061</v>
      </c>
      <c r="D379" s="241" t="s">
        <v>990</v>
      </c>
      <c r="E379" s="241" t="s">
        <v>991</v>
      </c>
      <c r="F379" s="233">
        <v>2419645</v>
      </c>
      <c r="G379" s="265">
        <v>45181</v>
      </c>
      <c r="H379" s="232" t="s">
        <v>992</v>
      </c>
      <c r="I379" s="241"/>
      <c r="J379" s="266"/>
      <c r="K379" s="241"/>
      <c r="L379" s="241"/>
      <c r="M379" s="241"/>
    </row>
    <row r="380" spans="1:13">
      <c r="A380" s="237" t="s">
        <v>988</v>
      </c>
      <c r="B380" s="261">
        <v>4716033</v>
      </c>
      <c r="C380" s="237" t="s">
        <v>1012</v>
      </c>
      <c r="D380" s="237" t="s">
        <v>990</v>
      </c>
      <c r="E380" s="237" t="s">
        <v>991</v>
      </c>
      <c r="F380" s="262">
        <v>1725516</v>
      </c>
      <c r="G380" s="263">
        <v>45181</v>
      </c>
      <c r="H380" s="231" t="s">
        <v>992</v>
      </c>
      <c r="I380" s="237"/>
      <c r="J380" s="262"/>
      <c r="K380" s="237"/>
      <c r="L380" s="237"/>
      <c r="M380" s="237"/>
    </row>
    <row r="381" spans="1:13">
      <c r="A381" s="241" t="s">
        <v>988</v>
      </c>
      <c r="B381" s="264">
        <v>4716033</v>
      </c>
      <c r="C381" s="241" t="s">
        <v>1062</v>
      </c>
      <c r="D381" s="241" t="s">
        <v>990</v>
      </c>
      <c r="E381" s="241" t="s">
        <v>991</v>
      </c>
      <c r="F381" s="233">
        <v>6943687</v>
      </c>
      <c r="G381" s="265">
        <v>45184</v>
      </c>
      <c r="H381" s="232" t="s">
        <v>992</v>
      </c>
      <c r="I381" s="241"/>
      <c r="J381" s="266"/>
      <c r="K381" s="241"/>
      <c r="L381" s="241"/>
      <c r="M381" s="241"/>
    </row>
    <row r="382" spans="1:13">
      <c r="A382" s="237" t="s">
        <v>988</v>
      </c>
      <c r="B382" s="261">
        <v>4716033</v>
      </c>
      <c r="C382" s="237" t="s">
        <v>1063</v>
      </c>
      <c r="D382" s="237" t="s">
        <v>990</v>
      </c>
      <c r="E382" s="237" t="s">
        <v>991</v>
      </c>
      <c r="F382" s="262">
        <v>2387226</v>
      </c>
      <c r="G382" s="263">
        <v>45196</v>
      </c>
      <c r="H382" s="231" t="s">
        <v>992</v>
      </c>
      <c r="I382" s="237"/>
      <c r="J382" s="262"/>
      <c r="K382" s="237"/>
      <c r="L382" s="237"/>
      <c r="M382" s="237"/>
    </row>
    <row r="383" spans="1:13">
      <c r="A383" s="241" t="s">
        <v>988</v>
      </c>
      <c r="B383" s="264">
        <v>4716033</v>
      </c>
      <c r="C383" s="241" t="s">
        <v>1064</v>
      </c>
      <c r="D383" s="241" t="s">
        <v>990</v>
      </c>
      <c r="E383" s="241" t="s">
        <v>991</v>
      </c>
      <c r="F383" s="233">
        <v>900666</v>
      </c>
      <c r="G383" s="265">
        <v>45198</v>
      </c>
      <c r="H383" s="232" t="s">
        <v>992</v>
      </c>
      <c r="I383" s="241"/>
      <c r="J383" s="266"/>
      <c r="K383" s="241"/>
      <c r="L383" s="241"/>
      <c r="M383" s="241"/>
    </row>
    <row r="384" spans="1:13">
      <c r="A384" s="237" t="s">
        <v>988</v>
      </c>
      <c r="B384" s="261">
        <v>4716033</v>
      </c>
      <c r="C384" s="237" t="s">
        <v>1045</v>
      </c>
      <c r="D384" s="237" t="s">
        <v>990</v>
      </c>
      <c r="E384" s="237" t="s">
        <v>991</v>
      </c>
      <c r="F384" s="262">
        <v>2163168</v>
      </c>
      <c r="G384" s="263">
        <v>45198</v>
      </c>
      <c r="H384" s="231" t="s">
        <v>992</v>
      </c>
      <c r="I384" s="237"/>
      <c r="J384" s="262"/>
      <c r="K384" s="237"/>
      <c r="L384" s="237"/>
      <c r="M384" s="237"/>
    </row>
    <row r="385" spans="1:13">
      <c r="A385" s="241" t="s">
        <v>988</v>
      </c>
      <c r="B385" s="264">
        <v>4716033</v>
      </c>
      <c r="C385" s="241" t="s">
        <v>1065</v>
      </c>
      <c r="D385" s="241" t="s">
        <v>990</v>
      </c>
      <c r="E385" s="241" t="s">
        <v>991</v>
      </c>
      <c r="F385" s="233">
        <v>3388592</v>
      </c>
      <c r="G385" s="265">
        <v>45222</v>
      </c>
      <c r="H385" s="232" t="s">
        <v>992</v>
      </c>
      <c r="I385" s="241"/>
      <c r="J385" s="266"/>
      <c r="K385" s="241"/>
      <c r="L385" s="241"/>
      <c r="M385" s="241"/>
    </row>
    <row r="386" spans="1:13">
      <c r="A386" s="237" t="s">
        <v>988</v>
      </c>
      <c r="B386" s="261">
        <v>4716033</v>
      </c>
      <c r="C386" s="237" t="s">
        <v>999</v>
      </c>
      <c r="D386" s="237" t="s">
        <v>990</v>
      </c>
      <c r="E386" s="237" t="s">
        <v>991</v>
      </c>
      <c r="F386" s="262">
        <v>1642200</v>
      </c>
      <c r="G386" s="263">
        <v>45222</v>
      </c>
      <c r="H386" s="231" t="s">
        <v>992</v>
      </c>
      <c r="I386" s="237"/>
      <c r="J386" s="262"/>
      <c r="K386" s="237"/>
      <c r="L386" s="237"/>
      <c r="M386" s="237"/>
    </row>
    <row r="387" spans="1:13">
      <c r="A387" s="241" t="s">
        <v>988</v>
      </c>
      <c r="B387" s="264">
        <v>4716033</v>
      </c>
      <c r="C387" s="241" t="s">
        <v>1066</v>
      </c>
      <c r="D387" s="241" t="s">
        <v>990</v>
      </c>
      <c r="E387" s="241" t="s">
        <v>991</v>
      </c>
      <c r="F387" s="233">
        <v>2708519</v>
      </c>
      <c r="G387" s="265">
        <v>45222</v>
      </c>
      <c r="H387" s="232" t="s">
        <v>992</v>
      </c>
      <c r="I387" s="241"/>
      <c r="J387" s="266"/>
      <c r="K387" s="241"/>
      <c r="L387" s="241"/>
      <c r="M387" s="241"/>
    </row>
    <row r="388" spans="1:13">
      <c r="A388" s="237" t="s">
        <v>988</v>
      </c>
      <c r="B388" s="261">
        <v>4716033</v>
      </c>
      <c r="C388" s="237" t="s">
        <v>1067</v>
      </c>
      <c r="D388" s="237" t="s">
        <v>990</v>
      </c>
      <c r="E388" s="237" t="s">
        <v>991</v>
      </c>
      <c r="F388" s="262">
        <v>2393796</v>
      </c>
      <c r="G388" s="263">
        <v>45222</v>
      </c>
      <c r="H388" s="231" t="s">
        <v>992</v>
      </c>
      <c r="I388" s="237"/>
      <c r="J388" s="262"/>
      <c r="K388" s="237"/>
      <c r="L388" s="237"/>
      <c r="M388" s="237"/>
    </row>
    <row r="389" spans="1:13">
      <c r="A389" s="241" t="s">
        <v>988</v>
      </c>
      <c r="B389" s="264">
        <v>4716033</v>
      </c>
      <c r="C389" s="241" t="s">
        <v>1018</v>
      </c>
      <c r="D389" s="241" t="s">
        <v>990</v>
      </c>
      <c r="E389" s="241" t="s">
        <v>991</v>
      </c>
      <c r="F389" s="233">
        <v>3011965</v>
      </c>
      <c r="G389" s="265">
        <v>45222</v>
      </c>
      <c r="H389" s="232" t="s">
        <v>992</v>
      </c>
      <c r="I389" s="241"/>
      <c r="J389" s="266"/>
      <c r="K389" s="241"/>
      <c r="L389" s="241"/>
      <c r="M389" s="241"/>
    </row>
    <row r="390" spans="1:13">
      <c r="A390" s="237" t="s">
        <v>988</v>
      </c>
      <c r="B390" s="261">
        <v>4716033</v>
      </c>
      <c r="C390" s="237" t="s">
        <v>1067</v>
      </c>
      <c r="D390" s="237" t="s">
        <v>990</v>
      </c>
      <c r="E390" s="237" t="s">
        <v>991</v>
      </c>
      <c r="F390" s="262">
        <v>3677615</v>
      </c>
      <c r="G390" s="263">
        <v>45222</v>
      </c>
      <c r="H390" s="231" t="s">
        <v>992</v>
      </c>
      <c r="I390" s="237"/>
      <c r="J390" s="262"/>
      <c r="K390" s="237"/>
      <c r="L390" s="237"/>
      <c r="M390" s="237"/>
    </row>
    <row r="391" spans="1:13">
      <c r="A391" s="241" t="s">
        <v>988</v>
      </c>
      <c r="B391" s="264">
        <v>4716033</v>
      </c>
      <c r="C391" s="241" t="s">
        <v>1068</v>
      </c>
      <c r="D391" s="241" t="s">
        <v>990</v>
      </c>
      <c r="E391" s="241" t="s">
        <v>991</v>
      </c>
      <c r="F391" s="233">
        <v>4281248</v>
      </c>
      <c r="G391" s="265">
        <v>45222</v>
      </c>
      <c r="H391" s="232" t="s">
        <v>992</v>
      </c>
      <c r="I391" s="241"/>
      <c r="J391" s="266"/>
      <c r="K391" s="241"/>
      <c r="L391" s="241"/>
      <c r="M391" s="241"/>
    </row>
    <row r="392" spans="1:13">
      <c r="A392" s="237" t="s">
        <v>988</v>
      </c>
      <c r="B392" s="261">
        <v>4716033</v>
      </c>
      <c r="C392" s="237" t="s">
        <v>1069</v>
      </c>
      <c r="D392" s="237" t="s">
        <v>990</v>
      </c>
      <c r="E392" s="237" t="s">
        <v>991</v>
      </c>
      <c r="F392" s="262">
        <v>2640883</v>
      </c>
      <c r="G392" s="263">
        <v>45222</v>
      </c>
      <c r="H392" s="231" t="s">
        <v>992</v>
      </c>
      <c r="I392" s="237"/>
      <c r="J392" s="262"/>
      <c r="K392" s="237"/>
      <c r="L392" s="237"/>
      <c r="M392" s="237"/>
    </row>
    <row r="393" spans="1:13">
      <c r="A393" s="241" t="s">
        <v>988</v>
      </c>
      <c r="B393" s="264">
        <v>4716033</v>
      </c>
      <c r="C393" s="241" t="s">
        <v>1028</v>
      </c>
      <c r="D393" s="241" t="s">
        <v>990</v>
      </c>
      <c r="E393" s="241" t="s">
        <v>991</v>
      </c>
      <c r="F393" s="233">
        <v>1100300</v>
      </c>
      <c r="G393" s="265">
        <v>45222</v>
      </c>
      <c r="H393" s="232" t="s">
        <v>992</v>
      </c>
      <c r="I393" s="241"/>
      <c r="J393" s="266"/>
      <c r="K393" s="241"/>
      <c r="L393" s="241"/>
      <c r="M393" s="241"/>
    </row>
    <row r="394" spans="1:13">
      <c r="A394" s="237" t="s">
        <v>988</v>
      </c>
      <c r="B394" s="261">
        <v>4716033</v>
      </c>
      <c r="C394" s="237" t="s">
        <v>1070</v>
      </c>
      <c r="D394" s="237" t="s">
        <v>990</v>
      </c>
      <c r="E394" s="237" t="s">
        <v>991</v>
      </c>
      <c r="F394" s="262">
        <v>2207734</v>
      </c>
      <c r="G394" s="263">
        <v>45222</v>
      </c>
      <c r="H394" s="231" t="s">
        <v>992</v>
      </c>
      <c r="I394" s="237"/>
      <c r="J394" s="262"/>
      <c r="K394" s="237"/>
      <c r="L394" s="237"/>
      <c r="M394" s="237"/>
    </row>
    <row r="395" spans="1:13">
      <c r="A395" s="241" t="s">
        <v>988</v>
      </c>
      <c r="B395" s="264">
        <v>4716033</v>
      </c>
      <c r="C395" s="241" t="s">
        <v>1071</v>
      </c>
      <c r="D395" s="241" t="s">
        <v>990</v>
      </c>
      <c r="E395" s="241" t="s">
        <v>991</v>
      </c>
      <c r="F395" s="233">
        <v>3668648</v>
      </c>
      <c r="G395" s="265">
        <v>45222</v>
      </c>
      <c r="H395" s="232" t="s">
        <v>992</v>
      </c>
      <c r="I395" s="241"/>
      <c r="J395" s="266"/>
      <c r="K395" s="241"/>
      <c r="L395" s="241"/>
      <c r="M395" s="241"/>
    </row>
    <row r="396" spans="1:13">
      <c r="A396" s="237" t="s">
        <v>988</v>
      </c>
      <c r="B396" s="261">
        <v>4716033</v>
      </c>
      <c r="C396" s="237" t="s">
        <v>1072</v>
      </c>
      <c r="D396" s="237" t="s">
        <v>990</v>
      </c>
      <c r="E396" s="237" t="s">
        <v>991</v>
      </c>
      <c r="F396" s="262">
        <v>4322000</v>
      </c>
      <c r="G396" s="263">
        <v>45224</v>
      </c>
      <c r="H396" s="231" t="s">
        <v>992</v>
      </c>
      <c r="I396" s="237"/>
      <c r="J396" s="262"/>
      <c r="K396" s="237"/>
      <c r="L396" s="237"/>
      <c r="M396" s="237"/>
    </row>
    <row r="397" spans="1:13">
      <c r="A397" s="241" t="s">
        <v>988</v>
      </c>
      <c r="B397" s="264">
        <v>4716033</v>
      </c>
      <c r="C397" s="241" t="s">
        <v>1073</v>
      </c>
      <c r="D397" s="241" t="s">
        <v>990</v>
      </c>
      <c r="E397" s="241" t="s">
        <v>991</v>
      </c>
      <c r="F397" s="233">
        <v>6565000</v>
      </c>
      <c r="G397" s="265">
        <v>45224</v>
      </c>
      <c r="H397" s="232" t="s">
        <v>992</v>
      </c>
      <c r="I397" s="241"/>
      <c r="J397" s="266"/>
      <c r="K397" s="241"/>
      <c r="L397" s="241"/>
      <c r="M397" s="241"/>
    </row>
    <row r="398" spans="1:13">
      <c r="A398" s="237" t="s">
        <v>988</v>
      </c>
      <c r="B398" s="261">
        <v>4716033</v>
      </c>
      <c r="C398" s="237" t="s">
        <v>1009</v>
      </c>
      <c r="D398" s="237" t="s">
        <v>990</v>
      </c>
      <c r="E398" s="237" t="s">
        <v>991</v>
      </c>
      <c r="F398" s="262">
        <v>1832854</v>
      </c>
      <c r="G398" s="263">
        <v>45239</v>
      </c>
      <c r="H398" s="231" t="s">
        <v>992</v>
      </c>
      <c r="I398" s="237"/>
      <c r="J398" s="262"/>
      <c r="K398" s="237"/>
      <c r="L398" s="237"/>
      <c r="M398" s="237"/>
    </row>
    <row r="399" spans="1:13">
      <c r="A399" s="241" t="s">
        <v>988</v>
      </c>
      <c r="B399" s="264">
        <v>4716033</v>
      </c>
      <c r="C399" s="241" t="s">
        <v>1074</v>
      </c>
      <c r="D399" s="241" t="s">
        <v>990</v>
      </c>
      <c r="E399" s="241" t="s">
        <v>991</v>
      </c>
      <c r="F399" s="233">
        <v>3000000</v>
      </c>
      <c r="G399" s="265">
        <v>45244</v>
      </c>
      <c r="H399" s="232" t="s">
        <v>992</v>
      </c>
      <c r="I399" s="241"/>
      <c r="J399" s="266"/>
      <c r="K399" s="241"/>
      <c r="L399" s="241"/>
      <c r="M399" s="241"/>
    </row>
    <row r="400" spans="1:13">
      <c r="A400" s="237" t="s">
        <v>988</v>
      </c>
      <c r="B400" s="261">
        <v>4716033</v>
      </c>
      <c r="C400" s="237" t="s">
        <v>1075</v>
      </c>
      <c r="D400" s="237" t="s">
        <v>990</v>
      </c>
      <c r="E400" s="237" t="s">
        <v>991</v>
      </c>
      <c r="F400" s="262">
        <v>3000000</v>
      </c>
      <c r="G400" s="263">
        <v>45246</v>
      </c>
      <c r="H400" s="231" t="s">
        <v>992</v>
      </c>
      <c r="I400" s="237"/>
      <c r="J400" s="262"/>
      <c r="K400" s="237"/>
      <c r="L400" s="237"/>
      <c r="M400" s="237"/>
    </row>
    <row r="401" spans="1:13">
      <c r="A401" s="241" t="s">
        <v>988</v>
      </c>
      <c r="B401" s="264">
        <v>4716033</v>
      </c>
      <c r="C401" s="241" t="s">
        <v>1075</v>
      </c>
      <c r="D401" s="241" t="s">
        <v>990</v>
      </c>
      <c r="E401" s="241" t="s">
        <v>991</v>
      </c>
      <c r="F401" s="233">
        <v>3000000</v>
      </c>
      <c r="G401" s="265">
        <v>45266</v>
      </c>
      <c r="H401" s="232" t="s">
        <v>992</v>
      </c>
      <c r="I401" s="241"/>
      <c r="J401" s="266"/>
      <c r="K401" s="241"/>
      <c r="L401" s="241"/>
      <c r="M401" s="241"/>
    </row>
    <row r="402" spans="1:13">
      <c r="A402" s="237" t="s">
        <v>988</v>
      </c>
      <c r="B402" s="261">
        <v>4716033</v>
      </c>
      <c r="C402" s="237" t="s">
        <v>1075</v>
      </c>
      <c r="D402" s="237" t="s">
        <v>990</v>
      </c>
      <c r="E402" s="237" t="s">
        <v>991</v>
      </c>
      <c r="F402" s="262">
        <v>3000000</v>
      </c>
      <c r="G402" s="263">
        <v>45288</v>
      </c>
      <c r="H402" s="231" t="s">
        <v>992</v>
      </c>
      <c r="I402" s="237"/>
      <c r="J402" s="262"/>
      <c r="K402" s="237"/>
      <c r="L402" s="237"/>
      <c r="M402" s="237"/>
    </row>
    <row r="403" spans="1:13">
      <c r="A403" s="241" t="s">
        <v>988</v>
      </c>
      <c r="B403" s="264">
        <v>4716033</v>
      </c>
      <c r="C403" s="241" t="s">
        <v>1076</v>
      </c>
      <c r="D403" s="241" t="s">
        <v>990</v>
      </c>
      <c r="E403" s="241" t="s">
        <v>991</v>
      </c>
      <c r="F403" s="233">
        <v>1134086</v>
      </c>
      <c r="G403" s="265">
        <v>45291</v>
      </c>
      <c r="H403" s="232" t="s">
        <v>992</v>
      </c>
      <c r="I403" s="241"/>
      <c r="J403" s="266"/>
      <c r="K403" s="241"/>
      <c r="L403" s="241"/>
      <c r="M403" s="241"/>
    </row>
    <row r="404" spans="1:13">
      <c r="A404" s="237" t="s">
        <v>988</v>
      </c>
      <c r="B404" s="261">
        <v>4716033</v>
      </c>
      <c r="C404" s="237" t="s">
        <v>1077</v>
      </c>
      <c r="D404" s="237" t="s">
        <v>990</v>
      </c>
      <c r="E404" s="237" t="s">
        <v>991</v>
      </c>
      <c r="F404" s="262">
        <v>364928</v>
      </c>
      <c r="G404" s="263">
        <v>45291</v>
      </c>
      <c r="H404" s="231" t="s">
        <v>992</v>
      </c>
      <c r="I404" s="237"/>
      <c r="J404" s="262"/>
      <c r="K404" s="237"/>
      <c r="L404" s="237"/>
      <c r="M404" s="237"/>
    </row>
    <row r="405" spans="1:13">
      <c r="A405" s="241" t="s">
        <v>988</v>
      </c>
      <c r="B405" s="264">
        <v>4716033</v>
      </c>
      <c r="C405" s="241" t="s">
        <v>1078</v>
      </c>
      <c r="D405" s="241" t="s">
        <v>990</v>
      </c>
      <c r="E405" s="241" t="s">
        <v>991</v>
      </c>
      <c r="F405" s="233">
        <v>2399158</v>
      </c>
      <c r="G405" s="265">
        <v>45291</v>
      </c>
      <c r="H405" s="232" t="s">
        <v>992</v>
      </c>
      <c r="I405" s="241"/>
      <c r="J405" s="266"/>
      <c r="K405" s="241"/>
      <c r="L405" s="241"/>
      <c r="M405" s="241"/>
    </row>
    <row r="406" spans="1:13">
      <c r="A406" s="237" t="s">
        <v>988</v>
      </c>
      <c r="B406" s="261">
        <v>4716033</v>
      </c>
      <c r="C406" s="237" t="s">
        <v>1079</v>
      </c>
      <c r="D406" s="237" t="s">
        <v>990</v>
      </c>
      <c r="E406" s="237" t="s">
        <v>991</v>
      </c>
      <c r="F406" s="262">
        <v>1139512</v>
      </c>
      <c r="G406" s="263">
        <v>45291</v>
      </c>
      <c r="H406" s="231" t="s">
        <v>992</v>
      </c>
      <c r="I406" s="237"/>
      <c r="J406" s="262"/>
      <c r="K406" s="237"/>
      <c r="L406" s="237"/>
      <c r="M406" s="237"/>
    </row>
    <row r="407" spans="1:13">
      <c r="A407" s="241" t="s">
        <v>988</v>
      </c>
      <c r="B407" s="264">
        <v>4716033</v>
      </c>
      <c r="C407" s="241" t="s">
        <v>1080</v>
      </c>
      <c r="D407" s="241" t="s">
        <v>990</v>
      </c>
      <c r="E407" s="241" t="s">
        <v>991</v>
      </c>
      <c r="F407" s="233">
        <v>1122091</v>
      </c>
      <c r="G407" s="265">
        <v>45291</v>
      </c>
      <c r="H407" s="232" t="s">
        <v>992</v>
      </c>
      <c r="I407" s="241"/>
      <c r="J407" s="266"/>
      <c r="K407" s="241"/>
      <c r="L407" s="241"/>
      <c r="M407" s="241"/>
    </row>
    <row r="408" spans="1:13">
      <c r="A408" s="237" t="s">
        <v>988</v>
      </c>
      <c r="B408" s="261">
        <v>4716033</v>
      </c>
      <c r="C408" s="237" t="s">
        <v>1081</v>
      </c>
      <c r="D408" s="237" t="s">
        <v>990</v>
      </c>
      <c r="E408" s="237" t="s">
        <v>991</v>
      </c>
      <c r="F408" s="262">
        <v>4104971</v>
      </c>
      <c r="G408" s="263">
        <v>45291</v>
      </c>
      <c r="H408" s="231" t="s">
        <v>992</v>
      </c>
      <c r="I408" s="237"/>
      <c r="J408" s="262"/>
      <c r="K408" s="237"/>
      <c r="L408" s="237"/>
      <c r="M408" s="237"/>
    </row>
    <row r="409" spans="1:13">
      <c r="A409" s="241" t="s">
        <v>988</v>
      </c>
      <c r="B409" s="264">
        <v>4716033</v>
      </c>
      <c r="C409" s="241" t="s">
        <v>1082</v>
      </c>
      <c r="D409" s="241" t="s">
        <v>990</v>
      </c>
      <c r="E409" s="241" t="s">
        <v>991</v>
      </c>
      <c r="F409" s="233">
        <v>1295069</v>
      </c>
      <c r="G409" s="265">
        <v>45291</v>
      </c>
      <c r="H409" s="232" t="s">
        <v>992</v>
      </c>
      <c r="I409" s="241"/>
      <c r="J409" s="266"/>
      <c r="K409" s="241"/>
      <c r="L409" s="241"/>
      <c r="M409" s="241"/>
    </row>
    <row r="410" spans="1:13">
      <c r="A410" s="237" t="s">
        <v>988</v>
      </c>
      <c r="B410" s="261">
        <v>4716033</v>
      </c>
      <c r="C410" s="237" t="s">
        <v>1083</v>
      </c>
      <c r="D410" s="237" t="s">
        <v>990</v>
      </c>
      <c r="E410" s="237" t="s">
        <v>991</v>
      </c>
      <c r="F410" s="262">
        <v>590913</v>
      </c>
      <c r="G410" s="263">
        <v>45291</v>
      </c>
      <c r="H410" s="231" t="s">
        <v>992</v>
      </c>
      <c r="I410" s="237"/>
      <c r="J410" s="262"/>
      <c r="K410" s="237"/>
      <c r="L410" s="237"/>
      <c r="M410" s="237"/>
    </row>
    <row r="411" spans="1:13">
      <c r="A411" s="241" t="s">
        <v>988</v>
      </c>
      <c r="B411" s="264">
        <v>4716033</v>
      </c>
      <c r="C411" s="241" t="s">
        <v>1084</v>
      </c>
      <c r="D411" s="241" t="s">
        <v>990</v>
      </c>
      <c r="E411" s="241" t="s">
        <v>991</v>
      </c>
      <c r="F411" s="233">
        <v>1744636</v>
      </c>
      <c r="G411" s="265">
        <v>45291</v>
      </c>
      <c r="H411" s="232" t="s">
        <v>992</v>
      </c>
      <c r="I411" s="241"/>
      <c r="J411" s="266"/>
      <c r="K411" s="241"/>
      <c r="L411" s="241"/>
      <c r="M411" s="241"/>
    </row>
    <row r="412" spans="1:13">
      <c r="A412" s="237" t="s">
        <v>988</v>
      </c>
      <c r="B412" s="261">
        <v>4716033</v>
      </c>
      <c r="C412" s="237" t="s">
        <v>1085</v>
      </c>
      <c r="D412" s="237" t="s">
        <v>990</v>
      </c>
      <c r="E412" s="237" t="s">
        <v>991</v>
      </c>
      <c r="F412" s="262">
        <v>675860</v>
      </c>
      <c r="G412" s="263">
        <v>45291</v>
      </c>
      <c r="H412" s="231" t="s">
        <v>992</v>
      </c>
      <c r="I412" s="237"/>
      <c r="J412" s="262"/>
      <c r="K412" s="237"/>
      <c r="L412" s="237"/>
      <c r="M412" s="237"/>
    </row>
    <row r="413" spans="1:13">
      <c r="A413" s="241" t="s">
        <v>988</v>
      </c>
      <c r="B413" s="264">
        <v>4716033</v>
      </c>
      <c r="C413" s="241" t="s">
        <v>1083</v>
      </c>
      <c r="D413" s="241" t="s">
        <v>990</v>
      </c>
      <c r="E413" s="241" t="s">
        <v>991</v>
      </c>
      <c r="F413" s="233">
        <v>1007078</v>
      </c>
      <c r="G413" s="265">
        <v>45291</v>
      </c>
      <c r="H413" s="232" t="s">
        <v>992</v>
      </c>
      <c r="I413" s="241"/>
      <c r="J413" s="266"/>
      <c r="K413" s="241"/>
      <c r="L413" s="241"/>
      <c r="M413" s="241"/>
    </row>
    <row r="414" spans="1:13">
      <c r="A414" s="237" t="s">
        <v>988</v>
      </c>
      <c r="B414" s="261">
        <v>4716033</v>
      </c>
      <c r="C414" s="237" t="s">
        <v>1086</v>
      </c>
      <c r="D414" s="237" t="s">
        <v>990</v>
      </c>
      <c r="E414" s="237" t="s">
        <v>991</v>
      </c>
      <c r="F414" s="262">
        <v>575945</v>
      </c>
      <c r="G414" s="263">
        <v>45291</v>
      </c>
      <c r="H414" s="231" t="s">
        <v>992</v>
      </c>
      <c r="I414" s="237"/>
      <c r="J414" s="262"/>
      <c r="K414" s="237"/>
      <c r="L414" s="237"/>
      <c r="M414" s="237"/>
    </row>
    <row r="415" spans="1:13">
      <c r="A415" s="241" t="s">
        <v>988</v>
      </c>
      <c r="B415" s="264">
        <v>4716033</v>
      </c>
      <c r="C415" s="241" t="s">
        <v>1087</v>
      </c>
      <c r="D415" s="241" t="s">
        <v>990</v>
      </c>
      <c r="E415" s="241" t="s">
        <v>991</v>
      </c>
      <c r="F415" s="233">
        <v>1890630</v>
      </c>
      <c r="G415" s="265">
        <v>45291</v>
      </c>
      <c r="H415" s="232" t="s">
        <v>992</v>
      </c>
      <c r="I415" s="241"/>
      <c r="J415" s="266"/>
      <c r="K415" s="241"/>
      <c r="L415" s="241"/>
      <c r="M415" s="241"/>
    </row>
    <row r="416" spans="1:13">
      <c r="A416" s="237" t="s">
        <v>988</v>
      </c>
      <c r="B416" s="261">
        <v>4716033</v>
      </c>
      <c r="C416" s="237" t="s">
        <v>1088</v>
      </c>
      <c r="D416" s="237" t="s">
        <v>990</v>
      </c>
      <c r="E416" s="237" t="s">
        <v>991</v>
      </c>
      <c r="F416" s="262">
        <v>4108965</v>
      </c>
      <c r="G416" s="263">
        <v>45291</v>
      </c>
      <c r="H416" s="231" t="s">
        <v>992</v>
      </c>
      <c r="I416" s="237"/>
      <c r="J416" s="262"/>
      <c r="K416" s="237"/>
      <c r="L416" s="237"/>
      <c r="M416" s="237"/>
    </row>
    <row r="417" spans="1:13">
      <c r="A417" s="241" t="s">
        <v>988</v>
      </c>
      <c r="B417" s="264">
        <v>4716033</v>
      </c>
      <c r="C417" s="241" t="s">
        <v>1089</v>
      </c>
      <c r="D417" s="241" t="s">
        <v>990</v>
      </c>
      <c r="E417" s="241" t="s">
        <v>991</v>
      </c>
      <c r="F417" s="233">
        <v>2984214</v>
      </c>
      <c r="G417" s="265">
        <v>45291</v>
      </c>
      <c r="H417" s="232" t="s">
        <v>992</v>
      </c>
      <c r="I417" s="241"/>
      <c r="J417" s="266"/>
      <c r="K417" s="241"/>
      <c r="L417" s="241"/>
      <c r="M417" s="241"/>
    </row>
    <row r="418" spans="1:13">
      <c r="A418" s="237" t="s">
        <v>988</v>
      </c>
      <c r="B418" s="261">
        <v>4716033</v>
      </c>
      <c r="C418" s="237" t="s">
        <v>1018</v>
      </c>
      <c r="D418" s="237" t="s">
        <v>990</v>
      </c>
      <c r="E418" s="237" t="s">
        <v>991</v>
      </c>
      <c r="F418" s="262">
        <v>1051510</v>
      </c>
      <c r="G418" s="263">
        <v>45291</v>
      </c>
      <c r="H418" s="231" t="s">
        <v>992</v>
      </c>
      <c r="I418" s="237"/>
      <c r="J418" s="262"/>
      <c r="K418" s="237"/>
      <c r="L418" s="237"/>
      <c r="M418" s="237"/>
    </row>
    <row r="419" spans="1:13">
      <c r="A419" s="241" t="s">
        <v>988</v>
      </c>
      <c r="B419" s="264">
        <v>4716033</v>
      </c>
      <c r="C419" s="241" t="s">
        <v>1018</v>
      </c>
      <c r="D419" s="241" t="s">
        <v>990</v>
      </c>
      <c r="E419" s="241" t="s">
        <v>991</v>
      </c>
      <c r="F419" s="233">
        <v>2559401</v>
      </c>
      <c r="G419" s="265">
        <v>45291</v>
      </c>
      <c r="H419" s="232" t="s">
        <v>992</v>
      </c>
      <c r="I419" s="241"/>
      <c r="J419" s="266"/>
      <c r="K419" s="241"/>
      <c r="L419" s="241"/>
      <c r="M419" s="241"/>
    </row>
    <row r="420" spans="1:13">
      <c r="A420" s="237" t="s">
        <v>988</v>
      </c>
      <c r="B420" s="261">
        <v>4716033</v>
      </c>
      <c r="C420" s="237" t="s">
        <v>1090</v>
      </c>
      <c r="D420" s="237" t="s">
        <v>990</v>
      </c>
      <c r="E420" s="237" t="s">
        <v>991</v>
      </c>
      <c r="F420" s="262">
        <v>541286</v>
      </c>
      <c r="G420" s="263">
        <v>45291</v>
      </c>
      <c r="H420" s="231" t="s">
        <v>992</v>
      </c>
      <c r="I420" s="237"/>
      <c r="J420" s="262"/>
      <c r="K420" s="237"/>
      <c r="L420" s="237"/>
      <c r="M420" s="237"/>
    </row>
    <row r="421" spans="1:13">
      <c r="A421" s="241" t="s">
        <v>988</v>
      </c>
      <c r="B421" s="264">
        <v>4716033</v>
      </c>
      <c r="C421" s="241" t="s">
        <v>1091</v>
      </c>
      <c r="D421" s="241" t="s">
        <v>990</v>
      </c>
      <c r="E421" s="241" t="s">
        <v>991</v>
      </c>
      <c r="F421" s="233">
        <v>55500</v>
      </c>
      <c r="G421" s="265">
        <v>45291</v>
      </c>
      <c r="H421" s="232" t="s">
        <v>992</v>
      </c>
      <c r="I421" s="241"/>
      <c r="J421" s="266"/>
      <c r="K421" s="241"/>
      <c r="L421" s="241"/>
      <c r="M421" s="241"/>
    </row>
    <row r="422" spans="1:13">
      <c r="A422" s="237" t="s">
        <v>988</v>
      </c>
      <c r="B422" s="261">
        <v>4716033</v>
      </c>
      <c r="C422" s="237" t="s">
        <v>1092</v>
      </c>
      <c r="D422" s="237" t="s">
        <v>990</v>
      </c>
      <c r="E422" s="237" t="s">
        <v>991</v>
      </c>
      <c r="F422" s="262">
        <v>1310220</v>
      </c>
      <c r="G422" s="263">
        <v>45291</v>
      </c>
      <c r="H422" s="231" t="s">
        <v>992</v>
      </c>
      <c r="I422" s="237"/>
      <c r="J422" s="262"/>
      <c r="K422" s="237"/>
      <c r="L422" s="237"/>
      <c r="M422" s="237"/>
    </row>
    <row r="423" spans="1:13">
      <c r="A423" s="241" t="s">
        <v>988</v>
      </c>
      <c r="B423" s="264">
        <v>4716033</v>
      </c>
      <c r="C423" s="241" t="s">
        <v>1092</v>
      </c>
      <c r="D423" s="241" t="s">
        <v>990</v>
      </c>
      <c r="E423" s="241" t="s">
        <v>991</v>
      </c>
      <c r="F423" s="233">
        <v>1403100</v>
      </c>
      <c r="G423" s="265">
        <v>45291</v>
      </c>
      <c r="H423" s="232" t="s">
        <v>992</v>
      </c>
      <c r="I423" s="241"/>
      <c r="J423" s="266"/>
      <c r="K423" s="241"/>
      <c r="L423" s="241"/>
      <c r="M423" s="241"/>
    </row>
    <row r="424" spans="1:13">
      <c r="A424" s="237" t="s">
        <v>988</v>
      </c>
      <c r="B424" s="261">
        <v>4716033</v>
      </c>
      <c r="C424" s="237" t="s">
        <v>1093</v>
      </c>
      <c r="D424" s="237" t="s">
        <v>990</v>
      </c>
      <c r="E424" s="237" t="s">
        <v>991</v>
      </c>
      <c r="F424" s="262">
        <v>2084998</v>
      </c>
      <c r="G424" s="263">
        <v>45291</v>
      </c>
      <c r="H424" s="231" t="s">
        <v>992</v>
      </c>
      <c r="I424" s="237"/>
      <c r="J424" s="262"/>
      <c r="K424" s="237"/>
      <c r="L424" s="237"/>
      <c r="M424" s="237"/>
    </row>
    <row r="425" spans="1:13">
      <c r="A425" s="241" t="s">
        <v>988</v>
      </c>
      <c r="B425" s="264">
        <v>4716033</v>
      </c>
      <c r="C425" s="241" t="s">
        <v>1094</v>
      </c>
      <c r="D425" s="241" t="s">
        <v>990</v>
      </c>
      <c r="E425" s="241" t="s">
        <v>991</v>
      </c>
      <c r="F425" s="233">
        <v>1268127</v>
      </c>
      <c r="G425" s="265">
        <v>45291</v>
      </c>
      <c r="H425" s="232" t="s">
        <v>992</v>
      </c>
      <c r="I425" s="241"/>
      <c r="J425" s="266"/>
      <c r="K425" s="241"/>
      <c r="L425" s="241"/>
      <c r="M425" s="241"/>
    </row>
    <row r="426" spans="1:13">
      <c r="A426" s="237" t="s">
        <v>988</v>
      </c>
      <c r="B426" s="261">
        <v>4716033</v>
      </c>
      <c r="C426" s="237" t="s">
        <v>1094</v>
      </c>
      <c r="D426" s="237" t="s">
        <v>990</v>
      </c>
      <c r="E426" s="237" t="s">
        <v>991</v>
      </c>
      <c r="F426" s="262">
        <v>787356</v>
      </c>
      <c r="G426" s="263">
        <v>45291</v>
      </c>
      <c r="H426" s="231" t="s">
        <v>992</v>
      </c>
      <c r="I426" s="237"/>
      <c r="J426" s="262"/>
      <c r="K426" s="237"/>
      <c r="L426" s="237"/>
      <c r="M426" s="237"/>
    </row>
    <row r="427" spans="1:13">
      <c r="A427" s="241" t="s">
        <v>988</v>
      </c>
      <c r="B427" s="264">
        <v>4716033</v>
      </c>
      <c r="C427" s="241" t="s">
        <v>1095</v>
      </c>
      <c r="D427" s="241" t="s">
        <v>990</v>
      </c>
      <c r="E427" s="241" t="s">
        <v>991</v>
      </c>
      <c r="F427" s="233">
        <v>1667266</v>
      </c>
      <c r="G427" s="265">
        <v>45291</v>
      </c>
      <c r="H427" s="232" t="s">
        <v>992</v>
      </c>
      <c r="I427" s="241"/>
      <c r="J427" s="266"/>
      <c r="K427" s="241"/>
      <c r="L427" s="241"/>
      <c r="M427" s="241"/>
    </row>
    <row r="428" spans="1:13">
      <c r="A428" s="237" t="s">
        <v>988</v>
      </c>
      <c r="B428" s="261">
        <v>4716033</v>
      </c>
      <c r="C428" s="237" t="s">
        <v>1082</v>
      </c>
      <c r="D428" s="237" t="s">
        <v>990</v>
      </c>
      <c r="E428" s="237" t="s">
        <v>991</v>
      </c>
      <c r="F428" s="262">
        <v>1311900</v>
      </c>
      <c r="G428" s="263">
        <v>45291</v>
      </c>
      <c r="H428" s="231" t="s">
        <v>992</v>
      </c>
      <c r="I428" s="237"/>
      <c r="J428" s="262"/>
      <c r="K428" s="237"/>
      <c r="L428" s="237"/>
      <c r="M428" s="237"/>
    </row>
    <row r="429" spans="1:13">
      <c r="A429" s="241" t="s">
        <v>988</v>
      </c>
      <c r="B429" s="264">
        <v>4716033</v>
      </c>
      <c r="C429" s="241" t="s">
        <v>1083</v>
      </c>
      <c r="D429" s="241" t="s">
        <v>990</v>
      </c>
      <c r="E429" s="241" t="s">
        <v>991</v>
      </c>
      <c r="F429" s="233">
        <v>2856381</v>
      </c>
      <c r="G429" s="265">
        <v>45291</v>
      </c>
      <c r="H429" s="232" t="s">
        <v>992</v>
      </c>
      <c r="I429" s="241"/>
      <c r="J429" s="266"/>
      <c r="K429" s="241"/>
      <c r="L429" s="241"/>
      <c r="M429" s="241"/>
    </row>
    <row r="430" spans="1:13">
      <c r="A430" s="237" t="s">
        <v>988</v>
      </c>
      <c r="B430" s="261">
        <v>4716033</v>
      </c>
      <c r="C430" s="237" t="s">
        <v>1096</v>
      </c>
      <c r="D430" s="237" t="s">
        <v>990</v>
      </c>
      <c r="E430" s="237" t="s">
        <v>991</v>
      </c>
      <c r="F430" s="262">
        <v>809200</v>
      </c>
      <c r="G430" s="263">
        <v>45291</v>
      </c>
      <c r="H430" s="231" t="s">
        <v>992</v>
      </c>
      <c r="I430" s="237"/>
      <c r="J430" s="262"/>
      <c r="K430" s="237"/>
      <c r="L430" s="237"/>
      <c r="M430" s="237"/>
    </row>
    <row r="431" spans="1:13">
      <c r="A431" s="241" t="s">
        <v>988</v>
      </c>
      <c r="B431" s="264">
        <v>4716033</v>
      </c>
      <c r="C431" s="241" t="s">
        <v>1097</v>
      </c>
      <c r="D431" s="241" t="s">
        <v>990</v>
      </c>
      <c r="E431" s="241" t="s">
        <v>991</v>
      </c>
      <c r="F431" s="233">
        <v>897563</v>
      </c>
      <c r="G431" s="265">
        <v>45291</v>
      </c>
      <c r="H431" s="232" t="s">
        <v>992</v>
      </c>
      <c r="I431" s="241"/>
      <c r="J431" s="266"/>
      <c r="K431" s="241"/>
      <c r="L431" s="241"/>
      <c r="M431" s="241"/>
    </row>
    <row r="432" spans="1:13">
      <c r="A432" s="237" t="s">
        <v>988</v>
      </c>
      <c r="B432" s="261">
        <v>4716033</v>
      </c>
      <c r="C432" s="237" t="s">
        <v>1098</v>
      </c>
      <c r="D432" s="237" t="s">
        <v>990</v>
      </c>
      <c r="E432" s="237" t="s">
        <v>991</v>
      </c>
      <c r="F432" s="262">
        <v>1677600</v>
      </c>
      <c r="G432" s="263">
        <v>45291</v>
      </c>
      <c r="H432" s="231" t="s">
        <v>992</v>
      </c>
      <c r="I432" s="237"/>
      <c r="J432" s="262"/>
      <c r="K432" s="237"/>
      <c r="L432" s="237"/>
      <c r="M432" s="237"/>
    </row>
    <row r="433" spans="1:13">
      <c r="A433" s="241" t="s">
        <v>988</v>
      </c>
      <c r="B433" s="264">
        <v>4716033</v>
      </c>
      <c r="C433" s="241" t="s">
        <v>1099</v>
      </c>
      <c r="D433" s="241" t="s">
        <v>990</v>
      </c>
      <c r="E433" s="241" t="s">
        <v>991</v>
      </c>
      <c r="F433" s="233">
        <v>2498997</v>
      </c>
      <c r="G433" s="265">
        <v>45291</v>
      </c>
      <c r="H433" s="232" t="s">
        <v>992</v>
      </c>
      <c r="I433" s="241"/>
      <c r="J433" s="266"/>
      <c r="K433" s="241"/>
      <c r="L433" s="241"/>
      <c r="M433" s="241"/>
    </row>
    <row r="434" spans="1:13">
      <c r="A434" s="237" t="s">
        <v>988</v>
      </c>
      <c r="B434" s="261">
        <v>4716033</v>
      </c>
      <c r="C434" s="237" t="s">
        <v>1100</v>
      </c>
      <c r="D434" s="237" t="s">
        <v>990</v>
      </c>
      <c r="E434" s="237" t="s">
        <v>991</v>
      </c>
      <c r="F434" s="262">
        <v>3713929</v>
      </c>
      <c r="G434" s="263">
        <v>45291</v>
      </c>
      <c r="H434" s="231" t="s">
        <v>992</v>
      </c>
      <c r="I434" s="237"/>
      <c r="J434" s="262"/>
      <c r="K434" s="237"/>
      <c r="L434" s="237"/>
      <c r="M434" s="237"/>
    </row>
    <row r="435" spans="1:13">
      <c r="A435" s="241" t="s">
        <v>988</v>
      </c>
      <c r="B435" s="264">
        <v>4716033</v>
      </c>
      <c r="C435" s="241" t="s">
        <v>1101</v>
      </c>
      <c r="D435" s="241" t="s">
        <v>990</v>
      </c>
      <c r="E435" s="241" t="s">
        <v>991</v>
      </c>
      <c r="F435" s="233">
        <v>2838719</v>
      </c>
      <c r="G435" s="265">
        <v>45291</v>
      </c>
      <c r="H435" s="232" t="s">
        <v>992</v>
      </c>
      <c r="I435" s="241"/>
      <c r="J435" s="266"/>
      <c r="K435" s="241"/>
      <c r="L435" s="241"/>
      <c r="M435" s="241"/>
    </row>
    <row r="436" spans="1:13">
      <c r="A436" s="237" t="s">
        <v>988</v>
      </c>
      <c r="B436" s="261">
        <v>4716033</v>
      </c>
      <c r="C436" s="237" t="s">
        <v>1067</v>
      </c>
      <c r="D436" s="237" t="s">
        <v>990</v>
      </c>
      <c r="E436" s="237" t="s">
        <v>991</v>
      </c>
      <c r="F436" s="262">
        <v>4760000</v>
      </c>
      <c r="G436" s="263">
        <v>45291</v>
      </c>
      <c r="H436" s="231" t="s">
        <v>992</v>
      </c>
      <c r="I436" s="237"/>
      <c r="J436" s="262"/>
      <c r="K436" s="237"/>
      <c r="L436" s="237"/>
      <c r="M436" s="237"/>
    </row>
    <row r="437" spans="1:13">
      <c r="A437" s="241" t="s">
        <v>988</v>
      </c>
      <c r="B437" s="264">
        <v>4716033</v>
      </c>
      <c r="C437" s="241" t="s">
        <v>1017</v>
      </c>
      <c r="D437" s="241" t="s">
        <v>990</v>
      </c>
      <c r="E437" s="241" t="s">
        <v>991</v>
      </c>
      <c r="F437" s="233">
        <v>2271544</v>
      </c>
      <c r="G437" s="265">
        <v>45291</v>
      </c>
      <c r="H437" s="232" t="s">
        <v>992</v>
      </c>
      <c r="I437" s="241"/>
      <c r="J437" s="266"/>
      <c r="K437" s="241"/>
      <c r="L437" s="241"/>
      <c r="M437" s="241"/>
    </row>
    <row r="438" spans="1:13">
      <c r="A438" s="237" t="s">
        <v>988</v>
      </c>
      <c r="B438" s="261">
        <v>4716033</v>
      </c>
      <c r="C438" s="237" t="s">
        <v>1102</v>
      </c>
      <c r="D438" s="237" t="s">
        <v>990</v>
      </c>
      <c r="E438" s="237" t="s">
        <v>991</v>
      </c>
      <c r="F438" s="262">
        <v>3900000</v>
      </c>
      <c r="G438" s="263">
        <v>45291</v>
      </c>
      <c r="H438" s="231" t="s">
        <v>992</v>
      </c>
      <c r="I438" s="237"/>
      <c r="J438" s="262"/>
      <c r="K438" s="237"/>
      <c r="L438" s="237"/>
      <c r="M438" s="237"/>
    </row>
    <row r="439" spans="1:13">
      <c r="A439" s="241" t="s">
        <v>988</v>
      </c>
      <c r="B439" s="264">
        <v>4716033</v>
      </c>
      <c r="C439" s="241" t="s">
        <v>1102</v>
      </c>
      <c r="D439" s="241" t="s">
        <v>990</v>
      </c>
      <c r="E439" s="241" t="s">
        <v>991</v>
      </c>
      <c r="F439" s="233">
        <v>3900000</v>
      </c>
      <c r="G439" s="265">
        <v>45291</v>
      </c>
      <c r="H439" s="232" t="s">
        <v>992</v>
      </c>
      <c r="I439" s="241"/>
      <c r="J439" s="266"/>
      <c r="K439" s="241"/>
      <c r="L439" s="241"/>
      <c r="M439" s="241"/>
    </row>
    <row r="440" spans="1:13">
      <c r="A440" s="237" t="s">
        <v>988</v>
      </c>
      <c r="B440" s="261">
        <v>4716033</v>
      </c>
      <c r="C440" s="237" t="s">
        <v>1102</v>
      </c>
      <c r="D440" s="237" t="s">
        <v>990</v>
      </c>
      <c r="E440" s="237" t="s">
        <v>991</v>
      </c>
      <c r="F440" s="262">
        <v>4762378</v>
      </c>
      <c r="G440" s="263">
        <v>45291</v>
      </c>
      <c r="H440" s="231" t="s">
        <v>992</v>
      </c>
      <c r="I440" s="237"/>
      <c r="J440" s="262"/>
      <c r="K440" s="237"/>
      <c r="L440" s="237"/>
      <c r="M440" s="237"/>
    </row>
    <row r="441" spans="1:13">
      <c r="A441" s="241" t="s">
        <v>988</v>
      </c>
      <c r="B441" s="264">
        <v>4716033</v>
      </c>
      <c r="C441" s="241" t="s">
        <v>1102</v>
      </c>
      <c r="D441" s="241" t="s">
        <v>990</v>
      </c>
      <c r="E441" s="241" t="s">
        <v>991</v>
      </c>
      <c r="F441" s="233">
        <v>3913039</v>
      </c>
      <c r="G441" s="265">
        <v>45291</v>
      </c>
      <c r="H441" s="232" t="s">
        <v>992</v>
      </c>
      <c r="I441" s="241"/>
      <c r="J441" s="266"/>
      <c r="K441" s="241"/>
      <c r="L441" s="241"/>
      <c r="M441" s="241"/>
    </row>
    <row r="442" spans="1:13">
      <c r="A442" s="237" t="s">
        <v>988</v>
      </c>
      <c r="B442" s="261">
        <v>4716033</v>
      </c>
      <c r="C442" s="237" t="s">
        <v>1103</v>
      </c>
      <c r="D442" s="237" t="s">
        <v>990</v>
      </c>
      <c r="E442" s="237" t="s">
        <v>991</v>
      </c>
      <c r="F442" s="262">
        <v>3768370</v>
      </c>
      <c r="G442" s="263">
        <v>45291</v>
      </c>
      <c r="H442" s="231" t="s">
        <v>992</v>
      </c>
      <c r="I442" s="237"/>
      <c r="J442" s="262"/>
      <c r="K442" s="237"/>
      <c r="L442" s="237"/>
      <c r="M442" s="237"/>
    </row>
    <row r="443" spans="1:13">
      <c r="A443" s="241" t="s">
        <v>1104</v>
      </c>
      <c r="B443" s="264" t="s">
        <v>1105</v>
      </c>
      <c r="C443" s="241" t="s">
        <v>1106</v>
      </c>
      <c r="D443" s="241"/>
      <c r="E443" s="241" t="s">
        <v>916</v>
      </c>
      <c r="F443" s="233">
        <v>240000</v>
      </c>
      <c r="G443" s="265"/>
      <c r="H443" s="232" t="s">
        <v>1107</v>
      </c>
      <c r="I443" s="241"/>
      <c r="J443" s="266"/>
      <c r="K443" s="241"/>
      <c r="L443" s="241"/>
      <c r="M443" s="241"/>
    </row>
    <row r="444" spans="1:13">
      <c r="A444" s="237" t="s">
        <v>1104</v>
      </c>
      <c r="B444" s="261" t="s">
        <v>1105</v>
      </c>
      <c r="C444" s="237" t="s">
        <v>1106</v>
      </c>
      <c r="D444" s="237"/>
      <c r="E444" s="237" t="s">
        <v>916</v>
      </c>
      <c r="F444" s="262">
        <v>1410000</v>
      </c>
      <c r="G444" s="263"/>
      <c r="H444" s="231" t="s">
        <v>1108</v>
      </c>
      <c r="I444" s="237"/>
      <c r="J444" s="262"/>
      <c r="K444" s="237"/>
      <c r="L444" s="237"/>
      <c r="M444" s="237"/>
    </row>
    <row r="445" spans="1:13">
      <c r="A445" s="241" t="s">
        <v>1104</v>
      </c>
      <c r="B445" s="264" t="s">
        <v>1105</v>
      </c>
      <c r="C445" s="241" t="s">
        <v>1109</v>
      </c>
      <c r="D445" s="241"/>
      <c r="E445" s="241" t="s">
        <v>1110</v>
      </c>
      <c r="F445" s="233">
        <v>500000</v>
      </c>
      <c r="G445" s="265"/>
      <c r="H445" s="232" t="s">
        <v>1111</v>
      </c>
      <c r="I445" s="241"/>
      <c r="J445" s="266"/>
      <c r="K445" s="241"/>
      <c r="L445" s="241"/>
      <c r="M445" s="241"/>
    </row>
    <row r="446" spans="1:13">
      <c r="A446" s="237" t="s">
        <v>1104</v>
      </c>
      <c r="B446" s="261" t="s">
        <v>1105</v>
      </c>
      <c r="C446" s="237" t="s">
        <v>1112</v>
      </c>
      <c r="D446" s="237"/>
      <c r="E446" s="237" t="s">
        <v>1113</v>
      </c>
      <c r="F446" s="262">
        <v>1423000</v>
      </c>
      <c r="G446" s="263"/>
      <c r="H446" s="231" t="s">
        <v>910</v>
      </c>
      <c r="I446" s="237"/>
      <c r="J446" s="262"/>
      <c r="K446" s="237"/>
      <c r="L446" s="237"/>
      <c r="M446" s="237"/>
    </row>
    <row r="447" spans="1:13">
      <c r="A447" s="241" t="s">
        <v>1104</v>
      </c>
      <c r="B447" s="264" t="s">
        <v>1105</v>
      </c>
      <c r="C447" s="241" t="s">
        <v>1114</v>
      </c>
      <c r="D447" s="241"/>
      <c r="E447" s="241" t="s">
        <v>890</v>
      </c>
      <c r="F447" s="233">
        <v>340000</v>
      </c>
      <c r="G447" s="265"/>
      <c r="H447" s="232" t="s">
        <v>1115</v>
      </c>
      <c r="I447" s="241"/>
      <c r="J447" s="266"/>
      <c r="K447" s="241"/>
      <c r="L447" s="241"/>
      <c r="M447" s="241"/>
    </row>
    <row r="448" spans="1:13">
      <c r="A448" s="237" t="s">
        <v>1104</v>
      </c>
      <c r="B448" s="261" t="s">
        <v>1105</v>
      </c>
      <c r="C448" s="237" t="s">
        <v>899</v>
      </c>
      <c r="D448" s="237"/>
      <c r="E448" s="237" t="s">
        <v>899</v>
      </c>
      <c r="F448" s="262">
        <v>3181850</v>
      </c>
      <c r="G448" s="263"/>
      <c r="H448" s="231" t="s">
        <v>910</v>
      </c>
      <c r="I448" s="237"/>
      <c r="J448" s="262"/>
      <c r="K448" s="237"/>
      <c r="L448" s="237"/>
      <c r="M448" s="237"/>
    </row>
    <row r="449" spans="1:13">
      <c r="A449" s="241" t="s">
        <v>1104</v>
      </c>
      <c r="B449" s="264" t="s">
        <v>1105</v>
      </c>
      <c r="C449" s="241" t="s">
        <v>907</v>
      </c>
      <c r="D449" s="241"/>
      <c r="E449" s="241" t="s">
        <v>907</v>
      </c>
      <c r="F449" s="233">
        <v>5660989</v>
      </c>
      <c r="G449" s="265"/>
      <c r="H449" s="232" t="s">
        <v>1116</v>
      </c>
      <c r="I449" s="241"/>
      <c r="J449" s="266"/>
      <c r="K449" s="241"/>
      <c r="L449" s="241"/>
      <c r="M449" s="241"/>
    </row>
    <row r="450" spans="1:13">
      <c r="A450" s="237" t="s">
        <v>1104</v>
      </c>
      <c r="B450" s="261" t="s">
        <v>1105</v>
      </c>
      <c r="C450" s="237" t="s">
        <v>907</v>
      </c>
      <c r="D450" s="237"/>
      <c r="E450" s="237" t="s">
        <v>907</v>
      </c>
      <c r="F450" s="262">
        <v>5920850</v>
      </c>
      <c r="G450" s="263"/>
      <c r="H450" s="231" t="s">
        <v>910</v>
      </c>
      <c r="I450" s="237"/>
      <c r="J450" s="262"/>
      <c r="K450" s="237"/>
      <c r="L450" s="237"/>
      <c r="M450" s="237"/>
    </row>
    <row r="451" spans="1:13">
      <c r="A451" s="241" t="s">
        <v>1104</v>
      </c>
      <c r="B451" s="264" t="s">
        <v>1105</v>
      </c>
      <c r="C451" s="241" t="s">
        <v>1117</v>
      </c>
      <c r="D451" s="241"/>
      <c r="E451" s="241" t="s">
        <v>890</v>
      </c>
      <c r="F451" s="233">
        <v>5650000</v>
      </c>
      <c r="G451" s="265"/>
      <c r="H451" s="232" t="s">
        <v>903</v>
      </c>
      <c r="I451" s="241"/>
      <c r="J451" s="266"/>
      <c r="K451" s="241"/>
      <c r="L451" s="241"/>
      <c r="M451" s="241"/>
    </row>
    <row r="452" spans="1:13">
      <c r="A452" s="237" t="s">
        <v>1104</v>
      </c>
      <c r="B452" s="261" t="s">
        <v>1105</v>
      </c>
      <c r="C452" s="237" t="s">
        <v>1118</v>
      </c>
      <c r="D452" s="237"/>
      <c r="E452" s="237" t="s">
        <v>1119</v>
      </c>
      <c r="F452" s="262">
        <v>16775931</v>
      </c>
      <c r="G452" s="263"/>
      <c r="H452" s="231" t="s">
        <v>903</v>
      </c>
      <c r="I452" s="237"/>
      <c r="J452" s="262"/>
      <c r="K452" s="237"/>
      <c r="L452" s="237"/>
      <c r="M452" s="237"/>
    </row>
    <row r="453" spans="1:13">
      <c r="A453" s="241" t="s">
        <v>1104</v>
      </c>
      <c r="B453" s="264" t="s">
        <v>1105</v>
      </c>
      <c r="C453" s="241" t="s">
        <v>1120</v>
      </c>
      <c r="D453" s="241"/>
      <c r="E453" s="241" t="s">
        <v>907</v>
      </c>
      <c r="F453" s="233">
        <v>9934674</v>
      </c>
      <c r="G453" s="265"/>
      <c r="H453" s="232" t="s">
        <v>918</v>
      </c>
      <c r="I453" s="241"/>
      <c r="J453" s="266"/>
      <c r="K453" s="241"/>
      <c r="L453" s="241"/>
      <c r="M453" s="241"/>
    </row>
    <row r="454" spans="1:13">
      <c r="A454" s="237" t="s">
        <v>1104</v>
      </c>
      <c r="B454" s="261" t="s">
        <v>1105</v>
      </c>
      <c r="C454" s="237" t="s">
        <v>1121</v>
      </c>
      <c r="D454" s="237"/>
      <c r="E454" s="237" t="s">
        <v>907</v>
      </c>
      <c r="F454" s="262">
        <v>920800</v>
      </c>
      <c r="G454" s="263"/>
      <c r="H454" s="231" t="s">
        <v>903</v>
      </c>
      <c r="I454" s="237"/>
      <c r="J454" s="262"/>
      <c r="K454" s="237"/>
      <c r="L454" s="237"/>
      <c r="M454" s="237"/>
    </row>
    <row r="455" spans="1:13">
      <c r="A455" s="241" t="s">
        <v>1104</v>
      </c>
      <c r="B455" s="264" t="s">
        <v>1105</v>
      </c>
      <c r="C455" s="241" t="s">
        <v>1122</v>
      </c>
      <c r="D455" s="241"/>
      <c r="E455" s="241" t="s">
        <v>1113</v>
      </c>
      <c r="F455" s="233">
        <v>9225500</v>
      </c>
      <c r="G455" s="265"/>
      <c r="H455" s="232" t="s">
        <v>1116</v>
      </c>
      <c r="I455" s="241"/>
      <c r="J455" s="266"/>
      <c r="K455" s="241"/>
      <c r="L455" s="241"/>
      <c r="M455" s="241"/>
    </row>
    <row r="456" spans="1:13">
      <c r="A456" s="237" t="s">
        <v>1104</v>
      </c>
      <c r="B456" s="261" t="s">
        <v>1105</v>
      </c>
      <c r="C456" s="237" t="s">
        <v>1123</v>
      </c>
      <c r="D456" s="237"/>
      <c r="E456" s="237" t="s">
        <v>1119</v>
      </c>
      <c r="F456" s="262">
        <v>5303750</v>
      </c>
      <c r="G456" s="263"/>
      <c r="H456" s="231" t="s">
        <v>1124</v>
      </c>
      <c r="I456" s="237"/>
      <c r="J456" s="262"/>
      <c r="K456" s="237"/>
      <c r="L456" s="237"/>
      <c r="M456" s="237"/>
    </row>
    <row r="457" spans="1:13">
      <c r="A457" s="241" t="s">
        <v>1104</v>
      </c>
      <c r="B457" s="264" t="s">
        <v>1105</v>
      </c>
      <c r="C457" s="241" t="s">
        <v>1123</v>
      </c>
      <c r="D457" s="241"/>
      <c r="E457" s="241" t="s">
        <v>1125</v>
      </c>
      <c r="F457" s="233">
        <v>5303750</v>
      </c>
      <c r="G457" s="265"/>
      <c r="H457" s="232" t="s">
        <v>1124</v>
      </c>
      <c r="I457" s="241"/>
      <c r="J457" s="266"/>
      <c r="K457" s="241"/>
      <c r="L457" s="241"/>
      <c r="M457" s="241"/>
    </row>
    <row r="458" spans="1:13">
      <c r="A458" s="237" t="s">
        <v>1104</v>
      </c>
      <c r="B458" s="261" t="s">
        <v>1105</v>
      </c>
      <c r="C458" s="237" t="s">
        <v>1123</v>
      </c>
      <c r="D458" s="237"/>
      <c r="E458" s="237" t="s">
        <v>1125</v>
      </c>
      <c r="F458" s="262">
        <v>785916</v>
      </c>
      <c r="G458" s="263"/>
      <c r="H458" s="231" t="s">
        <v>1126</v>
      </c>
      <c r="I458" s="237"/>
      <c r="J458" s="262"/>
      <c r="K458" s="237"/>
      <c r="L458" s="237"/>
      <c r="M458" s="237"/>
    </row>
    <row r="459" spans="1:13">
      <c r="A459" s="241" t="s">
        <v>1104</v>
      </c>
      <c r="B459" s="264" t="s">
        <v>1105</v>
      </c>
      <c r="C459" s="241" t="s">
        <v>915</v>
      </c>
      <c r="D459" s="241"/>
      <c r="E459" s="241" t="s">
        <v>916</v>
      </c>
      <c r="F459" s="233">
        <v>500000</v>
      </c>
      <c r="G459" s="265"/>
      <c r="H459" s="232" t="s">
        <v>1127</v>
      </c>
      <c r="I459" s="241"/>
      <c r="J459" s="266"/>
      <c r="K459" s="241"/>
      <c r="L459" s="241"/>
      <c r="M459" s="241"/>
    </row>
    <row r="460" spans="1:13">
      <c r="A460" s="237" t="s">
        <v>1104</v>
      </c>
      <c r="B460" s="261" t="s">
        <v>1105</v>
      </c>
      <c r="C460" s="237" t="s">
        <v>915</v>
      </c>
      <c r="D460" s="237"/>
      <c r="E460" s="237" t="s">
        <v>916</v>
      </c>
      <c r="F460" s="262">
        <v>1000000</v>
      </c>
      <c r="G460" s="263"/>
      <c r="H460" s="231" t="s">
        <v>1128</v>
      </c>
      <c r="I460" s="237"/>
      <c r="J460" s="262"/>
      <c r="K460" s="237"/>
      <c r="L460" s="237"/>
      <c r="M460" s="237"/>
    </row>
    <row r="461" spans="1:13">
      <c r="A461" s="241" t="s">
        <v>1104</v>
      </c>
      <c r="B461" s="264" t="s">
        <v>1105</v>
      </c>
      <c r="C461" s="241" t="s">
        <v>1129</v>
      </c>
      <c r="D461" s="241"/>
      <c r="E461" s="241" t="s">
        <v>1130</v>
      </c>
      <c r="F461" s="233">
        <v>500000</v>
      </c>
      <c r="G461" s="265"/>
      <c r="H461" s="232" t="s">
        <v>1131</v>
      </c>
      <c r="I461" s="241"/>
      <c r="J461" s="266"/>
      <c r="K461" s="241"/>
      <c r="L461" s="241"/>
      <c r="M461" s="241"/>
    </row>
    <row r="462" spans="1:13">
      <c r="A462" s="237" t="s">
        <v>1104</v>
      </c>
      <c r="B462" s="261" t="s">
        <v>1105</v>
      </c>
      <c r="C462" s="237" t="s">
        <v>1132</v>
      </c>
      <c r="D462" s="237"/>
      <c r="E462" s="237" t="s">
        <v>1119</v>
      </c>
      <c r="F462" s="262">
        <v>8100000</v>
      </c>
      <c r="G462" s="263"/>
      <c r="H462" s="231" t="s">
        <v>1133</v>
      </c>
      <c r="I462" s="237"/>
      <c r="J462" s="262"/>
      <c r="K462" s="237"/>
      <c r="L462" s="237"/>
      <c r="M462" s="237"/>
    </row>
    <row r="463" spans="1:13">
      <c r="A463" s="241" t="s">
        <v>1104</v>
      </c>
      <c r="B463" s="264" t="s">
        <v>1105</v>
      </c>
      <c r="C463" s="241" t="s">
        <v>1134</v>
      </c>
      <c r="D463" s="241"/>
      <c r="E463" s="241" t="s">
        <v>890</v>
      </c>
      <c r="F463" s="233">
        <v>350000</v>
      </c>
      <c r="G463" s="265"/>
      <c r="H463" s="232" t="s">
        <v>1127</v>
      </c>
      <c r="I463" s="241"/>
      <c r="J463" s="266"/>
      <c r="K463" s="241"/>
      <c r="L463" s="241"/>
      <c r="M463" s="241"/>
    </row>
    <row r="464" spans="1:13">
      <c r="A464" s="237" t="s">
        <v>1104</v>
      </c>
      <c r="B464" s="261" t="s">
        <v>1105</v>
      </c>
      <c r="C464" s="237" t="s">
        <v>1135</v>
      </c>
      <c r="D464" s="237"/>
      <c r="E464" s="237" t="s">
        <v>900</v>
      </c>
      <c r="F464" s="262">
        <v>450000</v>
      </c>
      <c r="G464" s="263"/>
      <c r="H464" s="231" t="s">
        <v>1136</v>
      </c>
      <c r="I464" s="237"/>
      <c r="J464" s="262"/>
      <c r="K464" s="237"/>
      <c r="L464" s="237"/>
      <c r="M464" s="237"/>
    </row>
    <row r="465" spans="1:13">
      <c r="A465" s="241" t="s">
        <v>1104</v>
      </c>
      <c r="B465" s="264" t="s">
        <v>1105</v>
      </c>
      <c r="C465" s="241" t="s">
        <v>1113</v>
      </c>
      <c r="D465" s="241"/>
      <c r="E465" s="241" t="s">
        <v>1113</v>
      </c>
      <c r="F465" s="233">
        <v>5000000</v>
      </c>
      <c r="G465" s="265"/>
      <c r="H465" s="232" t="s">
        <v>1137</v>
      </c>
      <c r="I465" s="241"/>
      <c r="J465" s="266"/>
      <c r="K465" s="241"/>
      <c r="L465" s="241"/>
      <c r="M465" s="241"/>
    </row>
    <row r="466" spans="1:13">
      <c r="A466" s="237" t="s">
        <v>1104</v>
      </c>
      <c r="B466" s="261" t="s">
        <v>1105</v>
      </c>
      <c r="C466" s="237" t="s">
        <v>1138</v>
      </c>
      <c r="D466" s="237"/>
      <c r="E466" s="237" t="s">
        <v>1138</v>
      </c>
      <c r="F466" s="262">
        <v>15132000</v>
      </c>
      <c r="G466" s="263"/>
      <c r="H466" s="231" t="s">
        <v>906</v>
      </c>
      <c r="I466" s="237"/>
      <c r="J466" s="262"/>
      <c r="K466" s="237"/>
      <c r="L466" s="237"/>
      <c r="M466" s="237"/>
    </row>
    <row r="467" spans="1:13">
      <c r="A467" s="241" t="s">
        <v>1104</v>
      </c>
      <c r="B467" s="264" t="s">
        <v>1105</v>
      </c>
      <c r="C467" s="241" t="s">
        <v>1125</v>
      </c>
      <c r="D467" s="241"/>
      <c r="E467" s="241" t="s">
        <v>1139</v>
      </c>
      <c r="F467" s="233">
        <v>792868933</v>
      </c>
      <c r="G467" s="265"/>
      <c r="H467" s="232" t="s">
        <v>1140</v>
      </c>
      <c r="I467" s="241"/>
      <c r="J467" s="266"/>
      <c r="K467" s="241"/>
      <c r="L467" s="241"/>
      <c r="M467" s="241"/>
    </row>
    <row r="468" spans="1:13">
      <c r="A468" s="237" t="s">
        <v>1104</v>
      </c>
      <c r="B468" s="261" t="s">
        <v>1105</v>
      </c>
      <c r="C468" s="237" t="s">
        <v>1141</v>
      </c>
      <c r="D468" s="237"/>
      <c r="E468" s="237" t="s">
        <v>1141</v>
      </c>
      <c r="F468" s="262">
        <v>10873000</v>
      </c>
      <c r="G468" s="263"/>
      <c r="H468" s="231" t="s">
        <v>1116</v>
      </c>
      <c r="I468" s="237"/>
      <c r="J468" s="262"/>
      <c r="K468" s="237"/>
      <c r="L468" s="237"/>
      <c r="M468" s="237"/>
    </row>
    <row r="469" spans="1:13">
      <c r="A469" s="241" t="s">
        <v>1104</v>
      </c>
      <c r="B469" s="264" t="s">
        <v>1105</v>
      </c>
      <c r="C469" s="241" t="s">
        <v>1142</v>
      </c>
      <c r="D469" s="241"/>
      <c r="E469" s="241" t="s">
        <v>1142</v>
      </c>
      <c r="F469" s="233">
        <v>25500000</v>
      </c>
      <c r="G469" s="265"/>
      <c r="H469" s="232" t="s">
        <v>906</v>
      </c>
      <c r="I469" s="241"/>
      <c r="J469" s="266"/>
      <c r="K469" s="241"/>
      <c r="L469" s="241"/>
      <c r="M469" s="241"/>
    </row>
    <row r="470" spans="1:13">
      <c r="A470" s="237" t="s">
        <v>1104</v>
      </c>
      <c r="B470" s="261" t="s">
        <v>1105</v>
      </c>
      <c r="C470" s="237" t="s">
        <v>1143</v>
      </c>
      <c r="D470" s="237"/>
      <c r="E470" s="237" t="s">
        <v>1143</v>
      </c>
      <c r="F470" s="262">
        <v>10873000</v>
      </c>
      <c r="G470" s="263"/>
      <c r="H470" s="231" t="s">
        <v>1116</v>
      </c>
      <c r="I470" s="237"/>
      <c r="J470" s="262"/>
      <c r="K470" s="237"/>
      <c r="L470" s="237"/>
      <c r="M470" s="237"/>
    </row>
    <row r="471" spans="1:13">
      <c r="A471" s="241" t="s">
        <v>1104</v>
      </c>
      <c r="B471" s="264" t="s">
        <v>1105</v>
      </c>
      <c r="C471" s="241" t="s">
        <v>1144</v>
      </c>
      <c r="D471" s="241"/>
      <c r="E471" s="241" t="s">
        <v>907</v>
      </c>
      <c r="F471" s="233">
        <v>537700</v>
      </c>
      <c r="G471" s="265"/>
      <c r="H471" s="232" t="s">
        <v>1124</v>
      </c>
      <c r="I471" s="241"/>
      <c r="J471" s="266"/>
      <c r="K471" s="241"/>
      <c r="L471" s="241"/>
      <c r="M471" s="241"/>
    </row>
    <row r="472" spans="1:13">
      <c r="A472" s="237" t="s">
        <v>1104</v>
      </c>
      <c r="B472" s="261" t="s">
        <v>1105</v>
      </c>
      <c r="C472" s="237" t="s">
        <v>1145</v>
      </c>
      <c r="D472" s="237"/>
      <c r="E472" s="237" t="s">
        <v>907</v>
      </c>
      <c r="F472" s="262">
        <v>158886000</v>
      </c>
      <c r="G472" s="263"/>
      <c r="H472" s="231" t="s">
        <v>1146</v>
      </c>
      <c r="I472" s="237"/>
      <c r="J472" s="262"/>
      <c r="K472" s="237"/>
      <c r="L472" s="237"/>
      <c r="M472" s="237"/>
    </row>
    <row r="473" spans="1:13">
      <c r="A473" s="241" t="s">
        <v>1104</v>
      </c>
      <c r="B473" s="264" t="s">
        <v>1105</v>
      </c>
      <c r="C473" s="241" t="s">
        <v>1147</v>
      </c>
      <c r="D473" s="241"/>
      <c r="E473" s="241" t="s">
        <v>907</v>
      </c>
      <c r="F473" s="233">
        <v>740000</v>
      </c>
      <c r="G473" s="265"/>
      <c r="H473" s="232" t="s">
        <v>1124</v>
      </c>
      <c r="I473" s="241"/>
      <c r="J473" s="266"/>
      <c r="K473" s="241"/>
      <c r="L473" s="241"/>
      <c r="M473" s="241"/>
    </row>
    <row r="474" spans="1:13">
      <c r="A474" s="237" t="s">
        <v>1104</v>
      </c>
      <c r="B474" s="261" t="s">
        <v>1105</v>
      </c>
      <c r="C474" s="237" t="s">
        <v>1148</v>
      </c>
      <c r="D474" s="237"/>
      <c r="E474" s="237" t="s">
        <v>1117</v>
      </c>
      <c r="F474" s="262">
        <v>5965967</v>
      </c>
      <c r="G474" s="263"/>
      <c r="H474" s="231" t="s">
        <v>1149</v>
      </c>
      <c r="I474" s="237"/>
      <c r="J474" s="262"/>
      <c r="K474" s="237"/>
      <c r="L474" s="237"/>
      <c r="M474" s="237"/>
    </row>
    <row r="475" spans="1:13">
      <c r="A475" s="241" t="s">
        <v>1150</v>
      </c>
      <c r="B475" s="264" t="s">
        <v>216</v>
      </c>
      <c r="C475" s="241" t="s">
        <v>1151</v>
      </c>
      <c r="D475" s="241"/>
      <c r="E475" s="241" t="s">
        <v>1152</v>
      </c>
      <c r="F475" s="233">
        <v>200000000</v>
      </c>
      <c r="G475" s="265">
        <v>45291</v>
      </c>
      <c r="H475" s="232" t="s">
        <v>1153</v>
      </c>
      <c r="I475" s="241"/>
      <c r="J475" s="266"/>
      <c r="K475" s="241"/>
      <c r="L475" s="241"/>
      <c r="M475" s="241"/>
    </row>
    <row r="476" spans="1:13">
      <c r="A476" s="237" t="s">
        <v>1150</v>
      </c>
      <c r="B476" s="261" t="s">
        <v>216</v>
      </c>
      <c r="C476" s="237" t="s">
        <v>1154</v>
      </c>
      <c r="D476" s="237"/>
      <c r="E476" s="237" t="s">
        <v>1155</v>
      </c>
      <c r="F476" s="262">
        <v>37182000</v>
      </c>
      <c r="G476" s="263">
        <v>45291</v>
      </c>
      <c r="H476" s="231" t="s">
        <v>1156</v>
      </c>
      <c r="I476" s="237"/>
      <c r="J476" s="262"/>
      <c r="K476" s="237"/>
      <c r="L476" s="237"/>
      <c r="M476" s="237"/>
    </row>
    <row r="477" spans="1:13">
      <c r="A477" s="241" t="s">
        <v>1150</v>
      </c>
      <c r="B477" s="264" t="s">
        <v>216</v>
      </c>
      <c r="C477" s="241" t="s">
        <v>1157</v>
      </c>
      <c r="D477" s="241"/>
      <c r="E477" s="241" t="s">
        <v>1152</v>
      </c>
      <c r="F477" s="233">
        <v>26869607</v>
      </c>
      <c r="G477" s="265">
        <v>45291</v>
      </c>
      <c r="H477" s="232" t="s">
        <v>733</v>
      </c>
      <c r="I477" s="241"/>
      <c r="J477" s="266"/>
      <c r="K477" s="241"/>
      <c r="L477" s="241"/>
      <c r="M477" s="241"/>
    </row>
    <row r="478" spans="1:13">
      <c r="A478" s="237" t="s">
        <v>1150</v>
      </c>
      <c r="B478" s="261" t="s">
        <v>216</v>
      </c>
      <c r="C478" s="237" t="s">
        <v>1158</v>
      </c>
      <c r="D478" s="237"/>
      <c r="E478" s="237" t="s">
        <v>1155</v>
      </c>
      <c r="F478" s="262">
        <v>24233373</v>
      </c>
      <c r="G478" s="263">
        <v>45291</v>
      </c>
      <c r="H478" s="231" t="s">
        <v>1156</v>
      </c>
      <c r="I478" s="237"/>
      <c r="J478" s="262"/>
      <c r="K478" s="237"/>
      <c r="L478" s="237"/>
      <c r="M478" s="237"/>
    </row>
    <row r="479" spans="1:13">
      <c r="A479" s="241" t="s">
        <v>1150</v>
      </c>
      <c r="B479" s="264" t="s">
        <v>216</v>
      </c>
      <c r="C479" s="241" t="s">
        <v>1159</v>
      </c>
      <c r="D479" s="241"/>
      <c r="E479" s="241" t="s">
        <v>1152</v>
      </c>
      <c r="F479" s="233">
        <v>20000000</v>
      </c>
      <c r="G479" s="265">
        <v>45291</v>
      </c>
      <c r="H479" s="232" t="s">
        <v>1153</v>
      </c>
      <c r="I479" s="241"/>
      <c r="J479" s="266"/>
      <c r="K479" s="241"/>
      <c r="L479" s="241"/>
      <c r="M479" s="241"/>
    </row>
    <row r="480" spans="1:13">
      <c r="A480" s="237" t="s">
        <v>1150</v>
      </c>
      <c r="B480" s="261" t="s">
        <v>216</v>
      </c>
      <c r="C480" s="237" t="s">
        <v>1160</v>
      </c>
      <c r="D480" s="237"/>
      <c r="E480" s="237" t="s">
        <v>1152</v>
      </c>
      <c r="F480" s="262">
        <v>19885610</v>
      </c>
      <c r="G480" s="263">
        <v>45291</v>
      </c>
      <c r="H480" s="231" t="s">
        <v>733</v>
      </c>
      <c r="I480" s="237"/>
      <c r="J480" s="262"/>
      <c r="K480" s="237"/>
      <c r="L480" s="237"/>
      <c r="M480" s="237"/>
    </row>
    <row r="481" spans="1:13">
      <c r="A481" s="241" t="s">
        <v>1150</v>
      </c>
      <c r="B481" s="264" t="s">
        <v>216</v>
      </c>
      <c r="C481" s="241" t="s">
        <v>1161</v>
      </c>
      <c r="D481" s="241"/>
      <c r="E481" s="241" t="s">
        <v>1155</v>
      </c>
      <c r="F481" s="233">
        <v>18049910</v>
      </c>
      <c r="G481" s="265">
        <v>45291</v>
      </c>
      <c r="H481" s="232" t="s">
        <v>733</v>
      </c>
      <c r="I481" s="241"/>
      <c r="J481" s="266"/>
      <c r="K481" s="241"/>
      <c r="L481" s="241"/>
      <c r="M481" s="241"/>
    </row>
    <row r="482" spans="1:13">
      <c r="A482" s="237" t="s">
        <v>1150</v>
      </c>
      <c r="B482" s="261" t="s">
        <v>216</v>
      </c>
      <c r="C482" s="237" t="s">
        <v>1162</v>
      </c>
      <c r="D482" s="237"/>
      <c r="E482" s="237" t="s">
        <v>1152</v>
      </c>
      <c r="F482" s="262">
        <v>17205000</v>
      </c>
      <c r="G482" s="263">
        <v>45291</v>
      </c>
      <c r="H482" s="231" t="s">
        <v>733</v>
      </c>
      <c r="I482" s="237"/>
      <c r="J482" s="262"/>
      <c r="K482" s="237"/>
      <c r="L482" s="237"/>
      <c r="M482" s="237"/>
    </row>
    <row r="483" spans="1:13">
      <c r="A483" s="241" t="s">
        <v>1150</v>
      </c>
      <c r="B483" s="264" t="s">
        <v>216</v>
      </c>
      <c r="C483" s="241" t="s">
        <v>1163</v>
      </c>
      <c r="D483" s="241"/>
      <c r="E483" s="241" t="s">
        <v>1155</v>
      </c>
      <c r="F483" s="233">
        <v>14582440</v>
      </c>
      <c r="G483" s="265">
        <v>45291</v>
      </c>
      <c r="H483" s="232" t="s">
        <v>1153</v>
      </c>
      <c r="I483" s="241"/>
      <c r="J483" s="266"/>
      <c r="K483" s="241"/>
      <c r="L483" s="241"/>
      <c r="M483" s="241"/>
    </row>
    <row r="484" spans="1:13">
      <c r="A484" s="237" t="s">
        <v>1150</v>
      </c>
      <c r="B484" s="261" t="s">
        <v>216</v>
      </c>
      <c r="C484" s="237" t="s">
        <v>1164</v>
      </c>
      <c r="D484" s="237"/>
      <c r="E484" s="237" t="s">
        <v>1152</v>
      </c>
      <c r="F484" s="262">
        <v>13800000</v>
      </c>
      <c r="G484" s="263">
        <v>45291</v>
      </c>
      <c r="H484" s="231" t="s">
        <v>1153</v>
      </c>
      <c r="I484" s="237"/>
      <c r="J484" s="262"/>
      <c r="K484" s="237"/>
      <c r="L484" s="237"/>
      <c r="M484" s="237"/>
    </row>
    <row r="485" spans="1:13">
      <c r="A485" s="241" t="s">
        <v>1150</v>
      </c>
      <c r="B485" s="264" t="s">
        <v>216</v>
      </c>
      <c r="C485" s="241" t="s">
        <v>1165</v>
      </c>
      <c r="D485" s="241"/>
      <c r="E485" s="241" t="s">
        <v>1152</v>
      </c>
      <c r="F485" s="233">
        <v>11199522</v>
      </c>
      <c r="G485" s="265">
        <v>45291</v>
      </c>
      <c r="H485" s="232" t="s">
        <v>733</v>
      </c>
      <c r="I485" s="241"/>
      <c r="J485" s="266"/>
      <c r="K485" s="241"/>
      <c r="L485" s="241"/>
      <c r="M485" s="241"/>
    </row>
    <row r="486" spans="1:13">
      <c r="A486" s="237" t="s">
        <v>1150</v>
      </c>
      <c r="B486" s="261" t="s">
        <v>216</v>
      </c>
      <c r="C486" s="237" t="s">
        <v>1166</v>
      </c>
      <c r="D486" s="237"/>
      <c r="E486" s="237" t="s">
        <v>1152</v>
      </c>
      <c r="F486" s="262">
        <v>11037975</v>
      </c>
      <c r="G486" s="263">
        <v>45291</v>
      </c>
      <c r="H486" s="231" t="s">
        <v>1167</v>
      </c>
      <c r="I486" s="237"/>
      <c r="J486" s="262"/>
      <c r="K486" s="237"/>
      <c r="L486" s="237"/>
      <c r="M486" s="237"/>
    </row>
    <row r="487" spans="1:13">
      <c r="A487" s="241" t="s">
        <v>1150</v>
      </c>
      <c r="B487" s="264" t="s">
        <v>216</v>
      </c>
      <c r="C487" s="241" t="s">
        <v>1168</v>
      </c>
      <c r="D487" s="241"/>
      <c r="E487" s="241" t="s">
        <v>1152</v>
      </c>
      <c r="F487" s="233">
        <v>10450000</v>
      </c>
      <c r="G487" s="265">
        <v>45291</v>
      </c>
      <c r="H487" s="232" t="s">
        <v>729</v>
      </c>
      <c r="I487" s="241"/>
      <c r="J487" s="266"/>
      <c r="K487" s="241"/>
      <c r="L487" s="241"/>
      <c r="M487" s="241"/>
    </row>
    <row r="488" spans="1:13">
      <c r="A488" s="237" t="s">
        <v>1150</v>
      </c>
      <c r="B488" s="261" t="s">
        <v>216</v>
      </c>
      <c r="C488" s="237" t="s">
        <v>1169</v>
      </c>
      <c r="D488" s="237"/>
      <c r="E488" s="237" t="s">
        <v>1155</v>
      </c>
      <c r="F488" s="262">
        <v>9974000</v>
      </c>
      <c r="G488" s="263">
        <v>45291</v>
      </c>
      <c r="H488" s="231" t="s">
        <v>1170</v>
      </c>
      <c r="I488" s="237"/>
      <c r="J488" s="262"/>
      <c r="K488" s="237"/>
      <c r="L488" s="237"/>
      <c r="M488" s="237"/>
    </row>
    <row r="489" spans="1:13">
      <c r="A489" s="241" t="s">
        <v>1150</v>
      </c>
      <c r="B489" s="264" t="s">
        <v>216</v>
      </c>
      <c r="C489" s="241" t="s">
        <v>1171</v>
      </c>
      <c r="D489" s="241"/>
      <c r="E489" s="241" t="s">
        <v>1155</v>
      </c>
      <c r="F489" s="233">
        <v>9000450</v>
      </c>
      <c r="G489" s="265">
        <v>45291</v>
      </c>
      <c r="H489" s="232" t="s">
        <v>1170</v>
      </c>
      <c r="I489" s="241"/>
      <c r="J489" s="266"/>
      <c r="K489" s="241"/>
      <c r="L489" s="241"/>
      <c r="M489" s="241"/>
    </row>
    <row r="490" spans="1:13">
      <c r="A490" s="237" t="s">
        <v>1150</v>
      </c>
      <c r="B490" s="261" t="s">
        <v>216</v>
      </c>
      <c r="C490" s="237" t="s">
        <v>1172</v>
      </c>
      <c r="D490" s="237"/>
      <c r="E490" s="237" t="s">
        <v>1173</v>
      </c>
      <c r="F490" s="262">
        <v>9000000</v>
      </c>
      <c r="G490" s="263">
        <v>45291</v>
      </c>
      <c r="H490" s="231" t="s">
        <v>1156</v>
      </c>
      <c r="I490" s="237"/>
      <c r="J490" s="262"/>
      <c r="K490" s="237"/>
      <c r="L490" s="237"/>
      <c r="M490" s="237"/>
    </row>
    <row r="491" spans="1:13">
      <c r="A491" s="241" t="s">
        <v>1150</v>
      </c>
      <c r="B491" s="264" t="s">
        <v>216</v>
      </c>
      <c r="C491" s="241" t="s">
        <v>1174</v>
      </c>
      <c r="D491" s="241"/>
      <c r="E491" s="241" t="s">
        <v>1152</v>
      </c>
      <c r="F491" s="233">
        <v>7793973</v>
      </c>
      <c r="G491" s="265">
        <v>45291</v>
      </c>
      <c r="H491" s="232" t="s">
        <v>1156</v>
      </c>
      <c r="I491" s="241"/>
      <c r="J491" s="266"/>
      <c r="K491" s="241"/>
      <c r="L491" s="241"/>
      <c r="M491" s="241"/>
    </row>
    <row r="492" spans="1:13">
      <c r="A492" s="237" t="s">
        <v>1150</v>
      </c>
      <c r="B492" s="261" t="s">
        <v>216</v>
      </c>
      <c r="C492" s="237" t="s">
        <v>1175</v>
      </c>
      <c r="D492" s="237"/>
      <c r="E492" s="237" t="s">
        <v>1173</v>
      </c>
      <c r="F492" s="262">
        <v>6900000</v>
      </c>
      <c r="G492" s="263">
        <v>45291</v>
      </c>
      <c r="H492" s="231" t="s">
        <v>733</v>
      </c>
      <c r="I492" s="237"/>
      <c r="J492" s="262"/>
      <c r="K492" s="237"/>
      <c r="L492" s="237"/>
      <c r="M492" s="237"/>
    </row>
    <row r="493" spans="1:13">
      <c r="A493" s="241" t="s">
        <v>1150</v>
      </c>
      <c r="B493" s="264" t="s">
        <v>216</v>
      </c>
      <c r="C493" s="241" t="s">
        <v>1176</v>
      </c>
      <c r="D493" s="241"/>
      <c r="E493" s="241" t="s">
        <v>1155</v>
      </c>
      <c r="F493" s="233">
        <v>6700000</v>
      </c>
      <c r="G493" s="265">
        <v>45291</v>
      </c>
      <c r="H493" s="232" t="s">
        <v>729</v>
      </c>
      <c r="I493" s="241"/>
      <c r="J493" s="266"/>
      <c r="K493" s="241"/>
      <c r="L493" s="241"/>
      <c r="M493" s="241"/>
    </row>
    <row r="494" spans="1:13">
      <c r="A494" s="237" t="s">
        <v>1150</v>
      </c>
      <c r="B494" s="261" t="s">
        <v>216</v>
      </c>
      <c r="C494" s="237" t="s">
        <v>1177</v>
      </c>
      <c r="D494" s="237"/>
      <c r="E494" s="237" t="s">
        <v>1155</v>
      </c>
      <c r="F494" s="262">
        <v>6525424</v>
      </c>
      <c r="G494" s="263">
        <v>45291</v>
      </c>
      <c r="H494" s="231" t="s">
        <v>733</v>
      </c>
      <c r="I494" s="237"/>
      <c r="J494" s="262"/>
      <c r="K494" s="237"/>
      <c r="L494" s="237"/>
      <c r="M494" s="237"/>
    </row>
    <row r="495" spans="1:13">
      <c r="A495" s="241" t="s">
        <v>1150</v>
      </c>
      <c r="B495" s="264" t="s">
        <v>216</v>
      </c>
      <c r="C495" s="241" t="s">
        <v>1178</v>
      </c>
      <c r="D495" s="241"/>
      <c r="E495" s="241" t="s">
        <v>1155</v>
      </c>
      <c r="F495" s="233">
        <v>6000000</v>
      </c>
      <c r="G495" s="265">
        <v>45291</v>
      </c>
      <c r="H495" s="232" t="s">
        <v>1156</v>
      </c>
      <c r="I495" s="241"/>
      <c r="J495" s="266"/>
      <c r="K495" s="241"/>
      <c r="L495" s="241"/>
      <c r="M495" s="241"/>
    </row>
    <row r="496" spans="1:13">
      <c r="A496" s="237" t="s">
        <v>1150</v>
      </c>
      <c r="B496" s="261" t="s">
        <v>216</v>
      </c>
      <c r="C496" s="237" t="s">
        <v>1179</v>
      </c>
      <c r="D496" s="237"/>
      <c r="E496" s="237" t="s">
        <v>1155</v>
      </c>
      <c r="F496" s="262">
        <v>6000000</v>
      </c>
      <c r="G496" s="263">
        <v>45291</v>
      </c>
      <c r="H496" s="231" t="s">
        <v>1153</v>
      </c>
      <c r="I496" s="237"/>
      <c r="J496" s="262"/>
      <c r="K496" s="237"/>
      <c r="L496" s="237"/>
      <c r="M496" s="237"/>
    </row>
    <row r="497" spans="1:13">
      <c r="A497" s="241" t="s">
        <v>1150</v>
      </c>
      <c r="B497" s="264" t="s">
        <v>216</v>
      </c>
      <c r="C497" s="241" t="s">
        <v>1180</v>
      </c>
      <c r="D497" s="241"/>
      <c r="E497" s="241" t="s">
        <v>1152</v>
      </c>
      <c r="F497" s="233">
        <v>5000000</v>
      </c>
      <c r="G497" s="265">
        <v>45291</v>
      </c>
      <c r="H497" s="232" t="s">
        <v>1170</v>
      </c>
      <c r="I497" s="241"/>
      <c r="J497" s="266"/>
      <c r="K497" s="241"/>
      <c r="L497" s="241"/>
      <c r="M497" s="241"/>
    </row>
    <row r="498" spans="1:13">
      <c r="A498" s="237" t="s">
        <v>1150</v>
      </c>
      <c r="B498" s="261" t="s">
        <v>216</v>
      </c>
      <c r="C498" s="237" t="s">
        <v>1181</v>
      </c>
      <c r="D498" s="237"/>
      <c r="E498" s="237" t="s">
        <v>1155</v>
      </c>
      <c r="F498" s="262">
        <v>4847853</v>
      </c>
      <c r="G498" s="263">
        <v>45291</v>
      </c>
      <c r="H498" s="231" t="s">
        <v>1153</v>
      </c>
      <c r="I498" s="237"/>
      <c r="J498" s="262"/>
      <c r="K498" s="237"/>
      <c r="L498" s="237"/>
      <c r="M498" s="237"/>
    </row>
    <row r="499" spans="1:13">
      <c r="A499" s="241" t="s">
        <v>1150</v>
      </c>
      <c r="B499" s="264" t="s">
        <v>216</v>
      </c>
      <c r="C499" s="241" t="s">
        <v>1182</v>
      </c>
      <c r="D499" s="241"/>
      <c r="E499" s="241" t="s">
        <v>1155</v>
      </c>
      <c r="F499" s="233">
        <v>4750000</v>
      </c>
      <c r="G499" s="265">
        <v>45291</v>
      </c>
      <c r="H499" s="232" t="s">
        <v>1153</v>
      </c>
      <c r="I499" s="241"/>
      <c r="J499" s="266"/>
      <c r="K499" s="241"/>
      <c r="L499" s="241"/>
      <c r="M499" s="241"/>
    </row>
    <row r="500" spans="1:13">
      <c r="A500" s="237" t="s">
        <v>1150</v>
      </c>
      <c r="B500" s="261" t="s">
        <v>216</v>
      </c>
      <c r="C500" s="237" t="s">
        <v>1183</v>
      </c>
      <c r="D500" s="237"/>
      <c r="E500" s="237" t="s">
        <v>1155</v>
      </c>
      <c r="F500" s="262">
        <v>4520000</v>
      </c>
      <c r="G500" s="263">
        <v>45291</v>
      </c>
      <c r="H500" s="231" t="s">
        <v>1170</v>
      </c>
      <c r="I500" s="237"/>
      <c r="J500" s="262"/>
      <c r="K500" s="237"/>
      <c r="L500" s="237"/>
      <c r="M500" s="237"/>
    </row>
    <row r="501" spans="1:13">
      <c r="A501" s="241" t="s">
        <v>1150</v>
      </c>
      <c r="B501" s="264" t="s">
        <v>216</v>
      </c>
      <c r="C501" s="241" t="s">
        <v>1184</v>
      </c>
      <c r="D501" s="241"/>
      <c r="E501" s="241" t="s">
        <v>1155</v>
      </c>
      <c r="F501" s="233">
        <v>4000000</v>
      </c>
      <c r="G501" s="265">
        <v>45291</v>
      </c>
      <c r="H501" s="232" t="s">
        <v>1156</v>
      </c>
      <c r="I501" s="241"/>
      <c r="J501" s="266"/>
      <c r="K501" s="241"/>
      <c r="L501" s="241"/>
      <c r="M501" s="241"/>
    </row>
    <row r="502" spans="1:13">
      <c r="A502" s="237" t="s">
        <v>1150</v>
      </c>
      <c r="B502" s="261" t="s">
        <v>216</v>
      </c>
      <c r="C502" s="237" t="s">
        <v>1185</v>
      </c>
      <c r="D502" s="237"/>
      <c r="E502" s="237" t="s">
        <v>1155</v>
      </c>
      <c r="F502" s="262">
        <v>2850000</v>
      </c>
      <c r="G502" s="263">
        <v>45291</v>
      </c>
      <c r="H502" s="231" t="s">
        <v>729</v>
      </c>
      <c r="I502" s="237"/>
      <c r="J502" s="262"/>
      <c r="K502" s="237"/>
      <c r="L502" s="237"/>
      <c r="M502" s="237"/>
    </row>
    <row r="503" spans="1:13">
      <c r="A503" s="241" t="s">
        <v>1150</v>
      </c>
      <c r="B503" s="264" t="s">
        <v>216</v>
      </c>
      <c r="C503" s="241" t="s">
        <v>1186</v>
      </c>
      <c r="D503" s="241"/>
      <c r="E503" s="241" t="s">
        <v>1155</v>
      </c>
      <c r="F503" s="233">
        <v>2000000</v>
      </c>
      <c r="G503" s="265">
        <v>45291</v>
      </c>
      <c r="H503" s="232" t="s">
        <v>1156</v>
      </c>
      <c r="I503" s="241"/>
      <c r="J503" s="266"/>
      <c r="K503" s="241"/>
      <c r="L503" s="241"/>
      <c r="M503" s="241"/>
    </row>
    <row r="504" spans="1:13">
      <c r="A504" s="237" t="s">
        <v>1150</v>
      </c>
      <c r="B504" s="261" t="s">
        <v>216</v>
      </c>
      <c r="C504" s="237" t="s">
        <v>1187</v>
      </c>
      <c r="D504" s="237"/>
      <c r="E504" s="237" t="s">
        <v>1152</v>
      </c>
      <c r="F504" s="262">
        <v>2000000</v>
      </c>
      <c r="G504" s="263">
        <v>45291</v>
      </c>
      <c r="H504" s="231" t="s">
        <v>1156</v>
      </c>
      <c r="I504" s="237"/>
      <c r="J504" s="262"/>
      <c r="K504" s="237"/>
      <c r="L504" s="237"/>
      <c r="M504" s="237"/>
    </row>
    <row r="505" spans="1:13">
      <c r="A505" s="241" t="s">
        <v>1150</v>
      </c>
      <c r="B505" s="264" t="s">
        <v>216</v>
      </c>
      <c r="C505" s="241" t="s">
        <v>1188</v>
      </c>
      <c r="D505" s="241"/>
      <c r="E505" s="241" t="s">
        <v>1155</v>
      </c>
      <c r="F505" s="233">
        <v>2000000</v>
      </c>
      <c r="G505" s="265">
        <v>45291</v>
      </c>
      <c r="H505" s="232" t="s">
        <v>1170</v>
      </c>
      <c r="I505" s="241"/>
      <c r="J505" s="266"/>
      <c r="K505" s="241"/>
      <c r="L505" s="241"/>
      <c r="M505" s="241"/>
    </row>
    <row r="506" spans="1:13">
      <c r="A506" s="237" t="s">
        <v>1150</v>
      </c>
      <c r="B506" s="261" t="s">
        <v>216</v>
      </c>
      <c r="C506" s="237" t="s">
        <v>1189</v>
      </c>
      <c r="D506" s="237"/>
      <c r="E506" s="237" t="s">
        <v>1155</v>
      </c>
      <c r="F506" s="262">
        <v>1083684</v>
      </c>
      <c r="G506" s="263">
        <v>45291</v>
      </c>
      <c r="H506" s="231" t="s">
        <v>729</v>
      </c>
      <c r="I506" s="237"/>
      <c r="J506" s="262"/>
      <c r="K506" s="237"/>
      <c r="L506" s="237"/>
      <c r="M506" s="237"/>
    </row>
    <row r="507" spans="1:13">
      <c r="A507" s="241" t="s">
        <v>1150</v>
      </c>
      <c r="B507" s="264" t="s">
        <v>216</v>
      </c>
      <c r="C507" s="241" t="s">
        <v>1190</v>
      </c>
      <c r="D507" s="241"/>
      <c r="E507" s="241" t="s">
        <v>1155</v>
      </c>
      <c r="F507" s="233">
        <v>1058700</v>
      </c>
      <c r="G507" s="265">
        <v>45291</v>
      </c>
      <c r="H507" s="232" t="s">
        <v>729</v>
      </c>
      <c r="I507" s="241"/>
      <c r="J507" s="266"/>
      <c r="K507" s="241"/>
      <c r="L507" s="241"/>
      <c r="M507" s="241"/>
    </row>
    <row r="508" spans="1:13">
      <c r="A508" s="237" t="s">
        <v>1150</v>
      </c>
      <c r="B508" s="261" t="s">
        <v>216</v>
      </c>
      <c r="C508" s="237" t="s">
        <v>1191</v>
      </c>
      <c r="D508" s="237"/>
      <c r="E508" s="237" t="s">
        <v>1155</v>
      </c>
      <c r="F508" s="262">
        <v>1000000</v>
      </c>
      <c r="G508" s="263">
        <v>45291</v>
      </c>
      <c r="H508" s="231" t="s">
        <v>729</v>
      </c>
      <c r="I508" s="237"/>
      <c r="J508" s="262"/>
      <c r="K508" s="237"/>
      <c r="L508" s="237"/>
      <c r="M508" s="237"/>
    </row>
    <row r="509" spans="1:13">
      <c r="A509" s="241" t="s">
        <v>1150</v>
      </c>
      <c r="B509" s="264" t="s">
        <v>216</v>
      </c>
      <c r="C509" s="241" t="s">
        <v>1192</v>
      </c>
      <c r="D509" s="241"/>
      <c r="E509" s="241" t="s">
        <v>1155</v>
      </c>
      <c r="F509" s="233">
        <v>17000000</v>
      </c>
      <c r="G509" s="265">
        <v>45291</v>
      </c>
      <c r="H509" s="232" t="s">
        <v>733</v>
      </c>
      <c r="I509" s="241"/>
      <c r="J509" s="266"/>
      <c r="K509" s="241"/>
      <c r="L509" s="241"/>
      <c r="M509" s="241"/>
    </row>
    <row r="510" spans="1:13">
      <c r="A510" s="237" t="s">
        <v>1150</v>
      </c>
      <c r="B510" s="261" t="s">
        <v>216</v>
      </c>
      <c r="C510" s="237" t="s">
        <v>1192</v>
      </c>
      <c r="D510" s="237"/>
      <c r="E510" s="237" t="s">
        <v>1155</v>
      </c>
      <c r="F510" s="262">
        <v>16150000</v>
      </c>
      <c r="G510" s="263">
        <v>45291</v>
      </c>
      <c r="H510" s="231" t="s">
        <v>733</v>
      </c>
      <c r="I510" s="237"/>
      <c r="J510" s="262"/>
      <c r="K510" s="237"/>
      <c r="L510" s="237"/>
      <c r="M510" s="237"/>
    </row>
    <row r="511" spans="1:13">
      <c r="A511" s="241" t="s">
        <v>1150</v>
      </c>
      <c r="B511" s="264" t="s">
        <v>216</v>
      </c>
      <c r="C511" s="241" t="s">
        <v>1193</v>
      </c>
      <c r="D511" s="241"/>
      <c r="E511" s="241" t="s">
        <v>1155</v>
      </c>
      <c r="F511" s="233">
        <v>16016250</v>
      </c>
      <c r="G511" s="265">
        <v>45291</v>
      </c>
      <c r="H511" s="232" t="s">
        <v>1194</v>
      </c>
      <c r="I511" s="241"/>
      <c r="J511" s="266"/>
      <c r="K511" s="241"/>
      <c r="L511" s="241"/>
      <c r="M511" s="241"/>
    </row>
    <row r="512" spans="1:13">
      <c r="A512" s="237" t="s">
        <v>1150</v>
      </c>
      <c r="B512" s="261" t="s">
        <v>216</v>
      </c>
      <c r="C512" s="237" t="s">
        <v>1195</v>
      </c>
      <c r="D512" s="237"/>
      <c r="E512" s="237" t="s">
        <v>1152</v>
      </c>
      <c r="F512" s="262">
        <v>13964115</v>
      </c>
      <c r="G512" s="263">
        <v>45291</v>
      </c>
      <c r="H512" s="231" t="s">
        <v>1153</v>
      </c>
      <c r="I512" s="237"/>
      <c r="J512" s="262"/>
      <c r="K512" s="237"/>
      <c r="L512" s="237"/>
      <c r="M512" s="237"/>
    </row>
    <row r="513" spans="1:13">
      <c r="A513" s="241" t="s">
        <v>1150</v>
      </c>
      <c r="B513" s="264" t="s">
        <v>216</v>
      </c>
      <c r="C513" s="241" t="s">
        <v>1196</v>
      </c>
      <c r="D513" s="241"/>
      <c r="E513" s="241" t="s">
        <v>1155</v>
      </c>
      <c r="F513" s="233">
        <v>13762576</v>
      </c>
      <c r="G513" s="265">
        <v>45291</v>
      </c>
      <c r="H513" s="232" t="s">
        <v>1153</v>
      </c>
      <c r="I513" s="241"/>
      <c r="J513" s="266"/>
      <c r="K513" s="241"/>
      <c r="L513" s="241"/>
      <c r="M513" s="241"/>
    </row>
    <row r="514" spans="1:13">
      <c r="A514" s="237" t="s">
        <v>1150</v>
      </c>
      <c r="B514" s="261" t="s">
        <v>216</v>
      </c>
      <c r="C514" s="237" t="s">
        <v>1193</v>
      </c>
      <c r="D514" s="237"/>
      <c r="E514" s="237" t="s">
        <v>1152</v>
      </c>
      <c r="F514" s="262">
        <v>13650600</v>
      </c>
      <c r="G514" s="263">
        <v>45291</v>
      </c>
      <c r="H514" s="231" t="s">
        <v>1194</v>
      </c>
      <c r="I514" s="237"/>
      <c r="J514" s="262"/>
      <c r="K514" s="237"/>
      <c r="L514" s="237"/>
      <c r="M514" s="237"/>
    </row>
    <row r="515" spans="1:13">
      <c r="A515" s="241" t="s">
        <v>1150</v>
      </c>
      <c r="B515" s="264" t="s">
        <v>216</v>
      </c>
      <c r="C515" s="241" t="s">
        <v>1197</v>
      </c>
      <c r="D515" s="241"/>
      <c r="E515" s="241" t="s">
        <v>1155</v>
      </c>
      <c r="F515" s="233">
        <v>13000000</v>
      </c>
      <c r="G515" s="265">
        <v>45291</v>
      </c>
      <c r="H515" s="232" t="s">
        <v>1156</v>
      </c>
      <c r="I515" s="241"/>
      <c r="J515" s="266"/>
      <c r="K515" s="241"/>
      <c r="L515" s="241"/>
      <c r="M515" s="241"/>
    </row>
    <row r="516" spans="1:13">
      <c r="A516" s="237" t="s">
        <v>1150</v>
      </c>
      <c r="B516" s="261" t="s">
        <v>216</v>
      </c>
      <c r="C516" s="237" t="s">
        <v>1198</v>
      </c>
      <c r="D516" s="237"/>
      <c r="E516" s="237" t="s">
        <v>1155</v>
      </c>
      <c r="F516" s="262">
        <v>8855932</v>
      </c>
      <c r="G516" s="263">
        <v>45291</v>
      </c>
      <c r="H516" s="231" t="s">
        <v>1153</v>
      </c>
      <c r="I516" s="237"/>
      <c r="J516" s="262"/>
      <c r="K516" s="237"/>
      <c r="L516" s="237"/>
      <c r="M516" s="237"/>
    </row>
    <row r="517" spans="1:13">
      <c r="A517" s="241" t="s">
        <v>1150</v>
      </c>
      <c r="B517" s="264" t="s">
        <v>216</v>
      </c>
      <c r="C517" s="241" t="s">
        <v>1193</v>
      </c>
      <c r="D517" s="241"/>
      <c r="E517" s="241" t="s">
        <v>1155</v>
      </c>
      <c r="F517" s="233">
        <v>6402254</v>
      </c>
      <c r="G517" s="265">
        <v>45291</v>
      </c>
      <c r="H517" s="232" t="s">
        <v>1194</v>
      </c>
      <c r="I517" s="241"/>
      <c r="J517" s="266"/>
      <c r="K517" s="241"/>
      <c r="L517" s="241"/>
      <c r="M517" s="241"/>
    </row>
    <row r="518" spans="1:13">
      <c r="A518" s="237" t="s">
        <v>1150</v>
      </c>
      <c r="B518" s="261" t="s">
        <v>216</v>
      </c>
      <c r="C518" s="237" t="s">
        <v>1199</v>
      </c>
      <c r="D518" s="237"/>
      <c r="E518" s="237" t="s">
        <v>1155</v>
      </c>
      <c r="F518" s="262">
        <v>5000000</v>
      </c>
      <c r="G518" s="263">
        <v>45291</v>
      </c>
      <c r="H518" s="231" t="s">
        <v>1156</v>
      </c>
      <c r="I518" s="237"/>
      <c r="J518" s="262"/>
      <c r="K518" s="237"/>
      <c r="L518" s="237"/>
      <c r="M518" s="237"/>
    </row>
    <row r="519" spans="1:13">
      <c r="A519" s="241" t="s">
        <v>1150</v>
      </c>
      <c r="B519" s="264" t="s">
        <v>216</v>
      </c>
      <c r="C519" s="241" t="s">
        <v>1200</v>
      </c>
      <c r="D519" s="241"/>
      <c r="E519" s="241" t="s">
        <v>1155</v>
      </c>
      <c r="F519" s="233">
        <v>4836772.59</v>
      </c>
      <c r="G519" s="265">
        <v>45291</v>
      </c>
      <c r="H519" s="232" t="s">
        <v>1170</v>
      </c>
      <c r="I519" s="241"/>
      <c r="J519" s="266"/>
      <c r="K519" s="241"/>
      <c r="L519" s="241"/>
      <c r="M519" s="241"/>
    </row>
    <row r="520" spans="1:13">
      <c r="A520" s="237" t="s">
        <v>1150</v>
      </c>
      <c r="B520" s="261" t="s">
        <v>216</v>
      </c>
      <c r="C520" s="237" t="s">
        <v>1201</v>
      </c>
      <c r="D520" s="237"/>
      <c r="E520" s="237" t="s">
        <v>1155</v>
      </c>
      <c r="F520" s="262">
        <v>3042000</v>
      </c>
      <c r="G520" s="263">
        <v>45291</v>
      </c>
      <c r="H520" s="231" t="s">
        <v>1153</v>
      </c>
      <c r="I520" s="237"/>
      <c r="J520" s="262"/>
      <c r="K520" s="237"/>
      <c r="L520" s="237"/>
      <c r="M520" s="237"/>
    </row>
    <row r="521" spans="1:13">
      <c r="A521" s="241" t="s">
        <v>1150</v>
      </c>
      <c r="B521" s="264" t="s">
        <v>216</v>
      </c>
      <c r="C521" s="241" t="s">
        <v>1202</v>
      </c>
      <c r="D521" s="241"/>
      <c r="E521" s="241" t="s">
        <v>1155</v>
      </c>
      <c r="F521" s="233">
        <v>2167112</v>
      </c>
      <c r="G521" s="265">
        <v>45291</v>
      </c>
      <c r="H521" s="232" t="s">
        <v>1194</v>
      </c>
      <c r="I521" s="241"/>
      <c r="J521" s="266"/>
      <c r="K521" s="241"/>
      <c r="L521" s="241"/>
      <c r="M521" s="241"/>
    </row>
    <row r="522" spans="1:13">
      <c r="A522" s="237" t="s">
        <v>1150</v>
      </c>
      <c r="B522" s="261" t="s">
        <v>216</v>
      </c>
      <c r="C522" s="237" t="s">
        <v>1203</v>
      </c>
      <c r="D522" s="237"/>
      <c r="E522" s="237" t="s">
        <v>1155</v>
      </c>
      <c r="F522" s="262">
        <v>1881100</v>
      </c>
      <c r="G522" s="263">
        <v>45291</v>
      </c>
      <c r="H522" s="231" t="s">
        <v>1194</v>
      </c>
      <c r="I522" s="237"/>
      <c r="J522" s="262"/>
      <c r="K522" s="237"/>
      <c r="L522" s="237"/>
      <c r="M522" s="237"/>
    </row>
    <row r="523" spans="1:13">
      <c r="A523" s="241" t="s">
        <v>1150</v>
      </c>
      <c r="B523" s="264" t="s">
        <v>216</v>
      </c>
      <c r="C523" s="241" t="s">
        <v>1193</v>
      </c>
      <c r="D523" s="241"/>
      <c r="E523" s="241" t="s">
        <v>1155</v>
      </c>
      <c r="F523" s="233">
        <v>1643029</v>
      </c>
      <c r="G523" s="265">
        <v>45291</v>
      </c>
      <c r="H523" s="232" t="s">
        <v>1194</v>
      </c>
      <c r="I523" s="241"/>
      <c r="J523" s="266"/>
      <c r="K523" s="241"/>
      <c r="L523" s="241"/>
      <c r="M523" s="241"/>
    </row>
    <row r="524" spans="1:13">
      <c r="A524" s="237" t="s">
        <v>1150</v>
      </c>
      <c r="B524" s="261" t="s">
        <v>216</v>
      </c>
      <c r="C524" s="237" t="s">
        <v>1204</v>
      </c>
      <c r="D524" s="237"/>
      <c r="E524" s="237" t="s">
        <v>1155</v>
      </c>
      <c r="F524" s="262">
        <v>1419424</v>
      </c>
      <c r="G524" s="263">
        <v>45291</v>
      </c>
      <c r="H524" s="231" t="s">
        <v>1170</v>
      </c>
      <c r="I524" s="237"/>
      <c r="J524" s="262"/>
      <c r="K524" s="237"/>
      <c r="L524" s="237"/>
      <c r="M524" s="237"/>
    </row>
    <row r="525" spans="1:13">
      <c r="A525" s="241" t="s">
        <v>1150</v>
      </c>
      <c r="B525" s="264" t="s">
        <v>216</v>
      </c>
      <c r="C525" s="241" t="s">
        <v>1193</v>
      </c>
      <c r="D525" s="241"/>
      <c r="E525" s="241" t="s">
        <v>1155</v>
      </c>
      <c r="F525" s="233">
        <v>1139714</v>
      </c>
      <c r="G525" s="265">
        <v>45291</v>
      </c>
      <c r="H525" s="232" t="s">
        <v>1194</v>
      </c>
      <c r="I525" s="241"/>
      <c r="J525" s="266"/>
      <c r="K525" s="241"/>
      <c r="L525" s="241"/>
      <c r="M525" s="241"/>
    </row>
    <row r="526" spans="1:13">
      <c r="A526" s="237" t="s">
        <v>1150</v>
      </c>
      <c r="B526" s="261" t="s">
        <v>216</v>
      </c>
      <c r="C526" s="237" t="s">
        <v>1205</v>
      </c>
      <c r="D526" s="237"/>
      <c r="E526" s="237" t="s">
        <v>1155</v>
      </c>
      <c r="F526" s="262">
        <v>250000</v>
      </c>
      <c r="G526" s="263">
        <v>45291</v>
      </c>
      <c r="H526" s="231" t="s">
        <v>1153</v>
      </c>
      <c r="I526" s="237"/>
      <c r="J526" s="262"/>
      <c r="K526" s="237"/>
      <c r="L526" s="237"/>
      <c r="M526" s="237"/>
    </row>
    <row r="527" spans="1:13">
      <c r="A527" s="241" t="s">
        <v>627</v>
      </c>
      <c r="B527" s="264">
        <v>4013041</v>
      </c>
      <c r="C527" s="241" t="s">
        <v>1206</v>
      </c>
      <c r="D527" s="241" t="s">
        <v>990</v>
      </c>
      <c r="E527" s="241" t="s">
        <v>991</v>
      </c>
      <c r="F527" s="233">
        <v>656170</v>
      </c>
      <c r="G527" s="265">
        <v>44944</v>
      </c>
      <c r="H527" s="232"/>
      <c r="I527" s="241"/>
      <c r="J527" s="266"/>
      <c r="K527" s="241"/>
      <c r="L527" s="241"/>
      <c r="M527" s="241"/>
    </row>
    <row r="528" spans="1:13">
      <c r="A528" s="237" t="s">
        <v>627</v>
      </c>
      <c r="B528" s="261">
        <v>4013041</v>
      </c>
      <c r="C528" s="237" t="s">
        <v>1207</v>
      </c>
      <c r="D528" s="237" t="s">
        <v>990</v>
      </c>
      <c r="E528" s="237" t="s">
        <v>991</v>
      </c>
      <c r="F528" s="262">
        <v>722170</v>
      </c>
      <c r="G528" s="263">
        <v>44944</v>
      </c>
      <c r="H528" s="231"/>
      <c r="I528" s="237"/>
      <c r="J528" s="262"/>
      <c r="K528" s="237"/>
      <c r="L528" s="237"/>
      <c r="M528" s="237"/>
    </row>
    <row r="529" spans="1:13">
      <c r="A529" s="241" t="s">
        <v>627</v>
      </c>
      <c r="B529" s="264">
        <v>4013041</v>
      </c>
      <c r="C529" s="241" t="s">
        <v>1208</v>
      </c>
      <c r="D529" s="241" t="s">
        <v>990</v>
      </c>
      <c r="E529" s="241" t="s">
        <v>991</v>
      </c>
      <c r="F529" s="233">
        <v>529295</v>
      </c>
      <c r="G529" s="265">
        <v>44944</v>
      </c>
      <c r="H529" s="232"/>
      <c r="I529" s="241"/>
      <c r="J529" s="266"/>
      <c r="K529" s="241"/>
      <c r="L529" s="241"/>
      <c r="M529" s="241"/>
    </row>
    <row r="530" spans="1:13">
      <c r="A530" s="237" t="s">
        <v>627</v>
      </c>
      <c r="B530" s="261">
        <v>4013041</v>
      </c>
      <c r="C530" s="237" t="s">
        <v>1209</v>
      </c>
      <c r="D530" s="237" t="s">
        <v>990</v>
      </c>
      <c r="E530" s="237" t="s">
        <v>991</v>
      </c>
      <c r="F530" s="262">
        <v>659690</v>
      </c>
      <c r="G530" s="263">
        <v>44944</v>
      </c>
      <c r="H530" s="231"/>
      <c r="I530" s="237"/>
      <c r="J530" s="262"/>
      <c r="K530" s="237"/>
      <c r="L530" s="237"/>
      <c r="M530" s="237"/>
    </row>
    <row r="531" spans="1:13">
      <c r="A531" s="241" t="s">
        <v>627</v>
      </c>
      <c r="B531" s="264">
        <v>4013041</v>
      </c>
      <c r="C531" s="241" t="s">
        <v>1210</v>
      </c>
      <c r="D531" s="241" t="s">
        <v>990</v>
      </c>
      <c r="E531" s="241" t="s">
        <v>991</v>
      </c>
      <c r="F531" s="233">
        <v>203040</v>
      </c>
      <c r="G531" s="265">
        <v>44970</v>
      </c>
      <c r="H531" s="232"/>
      <c r="I531" s="241"/>
      <c r="J531" s="266"/>
      <c r="K531" s="241"/>
      <c r="L531" s="241"/>
      <c r="M531" s="241"/>
    </row>
    <row r="532" spans="1:13">
      <c r="A532" s="237" t="s">
        <v>627</v>
      </c>
      <c r="B532" s="261">
        <v>4013041</v>
      </c>
      <c r="C532" s="237" t="s">
        <v>1211</v>
      </c>
      <c r="D532" s="237" t="s">
        <v>990</v>
      </c>
      <c r="E532" s="237" t="s">
        <v>991</v>
      </c>
      <c r="F532" s="262">
        <v>1114000</v>
      </c>
      <c r="G532" s="263">
        <v>45086</v>
      </c>
      <c r="H532" s="231"/>
      <c r="I532" s="237"/>
      <c r="J532" s="262"/>
      <c r="K532" s="237"/>
      <c r="L532" s="237"/>
      <c r="M532" s="237"/>
    </row>
    <row r="533" spans="1:13">
      <c r="A533" s="241" t="s">
        <v>627</v>
      </c>
      <c r="B533" s="264">
        <v>4013041</v>
      </c>
      <c r="C533" s="241" t="s">
        <v>1212</v>
      </c>
      <c r="D533" s="241" t="s">
        <v>990</v>
      </c>
      <c r="E533" s="241" t="s">
        <v>991</v>
      </c>
      <c r="F533" s="233">
        <v>16900</v>
      </c>
      <c r="G533" s="265">
        <v>45086</v>
      </c>
      <c r="H533" s="232"/>
      <c r="I533" s="241"/>
      <c r="J533" s="266"/>
      <c r="K533" s="241"/>
      <c r="L533" s="241"/>
      <c r="M533" s="241"/>
    </row>
    <row r="534" spans="1:13">
      <c r="A534" s="237" t="s">
        <v>627</v>
      </c>
      <c r="B534" s="261">
        <v>4013041</v>
      </c>
      <c r="C534" s="237" t="s">
        <v>1213</v>
      </c>
      <c r="D534" s="237" t="s">
        <v>990</v>
      </c>
      <c r="E534" s="237" t="s">
        <v>991</v>
      </c>
      <c r="F534" s="262">
        <v>750000</v>
      </c>
      <c r="G534" s="263">
        <v>45086</v>
      </c>
      <c r="H534" s="231"/>
      <c r="I534" s="237"/>
      <c r="J534" s="262"/>
      <c r="K534" s="237"/>
      <c r="L534" s="237"/>
      <c r="M534" s="237"/>
    </row>
    <row r="535" spans="1:13">
      <c r="A535" s="241" t="s">
        <v>627</v>
      </c>
      <c r="B535" s="264">
        <v>4013041</v>
      </c>
      <c r="C535" s="241" t="s">
        <v>1214</v>
      </c>
      <c r="D535" s="241" t="s">
        <v>990</v>
      </c>
      <c r="E535" s="241" t="s">
        <v>991</v>
      </c>
      <c r="F535" s="233">
        <v>75000</v>
      </c>
      <c r="G535" s="265">
        <v>45086</v>
      </c>
      <c r="H535" s="232"/>
      <c r="I535" s="241"/>
      <c r="J535" s="266"/>
      <c r="K535" s="241"/>
      <c r="L535" s="241"/>
      <c r="M535" s="241"/>
    </row>
    <row r="536" spans="1:13">
      <c r="A536" s="237" t="s">
        <v>627</v>
      </c>
      <c r="B536" s="261">
        <v>4013041</v>
      </c>
      <c r="C536" s="237" t="s">
        <v>1215</v>
      </c>
      <c r="D536" s="237" t="s">
        <v>990</v>
      </c>
      <c r="E536" s="237" t="s">
        <v>991</v>
      </c>
      <c r="F536" s="262">
        <v>16425</v>
      </c>
      <c r="G536" s="263">
        <v>45086</v>
      </c>
      <c r="H536" s="231"/>
      <c r="I536" s="237"/>
      <c r="J536" s="262"/>
      <c r="K536" s="237"/>
      <c r="L536" s="237"/>
      <c r="M536" s="237"/>
    </row>
    <row r="537" spans="1:13">
      <c r="A537" s="241" t="s">
        <v>627</v>
      </c>
      <c r="B537" s="264">
        <v>4013041</v>
      </c>
      <c r="C537" s="241" t="s">
        <v>1216</v>
      </c>
      <c r="D537" s="241" t="s">
        <v>990</v>
      </c>
      <c r="E537" s="241" t="s">
        <v>991</v>
      </c>
      <c r="F537" s="233">
        <v>266200</v>
      </c>
      <c r="G537" s="265">
        <v>45086</v>
      </c>
      <c r="H537" s="232"/>
      <c r="I537" s="241"/>
      <c r="J537" s="266"/>
      <c r="K537" s="241"/>
      <c r="L537" s="241"/>
      <c r="M537" s="241"/>
    </row>
    <row r="538" spans="1:13">
      <c r="A538" s="237" t="s">
        <v>627</v>
      </c>
      <c r="B538" s="261">
        <v>4013041</v>
      </c>
      <c r="C538" s="237" t="s">
        <v>1217</v>
      </c>
      <c r="D538" s="237" t="s">
        <v>990</v>
      </c>
      <c r="E538" s="237" t="s">
        <v>991</v>
      </c>
      <c r="F538" s="262">
        <v>91500</v>
      </c>
      <c r="G538" s="263">
        <v>45086</v>
      </c>
      <c r="H538" s="231"/>
      <c r="I538" s="237"/>
      <c r="J538" s="262"/>
      <c r="K538" s="237"/>
      <c r="L538" s="237"/>
      <c r="M538" s="237"/>
    </row>
    <row r="539" spans="1:13">
      <c r="A539" s="241" t="s">
        <v>627</v>
      </c>
      <c r="B539" s="264">
        <v>4013041</v>
      </c>
      <c r="C539" s="241" t="s">
        <v>1218</v>
      </c>
      <c r="D539" s="241" t="s">
        <v>990</v>
      </c>
      <c r="E539" s="241" t="s">
        <v>991</v>
      </c>
      <c r="F539" s="233">
        <v>138000</v>
      </c>
      <c r="G539" s="265">
        <v>45086</v>
      </c>
      <c r="H539" s="232"/>
      <c r="I539" s="241"/>
      <c r="J539" s="266"/>
      <c r="K539" s="241"/>
      <c r="L539" s="241"/>
      <c r="M539" s="241"/>
    </row>
    <row r="540" spans="1:13">
      <c r="A540" s="237" t="s">
        <v>627</v>
      </c>
      <c r="B540" s="261">
        <v>4013041</v>
      </c>
      <c r="C540" s="237" t="s">
        <v>1219</v>
      </c>
      <c r="D540" s="237" t="s">
        <v>990</v>
      </c>
      <c r="E540" s="237" t="s">
        <v>991</v>
      </c>
      <c r="F540" s="262">
        <v>13800</v>
      </c>
      <c r="G540" s="263">
        <v>45086</v>
      </c>
      <c r="H540" s="231"/>
      <c r="I540" s="237"/>
      <c r="J540" s="262"/>
      <c r="K540" s="237"/>
      <c r="L540" s="237"/>
      <c r="M540" s="237"/>
    </row>
    <row r="541" spans="1:13">
      <c r="A541" s="241" t="s">
        <v>627</v>
      </c>
      <c r="B541" s="264">
        <v>4013041</v>
      </c>
      <c r="C541" s="241" t="s">
        <v>1220</v>
      </c>
      <c r="D541" s="241" t="s">
        <v>990</v>
      </c>
      <c r="E541" s="241" t="s">
        <v>991</v>
      </c>
      <c r="F541" s="233">
        <v>185000</v>
      </c>
      <c r="G541" s="265">
        <v>45086</v>
      </c>
      <c r="H541" s="232"/>
      <c r="I541" s="241"/>
      <c r="J541" s="266"/>
      <c r="K541" s="241"/>
      <c r="L541" s="241"/>
      <c r="M541" s="241"/>
    </row>
    <row r="542" spans="1:13">
      <c r="A542" s="237" t="s">
        <v>627</v>
      </c>
      <c r="B542" s="261">
        <v>4013041</v>
      </c>
      <c r="C542" s="237" t="s">
        <v>1221</v>
      </c>
      <c r="D542" s="237" t="s">
        <v>990</v>
      </c>
      <c r="E542" s="237" t="s">
        <v>991</v>
      </c>
      <c r="F542" s="262">
        <v>1248000</v>
      </c>
      <c r="G542" s="263">
        <v>45086</v>
      </c>
      <c r="H542" s="231"/>
      <c r="I542" s="237"/>
      <c r="J542" s="262"/>
      <c r="K542" s="237"/>
      <c r="L542" s="237"/>
      <c r="M542" s="237"/>
    </row>
    <row r="543" spans="1:13">
      <c r="A543" s="241" t="s">
        <v>627</v>
      </c>
      <c r="B543" s="264">
        <v>4013041</v>
      </c>
      <c r="C543" s="241" t="s">
        <v>1222</v>
      </c>
      <c r="D543" s="241" t="s">
        <v>990</v>
      </c>
      <c r="E543" s="241" t="s">
        <v>991</v>
      </c>
      <c r="F543" s="233">
        <v>2363000</v>
      </c>
      <c r="G543" s="265">
        <v>45086</v>
      </c>
      <c r="H543" s="232"/>
      <c r="I543" s="241"/>
      <c r="J543" s="266"/>
      <c r="K543" s="241"/>
      <c r="L543" s="241"/>
      <c r="M543" s="241"/>
    </row>
    <row r="544" spans="1:13">
      <c r="A544" s="237" t="s">
        <v>627</v>
      </c>
      <c r="B544" s="261">
        <v>4013041</v>
      </c>
      <c r="C544" s="237" t="s">
        <v>1223</v>
      </c>
      <c r="D544" s="237" t="s">
        <v>990</v>
      </c>
      <c r="E544" s="237" t="s">
        <v>991</v>
      </c>
      <c r="F544" s="262">
        <v>2342000</v>
      </c>
      <c r="G544" s="263">
        <v>45086</v>
      </c>
      <c r="H544" s="231"/>
      <c r="I544" s="237"/>
      <c r="J544" s="262"/>
      <c r="K544" s="237"/>
      <c r="L544" s="237"/>
      <c r="M544" s="237"/>
    </row>
    <row r="545" spans="1:13">
      <c r="A545" s="241" t="s">
        <v>627</v>
      </c>
      <c r="B545" s="264">
        <v>4013041</v>
      </c>
      <c r="C545" s="241" t="s">
        <v>1224</v>
      </c>
      <c r="D545" s="241" t="s">
        <v>990</v>
      </c>
      <c r="E545" s="241" t="s">
        <v>991</v>
      </c>
      <c r="F545" s="233">
        <v>2426500</v>
      </c>
      <c r="G545" s="265">
        <v>45086</v>
      </c>
      <c r="H545" s="232"/>
      <c r="I545" s="241"/>
      <c r="J545" s="266"/>
      <c r="K545" s="241"/>
      <c r="L545" s="241"/>
      <c r="M545" s="241"/>
    </row>
    <row r="546" spans="1:13">
      <c r="A546" s="237" t="s">
        <v>627</v>
      </c>
      <c r="B546" s="261">
        <v>4013041</v>
      </c>
      <c r="C546" s="237" t="s">
        <v>1225</v>
      </c>
      <c r="D546" s="237" t="s">
        <v>990</v>
      </c>
      <c r="E546" s="237" t="s">
        <v>991</v>
      </c>
      <c r="F546" s="262">
        <v>2249000</v>
      </c>
      <c r="G546" s="263">
        <v>45086</v>
      </c>
      <c r="H546" s="231"/>
      <c r="I546" s="237"/>
      <c r="J546" s="262"/>
      <c r="K546" s="237"/>
      <c r="L546" s="237"/>
      <c r="M546" s="237"/>
    </row>
    <row r="547" spans="1:13">
      <c r="A547" s="241" t="s">
        <v>627</v>
      </c>
      <c r="B547" s="264">
        <v>4013041</v>
      </c>
      <c r="C547" s="241" t="s">
        <v>1226</v>
      </c>
      <c r="D547" s="241" t="s">
        <v>990</v>
      </c>
      <c r="E547" s="241" t="s">
        <v>991</v>
      </c>
      <c r="F547" s="233">
        <v>2365000</v>
      </c>
      <c r="G547" s="265">
        <v>45086</v>
      </c>
      <c r="H547" s="232"/>
      <c r="I547" s="241"/>
      <c r="J547" s="266"/>
      <c r="K547" s="241"/>
      <c r="L547" s="241"/>
      <c r="M547" s="241"/>
    </row>
    <row r="548" spans="1:13">
      <c r="A548" s="237" t="s">
        <v>627</v>
      </c>
      <c r="B548" s="261">
        <v>4013041</v>
      </c>
      <c r="C548" s="237" t="s">
        <v>1227</v>
      </c>
      <c r="D548" s="237" t="s">
        <v>990</v>
      </c>
      <c r="E548" s="237" t="s">
        <v>991</v>
      </c>
      <c r="F548" s="262">
        <v>110000</v>
      </c>
      <c r="G548" s="263">
        <v>45091</v>
      </c>
      <c r="H548" s="231"/>
      <c r="I548" s="237"/>
      <c r="J548" s="262"/>
      <c r="K548" s="237"/>
      <c r="L548" s="237"/>
      <c r="M548" s="237"/>
    </row>
    <row r="549" spans="1:13">
      <c r="A549" s="241" t="s">
        <v>627</v>
      </c>
      <c r="B549" s="264">
        <v>4013041</v>
      </c>
      <c r="C549" s="241" t="s">
        <v>1228</v>
      </c>
      <c r="D549" s="241" t="s">
        <v>990</v>
      </c>
      <c r="E549" s="241" t="s">
        <v>991</v>
      </c>
      <c r="F549" s="233">
        <v>2700000</v>
      </c>
      <c r="G549" s="265">
        <v>45103</v>
      </c>
      <c r="H549" s="232"/>
      <c r="I549" s="241"/>
      <c r="J549" s="266"/>
      <c r="K549" s="241"/>
      <c r="L549" s="241"/>
      <c r="M549" s="241"/>
    </row>
    <row r="550" spans="1:13">
      <c r="A550" s="237" t="s">
        <v>627</v>
      </c>
      <c r="B550" s="261">
        <v>4013041</v>
      </c>
      <c r="C550" s="237" t="s">
        <v>1229</v>
      </c>
      <c r="D550" s="237" t="s">
        <v>990</v>
      </c>
      <c r="E550" s="237" t="s">
        <v>991</v>
      </c>
      <c r="F550" s="262">
        <v>242000</v>
      </c>
      <c r="G550" s="263">
        <v>45238</v>
      </c>
      <c r="H550" s="231"/>
      <c r="I550" s="237"/>
      <c r="J550" s="262"/>
      <c r="K550" s="237"/>
      <c r="L550" s="237"/>
      <c r="M550" s="237"/>
    </row>
    <row r="551" spans="1:13">
      <c r="A551" s="241" t="s">
        <v>627</v>
      </c>
      <c r="B551" s="264">
        <v>4013041</v>
      </c>
      <c r="C551" s="241" t="s">
        <v>1230</v>
      </c>
      <c r="D551" s="241" t="s">
        <v>990</v>
      </c>
      <c r="E551" s="241" t="s">
        <v>991</v>
      </c>
      <c r="F551" s="233">
        <v>265000</v>
      </c>
      <c r="G551" s="265">
        <v>45238</v>
      </c>
      <c r="H551" s="232"/>
      <c r="I551" s="241"/>
      <c r="J551" s="266"/>
      <c r="K551" s="241"/>
      <c r="L551" s="241"/>
      <c r="M551" s="241"/>
    </row>
    <row r="552" spans="1:13">
      <c r="A552" s="237" t="s">
        <v>627</v>
      </c>
      <c r="B552" s="261">
        <v>4013041</v>
      </c>
      <c r="C552" s="237" t="s">
        <v>1231</v>
      </c>
      <c r="D552" s="237" t="s">
        <v>990</v>
      </c>
      <c r="E552" s="237" t="s">
        <v>991</v>
      </c>
      <c r="F552" s="262">
        <v>480000</v>
      </c>
      <c r="G552" s="263">
        <v>45238</v>
      </c>
      <c r="H552" s="231"/>
      <c r="I552" s="237"/>
      <c r="J552" s="262"/>
      <c r="K552" s="237"/>
      <c r="L552" s="237"/>
      <c r="M552" s="237"/>
    </row>
    <row r="553" spans="1:13">
      <c r="A553" s="241" t="s">
        <v>627</v>
      </c>
      <c r="B553" s="264">
        <v>4013041</v>
      </c>
      <c r="C553" s="241" t="s">
        <v>1232</v>
      </c>
      <c r="D553" s="241" t="s">
        <v>990</v>
      </c>
      <c r="E553" s="241" t="s">
        <v>991</v>
      </c>
      <c r="F553" s="233">
        <v>600000</v>
      </c>
      <c r="G553" s="265">
        <v>45238</v>
      </c>
      <c r="H553" s="232"/>
      <c r="I553" s="241"/>
      <c r="J553" s="266"/>
      <c r="K553" s="241"/>
      <c r="L553" s="241"/>
      <c r="M553" s="241"/>
    </row>
    <row r="554" spans="1:13">
      <c r="A554" s="237" t="s">
        <v>627</v>
      </c>
      <c r="B554" s="261">
        <v>4013041</v>
      </c>
      <c r="C554" s="237" t="s">
        <v>1233</v>
      </c>
      <c r="D554" s="237" t="s">
        <v>990</v>
      </c>
      <c r="E554" s="237" t="s">
        <v>991</v>
      </c>
      <c r="F554" s="262">
        <v>818000</v>
      </c>
      <c r="G554" s="263">
        <v>45238</v>
      </c>
      <c r="H554" s="231"/>
      <c r="I554" s="237"/>
      <c r="J554" s="262"/>
      <c r="K554" s="237"/>
      <c r="L554" s="237"/>
      <c r="M554" s="237"/>
    </row>
    <row r="555" spans="1:13">
      <c r="A555" s="241" t="s">
        <v>627</v>
      </c>
      <c r="B555" s="264">
        <v>4013041</v>
      </c>
      <c r="C555" s="241" t="s">
        <v>1234</v>
      </c>
      <c r="D555" s="241" t="s">
        <v>990</v>
      </c>
      <c r="E555" s="241" t="s">
        <v>991</v>
      </c>
      <c r="F555" s="233">
        <v>1216000</v>
      </c>
      <c r="G555" s="265">
        <v>45238</v>
      </c>
      <c r="H555" s="232"/>
      <c r="I555" s="241"/>
      <c r="J555" s="266"/>
      <c r="K555" s="241"/>
      <c r="L555" s="241"/>
      <c r="M555" s="241"/>
    </row>
    <row r="556" spans="1:13">
      <c r="A556" s="237" t="s">
        <v>627</v>
      </c>
      <c r="B556" s="261">
        <v>4013041</v>
      </c>
      <c r="C556" s="237" t="s">
        <v>1235</v>
      </c>
      <c r="D556" s="237" t="s">
        <v>990</v>
      </c>
      <c r="E556" s="237" t="s">
        <v>991</v>
      </c>
      <c r="F556" s="262">
        <v>100000</v>
      </c>
      <c r="G556" s="263">
        <v>45238</v>
      </c>
      <c r="H556" s="231"/>
      <c r="I556" s="237"/>
      <c r="J556" s="262"/>
      <c r="K556" s="237"/>
      <c r="L556" s="237"/>
      <c r="M556" s="237"/>
    </row>
    <row r="557" spans="1:13">
      <c r="A557" s="241" t="s">
        <v>627</v>
      </c>
      <c r="B557" s="264">
        <v>4013041</v>
      </c>
      <c r="C557" s="241" t="s">
        <v>1236</v>
      </c>
      <c r="D557" s="241" t="s">
        <v>990</v>
      </c>
      <c r="E557" s="241" t="s">
        <v>991</v>
      </c>
      <c r="F557" s="233">
        <v>18000</v>
      </c>
      <c r="G557" s="265">
        <v>45239</v>
      </c>
      <c r="H557" s="232"/>
      <c r="I557" s="241"/>
      <c r="J557" s="266"/>
      <c r="K557" s="241"/>
      <c r="L557" s="241"/>
      <c r="M557" s="241"/>
    </row>
    <row r="558" spans="1:13">
      <c r="A558" s="237" t="s">
        <v>627</v>
      </c>
      <c r="B558" s="261">
        <v>4013041</v>
      </c>
      <c r="C558" s="237" t="s">
        <v>1237</v>
      </c>
      <c r="D558" s="237" t="s">
        <v>990</v>
      </c>
      <c r="E558" s="237" t="s">
        <v>991</v>
      </c>
      <c r="F558" s="262">
        <v>200000</v>
      </c>
      <c r="G558" s="263">
        <v>45239</v>
      </c>
      <c r="H558" s="231"/>
      <c r="I558" s="237"/>
      <c r="J558" s="262"/>
      <c r="K558" s="237"/>
      <c r="L558" s="237"/>
      <c r="M558" s="237"/>
    </row>
    <row r="559" spans="1:13">
      <c r="A559" s="241" t="s">
        <v>627</v>
      </c>
      <c r="B559" s="264">
        <v>4013041</v>
      </c>
      <c r="C559" s="241" t="s">
        <v>1238</v>
      </c>
      <c r="D559" s="241" t="s">
        <v>990</v>
      </c>
      <c r="E559" s="241" t="s">
        <v>991</v>
      </c>
      <c r="F559" s="233">
        <v>100000</v>
      </c>
      <c r="G559" s="265">
        <v>45239</v>
      </c>
      <c r="H559" s="232"/>
      <c r="I559" s="241"/>
      <c r="J559" s="266"/>
      <c r="K559" s="241"/>
      <c r="L559" s="241"/>
      <c r="M559" s="241"/>
    </row>
    <row r="560" spans="1:13">
      <c r="A560" s="237" t="s">
        <v>627</v>
      </c>
      <c r="B560" s="261">
        <v>4013041</v>
      </c>
      <c r="C560" s="237" t="s">
        <v>1239</v>
      </c>
      <c r="D560" s="237" t="s">
        <v>990</v>
      </c>
      <c r="E560" s="237" t="s">
        <v>991</v>
      </c>
      <c r="F560" s="262">
        <v>500000</v>
      </c>
      <c r="G560" s="263">
        <v>45239</v>
      </c>
      <c r="H560" s="231"/>
      <c r="I560" s="237"/>
      <c r="J560" s="262"/>
      <c r="K560" s="237"/>
      <c r="L560" s="237"/>
      <c r="M560" s="237"/>
    </row>
    <row r="561" spans="1:13">
      <c r="A561" s="241" t="s">
        <v>627</v>
      </c>
      <c r="B561" s="264">
        <v>4013041</v>
      </c>
      <c r="C561" s="241" t="s">
        <v>1240</v>
      </c>
      <c r="D561" s="241" t="s">
        <v>990</v>
      </c>
      <c r="E561" s="241" t="s">
        <v>991</v>
      </c>
      <c r="F561" s="233">
        <v>500000</v>
      </c>
      <c r="G561" s="265">
        <v>45239</v>
      </c>
      <c r="H561" s="232"/>
      <c r="I561" s="241"/>
      <c r="J561" s="266"/>
      <c r="K561" s="241"/>
      <c r="L561" s="241"/>
      <c r="M561" s="241"/>
    </row>
    <row r="562" spans="1:13">
      <c r="A562" s="237" t="s">
        <v>627</v>
      </c>
      <c r="B562" s="261">
        <v>4013041</v>
      </c>
      <c r="C562" s="237" t="s">
        <v>1241</v>
      </c>
      <c r="D562" s="237" t="s">
        <v>990</v>
      </c>
      <c r="E562" s="237" t="s">
        <v>991</v>
      </c>
      <c r="F562" s="262">
        <v>110000</v>
      </c>
      <c r="G562" s="263">
        <v>45239</v>
      </c>
      <c r="H562" s="231"/>
      <c r="I562" s="237"/>
      <c r="J562" s="262"/>
      <c r="K562" s="237"/>
      <c r="L562" s="237"/>
      <c r="M562" s="237"/>
    </row>
    <row r="563" spans="1:13">
      <c r="A563" s="241" t="s">
        <v>627</v>
      </c>
      <c r="B563" s="264">
        <v>4013041</v>
      </c>
      <c r="C563" s="241" t="s">
        <v>1242</v>
      </c>
      <c r="D563" s="241" t="s">
        <v>990</v>
      </c>
      <c r="E563" s="241" t="s">
        <v>991</v>
      </c>
      <c r="F563" s="233">
        <v>100000</v>
      </c>
      <c r="G563" s="265">
        <v>45239</v>
      </c>
      <c r="H563" s="232"/>
      <c r="I563" s="241"/>
      <c r="J563" s="266"/>
      <c r="K563" s="241"/>
      <c r="L563" s="241"/>
      <c r="M563" s="241"/>
    </row>
    <row r="564" spans="1:13">
      <c r="A564" s="237" t="s">
        <v>627</v>
      </c>
      <c r="B564" s="261">
        <v>4013041</v>
      </c>
      <c r="C564" s="237" t="s">
        <v>1243</v>
      </c>
      <c r="D564" s="237" t="s">
        <v>1244</v>
      </c>
      <c r="E564" s="237" t="s">
        <v>991</v>
      </c>
      <c r="F564" s="262">
        <v>12080000</v>
      </c>
      <c r="G564" s="263">
        <v>45169</v>
      </c>
      <c r="H564" s="231" t="s">
        <v>1245</v>
      </c>
      <c r="I564" s="237"/>
      <c r="J564" s="262"/>
      <c r="K564" s="237"/>
      <c r="L564" s="237"/>
      <c r="M564" s="237"/>
    </row>
    <row r="565" spans="1:13">
      <c r="A565" s="739" t="s">
        <v>1246</v>
      </c>
      <c r="B565" s="739"/>
      <c r="C565" s="739"/>
      <c r="D565" s="739"/>
      <c r="E565" s="739"/>
      <c r="F565" s="268">
        <f>SUM(F8:F564)</f>
        <v>2856044934.132431</v>
      </c>
      <c r="G565" s="269"/>
      <c r="H565" s="267"/>
      <c r="I565" s="267"/>
      <c r="J565" s="268">
        <f>SUM(J8:J564)</f>
        <v>73777841</v>
      </c>
      <c r="K565" s="267"/>
      <c r="L565" s="267"/>
      <c r="M565" s="267"/>
    </row>
    <row r="567" spans="1:13" s="273" customFormat="1" ht="23">
      <c r="A567" s="219" t="s">
        <v>142</v>
      </c>
    </row>
    <row r="568" spans="1:13" ht="12.5" thickBot="1"/>
    <row r="569" spans="1:13" ht="12.5" thickBot="1">
      <c r="C569" s="253" t="s">
        <v>709</v>
      </c>
      <c r="D569" s="254"/>
      <c r="E569" s="255"/>
      <c r="F569" s="256" t="s">
        <v>710</v>
      </c>
      <c r="G569" s="254"/>
      <c r="H569" s="255"/>
      <c r="I569" s="256" t="s">
        <v>711</v>
      </c>
      <c r="J569" s="254"/>
      <c r="K569" s="255"/>
      <c r="L569" s="257" t="s">
        <v>712</v>
      </c>
    </row>
    <row r="570" spans="1:13" ht="36">
      <c r="A570" s="258" t="s">
        <v>144</v>
      </c>
      <c r="B570" s="258" t="s">
        <v>713</v>
      </c>
      <c r="C570" s="258" t="s">
        <v>714</v>
      </c>
      <c r="D570" s="258" t="s">
        <v>715</v>
      </c>
      <c r="E570" s="258" t="s">
        <v>716</v>
      </c>
      <c r="F570" s="259" t="s">
        <v>717</v>
      </c>
      <c r="G570" s="260" t="s">
        <v>718</v>
      </c>
      <c r="H570" s="258" t="s">
        <v>719</v>
      </c>
      <c r="I570" s="258" t="s">
        <v>720</v>
      </c>
      <c r="J570" s="258" t="s">
        <v>1247</v>
      </c>
      <c r="K570" s="258" t="s">
        <v>722</v>
      </c>
      <c r="L570" s="258" t="s">
        <v>723</v>
      </c>
      <c r="M570" s="258" t="s">
        <v>724</v>
      </c>
    </row>
    <row r="571" spans="1:13">
      <c r="A571" s="237" t="s">
        <v>1248</v>
      </c>
      <c r="B571" s="261">
        <v>6501383</v>
      </c>
      <c r="C571" s="237" t="s">
        <v>1249</v>
      </c>
      <c r="D571" s="237" t="s">
        <v>1250</v>
      </c>
      <c r="E571" s="237" t="s">
        <v>1251</v>
      </c>
      <c r="F571" s="475">
        <v>92587500</v>
      </c>
      <c r="G571" s="263">
        <v>44929</v>
      </c>
      <c r="H571" s="231" t="s">
        <v>733</v>
      </c>
      <c r="I571" s="237"/>
      <c r="J571" s="262"/>
      <c r="K571" s="237"/>
      <c r="L571" s="237" t="s">
        <v>1252</v>
      </c>
      <c r="M571" s="237" t="s">
        <v>606</v>
      </c>
    </row>
    <row r="572" spans="1:13">
      <c r="A572" s="237" t="s">
        <v>1253</v>
      </c>
      <c r="B572" s="261"/>
      <c r="C572" s="237"/>
      <c r="D572" s="237"/>
      <c r="E572" s="237"/>
      <c r="F572" s="475">
        <v>12530000</v>
      </c>
      <c r="G572" s="263"/>
      <c r="H572" s="231"/>
      <c r="I572" s="237"/>
      <c r="J572" s="262"/>
      <c r="K572" s="237"/>
      <c r="L572" s="237"/>
      <c r="M572" s="237"/>
    </row>
    <row r="573" spans="1:13">
      <c r="A573" s="739" t="s">
        <v>1246</v>
      </c>
      <c r="B573" s="739"/>
      <c r="C573" s="739"/>
      <c r="D573" s="739"/>
      <c r="E573" s="739"/>
      <c r="F573" s="287">
        <f>SUM(F571:F572)</f>
        <v>105117500</v>
      </c>
      <c r="G573" s="269"/>
      <c r="H573" s="267"/>
      <c r="I573" s="267"/>
      <c r="J573" s="268">
        <f>SUM(J571:J572)</f>
        <v>0</v>
      </c>
      <c r="K573" s="267"/>
      <c r="L573" s="267"/>
      <c r="M573" s="267"/>
    </row>
    <row r="576" spans="1:13">
      <c r="D576" s="416"/>
    </row>
    <row r="577" spans="4:4">
      <c r="D577" s="416"/>
    </row>
  </sheetData>
  <autoFilter ref="A7:M565" xr:uid="{00000000-0009-0000-0000-000006000000}"/>
  <mergeCells count="3">
    <mergeCell ref="A565:E565"/>
    <mergeCell ref="A573:E573"/>
    <mergeCell ref="A1:C1"/>
  </mergeCells>
  <conditionalFormatting sqref="B8:L14">
    <cfRule type="containsText" dxfId="21" priority="1" operator="containsText" text="Not">
      <formula>NOT(ISERROR(SEARCH("Not",B8)))</formula>
    </cfRule>
  </conditionalFormatting>
  <hyperlinks>
    <hyperlink ref="A1:C1" location="Sommaire!A1" display="Sommaire!A1"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11"/>
  <dimension ref="A1:M1237"/>
  <sheetViews>
    <sheetView zoomScaleNormal="100" workbookViewId="0">
      <selection sqref="A1:C1"/>
    </sheetView>
  </sheetViews>
  <sheetFormatPr baseColWidth="10" defaultColWidth="58.6640625" defaultRowHeight="12"/>
  <cols>
    <col min="1" max="1" width="11.5" style="215" customWidth="1"/>
    <col min="2" max="2" width="25.1640625" style="215" customWidth="1"/>
    <col min="3" max="3" width="22" style="215" customWidth="1"/>
    <col min="4" max="4" width="22.1640625" style="215" customWidth="1"/>
    <col min="5" max="5" width="12.33203125" style="215" customWidth="1"/>
    <col min="6" max="6" width="24.6640625" style="215" customWidth="1"/>
    <col min="7" max="7" width="21" style="215" customWidth="1"/>
    <col min="8" max="8" width="21.33203125" style="215" customWidth="1"/>
    <col min="9" max="9" width="16.1640625" style="215" customWidth="1"/>
    <col min="10" max="10" width="19.1640625" style="215" customWidth="1"/>
    <col min="11" max="11" width="19" style="215" customWidth="1"/>
    <col min="12" max="13" width="19.6640625" style="215" bestFit="1" customWidth="1"/>
    <col min="14" max="16384" width="58.6640625" style="215"/>
  </cols>
  <sheetData>
    <row r="1" spans="1:13" ht="14.5">
      <c r="A1" s="709" t="s">
        <v>140</v>
      </c>
      <c r="B1" s="709"/>
      <c r="C1" s="709"/>
    </row>
    <row r="2" spans="1:13" s="272" customFormat="1" ht="20.5">
      <c r="A2" s="216" t="s">
        <v>1254</v>
      </c>
    </row>
    <row r="4" spans="1:13" s="217" customFormat="1" ht="19">
      <c r="A4" s="219" t="s">
        <v>1255</v>
      </c>
    </row>
    <row r="7" spans="1:13">
      <c r="B7" s="223"/>
      <c r="C7" s="740" t="s">
        <v>1256</v>
      </c>
      <c r="D7" s="741"/>
      <c r="E7" s="742"/>
      <c r="F7" s="740" t="s">
        <v>1257</v>
      </c>
      <c r="G7" s="741"/>
      <c r="H7" s="742"/>
      <c r="I7" s="740" t="s">
        <v>711</v>
      </c>
      <c r="J7" s="741"/>
      <c r="K7" s="742"/>
      <c r="L7" s="245" t="s">
        <v>712</v>
      </c>
    </row>
    <row r="8" spans="1:13" ht="48">
      <c r="A8" s="246" t="s">
        <v>144</v>
      </c>
      <c r="B8" s="246" t="s">
        <v>713</v>
      </c>
      <c r="C8" s="246" t="s">
        <v>714</v>
      </c>
      <c r="D8" s="247" t="s">
        <v>1258</v>
      </c>
      <c r="E8" s="247" t="s">
        <v>716</v>
      </c>
      <c r="F8" s="229" t="s">
        <v>717</v>
      </c>
      <c r="G8" s="248" t="s">
        <v>1259</v>
      </c>
      <c r="H8" s="246" t="s">
        <v>719</v>
      </c>
      <c r="I8" s="247" t="s">
        <v>1260</v>
      </c>
      <c r="J8" s="229" t="s">
        <v>1261</v>
      </c>
      <c r="K8" s="247" t="s">
        <v>1262</v>
      </c>
      <c r="L8" s="247" t="s">
        <v>1263</v>
      </c>
      <c r="M8" s="247" t="s">
        <v>1264</v>
      </c>
    </row>
    <row r="9" spans="1:13">
      <c r="A9" s="240" t="s">
        <v>678</v>
      </c>
      <c r="B9" s="240" t="s">
        <v>725</v>
      </c>
      <c r="C9" s="240" t="s">
        <v>726</v>
      </c>
      <c r="D9" s="240" t="s">
        <v>1265</v>
      </c>
      <c r="E9" s="240" t="s">
        <v>728</v>
      </c>
      <c r="F9" s="249">
        <v>197344.82</v>
      </c>
      <c r="G9" s="250">
        <v>45010</v>
      </c>
      <c r="H9" s="240" t="s">
        <v>1266</v>
      </c>
      <c r="I9" s="240" t="s">
        <v>606</v>
      </c>
      <c r="J9" s="249" t="s">
        <v>606</v>
      </c>
      <c r="K9" s="240" t="s">
        <v>606</v>
      </c>
      <c r="L9" s="240" t="s">
        <v>606</v>
      </c>
      <c r="M9" s="240" t="s">
        <v>606</v>
      </c>
    </row>
    <row r="10" spans="1:13">
      <c r="A10" s="244" t="s">
        <v>678</v>
      </c>
      <c r="B10" s="244" t="s">
        <v>725</v>
      </c>
      <c r="C10" s="244" t="s">
        <v>726</v>
      </c>
      <c r="D10" s="244" t="s">
        <v>1267</v>
      </c>
      <c r="E10" s="244" t="s">
        <v>728</v>
      </c>
      <c r="F10" s="251">
        <v>197344.82</v>
      </c>
      <c r="G10" s="252">
        <v>45010</v>
      </c>
      <c r="H10" s="244" t="s">
        <v>1266</v>
      </c>
      <c r="I10" s="244" t="s">
        <v>606</v>
      </c>
      <c r="J10" s="251" t="s">
        <v>606</v>
      </c>
      <c r="K10" s="244" t="s">
        <v>606</v>
      </c>
      <c r="L10" s="244" t="s">
        <v>606</v>
      </c>
      <c r="M10" s="244" t="s">
        <v>606</v>
      </c>
    </row>
    <row r="11" spans="1:13">
      <c r="A11" s="240" t="s">
        <v>678</v>
      </c>
      <c r="B11" s="240" t="s">
        <v>725</v>
      </c>
      <c r="C11" s="240" t="s">
        <v>726</v>
      </c>
      <c r="D11" s="240" t="s">
        <v>1268</v>
      </c>
      <c r="E11" s="240" t="s">
        <v>728</v>
      </c>
      <c r="F11" s="249">
        <v>899750</v>
      </c>
      <c r="G11" s="250">
        <v>45016</v>
      </c>
      <c r="H11" s="240" t="s">
        <v>1266</v>
      </c>
      <c r="I11" s="240" t="s">
        <v>606</v>
      </c>
      <c r="J11" s="249" t="s">
        <v>606</v>
      </c>
      <c r="K11" s="240" t="s">
        <v>606</v>
      </c>
      <c r="L11" s="240" t="s">
        <v>606</v>
      </c>
      <c r="M11" s="240" t="s">
        <v>606</v>
      </c>
    </row>
    <row r="12" spans="1:13">
      <c r="A12" s="244" t="s">
        <v>678</v>
      </c>
      <c r="B12" s="244" t="s">
        <v>725</v>
      </c>
      <c r="C12" s="244" t="s">
        <v>726</v>
      </c>
      <c r="D12" s="244" t="s">
        <v>1269</v>
      </c>
      <c r="E12" s="244" t="s">
        <v>728</v>
      </c>
      <c r="F12" s="251">
        <v>289890</v>
      </c>
      <c r="G12" s="252">
        <v>45218</v>
      </c>
      <c r="H12" s="244" t="s">
        <v>1266</v>
      </c>
      <c r="I12" s="244" t="s">
        <v>606</v>
      </c>
      <c r="J12" s="251" t="s">
        <v>606</v>
      </c>
      <c r="K12" s="244" t="s">
        <v>606</v>
      </c>
      <c r="L12" s="244" t="s">
        <v>606</v>
      </c>
      <c r="M12" s="244" t="s">
        <v>606</v>
      </c>
    </row>
    <row r="13" spans="1:13">
      <c r="A13" s="240" t="s">
        <v>678</v>
      </c>
      <c r="B13" s="240" t="s">
        <v>725</v>
      </c>
      <c r="C13" s="240" t="s">
        <v>726</v>
      </c>
      <c r="D13" s="240" t="s">
        <v>1269</v>
      </c>
      <c r="E13" s="240" t="s">
        <v>728</v>
      </c>
      <c r="F13" s="249">
        <v>4410</v>
      </c>
      <c r="G13" s="250">
        <v>45218</v>
      </c>
      <c r="H13" s="240" t="s">
        <v>1266</v>
      </c>
      <c r="I13" s="240" t="s">
        <v>606</v>
      </c>
      <c r="J13" s="249" t="s">
        <v>606</v>
      </c>
      <c r="K13" s="240" t="s">
        <v>606</v>
      </c>
      <c r="L13" s="240" t="s">
        <v>606</v>
      </c>
      <c r="M13" s="240" t="s">
        <v>606</v>
      </c>
    </row>
    <row r="14" spans="1:13">
      <c r="A14" s="244" t="s">
        <v>678</v>
      </c>
      <c r="B14" s="244" t="s">
        <v>725</v>
      </c>
      <c r="C14" s="244" t="s">
        <v>726</v>
      </c>
      <c r="D14" s="244" t="s">
        <v>1270</v>
      </c>
      <c r="E14" s="244" t="s">
        <v>728</v>
      </c>
      <c r="F14" s="251">
        <v>150421.54</v>
      </c>
      <c r="G14" s="252">
        <v>45220</v>
      </c>
      <c r="H14" s="244" t="s">
        <v>1266</v>
      </c>
      <c r="I14" s="244" t="s">
        <v>606</v>
      </c>
      <c r="J14" s="251" t="s">
        <v>606</v>
      </c>
      <c r="K14" s="244" t="s">
        <v>606</v>
      </c>
      <c r="L14" s="244" t="s">
        <v>606</v>
      </c>
      <c r="M14" s="244" t="s">
        <v>606</v>
      </c>
    </row>
    <row r="15" spans="1:13">
      <c r="A15" s="240" t="s">
        <v>678</v>
      </c>
      <c r="B15" s="240" t="s">
        <v>725</v>
      </c>
      <c r="C15" s="240" t="s">
        <v>726</v>
      </c>
      <c r="D15" s="240" t="s">
        <v>1271</v>
      </c>
      <c r="E15" s="240" t="s">
        <v>728</v>
      </c>
      <c r="F15" s="249">
        <v>187391.27</v>
      </c>
      <c r="G15" s="250">
        <v>45220</v>
      </c>
      <c r="H15" s="240" t="s">
        <v>1266</v>
      </c>
      <c r="I15" s="240" t="s">
        <v>606</v>
      </c>
      <c r="J15" s="249" t="s">
        <v>606</v>
      </c>
      <c r="K15" s="240" t="s">
        <v>606</v>
      </c>
      <c r="L15" s="240" t="s">
        <v>606</v>
      </c>
      <c r="M15" s="240" t="s">
        <v>606</v>
      </c>
    </row>
    <row r="16" spans="1:13">
      <c r="A16" s="244" t="s">
        <v>678</v>
      </c>
      <c r="B16" s="244" t="s">
        <v>725</v>
      </c>
      <c r="C16" s="244" t="s">
        <v>726</v>
      </c>
      <c r="D16" s="244" t="s">
        <v>1272</v>
      </c>
      <c r="E16" s="244" t="s">
        <v>728</v>
      </c>
      <c r="F16" s="251">
        <v>698403.83</v>
      </c>
      <c r="G16" s="252">
        <v>45220</v>
      </c>
      <c r="H16" s="244" t="s">
        <v>1266</v>
      </c>
      <c r="I16" s="244" t="s">
        <v>606</v>
      </c>
      <c r="J16" s="251" t="s">
        <v>606</v>
      </c>
      <c r="K16" s="244" t="s">
        <v>606</v>
      </c>
      <c r="L16" s="244" t="s">
        <v>606</v>
      </c>
      <c r="M16" s="244" t="s">
        <v>606</v>
      </c>
    </row>
    <row r="17" spans="1:13">
      <c r="A17" s="240" t="s">
        <v>678</v>
      </c>
      <c r="B17" s="240" t="s">
        <v>725</v>
      </c>
      <c r="C17" s="240" t="s">
        <v>726</v>
      </c>
      <c r="D17" s="240" t="s">
        <v>1273</v>
      </c>
      <c r="E17" s="240" t="s">
        <v>728</v>
      </c>
      <c r="F17" s="249">
        <v>493795.89</v>
      </c>
      <c r="G17" s="250">
        <v>45220</v>
      </c>
      <c r="H17" s="240" t="s">
        <v>1266</v>
      </c>
      <c r="I17" s="240" t="s">
        <v>606</v>
      </c>
      <c r="J17" s="249" t="s">
        <v>606</v>
      </c>
      <c r="K17" s="240" t="s">
        <v>606</v>
      </c>
      <c r="L17" s="240" t="s">
        <v>606</v>
      </c>
      <c r="M17" s="240" t="s">
        <v>606</v>
      </c>
    </row>
    <row r="18" spans="1:13">
      <c r="A18" s="244" t="s">
        <v>678</v>
      </c>
      <c r="B18" s="244" t="s">
        <v>725</v>
      </c>
      <c r="C18" s="244" t="s">
        <v>726</v>
      </c>
      <c r="D18" s="244" t="s">
        <v>1274</v>
      </c>
      <c r="E18" s="244" t="s">
        <v>728</v>
      </c>
      <c r="F18" s="251">
        <v>50647.79</v>
      </c>
      <c r="G18" s="252">
        <v>45220</v>
      </c>
      <c r="H18" s="244" t="s">
        <v>1266</v>
      </c>
      <c r="I18" s="244" t="s">
        <v>606</v>
      </c>
      <c r="J18" s="251" t="s">
        <v>606</v>
      </c>
      <c r="K18" s="244" t="s">
        <v>606</v>
      </c>
      <c r="L18" s="244" t="s">
        <v>606</v>
      </c>
      <c r="M18" s="244" t="s">
        <v>606</v>
      </c>
    </row>
    <row r="19" spans="1:13">
      <c r="A19" s="240" t="s">
        <v>678</v>
      </c>
      <c r="B19" s="240" t="s">
        <v>725</v>
      </c>
      <c r="C19" s="240" t="s">
        <v>726</v>
      </c>
      <c r="D19" s="240" t="s">
        <v>1275</v>
      </c>
      <c r="E19" s="240" t="s">
        <v>728</v>
      </c>
      <c r="F19" s="249">
        <v>25320.799999999999</v>
      </c>
      <c r="G19" s="250">
        <v>45220</v>
      </c>
      <c r="H19" s="240" t="s">
        <v>1266</v>
      </c>
      <c r="I19" s="240" t="s">
        <v>606</v>
      </c>
      <c r="J19" s="249" t="s">
        <v>606</v>
      </c>
      <c r="K19" s="240" t="s">
        <v>606</v>
      </c>
      <c r="L19" s="240" t="s">
        <v>606</v>
      </c>
      <c r="M19" s="240" t="s">
        <v>606</v>
      </c>
    </row>
    <row r="20" spans="1:13">
      <c r="A20" s="244" t="s">
        <v>678</v>
      </c>
      <c r="B20" s="244" t="s">
        <v>725</v>
      </c>
      <c r="C20" s="244" t="s">
        <v>726</v>
      </c>
      <c r="D20" s="244" t="s">
        <v>1276</v>
      </c>
      <c r="E20" s="244" t="s">
        <v>728</v>
      </c>
      <c r="F20" s="251">
        <v>25320.799999999999</v>
      </c>
      <c r="G20" s="252">
        <v>45220</v>
      </c>
      <c r="H20" s="244" t="s">
        <v>1266</v>
      </c>
      <c r="I20" s="244" t="s">
        <v>606</v>
      </c>
      <c r="J20" s="251" t="s">
        <v>606</v>
      </c>
      <c r="K20" s="244" t="s">
        <v>606</v>
      </c>
      <c r="L20" s="244" t="s">
        <v>606</v>
      </c>
      <c r="M20" s="244" t="s">
        <v>606</v>
      </c>
    </row>
    <row r="21" spans="1:13">
      <c r="A21" s="240" t="s">
        <v>678</v>
      </c>
      <c r="B21" s="240" t="s">
        <v>725</v>
      </c>
      <c r="C21" s="240" t="s">
        <v>726</v>
      </c>
      <c r="D21" s="240" t="s">
        <v>1270</v>
      </c>
      <c r="E21" s="240" t="s">
        <v>728</v>
      </c>
      <c r="F21" s="249">
        <v>1521.85</v>
      </c>
      <c r="G21" s="250">
        <v>45220</v>
      </c>
      <c r="H21" s="240" t="s">
        <v>1266</v>
      </c>
      <c r="I21" s="240" t="s">
        <v>606</v>
      </c>
      <c r="J21" s="249" t="s">
        <v>606</v>
      </c>
      <c r="K21" s="240" t="s">
        <v>606</v>
      </c>
      <c r="L21" s="240" t="s">
        <v>606</v>
      </c>
      <c r="M21" s="240" t="s">
        <v>606</v>
      </c>
    </row>
    <row r="22" spans="1:13">
      <c r="A22" s="244" t="s">
        <v>678</v>
      </c>
      <c r="B22" s="244" t="s">
        <v>725</v>
      </c>
      <c r="C22" s="244" t="s">
        <v>726</v>
      </c>
      <c r="D22" s="244" t="s">
        <v>1272</v>
      </c>
      <c r="E22" s="244" t="s">
        <v>728</v>
      </c>
      <c r="F22" s="251">
        <v>10640.55</v>
      </c>
      <c r="G22" s="252">
        <v>45220</v>
      </c>
      <c r="H22" s="244" t="s">
        <v>1266</v>
      </c>
      <c r="I22" s="244" t="s">
        <v>606</v>
      </c>
      <c r="J22" s="251" t="s">
        <v>606</v>
      </c>
      <c r="K22" s="244" t="s">
        <v>606</v>
      </c>
      <c r="L22" s="244" t="s">
        <v>606</v>
      </c>
      <c r="M22" s="244" t="s">
        <v>606</v>
      </c>
    </row>
    <row r="23" spans="1:13">
      <c r="A23" s="240" t="s">
        <v>678</v>
      </c>
      <c r="B23" s="240" t="s">
        <v>725</v>
      </c>
      <c r="C23" s="240" t="s">
        <v>726</v>
      </c>
      <c r="D23" s="240" t="s">
        <v>1273</v>
      </c>
      <c r="E23" s="240" t="s">
        <v>728</v>
      </c>
      <c r="F23" s="249">
        <v>12663.5</v>
      </c>
      <c r="G23" s="250">
        <v>45220</v>
      </c>
      <c r="H23" s="240" t="s">
        <v>1266</v>
      </c>
      <c r="I23" s="240" t="s">
        <v>606</v>
      </c>
      <c r="J23" s="249" t="s">
        <v>606</v>
      </c>
      <c r="K23" s="240" t="s">
        <v>606</v>
      </c>
      <c r="L23" s="240" t="s">
        <v>606</v>
      </c>
      <c r="M23" s="240" t="s">
        <v>606</v>
      </c>
    </row>
    <row r="24" spans="1:13">
      <c r="A24" s="244" t="s">
        <v>678</v>
      </c>
      <c r="B24" s="244" t="s">
        <v>725</v>
      </c>
      <c r="C24" s="244" t="s">
        <v>726</v>
      </c>
      <c r="D24" s="244" t="s">
        <v>1277</v>
      </c>
      <c r="E24" s="244" t="s">
        <v>728</v>
      </c>
      <c r="F24" s="251">
        <v>60000</v>
      </c>
      <c r="G24" s="252">
        <v>45235</v>
      </c>
      <c r="H24" s="244" t="s">
        <v>1266</v>
      </c>
      <c r="I24" s="244" t="s">
        <v>606</v>
      </c>
      <c r="J24" s="251" t="s">
        <v>606</v>
      </c>
      <c r="K24" s="244" t="s">
        <v>606</v>
      </c>
      <c r="L24" s="244" t="s">
        <v>606</v>
      </c>
      <c r="M24" s="244" t="s">
        <v>606</v>
      </c>
    </row>
    <row r="25" spans="1:13">
      <c r="A25" s="240" t="s">
        <v>978</v>
      </c>
      <c r="B25" s="240">
        <v>4408622</v>
      </c>
      <c r="C25" s="240"/>
      <c r="D25" s="240"/>
      <c r="E25" s="240"/>
      <c r="F25" s="249"/>
      <c r="G25" s="250">
        <v>44928</v>
      </c>
      <c r="H25" s="240" t="s">
        <v>979</v>
      </c>
      <c r="I25" s="240" t="s">
        <v>1278</v>
      </c>
      <c r="J25" s="249">
        <v>4894890</v>
      </c>
      <c r="K25" s="240"/>
      <c r="L25" s="240"/>
      <c r="M25" s="240"/>
    </row>
    <row r="26" spans="1:13">
      <c r="A26" s="244" t="s">
        <v>978</v>
      </c>
      <c r="B26" s="244">
        <v>4408622</v>
      </c>
      <c r="C26" s="244"/>
      <c r="D26" s="244"/>
      <c r="E26" s="244"/>
      <c r="F26" s="251"/>
      <c r="G26" s="252">
        <v>44958</v>
      </c>
      <c r="H26" s="244" t="s">
        <v>979</v>
      </c>
      <c r="I26" s="244" t="s">
        <v>1279</v>
      </c>
      <c r="J26" s="251">
        <v>500000</v>
      </c>
      <c r="K26" s="244"/>
      <c r="L26" s="244"/>
      <c r="M26" s="244"/>
    </row>
    <row r="27" spans="1:13">
      <c r="A27" s="240" t="s">
        <v>978</v>
      </c>
      <c r="B27" s="240">
        <v>4408622</v>
      </c>
      <c r="C27" s="240"/>
      <c r="D27" s="240"/>
      <c r="E27" s="240"/>
      <c r="F27" s="249"/>
      <c r="G27" s="250">
        <v>44959</v>
      </c>
      <c r="H27" s="240" t="s">
        <v>979</v>
      </c>
      <c r="I27" s="240" t="s">
        <v>1280</v>
      </c>
      <c r="J27" s="249">
        <v>5000000</v>
      </c>
      <c r="K27" s="240"/>
      <c r="L27" s="240"/>
      <c r="M27" s="240"/>
    </row>
    <row r="28" spans="1:13">
      <c r="A28" s="244" t="s">
        <v>978</v>
      </c>
      <c r="B28" s="244">
        <v>4408622</v>
      </c>
      <c r="C28" s="244"/>
      <c r="D28" s="244"/>
      <c r="E28" s="244"/>
      <c r="F28" s="251"/>
      <c r="G28" s="252">
        <v>44963</v>
      </c>
      <c r="H28" s="244" t="s">
        <v>979</v>
      </c>
      <c r="I28" s="244" t="s">
        <v>1281</v>
      </c>
      <c r="J28" s="251">
        <v>500000</v>
      </c>
      <c r="K28" s="244"/>
      <c r="L28" s="244"/>
      <c r="M28" s="244"/>
    </row>
    <row r="29" spans="1:13">
      <c r="A29" s="240" t="s">
        <v>978</v>
      </c>
      <c r="B29" s="240">
        <v>4408622</v>
      </c>
      <c r="C29" s="240"/>
      <c r="D29" s="240"/>
      <c r="E29" s="240"/>
      <c r="F29" s="249"/>
      <c r="G29" s="250">
        <v>44978</v>
      </c>
      <c r="H29" s="240" t="s">
        <v>979</v>
      </c>
      <c r="I29" s="240" t="s">
        <v>1282</v>
      </c>
      <c r="J29" s="249">
        <v>1500000</v>
      </c>
      <c r="K29" s="240"/>
      <c r="L29" s="240"/>
      <c r="M29" s="240"/>
    </row>
    <row r="30" spans="1:13">
      <c r="A30" s="244" t="s">
        <v>978</v>
      </c>
      <c r="B30" s="244">
        <v>4408622</v>
      </c>
      <c r="C30" s="244"/>
      <c r="D30" s="244"/>
      <c r="E30" s="244"/>
      <c r="F30" s="251"/>
      <c r="G30" s="252">
        <v>44991</v>
      </c>
      <c r="H30" s="244" t="s">
        <v>979</v>
      </c>
      <c r="I30" s="244" t="s">
        <v>1283</v>
      </c>
      <c r="J30" s="251">
        <v>500000</v>
      </c>
      <c r="K30" s="244"/>
      <c r="L30" s="244"/>
      <c r="M30" s="244"/>
    </row>
    <row r="31" spans="1:13">
      <c r="A31" s="240" t="s">
        <v>978</v>
      </c>
      <c r="B31" s="240">
        <v>4408622</v>
      </c>
      <c r="C31" s="240"/>
      <c r="D31" s="240"/>
      <c r="E31" s="240"/>
      <c r="F31" s="249"/>
      <c r="G31" s="250">
        <v>44993</v>
      </c>
      <c r="H31" s="240" t="s">
        <v>979</v>
      </c>
      <c r="I31" s="240" t="s">
        <v>1284</v>
      </c>
      <c r="J31" s="249">
        <v>125000</v>
      </c>
      <c r="K31" s="240"/>
      <c r="L31" s="240"/>
      <c r="M31" s="240"/>
    </row>
    <row r="32" spans="1:13">
      <c r="A32" s="244" t="s">
        <v>978</v>
      </c>
      <c r="B32" s="244">
        <v>4408622</v>
      </c>
      <c r="C32" s="244"/>
      <c r="D32" s="244"/>
      <c r="E32" s="244"/>
      <c r="F32" s="251"/>
      <c r="G32" s="252">
        <v>44994</v>
      </c>
      <c r="H32" s="244" t="s">
        <v>979</v>
      </c>
      <c r="I32" s="244" t="s">
        <v>1285</v>
      </c>
      <c r="J32" s="251">
        <v>100000</v>
      </c>
      <c r="K32" s="244"/>
      <c r="L32" s="244"/>
      <c r="M32" s="244"/>
    </row>
    <row r="33" spans="1:13">
      <c r="A33" s="240" t="s">
        <v>978</v>
      </c>
      <c r="B33" s="240">
        <v>4408622</v>
      </c>
      <c r="C33" s="240"/>
      <c r="D33" s="240"/>
      <c r="E33" s="240"/>
      <c r="F33" s="249"/>
      <c r="G33" s="250">
        <v>44998</v>
      </c>
      <c r="H33" s="240" t="s">
        <v>979</v>
      </c>
      <c r="I33" s="240" t="s">
        <v>1286</v>
      </c>
      <c r="J33" s="249">
        <v>60000</v>
      </c>
      <c r="K33" s="240"/>
      <c r="L33" s="240"/>
      <c r="M33" s="240"/>
    </row>
    <row r="34" spans="1:13">
      <c r="A34" s="244" t="s">
        <v>978</v>
      </c>
      <c r="B34" s="244">
        <v>4408622</v>
      </c>
      <c r="C34" s="244"/>
      <c r="D34" s="244"/>
      <c r="E34" s="244"/>
      <c r="F34" s="251"/>
      <c r="G34" s="252">
        <v>45005</v>
      </c>
      <c r="H34" s="244" t="s">
        <v>979</v>
      </c>
      <c r="I34" s="244" t="s">
        <v>1287</v>
      </c>
      <c r="J34" s="251">
        <v>250000</v>
      </c>
      <c r="K34" s="244"/>
      <c r="L34" s="244"/>
      <c r="M34" s="244"/>
    </row>
    <row r="35" spans="1:13">
      <c r="A35" s="240" t="s">
        <v>978</v>
      </c>
      <c r="B35" s="240">
        <v>4408622</v>
      </c>
      <c r="C35" s="240"/>
      <c r="D35" s="240"/>
      <c r="E35" s="240"/>
      <c r="F35" s="249"/>
      <c r="G35" s="250">
        <v>45016</v>
      </c>
      <c r="H35" s="240" t="s">
        <v>979</v>
      </c>
      <c r="I35" s="240" t="s">
        <v>1288</v>
      </c>
      <c r="J35" s="249">
        <v>100000</v>
      </c>
      <c r="K35" s="240"/>
      <c r="L35" s="240"/>
      <c r="M35" s="240"/>
    </row>
    <row r="36" spans="1:13">
      <c r="A36" s="244" t="s">
        <v>978</v>
      </c>
      <c r="B36" s="244">
        <v>4408622</v>
      </c>
      <c r="C36" s="244"/>
      <c r="D36" s="244"/>
      <c r="E36" s="244"/>
      <c r="F36" s="251"/>
      <c r="G36" s="252">
        <v>45022</v>
      </c>
      <c r="H36" s="244" t="s">
        <v>979</v>
      </c>
      <c r="I36" s="244" t="s">
        <v>1289</v>
      </c>
      <c r="J36" s="251">
        <v>25000</v>
      </c>
      <c r="K36" s="244"/>
      <c r="L36" s="244"/>
      <c r="M36" s="244"/>
    </row>
    <row r="37" spans="1:13">
      <c r="A37" s="240" t="s">
        <v>978</v>
      </c>
      <c r="B37" s="240">
        <v>4408622</v>
      </c>
      <c r="C37" s="240"/>
      <c r="D37" s="240"/>
      <c r="E37" s="240"/>
      <c r="F37" s="249"/>
      <c r="G37" s="250">
        <v>45026</v>
      </c>
      <c r="H37" s="240" t="s">
        <v>979</v>
      </c>
      <c r="I37" s="240" t="s">
        <v>1290</v>
      </c>
      <c r="J37" s="249">
        <v>5000000</v>
      </c>
      <c r="K37" s="240"/>
      <c r="L37" s="240"/>
      <c r="M37" s="240"/>
    </row>
    <row r="38" spans="1:13">
      <c r="A38" s="244" t="s">
        <v>978</v>
      </c>
      <c r="B38" s="244">
        <v>4408622</v>
      </c>
      <c r="C38" s="244"/>
      <c r="D38" s="244"/>
      <c r="E38" s="244"/>
      <c r="F38" s="251"/>
      <c r="G38" s="252">
        <v>45036</v>
      </c>
      <c r="H38" s="244" t="s">
        <v>979</v>
      </c>
      <c r="I38" s="244" t="s">
        <v>1291</v>
      </c>
      <c r="J38" s="251">
        <v>5000000</v>
      </c>
      <c r="K38" s="244"/>
      <c r="L38" s="244"/>
      <c r="M38" s="244"/>
    </row>
    <row r="39" spans="1:13">
      <c r="A39" s="240" t="s">
        <v>978</v>
      </c>
      <c r="B39" s="240">
        <v>4408622</v>
      </c>
      <c r="C39" s="240"/>
      <c r="D39" s="240"/>
      <c r="E39" s="240"/>
      <c r="F39" s="249"/>
      <c r="G39" s="250">
        <v>45412</v>
      </c>
      <c r="H39" s="240" t="s">
        <v>979</v>
      </c>
      <c r="I39" s="240" t="s">
        <v>1292</v>
      </c>
      <c r="J39" s="249">
        <v>5000000</v>
      </c>
      <c r="K39" s="240"/>
      <c r="L39" s="240"/>
      <c r="M39" s="240"/>
    </row>
    <row r="40" spans="1:13">
      <c r="A40" s="244" t="s">
        <v>978</v>
      </c>
      <c r="B40" s="244">
        <v>4408622</v>
      </c>
      <c r="C40" s="244"/>
      <c r="D40" s="244"/>
      <c r="E40" s="244"/>
      <c r="F40" s="251"/>
      <c r="G40" s="252">
        <v>45049</v>
      </c>
      <c r="H40" s="244" t="s">
        <v>979</v>
      </c>
      <c r="I40" s="244" t="s">
        <v>1293</v>
      </c>
      <c r="J40" s="251">
        <v>1540000</v>
      </c>
      <c r="K40" s="244"/>
      <c r="L40" s="244"/>
      <c r="M40" s="244"/>
    </row>
    <row r="41" spans="1:13">
      <c r="A41" s="240" t="s">
        <v>978</v>
      </c>
      <c r="B41" s="240">
        <v>4408622</v>
      </c>
      <c r="C41" s="240"/>
      <c r="D41" s="240"/>
      <c r="E41" s="240"/>
      <c r="F41" s="249"/>
      <c r="G41" s="250">
        <v>45054</v>
      </c>
      <c r="H41" s="240" t="s">
        <v>979</v>
      </c>
      <c r="I41" s="240" t="s">
        <v>1294</v>
      </c>
      <c r="J41" s="249">
        <v>500000</v>
      </c>
      <c r="K41" s="240"/>
      <c r="L41" s="240"/>
      <c r="M41" s="240"/>
    </row>
    <row r="42" spans="1:13">
      <c r="A42" s="244" t="s">
        <v>978</v>
      </c>
      <c r="B42" s="244">
        <v>4408622</v>
      </c>
      <c r="C42" s="244"/>
      <c r="D42" s="244"/>
      <c r="E42" s="244"/>
      <c r="F42" s="251"/>
      <c r="G42" s="252">
        <v>45083</v>
      </c>
      <c r="H42" s="244" t="s">
        <v>979</v>
      </c>
      <c r="I42" s="244" t="s">
        <v>1295</v>
      </c>
      <c r="J42" s="251">
        <v>10000</v>
      </c>
      <c r="K42" s="244"/>
      <c r="L42" s="244"/>
      <c r="M42" s="244"/>
    </row>
    <row r="43" spans="1:13">
      <c r="A43" s="240" t="s">
        <v>978</v>
      </c>
      <c r="B43" s="240">
        <v>4408622</v>
      </c>
      <c r="C43" s="240"/>
      <c r="D43" s="240"/>
      <c r="E43" s="240"/>
      <c r="F43" s="249"/>
      <c r="G43" s="250">
        <v>45085</v>
      </c>
      <c r="H43" s="240" t="s">
        <v>979</v>
      </c>
      <c r="I43" s="240" t="s">
        <v>1296</v>
      </c>
      <c r="J43" s="249">
        <v>100000</v>
      </c>
      <c r="K43" s="240"/>
      <c r="L43" s="240"/>
      <c r="M43" s="240"/>
    </row>
    <row r="44" spans="1:13">
      <c r="A44" s="244" t="s">
        <v>978</v>
      </c>
      <c r="B44" s="244">
        <v>4408622</v>
      </c>
      <c r="C44" s="244"/>
      <c r="D44" s="244"/>
      <c r="E44" s="244"/>
      <c r="F44" s="251"/>
      <c r="G44" s="252">
        <v>45096</v>
      </c>
      <c r="H44" s="244" t="s">
        <v>979</v>
      </c>
      <c r="I44" s="244" t="s">
        <v>1297</v>
      </c>
      <c r="J44" s="251">
        <v>100000</v>
      </c>
      <c r="K44" s="244"/>
      <c r="L44" s="244"/>
      <c r="M44" s="244"/>
    </row>
    <row r="45" spans="1:13">
      <c r="A45" s="240" t="s">
        <v>978</v>
      </c>
      <c r="B45" s="240">
        <v>4408622</v>
      </c>
      <c r="C45" s="240"/>
      <c r="D45" s="240"/>
      <c r="E45" s="240"/>
      <c r="F45" s="249"/>
      <c r="G45" s="250">
        <v>45099</v>
      </c>
      <c r="H45" s="240" t="s">
        <v>979</v>
      </c>
      <c r="I45" s="240" t="s">
        <v>1298</v>
      </c>
      <c r="J45" s="249">
        <v>100000</v>
      </c>
      <c r="K45" s="240"/>
      <c r="L45" s="240"/>
      <c r="M45" s="240"/>
    </row>
    <row r="46" spans="1:13">
      <c r="A46" s="244" t="s">
        <v>978</v>
      </c>
      <c r="B46" s="244">
        <v>4408622</v>
      </c>
      <c r="C46" s="244"/>
      <c r="D46" s="244"/>
      <c r="E46" s="244"/>
      <c r="F46" s="251"/>
      <c r="G46" s="252">
        <v>45107</v>
      </c>
      <c r="H46" s="244" t="s">
        <v>979</v>
      </c>
      <c r="I46" s="244" t="s">
        <v>1299</v>
      </c>
      <c r="J46" s="251">
        <v>300000</v>
      </c>
      <c r="K46" s="244"/>
      <c r="L46" s="244"/>
      <c r="M46" s="244"/>
    </row>
    <row r="47" spans="1:13">
      <c r="A47" s="240" t="s">
        <v>978</v>
      </c>
      <c r="B47" s="240">
        <v>4408622</v>
      </c>
      <c r="C47" s="240"/>
      <c r="D47" s="240"/>
      <c r="E47" s="240"/>
      <c r="F47" s="249"/>
      <c r="G47" s="250">
        <v>45137</v>
      </c>
      <c r="H47" s="240" t="s">
        <v>979</v>
      </c>
      <c r="I47" s="240" t="s">
        <v>1300</v>
      </c>
      <c r="J47" s="249">
        <v>3775000</v>
      </c>
      <c r="K47" s="240"/>
      <c r="L47" s="240"/>
      <c r="M47" s="240"/>
    </row>
    <row r="48" spans="1:13">
      <c r="A48" s="244" t="s">
        <v>978</v>
      </c>
      <c r="B48" s="244">
        <v>4408622</v>
      </c>
      <c r="C48" s="244"/>
      <c r="D48" s="244"/>
      <c r="E48" s="244"/>
      <c r="F48" s="251"/>
      <c r="G48" s="252">
        <v>45117</v>
      </c>
      <c r="H48" s="244" t="s">
        <v>979</v>
      </c>
      <c r="I48" s="244" t="s">
        <v>1301</v>
      </c>
      <c r="J48" s="251">
        <v>500000</v>
      </c>
      <c r="K48" s="244"/>
      <c r="L48" s="244"/>
      <c r="M48" s="244"/>
    </row>
    <row r="49" spans="1:13">
      <c r="A49" s="240" t="s">
        <v>978</v>
      </c>
      <c r="B49" s="240">
        <v>4408622</v>
      </c>
      <c r="C49" s="240"/>
      <c r="D49" s="240"/>
      <c r="E49" s="240"/>
      <c r="F49" s="249"/>
      <c r="G49" s="250">
        <v>45125</v>
      </c>
      <c r="H49" s="240" t="s">
        <v>979</v>
      </c>
      <c r="I49" s="240" t="s">
        <v>1302</v>
      </c>
      <c r="J49" s="249">
        <v>350000</v>
      </c>
      <c r="K49" s="240"/>
      <c r="L49" s="240"/>
      <c r="M49" s="240"/>
    </row>
    <row r="50" spans="1:13">
      <c r="A50" s="244" t="s">
        <v>978</v>
      </c>
      <c r="B50" s="244">
        <v>4408622</v>
      </c>
      <c r="C50" s="244"/>
      <c r="D50" s="244"/>
      <c r="E50" s="244"/>
      <c r="F50" s="251"/>
      <c r="G50" s="252">
        <v>45126</v>
      </c>
      <c r="H50" s="244" t="s">
        <v>979</v>
      </c>
      <c r="I50" s="244" t="s">
        <v>1303</v>
      </c>
      <c r="J50" s="251">
        <v>50000</v>
      </c>
      <c r="K50" s="244"/>
      <c r="L50" s="244"/>
      <c r="M50" s="244"/>
    </row>
    <row r="51" spans="1:13">
      <c r="A51" s="240" t="s">
        <v>978</v>
      </c>
      <c r="B51" s="240">
        <v>4408622</v>
      </c>
      <c r="C51" s="240"/>
      <c r="D51" s="240"/>
      <c r="E51" s="240"/>
      <c r="F51" s="249"/>
      <c r="G51" s="250">
        <v>45128</v>
      </c>
      <c r="H51" s="240" t="s">
        <v>979</v>
      </c>
      <c r="I51" s="240" t="s">
        <v>1304</v>
      </c>
      <c r="J51" s="249">
        <v>4000000</v>
      </c>
      <c r="K51" s="240"/>
      <c r="L51" s="240"/>
      <c r="M51" s="240"/>
    </row>
    <row r="52" spans="1:13">
      <c r="A52" s="244" t="s">
        <v>978</v>
      </c>
      <c r="B52" s="244">
        <v>4408622</v>
      </c>
      <c r="C52" s="244"/>
      <c r="D52" s="244"/>
      <c r="E52" s="244"/>
      <c r="F52" s="251"/>
      <c r="G52" s="252">
        <v>45138</v>
      </c>
      <c r="H52" s="244" t="s">
        <v>979</v>
      </c>
      <c r="I52" s="244" t="s">
        <v>1305</v>
      </c>
      <c r="J52" s="251">
        <v>140000</v>
      </c>
      <c r="K52" s="244"/>
      <c r="L52" s="244"/>
      <c r="M52" s="244"/>
    </row>
    <row r="53" spans="1:13">
      <c r="A53" s="240" t="s">
        <v>978</v>
      </c>
      <c r="B53" s="240">
        <v>4408622</v>
      </c>
      <c r="C53" s="240"/>
      <c r="D53" s="240"/>
      <c r="E53" s="240"/>
      <c r="F53" s="249"/>
      <c r="G53" s="250">
        <v>45139</v>
      </c>
      <c r="H53" s="240" t="s">
        <v>979</v>
      </c>
      <c r="I53" s="240" t="s">
        <v>1306</v>
      </c>
      <c r="J53" s="249">
        <v>100000</v>
      </c>
      <c r="K53" s="240"/>
      <c r="L53" s="240"/>
      <c r="M53" s="240"/>
    </row>
    <row r="54" spans="1:13">
      <c r="A54" s="244" t="s">
        <v>978</v>
      </c>
      <c r="B54" s="244">
        <v>4408622</v>
      </c>
      <c r="C54" s="244"/>
      <c r="D54" s="244"/>
      <c r="E54" s="244"/>
      <c r="F54" s="251"/>
      <c r="G54" s="252">
        <v>45152</v>
      </c>
      <c r="H54" s="244" t="s">
        <v>979</v>
      </c>
      <c r="I54" s="244" t="s">
        <v>1307</v>
      </c>
      <c r="J54" s="251">
        <v>9986000</v>
      </c>
      <c r="K54" s="244"/>
      <c r="L54" s="244"/>
      <c r="M54" s="244"/>
    </row>
    <row r="55" spans="1:13">
      <c r="A55" s="240" t="s">
        <v>978</v>
      </c>
      <c r="B55" s="240">
        <v>4408622</v>
      </c>
      <c r="C55" s="240"/>
      <c r="D55" s="240"/>
      <c r="E55" s="240"/>
      <c r="F55" s="249"/>
      <c r="G55" s="250">
        <v>45160</v>
      </c>
      <c r="H55" s="240" t="s">
        <v>979</v>
      </c>
      <c r="I55" s="240" t="s">
        <v>1308</v>
      </c>
      <c r="J55" s="249">
        <v>9990000</v>
      </c>
      <c r="K55" s="240"/>
      <c r="L55" s="240"/>
      <c r="M55" s="240"/>
    </row>
    <row r="56" spans="1:13">
      <c r="A56" s="244" t="s">
        <v>978</v>
      </c>
      <c r="B56" s="244">
        <v>4408622</v>
      </c>
      <c r="C56" s="244"/>
      <c r="D56" s="244"/>
      <c r="E56" s="244"/>
      <c r="F56" s="251"/>
      <c r="G56" s="252">
        <v>45169</v>
      </c>
      <c r="H56" s="244" t="s">
        <v>979</v>
      </c>
      <c r="I56" s="244" t="s">
        <v>1309</v>
      </c>
      <c r="J56" s="251">
        <v>5000000</v>
      </c>
      <c r="K56" s="244"/>
      <c r="L56" s="244"/>
      <c r="M56" s="244"/>
    </row>
    <row r="57" spans="1:13">
      <c r="A57" s="240" t="s">
        <v>978</v>
      </c>
      <c r="B57" s="240">
        <v>4408622</v>
      </c>
      <c r="C57" s="240"/>
      <c r="D57" s="240"/>
      <c r="E57" s="240"/>
      <c r="F57" s="249"/>
      <c r="G57" s="250">
        <v>45180</v>
      </c>
      <c r="H57" s="240" t="s">
        <v>979</v>
      </c>
      <c r="I57" s="240" t="s">
        <v>1310</v>
      </c>
      <c r="J57" s="249">
        <v>5000000</v>
      </c>
      <c r="K57" s="240"/>
      <c r="L57" s="240"/>
      <c r="M57" s="240"/>
    </row>
    <row r="58" spans="1:13">
      <c r="A58" s="244" t="s">
        <v>978</v>
      </c>
      <c r="B58" s="244">
        <v>4408622</v>
      </c>
      <c r="C58" s="244"/>
      <c r="D58" s="244"/>
      <c r="E58" s="244"/>
      <c r="F58" s="251"/>
      <c r="G58" s="252">
        <v>45180</v>
      </c>
      <c r="H58" s="244" t="s">
        <v>979</v>
      </c>
      <c r="I58" s="244" t="s">
        <v>1311</v>
      </c>
      <c r="J58" s="251">
        <v>5000000</v>
      </c>
      <c r="K58" s="244"/>
      <c r="L58" s="244"/>
      <c r="M58" s="244"/>
    </row>
    <row r="59" spans="1:13">
      <c r="A59" s="240" t="s">
        <v>978</v>
      </c>
      <c r="B59" s="240">
        <v>4408622</v>
      </c>
      <c r="C59" s="240"/>
      <c r="D59" s="240"/>
      <c r="E59" s="240"/>
      <c r="F59" s="249"/>
      <c r="G59" s="250">
        <v>45181</v>
      </c>
      <c r="H59" s="240" t="s">
        <v>979</v>
      </c>
      <c r="I59" s="240" t="s">
        <v>1312</v>
      </c>
      <c r="J59" s="249">
        <v>20000000</v>
      </c>
      <c r="K59" s="240"/>
      <c r="L59" s="240"/>
      <c r="M59" s="240"/>
    </row>
    <row r="60" spans="1:13">
      <c r="A60" s="244" t="s">
        <v>978</v>
      </c>
      <c r="B60" s="244">
        <v>4408622</v>
      </c>
      <c r="C60" s="244"/>
      <c r="D60" s="244"/>
      <c r="E60" s="244"/>
      <c r="F60" s="251"/>
      <c r="G60" s="252">
        <v>45184</v>
      </c>
      <c r="H60" s="244" t="s">
        <v>979</v>
      </c>
      <c r="I60" s="244" t="s">
        <v>1313</v>
      </c>
      <c r="J60" s="251">
        <v>150000</v>
      </c>
      <c r="K60" s="244"/>
      <c r="L60" s="244"/>
      <c r="M60" s="244"/>
    </row>
    <row r="61" spans="1:13">
      <c r="A61" s="240" t="s">
        <v>978</v>
      </c>
      <c r="B61" s="240">
        <v>4408622</v>
      </c>
      <c r="C61" s="240"/>
      <c r="D61" s="240"/>
      <c r="E61" s="240"/>
      <c r="F61" s="249"/>
      <c r="G61" s="250">
        <v>45199</v>
      </c>
      <c r="H61" s="240" t="s">
        <v>979</v>
      </c>
      <c r="I61" s="240" t="s">
        <v>1314</v>
      </c>
      <c r="J61" s="249">
        <v>100000</v>
      </c>
      <c r="K61" s="240"/>
      <c r="L61" s="240"/>
      <c r="M61" s="240"/>
    </row>
    <row r="62" spans="1:13">
      <c r="A62" s="244" t="s">
        <v>978</v>
      </c>
      <c r="B62" s="244">
        <v>4408622</v>
      </c>
      <c r="C62" s="244"/>
      <c r="D62" s="244"/>
      <c r="E62" s="244"/>
      <c r="F62" s="251"/>
      <c r="G62" s="252">
        <v>45222</v>
      </c>
      <c r="H62" s="244" t="s">
        <v>979</v>
      </c>
      <c r="I62" s="244" t="s">
        <v>1315</v>
      </c>
      <c r="J62" s="251">
        <v>9790000</v>
      </c>
      <c r="K62" s="244"/>
      <c r="L62" s="244"/>
      <c r="M62" s="244"/>
    </row>
    <row r="63" spans="1:13">
      <c r="A63" s="240" t="s">
        <v>978</v>
      </c>
      <c r="B63" s="240">
        <v>4408622</v>
      </c>
      <c r="C63" s="240"/>
      <c r="D63" s="240"/>
      <c r="E63" s="240"/>
      <c r="F63" s="249"/>
      <c r="G63" s="250">
        <v>45229</v>
      </c>
      <c r="H63" s="240" t="s">
        <v>979</v>
      </c>
      <c r="I63" s="240" t="s">
        <v>1316</v>
      </c>
      <c r="J63" s="249">
        <v>9930000</v>
      </c>
      <c r="K63" s="240"/>
      <c r="L63" s="240"/>
      <c r="M63" s="240"/>
    </row>
    <row r="64" spans="1:13">
      <c r="A64" s="244" t="s">
        <v>978</v>
      </c>
      <c r="B64" s="244">
        <v>4408622</v>
      </c>
      <c r="C64" s="244"/>
      <c r="D64" s="244"/>
      <c r="E64" s="244"/>
      <c r="F64" s="251"/>
      <c r="G64" s="252">
        <v>45231</v>
      </c>
      <c r="H64" s="244" t="s">
        <v>979</v>
      </c>
      <c r="I64" s="244" t="s">
        <v>1317</v>
      </c>
      <c r="J64" s="251">
        <v>28700</v>
      </c>
      <c r="K64" s="244"/>
      <c r="L64" s="244"/>
      <c r="M64" s="244"/>
    </row>
    <row r="65" spans="1:13">
      <c r="A65" s="240" t="s">
        <v>978</v>
      </c>
      <c r="B65" s="240">
        <v>4408622</v>
      </c>
      <c r="C65" s="240"/>
      <c r="D65" s="240"/>
      <c r="E65" s="240"/>
      <c r="F65" s="249"/>
      <c r="G65" s="250">
        <v>45235</v>
      </c>
      <c r="H65" s="240" t="s">
        <v>979</v>
      </c>
      <c r="I65" s="240" t="s">
        <v>1317</v>
      </c>
      <c r="J65" s="249">
        <v>95100</v>
      </c>
      <c r="K65" s="240"/>
      <c r="L65" s="240"/>
      <c r="M65" s="240"/>
    </row>
    <row r="66" spans="1:13">
      <c r="A66" s="244" t="s">
        <v>978</v>
      </c>
      <c r="B66" s="244">
        <v>4408622</v>
      </c>
      <c r="C66" s="244"/>
      <c r="D66" s="244"/>
      <c r="E66" s="244"/>
      <c r="F66" s="251"/>
      <c r="G66" s="252">
        <v>45291</v>
      </c>
      <c r="H66" s="244" t="s">
        <v>979</v>
      </c>
      <c r="I66" s="244" t="s">
        <v>1318</v>
      </c>
      <c r="J66" s="251">
        <v>12220000</v>
      </c>
      <c r="K66" s="244"/>
      <c r="L66" s="244"/>
      <c r="M66" s="244"/>
    </row>
    <row r="67" spans="1:13">
      <c r="A67" s="240" t="s">
        <v>683</v>
      </c>
      <c r="B67" s="240" t="s">
        <v>1319</v>
      </c>
      <c r="C67" s="240" t="s">
        <v>1320</v>
      </c>
      <c r="D67" s="240"/>
      <c r="E67" s="240"/>
      <c r="F67" s="249">
        <v>3607000</v>
      </c>
      <c r="G67" s="250"/>
      <c r="H67" s="240"/>
      <c r="I67" s="240"/>
      <c r="J67" s="249"/>
      <c r="K67" s="240"/>
      <c r="L67" s="240"/>
      <c r="M67" s="240" t="s">
        <v>1321</v>
      </c>
    </row>
    <row r="68" spans="1:13">
      <c r="A68" s="244" t="s">
        <v>683</v>
      </c>
      <c r="B68" s="244" t="s">
        <v>1319</v>
      </c>
      <c r="C68" s="244" t="s">
        <v>1322</v>
      </c>
      <c r="D68" s="244"/>
      <c r="E68" s="244"/>
      <c r="F68" s="251">
        <v>5000000</v>
      </c>
      <c r="G68" s="252"/>
      <c r="H68" s="244"/>
      <c r="I68" s="244"/>
      <c r="J68" s="251"/>
      <c r="K68" s="244"/>
      <c r="L68" s="244"/>
      <c r="M68" s="244" t="s">
        <v>1321</v>
      </c>
    </row>
    <row r="69" spans="1:13">
      <c r="A69" s="240" t="s">
        <v>683</v>
      </c>
      <c r="B69" s="240" t="s">
        <v>1319</v>
      </c>
      <c r="C69" s="240" t="s">
        <v>1323</v>
      </c>
      <c r="D69" s="240"/>
      <c r="E69" s="240"/>
      <c r="F69" s="249">
        <v>500000</v>
      </c>
      <c r="G69" s="250"/>
      <c r="H69" s="240"/>
      <c r="I69" s="240"/>
      <c r="J69" s="249"/>
      <c r="K69" s="240"/>
      <c r="L69" s="240"/>
      <c r="M69" s="240" t="s">
        <v>1321</v>
      </c>
    </row>
    <row r="70" spans="1:13">
      <c r="A70" s="244" t="s">
        <v>683</v>
      </c>
      <c r="B70" s="244" t="s">
        <v>1319</v>
      </c>
      <c r="C70" s="244" t="s">
        <v>1324</v>
      </c>
      <c r="D70" s="244"/>
      <c r="E70" s="244"/>
      <c r="F70" s="251">
        <v>2600000</v>
      </c>
      <c r="G70" s="252"/>
      <c r="H70" s="244"/>
      <c r="I70" s="244"/>
      <c r="J70" s="251"/>
      <c r="K70" s="244"/>
      <c r="L70" s="244"/>
      <c r="M70" s="244" t="s">
        <v>1321</v>
      </c>
    </row>
    <row r="71" spans="1:13">
      <c r="A71" s="240" t="s">
        <v>683</v>
      </c>
      <c r="B71" s="240" t="s">
        <v>1319</v>
      </c>
      <c r="C71" s="240" t="s">
        <v>1320</v>
      </c>
      <c r="D71" s="240"/>
      <c r="E71" s="240"/>
      <c r="F71" s="249"/>
      <c r="G71" s="250"/>
      <c r="H71" s="240"/>
      <c r="I71" s="240" t="s">
        <v>1325</v>
      </c>
      <c r="J71" s="249">
        <v>29255723</v>
      </c>
      <c r="K71" s="240"/>
      <c r="L71" s="240"/>
      <c r="M71" s="240" t="s">
        <v>1321</v>
      </c>
    </row>
    <row r="72" spans="1:13">
      <c r="A72" s="244" t="s">
        <v>683</v>
      </c>
      <c r="B72" s="244" t="s">
        <v>1319</v>
      </c>
      <c r="C72" s="244" t="s">
        <v>1326</v>
      </c>
      <c r="D72" s="244"/>
      <c r="E72" s="244"/>
      <c r="F72" s="251"/>
      <c r="G72" s="252"/>
      <c r="H72" s="244"/>
      <c r="I72" s="244" t="s">
        <v>1327</v>
      </c>
      <c r="J72" s="251">
        <v>2916585</v>
      </c>
      <c r="K72" s="244"/>
      <c r="L72" s="244"/>
      <c r="M72" s="244" t="s">
        <v>1321</v>
      </c>
    </row>
    <row r="73" spans="1:13">
      <c r="A73" s="240" t="s">
        <v>683</v>
      </c>
      <c r="B73" s="240" t="s">
        <v>1319</v>
      </c>
      <c r="C73" s="240" t="s">
        <v>1328</v>
      </c>
      <c r="D73" s="240"/>
      <c r="E73" s="240"/>
      <c r="F73" s="249"/>
      <c r="G73" s="250"/>
      <c r="H73" s="240"/>
      <c r="I73" s="240" t="s">
        <v>1327</v>
      </c>
      <c r="J73" s="249">
        <v>2916584</v>
      </c>
      <c r="K73" s="240"/>
      <c r="L73" s="240"/>
      <c r="M73" s="240" t="s">
        <v>1321</v>
      </c>
    </row>
    <row r="74" spans="1:13">
      <c r="A74" s="244" t="s">
        <v>683</v>
      </c>
      <c r="B74" s="244" t="s">
        <v>1319</v>
      </c>
      <c r="C74" s="244" t="s">
        <v>1324</v>
      </c>
      <c r="D74" s="244"/>
      <c r="E74" s="244"/>
      <c r="F74" s="251"/>
      <c r="G74" s="252"/>
      <c r="H74" s="244"/>
      <c r="I74" s="244" t="s">
        <v>1329</v>
      </c>
      <c r="J74" s="251">
        <v>9487200</v>
      </c>
      <c r="K74" s="244"/>
      <c r="L74" s="244"/>
      <c r="M74" s="244" t="s">
        <v>1321</v>
      </c>
    </row>
    <row r="75" spans="1:13">
      <c r="A75" s="240" t="s">
        <v>683</v>
      </c>
      <c r="B75" s="240" t="s">
        <v>1319</v>
      </c>
      <c r="C75" s="240" t="s">
        <v>1320</v>
      </c>
      <c r="D75" s="240"/>
      <c r="E75" s="240"/>
      <c r="F75" s="249"/>
      <c r="G75" s="250"/>
      <c r="H75" s="240"/>
      <c r="I75" s="240" t="s">
        <v>1330</v>
      </c>
      <c r="J75" s="249">
        <v>3527500</v>
      </c>
      <c r="K75" s="240"/>
      <c r="L75" s="240"/>
      <c r="M75" s="240" t="s">
        <v>1321</v>
      </c>
    </row>
    <row r="76" spans="1:13">
      <c r="A76" s="244" t="s">
        <v>683</v>
      </c>
      <c r="B76" s="244" t="s">
        <v>1319</v>
      </c>
      <c r="C76" s="244" t="s">
        <v>1324</v>
      </c>
      <c r="D76" s="244"/>
      <c r="E76" s="244"/>
      <c r="F76" s="251"/>
      <c r="G76" s="252"/>
      <c r="H76" s="244"/>
      <c r="I76" s="244" t="s">
        <v>1330</v>
      </c>
      <c r="J76" s="251">
        <v>4771500</v>
      </c>
      <c r="K76" s="244"/>
      <c r="L76" s="244"/>
      <c r="M76" s="244" t="s">
        <v>1321</v>
      </c>
    </row>
    <row r="77" spans="1:13">
      <c r="A77" s="240" t="s">
        <v>683</v>
      </c>
      <c r="B77" s="240" t="s">
        <v>1319</v>
      </c>
      <c r="C77" s="240" t="s">
        <v>1320</v>
      </c>
      <c r="D77" s="240"/>
      <c r="E77" s="240"/>
      <c r="F77" s="249"/>
      <c r="G77" s="250"/>
      <c r="H77" s="240"/>
      <c r="I77" s="240" t="s">
        <v>1331</v>
      </c>
      <c r="J77" s="249">
        <v>139775143</v>
      </c>
      <c r="K77" s="240"/>
      <c r="L77" s="240"/>
      <c r="M77" s="240" t="s">
        <v>1321</v>
      </c>
    </row>
    <row r="78" spans="1:13">
      <c r="A78" s="244" t="s">
        <v>683</v>
      </c>
      <c r="B78" s="244" t="s">
        <v>1319</v>
      </c>
      <c r="C78" s="244" t="s">
        <v>1324</v>
      </c>
      <c r="D78" s="244"/>
      <c r="E78" s="244"/>
      <c r="F78" s="251"/>
      <c r="G78" s="252"/>
      <c r="H78" s="244"/>
      <c r="I78" s="244" t="s">
        <v>1332</v>
      </c>
      <c r="J78" s="251">
        <v>8925000</v>
      </c>
      <c r="K78" s="244"/>
      <c r="L78" s="244"/>
      <c r="M78" s="244" t="s">
        <v>1321</v>
      </c>
    </row>
    <row r="79" spans="1:13">
      <c r="A79" s="240" t="s">
        <v>683</v>
      </c>
      <c r="B79" s="240" t="s">
        <v>1319</v>
      </c>
      <c r="C79" s="240" t="s">
        <v>1320</v>
      </c>
      <c r="D79" s="240"/>
      <c r="E79" s="240"/>
      <c r="F79" s="249"/>
      <c r="G79" s="250"/>
      <c r="H79" s="240"/>
      <c r="I79" s="240" t="s">
        <v>1333</v>
      </c>
      <c r="J79" s="249">
        <v>1829000</v>
      </c>
      <c r="K79" s="240"/>
      <c r="L79" s="240"/>
      <c r="M79" s="240" t="s">
        <v>1321</v>
      </c>
    </row>
    <row r="80" spans="1:13">
      <c r="A80" s="244" t="s">
        <v>683</v>
      </c>
      <c r="B80" s="244" t="s">
        <v>1319</v>
      </c>
      <c r="C80" s="244" t="s">
        <v>1322</v>
      </c>
      <c r="D80" s="244"/>
      <c r="E80" s="244"/>
      <c r="F80" s="251"/>
      <c r="G80" s="252"/>
      <c r="H80" s="244"/>
      <c r="I80" s="244" t="s">
        <v>1334</v>
      </c>
      <c r="J80" s="251">
        <v>20939999</v>
      </c>
      <c r="K80" s="244"/>
      <c r="L80" s="244"/>
      <c r="M80" s="244" t="s">
        <v>1321</v>
      </c>
    </row>
    <row r="81" spans="1:13">
      <c r="A81" s="240" t="s">
        <v>683</v>
      </c>
      <c r="B81" s="240" t="s">
        <v>1319</v>
      </c>
      <c r="C81" s="240" t="s">
        <v>1320</v>
      </c>
      <c r="D81" s="240"/>
      <c r="E81" s="240"/>
      <c r="F81" s="249"/>
      <c r="G81" s="250"/>
      <c r="H81" s="240"/>
      <c r="I81" s="240" t="s">
        <v>1335</v>
      </c>
      <c r="J81" s="249">
        <v>611000</v>
      </c>
      <c r="K81" s="240"/>
      <c r="L81" s="240"/>
      <c r="M81" s="240" t="s">
        <v>1321</v>
      </c>
    </row>
    <row r="82" spans="1:13">
      <c r="A82" s="244" t="s">
        <v>683</v>
      </c>
      <c r="B82" s="244" t="s">
        <v>1319</v>
      </c>
      <c r="C82" s="244" t="s">
        <v>1336</v>
      </c>
      <c r="D82" s="244"/>
      <c r="E82" s="244"/>
      <c r="F82" s="251"/>
      <c r="G82" s="252"/>
      <c r="H82" s="244"/>
      <c r="I82" s="244" t="s">
        <v>1337</v>
      </c>
      <c r="J82" s="251">
        <v>6157000</v>
      </c>
      <c r="K82" s="244"/>
      <c r="L82" s="244"/>
      <c r="M82" s="244" t="s">
        <v>1321</v>
      </c>
    </row>
    <row r="83" spans="1:13">
      <c r="A83" s="240" t="s">
        <v>683</v>
      </c>
      <c r="B83" s="240" t="s">
        <v>1319</v>
      </c>
      <c r="C83" s="240" t="s">
        <v>1320</v>
      </c>
      <c r="D83" s="240"/>
      <c r="E83" s="240"/>
      <c r="F83" s="249"/>
      <c r="G83" s="250"/>
      <c r="H83" s="240"/>
      <c r="I83" s="240" t="s">
        <v>1338</v>
      </c>
      <c r="J83" s="249">
        <v>14967733</v>
      </c>
      <c r="K83" s="240"/>
      <c r="L83" s="240"/>
      <c r="M83" s="240" t="s">
        <v>1321</v>
      </c>
    </row>
    <row r="84" spans="1:13">
      <c r="A84" s="244" t="s">
        <v>683</v>
      </c>
      <c r="B84" s="244" t="s">
        <v>1319</v>
      </c>
      <c r="C84" s="244" t="s">
        <v>1324</v>
      </c>
      <c r="D84" s="244"/>
      <c r="E84" s="244"/>
      <c r="F84" s="251"/>
      <c r="G84" s="252"/>
      <c r="H84" s="244"/>
      <c r="I84" s="244" t="s">
        <v>1339</v>
      </c>
      <c r="J84" s="251">
        <v>13622000</v>
      </c>
      <c r="K84" s="244"/>
      <c r="L84" s="244"/>
      <c r="M84" s="244" t="s">
        <v>1321</v>
      </c>
    </row>
    <row r="85" spans="1:13">
      <c r="A85" s="240" t="s">
        <v>683</v>
      </c>
      <c r="B85" s="240" t="s">
        <v>1319</v>
      </c>
      <c r="C85" s="240" t="s">
        <v>1324</v>
      </c>
      <c r="D85" s="240"/>
      <c r="E85" s="240"/>
      <c r="F85" s="249"/>
      <c r="G85" s="250"/>
      <c r="H85" s="240"/>
      <c r="I85" s="240" t="s">
        <v>1340</v>
      </c>
      <c r="J85" s="249">
        <v>6066000</v>
      </c>
      <c r="K85" s="240"/>
      <c r="L85" s="240"/>
      <c r="M85" s="240" t="s">
        <v>1321</v>
      </c>
    </row>
    <row r="86" spans="1:13">
      <c r="A86" s="244" t="s">
        <v>683</v>
      </c>
      <c r="B86" s="244" t="s">
        <v>1319</v>
      </c>
      <c r="C86" s="244" t="s">
        <v>1320</v>
      </c>
      <c r="D86" s="244"/>
      <c r="E86" s="244"/>
      <c r="F86" s="251"/>
      <c r="G86" s="252"/>
      <c r="H86" s="244"/>
      <c r="I86" s="244" t="s">
        <v>1341</v>
      </c>
      <c r="J86" s="251">
        <v>16374977</v>
      </c>
      <c r="K86" s="244"/>
      <c r="L86" s="244"/>
      <c r="M86" s="244" t="s">
        <v>1321</v>
      </c>
    </row>
    <row r="87" spans="1:13">
      <c r="A87" s="240" t="s">
        <v>683</v>
      </c>
      <c r="B87" s="240" t="s">
        <v>1319</v>
      </c>
      <c r="C87" s="240" t="s">
        <v>1324</v>
      </c>
      <c r="D87" s="240"/>
      <c r="E87" s="240"/>
      <c r="F87" s="249"/>
      <c r="G87" s="250"/>
      <c r="H87" s="240"/>
      <c r="I87" s="240" t="s">
        <v>1342</v>
      </c>
      <c r="J87" s="249">
        <v>23650000</v>
      </c>
      <c r="K87" s="240"/>
      <c r="L87" s="240"/>
      <c r="M87" s="240" t="s">
        <v>1321</v>
      </c>
    </row>
    <row r="88" spans="1:13">
      <c r="A88" s="244" t="s">
        <v>640</v>
      </c>
      <c r="B88" s="244" t="s">
        <v>1343</v>
      </c>
      <c r="C88" s="244" t="s">
        <v>1344</v>
      </c>
      <c r="D88" s="244" t="s">
        <v>1345</v>
      </c>
      <c r="E88" s="244" t="s">
        <v>1346</v>
      </c>
      <c r="F88" s="251">
        <v>81394762</v>
      </c>
      <c r="G88" s="252">
        <v>45105</v>
      </c>
      <c r="H88" s="244" t="s">
        <v>1347</v>
      </c>
      <c r="I88" s="244" t="s">
        <v>1347</v>
      </c>
      <c r="J88" s="251">
        <v>81394762</v>
      </c>
      <c r="K88" s="244"/>
      <c r="L88" s="244"/>
      <c r="M88" s="244"/>
    </row>
    <row r="89" spans="1:13">
      <c r="A89" s="240" t="s">
        <v>687</v>
      </c>
      <c r="B89" s="240"/>
      <c r="C89" s="240" t="s">
        <v>1348</v>
      </c>
      <c r="D89" s="240"/>
      <c r="E89" s="240" t="s">
        <v>991</v>
      </c>
      <c r="F89" s="249">
        <v>62885403</v>
      </c>
      <c r="G89" s="250"/>
      <c r="H89" s="240" t="s">
        <v>903</v>
      </c>
      <c r="I89" s="240"/>
      <c r="J89" s="249"/>
      <c r="K89" s="240"/>
      <c r="L89" s="240"/>
      <c r="M89" s="240"/>
    </row>
    <row r="90" spans="1:13">
      <c r="A90" s="244" t="s">
        <v>687</v>
      </c>
      <c r="B90" s="244"/>
      <c r="C90" s="244" t="s">
        <v>1349</v>
      </c>
      <c r="D90" s="244"/>
      <c r="E90" s="244" t="s">
        <v>991</v>
      </c>
      <c r="F90" s="251">
        <v>39000000</v>
      </c>
      <c r="G90" s="252"/>
      <c r="H90" s="244" t="s">
        <v>906</v>
      </c>
      <c r="I90" s="244"/>
      <c r="J90" s="251"/>
      <c r="K90" s="244"/>
      <c r="L90" s="244"/>
      <c r="M90" s="244"/>
    </row>
    <row r="91" spans="1:13">
      <c r="A91" s="240" t="s">
        <v>687</v>
      </c>
      <c r="B91" s="240"/>
      <c r="C91" s="240" t="s">
        <v>1350</v>
      </c>
      <c r="D91" s="240"/>
      <c r="E91" s="240" t="s">
        <v>991</v>
      </c>
      <c r="F91" s="249">
        <v>900000</v>
      </c>
      <c r="G91" s="250"/>
      <c r="H91" s="240" t="s">
        <v>903</v>
      </c>
      <c r="I91" s="240"/>
      <c r="J91" s="249"/>
      <c r="K91" s="240"/>
      <c r="L91" s="240"/>
      <c r="M91" s="240"/>
    </row>
    <row r="92" spans="1:13">
      <c r="A92" s="244" t="s">
        <v>687</v>
      </c>
      <c r="B92" s="244"/>
      <c r="C92" s="244" t="s">
        <v>1351</v>
      </c>
      <c r="D92" s="244"/>
      <c r="E92" s="244" t="s">
        <v>991</v>
      </c>
      <c r="F92" s="251">
        <v>99244529</v>
      </c>
      <c r="G92" s="252"/>
      <c r="H92" s="244" t="s">
        <v>1352</v>
      </c>
      <c r="I92" s="244"/>
      <c r="J92" s="251"/>
      <c r="K92" s="244"/>
      <c r="L92" s="244"/>
      <c r="M92" s="244"/>
    </row>
    <row r="93" spans="1:13">
      <c r="A93" s="240" t="s">
        <v>684</v>
      </c>
      <c r="B93" s="240" t="s">
        <v>1353</v>
      </c>
      <c r="C93" s="240" t="s">
        <v>1354</v>
      </c>
      <c r="D93" s="240" t="s">
        <v>1355</v>
      </c>
      <c r="E93" s="240" t="s">
        <v>1356</v>
      </c>
      <c r="F93" s="249">
        <v>300000</v>
      </c>
      <c r="G93" s="250">
        <v>44914</v>
      </c>
      <c r="H93" s="240"/>
      <c r="I93" s="240" t="s">
        <v>1357</v>
      </c>
      <c r="J93" s="249"/>
      <c r="K93" s="240"/>
      <c r="L93" s="240"/>
      <c r="M93" s="240"/>
    </row>
    <row r="94" spans="1:13">
      <c r="A94" s="244" t="s">
        <v>684</v>
      </c>
      <c r="B94" s="244" t="s">
        <v>1353</v>
      </c>
      <c r="C94" s="244" t="s">
        <v>1354</v>
      </c>
      <c r="D94" s="244" t="s">
        <v>1355</v>
      </c>
      <c r="E94" s="244" t="s">
        <v>1356</v>
      </c>
      <c r="F94" s="251">
        <v>640000</v>
      </c>
      <c r="G94" s="252">
        <v>44914</v>
      </c>
      <c r="H94" s="244"/>
      <c r="I94" s="244" t="s">
        <v>1357</v>
      </c>
      <c r="J94" s="251"/>
      <c r="K94" s="244"/>
      <c r="L94" s="244"/>
      <c r="M94" s="244"/>
    </row>
    <row r="95" spans="1:13">
      <c r="A95" s="240" t="s">
        <v>684</v>
      </c>
      <c r="B95" s="240" t="s">
        <v>1353</v>
      </c>
      <c r="C95" s="240" t="s">
        <v>1358</v>
      </c>
      <c r="D95" s="240" t="s">
        <v>1359</v>
      </c>
      <c r="E95" s="240" t="s">
        <v>1356</v>
      </c>
      <c r="F95" s="249">
        <v>4000000</v>
      </c>
      <c r="G95" s="250">
        <v>44918</v>
      </c>
      <c r="H95" s="240"/>
      <c r="I95" s="240" t="s">
        <v>1360</v>
      </c>
      <c r="J95" s="249"/>
      <c r="K95" s="240"/>
      <c r="L95" s="240"/>
      <c r="M95" s="240"/>
    </row>
    <row r="96" spans="1:13">
      <c r="A96" s="244" t="s">
        <v>684</v>
      </c>
      <c r="B96" s="244" t="s">
        <v>1353</v>
      </c>
      <c r="C96" s="244" t="s">
        <v>1361</v>
      </c>
      <c r="D96" s="244" t="s">
        <v>1362</v>
      </c>
      <c r="E96" s="244" t="s">
        <v>1356</v>
      </c>
      <c r="F96" s="251">
        <v>9580288</v>
      </c>
      <c r="G96" s="252">
        <v>44944</v>
      </c>
      <c r="H96" s="244"/>
      <c r="I96" s="244" t="s">
        <v>1363</v>
      </c>
      <c r="J96" s="251"/>
      <c r="K96" s="244"/>
      <c r="L96" s="244"/>
      <c r="M96" s="244"/>
    </row>
    <row r="97" spans="1:13">
      <c r="A97" s="240" t="s">
        <v>684</v>
      </c>
      <c r="B97" s="240" t="s">
        <v>1353</v>
      </c>
      <c r="C97" s="240" t="s">
        <v>1358</v>
      </c>
      <c r="D97" s="240" t="s">
        <v>1359</v>
      </c>
      <c r="E97" s="240" t="s">
        <v>1356</v>
      </c>
      <c r="F97" s="249">
        <v>1622562.5</v>
      </c>
      <c r="G97" s="250">
        <v>44918</v>
      </c>
      <c r="H97" s="240"/>
      <c r="I97" s="240" t="s">
        <v>1363</v>
      </c>
      <c r="J97" s="249"/>
      <c r="K97" s="240"/>
      <c r="L97" s="240"/>
      <c r="M97" s="240"/>
    </row>
    <row r="98" spans="1:13">
      <c r="A98" s="244" t="s">
        <v>684</v>
      </c>
      <c r="B98" s="244" t="s">
        <v>1353</v>
      </c>
      <c r="C98" s="244" t="s">
        <v>1364</v>
      </c>
      <c r="D98" s="244" t="s">
        <v>1365</v>
      </c>
      <c r="E98" s="244" t="s">
        <v>1356</v>
      </c>
      <c r="F98" s="251">
        <v>2000000</v>
      </c>
      <c r="G98" s="252">
        <v>44946</v>
      </c>
      <c r="H98" s="244"/>
      <c r="I98" s="244" t="s">
        <v>1363</v>
      </c>
      <c r="J98" s="251"/>
      <c r="K98" s="244"/>
      <c r="L98" s="244"/>
      <c r="M98" s="244"/>
    </row>
    <row r="99" spans="1:13">
      <c r="A99" s="240" t="s">
        <v>684</v>
      </c>
      <c r="B99" s="240" t="s">
        <v>1353</v>
      </c>
      <c r="C99" s="240" t="s">
        <v>1366</v>
      </c>
      <c r="D99" s="240" t="s">
        <v>1367</v>
      </c>
      <c r="E99" s="240" t="s">
        <v>1356</v>
      </c>
      <c r="F99" s="249">
        <v>5254473</v>
      </c>
      <c r="G99" s="250">
        <v>44950</v>
      </c>
      <c r="H99" s="240"/>
      <c r="I99" s="240" t="s">
        <v>1363</v>
      </c>
      <c r="J99" s="249"/>
      <c r="K99" s="240"/>
      <c r="L99" s="240"/>
      <c r="M99" s="240"/>
    </row>
    <row r="100" spans="1:13">
      <c r="A100" s="244" t="s">
        <v>684</v>
      </c>
      <c r="B100" s="244" t="s">
        <v>1353</v>
      </c>
      <c r="C100" s="244" t="s">
        <v>1368</v>
      </c>
      <c r="D100" s="244" t="s">
        <v>1359</v>
      </c>
      <c r="E100" s="244" t="s">
        <v>1356</v>
      </c>
      <c r="F100" s="251">
        <v>2000000</v>
      </c>
      <c r="G100" s="252">
        <v>44950</v>
      </c>
      <c r="H100" s="244"/>
      <c r="I100" s="244" t="s">
        <v>1363</v>
      </c>
      <c r="J100" s="251"/>
      <c r="K100" s="244"/>
      <c r="L100" s="244"/>
      <c r="M100" s="244"/>
    </row>
    <row r="101" spans="1:13">
      <c r="A101" s="240" t="s">
        <v>684</v>
      </c>
      <c r="B101" s="240" t="s">
        <v>1353</v>
      </c>
      <c r="C101" s="240" t="s">
        <v>1369</v>
      </c>
      <c r="D101" s="240" t="s">
        <v>1370</v>
      </c>
      <c r="E101" s="240" t="s">
        <v>1356</v>
      </c>
      <c r="F101" s="249">
        <v>4936267.95</v>
      </c>
      <c r="G101" s="250">
        <v>44852</v>
      </c>
      <c r="H101" s="240"/>
      <c r="I101" s="240" t="s">
        <v>1363</v>
      </c>
      <c r="J101" s="249"/>
      <c r="K101" s="240"/>
      <c r="L101" s="240"/>
      <c r="M101" s="240"/>
    </row>
    <row r="102" spans="1:13">
      <c r="A102" s="244" t="s">
        <v>684</v>
      </c>
      <c r="B102" s="244" t="s">
        <v>1353</v>
      </c>
      <c r="C102" s="244" t="s">
        <v>1371</v>
      </c>
      <c r="D102" s="244" t="s">
        <v>1372</v>
      </c>
      <c r="E102" s="244" t="s">
        <v>1356</v>
      </c>
      <c r="F102" s="251">
        <v>300000</v>
      </c>
      <c r="G102" s="252">
        <v>44925</v>
      </c>
      <c r="H102" s="244"/>
      <c r="I102" s="244" t="s">
        <v>1363</v>
      </c>
      <c r="J102" s="251"/>
      <c r="K102" s="244"/>
      <c r="L102" s="244"/>
      <c r="M102" s="244"/>
    </row>
    <row r="103" spans="1:13">
      <c r="A103" s="240" t="s">
        <v>684</v>
      </c>
      <c r="B103" s="240" t="s">
        <v>1353</v>
      </c>
      <c r="C103" s="240" t="s">
        <v>1371</v>
      </c>
      <c r="D103" s="240" t="s">
        <v>1372</v>
      </c>
      <c r="E103" s="240" t="s">
        <v>1356</v>
      </c>
      <c r="F103" s="249">
        <v>30000</v>
      </c>
      <c r="G103" s="250">
        <v>44925</v>
      </c>
      <c r="H103" s="240"/>
      <c r="I103" s="240" t="s">
        <v>1363</v>
      </c>
      <c r="J103" s="249"/>
      <c r="K103" s="240"/>
      <c r="L103" s="240"/>
      <c r="M103" s="240"/>
    </row>
    <row r="104" spans="1:13">
      <c r="A104" s="244" t="s">
        <v>684</v>
      </c>
      <c r="B104" s="244" t="s">
        <v>1353</v>
      </c>
      <c r="C104" s="244" t="s">
        <v>1371</v>
      </c>
      <c r="D104" s="244" t="s">
        <v>1372</v>
      </c>
      <c r="E104" s="244" t="s">
        <v>1356</v>
      </c>
      <c r="F104" s="251">
        <v>165000</v>
      </c>
      <c r="G104" s="252">
        <v>44925</v>
      </c>
      <c r="H104" s="244"/>
      <c r="I104" s="244" t="s">
        <v>1363</v>
      </c>
      <c r="J104" s="251"/>
      <c r="K104" s="244"/>
      <c r="L104" s="244"/>
      <c r="M104" s="244"/>
    </row>
    <row r="105" spans="1:13">
      <c r="A105" s="240" t="s">
        <v>684</v>
      </c>
      <c r="B105" s="240" t="s">
        <v>1353</v>
      </c>
      <c r="C105" s="240" t="s">
        <v>1371</v>
      </c>
      <c r="D105" s="240" t="s">
        <v>1372</v>
      </c>
      <c r="E105" s="240" t="s">
        <v>1356</v>
      </c>
      <c r="F105" s="249">
        <v>265000</v>
      </c>
      <c r="G105" s="250">
        <v>44925</v>
      </c>
      <c r="H105" s="240"/>
      <c r="I105" s="240" t="s">
        <v>1363</v>
      </c>
      <c r="J105" s="249"/>
      <c r="K105" s="240"/>
      <c r="L105" s="240"/>
      <c r="M105" s="240"/>
    </row>
    <row r="106" spans="1:13">
      <c r="A106" s="244" t="s">
        <v>684</v>
      </c>
      <c r="B106" s="244" t="s">
        <v>1353</v>
      </c>
      <c r="C106" s="244" t="s">
        <v>1371</v>
      </c>
      <c r="D106" s="244" t="s">
        <v>1372</v>
      </c>
      <c r="E106" s="244" t="s">
        <v>1356</v>
      </c>
      <c r="F106" s="251">
        <v>480000</v>
      </c>
      <c r="G106" s="252">
        <v>44925</v>
      </c>
      <c r="H106" s="244"/>
      <c r="I106" s="244" t="s">
        <v>1363</v>
      </c>
      <c r="J106" s="251"/>
      <c r="K106" s="244"/>
      <c r="L106" s="244"/>
      <c r="M106" s="244"/>
    </row>
    <row r="107" spans="1:13">
      <c r="A107" s="240" t="s">
        <v>684</v>
      </c>
      <c r="B107" s="240" t="s">
        <v>1353</v>
      </c>
      <c r="C107" s="240" t="s">
        <v>1369</v>
      </c>
      <c r="D107" s="240" t="s">
        <v>1370</v>
      </c>
      <c r="E107" s="240" t="s">
        <v>1356</v>
      </c>
      <c r="F107" s="249">
        <v>3126928</v>
      </c>
      <c r="G107" s="250">
        <v>44948</v>
      </c>
      <c r="H107" s="240"/>
      <c r="I107" s="240" t="s">
        <v>1363</v>
      </c>
      <c r="J107" s="249"/>
      <c r="K107" s="240"/>
      <c r="L107" s="240"/>
      <c r="M107" s="240"/>
    </row>
    <row r="108" spans="1:13">
      <c r="A108" s="244" t="s">
        <v>684</v>
      </c>
      <c r="B108" s="244" t="s">
        <v>1353</v>
      </c>
      <c r="C108" s="244" t="s">
        <v>1369</v>
      </c>
      <c r="D108" s="244" t="s">
        <v>1373</v>
      </c>
      <c r="E108" s="244" t="s">
        <v>1356</v>
      </c>
      <c r="F108" s="251">
        <v>2293500</v>
      </c>
      <c r="G108" s="252">
        <v>44948</v>
      </c>
      <c r="H108" s="244"/>
      <c r="I108" s="244" t="s">
        <v>1363</v>
      </c>
      <c r="J108" s="251"/>
      <c r="K108" s="244"/>
      <c r="L108" s="244"/>
      <c r="M108" s="244"/>
    </row>
    <row r="109" spans="1:13">
      <c r="A109" s="240" t="s">
        <v>684</v>
      </c>
      <c r="B109" s="240" t="s">
        <v>1353</v>
      </c>
      <c r="C109" s="240" t="s">
        <v>1374</v>
      </c>
      <c r="D109" s="240"/>
      <c r="E109" s="240" t="s">
        <v>1356</v>
      </c>
      <c r="F109" s="249">
        <v>500000</v>
      </c>
      <c r="G109" s="250">
        <v>44952</v>
      </c>
      <c r="H109" s="240"/>
      <c r="I109" s="240" t="s">
        <v>1363</v>
      </c>
      <c r="J109" s="249"/>
      <c r="K109" s="240"/>
      <c r="L109" s="240"/>
      <c r="M109" s="240"/>
    </row>
    <row r="110" spans="1:13">
      <c r="A110" s="244" t="s">
        <v>684</v>
      </c>
      <c r="B110" s="244" t="s">
        <v>1353</v>
      </c>
      <c r="C110" s="244" t="s">
        <v>1375</v>
      </c>
      <c r="D110" s="244"/>
      <c r="E110" s="244" t="s">
        <v>1356</v>
      </c>
      <c r="F110" s="251">
        <v>2000000</v>
      </c>
      <c r="G110" s="252">
        <v>44963</v>
      </c>
      <c r="H110" s="244"/>
      <c r="I110" s="244" t="s">
        <v>1363</v>
      </c>
      <c r="J110" s="251"/>
      <c r="K110" s="244"/>
      <c r="L110" s="244"/>
      <c r="M110" s="244"/>
    </row>
    <row r="111" spans="1:13">
      <c r="A111" s="240" t="s">
        <v>684</v>
      </c>
      <c r="B111" s="240" t="s">
        <v>1353</v>
      </c>
      <c r="C111" s="240" t="s">
        <v>1376</v>
      </c>
      <c r="D111" s="240" t="s">
        <v>1377</v>
      </c>
      <c r="E111" s="240" t="s">
        <v>1356</v>
      </c>
      <c r="F111" s="249">
        <v>1883275.45</v>
      </c>
      <c r="G111" s="250">
        <v>44957</v>
      </c>
      <c r="H111" s="240"/>
      <c r="I111" s="240" t="s">
        <v>1363</v>
      </c>
      <c r="J111" s="249"/>
      <c r="K111" s="240"/>
      <c r="L111" s="240"/>
      <c r="M111" s="240"/>
    </row>
    <row r="112" spans="1:13">
      <c r="A112" s="244" t="s">
        <v>684</v>
      </c>
      <c r="B112" s="244" t="s">
        <v>1353</v>
      </c>
      <c r="C112" s="244" t="s">
        <v>1378</v>
      </c>
      <c r="D112" s="244" t="s">
        <v>1373</v>
      </c>
      <c r="E112" s="244" t="s">
        <v>1356</v>
      </c>
      <c r="F112" s="251">
        <v>4800000</v>
      </c>
      <c r="G112" s="252">
        <v>44953</v>
      </c>
      <c r="H112" s="244"/>
      <c r="I112" s="244" t="s">
        <v>1363</v>
      </c>
      <c r="J112" s="251"/>
      <c r="K112" s="244"/>
      <c r="L112" s="244"/>
      <c r="M112" s="244"/>
    </row>
    <row r="113" spans="1:13">
      <c r="A113" s="240" t="s">
        <v>684</v>
      </c>
      <c r="B113" s="240" t="s">
        <v>1353</v>
      </c>
      <c r="C113" s="240" t="s">
        <v>1358</v>
      </c>
      <c r="D113" s="240" t="s">
        <v>1379</v>
      </c>
      <c r="E113" s="240" t="s">
        <v>1356</v>
      </c>
      <c r="F113" s="249">
        <v>4640000</v>
      </c>
      <c r="G113" s="250">
        <v>44955</v>
      </c>
      <c r="H113" s="240"/>
      <c r="I113" s="240" t="s">
        <v>1363</v>
      </c>
      <c r="J113" s="249"/>
      <c r="K113" s="240"/>
      <c r="L113" s="240"/>
      <c r="M113" s="240"/>
    </row>
    <row r="114" spans="1:13">
      <c r="A114" s="244" t="s">
        <v>684</v>
      </c>
      <c r="B114" s="244" t="s">
        <v>1353</v>
      </c>
      <c r="C114" s="244" t="s">
        <v>1380</v>
      </c>
      <c r="D114" s="244" t="s">
        <v>1381</v>
      </c>
      <c r="E114" s="244" t="s">
        <v>1356</v>
      </c>
      <c r="F114" s="251">
        <v>500000</v>
      </c>
      <c r="G114" s="252">
        <v>44980</v>
      </c>
      <c r="H114" s="244"/>
      <c r="I114" s="244" t="s">
        <v>1363</v>
      </c>
      <c r="J114" s="251"/>
      <c r="K114" s="244"/>
      <c r="L114" s="244"/>
      <c r="M114" s="244"/>
    </row>
    <row r="115" spans="1:13">
      <c r="A115" s="240" t="s">
        <v>684</v>
      </c>
      <c r="B115" s="240" t="s">
        <v>1353</v>
      </c>
      <c r="C115" s="240" t="s">
        <v>1382</v>
      </c>
      <c r="D115" s="240" t="s">
        <v>1383</v>
      </c>
      <c r="E115" s="240" t="s">
        <v>1356</v>
      </c>
      <c r="F115" s="249">
        <v>8459</v>
      </c>
      <c r="G115" s="250">
        <v>44927</v>
      </c>
      <c r="H115" s="240"/>
      <c r="I115" s="240" t="s">
        <v>1363</v>
      </c>
      <c r="J115" s="249"/>
      <c r="K115" s="240"/>
      <c r="L115" s="240"/>
      <c r="M115" s="240"/>
    </row>
    <row r="116" spans="1:13">
      <c r="A116" s="244" t="s">
        <v>684</v>
      </c>
      <c r="B116" s="244" t="s">
        <v>1353</v>
      </c>
      <c r="C116" s="244" t="s">
        <v>1384</v>
      </c>
      <c r="D116" s="244" t="s">
        <v>1385</v>
      </c>
      <c r="E116" s="244" t="s">
        <v>1356</v>
      </c>
      <c r="F116" s="251">
        <v>500000</v>
      </c>
      <c r="G116" s="252">
        <v>44994</v>
      </c>
      <c r="H116" s="244"/>
      <c r="I116" s="244" t="s">
        <v>1363</v>
      </c>
      <c r="J116" s="251"/>
      <c r="K116" s="244"/>
      <c r="L116" s="244"/>
      <c r="M116" s="244"/>
    </row>
    <row r="117" spans="1:13">
      <c r="A117" s="240" t="s">
        <v>684</v>
      </c>
      <c r="B117" s="240" t="s">
        <v>1353</v>
      </c>
      <c r="C117" s="240" t="s">
        <v>1386</v>
      </c>
      <c r="D117" s="240" t="s">
        <v>1385</v>
      </c>
      <c r="E117" s="240" t="s">
        <v>1356</v>
      </c>
      <c r="F117" s="249">
        <v>25000000</v>
      </c>
      <c r="G117" s="250">
        <v>44985</v>
      </c>
      <c r="H117" s="240"/>
      <c r="I117" s="240" t="s">
        <v>1387</v>
      </c>
      <c r="J117" s="249"/>
      <c r="K117" s="240"/>
      <c r="L117" s="240"/>
      <c r="M117" s="240"/>
    </row>
    <row r="118" spans="1:13">
      <c r="A118" s="244" t="s">
        <v>684</v>
      </c>
      <c r="B118" s="244" t="s">
        <v>1353</v>
      </c>
      <c r="C118" s="244" t="s">
        <v>1388</v>
      </c>
      <c r="D118" s="244" t="s">
        <v>1385</v>
      </c>
      <c r="E118" s="244" t="s">
        <v>1356</v>
      </c>
      <c r="F118" s="251">
        <v>3000000</v>
      </c>
      <c r="G118" s="252">
        <v>44991</v>
      </c>
      <c r="H118" s="244"/>
      <c r="I118" s="244" t="s">
        <v>1389</v>
      </c>
      <c r="J118" s="251"/>
      <c r="K118" s="244"/>
      <c r="L118" s="244"/>
      <c r="M118" s="244"/>
    </row>
    <row r="119" spans="1:13">
      <c r="A119" s="240" t="s">
        <v>684</v>
      </c>
      <c r="B119" s="240" t="s">
        <v>1353</v>
      </c>
      <c r="C119" s="240" t="s">
        <v>1390</v>
      </c>
      <c r="D119" s="240" t="s">
        <v>1385</v>
      </c>
      <c r="E119" s="240" t="s">
        <v>1356</v>
      </c>
      <c r="F119" s="249">
        <v>3000000</v>
      </c>
      <c r="G119" s="250">
        <v>44991</v>
      </c>
      <c r="H119" s="240"/>
      <c r="I119" s="240" t="s">
        <v>1389</v>
      </c>
      <c r="J119" s="249"/>
      <c r="K119" s="240"/>
      <c r="L119" s="240"/>
      <c r="M119" s="240"/>
    </row>
    <row r="120" spans="1:13">
      <c r="A120" s="244" t="s">
        <v>684</v>
      </c>
      <c r="B120" s="244" t="s">
        <v>1353</v>
      </c>
      <c r="C120" s="244" t="s">
        <v>1391</v>
      </c>
      <c r="D120" s="244" t="s">
        <v>1385</v>
      </c>
      <c r="E120" s="244" t="s">
        <v>1356</v>
      </c>
      <c r="F120" s="251">
        <v>3000000</v>
      </c>
      <c r="G120" s="252">
        <v>44992</v>
      </c>
      <c r="H120" s="244"/>
      <c r="I120" s="244" t="s">
        <v>1389</v>
      </c>
      <c r="J120" s="251"/>
      <c r="K120" s="244"/>
      <c r="L120" s="244"/>
      <c r="M120" s="244"/>
    </row>
    <row r="121" spans="1:13">
      <c r="A121" s="240" t="s">
        <v>684</v>
      </c>
      <c r="B121" s="240" t="s">
        <v>1353</v>
      </c>
      <c r="C121" s="240" t="s">
        <v>1392</v>
      </c>
      <c r="D121" s="240" t="s">
        <v>1385</v>
      </c>
      <c r="E121" s="240" t="s">
        <v>1356</v>
      </c>
      <c r="F121" s="249">
        <v>3000000</v>
      </c>
      <c r="G121" s="250">
        <v>44991</v>
      </c>
      <c r="H121" s="240"/>
      <c r="I121" s="240" t="s">
        <v>1389</v>
      </c>
      <c r="J121" s="249"/>
      <c r="K121" s="240"/>
      <c r="L121" s="240"/>
      <c r="M121" s="240"/>
    </row>
    <row r="122" spans="1:13">
      <c r="A122" s="244" t="s">
        <v>684</v>
      </c>
      <c r="B122" s="244" t="s">
        <v>1353</v>
      </c>
      <c r="C122" s="244" t="s">
        <v>1393</v>
      </c>
      <c r="D122" s="244" t="s">
        <v>1385</v>
      </c>
      <c r="E122" s="244" t="s">
        <v>1356</v>
      </c>
      <c r="F122" s="251">
        <v>3000000</v>
      </c>
      <c r="G122" s="252">
        <v>44991</v>
      </c>
      <c r="H122" s="244"/>
      <c r="I122" s="244" t="s">
        <v>1389</v>
      </c>
      <c r="J122" s="251"/>
      <c r="K122" s="244"/>
      <c r="L122" s="244"/>
      <c r="M122" s="244"/>
    </row>
    <row r="123" spans="1:13">
      <c r="A123" s="240" t="s">
        <v>684</v>
      </c>
      <c r="B123" s="240" t="s">
        <v>1353</v>
      </c>
      <c r="C123" s="240" t="s">
        <v>1394</v>
      </c>
      <c r="D123" s="240" t="s">
        <v>1385</v>
      </c>
      <c r="E123" s="240" t="s">
        <v>1356</v>
      </c>
      <c r="F123" s="249">
        <v>3000000</v>
      </c>
      <c r="G123" s="250">
        <v>44991</v>
      </c>
      <c r="H123" s="240"/>
      <c r="I123" s="240" t="s">
        <v>1389</v>
      </c>
      <c r="J123" s="249"/>
      <c r="K123" s="240"/>
      <c r="L123" s="240"/>
      <c r="M123" s="240"/>
    </row>
    <row r="124" spans="1:13">
      <c r="A124" s="244" t="s">
        <v>684</v>
      </c>
      <c r="B124" s="244" t="s">
        <v>1353</v>
      </c>
      <c r="C124" s="244" t="s">
        <v>1395</v>
      </c>
      <c r="D124" s="244" t="s">
        <v>1385</v>
      </c>
      <c r="E124" s="244" t="s">
        <v>1356</v>
      </c>
      <c r="F124" s="251">
        <v>3000000</v>
      </c>
      <c r="G124" s="252">
        <v>44991</v>
      </c>
      <c r="H124" s="244"/>
      <c r="I124" s="244" t="s">
        <v>1389</v>
      </c>
      <c r="J124" s="251"/>
      <c r="K124" s="244"/>
      <c r="L124" s="244"/>
      <c r="M124" s="244"/>
    </row>
    <row r="125" spans="1:13">
      <c r="A125" s="240" t="s">
        <v>684</v>
      </c>
      <c r="B125" s="240" t="s">
        <v>1353</v>
      </c>
      <c r="C125" s="240" t="s">
        <v>1396</v>
      </c>
      <c r="D125" s="240" t="s">
        <v>1385</v>
      </c>
      <c r="E125" s="240" t="s">
        <v>1356</v>
      </c>
      <c r="F125" s="249">
        <v>500000</v>
      </c>
      <c r="G125" s="250">
        <v>44994</v>
      </c>
      <c r="H125" s="240"/>
      <c r="I125" s="240" t="s">
        <v>1389</v>
      </c>
      <c r="J125" s="249"/>
      <c r="K125" s="240"/>
      <c r="L125" s="240"/>
      <c r="M125" s="240"/>
    </row>
    <row r="126" spans="1:13">
      <c r="A126" s="244" t="s">
        <v>684</v>
      </c>
      <c r="B126" s="244" t="s">
        <v>1353</v>
      </c>
      <c r="C126" s="244" t="s">
        <v>1397</v>
      </c>
      <c r="D126" s="244" t="s">
        <v>1385</v>
      </c>
      <c r="E126" s="244" t="s">
        <v>1356</v>
      </c>
      <c r="F126" s="251">
        <v>500000</v>
      </c>
      <c r="G126" s="252">
        <v>44994</v>
      </c>
      <c r="H126" s="244"/>
      <c r="I126" s="244" t="s">
        <v>1389</v>
      </c>
      <c r="J126" s="251"/>
      <c r="K126" s="244"/>
      <c r="L126" s="244"/>
      <c r="M126" s="244"/>
    </row>
    <row r="127" spans="1:13">
      <c r="A127" s="240" t="s">
        <v>684</v>
      </c>
      <c r="B127" s="240" t="s">
        <v>1353</v>
      </c>
      <c r="C127" s="240" t="s">
        <v>1398</v>
      </c>
      <c r="D127" s="240" t="s">
        <v>1385</v>
      </c>
      <c r="E127" s="240" t="s">
        <v>1356</v>
      </c>
      <c r="F127" s="249">
        <v>500000</v>
      </c>
      <c r="G127" s="250">
        <v>44994</v>
      </c>
      <c r="H127" s="240"/>
      <c r="I127" s="240" t="s">
        <v>1389</v>
      </c>
      <c r="J127" s="249"/>
      <c r="K127" s="240"/>
      <c r="L127" s="240"/>
      <c r="M127" s="240"/>
    </row>
    <row r="128" spans="1:13">
      <c r="A128" s="244" t="s">
        <v>684</v>
      </c>
      <c r="B128" s="244" t="s">
        <v>1353</v>
      </c>
      <c r="C128" s="244" t="s">
        <v>1399</v>
      </c>
      <c r="D128" s="244" t="s">
        <v>1400</v>
      </c>
      <c r="E128" s="244" t="s">
        <v>1356</v>
      </c>
      <c r="F128" s="251">
        <v>3000000</v>
      </c>
      <c r="G128" s="252">
        <v>44999</v>
      </c>
      <c r="H128" s="244"/>
      <c r="I128" s="244" t="s">
        <v>1389</v>
      </c>
      <c r="J128" s="251"/>
      <c r="K128" s="244"/>
      <c r="L128" s="244"/>
      <c r="M128" s="244"/>
    </row>
    <row r="129" spans="1:13">
      <c r="A129" s="240" t="s">
        <v>684</v>
      </c>
      <c r="B129" s="240" t="s">
        <v>1353</v>
      </c>
      <c r="C129" s="240" t="s">
        <v>1399</v>
      </c>
      <c r="D129" s="240" t="s">
        <v>1400</v>
      </c>
      <c r="E129" s="240" t="s">
        <v>1356</v>
      </c>
      <c r="F129" s="249">
        <v>825000</v>
      </c>
      <c r="G129" s="250">
        <v>44999</v>
      </c>
      <c r="H129" s="240"/>
      <c r="I129" s="240" t="s">
        <v>1363</v>
      </c>
      <c r="J129" s="249"/>
      <c r="K129" s="240"/>
      <c r="L129" s="240"/>
      <c r="M129" s="240"/>
    </row>
    <row r="130" spans="1:13">
      <c r="A130" s="244" t="s">
        <v>684</v>
      </c>
      <c r="B130" s="244" t="s">
        <v>1353</v>
      </c>
      <c r="C130" s="244" t="s">
        <v>1401</v>
      </c>
      <c r="D130" s="244"/>
      <c r="E130" s="244"/>
      <c r="F130" s="251">
        <v>1000000</v>
      </c>
      <c r="G130" s="252">
        <v>45007</v>
      </c>
      <c r="H130" s="244"/>
      <c r="I130" s="244" t="s">
        <v>1363</v>
      </c>
      <c r="J130" s="251"/>
      <c r="K130" s="244"/>
      <c r="L130" s="244"/>
      <c r="M130" s="244"/>
    </row>
    <row r="131" spans="1:13">
      <c r="A131" s="240" t="s">
        <v>684</v>
      </c>
      <c r="B131" s="240" t="s">
        <v>1353</v>
      </c>
      <c r="C131" s="240" t="s">
        <v>1402</v>
      </c>
      <c r="D131" s="240" t="s">
        <v>1403</v>
      </c>
      <c r="E131" s="240" t="s">
        <v>1404</v>
      </c>
      <c r="F131" s="249">
        <v>500000</v>
      </c>
      <c r="G131" s="250">
        <v>45012</v>
      </c>
      <c r="H131" s="240"/>
      <c r="I131" s="240" t="s">
        <v>1363</v>
      </c>
      <c r="J131" s="249"/>
      <c r="K131" s="240"/>
      <c r="L131" s="240"/>
      <c r="M131" s="240"/>
    </row>
    <row r="132" spans="1:13">
      <c r="A132" s="244" t="s">
        <v>684</v>
      </c>
      <c r="B132" s="244" t="s">
        <v>1353</v>
      </c>
      <c r="C132" s="244" t="s">
        <v>1405</v>
      </c>
      <c r="D132" s="244" t="s">
        <v>1406</v>
      </c>
      <c r="E132" s="244" t="s">
        <v>1404</v>
      </c>
      <c r="F132" s="251">
        <v>500000</v>
      </c>
      <c r="G132" s="252">
        <v>45012</v>
      </c>
      <c r="H132" s="244"/>
      <c r="I132" s="244" t="s">
        <v>1363</v>
      </c>
      <c r="J132" s="251"/>
      <c r="K132" s="244"/>
      <c r="L132" s="244"/>
      <c r="M132" s="244"/>
    </row>
    <row r="133" spans="1:13">
      <c r="A133" s="240" t="s">
        <v>684</v>
      </c>
      <c r="B133" s="240" t="s">
        <v>1353</v>
      </c>
      <c r="C133" s="240" t="s">
        <v>1407</v>
      </c>
      <c r="D133" s="240" t="s">
        <v>1408</v>
      </c>
      <c r="E133" s="240" t="s">
        <v>1404</v>
      </c>
      <c r="F133" s="249">
        <v>1000000</v>
      </c>
      <c r="G133" s="250">
        <v>45012</v>
      </c>
      <c r="H133" s="240"/>
      <c r="I133" s="240" t="s">
        <v>1363</v>
      </c>
      <c r="J133" s="249"/>
      <c r="K133" s="240"/>
      <c r="L133" s="240"/>
      <c r="M133" s="240"/>
    </row>
    <row r="134" spans="1:13">
      <c r="A134" s="244" t="s">
        <v>684</v>
      </c>
      <c r="B134" s="244" t="s">
        <v>1353</v>
      </c>
      <c r="C134" s="244" t="s">
        <v>1409</v>
      </c>
      <c r="D134" s="244" t="s">
        <v>1372</v>
      </c>
      <c r="E134" s="244" t="s">
        <v>1356</v>
      </c>
      <c r="F134" s="251">
        <v>2618850</v>
      </c>
      <c r="G134" s="252">
        <v>45014</v>
      </c>
      <c r="H134" s="244"/>
      <c r="I134" s="244" t="s">
        <v>1363</v>
      </c>
      <c r="J134" s="251"/>
      <c r="K134" s="244"/>
      <c r="L134" s="244"/>
      <c r="M134" s="244"/>
    </row>
    <row r="135" spans="1:13">
      <c r="A135" s="240" t="s">
        <v>684</v>
      </c>
      <c r="B135" s="240" t="s">
        <v>1353</v>
      </c>
      <c r="C135" s="240" t="s">
        <v>1409</v>
      </c>
      <c r="D135" s="240" t="s">
        <v>1372</v>
      </c>
      <c r="E135" s="240" t="s">
        <v>1356</v>
      </c>
      <c r="F135" s="249">
        <v>1615000</v>
      </c>
      <c r="G135" s="250">
        <v>45014</v>
      </c>
      <c r="H135" s="240"/>
      <c r="I135" s="240" t="s">
        <v>1363</v>
      </c>
      <c r="J135" s="249"/>
      <c r="K135" s="240"/>
      <c r="L135" s="240"/>
      <c r="M135" s="240"/>
    </row>
    <row r="136" spans="1:13">
      <c r="A136" s="244" t="s">
        <v>684</v>
      </c>
      <c r="B136" s="244" t="s">
        <v>1353</v>
      </c>
      <c r="C136" s="244" t="s">
        <v>1410</v>
      </c>
      <c r="D136" s="244" t="s">
        <v>1406</v>
      </c>
      <c r="E136" s="244" t="s">
        <v>1356</v>
      </c>
      <c r="F136" s="251">
        <v>500000</v>
      </c>
      <c r="G136" s="252">
        <v>45014</v>
      </c>
      <c r="H136" s="244"/>
      <c r="I136" s="244" t="s">
        <v>1363</v>
      </c>
      <c r="J136" s="251"/>
      <c r="K136" s="244"/>
      <c r="L136" s="244"/>
      <c r="M136" s="244"/>
    </row>
    <row r="137" spans="1:13">
      <c r="A137" s="240" t="s">
        <v>684</v>
      </c>
      <c r="B137" s="240" t="s">
        <v>1353</v>
      </c>
      <c r="C137" s="240" t="s">
        <v>1411</v>
      </c>
      <c r="D137" s="240" t="s">
        <v>1412</v>
      </c>
      <c r="E137" s="240" t="s">
        <v>1356</v>
      </c>
      <c r="F137" s="249">
        <v>840000</v>
      </c>
      <c r="G137" s="250">
        <v>45015</v>
      </c>
      <c r="H137" s="240"/>
      <c r="I137" s="240" t="s">
        <v>1363</v>
      </c>
      <c r="J137" s="249"/>
      <c r="K137" s="240"/>
      <c r="L137" s="240"/>
      <c r="M137" s="240"/>
    </row>
    <row r="138" spans="1:13">
      <c r="A138" s="244" t="s">
        <v>684</v>
      </c>
      <c r="B138" s="244" t="s">
        <v>1353</v>
      </c>
      <c r="C138" s="244" t="s">
        <v>1413</v>
      </c>
      <c r="D138" s="244" t="s">
        <v>1403</v>
      </c>
      <c r="E138" s="244" t="s">
        <v>1356</v>
      </c>
      <c r="F138" s="251">
        <v>500000</v>
      </c>
      <c r="G138" s="252">
        <v>45014</v>
      </c>
      <c r="H138" s="244"/>
      <c r="I138" s="244" t="s">
        <v>1363</v>
      </c>
      <c r="J138" s="251"/>
      <c r="K138" s="244"/>
      <c r="L138" s="244"/>
      <c r="M138" s="244"/>
    </row>
    <row r="139" spans="1:13">
      <c r="A139" s="240" t="s">
        <v>684</v>
      </c>
      <c r="B139" s="240" t="s">
        <v>1353</v>
      </c>
      <c r="C139" s="240" t="s">
        <v>1366</v>
      </c>
      <c r="D139" s="240" t="s">
        <v>1414</v>
      </c>
      <c r="E139" s="240" t="s">
        <v>1356</v>
      </c>
      <c r="F139" s="249">
        <v>7506390</v>
      </c>
      <c r="G139" s="250">
        <v>44970</v>
      </c>
      <c r="H139" s="240"/>
      <c r="I139" s="240" t="s">
        <v>1363</v>
      </c>
      <c r="J139" s="249"/>
      <c r="K139" s="240"/>
      <c r="L139" s="240"/>
      <c r="M139" s="240"/>
    </row>
    <row r="140" spans="1:13">
      <c r="A140" s="244" t="s">
        <v>684</v>
      </c>
      <c r="B140" s="244" t="s">
        <v>1353</v>
      </c>
      <c r="C140" s="244" t="s">
        <v>1361</v>
      </c>
      <c r="D140" s="244" t="s">
        <v>1415</v>
      </c>
      <c r="E140" s="244" t="s">
        <v>1404</v>
      </c>
      <c r="F140" s="251">
        <v>4105837</v>
      </c>
      <c r="G140" s="252">
        <v>44970</v>
      </c>
      <c r="H140" s="244"/>
      <c r="I140" s="244" t="s">
        <v>1363</v>
      </c>
      <c r="J140" s="251"/>
      <c r="K140" s="244"/>
      <c r="L140" s="244"/>
      <c r="M140" s="244"/>
    </row>
    <row r="141" spans="1:13">
      <c r="A141" s="240" t="s">
        <v>684</v>
      </c>
      <c r="B141" s="240" t="s">
        <v>1353</v>
      </c>
      <c r="C141" s="240" t="s">
        <v>1416</v>
      </c>
      <c r="D141" s="240" t="s">
        <v>1415</v>
      </c>
      <c r="E141" s="240" t="s">
        <v>1404</v>
      </c>
      <c r="F141" s="249">
        <v>9580288</v>
      </c>
      <c r="G141" s="250">
        <v>44970</v>
      </c>
      <c r="H141" s="240"/>
      <c r="I141" s="240" t="s">
        <v>1363</v>
      </c>
      <c r="J141" s="249"/>
      <c r="K141" s="240"/>
      <c r="L141" s="240"/>
      <c r="M141" s="240"/>
    </row>
    <row r="142" spans="1:13">
      <c r="A142" s="244" t="s">
        <v>684</v>
      </c>
      <c r="B142" s="244" t="s">
        <v>1353</v>
      </c>
      <c r="C142" s="244" t="s">
        <v>1417</v>
      </c>
      <c r="D142" s="244" t="s">
        <v>1418</v>
      </c>
      <c r="E142" s="244" t="s">
        <v>1356</v>
      </c>
      <c r="F142" s="251">
        <v>337500</v>
      </c>
      <c r="G142" s="252">
        <v>45049</v>
      </c>
      <c r="H142" s="244"/>
      <c r="I142" s="244" t="s">
        <v>1363</v>
      </c>
      <c r="J142" s="251"/>
      <c r="K142" s="244"/>
      <c r="L142" s="244"/>
      <c r="M142" s="244"/>
    </row>
    <row r="143" spans="1:13">
      <c r="A143" s="240" t="s">
        <v>684</v>
      </c>
      <c r="B143" s="240" t="s">
        <v>1353</v>
      </c>
      <c r="C143" s="240" t="s">
        <v>1419</v>
      </c>
      <c r="D143" s="240"/>
      <c r="E143" s="240" t="s">
        <v>1420</v>
      </c>
      <c r="F143" s="249">
        <v>1500000</v>
      </c>
      <c r="G143" s="250">
        <v>45049</v>
      </c>
      <c r="H143" s="240"/>
      <c r="I143" s="240" t="s">
        <v>1363</v>
      </c>
      <c r="J143" s="249"/>
      <c r="K143" s="240"/>
      <c r="L143" s="240"/>
      <c r="M143" s="240"/>
    </row>
    <row r="144" spans="1:13">
      <c r="A144" s="244" t="s">
        <v>684</v>
      </c>
      <c r="B144" s="244" t="s">
        <v>1353</v>
      </c>
      <c r="C144" s="244" t="s">
        <v>1421</v>
      </c>
      <c r="D144" s="244" t="s">
        <v>1385</v>
      </c>
      <c r="E144" s="244" t="s">
        <v>1356</v>
      </c>
      <c r="F144" s="251">
        <v>503300</v>
      </c>
      <c r="G144" s="252">
        <v>45049</v>
      </c>
      <c r="H144" s="244"/>
      <c r="I144" s="244" t="s">
        <v>1363</v>
      </c>
      <c r="J144" s="251"/>
      <c r="K144" s="244"/>
      <c r="L144" s="244"/>
      <c r="M144" s="244"/>
    </row>
    <row r="145" spans="1:13">
      <c r="A145" s="240" t="s">
        <v>684</v>
      </c>
      <c r="B145" s="240" t="s">
        <v>1353</v>
      </c>
      <c r="C145" s="240" t="s">
        <v>1422</v>
      </c>
      <c r="D145" s="240"/>
      <c r="E145" s="240" t="s">
        <v>1356</v>
      </c>
      <c r="F145" s="249">
        <v>600000</v>
      </c>
      <c r="G145" s="250">
        <v>45062</v>
      </c>
      <c r="H145" s="240"/>
      <c r="I145" s="240" t="s">
        <v>1363</v>
      </c>
      <c r="J145" s="249"/>
      <c r="K145" s="240"/>
      <c r="L145" s="240"/>
      <c r="M145" s="240"/>
    </row>
    <row r="146" spans="1:13">
      <c r="A146" s="244" t="s">
        <v>684</v>
      </c>
      <c r="B146" s="244" t="s">
        <v>1353</v>
      </c>
      <c r="C146" s="244" t="s">
        <v>1423</v>
      </c>
      <c r="D146" s="244" t="s">
        <v>1424</v>
      </c>
      <c r="E146" s="244" t="s">
        <v>1356</v>
      </c>
      <c r="F146" s="251">
        <v>400000</v>
      </c>
      <c r="G146" s="252">
        <v>45068</v>
      </c>
      <c r="H146" s="244"/>
      <c r="I146" s="244" t="s">
        <v>1363</v>
      </c>
      <c r="J146" s="251"/>
      <c r="K146" s="244"/>
      <c r="L146" s="244"/>
      <c r="M146" s="244"/>
    </row>
    <row r="147" spans="1:13">
      <c r="A147" s="240" t="s">
        <v>684</v>
      </c>
      <c r="B147" s="240" t="s">
        <v>1353</v>
      </c>
      <c r="C147" s="240" t="s">
        <v>1425</v>
      </c>
      <c r="D147" s="240" t="s">
        <v>1426</v>
      </c>
      <c r="E147" s="240" t="s">
        <v>1356</v>
      </c>
      <c r="F147" s="249">
        <v>400000</v>
      </c>
      <c r="G147" s="250">
        <v>45069</v>
      </c>
      <c r="H147" s="240"/>
      <c r="I147" s="240" t="s">
        <v>1363</v>
      </c>
      <c r="J147" s="249"/>
      <c r="K147" s="240"/>
      <c r="L147" s="240"/>
      <c r="M147" s="240"/>
    </row>
    <row r="148" spans="1:13">
      <c r="A148" s="244" t="s">
        <v>684</v>
      </c>
      <c r="B148" s="244" t="s">
        <v>1353</v>
      </c>
      <c r="C148" s="244" t="s">
        <v>1427</v>
      </c>
      <c r="D148" s="244" t="s">
        <v>1428</v>
      </c>
      <c r="E148" s="244" t="s">
        <v>1356</v>
      </c>
      <c r="F148" s="251">
        <v>13507449.75</v>
      </c>
      <c r="G148" s="252">
        <v>45071</v>
      </c>
      <c r="H148" s="244"/>
      <c r="I148" s="244" t="s">
        <v>1363</v>
      </c>
      <c r="J148" s="251"/>
      <c r="K148" s="244"/>
      <c r="L148" s="244"/>
      <c r="M148" s="244"/>
    </row>
    <row r="149" spans="1:13">
      <c r="A149" s="240" t="s">
        <v>684</v>
      </c>
      <c r="B149" s="240" t="s">
        <v>1353</v>
      </c>
      <c r="C149" s="240" t="s">
        <v>1429</v>
      </c>
      <c r="D149" s="240" t="s">
        <v>1415</v>
      </c>
      <c r="E149" s="240" t="s">
        <v>1404</v>
      </c>
      <c r="F149" s="249">
        <v>4105837</v>
      </c>
      <c r="G149" s="250">
        <v>45056</v>
      </c>
      <c r="H149" s="240"/>
      <c r="I149" s="240" t="s">
        <v>1363</v>
      </c>
      <c r="J149" s="249"/>
      <c r="K149" s="240"/>
      <c r="L149" s="240"/>
      <c r="M149" s="240"/>
    </row>
    <row r="150" spans="1:13">
      <c r="A150" s="244" t="s">
        <v>684</v>
      </c>
      <c r="B150" s="244" t="s">
        <v>1353</v>
      </c>
      <c r="C150" s="244" t="s">
        <v>1430</v>
      </c>
      <c r="D150" s="244" t="s">
        <v>1431</v>
      </c>
      <c r="E150" s="244" t="s">
        <v>1356</v>
      </c>
      <c r="F150" s="251">
        <v>1000000</v>
      </c>
      <c r="G150" s="252">
        <v>45097</v>
      </c>
      <c r="H150" s="244"/>
      <c r="I150" s="244" t="s">
        <v>1363</v>
      </c>
      <c r="J150" s="251"/>
      <c r="K150" s="244"/>
      <c r="L150" s="244"/>
      <c r="M150" s="244"/>
    </row>
    <row r="151" spans="1:13">
      <c r="A151" s="240" t="s">
        <v>684</v>
      </c>
      <c r="B151" s="240" t="s">
        <v>1353</v>
      </c>
      <c r="C151" s="240" t="s">
        <v>1432</v>
      </c>
      <c r="D151" s="240" t="s">
        <v>1433</v>
      </c>
      <c r="E151" s="240" t="s">
        <v>1356</v>
      </c>
      <c r="F151" s="249">
        <v>500000</v>
      </c>
      <c r="G151" s="250">
        <v>45117</v>
      </c>
      <c r="H151" s="240"/>
      <c r="I151" s="240" t="s">
        <v>1363</v>
      </c>
      <c r="J151" s="249"/>
      <c r="K151" s="240"/>
      <c r="L151" s="240"/>
      <c r="M151" s="240"/>
    </row>
    <row r="152" spans="1:13">
      <c r="A152" s="244" t="s">
        <v>684</v>
      </c>
      <c r="B152" s="244" t="s">
        <v>1353</v>
      </c>
      <c r="C152" s="244" t="s">
        <v>1434</v>
      </c>
      <c r="D152" s="244" t="s">
        <v>1435</v>
      </c>
      <c r="E152" s="244" t="s">
        <v>1356</v>
      </c>
      <c r="F152" s="251">
        <v>10000000</v>
      </c>
      <c r="G152" s="252">
        <v>45117</v>
      </c>
      <c r="H152" s="244"/>
      <c r="I152" s="244" t="s">
        <v>1436</v>
      </c>
      <c r="J152" s="251"/>
      <c r="K152" s="244"/>
      <c r="L152" s="244"/>
      <c r="M152" s="244"/>
    </row>
    <row r="153" spans="1:13">
      <c r="A153" s="240" t="s">
        <v>684</v>
      </c>
      <c r="B153" s="240" t="s">
        <v>1353</v>
      </c>
      <c r="C153" s="240" t="s">
        <v>1437</v>
      </c>
      <c r="D153" s="240" t="s">
        <v>1438</v>
      </c>
      <c r="E153" s="240" t="s">
        <v>1356</v>
      </c>
      <c r="F153" s="249">
        <v>250000</v>
      </c>
      <c r="G153" s="250">
        <v>45090</v>
      </c>
      <c r="H153" s="240"/>
      <c r="I153" s="240" t="s">
        <v>1363</v>
      </c>
      <c r="J153" s="249"/>
      <c r="K153" s="240"/>
      <c r="L153" s="240"/>
      <c r="M153" s="240"/>
    </row>
    <row r="154" spans="1:13">
      <c r="A154" s="244" t="s">
        <v>684</v>
      </c>
      <c r="B154" s="244" t="s">
        <v>1353</v>
      </c>
      <c r="C154" s="244" t="s">
        <v>1437</v>
      </c>
      <c r="D154" s="244" t="s">
        <v>1438</v>
      </c>
      <c r="E154" s="244" t="s">
        <v>1356</v>
      </c>
      <c r="F154" s="251">
        <v>250000</v>
      </c>
      <c r="G154" s="252">
        <v>45090</v>
      </c>
      <c r="H154" s="244"/>
      <c r="I154" s="244" t="s">
        <v>1363</v>
      </c>
      <c r="J154" s="251"/>
      <c r="K154" s="244"/>
      <c r="L154" s="244"/>
      <c r="M154" s="244"/>
    </row>
    <row r="155" spans="1:13">
      <c r="A155" s="240" t="s">
        <v>684</v>
      </c>
      <c r="B155" s="240" t="s">
        <v>1353</v>
      </c>
      <c r="C155" s="240" t="s">
        <v>1437</v>
      </c>
      <c r="D155" s="240" t="s">
        <v>1438</v>
      </c>
      <c r="E155" s="240" t="s">
        <v>1356</v>
      </c>
      <c r="F155" s="249">
        <v>200000</v>
      </c>
      <c r="G155" s="250">
        <v>45090</v>
      </c>
      <c r="H155" s="240"/>
      <c r="I155" s="240" t="s">
        <v>1363</v>
      </c>
      <c r="J155" s="249"/>
      <c r="K155" s="240"/>
      <c r="L155" s="240"/>
      <c r="M155" s="240"/>
    </row>
    <row r="156" spans="1:13">
      <c r="A156" s="244" t="s">
        <v>684</v>
      </c>
      <c r="B156" s="244" t="s">
        <v>1353</v>
      </c>
      <c r="C156" s="244" t="s">
        <v>1437</v>
      </c>
      <c r="D156" s="244" t="s">
        <v>1438</v>
      </c>
      <c r="E156" s="244" t="s">
        <v>1356</v>
      </c>
      <c r="F156" s="251">
        <v>200000</v>
      </c>
      <c r="G156" s="252">
        <v>45090</v>
      </c>
      <c r="H156" s="244"/>
      <c r="I156" s="244" t="s">
        <v>1363</v>
      </c>
      <c r="J156" s="251"/>
      <c r="K156" s="244"/>
      <c r="L156" s="244"/>
      <c r="M156" s="244"/>
    </row>
    <row r="157" spans="1:13">
      <c r="A157" s="240" t="s">
        <v>684</v>
      </c>
      <c r="B157" s="240" t="s">
        <v>1353</v>
      </c>
      <c r="C157" s="240" t="s">
        <v>1437</v>
      </c>
      <c r="D157" s="240" t="s">
        <v>1438</v>
      </c>
      <c r="E157" s="240" t="s">
        <v>1356</v>
      </c>
      <c r="F157" s="249">
        <v>150000</v>
      </c>
      <c r="G157" s="250">
        <v>45090</v>
      </c>
      <c r="H157" s="240"/>
      <c r="I157" s="240" t="s">
        <v>1363</v>
      </c>
      <c r="J157" s="249"/>
      <c r="K157" s="240"/>
      <c r="L157" s="240"/>
      <c r="M157" s="240"/>
    </row>
    <row r="158" spans="1:13">
      <c r="A158" s="244" t="s">
        <v>684</v>
      </c>
      <c r="B158" s="244" t="s">
        <v>1353</v>
      </c>
      <c r="C158" s="244" t="s">
        <v>1437</v>
      </c>
      <c r="D158" s="244" t="s">
        <v>1438</v>
      </c>
      <c r="E158" s="244" t="s">
        <v>1356</v>
      </c>
      <c r="F158" s="251">
        <v>150000</v>
      </c>
      <c r="G158" s="252">
        <v>45090</v>
      </c>
      <c r="H158" s="244"/>
      <c r="I158" s="244" t="s">
        <v>1363</v>
      </c>
      <c r="J158" s="251"/>
      <c r="K158" s="244"/>
      <c r="L158" s="244"/>
      <c r="M158" s="244"/>
    </row>
    <row r="159" spans="1:13">
      <c r="A159" s="240" t="s">
        <v>684</v>
      </c>
      <c r="B159" s="240" t="s">
        <v>1353</v>
      </c>
      <c r="C159" s="240" t="s">
        <v>1437</v>
      </c>
      <c r="D159" s="240" t="s">
        <v>1438</v>
      </c>
      <c r="E159" s="240" t="s">
        <v>1356</v>
      </c>
      <c r="F159" s="249">
        <v>150000</v>
      </c>
      <c r="G159" s="250">
        <v>45090</v>
      </c>
      <c r="H159" s="240"/>
      <c r="I159" s="240" t="s">
        <v>1363</v>
      </c>
      <c r="J159" s="249"/>
      <c r="K159" s="240"/>
      <c r="L159" s="240"/>
      <c r="M159" s="240"/>
    </row>
    <row r="160" spans="1:13">
      <c r="A160" s="244" t="s">
        <v>684</v>
      </c>
      <c r="B160" s="244" t="s">
        <v>1353</v>
      </c>
      <c r="C160" s="244" t="s">
        <v>1437</v>
      </c>
      <c r="D160" s="244" t="s">
        <v>1438</v>
      </c>
      <c r="E160" s="244" t="s">
        <v>1356</v>
      </c>
      <c r="F160" s="251">
        <v>150000</v>
      </c>
      <c r="G160" s="252">
        <v>45090</v>
      </c>
      <c r="H160" s="244"/>
      <c r="I160" s="244" t="s">
        <v>1363</v>
      </c>
      <c r="J160" s="251"/>
      <c r="K160" s="244"/>
      <c r="L160" s="244"/>
      <c r="M160" s="244"/>
    </row>
    <row r="161" spans="1:13">
      <c r="A161" s="240" t="s">
        <v>684</v>
      </c>
      <c r="B161" s="240" t="s">
        <v>1353</v>
      </c>
      <c r="C161" s="240" t="s">
        <v>1437</v>
      </c>
      <c r="D161" s="240" t="s">
        <v>1438</v>
      </c>
      <c r="E161" s="240" t="s">
        <v>1356</v>
      </c>
      <c r="F161" s="249">
        <v>150000</v>
      </c>
      <c r="G161" s="250">
        <v>45090</v>
      </c>
      <c r="H161" s="240"/>
      <c r="I161" s="240" t="s">
        <v>1363</v>
      </c>
      <c r="J161" s="249"/>
      <c r="K161" s="240"/>
      <c r="L161" s="240"/>
      <c r="M161" s="240"/>
    </row>
    <row r="162" spans="1:13">
      <c r="A162" s="244" t="s">
        <v>684</v>
      </c>
      <c r="B162" s="244" t="s">
        <v>1353</v>
      </c>
      <c r="C162" s="244" t="s">
        <v>1437</v>
      </c>
      <c r="D162" s="244" t="s">
        <v>1438</v>
      </c>
      <c r="E162" s="244" t="s">
        <v>1356</v>
      </c>
      <c r="F162" s="251">
        <v>125000</v>
      </c>
      <c r="G162" s="252">
        <v>45090</v>
      </c>
      <c r="H162" s="244"/>
      <c r="I162" s="244" t="s">
        <v>1363</v>
      </c>
      <c r="J162" s="251"/>
      <c r="K162" s="244"/>
      <c r="L162" s="244"/>
      <c r="M162" s="244"/>
    </row>
    <row r="163" spans="1:13">
      <c r="A163" s="240" t="s">
        <v>684</v>
      </c>
      <c r="B163" s="240" t="s">
        <v>1353</v>
      </c>
      <c r="C163" s="240" t="s">
        <v>1437</v>
      </c>
      <c r="D163" s="240" t="s">
        <v>1438</v>
      </c>
      <c r="E163" s="240" t="s">
        <v>1356</v>
      </c>
      <c r="F163" s="249">
        <v>100000</v>
      </c>
      <c r="G163" s="250">
        <v>45090</v>
      </c>
      <c r="H163" s="240"/>
      <c r="I163" s="240" t="s">
        <v>1363</v>
      </c>
      <c r="J163" s="249"/>
      <c r="K163" s="240"/>
      <c r="L163" s="240"/>
      <c r="M163" s="240"/>
    </row>
    <row r="164" spans="1:13">
      <c r="A164" s="244" t="s">
        <v>684</v>
      </c>
      <c r="B164" s="244" t="s">
        <v>1353</v>
      </c>
      <c r="C164" s="244" t="s">
        <v>1437</v>
      </c>
      <c r="D164" s="244" t="s">
        <v>1438</v>
      </c>
      <c r="E164" s="244" t="s">
        <v>1356</v>
      </c>
      <c r="F164" s="251">
        <v>125000</v>
      </c>
      <c r="G164" s="252">
        <v>45090</v>
      </c>
      <c r="H164" s="244"/>
      <c r="I164" s="244" t="s">
        <v>1363</v>
      </c>
      <c r="J164" s="251"/>
      <c r="K164" s="244"/>
      <c r="L164" s="244"/>
      <c r="M164" s="244"/>
    </row>
    <row r="165" spans="1:13">
      <c r="A165" s="240" t="s">
        <v>684</v>
      </c>
      <c r="B165" s="240" t="s">
        <v>1353</v>
      </c>
      <c r="C165" s="240" t="s">
        <v>1437</v>
      </c>
      <c r="D165" s="240" t="s">
        <v>1438</v>
      </c>
      <c r="E165" s="240" t="s">
        <v>1356</v>
      </c>
      <c r="F165" s="249">
        <v>125000</v>
      </c>
      <c r="G165" s="250">
        <v>45090</v>
      </c>
      <c r="H165" s="240"/>
      <c r="I165" s="240" t="s">
        <v>1363</v>
      </c>
      <c r="J165" s="249"/>
      <c r="K165" s="240"/>
      <c r="L165" s="240"/>
      <c r="M165" s="240"/>
    </row>
    <row r="166" spans="1:13">
      <c r="A166" s="244" t="s">
        <v>684</v>
      </c>
      <c r="B166" s="244" t="s">
        <v>1353</v>
      </c>
      <c r="C166" s="244" t="s">
        <v>1437</v>
      </c>
      <c r="D166" s="244" t="s">
        <v>1438</v>
      </c>
      <c r="E166" s="244" t="s">
        <v>1356</v>
      </c>
      <c r="F166" s="251">
        <v>125000</v>
      </c>
      <c r="G166" s="252">
        <v>45090</v>
      </c>
      <c r="H166" s="244"/>
      <c r="I166" s="244" t="s">
        <v>1363</v>
      </c>
      <c r="J166" s="251"/>
      <c r="K166" s="244"/>
      <c r="L166" s="244"/>
      <c r="M166" s="244"/>
    </row>
    <row r="167" spans="1:13">
      <c r="A167" s="240" t="s">
        <v>684</v>
      </c>
      <c r="B167" s="240" t="s">
        <v>1353</v>
      </c>
      <c r="C167" s="240" t="s">
        <v>1437</v>
      </c>
      <c r="D167" s="240" t="s">
        <v>1438</v>
      </c>
      <c r="E167" s="240" t="s">
        <v>1356</v>
      </c>
      <c r="F167" s="249">
        <v>125000</v>
      </c>
      <c r="G167" s="250">
        <v>45090</v>
      </c>
      <c r="H167" s="240"/>
      <c r="I167" s="240" t="s">
        <v>1363</v>
      </c>
      <c r="J167" s="249"/>
      <c r="K167" s="240"/>
      <c r="L167" s="240"/>
      <c r="M167" s="240"/>
    </row>
    <row r="168" spans="1:13">
      <c r="A168" s="244" t="s">
        <v>684</v>
      </c>
      <c r="B168" s="244" t="s">
        <v>1353</v>
      </c>
      <c r="C168" s="244" t="s">
        <v>1437</v>
      </c>
      <c r="D168" s="244" t="s">
        <v>1438</v>
      </c>
      <c r="E168" s="244" t="s">
        <v>1356</v>
      </c>
      <c r="F168" s="251">
        <v>100000</v>
      </c>
      <c r="G168" s="252">
        <v>45090</v>
      </c>
      <c r="H168" s="244"/>
      <c r="I168" s="244" t="s">
        <v>1363</v>
      </c>
      <c r="J168" s="251"/>
      <c r="K168" s="244"/>
      <c r="L168" s="244"/>
      <c r="M168" s="244"/>
    </row>
    <row r="169" spans="1:13">
      <c r="A169" s="240" t="s">
        <v>684</v>
      </c>
      <c r="B169" s="240" t="s">
        <v>1353</v>
      </c>
      <c r="C169" s="240" t="s">
        <v>1437</v>
      </c>
      <c r="D169" s="240" t="s">
        <v>1438</v>
      </c>
      <c r="E169" s="240" t="s">
        <v>1356</v>
      </c>
      <c r="F169" s="249">
        <v>100000</v>
      </c>
      <c r="G169" s="250">
        <v>45090</v>
      </c>
      <c r="H169" s="240"/>
      <c r="I169" s="240" t="s">
        <v>1363</v>
      </c>
      <c r="J169" s="249"/>
      <c r="K169" s="240"/>
      <c r="L169" s="240"/>
      <c r="M169" s="240"/>
    </row>
    <row r="170" spans="1:13">
      <c r="A170" s="244" t="s">
        <v>684</v>
      </c>
      <c r="B170" s="244" t="s">
        <v>1353</v>
      </c>
      <c r="C170" s="244" t="s">
        <v>1437</v>
      </c>
      <c r="D170" s="244" t="s">
        <v>1438</v>
      </c>
      <c r="E170" s="244" t="s">
        <v>1356</v>
      </c>
      <c r="F170" s="251">
        <v>100000</v>
      </c>
      <c r="G170" s="252">
        <v>45090</v>
      </c>
      <c r="H170" s="244"/>
      <c r="I170" s="244" t="s">
        <v>1363</v>
      </c>
      <c r="J170" s="251"/>
      <c r="K170" s="244"/>
      <c r="L170" s="244"/>
      <c r="M170" s="244"/>
    </row>
    <row r="171" spans="1:13">
      <c r="A171" s="240" t="s">
        <v>684</v>
      </c>
      <c r="B171" s="240" t="s">
        <v>1353</v>
      </c>
      <c r="C171" s="240" t="s">
        <v>1437</v>
      </c>
      <c r="D171" s="240" t="s">
        <v>1438</v>
      </c>
      <c r="E171" s="240" t="s">
        <v>1356</v>
      </c>
      <c r="F171" s="249">
        <v>100000</v>
      </c>
      <c r="G171" s="250">
        <v>45090</v>
      </c>
      <c r="H171" s="240"/>
      <c r="I171" s="240" t="s">
        <v>1363</v>
      </c>
      <c r="J171" s="249"/>
      <c r="K171" s="240"/>
      <c r="L171" s="240"/>
      <c r="M171" s="240"/>
    </row>
    <row r="172" spans="1:13">
      <c r="A172" s="244" t="s">
        <v>684</v>
      </c>
      <c r="B172" s="244" t="s">
        <v>1353</v>
      </c>
      <c r="C172" s="244" t="s">
        <v>1437</v>
      </c>
      <c r="D172" s="244" t="s">
        <v>1438</v>
      </c>
      <c r="E172" s="244" t="s">
        <v>1356</v>
      </c>
      <c r="F172" s="251">
        <v>100000</v>
      </c>
      <c r="G172" s="252">
        <v>45090</v>
      </c>
      <c r="H172" s="244"/>
      <c r="I172" s="244" t="s">
        <v>1363</v>
      </c>
      <c r="J172" s="251"/>
      <c r="K172" s="244"/>
      <c r="L172" s="244"/>
      <c r="M172" s="244"/>
    </row>
    <row r="173" spans="1:13">
      <c r="A173" s="240" t="s">
        <v>684</v>
      </c>
      <c r="B173" s="240" t="s">
        <v>1353</v>
      </c>
      <c r="C173" s="240" t="s">
        <v>1437</v>
      </c>
      <c r="D173" s="240" t="s">
        <v>1438</v>
      </c>
      <c r="E173" s="240" t="s">
        <v>1356</v>
      </c>
      <c r="F173" s="249">
        <v>80000</v>
      </c>
      <c r="G173" s="250">
        <v>45090</v>
      </c>
      <c r="H173" s="240"/>
      <c r="I173" s="240" t="s">
        <v>1363</v>
      </c>
      <c r="J173" s="249"/>
      <c r="K173" s="240"/>
      <c r="L173" s="240"/>
      <c r="M173" s="240"/>
    </row>
    <row r="174" spans="1:13">
      <c r="A174" s="244" t="s">
        <v>684</v>
      </c>
      <c r="B174" s="244" t="s">
        <v>1353</v>
      </c>
      <c r="C174" s="244" t="s">
        <v>1437</v>
      </c>
      <c r="D174" s="244" t="s">
        <v>1439</v>
      </c>
      <c r="E174" s="244" t="s">
        <v>1356</v>
      </c>
      <c r="F174" s="251">
        <v>80000</v>
      </c>
      <c r="G174" s="252">
        <v>45090</v>
      </c>
      <c r="H174" s="244"/>
      <c r="I174" s="244" t="s">
        <v>1363</v>
      </c>
      <c r="J174" s="251"/>
      <c r="K174" s="244"/>
      <c r="L174" s="244"/>
      <c r="M174" s="244"/>
    </row>
    <row r="175" spans="1:13">
      <c r="A175" s="240" t="s">
        <v>684</v>
      </c>
      <c r="B175" s="240" t="s">
        <v>1353</v>
      </c>
      <c r="C175" s="240" t="s">
        <v>1440</v>
      </c>
      <c r="D175" s="240" t="s">
        <v>1439</v>
      </c>
      <c r="E175" s="240" t="s">
        <v>1356</v>
      </c>
      <c r="F175" s="249">
        <v>70000</v>
      </c>
      <c r="G175" s="250">
        <v>45090</v>
      </c>
      <c r="H175" s="240"/>
      <c r="I175" s="240" t="s">
        <v>1363</v>
      </c>
      <c r="J175" s="249"/>
      <c r="K175" s="240"/>
      <c r="L175" s="240"/>
      <c r="M175" s="240"/>
    </row>
    <row r="176" spans="1:13">
      <c r="A176" s="244" t="s">
        <v>684</v>
      </c>
      <c r="B176" s="244" t="s">
        <v>1353</v>
      </c>
      <c r="C176" s="244" t="s">
        <v>1440</v>
      </c>
      <c r="D176" s="244" t="s">
        <v>1439</v>
      </c>
      <c r="E176" s="244" t="s">
        <v>1356</v>
      </c>
      <c r="F176" s="251">
        <v>70000</v>
      </c>
      <c r="G176" s="252">
        <v>45090</v>
      </c>
      <c r="H176" s="244"/>
      <c r="I176" s="244" t="s">
        <v>1363</v>
      </c>
      <c r="J176" s="251"/>
      <c r="K176" s="244"/>
      <c r="L176" s="244"/>
      <c r="M176" s="244"/>
    </row>
    <row r="177" spans="1:13">
      <c r="A177" s="240" t="s">
        <v>684</v>
      </c>
      <c r="B177" s="240" t="s">
        <v>1353</v>
      </c>
      <c r="C177" s="240" t="s">
        <v>1440</v>
      </c>
      <c r="D177" s="240" t="s">
        <v>1439</v>
      </c>
      <c r="E177" s="240" t="s">
        <v>1356</v>
      </c>
      <c r="F177" s="249">
        <v>70000</v>
      </c>
      <c r="G177" s="250">
        <v>45090</v>
      </c>
      <c r="H177" s="240"/>
      <c r="I177" s="240" t="s">
        <v>1363</v>
      </c>
      <c r="J177" s="249"/>
      <c r="K177" s="240"/>
      <c r="L177" s="240"/>
      <c r="M177" s="240"/>
    </row>
    <row r="178" spans="1:13">
      <c r="A178" s="244" t="s">
        <v>684</v>
      </c>
      <c r="B178" s="244" t="s">
        <v>1353</v>
      </c>
      <c r="C178" s="244" t="s">
        <v>1440</v>
      </c>
      <c r="D178" s="244" t="s">
        <v>1439</v>
      </c>
      <c r="E178" s="244" t="s">
        <v>1356</v>
      </c>
      <c r="F178" s="251">
        <v>70000</v>
      </c>
      <c r="G178" s="252">
        <v>45090</v>
      </c>
      <c r="H178" s="244"/>
      <c r="I178" s="244" t="s">
        <v>1363</v>
      </c>
      <c r="J178" s="251"/>
      <c r="K178" s="244"/>
      <c r="L178" s="244"/>
      <c r="M178" s="244"/>
    </row>
    <row r="179" spans="1:13">
      <c r="A179" s="240" t="s">
        <v>684</v>
      </c>
      <c r="B179" s="240" t="s">
        <v>1353</v>
      </c>
      <c r="C179" s="240" t="s">
        <v>1440</v>
      </c>
      <c r="D179" s="240" t="s">
        <v>1439</v>
      </c>
      <c r="E179" s="240" t="s">
        <v>1356</v>
      </c>
      <c r="F179" s="249">
        <v>70000</v>
      </c>
      <c r="G179" s="250">
        <v>45090</v>
      </c>
      <c r="H179" s="240"/>
      <c r="I179" s="240" t="s">
        <v>1363</v>
      </c>
      <c r="J179" s="249"/>
      <c r="K179" s="240"/>
      <c r="L179" s="240"/>
      <c r="M179" s="240"/>
    </row>
    <row r="180" spans="1:13">
      <c r="A180" s="244" t="s">
        <v>684</v>
      </c>
      <c r="B180" s="244" t="s">
        <v>1353</v>
      </c>
      <c r="C180" s="244" t="s">
        <v>1440</v>
      </c>
      <c r="D180" s="244" t="s">
        <v>1439</v>
      </c>
      <c r="E180" s="244" t="s">
        <v>1356</v>
      </c>
      <c r="F180" s="251">
        <v>70000</v>
      </c>
      <c r="G180" s="252">
        <v>45090</v>
      </c>
      <c r="H180" s="244"/>
      <c r="I180" s="244" t="s">
        <v>1363</v>
      </c>
      <c r="J180" s="251"/>
      <c r="K180" s="244"/>
      <c r="L180" s="244"/>
      <c r="M180" s="244"/>
    </row>
    <row r="181" spans="1:13">
      <c r="A181" s="240" t="s">
        <v>684</v>
      </c>
      <c r="B181" s="240" t="s">
        <v>1353</v>
      </c>
      <c r="C181" s="240" t="s">
        <v>1440</v>
      </c>
      <c r="D181" s="240" t="s">
        <v>1439</v>
      </c>
      <c r="E181" s="240" t="s">
        <v>1356</v>
      </c>
      <c r="F181" s="249">
        <v>70000</v>
      </c>
      <c r="G181" s="250">
        <v>45090</v>
      </c>
      <c r="H181" s="240"/>
      <c r="I181" s="240" t="s">
        <v>1363</v>
      </c>
      <c r="J181" s="249"/>
      <c r="K181" s="240"/>
      <c r="L181" s="240"/>
      <c r="M181" s="240"/>
    </row>
    <row r="182" spans="1:13">
      <c r="A182" s="244" t="s">
        <v>684</v>
      </c>
      <c r="B182" s="244" t="s">
        <v>1353</v>
      </c>
      <c r="C182" s="244" t="s">
        <v>1440</v>
      </c>
      <c r="D182" s="244" t="s">
        <v>1439</v>
      </c>
      <c r="E182" s="244" t="s">
        <v>1356</v>
      </c>
      <c r="F182" s="251">
        <v>70000</v>
      </c>
      <c r="G182" s="252">
        <v>45090</v>
      </c>
      <c r="H182" s="244"/>
      <c r="I182" s="244" t="s">
        <v>1363</v>
      </c>
      <c r="J182" s="251"/>
      <c r="K182" s="244"/>
      <c r="L182" s="244"/>
      <c r="M182" s="244"/>
    </row>
    <row r="183" spans="1:13">
      <c r="A183" s="240" t="s">
        <v>684</v>
      </c>
      <c r="B183" s="240" t="s">
        <v>1353</v>
      </c>
      <c r="C183" s="240" t="s">
        <v>1440</v>
      </c>
      <c r="D183" s="240" t="s">
        <v>1439</v>
      </c>
      <c r="E183" s="240" t="s">
        <v>1356</v>
      </c>
      <c r="F183" s="249">
        <v>70000</v>
      </c>
      <c r="G183" s="250">
        <v>45090</v>
      </c>
      <c r="H183" s="240"/>
      <c r="I183" s="240" t="s">
        <v>1363</v>
      </c>
      <c r="J183" s="249"/>
      <c r="K183" s="240"/>
      <c r="L183" s="240"/>
      <c r="M183" s="240"/>
    </row>
    <row r="184" spans="1:13">
      <c r="A184" s="244" t="s">
        <v>684</v>
      </c>
      <c r="B184" s="244" t="s">
        <v>1353</v>
      </c>
      <c r="C184" s="244" t="s">
        <v>1440</v>
      </c>
      <c r="D184" s="244" t="s">
        <v>1439</v>
      </c>
      <c r="E184" s="244" t="s">
        <v>1356</v>
      </c>
      <c r="F184" s="251">
        <v>70000</v>
      </c>
      <c r="G184" s="252">
        <v>45090</v>
      </c>
      <c r="H184" s="244"/>
      <c r="I184" s="244" t="s">
        <v>1363</v>
      </c>
      <c r="J184" s="251"/>
      <c r="K184" s="244"/>
      <c r="L184" s="244"/>
      <c r="M184" s="244"/>
    </row>
    <row r="185" spans="1:13">
      <c r="A185" s="240" t="s">
        <v>684</v>
      </c>
      <c r="B185" s="240" t="s">
        <v>1353</v>
      </c>
      <c r="C185" s="240" t="s">
        <v>1440</v>
      </c>
      <c r="D185" s="240" t="s">
        <v>1439</v>
      </c>
      <c r="E185" s="240" t="s">
        <v>1356</v>
      </c>
      <c r="F185" s="249">
        <v>70000</v>
      </c>
      <c r="G185" s="250">
        <v>45090</v>
      </c>
      <c r="H185" s="240"/>
      <c r="I185" s="240" t="s">
        <v>1363</v>
      </c>
      <c r="J185" s="249"/>
      <c r="K185" s="240"/>
      <c r="L185" s="240"/>
      <c r="M185" s="240"/>
    </row>
    <row r="186" spans="1:13">
      <c r="A186" s="244" t="s">
        <v>684</v>
      </c>
      <c r="B186" s="244" t="s">
        <v>1353</v>
      </c>
      <c r="C186" s="244" t="s">
        <v>1440</v>
      </c>
      <c r="D186" s="244" t="s">
        <v>1439</v>
      </c>
      <c r="E186" s="244" t="s">
        <v>1356</v>
      </c>
      <c r="F186" s="251">
        <v>70000</v>
      </c>
      <c r="G186" s="252">
        <v>45090</v>
      </c>
      <c r="H186" s="244"/>
      <c r="I186" s="244" t="s">
        <v>1363</v>
      </c>
      <c r="J186" s="251"/>
      <c r="K186" s="244"/>
      <c r="L186" s="244"/>
      <c r="M186" s="244"/>
    </row>
    <row r="187" spans="1:13">
      <c r="A187" s="240" t="s">
        <v>684</v>
      </c>
      <c r="B187" s="240" t="s">
        <v>1353</v>
      </c>
      <c r="C187" s="240" t="s">
        <v>1440</v>
      </c>
      <c r="D187" s="240" t="s">
        <v>1439</v>
      </c>
      <c r="E187" s="240" t="s">
        <v>1356</v>
      </c>
      <c r="F187" s="249">
        <v>70000</v>
      </c>
      <c r="G187" s="250">
        <v>45090</v>
      </c>
      <c r="H187" s="240"/>
      <c r="I187" s="240" t="s">
        <v>1363</v>
      </c>
      <c r="J187" s="249"/>
      <c r="K187" s="240"/>
      <c r="L187" s="240"/>
      <c r="M187" s="240"/>
    </row>
    <row r="188" spans="1:13">
      <c r="A188" s="244" t="s">
        <v>684</v>
      </c>
      <c r="B188" s="244" t="s">
        <v>1353</v>
      </c>
      <c r="C188" s="244" t="s">
        <v>1440</v>
      </c>
      <c r="D188" s="244" t="s">
        <v>1439</v>
      </c>
      <c r="E188" s="244" t="s">
        <v>1356</v>
      </c>
      <c r="F188" s="251">
        <v>70000</v>
      </c>
      <c r="G188" s="252">
        <v>45090</v>
      </c>
      <c r="H188" s="244"/>
      <c r="I188" s="244" t="s">
        <v>1363</v>
      </c>
      <c r="J188" s="251"/>
      <c r="K188" s="244"/>
      <c r="L188" s="244"/>
      <c r="M188" s="244"/>
    </row>
    <row r="189" spans="1:13">
      <c r="A189" s="240" t="s">
        <v>684</v>
      </c>
      <c r="B189" s="240" t="s">
        <v>1353</v>
      </c>
      <c r="C189" s="240" t="s">
        <v>1440</v>
      </c>
      <c r="D189" s="240" t="s">
        <v>1439</v>
      </c>
      <c r="E189" s="240" t="s">
        <v>1356</v>
      </c>
      <c r="F189" s="249">
        <v>70000</v>
      </c>
      <c r="G189" s="250">
        <v>45090</v>
      </c>
      <c r="H189" s="240"/>
      <c r="I189" s="240" t="s">
        <v>1363</v>
      </c>
      <c r="J189" s="249"/>
      <c r="K189" s="240"/>
      <c r="L189" s="240"/>
      <c r="M189" s="240"/>
    </row>
    <row r="190" spans="1:13">
      <c r="A190" s="244" t="s">
        <v>684</v>
      </c>
      <c r="B190" s="244" t="s">
        <v>1353</v>
      </c>
      <c r="C190" s="244" t="s">
        <v>1440</v>
      </c>
      <c r="D190" s="244" t="s">
        <v>1439</v>
      </c>
      <c r="E190" s="244" t="s">
        <v>1356</v>
      </c>
      <c r="F190" s="251">
        <v>70000</v>
      </c>
      <c r="G190" s="252">
        <v>45090</v>
      </c>
      <c r="H190" s="244"/>
      <c r="I190" s="244" t="s">
        <v>1363</v>
      </c>
      <c r="J190" s="251"/>
      <c r="K190" s="244"/>
      <c r="L190" s="244"/>
      <c r="M190" s="244"/>
    </row>
    <row r="191" spans="1:13">
      <c r="A191" s="240" t="s">
        <v>684</v>
      </c>
      <c r="B191" s="240" t="s">
        <v>1353</v>
      </c>
      <c r="C191" s="240" t="s">
        <v>1440</v>
      </c>
      <c r="D191" s="240" t="s">
        <v>1439</v>
      </c>
      <c r="E191" s="240" t="s">
        <v>1356</v>
      </c>
      <c r="F191" s="249">
        <v>70000</v>
      </c>
      <c r="G191" s="250">
        <v>45090</v>
      </c>
      <c r="H191" s="240"/>
      <c r="I191" s="240" t="s">
        <v>1363</v>
      </c>
      <c r="J191" s="249"/>
      <c r="K191" s="240"/>
      <c r="L191" s="240"/>
      <c r="M191" s="240"/>
    </row>
    <row r="192" spans="1:13">
      <c r="A192" s="244" t="s">
        <v>684</v>
      </c>
      <c r="B192" s="244" t="s">
        <v>1353</v>
      </c>
      <c r="C192" s="244" t="s">
        <v>1441</v>
      </c>
      <c r="D192" s="244" t="s">
        <v>1442</v>
      </c>
      <c r="E192" s="244" t="s">
        <v>1356</v>
      </c>
      <c r="F192" s="251">
        <v>500000</v>
      </c>
      <c r="G192" s="252">
        <v>45126</v>
      </c>
      <c r="H192" s="244"/>
      <c r="I192" s="244" t="s">
        <v>1357</v>
      </c>
      <c r="J192" s="251"/>
      <c r="K192" s="244"/>
      <c r="L192" s="244"/>
      <c r="M192" s="244"/>
    </row>
    <row r="193" spans="1:13">
      <c r="A193" s="240" t="s">
        <v>684</v>
      </c>
      <c r="B193" s="240" t="s">
        <v>1353</v>
      </c>
      <c r="C193" s="240" t="s">
        <v>1437</v>
      </c>
      <c r="D193" s="240" t="s">
        <v>1443</v>
      </c>
      <c r="E193" s="240" t="s">
        <v>1356</v>
      </c>
      <c r="F193" s="249">
        <v>70000</v>
      </c>
      <c r="G193" s="250">
        <v>45090</v>
      </c>
      <c r="H193" s="240"/>
      <c r="I193" s="240" t="s">
        <v>1363</v>
      </c>
      <c r="J193" s="249"/>
      <c r="K193" s="240"/>
      <c r="L193" s="240"/>
      <c r="M193" s="240"/>
    </row>
    <row r="194" spans="1:13">
      <c r="A194" s="244" t="s">
        <v>684</v>
      </c>
      <c r="B194" s="244" t="s">
        <v>1353</v>
      </c>
      <c r="C194" s="244" t="s">
        <v>1437</v>
      </c>
      <c r="D194" s="244" t="s">
        <v>1443</v>
      </c>
      <c r="E194" s="244" t="s">
        <v>1356</v>
      </c>
      <c r="F194" s="251">
        <v>70000</v>
      </c>
      <c r="G194" s="252">
        <v>45090</v>
      </c>
      <c r="H194" s="244"/>
      <c r="I194" s="244" t="s">
        <v>1363</v>
      </c>
      <c r="J194" s="251"/>
      <c r="K194" s="244"/>
      <c r="L194" s="244"/>
      <c r="M194" s="244"/>
    </row>
    <row r="195" spans="1:13">
      <c r="A195" s="240" t="s">
        <v>684</v>
      </c>
      <c r="B195" s="240" t="s">
        <v>1353</v>
      </c>
      <c r="C195" s="240" t="s">
        <v>1437</v>
      </c>
      <c r="D195" s="240" t="s">
        <v>1443</v>
      </c>
      <c r="E195" s="240" t="s">
        <v>1356</v>
      </c>
      <c r="F195" s="249">
        <v>70000</v>
      </c>
      <c r="G195" s="250">
        <v>45090</v>
      </c>
      <c r="H195" s="240"/>
      <c r="I195" s="240" t="s">
        <v>1363</v>
      </c>
      <c r="J195" s="249"/>
      <c r="K195" s="240"/>
      <c r="L195" s="240"/>
      <c r="M195" s="240"/>
    </row>
    <row r="196" spans="1:13">
      <c r="A196" s="244" t="s">
        <v>684</v>
      </c>
      <c r="B196" s="244" t="s">
        <v>1353</v>
      </c>
      <c r="C196" s="244" t="s">
        <v>1437</v>
      </c>
      <c r="D196" s="244" t="s">
        <v>1443</v>
      </c>
      <c r="E196" s="244" t="s">
        <v>1356</v>
      </c>
      <c r="F196" s="251">
        <v>70000</v>
      </c>
      <c r="G196" s="252">
        <v>45090</v>
      </c>
      <c r="H196" s="244"/>
      <c r="I196" s="244" t="s">
        <v>1363</v>
      </c>
      <c r="J196" s="251"/>
      <c r="K196" s="244"/>
      <c r="L196" s="244"/>
      <c r="M196" s="244"/>
    </row>
    <row r="197" spans="1:13">
      <c r="A197" s="240" t="s">
        <v>684</v>
      </c>
      <c r="B197" s="240" t="s">
        <v>1353</v>
      </c>
      <c r="C197" s="240" t="s">
        <v>1437</v>
      </c>
      <c r="D197" s="240" t="s">
        <v>1443</v>
      </c>
      <c r="E197" s="240" t="s">
        <v>1356</v>
      </c>
      <c r="F197" s="249">
        <v>70000</v>
      </c>
      <c r="G197" s="250">
        <v>45090</v>
      </c>
      <c r="H197" s="240"/>
      <c r="I197" s="240" t="s">
        <v>1363</v>
      </c>
      <c r="J197" s="249"/>
      <c r="K197" s="240"/>
      <c r="L197" s="240"/>
      <c r="M197" s="240"/>
    </row>
    <row r="198" spans="1:13">
      <c r="A198" s="244" t="s">
        <v>684</v>
      </c>
      <c r="B198" s="244" t="s">
        <v>1353</v>
      </c>
      <c r="C198" s="244" t="s">
        <v>1437</v>
      </c>
      <c r="D198" s="244" t="s">
        <v>1443</v>
      </c>
      <c r="E198" s="244" t="s">
        <v>1356</v>
      </c>
      <c r="F198" s="251">
        <v>70000</v>
      </c>
      <c r="G198" s="252">
        <v>45090</v>
      </c>
      <c r="H198" s="244"/>
      <c r="I198" s="244" t="s">
        <v>1363</v>
      </c>
      <c r="J198" s="251"/>
      <c r="K198" s="244"/>
      <c r="L198" s="244"/>
      <c r="M198" s="244"/>
    </row>
    <row r="199" spans="1:13">
      <c r="A199" s="240" t="s">
        <v>684</v>
      </c>
      <c r="B199" s="240" t="s">
        <v>1353</v>
      </c>
      <c r="C199" s="240" t="s">
        <v>1437</v>
      </c>
      <c r="D199" s="240" t="s">
        <v>1443</v>
      </c>
      <c r="E199" s="240" t="s">
        <v>1356</v>
      </c>
      <c r="F199" s="249">
        <v>70000</v>
      </c>
      <c r="G199" s="250">
        <v>45090</v>
      </c>
      <c r="H199" s="240"/>
      <c r="I199" s="240" t="s">
        <v>1363</v>
      </c>
      <c r="J199" s="249"/>
      <c r="K199" s="240"/>
      <c r="L199" s="240"/>
      <c r="M199" s="240"/>
    </row>
    <row r="200" spans="1:13">
      <c r="A200" s="244" t="s">
        <v>684</v>
      </c>
      <c r="B200" s="244" t="s">
        <v>1353</v>
      </c>
      <c r="C200" s="244" t="s">
        <v>1437</v>
      </c>
      <c r="D200" s="244" t="s">
        <v>1443</v>
      </c>
      <c r="E200" s="244" t="s">
        <v>1356</v>
      </c>
      <c r="F200" s="251">
        <v>70000</v>
      </c>
      <c r="G200" s="252">
        <v>45090</v>
      </c>
      <c r="H200" s="244"/>
      <c r="I200" s="244" t="s">
        <v>1363</v>
      </c>
      <c r="J200" s="251"/>
      <c r="K200" s="244"/>
      <c r="L200" s="244"/>
      <c r="M200" s="244"/>
    </row>
    <row r="201" spans="1:13">
      <c r="A201" s="240" t="s">
        <v>684</v>
      </c>
      <c r="B201" s="240" t="s">
        <v>1353</v>
      </c>
      <c r="C201" s="240" t="s">
        <v>1437</v>
      </c>
      <c r="D201" s="240" t="s">
        <v>1443</v>
      </c>
      <c r="E201" s="240" t="s">
        <v>1356</v>
      </c>
      <c r="F201" s="249">
        <v>70000</v>
      </c>
      <c r="G201" s="250">
        <v>45090</v>
      </c>
      <c r="H201" s="240"/>
      <c r="I201" s="240" t="s">
        <v>1363</v>
      </c>
      <c r="J201" s="249"/>
      <c r="K201" s="240"/>
      <c r="L201" s="240"/>
      <c r="M201" s="240"/>
    </row>
    <row r="202" spans="1:13">
      <c r="A202" s="244" t="s">
        <v>684</v>
      </c>
      <c r="B202" s="244" t="s">
        <v>1353</v>
      </c>
      <c r="C202" s="244" t="s">
        <v>1437</v>
      </c>
      <c r="D202" s="244" t="s">
        <v>1443</v>
      </c>
      <c r="E202" s="244" t="s">
        <v>1356</v>
      </c>
      <c r="F202" s="251">
        <v>70000</v>
      </c>
      <c r="G202" s="252">
        <v>45090</v>
      </c>
      <c r="H202" s="244"/>
      <c r="I202" s="244" t="s">
        <v>1363</v>
      </c>
      <c r="J202" s="251"/>
      <c r="K202" s="244"/>
      <c r="L202" s="244"/>
      <c r="M202" s="244"/>
    </row>
    <row r="203" spans="1:13">
      <c r="A203" s="240" t="s">
        <v>684</v>
      </c>
      <c r="B203" s="240" t="s">
        <v>1353</v>
      </c>
      <c r="C203" s="240" t="s">
        <v>1437</v>
      </c>
      <c r="D203" s="240" t="s">
        <v>1443</v>
      </c>
      <c r="E203" s="240" t="s">
        <v>1356</v>
      </c>
      <c r="F203" s="249">
        <v>70000</v>
      </c>
      <c r="G203" s="250">
        <v>45090</v>
      </c>
      <c r="H203" s="240"/>
      <c r="I203" s="240" t="s">
        <v>1363</v>
      </c>
      <c r="J203" s="249"/>
      <c r="K203" s="240"/>
      <c r="L203" s="240"/>
      <c r="M203" s="240"/>
    </row>
    <row r="204" spans="1:13">
      <c r="A204" s="244" t="s">
        <v>684</v>
      </c>
      <c r="B204" s="244" t="s">
        <v>1353</v>
      </c>
      <c r="C204" s="244" t="s">
        <v>1437</v>
      </c>
      <c r="D204" s="244" t="s">
        <v>1443</v>
      </c>
      <c r="E204" s="244" t="s">
        <v>1356</v>
      </c>
      <c r="F204" s="251">
        <v>70000</v>
      </c>
      <c r="G204" s="252">
        <v>45090</v>
      </c>
      <c r="H204" s="244"/>
      <c r="I204" s="244" t="s">
        <v>1363</v>
      </c>
      <c r="J204" s="251"/>
      <c r="K204" s="244"/>
      <c r="L204" s="244"/>
      <c r="M204" s="244"/>
    </row>
    <row r="205" spans="1:13">
      <c r="A205" s="240" t="s">
        <v>684</v>
      </c>
      <c r="B205" s="240" t="s">
        <v>1353</v>
      </c>
      <c r="C205" s="240" t="s">
        <v>1437</v>
      </c>
      <c r="D205" s="240" t="s">
        <v>1443</v>
      </c>
      <c r="E205" s="240" t="s">
        <v>1356</v>
      </c>
      <c r="F205" s="249">
        <v>70000</v>
      </c>
      <c r="G205" s="250">
        <v>45090</v>
      </c>
      <c r="H205" s="240"/>
      <c r="I205" s="240" t="s">
        <v>1363</v>
      </c>
      <c r="J205" s="249"/>
      <c r="K205" s="240"/>
      <c r="L205" s="240"/>
      <c r="M205" s="240"/>
    </row>
    <row r="206" spans="1:13">
      <c r="A206" s="244" t="s">
        <v>684</v>
      </c>
      <c r="B206" s="244" t="s">
        <v>1353</v>
      </c>
      <c r="C206" s="244" t="s">
        <v>1437</v>
      </c>
      <c r="D206" s="244" t="s">
        <v>1443</v>
      </c>
      <c r="E206" s="244" t="s">
        <v>1356</v>
      </c>
      <c r="F206" s="251">
        <v>70000</v>
      </c>
      <c r="G206" s="252">
        <v>45090</v>
      </c>
      <c r="H206" s="244"/>
      <c r="I206" s="244" t="s">
        <v>1363</v>
      </c>
      <c r="J206" s="251"/>
      <c r="K206" s="244"/>
      <c r="L206" s="244"/>
      <c r="M206" s="244"/>
    </row>
    <row r="207" spans="1:13">
      <c r="A207" s="240" t="s">
        <v>684</v>
      </c>
      <c r="B207" s="240" t="s">
        <v>1353</v>
      </c>
      <c r="C207" s="240" t="s">
        <v>1437</v>
      </c>
      <c r="D207" s="240" t="s">
        <v>1443</v>
      </c>
      <c r="E207" s="240" t="s">
        <v>1356</v>
      </c>
      <c r="F207" s="249">
        <v>70000</v>
      </c>
      <c r="G207" s="250">
        <v>45090</v>
      </c>
      <c r="H207" s="240"/>
      <c r="I207" s="240" t="s">
        <v>1363</v>
      </c>
      <c r="J207" s="249"/>
      <c r="K207" s="240"/>
      <c r="L207" s="240"/>
      <c r="M207" s="240"/>
    </row>
    <row r="208" spans="1:13">
      <c r="A208" s="244" t="s">
        <v>684</v>
      </c>
      <c r="B208" s="244" t="s">
        <v>1353</v>
      </c>
      <c r="C208" s="244" t="s">
        <v>1437</v>
      </c>
      <c r="D208" s="244" t="s">
        <v>1443</v>
      </c>
      <c r="E208" s="244" t="s">
        <v>1356</v>
      </c>
      <c r="F208" s="251">
        <v>70000</v>
      </c>
      <c r="G208" s="252">
        <v>45090</v>
      </c>
      <c r="H208" s="244"/>
      <c r="I208" s="244" t="s">
        <v>1363</v>
      </c>
      <c r="J208" s="251"/>
      <c r="K208" s="244"/>
      <c r="L208" s="244"/>
      <c r="M208" s="244"/>
    </row>
    <row r="209" spans="1:13">
      <c r="A209" s="240" t="s">
        <v>684</v>
      </c>
      <c r="B209" s="240" t="s">
        <v>1353</v>
      </c>
      <c r="C209" s="240" t="s">
        <v>1437</v>
      </c>
      <c r="D209" s="240" t="s">
        <v>1443</v>
      </c>
      <c r="E209" s="240" t="s">
        <v>1356</v>
      </c>
      <c r="F209" s="249">
        <v>70000</v>
      </c>
      <c r="G209" s="250">
        <v>45090</v>
      </c>
      <c r="H209" s="240"/>
      <c r="I209" s="240" t="s">
        <v>1363</v>
      </c>
      <c r="J209" s="249"/>
      <c r="K209" s="240"/>
      <c r="L209" s="240"/>
      <c r="M209" s="240"/>
    </row>
    <row r="210" spans="1:13">
      <c r="A210" s="244" t="s">
        <v>684</v>
      </c>
      <c r="B210" s="244" t="s">
        <v>1353</v>
      </c>
      <c r="C210" s="244" t="s">
        <v>1437</v>
      </c>
      <c r="D210" s="244" t="s">
        <v>1443</v>
      </c>
      <c r="E210" s="244" t="s">
        <v>1356</v>
      </c>
      <c r="F210" s="251">
        <v>70000</v>
      </c>
      <c r="G210" s="252">
        <v>45090</v>
      </c>
      <c r="H210" s="244"/>
      <c r="I210" s="244" t="s">
        <v>1363</v>
      </c>
      <c r="J210" s="251"/>
      <c r="K210" s="244"/>
      <c r="L210" s="244"/>
      <c r="M210" s="244"/>
    </row>
    <row r="211" spans="1:13">
      <c r="A211" s="240" t="s">
        <v>684</v>
      </c>
      <c r="B211" s="240" t="s">
        <v>1353</v>
      </c>
      <c r="C211" s="240" t="s">
        <v>1437</v>
      </c>
      <c r="D211" s="240" t="s">
        <v>1443</v>
      </c>
      <c r="E211" s="240" t="s">
        <v>1356</v>
      </c>
      <c r="F211" s="249">
        <v>70000</v>
      </c>
      <c r="G211" s="250">
        <v>45090</v>
      </c>
      <c r="H211" s="240"/>
      <c r="I211" s="240" t="s">
        <v>1363</v>
      </c>
      <c r="J211" s="249"/>
      <c r="K211" s="240"/>
      <c r="L211" s="240"/>
      <c r="M211" s="240"/>
    </row>
    <row r="212" spans="1:13">
      <c r="A212" s="244" t="s">
        <v>684</v>
      </c>
      <c r="B212" s="244" t="s">
        <v>1353</v>
      </c>
      <c r="C212" s="244" t="s">
        <v>1437</v>
      </c>
      <c r="D212" s="244" t="s">
        <v>1443</v>
      </c>
      <c r="E212" s="244" t="s">
        <v>1356</v>
      </c>
      <c r="F212" s="251">
        <v>70000</v>
      </c>
      <c r="G212" s="252">
        <v>45090</v>
      </c>
      <c r="H212" s="244"/>
      <c r="I212" s="244" t="s">
        <v>1363</v>
      </c>
      <c r="J212" s="251"/>
      <c r="K212" s="244"/>
      <c r="L212" s="244"/>
      <c r="M212" s="244"/>
    </row>
    <row r="213" spans="1:13">
      <c r="A213" s="240" t="s">
        <v>684</v>
      </c>
      <c r="B213" s="240" t="s">
        <v>1353</v>
      </c>
      <c r="C213" s="240" t="s">
        <v>1437</v>
      </c>
      <c r="D213" s="240" t="s">
        <v>1443</v>
      </c>
      <c r="E213" s="240" t="s">
        <v>1356</v>
      </c>
      <c r="F213" s="249">
        <v>70000</v>
      </c>
      <c r="G213" s="250">
        <v>45090</v>
      </c>
      <c r="H213" s="240"/>
      <c r="I213" s="240" t="s">
        <v>1363</v>
      </c>
      <c r="J213" s="249"/>
      <c r="K213" s="240"/>
      <c r="L213" s="240"/>
      <c r="M213" s="240"/>
    </row>
    <row r="214" spans="1:13">
      <c r="A214" s="244" t="s">
        <v>684</v>
      </c>
      <c r="B214" s="244" t="s">
        <v>1353</v>
      </c>
      <c r="C214" s="244" t="s">
        <v>1437</v>
      </c>
      <c r="D214" s="244" t="s">
        <v>1443</v>
      </c>
      <c r="E214" s="244" t="s">
        <v>1356</v>
      </c>
      <c r="F214" s="251">
        <v>70000</v>
      </c>
      <c r="G214" s="252">
        <v>45090</v>
      </c>
      <c r="H214" s="244"/>
      <c r="I214" s="244" t="s">
        <v>1363</v>
      </c>
      <c r="J214" s="251"/>
      <c r="K214" s="244"/>
      <c r="L214" s="244"/>
      <c r="M214" s="244"/>
    </row>
    <row r="215" spans="1:13">
      <c r="A215" s="240" t="s">
        <v>684</v>
      </c>
      <c r="B215" s="240" t="s">
        <v>1353</v>
      </c>
      <c r="C215" s="240" t="s">
        <v>1437</v>
      </c>
      <c r="D215" s="240" t="s">
        <v>1443</v>
      </c>
      <c r="E215" s="240" t="s">
        <v>1356</v>
      </c>
      <c r="F215" s="249">
        <v>70000</v>
      </c>
      <c r="G215" s="250">
        <v>45090</v>
      </c>
      <c r="H215" s="240"/>
      <c r="I215" s="240" t="s">
        <v>1363</v>
      </c>
      <c r="J215" s="249"/>
      <c r="K215" s="240"/>
      <c r="L215" s="240"/>
      <c r="M215" s="240"/>
    </row>
    <row r="216" spans="1:13">
      <c r="A216" s="244" t="s">
        <v>684</v>
      </c>
      <c r="B216" s="244" t="s">
        <v>1353</v>
      </c>
      <c r="C216" s="244" t="s">
        <v>1437</v>
      </c>
      <c r="D216" s="244" t="s">
        <v>1443</v>
      </c>
      <c r="E216" s="244" t="s">
        <v>1356</v>
      </c>
      <c r="F216" s="251">
        <v>70000</v>
      </c>
      <c r="G216" s="252">
        <v>45090</v>
      </c>
      <c r="H216" s="244"/>
      <c r="I216" s="244" t="s">
        <v>1363</v>
      </c>
      <c r="J216" s="251"/>
      <c r="K216" s="244"/>
      <c r="L216" s="244"/>
      <c r="M216" s="244"/>
    </row>
    <row r="217" spans="1:13">
      <c r="A217" s="240" t="s">
        <v>684</v>
      </c>
      <c r="B217" s="240" t="s">
        <v>1353</v>
      </c>
      <c r="C217" s="240" t="s">
        <v>1437</v>
      </c>
      <c r="D217" s="240" t="s">
        <v>1443</v>
      </c>
      <c r="E217" s="240" t="s">
        <v>1356</v>
      </c>
      <c r="F217" s="249">
        <v>70000</v>
      </c>
      <c r="G217" s="250">
        <v>45090</v>
      </c>
      <c r="H217" s="240"/>
      <c r="I217" s="240" t="s">
        <v>1363</v>
      </c>
      <c r="J217" s="249"/>
      <c r="K217" s="240"/>
      <c r="L217" s="240"/>
      <c r="M217" s="240"/>
    </row>
    <row r="218" spans="1:13">
      <c r="A218" s="244" t="s">
        <v>684</v>
      </c>
      <c r="B218" s="244" t="s">
        <v>1353</v>
      </c>
      <c r="C218" s="244" t="s">
        <v>1437</v>
      </c>
      <c r="D218" s="244" t="s">
        <v>1443</v>
      </c>
      <c r="E218" s="244" t="s">
        <v>1356</v>
      </c>
      <c r="F218" s="251">
        <v>70000</v>
      </c>
      <c r="G218" s="252">
        <v>45090</v>
      </c>
      <c r="H218" s="244"/>
      <c r="I218" s="244" t="s">
        <v>1363</v>
      </c>
      <c r="J218" s="251"/>
      <c r="K218" s="244"/>
      <c r="L218" s="244"/>
      <c r="M218" s="244"/>
    </row>
    <row r="219" spans="1:13">
      <c r="A219" s="240" t="s">
        <v>684</v>
      </c>
      <c r="B219" s="240" t="s">
        <v>1353</v>
      </c>
      <c r="C219" s="240" t="s">
        <v>1437</v>
      </c>
      <c r="D219" s="240" t="s">
        <v>1443</v>
      </c>
      <c r="E219" s="240" t="s">
        <v>1356</v>
      </c>
      <c r="F219" s="249">
        <v>70000</v>
      </c>
      <c r="G219" s="250">
        <v>45090</v>
      </c>
      <c r="H219" s="240"/>
      <c r="I219" s="240" t="s">
        <v>1363</v>
      </c>
      <c r="J219" s="249"/>
      <c r="K219" s="240"/>
      <c r="L219" s="240"/>
      <c r="M219" s="240"/>
    </row>
    <row r="220" spans="1:13">
      <c r="A220" s="244" t="s">
        <v>684</v>
      </c>
      <c r="B220" s="244" t="s">
        <v>1353</v>
      </c>
      <c r="C220" s="244" t="s">
        <v>1437</v>
      </c>
      <c r="D220" s="244" t="s">
        <v>1444</v>
      </c>
      <c r="E220" s="244" t="s">
        <v>1404</v>
      </c>
      <c r="F220" s="251">
        <v>250000</v>
      </c>
      <c r="G220" s="252">
        <v>45090</v>
      </c>
      <c r="H220" s="244"/>
      <c r="I220" s="244" t="s">
        <v>1363</v>
      </c>
      <c r="J220" s="251"/>
      <c r="K220" s="244"/>
      <c r="L220" s="244"/>
      <c r="M220" s="244"/>
    </row>
    <row r="221" spans="1:13">
      <c r="A221" s="240" t="s">
        <v>684</v>
      </c>
      <c r="B221" s="240" t="s">
        <v>1353</v>
      </c>
      <c r="C221" s="240" t="s">
        <v>1437</v>
      </c>
      <c r="D221" s="240" t="s">
        <v>1444</v>
      </c>
      <c r="E221" s="240" t="s">
        <v>1404</v>
      </c>
      <c r="F221" s="249">
        <v>250000</v>
      </c>
      <c r="G221" s="250">
        <v>45090</v>
      </c>
      <c r="H221" s="240"/>
      <c r="I221" s="240" t="s">
        <v>1363</v>
      </c>
      <c r="J221" s="249"/>
      <c r="K221" s="240"/>
      <c r="L221" s="240"/>
      <c r="M221" s="240"/>
    </row>
    <row r="222" spans="1:13">
      <c r="A222" s="244" t="s">
        <v>684</v>
      </c>
      <c r="B222" s="244" t="s">
        <v>1353</v>
      </c>
      <c r="C222" s="244" t="s">
        <v>1437</v>
      </c>
      <c r="D222" s="244" t="s">
        <v>1444</v>
      </c>
      <c r="E222" s="244" t="s">
        <v>1404</v>
      </c>
      <c r="F222" s="251">
        <v>200000</v>
      </c>
      <c r="G222" s="252">
        <v>45090</v>
      </c>
      <c r="H222" s="244"/>
      <c r="I222" s="244" t="s">
        <v>1363</v>
      </c>
      <c r="J222" s="251"/>
      <c r="K222" s="244"/>
      <c r="L222" s="244"/>
      <c r="M222" s="244"/>
    </row>
    <row r="223" spans="1:13">
      <c r="A223" s="240" t="s">
        <v>684</v>
      </c>
      <c r="B223" s="240" t="s">
        <v>1353</v>
      </c>
      <c r="C223" s="240" t="s">
        <v>1437</v>
      </c>
      <c r="D223" s="240" t="s">
        <v>1444</v>
      </c>
      <c r="E223" s="240" t="s">
        <v>1404</v>
      </c>
      <c r="F223" s="249">
        <v>150000</v>
      </c>
      <c r="G223" s="250">
        <v>45090</v>
      </c>
      <c r="H223" s="240"/>
      <c r="I223" s="240" t="s">
        <v>1363</v>
      </c>
      <c r="J223" s="249"/>
      <c r="K223" s="240"/>
      <c r="L223" s="240"/>
      <c r="M223" s="240"/>
    </row>
    <row r="224" spans="1:13">
      <c r="A224" s="244" t="s">
        <v>684</v>
      </c>
      <c r="B224" s="244" t="s">
        <v>1353</v>
      </c>
      <c r="C224" s="244" t="s">
        <v>1437</v>
      </c>
      <c r="D224" s="244" t="s">
        <v>1444</v>
      </c>
      <c r="E224" s="244" t="s">
        <v>1404</v>
      </c>
      <c r="F224" s="251">
        <v>150000</v>
      </c>
      <c r="G224" s="252">
        <v>45090</v>
      </c>
      <c r="H224" s="244"/>
      <c r="I224" s="244" t="s">
        <v>1363</v>
      </c>
      <c r="J224" s="251"/>
      <c r="K224" s="244"/>
      <c r="L224" s="244"/>
      <c r="M224" s="244"/>
    </row>
    <row r="225" spans="1:13">
      <c r="A225" s="240" t="s">
        <v>684</v>
      </c>
      <c r="B225" s="240" t="s">
        <v>1353</v>
      </c>
      <c r="C225" s="240" t="s">
        <v>1437</v>
      </c>
      <c r="D225" s="240" t="s">
        <v>1444</v>
      </c>
      <c r="E225" s="240" t="s">
        <v>1404</v>
      </c>
      <c r="F225" s="249">
        <v>200000</v>
      </c>
      <c r="G225" s="250">
        <v>45090</v>
      </c>
      <c r="H225" s="240"/>
      <c r="I225" s="240" t="s">
        <v>1363</v>
      </c>
      <c r="J225" s="249"/>
      <c r="K225" s="240"/>
      <c r="L225" s="240"/>
      <c r="M225" s="240"/>
    </row>
    <row r="226" spans="1:13">
      <c r="A226" s="244" t="s">
        <v>684</v>
      </c>
      <c r="B226" s="244" t="s">
        <v>1353</v>
      </c>
      <c r="C226" s="244" t="s">
        <v>1437</v>
      </c>
      <c r="D226" s="244" t="s">
        <v>1444</v>
      </c>
      <c r="E226" s="244" t="s">
        <v>1404</v>
      </c>
      <c r="F226" s="251">
        <v>150000</v>
      </c>
      <c r="G226" s="252">
        <v>45090</v>
      </c>
      <c r="H226" s="244"/>
      <c r="I226" s="244" t="s">
        <v>1363</v>
      </c>
      <c r="J226" s="251"/>
      <c r="K226" s="244"/>
      <c r="L226" s="244"/>
      <c r="M226" s="244"/>
    </row>
    <row r="227" spans="1:13">
      <c r="A227" s="240" t="s">
        <v>684</v>
      </c>
      <c r="B227" s="240" t="s">
        <v>1353</v>
      </c>
      <c r="C227" s="240" t="s">
        <v>1437</v>
      </c>
      <c r="D227" s="240" t="s">
        <v>1444</v>
      </c>
      <c r="E227" s="240" t="s">
        <v>1404</v>
      </c>
      <c r="F227" s="249">
        <v>125000</v>
      </c>
      <c r="G227" s="250">
        <v>45090</v>
      </c>
      <c r="H227" s="240"/>
      <c r="I227" s="240" t="s">
        <v>1363</v>
      </c>
      <c r="J227" s="249"/>
      <c r="K227" s="240"/>
      <c r="L227" s="240"/>
      <c r="M227" s="240"/>
    </row>
    <row r="228" spans="1:13">
      <c r="A228" s="244" t="s">
        <v>684</v>
      </c>
      <c r="B228" s="244" t="s">
        <v>1353</v>
      </c>
      <c r="C228" s="244" t="s">
        <v>1437</v>
      </c>
      <c r="D228" s="244" t="s">
        <v>1444</v>
      </c>
      <c r="E228" s="244" t="s">
        <v>1404</v>
      </c>
      <c r="F228" s="251">
        <v>125000</v>
      </c>
      <c r="G228" s="252">
        <v>45090</v>
      </c>
      <c r="H228" s="244"/>
      <c r="I228" s="244" t="s">
        <v>1363</v>
      </c>
      <c r="J228" s="251"/>
      <c r="K228" s="244"/>
      <c r="L228" s="244"/>
      <c r="M228" s="244"/>
    </row>
    <row r="229" spans="1:13">
      <c r="A229" s="240" t="s">
        <v>684</v>
      </c>
      <c r="B229" s="240" t="s">
        <v>1353</v>
      </c>
      <c r="C229" s="240" t="s">
        <v>1437</v>
      </c>
      <c r="D229" s="240" t="s">
        <v>1444</v>
      </c>
      <c r="E229" s="240" t="s">
        <v>1404</v>
      </c>
      <c r="F229" s="249">
        <v>125000</v>
      </c>
      <c r="G229" s="250">
        <v>45090</v>
      </c>
      <c r="H229" s="240"/>
      <c r="I229" s="240" t="s">
        <v>1363</v>
      </c>
      <c r="J229" s="249"/>
      <c r="K229" s="240"/>
      <c r="L229" s="240"/>
      <c r="M229" s="240"/>
    </row>
    <row r="230" spans="1:13">
      <c r="A230" s="244" t="s">
        <v>684</v>
      </c>
      <c r="B230" s="244" t="s">
        <v>1353</v>
      </c>
      <c r="C230" s="244" t="s">
        <v>1437</v>
      </c>
      <c r="D230" s="244" t="s">
        <v>1444</v>
      </c>
      <c r="E230" s="244" t="s">
        <v>1404</v>
      </c>
      <c r="F230" s="251">
        <v>125000</v>
      </c>
      <c r="G230" s="252">
        <v>45090</v>
      </c>
      <c r="H230" s="244"/>
      <c r="I230" s="244" t="s">
        <v>1363</v>
      </c>
      <c r="J230" s="251"/>
      <c r="K230" s="244"/>
      <c r="L230" s="244"/>
      <c r="M230" s="244"/>
    </row>
    <row r="231" spans="1:13">
      <c r="A231" s="240" t="s">
        <v>684</v>
      </c>
      <c r="B231" s="240" t="s">
        <v>1353</v>
      </c>
      <c r="C231" s="240" t="s">
        <v>1437</v>
      </c>
      <c r="D231" s="240" t="s">
        <v>1444</v>
      </c>
      <c r="E231" s="240" t="s">
        <v>1404</v>
      </c>
      <c r="F231" s="249">
        <v>125000</v>
      </c>
      <c r="G231" s="250">
        <v>45090</v>
      </c>
      <c r="H231" s="240"/>
      <c r="I231" s="240" t="s">
        <v>1363</v>
      </c>
      <c r="J231" s="249"/>
      <c r="K231" s="240"/>
      <c r="L231" s="240"/>
      <c r="M231" s="240"/>
    </row>
    <row r="232" spans="1:13">
      <c r="A232" s="244" t="s">
        <v>684</v>
      </c>
      <c r="B232" s="244" t="s">
        <v>1353</v>
      </c>
      <c r="C232" s="244" t="s">
        <v>1437</v>
      </c>
      <c r="D232" s="244" t="s">
        <v>1444</v>
      </c>
      <c r="E232" s="244" t="s">
        <v>1404</v>
      </c>
      <c r="F232" s="251">
        <v>100000</v>
      </c>
      <c r="G232" s="252">
        <v>45090</v>
      </c>
      <c r="H232" s="244"/>
      <c r="I232" s="244" t="s">
        <v>1363</v>
      </c>
      <c r="J232" s="251"/>
      <c r="K232" s="244"/>
      <c r="L232" s="244"/>
      <c r="M232" s="244"/>
    </row>
    <row r="233" spans="1:13">
      <c r="A233" s="240" t="s">
        <v>684</v>
      </c>
      <c r="B233" s="240" t="s">
        <v>1353</v>
      </c>
      <c r="C233" s="240" t="s">
        <v>1437</v>
      </c>
      <c r="D233" s="240" t="s">
        <v>1444</v>
      </c>
      <c r="E233" s="240" t="s">
        <v>1404</v>
      </c>
      <c r="F233" s="249">
        <v>100000</v>
      </c>
      <c r="G233" s="250">
        <v>45090</v>
      </c>
      <c r="H233" s="240"/>
      <c r="I233" s="240" t="s">
        <v>1363</v>
      </c>
      <c r="J233" s="249"/>
      <c r="K233" s="240"/>
      <c r="L233" s="240"/>
      <c r="M233" s="240"/>
    </row>
    <row r="234" spans="1:13">
      <c r="A234" s="244" t="s">
        <v>684</v>
      </c>
      <c r="B234" s="244" t="s">
        <v>1353</v>
      </c>
      <c r="C234" s="244" t="s">
        <v>1437</v>
      </c>
      <c r="D234" s="244" t="s">
        <v>1444</v>
      </c>
      <c r="E234" s="244" t="s">
        <v>1404</v>
      </c>
      <c r="F234" s="251">
        <v>100000</v>
      </c>
      <c r="G234" s="252">
        <v>45090</v>
      </c>
      <c r="H234" s="244"/>
      <c r="I234" s="244" t="s">
        <v>1363</v>
      </c>
      <c r="J234" s="251"/>
      <c r="K234" s="244"/>
      <c r="L234" s="244"/>
      <c r="M234" s="244"/>
    </row>
    <row r="235" spans="1:13">
      <c r="A235" s="240" t="s">
        <v>684</v>
      </c>
      <c r="B235" s="240" t="s">
        <v>1353</v>
      </c>
      <c r="C235" s="240" t="s">
        <v>1437</v>
      </c>
      <c r="D235" s="240" t="s">
        <v>1444</v>
      </c>
      <c r="E235" s="240" t="s">
        <v>1404</v>
      </c>
      <c r="F235" s="249">
        <v>100000</v>
      </c>
      <c r="G235" s="250">
        <v>45090</v>
      </c>
      <c r="H235" s="240"/>
      <c r="I235" s="240" t="s">
        <v>1363</v>
      </c>
      <c r="J235" s="249"/>
      <c r="K235" s="240"/>
      <c r="L235" s="240"/>
      <c r="M235" s="240"/>
    </row>
    <row r="236" spans="1:13">
      <c r="A236" s="244" t="s">
        <v>684</v>
      </c>
      <c r="B236" s="244" t="s">
        <v>1353</v>
      </c>
      <c r="C236" s="244" t="s">
        <v>1437</v>
      </c>
      <c r="D236" s="244" t="s">
        <v>1444</v>
      </c>
      <c r="E236" s="244" t="s">
        <v>1404</v>
      </c>
      <c r="F236" s="251">
        <v>150000</v>
      </c>
      <c r="G236" s="252">
        <v>45090</v>
      </c>
      <c r="H236" s="244"/>
      <c r="I236" s="244" t="s">
        <v>1363</v>
      </c>
      <c r="J236" s="251"/>
      <c r="K236" s="244"/>
      <c r="L236" s="244"/>
      <c r="M236" s="244"/>
    </row>
    <row r="237" spans="1:13">
      <c r="A237" s="240" t="s">
        <v>684</v>
      </c>
      <c r="B237" s="240" t="s">
        <v>1353</v>
      </c>
      <c r="C237" s="240" t="s">
        <v>1437</v>
      </c>
      <c r="D237" s="240" t="s">
        <v>1444</v>
      </c>
      <c r="E237" s="240" t="s">
        <v>1404</v>
      </c>
      <c r="F237" s="249">
        <v>100000</v>
      </c>
      <c r="G237" s="250">
        <v>45090</v>
      </c>
      <c r="H237" s="240"/>
      <c r="I237" s="240" t="s">
        <v>1363</v>
      </c>
      <c r="J237" s="249"/>
      <c r="K237" s="240"/>
      <c r="L237" s="240"/>
      <c r="M237" s="240"/>
    </row>
    <row r="238" spans="1:13">
      <c r="A238" s="244" t="s">
        <v>684</v>
      </c>
      <c r="B238" s="244" t="s">
        <v>1353</v>
      </c>
      <c r="C238" s="244" t="s">
        <v>1437</v>
      </c>
      <c r="D238" s="244" t="s">
        <v>1444</v>
      </c>
      <c r="E238" s="244" t="s">
        <v>1404</v>
      </c>
      <c r="F238" s="251">
        <v>100000</v>
      </c>
      <c r="G238" s="252">
        <v>45090</v>
      </c>
      <c r="H238" s="244"/>
      <c r="I238" s="244" t="s">
        <v>1363</v>
      </c>
      <c r="J238" s="251"/>
      <c r="K238" s="244"/>
      <c r="L238" s="244"/>
      <c r="M238" s="244"/>
    </row>
    <row r="239" spans="1:13">
      <c r="A239" s="240" t="s">
        <v>684</v>
      </c>
      <c r="B239" s="240" t="s">
        <v>1353</v>
      </c>
      <c r="C239" s="240" t="s">
        <v>1437</v>
      </c>
      <c r="D239" s="240" t="s">
        <v>1444</v>
      </c>
      <c r="E239" s="240" t="s">
        <v>1404</v>
      </c>
      <c r="F239" s="249">
        <v>100000</v>
      </c>
      <c r="G239" s="250">
        <v>45090</v>
      </c>
      <c r="H239" s="240"/>
      <c r="I239" s="240" t="s">
        <v>1363</v>
      </c>
      <c r="J239" s="249"/>
      <c r="K239" s="240"/>
      <c r="L239" s="240"/>
      <c r="M239" s="240"/>
    </row>
    <row r="240" spans="1:13">
      <c r="A240" s="244" t="s">
        <v>684</v>
      </c>
      <c r="B240" s="244" t="s">
        <v>1353</v>
      </c>
      <c r="C240" s="244" t="s">
        <v>1437</v>
      </c>
      <c r="D240" s="244" t="s">
        <v>1444</v>
      </c>
      <c r="E240" s="244" t="s">
        <v>1404</v>
      </c>
      <c r="F240" s="251">
        <v>100000</v>
      </c>
      <c r="G240" s="252">
        <v>45090</v>
      </c>
      <c r="H240" s="244"/>
      <c r="I240" s="244" t="s">
        <v>1363</v>
      </c>
      <c r="J240" s="251"/>
      <c r="K240" s="244"/>
      <c r="L240" s="244"/>
      <c r="M240" s="244"/>
    </row>
    <row r="241" spans="1:13">
      <c r="A241" s="240" t="s">
        <v>684</v>
      </c>
      <c r="B241" s="240" t="s">
        <v>1353</v>
      </c>
      <c r="C241" s="240" t="s">
        <v>1437</v>
      </c>
      <c r="D241" s="240" t="s">
        <v>1444</v>
      </c>
      <c r="E241" s="240" t="s">
        <v>1404</v>
      </c>
      <c r="F241" s="249">
        <v>100000</v>
      </c>
      <c r="G241" s="250">
        <v>45090</v>
      </c>
      <c r="H241" s="240"/>
      <c r="I241" s="240" t="s">
        <v>1363</v>
      </c>
      <c r="J241" s="249"/>
      <c r="K241" s="240"/>
      <c r="L241" s="240"/>
      <c r="M241" s="240"/>
    </row>
    <row r="242" spans="1:13">
      <c r="A242" s="244" t="s">
        <v>684</v>
      </c>
      <c r="B242" s="244" t="s">
        <v>1353</v>
      </c>
      <c r="C242" s="244" t="s">
        <v>1437</v>
      </c>
      <c r="D242" s="244" t="s">
        <v>1444</v>
      </c>
      <c r="E242" s="244" t="s">
        <v>1404</v>
      </c>
      <c r="F242" s="251">
        <v>100000</v>
      </c>
      <c r="G242" s="252">
        <v>45090</v>
      </c>
      <c r="H242" s="244"/>
      <c r="I242" s="244" t="s">
        <v>1363</v>
      </c>
      <c r="J242" s="251"/>
      <c r="K242" s="244"/>
      <c r="L242" s="244"/>
      <c r="M242" s="244"/>
    </row>
    <row r="243" spans="1:13">
      <c r="A243" s="240" t="s">
        <v>684</v>
      </c>
      <c r="B243" s="240" t="s">
        <v>1353</v>
      </c>
      <c r="C243" s="240" t="s">
        <v>1437</v>
      </c>
      <c r="D243" s="240" t="s">
        <v>1444</v>
      </c>
      <c r="E243" s="240" t="s">
        <v>1404</v>
      </c>
      <c r="F243" s="249">
        <v>100000</v>
      </c>
      <c r="G243" s="250">
        <v>45090</v>
      </c>
      <c r="H243" s="240"/>
      <c r="I243" s="240" t="s">
        <v>1363</v>
      </c>
      <c r="J243" s="249"/>
      <c r="K243" s="240"/>
      <c r="L243" s="240"/>
      <c r="M243" s="240"/>
    </row>
    <row r="244" spans="1:13">
      <c r="A244" s="244" t="s">
        <v>684</v>
      </c>
      <c r="B244" s="244" t="s">
        <v>1353</v>
      </c>
      <c r="C244" s="244" t="s">
        <v>1437</v>
      </c>
      <c r="D244" s="244" t="s">
        <v>1444</v>
      </c>
      <c r="E244" s="244" t="s">
        <v>1404</v>
      </c>
      <c r="F244" s="251">
        <v>80000</v>
      </c>
      <c r="G244" s="252">
        <v>45090</v>
      </c>
      <c r="H244" s="244"/>
      <c r="I244" s="244" t="s">
        <v>1363</v>
      </c>
      <c r="J244" s="251"/>
      <c r="K244" s="244"/>
      <c r="L244" s="244"/>
      <c r="M244" s="244"/>
    </row>
    <row r="245" spans="1:13">
      <c r="A245" s="240" t="s">
        <v>684</v>
      </c>
      <c r="B245" s="240" t="s">
        <v>1353</v>
      </c>
      <c r="C245" s="240" t="s">
        <v>1437</v>
      </c>
      <c r="D245" s="240" t="s">
        <v>1444</v>
      </c>
      <c r="E245" s="240" t="s">
        <v>1404</v>
      </c>
      <c r="F245" s="249">
        <v>80000</v>
      </c>
      <c r="G245" s="250">
        <v>45090</v>
      </c>
      <c r="H245" s="240"/>
      <c r="I245" s="240" t="s">
        <v>1363</v>
      </c>
      <c r="J245" s="249"/>
      <c r="K245" s="240"/>
      <c r="L245" s="240"/>
      <c r="M245" s="240"/>
    </row>
    <row r="246" spans="1:13">
      <c r="A246" s="244" t="s">
        <v>684</v>
      </c>
      <c r="B246" s="244" t="s">
        <v>1353</v>
      </c>
      <c r="C246" s="244" t="s">
        <v>1437</v>
      </c>
      <c r="D246" s="244" t="s">
        <v>1444</v>
      </c>
      <c r="E246" s="244" t="s">
        <v>1404</v>
      </c>
      <c r="F246" s="251">
        <v>80000</v>
      </c>
      <c r="G246" s="252">
        <v>45090</v>
      </c>
      <c r="H246" s="244"/>
      <c r="I246" s="244" t="s">
        <v>1363</v>
      </c>
      <c r="J246" s="251"/>
      <c r="K246" s="244"/>
      <c r="L246" s="244"/>
      <c r="M246" s="244"/>
    </row>
    <row r="247" spans="1:13">
      <c r="A247" s="240" t="s">
        <v>684</v>
      </c>
      <c r="B247" s="240" t="s">
        <v>1353</v>
      </c>
      <c r="C247" s="240" t="s">
        <v>1437</v>
      </c>
      <c r="D247" s="240" t="s">
        <v>1444</v>
      </c>
      <c r="E247" s="240" t="s">
        <v>1404</v>
      </c>
      <c r="F247" s="249">
        <v>80000</v>
      </c>
      <c r="G247" s="250">
        <v>45090</v>
      </c>
      <c r="H247" s="240"/>
      <c r="I247" s="240" t="s">
        <v>1363</v>
      </c>
      <c r="J247" s="249"/>
      <c r="K247" s="240"/>
      <c r="L247" s="240"/>
      <c r="M247" s="240"/>
    </row>
    <row r="248" spans="1:13">
      <c r="A248" s="244" t="s">
        <v>684</v>
      </c>
      <c r="B248" s="244" t="s">
        <v>1353</v>
      </c>
      <c r="C248" s="244" t="s">
        <v>1437</v>
      </c>
      <c r="D248" s="244" t="s">
        <v>1444</v>
      </c>
      <c r="E248" s="244" t="s">
        <v>1404</v>
      </c>
      <c r="F248" s="251">
        <v>80000</v>
      </c>
      <c r="G248" s="252">
        <v>45090</v>
      </c>
      <c r="H248" s="244"/>
      <c r="I248" s="244" t="s">
        <v>1363</v>
      </c>
      <c r="J248" s="251"/>
      <c r="K248" s="244"/>
      <c r="L248" s="244"/>
      <c r="M248" s="244"/>
    </row>
    <row r="249" spans="1:13">
      <c r="A249" s="240" t="s">
        <v>684</v>
      </c>
      <c r="B249" s="240" t="s">
        <v>1353</v>
      </c>
      <c r="C249" s="240" t="s">
        <v>1437</v>
      </c>
      <c r="D249" s="240" t="s">
        <v>1444</v>
      </c>
      <c r="E249" s="240" t="s">
        <v>1404</v>
      </c>
      <c r="F249" s="249">
        <v>80000</v>
      </c>
      <c r="G249" s="250">
        <v>45090</v>
      </c>
      <c r="H249" s="240"/>
      <c r="I249" s="240" t="s">
        <v>1363</v>
      </c>
      <c r="J249" s="249"/>
      <c r="K249" s="240"/>
      <c r="L249" s="240"/>
      <c r="M249" s="240"/>
    </row>
    <row r="250" spans="1:13">
      <c r="A250" s="244" t="s">
        <v>684</v>
      </c>
      <c r="B250" s="244" t="s">
        <v>1353</v>
      </c>
      <c r="C250" s="244" t="s">
        <v>1437</v>
      </c>
      <c r="D250" s="244" t="s">
        <v>1444</v>
      </c>
      <c r="E250" s="244" t="s">
        <v>1404</v>
      </c>
      <c r="F250" s="251">
        <v>80000</v>
      </c>
      <c r="G250" s="252">
        <v>45090</v>
      </c>
      <c r="H250" s="244"/>
      <c r="I250" s="244" t="s">
        <v>1363</v>
      </c>
      <c r="J250" s="251"/>
      <c r="K250" s="244"/>
      <c r="L250" s="244"/>
      <c r="M250" s="244"/>
    </row>
    <row r="251" spans="1:13">
      <c r="A251" s="240" t="s">
        <v>684</v>
      </c>
      <c r="B251" s="240" t="s">
        <v>1353</v>
      </c>
      <c r="C251" s="240" t="s">
        <v>1437</v>
      </c>
      <c r="D251" s="240" t="s">
        <v>1444</v>
      </c>
      <c r="E251" s="240" t="s">
        <v>1404</v>
      </c>
      <c r="F251" s="249">
        <v>80000</v>
      </c>
      <c r="G251" s="250">
        <v>45090</v>
      </c>
      <c r="H251" s="240"/>
      <c r="I251" s="240" t="s">
        <v>1363</v>
      </c>
      <c r="J251" s="249"/>
      <c r="K251" s="240"/>
      <c r="L251" s="240"/>
      <c r="M251" s="240"/>
    </row>
    <row r="252" spans="1:13">
      <c r="A252" s="244" t="s">
        <v>684</v>
      </c>
      <c r="B252" s="244" t="s">
        <v>1353</v>
      </c>
      <c r="C252" s="244" t="s">
        <v>1437</v>
      </c>
      <c r="D252" s="244" t="s">
        <v>1445</v>
      </c>
      <c r="E252" s="244" t="s">
        <v>1404</v>
      </c>
      <c r="F252" s="251">
        <v>80000</v>
      </c>
      <c r="G252" s="252">
        <v>45090</v>
      </c>
      <c r="H252" s="244"/>
      <c r="I252" s="244" t="s">
        <v>1363</v>
      </c>
      <c r="J252" s="251"/>
      <c r="K252" s="244"/>
      <c r="L252" s="244"/>
      <c r="M252" s="244"/>
    </row>
    <row r="253" spans="1:13">
      <c r="A253" s="240" t="s">
        <v>684</v>
      </c>
      <c r="B253" s="240" t="s">
        <v>1353</v>
      </c>
      <c r="C253" s="240" t="s">
        <v>1446</v>
      </c>
      <c r="D253" s="240" t="s">
        <v>1445</v>
      </c>
      <c r="E253" s="240" t="s">
        <v>1404</v>
      </c>
      <c r="F253" s="249">
        <v>75000</v>
      </c>
      <c r="G253" s="250">
        <v>45090</v>
      </c>
      <c r="H253" s="240"/>
      <c r="I253" s="240" t="s">
        <v>1363</v>
      </c>
      <c r="J253" s="249"/>
      <c r="K253" s="240"/>
      <c r="L253" s="240"/>
      <c r="M253" s="240"/>
    </row>
    <row r="254" spans="1:13">
      <c r="A254" s="244" t="s">
        <v>684</v>
      </c>
      <c r="B254" s="244" t="s">
        <v>1353</v>
      </c>
      <c r="C254" s="244" t="s">
        <v>1446</v>
      </c>
      <c r="D254" s="244" t="s">
        <v>1445</v>
      </c>
      <c r="E254" s="244" t="s">
        <v>1404</v>
      </c>
      <c r="F254" s="251">
        <v>75000</v>
      </c>
      <c r="G254" s="252">
        <v>45090</v>
      </c>
      <c r="H254" s="244"/>
      <c r="I254" s="244" t="s">
        <v>1363</v>
      </c>
      <c r="J254" s="251"/>
      <c r="K254" s="244"/>
      <c r="L254" s="244"/>
      <c r="M254" s="244"/>
    </row>
    <row r="255" spans="1:13">
      <c r="A255" s="240" t="s">
        <v>684</v>
      </c>
      <c r="B255" s="240" t="s">
        <v>1353</v>
      </c>
      <c r="C255" s="240" t="s">
        <v>1446</v>
      </c>
      <c r="D255" s="240" t="s">
        <v>1445</v>
      </c>
      <c r="E255" s="240" t="s">
        <v>1404</v>
      </c>
      <c r="F255" s="249">
        <v>75000</v>
      </c>
      <c r="G255" s="250">
        <v>45090</v>
      </c>
      <c r="H255" s="240"/>
      <c r="I255" s="240" t="s">
        <v>1363</v>
      </c>
      <c r="J255" s="249"/>
      <c r="K255" s="240"/>
      <c r="L255" s="240"/>
      <c r="M255" s="240"/>
    </row>
    <row r="256" spans="1:13">
      <c r="A256" s="244" t="s">
        <v>684</v>
      </c>
      <c r="B256" s="244" t="s">
        <v>1353</v>
      </c>
      <c r="C256" s="244" t="s">
        <v>1446</v>
      </c>
      <c r="D256" s="244" t="s">
        <v>1445</v>
      </c>
      <c r="E256" s="244" t="s">
        <v>1404</v>
      </c>
      <c r="F256" s="251">
        <v>75000</v>
      </c>
      <c r="G256" s="252">
        <v>45090</v>
      </c>
      <c r="H256" s="244"/>
      <c r="I256" s="244" t="s">
        <v>1363</v>
      </c>
      <c r="J256" s="251"/>
      <c r="K256" s="244"/>
      <c r="L256" s="244"/>
      <c r="M256" s="244"/>
    </row>
    <row r="257" spans="1:13">
      <c r="A257" s="240" t="s">
        <v>684</v>
      </c>
      <c r="B257" s="240" t="s">
        <v>1353</v>
      </c>
      <c r="C257" s="240" t="s">
        <v>1446</v>
      </c>
      <c r="D257" s="240" t="s">
        <v>1445</v>
      </c>
      <c r="E257" s="240" t="s">
        <v>1404</v>
      </c>
      <c r="F257" s="249">
        <v>75000</v>
      </c>
      <c r="G257" s="250">
        <v>45090</v>
      </c>
      <c r="H257" s="240"/>
      <c r="I257" s="240" t="s">
        <v>1363</v>
      </c>
      <c r="J257" s="249"/>
      <c r="K257" s="240"/>
      <c r="L257" s="240"/>
      <c r="M257" s="240"/>
    </row>
    <row r="258" spans="1:13">
      <c r="A258" s="244" t="s">
        <v>684</v>
      </c>
      <c r="B258" s="244" t="s">
        <v>1353</v>
      </c>
      <c r="C258" s="244" t="s">
        <v>1447</v>
      </c>
      <c r="D258" s="244" t="s">
        <v>1445</v>
      </c>
      <c r="E258" s="244" t="s">
        <v>1404</v>
      </c>
      <c r="F258" s="251">
        <v>75000</v>
      </c>
      <c r="G258" s="252">
        <v>45090</v>
      </c>
      <c r="H258" s="244"/>
      <c r="I258" s="244" t="s">
        <v>1363</v>
      </c>
      <c r="J258" s="251"/>
      <c r="K258" s="244"/>
      <c r="L258" s="244"/>
      <c r="M258" s="244"/>
    </row>
    <row r="259" spans="1:13">
      <c r="A259" s="240" t="s">
        <v>684</v>
      </c>
      <c r="B259" s="240" t="s">
        <v>1353</v>
      </c>
      <c r="C259" s="240" t="s">
        <v>1447</v>
      </c>
      <c r="D259" s="240" t="s">
        <v>1445</v>
      </c>
      <c r="E259" s="240" t="s">
        <v>1404</v>
      </c>
      <c r="F259" s="249">
        <v>75000</v>
      </c>
      <c r="G259" s="250">
        <v>45090</v>
      </c>
      <c r="H259" s="240"/>
      <c r="I259" s="240" t="s">
        <v>1363</v>
      </c>
      <c r="J259" s="249"/>
      <c r="K259" s="240"/>
      <c r="L259" s="240"/>
      <c r="M259" s="240"/>
    </row>
    <row r="260" spans="1:13">
      <c r="A260" s="244" t="s">
        <v>684</v>
      </c>
      <c r="B260" s="244" t="s">
        <v>1353</v>
      </c>
      <c r="C260" s="244" t="s">
        <v>1447</v>
      </c>
      <c r="D260" s="244" t="s">
        <v>1445</v>
      </c>
      <c r="E260" s="244" t="s">
        <v>1404</v>
      </c>
      <c r="F260" s="251">
        <v>75000</v>
      </c>
      <c r="G260" s="252">
        <v>45090</v>
      </c>
      <c r="H260" s="244"/>
      <c r="I260" s="244" t="s">
        <v>1363</v>
      </c>
      <c r="J260" s="251"/>
      <c r="K260" s="244"/>
      <c r="L260" s="244"/>
      <c r="M260" s="244"/>
    </row>
    <row r="261" spans="1:13">
      <c r="A261" s="240" t="s">
        <v>684</v>
      </c>
      <c r="B261" s="240" t="s">
        <v>1353</v>
      </c>
      <c r="C261" s="240" t="s">
        <v>1447</v>
      </c>
      <c r="D261" s="240" t="s">
        <v>1445</v>
      </c>
      <c r="E261" s="240" t="s">
        <v>1404</v>
      </c>
      <c r="F261" s="249">
        <v>75000</v>
      </c>
      <c r="G261" s="250">
        <v>45090</v>
      </c>
      <c r="H261" s="240"/>
      <c r="I261" s="240" t="s">
        <v>1363</v>
      </c>
      <c r="J261" s="249"/>
      <c r="K261" s="240"/>
      <c r="L261" s="240"/>
      <c r="M261" s="240"/>
    </row>
    <row r="262" spans="1:13">
      <c r="A262" s="244" t="s">
        <v>684</v>
      </c>
      <c r="B262" s="244" t="s">
        <v>1353</v>
      </c>
      <c r="C262" s="244" t="s">
        <v>1447</v>
      </c>
      <c r="D262" s="244" t="s">
        <v>1445</v>
      </c>
      <c r="E262" s="244" t="s">
        <v>1404</v>
      </c>
      <c r="F262" s="251">
        <v>75000</v>
      </c>
      <c r="G262" s="252">
        <v>45090</v>
      </c>
      <c r="H262" s="244"/>
      <c r="I262" s="244" t="s">
        <v>1363</v>
      </c>
      <c r="J262" s="251"/>
      <c r="K262" s="244"/>
      <c r="L262" s="244"/>
      <c r="M262" s="244"/>
    </row>
    <row r="263" spans="1:13">
      <c r="A263" s="240" t="s">
        <v>684</v>
      </c>
      <c r="B263" s="240" t="s">
        <v>1353</v>
      </c>
      <c r="C263" s="240" t="s">
        <v>1447</v>
      </c>
      <c r="D263" s="240" t="s">
        <v>1445</v>
      </c>
      <c r="E263" s="240" t="s">
        <v>1404</v>
      </c>
      <c r="F263" s="249">
        <v>75000</v>
      </c>
      <c r="G263" s="250">
        <v>45090</v>
      </c>
      <c r="H263" s="240"/>
      <c r="I263" s="240" t="s">
        <v>1363</v>
      </c>
      <c r="J263" s="249"/>
      <c r="K263" s="240"/>
      <c r="L263" s="240"/>
      <c r="M263" s="240"/>
    </row>
    <row r="264" spans="1:13">
      <c r="A264" s="244" t="s">
        <v>684</v>
      </c>
      <c r="B264" s="244" t="s">
        <v>1353</v>
      </c>
      <c r="C264" s="244" t="s">
        <v>1448</v>
      </c>
      <c r="D264" s="244" t="s">
        <v>1449</v>
      </c>
      <c r="E264" s="244"/>
      <c r="F264" s="251">
        <v>23684</v>
      </c>
      <c r="G264" s="252">
        <v>45117</v>
      </c>
      <c r="H264" s="244"/>
      <c r="I264" s="244" t="s">
        <v>733</v>
      </c>
      <c r="J264" s="251"/>
      <c r="K264" s="244"/>
      <c r="L264" s="244"/>
      <c r="M264" s="244"/>
    </row>
    <row r="265" spans="1:13">
      <c r="A265" s="240" t="s">
        <v>684</v>
      </c>
      <c r="B265" s="240" t="s">
        <v>1353</v>
      </c>
      <c r="C265" s="240" t="s">
        <v>1450</v>
      </c>
      <c r="D265" s="240" t="s">
        <v>1451</v>
      </c>
      <c r="E265" s="240" t="s">
        <v>1404</v>
      </c>
      <c r="F265" s="249">
        <v>3000000</v>
      </c>
      <c r="G265" s="250">
        <v>45148</v>
      </c>
      <c r="H265" s="240"/>
      <c r="I265" s="240" t="s">
        <v>1452</v>
      </c>
      <c r="J265" s="249"/>
      <c r="K265" s="240"/>
      <c r="L265" s="240"/>
      <c r="M265" s="240"/>
    </row>
    <row r="266" spans="1:13">
      <c r="A266" s="244" t="s">
        <v>684</v>
      </c>
      <c r="B266" s="244" t="s">
        <v>1353</v>
      </c>
      <c r="C266" s="244" t="s">
        <v>1453</v>
      </c>
      <c r="D266" s="244" t="s">
        <v>1454</v>
      </c>
      <c r="E266" s="244" t="s">
        <v>1356</v>
      </c>
      <c r="F266" s="251">
        <v>500000</v>
      </c>
      <c r="G266" s="252">
        <v>45162</v>
      </c>
      <c r="H266" s="244"/>
      <c r="I266" s="244" t="s">
        <v>1455</v>
      </c>
      <c r="J266" s="251"/>
      <c r="K266" s="244"/>
      <c r="L266" s="244"/>
      <c r="M266" s="244"/>
    </row>
    <row r="267" spans="1:13">
      <c r="A267" s="240" t="s">
        <v>684</v>
      </c>
      <c r="B267" s="240" t="s">
        <v>1353</v>
      </c>
      <c r="C267" s="240" t="s">
        <v>1456</v>
      </c>
      <c r="D267" s="240"/>
      <c r="E267" s="240" t="s">
        <v>1356</v>
      </c>
      <c r="F267" s="249">
        <v>1650000</v>
      </c>
      <c r="G267" s="250">
        <v>45148</v>
      </c>
      <c r="H267" s="240"/>
      <c r="I267" s="240" t="s">
        <v>1363</v>
      </c>
      <c r="J267" s="249"/>
      <c r="K267" s="240"/>
      <c r="L267" s="240"/>
      <c r="M267" s="240"/>
    </row>
    <row r="268" spans="1:13">
      <c r="A268" s="244" t="s">
        <v>684</v>
      </c>
      <c r="B268" s="244" t="s">
        <v>1353</v>
      </c>
      <c r="C268" s="244" t="s">
        <v>1376</v>
      </c>
      <c r="D268" s="244" t="s">
        <v>1457</v>
      </c>
      <c r="E268" s="244" t="s">
        <v>1356</v>
      </c>
      <c r="F268" s="251">
        <v>2690393.5</v>
      </c>
      <c r="G268" s="252">
        <v>45184</v>
      </c>
      <c r="H268" s="244"/>
      <c r="I268" s="244" t="s">
        <v>1363</v>
      </c>
      <c r="J268" s="251"/>
      <c r="K268" s="244"/>
      <c r="L268" s="244"/>
      <c r="M268" s="244"/>
    </row>
    <row r="269" spans="1:13">
      <c r="A269" s="240" t="s">
        <v>684</v>
      </c>
      <c r="B269" s="240" t="s">
        <v>1353</v>
      </c>
      <c r="C269" s="240" t="s">
        <v>1458</v>
      </c>
      <c r="D269" s="240" t="s">
        <v>1372</v>
      </c>
      <c r="E269" s="240" t="s">
        <v>1356</v>
      </c>
      <c r="F269" s="249">
        <v>462150</v>
      </c>
      <c r="G269" s="250">
        <v>45183</v>
      </c>
      <c r="H269" s="240"/>
      <c r="I269" s="240" t="s">
        <v>1363</v>
      </c>
      <c r="J269" s="249"/>
      <c r="K269" s="240"/>
      <c r="L269" s="240"/>
      <c r="M269" s="240"/>
    </row>
    <row r="270" spans="1:13">
      <c r="A270" s="244" t="s">
        <v>684</v>
      </c>
      <c r="B270" s="244" t="s">
        <v>1353</v>
      </c>
      <c r="C270" s="244" t="s">
        <v>1458</v>
      </c>
      <c r="D270" s="244" t="s">
        <v>1372</v>
      </c>
      <c r="E270" s="244" t="s">
        <v>1356</v>
      </c>
      <c r="F270" s="251">
        <v>285000</v>
      </c>
      <c r="G270" s="252">
        <v>45183</v>
      </c>
      <c r="H270" s="244"/>
      <c r="I270" s="244" t="s">
        <v>1363</v>
      </c>
      <c r="J270" s="251"/>
      <c r="K270" s="244"/>
      <c r="L270" s="244"/>
      <c r="M270" s="244"/>
    </row>
    <row r="271" spans="1:13">
      <c r="A271" s="240" t="s">
        <v>684</v>
      </c>
      <c r="B271" s="240" t="s">
        <v>1353</v>
      </c>
      <c r="C271" s="240" t="s">
        <v>1458</v>
      </c>
      <c r="D271" s="240" t="s">
        <v>1372</v>
      </c>
      <c r="E271" s="240" t="s">
        <v>1356</v>
      </c>
      <c r="F271" s="249">
        <v>495000</v>
      </c>
      <c r="G271" s="250">
        <v>45183</v>
      </c>
      <c r="H271" s="240"/>
      <c r="I271" s="240" t="s">
        <v>1363</v>
      </c>
      <c r="J271" s="249"/>
      <c r="K271" s="240"/>
      <c r="L271" s="240"/>
      <c r="M271" s="240"/>
    </row>
    <row r="272" spans="1:13">
      <c r="A272" s="244" t="s">
        <v>684</v>
      </c>
      <c r="B272" s="244" t="s">
        <v>1353</v>
      </c>
      <c r="C272" s="244" t="s">
        <v>1458</v>
      </c>
      <c r="D272" s="244" t="s">
        <v>1372</v>
      </c>
      <c r="E272" s="244" t="s">
        <v>1356</v>
      </c>
      <c r="F272" s="251">
        <v>275000</v>
      </c>
      <c r="G272" s="252">
        <v>45183</v>
      </c>
      <c r="H272" s="244"/>
      <c r="I272" s="244" t="s">
        <v>1363</v>
      </c>
      <c r="J272" s="251"/>
      <c r="K272" s="244"/>
      <c r="L272" s="244"/>
      <c r="M272" s="244"/>
    </row>
    <row r="273" spans="1:13">
      <c r="A273" s="240" t="s">
        <v>684</v>
      </c>
      <c r="B273" s="240" t="s">
        <v>1353</v>
      </c>
      <c r="C273" s="240" t="s">
        <v>1458</v>
      </c>
      <c r="D273" s="240" t="s">
        <v>1372</v>
      </c>
      <c r="E273" s="240" t="s">
        <v>1356</v>
      </c>
      <c r="F273" s="249">
        <v>140000</v>
      </c>
      <c r="G273" s="250">
        <v>45183</v>
      </c>
      <c r="H273" s="240"/>
      <c r="I273" s="240" t="s">
        <v>1363</v>
      </c>
      <c r="J273" s="249"/>
      <c r="K273" s="240"/>
      <c r="L273" s="240"/>
      <c r="M273" s="240"/>
    </row>
    <row r="274" spans="1:13">
      <c r="A274" s="244" t="s">
        <v>684</v>
      </c>
      <c r="B274" s="244" t="s">
        <v>1353</v>
      </c>
      <c r="C274" s="244" t="s">
        <v>1458</v>
      </c>
      <c r="D274" s="244" t="s">
        <v>1372</v>
      </c>
      <c r="E274" s="244" t="s">
        <v>1356</v>
      </c>
      <c r="F274" s="251">
        <v>175000</v>
      </c>
      <c r="G274" s="252">
        <v>45183</v>
      </c>
      <c r="H274" s="244"/>
      <c r="I274" s="244" t="s">
        <v>1363</v>
      </c>
      <c r="J274" s="251"/>
      <c r="K274" s="244"/>
      <c r="L274" s="244"/>
      <c r="M274" s="244"/>
    </row>
    <row r="275" spans="1:13">
      <c r="A275" s="240" t="s">
        <v>684</v>
      </c>
      <c r="B275" s="240" t="s">
        <v>1353</v>
      </c>
      <c r="C275" s="240" t="s">
        <v>1459</v>
      </c>
      <c r="D275" s="240" t="s">
        <v>1460</v>
      </c>
      <c r="E275" s="240" t="s">
        <v>1356</v>
      </c>
      <c r="F275" s="249">
        <v>2036000</v>
      </c>
      <c r="G275" s="250">
        <v>45194</v>
      </c>
      <c r="H275" s="240"/>
      <c r="I275" s="240" t="s">
        <v>1363</v>
      </c>
      <c r="J275" s="249"/>
      <c r="K275" s="240"/>
      <c r="L275" s="240"/>
      <c r="M275" s="240"/>
    </row>
    <row r="276" spans="1:13">
      <c r="A276" s="244" t="s">
        <v>684</v>
      </c>
      <c r="B276" s="244" t="s">
        <v>1353</v>
      </c>
      <c r="C276" s="244" t="s">
        <v>1461</v>
      </c>
      <c r="D276" s="244" t="s">
        <v>1462</v>
      </c>
      <c r="E276" s="244" t="s">
        <v>1356</v>
      </c>
      <c r="F276" s="251">
        <v>2251917</v>
      </c>
      <c r="G276" s="252">
        <v>45202</v>
      </c>
      <c r="H276" s="244"/>
      <c r="I276" s="244" t="s">
        <v>1363</v>
      </c>
      <c r="J276" s="251"/>
      <c r="K276" s="244"/>
      <c r="L276" s="244"/>
      <c r="M276" s="244"/>
    </row>
    <row r="277" spans="1:13">
      <c r="A277" s="240" t="s">
        <v>684</v>
      </c>
      <c r="B277" s="240" t="s">
        <v>1353</v>
      </c>
      <c r="C277" s="240" t="s">
        <v>1463</v>
      </c>
      <c r="D277" s="240" t="s">
        <v>1464</v>
      </c>
      <c r="E277" s="240" t="s">
        <v>1356</v>
      </c>
      <c r="F277" s="249">
        <v>2000000</v>
      </c>
      <c r="G277" s="250">
        <v>45191</v>
      </c>
      <c r="H277" s="240"/>
      <c r="I277" s="240" t="s">
        <v>1455</v>
      </c>
      <c r="J277" s="249"/>
      <c r="K277" s="240"/>
      <c r="L277" s="240"/>
      <c r="M277" s="240"/>
    </row>
    <row r="278" spans="1:13">
      <c r="A278" s="244" t="s">
        <v>684</v>
      </c>
      <c r="B278" s="244" t="s">
        <v>1353</v>
      </c>
      <c r="C278" s="244" t="s">
        <v>1358</v>
      </c>
      <c r="D278" s="244" t="s">
        <v>1372</v>
      </c>
      <c r="E278" s="244" t="s">
        <v>1356</v>
      </c>
      <c r="F278" s="251">
        <v>1440000</v>
      </c>
      <c r="G278" s="252">
        <v>45215</v>
      </c>
      <c r="H278" s="244"/>
      <c r="I278" s="244" t="s">
        <v>1363</v>
      </c>
      <c r="J278" s="251"/>
      <c r="K278" s="244"/>
      <c r="L278" s="244"/>
      <c r="M278" s="244"/>
    </row>
    <row r="279" spans="1:13">
      <c r="A279" s="240" t="s">
        <v>684</v>
      </c>
      <c r="B279" s="240" t="s">
        <v>1353</v>
      </c>
      <c r="C279" s="240" t="s">
        <v>1358</v>
      </c>
      <c r="D279" s="240" t="s">
        <v>1372</v>
      </c>
      <c r="E279" s="240" t="s">
        <v>1356</v>
      </c>
      <c r="F279" s="249">
        <v>800000</v>
      </c>
      <c r="G279" s="250">
        <v>45215</v>
      </c>
      <c r="H279" s="240"/>
      <c r="I279" s="240" t="s">
        <v>1363</v>
      </c>
      <c r="J279" s="249"/>
      <c r="K279" s="240"/>
      <c r="L279" s="240"/>
      <c r="M279" s="240"/>
    </row>
    <row r="280" spans="1:13">
      <c r="A280" s="244" t="s">
        <v>684</v>
      </c>
      <c r="B280" s="244" t="s">
        <v>1353</v>
      </c>
      <c r="C280" s="244" t="s">
        <v>1358</v>
      </c>
      <c r="D280" s="244" t="s">
        <v>1372</v>
      </c>
      <c r="E280" s="244" t="s">
        <v>1356</v>
      </c>
      <c r="F280" s="251">
        <v>300000</v>
      </c>
      <c r="G280" s="252">
        <v>45215</v>
      </c>
      <c r="H280" s="244"/>
      <c r="I280" s="244" t="s">
        <v>1363</v>
      </c>
      <c r="J280" s="251"/>
      <c r="K280" s="244"/>
      <c r="L280" s="244"/>
      <c r="M280" s="244"/>
    </row>
    <row r="281" spans="1:13">
      <c r="A281" s="240" t="s">
        <v>684</v>
      </c>
      <c r="B281" s="240" t="s">
        <v>1353</v>
      </c>
      <c r="C281" s="240" t="s">
        <v>1358</v>
      </c>
      <c r="D281" s="240" t="s">
        <v>1372</v>
      </c>
      <c r="E281" s="240" t="s">
        <v>1356</v>
      </c>
      <c r="F281" s="249">
        <v>180000</v>
      </c>
      <c r="G281" s="250">
        <v>45215</v>
      </c>
      <c r="H281" s="240"/>
      <c r="I281" s="240" t="s">
        <v>1363</v>
      </c>
      <c r="J281" s="249"/>
      <c r="K281" s="240"/>
      <c r="L281" s="240"/>
      <c r="M281" s="240"/>
    </row>
    <row r="282" spans="1:13">
      <c r="A282" s="244" t="s">
        <v>684</v>
      </c>
      <c r="B282" s="244" t="s">
        <v>1353</v>
      </c>
      <c r="C282" s="244" t="s">
        <v>1358</v>
      </c>
      <c r="D282" s="244" t="s">
        <v>1372</v>
      </c>
      <c r="E282" s="244" t="s">
        <v>1356</v>
      </c>
      <c r="F282" s="251">
        <v>500000</v>
      </c>
      <c r="G282" s="252">
        <v>45215</v>
      </c>
      <c r="H282" s="244"/>
      <c r="I282" s="244" t="s">
        <v>1363</v>
      </c>
      <c r="J282" s="251"/>
      <c r="K282" s="244"/>
      <c r="L282" s="244"/>
      <c r="M282" s="244"/>
    </row>
    <row r="283" spans="1:13">
      <c r="A283" s="240" t="s">
        <v>684</v>
      </c>
      <c r="B283" s="240" t="s">
        <v>1353</v>
      </c>
      <c r="C283" s="240" t="s">
        <v>1358</v>
      </c>
      <c r="D283" s="240" t="s">
        <v>1372</v>
      </c>
      <c r="E283" s="240" t="s">
        <v>1356</v>
      </c>
      <c r="F283" s="249">
        <v>900000</v>
      </c>
      <c r="G283" s="250">
        <v>45215</v>
      </c>
      <c r="H283" s="240"/>
      <c r="I283" s="240" t="s">
        <v>1363</v>
      </c>
      <c r="J283" s="249"/>
      <c r="K283" s="240"/>
      <c r="L283" s="240"/>
      <c r="M283" s="240"/>
    </row>
    <row r="284" spans="1:13">
      <c r="A284" s="244" t="s">
        <v>684</v>
      </c>
      <c r="B284" s="244" t="s">
        <v>1353</v>
      </c>
      <c r="C284" s="244" t="s">
        <v>1358</v>
      </c>
      <c r="D284" s="244" t="s">
        <v>1372</v>
      </c>
      <c r="E284" s="244" t="s">
        <v>1356</v>
      </c>
      <c r="F284" s="251">
        <v>120000</v>
      </c>
      <c r="G284" s="252">
        <v>45215</v>
      </c>
      <c r="H284" s="244"/>
      <c r="I284" s="244" t="s">
        <v>1363</v>
      </c>
      <c r="J284" s="251"/>
      <c r="K284" s="244"/>
      <c r="L284" s="244"/>
      <c r="M284" s="244"/>
    </row>
    <row r="285" spans="1:13">
      <c r="A285" s="240" t="s">
        <v>684</v>
      </c>
      <c r="B285" s="240" t="s">
        <v>1353</v>
      </c>
      <c r="C285" s="240" t="s">
        <v>1358</v>
      </c>
      <c r="D285" s="240" t="s">
        <v>1372</v>
      </c>
      <c r="E285" s="240" t="s">
        <v>1356</v>
      </c>
      <c r="F285" s="249">
        <v>210000</v>
      </c>
      <c r="G285" s="250">
        <v>45215</v>
      </c>
      <c r="H285" s="240"/>
      <c r="I285" s="240" t="s">
        <v>1363</v>
      </c>
      <c r="J285" s="249"/>
      <c r="K285" s="240"/>
      <c r="L285" s="240"/>
      <c r="M285" s="240"/>
    </row>
    <row r="286" spans="1:13">
      <c r="A286" s="244" t="s">
        <v>684</v>
      </c>
      <c r="B286" s="244" t="s">
        <v>1353</v>
      </c>
      <c r="C286" s="244" t="s">
        <v>1358</v>
      </c>
      <c r="D286" s="244" t="s">
        <v>1372</v>
      </c>
      <c r="E286" s="244" t="s">
        <v>1356</v>
      </c>
      <c r="F286" s="251">
        <v>60000</v>
      </c>
      <c r="G286" s="252">
        <v>45215</v>
      </c>
      <c r="H286" s="244"/>
      <c r="I286" s="244" t="s">
        <v>1363</v>
      </c>
      <c r="J286" s="251"/>
      <c r="K286" s="244"/>
      <c r="L286" s="244"/>
      <c r="M286" s="244"/>
    </row>
    <row r="287" spans="1:13">
      <c r="A287" s="240" t="s">
        <v>684</v>
      </c>
      <c r="B287" s="240" t="s">
        <v>1353</v>
      </c>
      <c r="C287" s="240" t="s">
        <v>1358</v>
      </c>
      <c r="D287" s="240" t="s">
        <v>1372</v>
      </c>
      <c r="E287" s="240" t="s">
        <v>1356</v>
      </c>
      <c r="F287" s="249">
        <v>80000</v>
      </c>
      <c r="G287" s="250">
        <v>45215</v>
      </c>
      <c r="H287" s="240"/>
      <c r="I287" s="240" t="s">
        <v>1363</v>
      </c>
      <c r="J287" s="249"/>
      <c r="K287" s="240"/>
      <c r="L287" s="240"/>
      <c r="M287" s="240"/>
    </row>
    <row r="288" spans="1:13">
      <c r="A288" s="244" t="s">
        <v>684</v>
      </c>
      <c r="B288" s="244" t="s">
        <v>1353</v>
      </c>
      <c r="C288" s="244" t="s">
        <v>1358</v>
      </c>
      <c r="D288" s="244" t="s">
        <v>1372</v>
      </c>
      <c r="E288" s="244" t="s">
        <v>1356</v>
      </c>
      <c r="F288" s="251">
        <v>80000</v>
      </c>
      <c r="G288" s="252">
        <v>45215</v>
      </c>
      <c r="H288" s="244"/>
      <c r="I288" s="244" t="s">
        <v>1363</v>
      </c>
      <c r="J288" s="251"/>
      <c r="K288" s="244"/>
      <c r="L288" s="244"/>
      <c r="M288" s="244"/>
    </row>
    <row r="289" spans="1:13">
      <c r="A289" s="240" t="s">
        <v>684</v>
      </c>
      <c r="B289" s="240" t="s">
        <v>1353</v>
      </c>
      <c r="C289" s="240" t="s">
        <v>1358</v>
      </c>
      <c r="D289" s="240" t="s">
        <v>1372</v>
      </c>
      <c r="E289" s="240" t="s">
        <v>1356</v>
      </c>
      <c r="F289" s="249">
        <v>120000</v>
      </c>
      <c r="G289" s="250">
        <v>45215</v>
      </c>
      <c r="H289" s="240"/>
      <c r="I289" s="240" t="s">
        <v>1363</v>
      </c>
      <c r="J289" s="249"/>
      <c r="K289" s="240"/>
      <c r="L289" s="240"/>
      <c r="M289" s="240"/>
    </row>
    <row r="290" spans="1:13">
      <c r="A290" s="244" t="s">
        <v>684</v>
      </c>
      <c r="B290" s="244" t="s">
        <v>1353</v>
      </c>
      <c r="C290" s="244" t="s">
        <v>1358</v>
      </c>
      <c r="D290" s="244" t="s">
        <v>1372</v>
      </c>
      <c r="E290" s="244" t="s">
        <v>1356</v>
      </c>
      <c r="F290" s="251">
        <v>250000</v>
      </c>
      <c r="G290" s="252">
        <v>45215</v>
      </c>
      <c r="H290" s="244"/>
      <c r="I290" s="244" t="s">
        <v>1363</v>
      </c>
      <c r="J290" s="251"/>
      <c r="K290" s="244"/>
      <c r="L290" s="244"/>
      <c r="M290" s="244"/>
    </row>
    <row r="291" spans="1:13">
      <c r="A291" s="240" t="s">
        <v>684</v>
      </c>
      <c r="B291" s="240" t="s">
        <v>1353</v>
      </c>
      <c r="C291" s="240" t="s">
        <v>1358</v>
      </c>
      <c r="D291" s="240" t="s">
        <v>1372</v>
      </c>
      <c r="E291" s="240" t="s">
        <v>1356</v>
      </c>
      <c r="F291" s="249">
        <v>80000</v>
      </c>
      <c r="G291" s="250">
        <v>45215</v>
      </c>
      <c r="H291" s="240"/>
      <c r="I291" s="240" t="s">
        <v>1363</v>
      </c>
      <c r="J291" s="249"/>
      <c r="K291" s="240"/>
      <c r="L291" s="240"/>
      <c r="M291" s="240"/>
    </row>
    <row r="292" spans="1:13">
      <c r="A292" s="244" t="s">
        <v>684</v>
      </c>
      <c r="B292" s="244" t="s">
        <v>1353</v>
      </c>
      <c r="C292" s="244" t="s">
        <v>1358</v>
      </c>
      <c r="D292" s="244" t="s">
        <v>1372</v>
      </c>
      <c r="E292" s="244" t="s">
        <v>1356</v>
      </c>
      <c r="F292" s="251">
        <v>900000</v>
      </c>
      <c r="G292" s="252">
        <v>45215</v>
      </c>
      <c r="H292" s="244"/>
      <c r="I292" s="244" t="s">
        <v>1363</v>
      </c>
      <c r="J292" s="251"/>
      <c r="K292" s="244"/>
      <c r="L292" s="244"/>
      <c r="M292" s="244"/>
    </row>
    <row r="293" spans="1:13">
      <c r="A293" s="240" t="s">
        <v>684</v>
      </c>
      <c r="B293" s="240" t="s">
        <v>1353</v>
      </c>
      <c r="C293" s="240" t="s">
        <v>1465</v>
      </c>
      <c r="D293" s="240" t="s">
        <v>1431</v>
      </c>
      <c r="E293" s="240" t="s">
        <v>1356</v>
      </c>
      <c r="F293" s="249">
        <v>453000</v>
      </c>
      <c r="G293" s="250">
        <v>45218</v>
      </c>
      <c r="H293" s="240"/>
      <c r="I293" s="240" t="s">
        <v>1363</v>
      </c>
      <c r="J293" s="249"/>
      <c r="K293" s="240"/>
      <c r="L293" s="240"/>
      <c r="M293" s="240"/>
    </row>
    <row r="294" spans="1:13">
      <c r="A294" s="244" t="s">
        <v>684</v>
      </c>
      <c r="B294" s="244" t="s">
        <v>1353</v>
      </c>
      <c r="C294" s="244" t="s">
        <v>1466</v>
      </c>
      <c r="D294" s="244"/>
      <c r="E294" s="244" t="s">
        <v>1356</v>
      </c>
      <c r="F294" s="251">
        <v>400000</v>
      </c>
      <c r="G294" s="252">
        <v>45219</v>
      </c>
      <c r="H294" s="244"/>
      <c r="I294" s="244" t="s">
        <v>1363</v>
      </c>
      <c r="J294" s="251"/>
      <c r="K294" s="244"/>
      <c r="L294" s="244"/>
      <c r="M294" s="244"/>
    </row>
    <row r="295" spans="1:13">
      <c r="A295" s="240" t="s">
        <v>684</v>
      </c>
      <c r="B295" s="240" t="s">
        <v>1353</v>
      </c>
      <c r="C295" s="240" t="s">
        <v>1467</v>
      </c>
      <c r="D295" s="240" t="s">
        <v>1468</v>
      </c>
      <c r="E295" s="240" t="s">
        <v>1356</v>
      </c>
      <c r="F295" s="249">
        <v>1000000</v>
      </c>
      <c r="G295" s="250">
        <v>45240</v>
      </c>
      <c r="H295" s="240"/>
      <c r="I295" s="240" t="s">
        <v>1363</v>
      </c>
      <c r="J295" s="249"/>
      <c r="K295" s="240"/>
      <c r="L295" s="240"/>
      <c r="M295" s="240"/>
    </row>
    <row r="296" spans="1:13">
      <c r="A296" s="244" t="s">
        <v>684</v>
      </c>
      <c r="B296" s="244" t="s">
        <v>1353</v>
      </c>
      <c r="C296" s="244" t="s">
        <v>1458</v>
      </c>
      <c r="D296" s="244" t="s">
        <v>1372</v>
      </c>
      <c r="E296" s="244" t="s">
        <v>1356</v>
      </c>
      <c r="F296" s="251">
        <v>820700</v>
      </c>
      <c r="G296" s="252">
        <v>45230</v>
      </c>
      <c r="H296" s="244"/>
      <c r="I296" s="244" t="s">
        <v>1363</v>
      </c>
      <c r="J296" s="251"/>
      <c r="K296" s="244"/>
      <c r="L296" s="244"/>
      <c r="M296" s="244"/>
    </row>
    <row r="297" spans="1:13">
      <c r="A297" s="240" t="s">
        <v>684</v>
      </c>
      <c r="B297" s="240" t="s">
        <v>1353</v>
      </c>
      <c r="C297" s="240" t="s">
        <v>1458</v>
      </c>
      <c r="D297" s="240" t="s">
        <v>1372</v>
      </c>
      <c r="E297" s="240" t="s">
        <v>1356</v>
      </c>
      <c r="F297" s="249">
        <v>1402000</v>
      </c>
      <c r="G297" s="250">
        <v>45230</v>
      </c>
      <c r="H297" s="240"/>
      <c r="I297" s="240" t="s">
        <v>1363</v>
      </c>
      <c r="J297" s="249"/>
      <c r="K297" s="240"/>
      <c r="L297" s="240"/>
      <c r="M297" s="240"/>
    </row>
    <row r="298" spans="1:13">
      <c r="A298" s="244" t="s">
        <v>684</v>
      </c>
      <c r="B298" s="244" t="s">
        <v>1353</v>
      </c>
      <c r="C298" s="244" t="s">
        <v>1458</v>
      </c>
      <c r="D298" s="244" t="s">
        <v>1372</v>
      </c>
      <c r="E298" s="244" t="s">
        <v>1356</v>
      </c>
      <c r="F298" s="251">
        <v>1186800</v>
      </c>
      <c r="G298" s="252">
        <v>45230</v>
      </c>
      <c r="H298" s="244"/>
      <c r="I298" s="244" t="s">
        <v>1363</v>
      </c>
      <c r="J298" s="251"/>
      <c r="K298" s="244"/>
      <c r="L298" s="244"/>
      <c r="M298" s="244"/>
    </row>
    <row r="299" spans="1:13">
      <c r="A299" s="240" t="s">
        <v>684</v>
      </c>
      <c r="B299" s="240" t="s">
        <v>1353</v>
      </c>
      <c r="C299" s="240" t="s">
        <v>1458</v>
      </c>
      <c r="D299" s="240" t="s">
        <v>1372</v>
      </c>
      <c r="E299" s="240" t="s">
        <v>1356</v>
      </c>
      <c r="F299" s="249">
        <v>354240</v>
      </c>
      <c r="G299" s="250">
        <v>45230</v>
      </c>
      <c r="H299" s="240"/>
      <c r="I299" s="240" t="s">
        <v>1363</v>
      </c>
      <c r="J299" s="249"/>
      <c r="K299" s="240"/>
      <c r="L299" s="240"/>
      <c r="M299" s="240"/>
    </row>
    <row r="300" spans="1:13">
      <c r="A300" s="244" t="s">
        <v>684</v>
      </c>
      <c r="B300" s="244" t="s">
        <v>1353</v>
      </c>
      <c r="C300" s="244" t="s">
        <v>1458</v>
      </c>
      <c r="D300" s="244" t="s">
        <v>1372</v>
      </c>
      <c r="E300" s="244" t="s">
        <v>1356</v>
      </c>
      <c r="F300" s="251">
        <v>766700</v>
      </c>
      <c r="G300" s="252">
        <v>45230</v>
      </c>
      <c r="H300" s="244"/>
      <c r="I300" s="244" t="s">
        <v>1363</v>
      </c>
      <c r="J300" s="251"/>
      <c r="K300" s="244"/>
      <c r="L300" s="244"/>
      <c r="M300" s="244"/>
    </row>
    <row r="301" spans="1:13">
      <c r="A301" s="240" t="s">
        <v>684</v>
      </c>
      <c r="B301" s="240" t="s">
        <v>1353</v>
      </c>
      <c r="C301" s="240" t="s">
        <v>1458</v>
      </c>
      <c r="D301" s="240" t="s">
        <v>1372</v>
      </c>
      <c r="E301" s="240" t="s">
        <v>1356</v>
      </c>
      <c r="F301" s="249">
        <v>270000</v>
      </c>
      <c r="G301" s="250">
        <v>45230</v>
      </c>
      <c r="H301" s="240"/>
      <c r="I301" s="240" t="s">
        <v>1363</v>
      </c>
      <c r="J301" s="249"/>
      <c r="K301" s="240"/>
      <c r="L301" s="240"/>
      <c r="M301" s="240"/>
    </row>
    <row r="302" spans="1:13">
      <c r="A302" s="244" t="s">
        <v>684</v>
      </c>
      <c r="B302" s="244" t="s">
        <v>1353</v>
      </c>
      <c r="C302" s="244" t="s">
        <v>1458</v>
      </c>
      <c r="D302" s="244" t="s">
        <v>1372</v>
      </c>
      <c r="E302" s="244" t="s">
        <v>1356</v>
      </c>
      <c r="F302" s="251">
        <v>560000</v>
      </c>
      <c r="G302" s="252">
        <v>45230</v>
      </c>
      <c r="H302" s="244"/>
      <c r="I302" s="244" t="s">
        <v>1363</v>
      </c>
      <c r="J302" s="251"/>
      <c r="K302" s="244"/>
      <c r="L302" s="244"/>
      <c r="M302" s="244"/>
    </row>
    <row r="303" spans="1:13">
      <c r="A303" s="240" t="s">
        <v>684</v>
      </c>
      <c r="B303" s="240" t="s">
        <v>1353</v>
      </c>
      <c r="C303" s="240" t="s">
        <v>1469</v>
      </c>
      <c r="D303" s="240"/>
      <c r="E303" s="240" t="s">
        <v>1356</v>
      </c>
      <c r="F303" s="249">
        <v>1000000</v>
      </c>
      <c r="G303" s="250">
        <v>45245</v>
      </c>
      <c r="H303" s="240"/>
      <c r="I303" s="240" t="s">
        <v>1363</v>
      </c>
      <c r="J303" s="249"/>
      <c r="K303" s="240"/>
      <c r="L303" s="240"/>
      <c r="M303" s="240"/>
    </row>
    <row r="304" spans="1:13">
      <c r="A304" s="244" t="s">
        <v>684</v>
      </c>
      <c r="B304" s="244" t="s">
        <v>1353</v>
      </c>
      <c r="C304" s="244" t="s">
        <v>1470</v>
      </c>
      <c r="D304" s="244" t="s">
        <v>1471</v>
      </c>
      <c r="E304" s="244" t="s">
        <v>1356</v>
      </c>
      <c r="F304" s="251">
        <v>6231372</v>
      </c>
      <c r="G304" s="252">
        <v>45252</v>
      </c>
      <c r="H304" s="244"/>
      <c r="I304" s="244" t="s">
        <v>1363</v>
      </c>
      <c r="J304" s="251"/>
      <c r="K304" s="244"/>
      <c r="L304" s="244"/>
      <c r="M304" s="244"/>
    </row>
    <row r="305" spans="1:13">
      <c r="A305" s="240" t="s">
        <v>684</v>
      </c>
      <c r="B305" s="240" t="s">
        <v>1353</v>
      </c>
      <c r="C305" s="240" t="s">
        <v>1472</v>
      </c>
      <c r="D305" s="240" t="s">
        <v>1473</v>
      </c>
      <c r="E305" s="240" t="s">
        <v>1356</v>
      </c>
      <c r="F305" s="249">
        <v>640000</v>
      </c>
      <c r="G305" s="250">
        <v>45260</v>
      </c>
      <c r="H305" s="240"/>
      <c r="I305" s="240" t="s">
        <v>1357</v>
      </c>
      <c r="J305" s="249"/>
      <c r="K305" s="240"/>
      <c r="L305" s="240"/>
      <c r="M305" s="240"/>
    </row>
    <row r="306" spans="1:13">
      <c r="A306" s="244" t="s">
        <v>684</v>
      </c>
      <c r="B306" s="244" t="s">
        <v>1353</v>
      </c>
      <c r="C306" s="244" t="s">
        <v>1474</v>
      </c>
      <c r="D306" s="244" t="s">
        <v>1475</v>
      </c>
      <c r="E306" s="244" t="s">
        <v>1356</v>
      </c>
      <c r="F306" s="251">
        <v>1500000</v>
      </c>
      <c r="G306" s="252">
        <v>45272</v>
      </c>
      <c r="H306" s="244"/>
      <c r="I306" s="244" t="s">
        <v>1357</v>
      </c>
      <c r="J306" s="251"/>
      <c r="K306" s="244"/>
      <c r="L306" s="244"/>
      <c r="M306" s="244"/>
    </row>
    <row r="307" spans="1:13">
      <c r="A307" s="240" t="s">
        <v>684</v>
      </c>
      <c r="B307" s="240" t="s">
        <v>1353</v>
      </c>
      <c r="C307" s="240" t="s">
        <v>1476</v>
      </c>
      <c r="D307" s="240" t="s">
        <v>1477</v>
      </c>
      <c r="E307" s="240" t="s">
        <v>1356</v>
      </c>
      <c r="F307" s="249">
        <v>500100</v>
      </c>
      <c r="G307" s="250">
        <v>45261</v>
      </c>
      <c r="H307" s="240"/>
      <c r="I307" s="240" t="s">
        <v>1363</v>
      </c>
      <c r="J307" s="249"/>
      <c r="K307" s="240"/>
      <c r="L307" s="240"/>
      <c r="M307" s="240"/>
    </row>
    <row r="308" spans="1:13">
      <c r="A308" s="244" t="s">
        <v>684</v>
      </c>
      <c r="B308" s="244" t="s">
        <v>1353</v>
      </c>
      <c r="C308" s="244" t="s">
        <v>1478</v>
      </c>
      <c r="D308" s="244" t="s">
        <v>1479</v>
      </c>
      <c r="E308" s="244" t="s">
        <v>1356</v>
      </c>
      <c r="F308" s="251">
        <v>2000000</v>
      </c>
      <c r="G308" s="252">
        <v>45274</v>
      </c>
      <c r="H308" s="244"/>
      <c r="I308" s="244" t="s">
        <v>1363</v>
      </c>
      <c r="J308" s="251"/>
      <c r="K308" s="244"/>
      <c r="L308" s="244"/>
      <c r="M308" s="244"/>
    </row>
    <row r="309" spans="1:13">
      <c r="A309" s="240" t="s">
        <v>684</v>
      </c>
      <c r="B309" s="240" t="s">
        <v>1353</v>
      </c>
      <c r="C309" s="240" t="s">
        <v>1478</v>
      </c>
      <c r="D309" s="240" t="s">
        <v>1479</v>
      </c>
      <c r="E309" s="240" t="s">
        <v>1356</v>
      </c>
      <c r="F309" s="249">
        <v>1400000</v>
      </c>
      <c r="G309" s="250">
        <v>45274</v>
      </c>
      <c r="H309" s="240"/>
      <c r="I309" s="240" t="s">
        <v>1363</v>
      </c>
      <c r="J309" s="249"/>
      <c r="K309" s="240"/>
      <c r="L309" s="240"/>
      <c r="M309" s="240"/>
    </row>
    <row r="310" spans="1:13">
      <c r="A310" s="244" t="s">
        <v>684</v>
      </c>
      <c r="B310" s="244" t="s">
        <v>1353</v>
      </c>
      <c r="C310" s="244" t="s">
        <v>1480</v>
      </c>
      <c r="D310" s="244" t="s">
        <v>1477</v>
      </c>
      <c r="E310" s="244" t="s">
        <v>1356</v>
      </c>
      <c r="F310" s="251">
        <v>67890</v>
      </c>
      <c r="G310" s="252">
        <v>45245</v>
      </c>
      <c r="H310" s="244"/>
      <c r="I310" s="244" t="s">
        <v>1363</v>
      </c>
      <c r="J310" s="251"/>
      <c r="K310" s="244"/>
      <c r="L310" s="244"/>
      <c r="M310" s="244"/>
    </row>
    <row r="311" spans="1:13">
      <c r="A311" s="240" t="s">
        <v>684</v>
      </c>
      <c r="B311" s="240" t="s">
        <v>1353</v>
      </c>
      <c r="C311" s="240" t="s">
        <v>1480</v>
      </c>
      <c r="D311" s="240" t="s">
        <v>1477</v>
      </c>
      <c r="E311" s="240" t="s">
        <v>1356</v>
      </c>
      <c r="F311" s="249">
        <v>27156</v>
      </c>
      <c r="G311" s="250">
        <v>45245</v>
      </c>
      <c r="H311" s="240"/>
      <c r="I311" s="240" t="s">
        <v>1363</v>
      </c>
      <c r="J311" s="249"/>
      <c r="K311" s="240"/>
      <c r="L311" s="240"/>
      <c r="M311" s="240"/>
    </row>
    <row r="312" spans="1:13">
      <c r="A312" s="244" t="s">
        <v>684</v>
      </c>
      <c r="B312" s="244" t="s">
        <v>1353</v>
      </c>
      <c r="C312" s="244" t="s">
        <v>1480</v>
      </c>
      <c r="D312" s="244" t="s">
        <v>1477</v>
      </c>
      <c r="E312" s="244" t="s">
        <v>1356</v>
      </c>
      <c r="F312" s="251">
        <v>20925</v>
      </c>
      <c r="G312" s="252">
        <v>45245</v>
      </c>
      <c r="H312" s="244"/>
      <c r="I312" s="244" t="s">
        <v>1363</v>
      </c>
      <c r="J312" s="251"/>
      <c r="K312" s="244"/>
      <c r="L312" s="244"/>
      <c r="M312" s="244"/>
    </row>
    <row r="313" spans="1:13">
      <c r="A313" s="240" t="s">
        <v>684</v>
      </c>
      <c r="B313" s="240" t="s">
        <v>1353</v>
      </c>
      <c r="C313" s="240" t="s">
        <v>1480</v>
      </c>
      <c r="D313" s="240" t="s">
        <v>1477</v>
      </c>
      <c r="E313" s="240" t="s">
        <v>1356</v>
      </c>
      <c r="F313" s="249">
        <v>185628</v>
      </c>
      <c r="G313" s="250">
        <v>45245</v>
      </c>
      <c r="H313" s="240"/>
      <c r="I313" s="240" t="s">
        <v>1363</v>
      </c>
      <c r="J313" s="249"/>
      <c r="K313" s="240"/>
      <c r="L313" s="240"/>
      <c r="M313" s="240"/>
    </row>
    <row r="314" spans="1:13">
      <c r="A314" s="244" t="s">
        <v>684</v>
      </c>
      <c r="B314" s="244" t="s">
        <v>1353</v>
      </c>
      <c r="C314" s="244" t="s">
        <v>1480</v>
      </c>
      <c r="D314" s="244" t="s">
        <v>1477</v>
      </c>
      <c r="E314" s="244" t="s">
        <v>1356</v>
      </c>
      <c r="F314" s="251">
        <v>13020</v>
      </c>
      <c r="G314" s="252">
        <v>45245</v>
      </c>
      <c r="H314" s="244"/>
      <c r="I314" s="244" t="s">
        <v>1363</v>
      </c>
      <c r="J314" s="251"/>
      <c r="K314" s="244"/>
      <c r="L314" s="244"/>
      <c r="M314" s="244"/>
    </row>
    <row r="315" spans="1:13">
      <c r="A315" s="240" t="s">
        <v>684</v>
      </c>
      <c r="B315" s="240" t="s">
        <v>1353</v>
      </c>
      <c r="C315" s="240" t="s">
        <v>1480</v>
      </c>
      <c r="D315" s="240" t="s">
        <v>1477</v>
      </c>
      <c r="E315" s="240" t="s">
        <v>1356</v>
      </c>
      <c r="F315" s="249">
        <v>23250</v>
      </c>
      <c r="G315" s="250">
        <v>45245</v>
      </c>
      <c r="H315" s="240"/>
      <c r="I315" s="240" t="s">
        <v>1363</v>
      </c>
      <c r="J315" s="249"/>
      <c r="K315" s="240"/>
      <c r="L315" s="240"/>
      <c r="M315" s="240"/>
    </row>
    <row r="316" spans="1:13">
      <c r="A316" s="244" t="s">
        <v>684</v>
      </c>
      <c r="B316" s="244" t="s">
        <v>1353</v>
      </c>
      <c r="C316" s="244" t="s">
        <v>1480</v>
      </c>
      <c r="D316" s="244" t="s">
        <v>1477</v>
      </c>
      <c r="E316" s="244" t="s">
        <v>1356</v>
      </c>
      <c r="F316" s="251">
        <v>120900</v>
      </c>
      <c r="G316" s="252">
        <v>45245</v>
      </c>
      <c r="H316" s="244"/>
      <c r="I316" s="244" t="s">
        <v>1363</v>
      </c>
      <c r="J316" s="251"/>
      <c r="K316" s="244"/>
      <c r="L316" s="244"/>
      <c r="M316" s="244"/>
    </row>
    <row r="317" spans="1:13">
      <c r="A317" s="240" t="s">
        <v>684</v>
      </c>
      <c r="B317" s="240" t="s">
        <v>1353</v>
      </c>
      <c r="C317" s="240" t="s">
        <v>1480</v>
      </c>
      <c r="D317" s="240" t="s">
        <v>1477</v>
      </c>
      <c r="E317" s="240" t="s">
        <v>1356</v>
      </c>
      <c r="F317" s="249">
        <v>97650</v>
      </c>
      <c r="G317" s="250">
        <v>45245</v>
      </c>
      <c r="H317" s="240"/>
      <c r="I317" s="240" t="s">
        <v>1363</v>
      </c>
      <c r="J317" s="249"/>
      <c r="K317" s="240"/>
      <c r="L317" s="240"/>
      <c r="M317" s="240"/>
    </row>
    <row r="318" spans="1:13">
      <c r="A318" s="244" t="s">
        <v>684</v>
      </c>
      <c r="B318" s="244" t="s">
        <v>1353</v>
      </c>
      <c r="C318" s="244" t="s">
        <v>1480</v>
      </c>
      <c r="D318" s="244" t="s">
        <v>1477</v>
      </c>
      <c r="E318" s="244" t="s">
        <v>1356</v>
      </c>
      <c r="F318" s="251">
        <v>332010</v>
      </c>
      <c r="G318" s="252">
        <v>45245</v>
      </c>
      <c r="H318" s="244"/>
      <c r="I318" s="244" t="s">
        <v>1363</v>
      </c>
      <c r="J318" s="251"/>
      <c r="K318" s="244"/>
      <c r="L318" s="244"/>
      <c r="M318" s="244"/>
    </row>
    <row r="319" spans="1:13">
      <c r="A319" s="240" t="s">
        <v>684</v>
      </c>
      <c r="B319" s="240" t="s">
        <v>1353</v>
      </c>
      <c r="C319" s="240" t="s">
        <v>1480</v>
      </c>
      <c r="D319" s="240" t="s">
        <v>1477</v>
      </c>
      <c r="E319" s="240" t="s">
        <v>1356</v>
      </c>
      <c r="F319" s="249">
        <v>613800</v>
      </c>
      <c r="G319" s="250">
        <v>45245</v>
      </c>
      <c r="H319" s="240"/>
      <c r="I319" s="240" t="s">
        <v>1363</v>
      </c>
      <c r="J319" s="249"/>
      <c r="K319" s="240"/>
      <c r="L319" s="240"/>
      <c r="M319" s="240"/>
    </row>
    <row r="320" spans="1:13">
      <c r="A320" s="244" t="s">
        <v>684</v>
      </c>
      <c r="B320" s="244" t="s">
        <v>1353</v>
      </c>
      <c r="C320" s="244" t="s">
        <v>1480</v>
      </c>
      <c r="D320" s="244" t="s">
        <v>1477</v>
      </c>
      <c r="E320" s="244" t="s">
        <v>1356</v>
      </c>
      <c r="F320" s="251">
        <v>143220</v>
      </c>
      <c r="G320" s="252">
        <v>45245</v>
      </c>
      <c r="H320" s="244"/>
      <c r="I320" s="244" t="s">
        <v>1363</v>
      </c>
      <c r="J320" s="251"/>
      <c r="K320" s="244"/>
      <c r="L320" s="244"/>
      <c r="M320" s="244"/>
    </row>
    <row r="321" spans="1:13">
      <c r="A321" s="240" t="s">
        <v>684</v>
      </c>
      <c r="B321" s="240" t="s">
        <v>1353</v>
      </c>
      <c r="C321" s="240" t="s">
        <v>1480</v>
      </c>
      <c r="D321" s="240" t="s">
        <v>1477</v>
      </c>
      <c r="E321" s="240" t="s">
        <v>1356</v>
      </c>
      <c r="F321" s="249">
        <v>169260</v>
      </c>
      <c r="G321" s="250">
        <v>45245</v>
      </c>
      <c r="H321" s="240"/>
      <c r="I321" s="240" t="s">
        <v>1363</v>
      </c>
      <c r="J321" s="249"/>
      <c r="K321" s="240"/>
      <c r="L321" s="240"/>
      <c r="M321" s="240"/>
    </row>
    <row r="322" spans="1:13">
      <c r="A322" s="244" t="s">
        <v>684</v>
      </c>
      <c r="B322" s="244" t="s">
        <v>1353</v>
      </c>
      <c r="C322" s="244" t="s">
        <v>1480</v>
      </c>
      <c r="D322" s="244" t="s">
        <v>1477</v>
      </c>
      <c r="E322" s="244" t="s">
        <v>1356</v>
      </c>
      <c r="F322" s="251">
        <v>50220</v>
      </c>
      <c r="G322" s="252">
        <v>45245</v>
      </c>
      <c r="H322" s="244"/>
      <c r="I322" s="244" t="s">
        <v>1363</v>
      </c>
      <c r="J322" s="251"/>
      <c r="K322" s="244"/>
      <c r="L322" s="244"/>
      <c r="M322" s="244"/>
    </row>
    <row r="323" spans="1:13">
      <c r="A323" s="240" t="s">
        <v>684</v>
      </c>
      <c r="B323" s="240" t="s">
        <v>1353</v>
      </c>
      <c r="C323" s="240" t="s">
        <v>1480</v>
      </c>
      <c r="D323" s="240" t="s">
        <v>1477</v>
      </c>
      <c r="E323" s="240" t="s">
        <v>1356</v>
      </c>
      <c r="F323" s="249">
        <v>65100</v>
      </c>
      <c r="G323" s="250">
        <v>45245</v>
      </c>
      <c r="H323" s="240"/>
      <c r="I323" s="240" t="s">
        <v>1363</v>
      </c>
      <c r="J323" s="249"/>
      <c r="K323" s="240"/>
      <c r="L323" s="240"/>
      <c r="M323" s="240"/>
    </row>
    <row r="324" spans="1:13">
      <c r="A324" s="244" t="s">
        <v>684</v>
      </c>
      <c r="B324" s="244" t="s">
        <v>1353</v>
      </c>
      <c r="C324" s="244" t="s">
        <v>1480</v>
      </c>
      <c r="D324" s="244" t="s">
        <v>1477</v>
      </c>
      <c r="E324" s="244" t="s">
        <v>1356</v>
      </c>
      <c r="F324" s="251">
        <v>44176</v>
      </c>
      <c r="G324" s="252">
        <v>45245</v>
      </c>
      <c r="H324" s="244"/>
      <c r="I324" s="244" t="s">
        <v>1363</v>
      </c>
      <c r="J324" s="251"/>
      <c r="K324" s="244"/>
      <c r="L324" s="244"/>
      <c r="M324" s="244"/>
    </row>
    <row r="325" spans="1:13">
      <c r="A325" s="240" t="s">
        <v>684</v>
      </c>
      <c r="B325" s="240" t="s">
        <v>1353</v>
      </c>
      <c r="C325" s="240" t="s">
        <v>1480</v>
      </c>
      <c r="D325" s="240" t="s">
        <v>1477</v>
      </c>
      <c r="E325" s="240" t="s">
        <v>1356</v>
      </c>
      <c r="F325" s="249">
        <v>53940</v>
      </c>
      <c r="G325" s="250">
        <v>45245</v>
      </c>
      <c r="H325" s="240"/>
      <c r="I325" s="240" t="s">
        <v>1363</v>
      </c>
      <c r="J325" s="249"/>
      <c r="K325" s="240"/>
      <c r="L325" s="240"/>
      <c r="M325" s="240"/>
    </row>
    <row r="326" spans="1:13">
      <c r="A326" s="244" t="s">
        <v>684</v>
      </c>
      <c r="B326" s="244" t="s">
        <v>1353</v>
      </c>
      <c r="C326" s="244" t="s">
        <v>1480</v>
      </c>
      <c r="D326" s="244" t="s">
        <v>1477</v>
      </c>
      <c r="E326" s="244" t="s">
        <v>1356</v>
      </c>
      <c r="F326" s="251">
        <v>52080</v>
      </c>
      <c r="G326" s="252">
        <v>45245</v>
      </c>
      <c r="H326" s="244"/>
      <c r="I326" s="244" t="s">
        <v>1363</v>
      </c>
      <c r="J326" s="251"/>
      <c r="K326" s="244"/>
      <c r="L326" s="244"/>
      <c r="M326" s="244"/>
    </row>
    <row r="327" spans="1:13">
      <c r="A327" s="240" t="s">
        <v>684</v>
      </c>
      <c r="B327" s="240" t="s">
        <v>1353</v>
      </c>
      <c r="C327" s="240" t="s">
        <v>1480</v>
      </c>
      <c r="D327" s="240" t="s">
        <v>1477</v>
      </c>
      <c r="E327" s="240" t="s">
        <v>1356</v>
      </c>
      <c r="F327" s="249">
        <v>65100</v>
      </c>
      <c r="G327" s="250">
        <v>45245</v>
      </c>
      <c r="H327" s="240"/>
      <c r="I327" s="240" t="s">
        <v>1363</v>
      </c>
      <c r="J327" s="249"/>
      <c r="K327" s="240"/>
      <c r="L327" s="240"/>
      <c r="M327" s="240"/>
    </row>
    <row r="328" spans="1:13">
      <c r="A328" s="244" t="s">
        <v>684</v>
      </c>
      <c r="B328" s="244" t="s">
        <v>1353</v>
      </c>
      <c r="C328" s="244" t="s">
        <v>1480</v>
      </c>
      <c r="D328" s="244" t="s">
        <v>1477</v>
      </c>
      <c r="E328" s="244" t="s">
        <v>1356</v>
      </c>
      <c r="F328" s="251">
        <v>3255</v>
      </c>
      <c r="G328" s="252">
        <v>45245</v>
      </c>
      <c r="H328" s="244"/>
      <c r="I328" s="244" t="s">
        <v>1363</v>
      </c>
      <c r="J328" s="251"/>
      <c r="K328" s="244"/>
      <c r="L328" s="244"/>
      <c r="M328" s="244"/>
    </row>
    <row r="329" spans="1:13">
      <c r="A329" s="240" t="s">
        <v>684</v>
      </c>
      <c r="B329" s="240" t="s">
        <v>1353</v>
      </c>
      <c r="C329" s="240" t="s">
        <v>1480</v>
      </c>
      <c r="D329" s="240" t="s">
        <v>1477</v>
      </c>
      <c r="E329" s="240" t="s">
        <v>1356</v>
      </c>
      <c r="F329" s="249">
        <v>129642</v>
      </c>
      <c r="G329" s="250">
        <v>45245</v>
      </c>
      <c r="H329" s="240"/>
      <c r="I329" s="240" t="s">
        <v>1363</v>
      </c>
      <c r="J329" s="249"/>
      <c r="K329" s="240"/>
      <c r="L329" s="240"/>
      <c r="M329" s="240"/>
    </row>
    <row r="330" spans="1:13">
      <c r="A330" s="244" t="s">
        <v>684</v>
      </c>
      <c r="B330" s="244" t="s">
        <v>1353</v>
      </c>
      <c r="C330" s="244" t="s">
        <v>1480</v>
      </c>
      <c r="D330" s="244" t="s">
        <v>1477</v>
      </c>
      <c r="E330" s="244" t="s">
        <v>1356</v>
      </c>
      <c r="F330" s="251">
        <v>97428</v>
      </c>
      <c r="G330" s="252">
        <v>45245</v>
      </c>
      <c r="H330" s="244"/>
      <c r="I330" s="244" t="s">
        <v>1363</v>
      </c>
      <c r="J330" s="251"/>
      <c r="K330" s="244"/>
      <c r="L330" s="244"/>
      <c r="M330" s="244"/>
    </row>
    <row r="331" spans="1:13">
      <c r="A331" s="240" t="s">
        <v>684</v>
      </c>
      <c r="B331" s="240" t="s">
        <v>1353</v>
      </c>
      <c r="C331" s="240" t="s">
        <v>1480</v>
      </c>
      <c r="D331" s="240" t="s">
        <v>1477</v>
      </c>
      <c r="E331" s="240" t="s">
        <v>1356</v>
      </c>
      <c r="F331" s="249">
        <v>158100</v>
      </c>
      <c r="G331" s="250">
        <v>45245</v>
      </c>
      <c r="H331" s="240"/>
      <c r="I331" s="240" t="s">
        <v>1363</v>
      </c>
      <c r="J331" s="249"/>
      <c r="K331" s="240"/>
      <c r="L331" s="240"/>
      <c r="M331" s="240"/>
    </row>
    <row r="332" spans="1:13">
      <c r="A332" s="244" t="s">
        <v>684</v>
      </c>
      <c r="B332" s="244" t="s">
        <v>1353</v>
      </c>
      <c r="C332" s="244" t="s">
        <v>1480</v>
      </c>
      <c r="D332" s="244" t="s">
        <v>1477</v>
      </c>
      <c r="E332" s="244" t="s">
        <v>1356</v>
      </c>
      <c r="F332" s="251">
        <v>25110</v>
      </c>
      <c r="G332" s="252">
        <v>45245</v>
      </c>
      <c r="H332" s="244"/>
      <c r="I332" s="244" t="s">
        <v>1363</v>
      </c>
      <c r="J332" s="251"/>
      <c r="K332" s="244"/>
      <c r="L332" s="244"/>
      <c r="M332" s="244"/>
    </row>
    <row r="333" spans="1:13">
      <c r="A333" s="240" t="s">
        <v>684</v>
      </c>
      <c r="B333" s="240" t="s">
        <v>1353</v>
      </c>
      <c r="C333" s="240" t="s">
        <v>1480</v>
      </c>
      <c r="D333" s="240" t="s">
        <v>1477</v>
      </c>
      <c r="E333" s="240" t="s">
        <v>1356</v>
      </c>
      <c r="F333" s="249">
        <v>251100</v>
      </c>
      <c r="G333" s="250">
        <v>45245</v>
      </c>
      <c r="H333" s="240"/>
      <c r="I333" s="240" t="s">
        <v>1363</v>
      </c>
      <c r="J333" s="249"/>
      <c r="K333" s="240"/>
      <c r="L333" s="240"/>
      <c r="M333" s="240"/>
    </row>
    <row r="334" spans="1:13">
      <c r="A334" s="244" t="s">
        <v>684</v>
      </c>
      <c r="B334" s="244" t="s">
        <v>1353</v>
      </c>
      <c r="C334" s="244" t="s">
        <v>1480</v>
      </c>
      <c r="D334" s="244" t="s">
        <v>1477</v>
      </c>
      <c r="E334" s="244" t="s">
        <v>1356</v>
      </c>
      <c r="F334" s="251">
        <v>9300</v>
      </c>
      <c r="G334" s="252">
        <v>45245</v>
      </c>
      <c r="H334" s="244"/>
      <c r="I334" s="244" t="s">
        <v>1363</v>
      </c>
      <c r="J334" s="251"/>
      <c r="K334" s="244"/>
      <c r="L334" s="244"/>
      <c r="M334" s="244"/>
    </row>
    <row r="335" spans="1:13">
      <c r="A335" s="240" t="s">
        <v>684</v>
      </c>
      <c r="B335" s="240" t="s">
        <v>1353</v>
      </c>
      <c r="C335" s="240" t="s">
        <v>1480</v>
      </c>
      <c r="D335" s="240" t="s">
        <v>1477</v>
      </c>
      <c r="E335" s="240" t="s">
        <v>1356</v>
      </c>
      <c r="F335" s="249">
        <v>930</v>
      </c>
      <c r="G335" s="250">
        <v>45245</v>
      </c>
      <c r="H335" s="240"/>
      <c r="I335" s="240" t="s">
        <v>1363</v>
      </c>
      <c r="J335" s="249"/>
      <c r="K335" s="240"/>
      <c r="L335" s="240"/>
      <c r="M335" s="240"/>
    </row>
    <row r="336" spans="1:13">
      <c r="A336" s="244" t="s">
        <v>684</v>
      </c>
      <c r="B336" s="244" t="s">
        <v>1353</v>
      </c>
      <c r="C336" s="244" t="s">
        <v>1480</v>
      </c>
      <c r="D336" s="244" t="s">
        <v>1477</v>
      </c>
      <c r="E336" s="244" t="s">
        <v>1356</v>
      </c>
      <c r="F336" s="251">
        <v>28830</v>
      </c>
      <c r="G336" s="252">
        <v>45245</v>
      </c>
      <c r="H336" s="244"/>
      <c r="I336" s="244" t="s">
        <v>1363</v>
      </c>
      <c r="J336" s="251"/>
      <c r="K336" s="244"/>
      <c r="L336" s="244"/>
      <c r="M336" s="244"/>
    </row>
    <row r="337" spans="1:13">
      <c r="A337" s="240" t="s">
        <v>684</v>
      </c>
      <c r="B337" s="240" t="s">
        <v>1353</v>
      </c>
      <c r="C337" s="240" t="s">
        <v>1480</v>
      </c>
      <c r="D337" s="240" t="s">
        <v>1477</v>
      </c>
      <c r="E337" s="240" t="s">
        <v>1356</v>
      </c>
      <c r="F337" s="249">
        <v>115320</v>
      </c>
      <c r="G337" s="250">
        <v>45245</v>
      </c>
      <c r="H337" s="240"/>
      <c r="I337" s="240" t="s">
        <v>1363</v>
      </c>
      <c r="J337" s="249"/>
      <c r="K337" s="240"/>
      <c r="L337" s="240"/>
      <c r="M337" s="240"/>
    </row>
    <row r="338" spans="1:13">
      <c r="A338" s="244" t="s">
        <v>684</v>
      </c>
      <c r="B338" s="244" t="s">
        <v>1353</v>
      </c>
      <c r="C338" s="244" t="s">
        <v>1480</v>
      </c>
      <c r="D338" s="244" t="s">
        <v>1477</v>
      </c>
      <c r="E338" s="244" t="s">
        <v>1356</v>
      </c>
      <c r="F338" s="251">
        <v>15810</v>
      </c>
      <c r="G338" s="252">
        <v>45245</v>
      </c>
      <c r="H338" s="244"/>
      <c r="I338" s="244" t="s">
        <v>1363</v>
      </c>
      <c r="J338" s="251"/>
      <c r="K338" s="244"/>
      <c r="L338" s="244"/>
      <c r="M338" s="244"/>
    </row>
    <row r="339" spans="1:13">
      <c r="A339" s="240" t="s">
        <v>684</v>
      </c>
      <c r="B339" s="240" t="s">
        <v>1353</v>
      </c>
      <c r="C339" s="240" t="s">
        <v>1480</v>
      </c>
      <c r="D339" s="240" t="s">
        <v>1477</v>
      </c>
      <c r="E339" s="240" t="s">
        <v>1356</v>
      </c>
      <c r="F339" s="249">
        <v>114390</v>
      </c>
      <c r="G339" s="250">
        <v>45245</v>
      </c>
      <c r="H339" s="240"/>
      <c r="I339" s="240" t="s">
        <v>1363</v>
      </c>
      <c r="J339" s="249"/>
      <c r="K339" s="240"/>
      <c r="L339" s="240"/>
      <c r="M339" s="240"/>
    </row>
    <row r="340" spans="1:13">
      <c r="A340" s="244" t="s">
        <v>684</v>
      </c>
      <c r="B340" s="244" t="s">
        <v>1353</v>
      </c>
      <c r="C340" s="244" t="s">
        <v>1480</v>
      </c>
      <c r="D340" s="244" t="s">
        <v>1477</v>
      </c>
      <c r="E340" s="244" t="s">
        <v>1356</v>
      </c>
      <c r="F340" s="251">
        <v>15810</v>
      </c>
      <c r="G340" s="252">
        <v>45245</v>
      </c>
      <c r="H340" s="244"/>
      <c r="I340" s="244" t="s">
        <v>1363</v>
      </c>
      <c r="J340" s="251"/>
      <c r="K340" s="244"/>
      <c r="L340" s="244"/>
      <c r="M340" s="244"/>
    </row>
    <row r="341" spans="1:13">
      <c r="A341" s="240" t="s">
        <v>684</v>
      </c>
      <c r="B341" s="240" t="s">
        <v>1353</v>
      </c>
      <c r="C341" s="240" t="s">
        <v>1480</v>
      </c>
      <c r="D341" s="240" t="s">
        <v>1477</v>
      </c>
      <c r="E341" s="240" t="s">
        <v>1356</v>
      </c>
      <c r="F341" s="249">
        <v>7254</v>
      </c>
      <c r="G341" s="250">
        <v>45245</v>
      </c>
      <c r="H341" s="240"/>
      <c r="I341" s="240" t="s">
        <v>1363</v>
      </c>
      <c r="J341" s="249"/>
      <c r="K341" s="240"/>
      <c r="L341" s="240"/>
      <c r="M341" s="240"/>
    </row>
    <row r="342" spans="1:13">
      <c r="A342" s="244" t="s">
        <v>684</v>
      </c>
      <c r="B342" s="244" t="s">
        <v>1353</v>
      </c>
      <c r="C342" s="244" t="s">
        <v>1480</v>
      </c>
      <c r="D342" s="244" t="s">
        <v>1477</v>
      </c>
      <c r="E342" s="244" t="s">
        <v>1356</v>
      </c>
      <c r="F342" s="251">
        <v>318060</v>
      </c>
      <c r="G342" s="252">
        <v>45245</v>
      </c>
      <c r="H342" s="244"/>
      <c r="I342" s="244" t="s">
        <v>1363</v>
      </c>
      <c r="J342" s="251"/>
      <c r="K342" s="244"/>
      <c r="L342" s="244"/>
      <c r="M342" s="244"/>
    </row>
    <row r="343" spans="1:13">
      <c r="A343" s="240" t="s">
        <v>684</v>
      </c>
      <c r="B343" s="240" t="s">
        <v>1353</v>
      </c>
      <c r="C343" s="240" t="s">
        <v>1480</v>
      </c>
      <c r="D343" s="240" t="s">
        <v>1477</v>
      </c>
      <c r="E343" s="240" t="s">
        <v>1356</v>
      </c>
      <c r="F343" s="249">
        <v>140430</v>
      </c>
      <c r="G343" s="250">
        <v>45245</v>
      </c>
      <c r="H343" s="240"/>
      <c r="I343" s="240" t="s">
        <v>1363</v>
      </c>
      <c r="J343" s="249"/>
      <c r="K343" s="240"/>
      <c r="L343" s="240"/>
      <c r="M343" s="240"/>
    </row>
    <row r="344" spans="1:13">
      <c r="A344" s="244" t="s">
        <v>684</v>
      </c>
      <c r="B344" s="244" t="s">
        <v>1353</v>
      </c>
      <c r="C344" s="244" t="s">
        <v>1480</v>
      </c>
      <c r="D344" s="244" t="s">
        <v>1477</v>
      </c>
      <c r="E344" s="244" t="s">
        <v>1356</v>
      </c>
      <c r="F344" s="251">
        <v>10695</v>
      </c>
      <c r="G344" s="252">
        <v>45245</v>
      </c>
      <c r="H344" s="244"/>
      <c r="I344" s="244" t="s">
        <v>1363</v>
      </c>
      <c r="J344" s="251"/>
      <c r="K344" s="244"/>
      <c r="L344" s="244"/>
      <c r="M344" s="244"/>
    </row>
    <row r="345" spans="1:13">
      <c r="A345" s="240" t="s">
        <v>684</v>
      </c>
      <c r="B345" s="240" t="s">
        <v>1353</v>
      </c>
      <c r="C345" s="240" t="s">
        <v>1480</v>
      </c>
      <c r="D345" s="240" t="s">
        <v>1477</v>
      </c>
      <c r="E345" s="240" t="s">
        <v>1356</v>
      </c>
      <c r="F345" s="249">
        <v>45105</v>
      </c>
      <c r="G345" s="250">
        <v>45245</v>
      </c>
      <c r="H345" s="240"/>
      <c r="I345" s="240" t="s">
        <v>1363</v>
      </c>
      <c r="J345" s="249"/>
      <c r="K345" s="240"/>
      <c r="L345" s="240"/>
      <c r="M345" s="240"/>
    </row>
    <row r="346" spans="1:13">
      <c r="A346" s="244" t="s">
        <v>684</v>
      </c>
      <c r="B346" s="244" t="s">
        <v>1353</v>
      </c>
      <c r="C346" s="244" t="s">
        <v>1480</v>
      </c>
      <c r="D346" s="244" t="s">
        <v>1477</v>
      </c>
      <c r="E346" s="244" t="s">
        <v>1356</v>
      </c>
      <c r="F346" s="251">
        <v>11532</v>
      </c>
      <c r="G346" s="252">
        <v>45245</v>
      </c>
      <c r="H346" s="244"/>
      <c r="I346" s="244" t="s">
        <v>1363</v>
      </c>
      <c r="J346" s="251"/>
      <c r="K346" s="244"/>
      <c r="L346" s="244"/>
      <c r="M346" s="244"/>
    </row>
    <row r="347" spans="1:13">
      <c r="A347" s="240" t="s">
        <v>684</v>
      </c>
      <c r="B347" s="240" t="s">
        <v>1353</v>
      </c>
      <c r="C347" s="240" t="s">
        <v>1480</v>
      </c>
      <c r="D347" s="240" t="s">
        <v>1477</v>
      </c>
      <c r="E347" s="240" t="s">
        <v>1356</v>
      </c>
      <c r="F347" s="249">
        <v>11532</v>
      </c>
      <c r="G347" s="250">
        <v>45245</v>
      </c>
      <c r="H347" s="240"/>
      <c r="I347" s="240" t="s">
        <v>1363</v>
      </c>
      <c r="J347" s="249"/>
      <c r="K347" s="240"/>
      <c r="L347" s="240"/>
      <c r="M347" s="240"/>
    </row>
    <row r="348" spans="1:13">
      <c r="A348" s="244" t="s">
        <v>684</v>
      </c>
      <c r="B348" s="244" t="s">
        <v>1353</v>
      </c>
      <c r="C348" s="244" t="s">
        <v>1480</v>
      </c>
      <c r="D348" s="244" t="s">
        <v>1477</v>
      </c>
      <c r="E348" s="244" t="s">
        <v>1356</v>
      </c>
      <c r="F348" s="251">
        <v>5580</v>
      </c>
      <c r="G348" s="252">
        <v>45245</v>
      </c>
      <c r="H348" s="244"/>
      <c r="I348" s="244" t="s">
        <v>1363</v>
      </c>
      <c r="J348" s="251"/>
      <c r="K348" s="244"/>
      <c r="L348" s="244"/>
      <c r="M348" s="244"/>
    </row>
    <row r="349" spans="1:13">
      <c r="A349" s="240" t="s">
        <v>684</v>
      </c>
      <c r="B349" s="240" t="s">
        <v>1353</v>
      </c>
      <c r="C349" s="240" t="s">
        <v>1480</v>
      </c>
      <c r="D349" s="240" t="s">
        <v>1477</v>
      </c>
      <c r="E349" s="240" t="s">
        <v>1356</v>
      </c>
      <c r="F349" s="249">
        <v>239940</v>
      </c>
      <c r="G349" s="250">
        <v>45245</v>
      </c>
      <c r="H349" s="240"/>
      <c r="I349" s="240" t="s">
        <v>1363</v>
      </c>
      <c r="J349" s="249"/>
      <c r="K349" s="240"/>
      <c r="L349" s="240"/>
      <c r="M349" s="240"/>
    </row>
    <row r="350" spans="1:13">
      <c r="A350" s="244" t="s">
        <v>684</v>
      </c>
      <c r="B350" s="244" t="s">
        <v>1353</v>
      </c>
      <c r="C350" s="244" t="s">
        <v>1480</v>
      </c>
      <c r="D350" s="244" t="s">
        <v>1477</v>
      </c>
      <c r="E350" s="244" t="s">
        <v>1356</v>
      </c>
      <c r="F350" s="251">
        <v>89280</v>
      </c>
      <c r="G350" s="252">
        <v>45245</v>
      </c>
      <c r="H350" s="244"/>
      <c r="I350" s="244" t="s">
        <v>1363</v>
      </c>
      <c r="J350" s="251"/>
      <c r="K350" s="244"/>
      <c r="L350" s="244"/>
      <c r="M350" s="244"/>
    </row>
    <row r="351" spans="1:13">
      <c r="A351" s="240" t="s">
        <v>684</v>
      </c>
      <c r="B351" s="240" t="s">
        <v>1353</v>
      </c>
      <c r="C351" s="240" t="s">
        <v>1480</v>
      </c>
      <c r="D351" s="240" t="s">
        <v>1477</v>
      </c>
      <c r="E351" s="240" t="s">
        <v>1356</v>
      </c>
      <c r="F351" s="249">
        <v>25110</v>
      </c>
      <c r="G351" s="250">
        <v>45245</v>
      </c>
      <c r="H351" s="240"/>
      <c r="I351" s="240" t="s">
        <v>1363</v>
      </c>
      <c r="J351" s="249"/>
      <c r="K351" s="240"/>
      <c r="L351" s="240"/>
      <c r="M351" s="240"/>
    </row>
    <row r="352" spans="1:13">
      <c r="A352" s="244" t="s">
        <v>684</v>
      </c>
      <c r="B352" s="244" t="s">
        <v>1353</v>
      </c>
      <c r="C352" s="244" t="s">
        <v>1480</v>
      </c>
      <c r="D352" s="244" t="s">
        <v>1477</v>
      </c>
      <c r="E352" s="244" t="s">
        <v>1356</v>
      </c>
      <c r="F352" s="251">
        <v>25110</v>
      </c>
      <c r="G352" s="252">
        <v>45245</v>
      </c>
      <c r="H352" s="244"/>
      <c r="I352" s="244" t="s">
        <v>1363</v>
      </c>
      <c r="J352" s="251"/>
      <c r="K352" s="244"/>
      <c r="L352" s="244"/>
      <c r="M352" s="244"/>
    </row>
    <row r="353" spans="1:13">
      <c r="A353" s="240" t="s">
        <v>684</v>
      </c>
      <c r="B353" s="240" t="s">
        <v>1353</v>
      </c>
      <c r="C353" s="240" t="s">
        <v>1480</v>
      </c>
      <c r="D353" s="240" t="s">
        <v>1477</v>
      </c>
      <c r="E353" s="240" t="s">
        <v>1356</v>
      </c>
      <c r="F353" s="249">
        <v>25110</v>
      </c>
      <c r="G353" s="250">
        <v>45245</v>
      </c>
      <c r="H353" s="240"/>
      <c r="I353" s="240" t="s">
        <v>1363</v>
      </c>
      <c r="J353" s="249"/>
      <c r="K353" s="240"/>
      <c r="L353" s="240"/>
      <c r="M353" s="240"/>
    </row>
    <row r="354" spans="1:13">
      <c r="A354" s="244" t="s">
        <v>684</v>
      </c>
      <c r="B354" s="244" t="s">
        <v>1353</v>
      </c>
      <c r="C354" s="244" t="s">
        <v>1480</v>
      </c>
      <c r="D354" s="244" t="s">
        <v>1477</v>
      </c>
      <c r="E354" s="244" t="s">
        <v>1356</v>
      </c>
      <c r="F354" s="251">
        <v>25110</v>
      </c>
      <c r="G354" s="252">
        <v>45245</v>
      </c>
      <c r="H354" s="244"/>
      <c r="I354" s="244" t="s">
        <v>1363</v>
      </c>
      <c r="J354" s="251"/>
      <c r="K354" s="244"/>
      <c r="L354" s="244"/>
      <c r="M354" s="244"/>
    </row>
    <row r="355" spans="1:13">
      <c r="A355" s="240" t="s">
        <v>684</v>
      </c>
      <c r="B355" s="240" t="s">
        <v>1353</v>
      </c>
      <c r="C355" s="240" t="s">
        <v>1480</v>
      </c>
      <c r="D355" s="240" t="s">
        <v>1477</v>
      </c>
      <c r="E355" s="240" t="s">
        <v>1356</v>
      </c>
      <c r="F355" s="249">
        <v>25110</v>
      </c>
      <c r="G355" s="250">
        <v>45245</v>
      </c>
      <c r="H355" s="240"/>
      <c r="I355" s="240" t="s">
        <v>1363</v>
      </c>
      <c r="J355" s="249"/>
      <c r="K355" s="240"/>
      <c r="L355" s="240"/>
      <c r="M355" s="240"/>
    </row>
    <row r="356" spans="1:13">
      <c r="A356" s="244" t="s">
        <v>684</v>
      </c>
      <c r="B356" s="244" t="s">
        <v>1353</v>
      </c>
      <c r="C356" s="244" t="s">
        <v>1480</v>
      </c>
      <c r="D356" s="244" t="s">
        <v>1477</v>
      </c>
      <c r="E356" s="244" t="s">
        <v>1356</v>
      </c>
      <c r="F356" s="251">
        <v>29016</v>
      </c>
      <c r="G356" s="252">
        <v>45245</v>
      </c>
      <c r="H356" s="244"/>
      <c r="I356" s="244" t="s">
        <v>1363</v>
      </c>
      <c r="J356" s="251"/>
      <c r="K356" s="244"/>
      <c r="L356" s="244"/>
      <c r="M356" s="244"/>
    </row>
    <row r="357" spans="1:13">
      <c r="A357" s="240" t="s">
        <v>684</v>
      </c>
      <c r="B357" s="240" t="s">
        <v>1353</v>
      </c>
      <c r="C357" s="240" t="s">
        <v>1480</v>
      </c>
      <c r="D357" s="240" t="s">
        <v>1477</v>
      </c>
      <c r="E357" s="240" t="s">
        <v>1356</v>
      </c>
      <c r="F357" s="249">
        <v>39060</v>
      </c>
      <c r="G357" s="250">
        <v>45245</v>
      </c>
      <c r="H357" s="240"/>
      <c r="I357" s="240" t="s">
        <v>1363</v>
      </c>
      <c r="J357" s="249"/>
      <c r="K357" s="240"/>
      <c r="L357" s="240"/>
      <c r="M357" s="240"/>
    </row>
    <row r="358" spans="1:13">
      <c r="A358" s="244" t="s">
        <v>684</v>
      </c>
      <c r="B358" s="244" t="s">
        <v>1353</v>
      </c>
      <c r="C358" s="244" t="s">
        <v>1480</v>
      </c>
      <c r="D358" s="244" t="s">
        <v>1477</v>
      </c>
      <c r="E358" s="244" t="s">
        <v>1356</v>
      </c>
      <c r="F358" s="251">
        <v>117180</v>
      </c>
      <c r="G358" s="252">
        <v>45245</v>
      </c>
      <c r="H358" s="244"/>
      <c r="I358" s="244" t="s">
        <v>1363</v>
      </c>
      <c r="J358" s="251"/>
      <c r="K358" s="244"/>
      <c r="L358" s="244"/>
      <c r="M358" s="244"/>
    </row>
    <row r="359" spans="1:13">
      <c r="A359" s="240" t="s">
        <v>684</v>
      </c>
      <c r="B359" s="240" t="s">
        <v>1353</v>
      </c>
      <c r="C359" s="240" t="s">
        <v>1481</v>
      </c>
      <c r="D359" s="240" t="s">
        <v>1482</v>
      </c>
      <c r="E359" s="240" t="s">
        <v>1356</v>
      </c>
      <c r="F359" s="249">
        <v>500000</v>
      </c>
      <c r="G359" s="250">
        <v>45278</v>
      </c>
      <c r="H359" s="240"/>
      <c r="I359" s="240" t="s">
        <v>1363</v>
      </c>
      <c r="J359" s="249"/>
      <c r="K359" s="240"/>
      <c r="L359" s="240"/>
      <c r="M359" s="240"/>
    </row>
    <row r="360" spans="1:13">
      <c r="A360" s="244" t="s">
        <v>684</v>
      </c>
      <c r="B360" s="244" t="s">
        <v>1353</v>
      </c>
      <c r="C360" s="244" t="s">
        <v>1483</v>
      </c>
      <c r="D360" s="244" t="s">
        <v>1471</v>
      </c>
      <c r="E360" s="244" t="s">
        <v>1356</v>
      </c>
      <c r="F360" s="251">
        <v>35625</v>
      </c>
      <c r="G360" s="252">
        <v>45258</v>
      </c>
      <c r="H360" s="244"/>
      <c r="I360" s="244" t="s">
        <v>1363</v>
      </c>
      <c r="J360" s="251"/>
      <c r="K360" s="244"/>
      <c r="L360" s="244"/>
      <c r="M360" s="244"/>
    </row>
    <row r="361" spans="1:13">
      <c r="A361" s="240" t="s">
        <v>684</v>
      </c>
      <c r="B361" s="240" t="s">
        <v>1353</v>
      </c>
      <c r="C361" s="240" t="s">
        <v>1484</v>
      </c>
      <c r="D361" s="240"/>
      <c r="E361" s="240" t="s">
        <v>1356</v>
      </c>
      <c r="F361" s="249">
        <v>500000</v>
      </c>
      <c r="G361" s="250">
        <v>45264</v>
      </c>
      <c r="H361" s="240"/>
      <c r="I361" s="240" t="s">
        <v>1455</v>
      </c>
      <c r="J361" s="249"/>
      <c r="K361" s="240"/>
      <c r="L361" s="240"/>
      <c r="M361" s="240"/>
    </row>
    <row r="362" spans="1:13">
      <c r="A362" s="244" t="s">
        <v>684</v>
      </c>
      <c r="B362" s="244" t="s">
        <v>1353</v>
      </c>
      <c r="C362" s="244" t="s">
        <v>1481</v>
      </c>
      <c r="D362" s="244" t="s">
        <v>1485</v>
      </c>
      <c r="E362" s="244" t="s">
        <v>1356</v>
      </c>
      <c r="F362" s="251">
        <v>500000</v>
      </c>
      <c r="G362" s="252">
        <v>45278</v>
      </c>
      <c r="H362" s="244"/>
      <c r="I362" s="244" t="s">
        <v>1363</v>
      </c>
      <c r="J362" s="251"/>
      <c r="K362" s="244"/>
      <c r="L362" s="244"/>
      <c r="M362" s="244"/>
    </row>
    <row r="363" spans="1:13">
      <c r="A363" s="240" t="s">
        <v>684</v>
      </c>
      <c r="B363" s="240" t="s">
        <v>1353</v>
      </c>
      <c r="C363" s="240" t="s">
        <v>1486</v>
      </c>
      <c r="D363" s="240"/>
      <c r="E363" s="240" t="s">
        <v>1356</v>
      </c>
      <c r="F363" s="249">
        <v>100000</v>
      </c>
      <c r="G363" s="250">
        <v>44927</v>
      </c>
      <c r="H363" s="240"/>
      <c r="I363" s="240" t="s">
        <v>1363</v>
      </c>
      <c r="J363" s="249"/>
      <c r="K363" s="240"/>
      <c r="L363" s="240"/>
      <c r="M363" s="240"/>
    </row>
    <row r="364" spans="1:13">
      <c r="A364" s="244" t="s">
        <v>684</v>
      </c>
      <c r="B364" s="244" t="s">
        <v>1353</v>
      </c>
      <c r="C364" s="244" t="s">
        <v>1487</v>
      </c>
      <c r="D364" s="244" t="s">
        <v>1488</v>
      </c>
      <c r="E364" s="244" t="s">
        <v>1356</v>
      </c>
      <c r="F364" s="251">
        <v>1000000</v>
      </c>
      <c r="G364" s="252">
        <v>45291</v>
      </c>
      <c r="H364" s="244"/>
      <c r="I364" s="244" t="s">
        <v>1363</v>
      </c>
      <c r="J364" s="251"/>
      <c r="K364" s="244"/>
      <c r="L364" s="244"/>
      <c r="M364" s="244"/>
    </row>
    <row r="365" spans="1:13">
      <c r="A365" s="240" t="s">
        <v>684</v>
      </c>
      <c r="B365" s="240" t="s">
        <v>1353</v>
      </c>
      <c r="C365" s="240" t="s">
        <v>1489</v>
      </c>
      <c r="D365" s="240" t="s">
        <v>1490</v>
      </c>
      <c r="E365" s="240" t="s">
        <v>1356</v>
      </c>
      <c r="F365" s="249">
        <v>100000</v>
      </c>
      <c r="G365" s="250">
        <v>44927</v>
      </c>
      <c r="H365" s="240"/>
      <c r="I365" s="240" t="s">
        <v>1357</v>
      </c>
      <c r="J365" s="249"/>
      <c r="K365" s="240"/>
      <c r="L365" s="240"/>
      <c r="M365" s="240"/>
    </row>
    <row r="366" spans="1:13">
      <c r="A366" s="244" t="s">
        <v>684</v>
      </c>
      <c r="B366" s="244" t="s">
        <v>1353</v>
      </c>
      <c r="C366" s="244" t="s">
        <v>1491</v>
      </c>
      <c r="D366" s="244" t="s">
        <v>1492</v>
      </c>
      <c r="E366" s="244" t="s">
        <v>1356</v>
      </c>
      <c r="F366" s="251">
        <v>100000</v>
      </c>
      <c r="G366" s="252">
        <v>44927</v>
      </c>
      <c r="H366" s="244"/>
      <c r="I366" s="244" t="s">
        <v>1493</v>
      </c>
      <c r="J366" s="251"/>
      <c r="K366" s="244"/>
      <c r="L366" s="244"/>
      <c r="M366" s="244"/>
    </row>
    <row r="367" spans="1:13">
      <c r="A367" s="240" t="s">
        <v>684</v>
      </c>
      <c r="B367" s="240" t="s">
        <v>1353</v>
      </c>
      <c r="C367" s="240" t="s">
        <v>1494</v>
      </c>
      <c r="D367" s="240" t="s">
        <v>1495</v>
      </c>
      <c r="E367" s="240" t="s">
        <v>1356</v>
      </c>
      <c r="F367" s="249">
        <v>100000</v>
      </c>
      <c r="G367" s="250">
        <v>44927</v>
      </c>
      <c r="H367" s="240"/>
      <c r="I367" s="240" t="s">
        <v>1455</v>
      </c>
      <c r="J367" s="249"/>
      <c r="K367" s="240"/>
      <c r="L367" s="240"/>
      <c r="M367" s="240"/>
    </row>
    <row r="368" spans="1:13">
      <c r="A368" s="244" t="s">
        <v>684</v>
      </c>
      <c r="B368" s="244" t="s">
        <v>1353</v>
      </c>
      <c r="C368" s="244" t="s">
        <v>1496</v>
      </c>
      <c r="D368" s="244" t="s">
        <v>1490</v>
      </c>
      <c r="E368" s="244" t="s">
        <v>1356</v>
      </c>
      <c r="F368" s="251">
        <v>100000</v>
      </c>
      <c r="G368" s="252">
        <v>44927</v>
      </c>
      <c r="H368" s="244"/>
      <c r="I368" s="244" t="s">
        <v>1455</v>
      </c>
      <c r="J368" s="251"/>
      <c r="K368" s="244"/>
      <c r="L368" s="244"/>
      <c r="M368" s="244"/>
    </row>
    <row r="369" spans="1:13">
      <c r="A369" s="240" t="s">
        <v>684</v>
      </c>
      <c r="B369" s="240" t="s">
        <v>1353</v>
      </c>
      <c r="C369" s="240" t="s">
        <v>1497</v>
      </c>
      <c r="D369" s="240" t="s">
        <v>1498</v>
      </c>
      <c r="E369" s="240" t="s">
        <v>1356</v>
      </c>
      <c r="F369" s="249">
        <v>100000</v>
      </c>
      <c r="G369" s="250">
        <v>44927</v>
      </c>
      <c r="H369" s="240"/>
      <c r="I369" s="240" t="s">
        <v>1455</v>
      </c>
      <c r="J369" s="249"/>
      <c r="K369" s="240"/>
      <c r="L369" s="240"/>
      <c r="M369" s="240"/>
    </row>
    <row r="370" spans="1:13">
      <c r="A370" s="244" t="s">
        <v>684</v>
      </c>
      <c r="B370" s="244" t="s">
        <v>1353</v>
      </c>
      <c r="C370" s="244" t="s">
        <v>1499</v>
      </c>
      <c r="D370" s="244" t="s">
        <v>1500</v>
      </c>
      <c r="E370" s="244" t="s">
        <v>1356</v>
      </c>
      <c r="F370" s="251">
        <v>200000</v>
      </c>
      <c r="G370" s="252">
        <v>44927</v>
      </c>
      <c r="H370" s="244"/>
      <c r="I370" s="244" t="s">
        <v>1363</v>
      </c>
      <c r="J370" s="251"/>
      <c r="K370" s="244"/>
      <c r="L370" s="244"/>
      <c r="M370" s="244"/>
    </row>
    <row r="371" spans="1:13">
      <c r="A371" s="240" t="s">
        <v>684</v>
      </c>
      <c r="B371" s="240" t="s">
        <v>1353</v>
      </c>
      <c r="C371" s="240" t="s">
        <v>1501</v>
      </c>
      <c r="D371" s="240" t="s">
        <v>1502</v>
      </c>
      <c r="E371" s="240" t="s">
        <v>1356</v>
      </c>
      <c r="F371" s="249">
        <v>200000</v>
      </c>
      <c r="G371" s="250">
        <v>44927</v>
      </c>
      <c r="H371" s="240"/>
      <c r="I371" s="240" t="s">
        <v>1455</v>
      </c>
      <c r="J371" s="249"/>
      <c r="K371" s="240"/>
      <c r="L371" s="240"/>
      <c r="M371" s="240"/>
    </row>
    <row r="372" spans="1:13">
      <c r="A372" s="244" t="s">
        <v>684</v>
      </c>
      <c r="B372" s="244" t="s">
        <v>1353</v>
      </c>
      <c r="C372" s="244" t="s">
        <v>1503</v>
      </c>
      <c r="D372" s="244" t="s">
        <v>1504</v>
      </c>
      <c r="E372" s="244" t="s">
        <v>1356</v>
      </c>
      <c r="F372" s="251">
        <v>200000</v>
      </c>
      <c r="G372" s="252">
        <v>44927</v>
      </c>
      <c r="H372" s="244"/>
      <c r="I372" s="244" t="s">
        <v>1357</v>
      </c>
      <c r="J372" s="251"/>
      <c r="K372" s="244"/>
      <c r="L372" s="244"/>
      <c r="M372" s="244"/>
    </row>
    <row r="373" spans="1:13">
      <c r="A373" s="240" t="s">
        <v>684</v>
      </c>
      <c r="B373" s="240" t="s">
        <v>1353</v>
      </c>
      <c r="C373" s="240" t="s">
        <v>1505</v>
      </c>
      <c r="D373" s="240" t="s">
        <v>1506</v>
      </c>
      <c r="E373" s="240" t="s">
        <v>1356</v>
      </c>
      <c r="F373" s="249">
        <v>150000</v>
      </c>
      <c r="G373" s="250">
        <v>44927</v>
      </c>
      <c r="H373" s="240"/>
      <c r="I373" s="240" t="s">
        <v>1363</v>
      </c>
      <c r="J373" s="249"/>
      <c r="K373" s="240"/>
      <c r="L373" s="240"/>
      <c r="M373" s="240"/>
    </row>
    <row r="374" spans="1:13">
      <c r="A374" s="244" t="s">
        <v>684</v>
      </c>
      <c r="B374" s="244" t="s">
        <v>1353</v>
      </c>
      <c r="C374" s="244" t="s">
        <v>1507</v>
      </c>
      <c r="D374" s="244" t="s">
        <v>1508</v>
      </c>
      <c r="E374" s="244" t="s">
        <v>1356</v>
      </c>
      <c r="F374" s="251">
        <v>150000</v>
      </c>
      <c r="G374" s="252">
        <v>44927</v>
      </c>
      <c r="H374" s="244"/>
      <c r="I374" s="244" t="s">
        <v>1493</v>
      </c>
      <c r="J374" s="251"/>
      <c r="K374" s="244"/>
      <c r="L374" s="244"/>
      <c r="M374" s="244"/>
    </row>
    <row r="375" spans="1:13">
      <c r="A375" s="240" t="s">
        <v>684</v>
      </c>
      <c r="B375" s="240" t="s">
        <v>1353</v>
      </c>
      <c r="C375" s="240" t="s">
        <v>1509</v>
      </c>
      <c r="D375" s="240" t="s">
        <v>1510</v>
      </c>
      <c r="E375" s="240" t="s">
        <v>1356</v>
      </c>
      <c r="F375" s="249">
        <v>290000</v>
      </c>
      <c r="G375" s="250">
        <v>44927</v>
      </c>
      <c r="H375" s="240"/>
      <c r="I375" s="240" t="s">
        <v>733</v>
      </c>
      <c r="J375" s="249"/>
      <c r="K375" s="240"/>
      <c r="L375" s="240"/>
      <c r="M375" s="240"/>
    </row>
    <row r="376" spans="1:13">
      <c r="A376" s="244" t="s">
        <v>684</v>
      </c>
      <c r="B376" s="244" t="s">
        <v>1353</v>
      </c>
      <c r="C376" s="244" t="s">
        <v>1511</v>
      </c>
      <c r="D376" s="244" t="s">
        <v>1510</v>
      </c>
      <c r="E376" s="244" t="s">
        <v>1356</v>
      </c>
      <c r="F376" s="251">
        <v>155000</v>
      </c>
      <c r="G376" s="252">
        <v>44927</v>
      </c>
      <c r="H376" s="244"/>
      <c r="I376" s="244" t="s">
        <v>733</v>
      </c>
      <c r="J376" s="251"/>
      <c r="K376" s="244"/>
      <c r="L376" s="244"/>
      <c r="M376" s="244"/>
    </row>
    <row r="377" spans="1:13">
      <c r="A377" s="240" t="s">
        <v>684</v>
      </c>
      <c r="B377" s="240" t="s">
        <v>1353</v>
      </c>
      <c r="C377" s="240" t="s">
        <v>1512</v>
      </c>
      <c r="D377" s="240" t="s">
        <v>1513</v>
      </c>
      <c r="E377" s="240" t="s">
        <v>1356</v>
      </c>
      <c r="F377" s="249">
        <v>100000</v>
      </c>
      <c r="G377" s="250">
        <v>44931</v>
      </c>
      <c r="H377" s="240"/>
      <c r="I377" s="240" t="s">
        <v>1455</v>
      </c>
      <c r="J377" s="249"/>
      <c r="K377" s="240"/>
      <c r="L377" s="240"/>
      <c r="M377" s="240"/>
    </row>
    <row r="378" spans="1:13">
      <c r="A378" s="244" t="s">
        <v>684</v>
      </c>
      <c r="B378" s="244" t="s">
        <v>1353</v>
      </c>
      <c r="C378" s="244" t="s">
        <v>1514</v>
      </c>
      <c r="D378" s="244" t="s">
        <v>1515</v>
      </c>
      <c r="E378" s="244" t="s">
        <v>1356</v>
      </c>
      <c r="F378" s="251">
        <v>100000</v>
      </c>
      <c r="G378" s="252">
        <v>44931</v>
      </c>
      <c r="H378" s="244"/>
      <c r="I378" s="244" t="s">
        <v>1455</v>
      </c>
      <c r="J378" s="251"/>
      <c r="K378" s="244"/>
      <c r="L378" s="244"/>
      <c r="M378" s="244"/>
    </row>
    <row r="379" spans="1:13">
      <c r="A379" s="240" t="s">
        <v>684</v>
      </c>
      <c r="B379" s="240" t="s">
        <v>1353</v>
      </c>
      <c r="C379" s="240" t="s">
        <v>1516</v>
      </c>
      <c r="D379" s="240" t="s">
        <v>1517</v>
      </c>
      <c r="E379" s="240" t="s">
        <v>1356</v>
      </c>
      <c r="F379" s="249">
        <v>100000</v>
      </c>
      <c r="G379" s="250">
        <v>44937</v>
      </c>
      <c r="H379" s="240"/>
      <c r="I379" s="240" t="s">
        <v>1455</v>
      </c>
      <c r="J379" s="249"/>
      <c r="K379" s="240"/>
      <c r="L379" s="240"/>
      <c r="M379" s="240"/>
    </row>
    <row r="380" spans="1:13">
      <c r="A380" s="244" t="s">
        <v>684</v>
      </c>
      <c r="B380" s="244" t="s">
        <v>1353</v>
      </c>
      <c r="C380" s="244" t="s">
        <v>1518</v>
      </c>
      <c r="D380" s="244" t="s">
        <v>1490</v>
      </c>
      <c r="E380" s="244" t="s">
        <v>1356</v>
      </c>
      <c r="F380" s="251">
        <v>100000</v>
      </c>
      <c r="G380" s="252">
        <v>44937</v>
      </c>
      <c r="H380" s="244"/>
      <c r="I380" s="244" t="s">
        <v>1455</v>
      </c>
      <c r="J380" s="251"/>
      <c r="K380" s="244"/>
      <c r="L380" s="244"/>
      <c r="M380" s="244"/>
    </row>
    <row r="381" spans="1:13">
      <c r="A381" s="240" t="s">
        <v>684</v>
      </c>
      <c r="B381" s="240" t="s">
        <v>1353</v>
      </c>
      <c r="C381" s="240" t="s">
        <v>1519</v>
      </c>
      <c r="D381" s="240" t="s">
        <v>1520</v>
      </c>
      <c r="E381" s="240" t="s">
        <v>1356</v>
      </c>
      <c r="F381" s="249">
        <v>50000</v>
      </c>
      <c r="G381" s="250">
        <v>44937</v>
      </c>
      <c r="H381" s="240"/>
      <c r="I381" s="240" t="s">
        <v>1521</v>
      </c>
      <c r="J381" s="249"/>
      <c r="K381" s="240"/>
      <c r="L381" s="240"/>
      <c r="M381" s="240"/>
    </row>
    <row r="382" spans="1:13">
      <c r="A382" s="244" t="s">
        <v>684</v>
      </c>
      <c r="B382" s="244" t="s">
        <v>1353</v>
      </c>
      <c r="C382" s="244" t="s">
        <v>1522</v>
      </c>
      <c r="D382" s="244" t="s">
        <v>1523</v>
      </c>
      <c r="E382" s="244" t="s">
        <v>1356</v>
      </c>
      <c r="F382" s="251">
        <v>70000</v>
      </c>
      <c r="G382" s="252">
        <v>44937</v>
      </c>
      <c r="H382" s="244"/>
      <c r="I382" s="244" t="s">
        <v>1363</v>
      </c>
      <c r="J382" s="251"/>
      <c r="K382" s="244"/>
      <c r="L382" s="244"/>
      <c r="M382" s="244"/>
    </row>
    <row r="383" spans="1:13">
      <c r="A383" s="240" t="s">
        <v>684</v>
      </c>
      <c r="B383" s="240" t="s">
        <v>1353</v>
      </c>
      <c r="C383" s="240" t="s">
        <v>1524</v>
      </c>
      <c r="D383" s="240"/>
      <c r="E383" s="240" t="s">
        <v>1356</v>
      </c>
      <c r="F383" s="249">
        <v>100000</v>
      </c>
      <c r="G383" s="250">
        <v>44938</v>
      </c>
      <c r="H383" s="240"/>
      <c r="I383" s="240" t="s">
        <v>1363</v>
      </c>
      <c r="J383" s="249"/>
      <c r="K383" s="240"/>
      <c r="L383" s="240"/>
      <c r="M383" s="240"/>
    </row>
    <row r="384" spans="1:13">
      <c r="A384" s="244" t="s">
        <v>684</v>
      </c>
      <c r="B384" s="244" t="s">
        <v>1353</v>
      </c>
      <c r="C384" s="244" t="s">
        <v>1525</v>
      </c>
      <c r="D384" s="244" t="s">
        <v>1490</v>
      </c>
      <c r="E384" s="244" t="s">
        <v>1356</v>
      </c>
      <c r="F384" s="251">
        <v>100000</v>
      </c>
      <c r="G384" s="252">
        <v>44938</v>
      </c>
      <c r="H384" s="244"/>
      <c r="I384" s="244" t="s">
        <v>1357</v>
      </c>
      <c r="J384" s="251"/>
      <c r="K384" s="244"/>
      <c r="L384" s="244"/>
      <c r="M384" s="244"/>
    </row>
    <row r="385" spans="1:13">
      <c r="A385" s="240" t="s">
        <v>684</v>
      </c>
      <c r="B385" s="240" t="s">
        <v>1353</v>
      </c>
      <c r="C385" s="240" t="s">
        <v>1526</v>
      </c>
      <c r="D385" s="240" t="s">
        <v>1527</v>
      </c>
      <c r="E385" s="240" t="s">
        <v>1356</v>
      </c>
      <c r="F385" s="249">
        <v>200000</v>
      </c>
      <c r="G385" s="250">
        <v>44939</v>
      </c>
      <c r="H385" s="240"/>
      <c r="I385" s="240" t="s">
        <v>1455</v>
      </c>
      <c r="J385" s="249"/>
      <c r="K385" s="240"/>
      <c r="L385" s="240"/>
      <c r="M385" s="240"/>
    </row>
    <row r="386" spans="1:13">
      <c r="A386" s="244" t="s">
        <v>684</v>
      </c>
      <c r="B386" s="244" t="s">
        <v>1353</v>
      </c>
      <c r="C386" s="244" t="s">
        <v>1528</v>
      </c>
      <c r="D386" s="244" t="s">
        <v>1529</v>
      </c>
      <c r="E386" s="244" t="s">
        <v>1356</v>
      </c>
      <c r="F386" s="251">
        <v>100000</v>
      </c>
      <c r="G386" s="252">
        <v>44944</v>
      </c>
      <c r="H386" s="244"/>
      <c r="I386" s="244" t="s">
        <v>1455</v>
      </c>
      <c r="J386" s="251"/>
      <c r="K386" s="244"/>
      <c r="L386" s="244"/>
      <c r="M386" s="244"/>
    </row>
    <row r="387" spans="1:13">
      <c r="A387" s="240" t="s">
        <v>684</v>
      </c>
      <c r="B387" s="240" t="s">
        <v>1353</v>
      </c>
      <c r="C387" s="240" t="s">
        <v>1530</v>
      </c>
      <c r="D387" s="240" t="s">
        <v>1531</v>
      </c>
      <c r="E387" s="240" t="s">
        <v>1356</v>
      </c>
      <c r="F387" s="249">
        <v>100000</v>
      </c>
      <c r="G387" s="250">
        <v>44944</v>
      </c>
      <c r="H387" s="240"/>
      <c r="I387" s="240" t="s">
        <v>1455</v>
      </c>
      <c r="J387" s="249"/>
      <c r="K387" s="240"/>
      <c r="L387" s="240"/>
      <c r="M387" s="240"/>
    </row>
    <row r="388" spans="1:13">
      <c r="A388" s="244" t="s">
        <v>684</v>
      </c>
      <c r="B388" s="244" t="s">
        <v>1353</v>
      </c>
      <c r="C388" s="244" t="s">
        <v>1532</v>
      </c>
      <c r="D388" s="244" t="s">
        <v>1533</v>
      </c>
      <c r="E388" s="244" t="s">
        <v>1356</v>
      </c>
      <c r="F388" s="251">
        <v>150000</v>
      </c>
      <c r="G388" s="252">
        <v>44944</v>
      </c>
      <c r="H388" s="244"/>
      <c r="I388" s="244" t="s">
        <v>1363</v>
      </c>
      <c r="J388" s="251"/>
      <c r="K388" s="244"/>
      <c r="L388" s="244"/>
      <c r="M388" s="244"/>
    </row>
    <row r="389" spans="1:13">
      <c r="A389" s="240" t="s">
        <v>684</v>
      </c>
      <c r="B389" s="240" t="s">
        <v>1353</v>
      </c>
      <c r="C389" s="240" t="s">
        <v>1534</v>
      </c>
      <c r="D389" s="240" t="s">
        <v>1535</v>
      </c>
      <c r="E389" s="240" t="s">
        <v>1356</v>
      </c>
      <c r="F389" s="249">
        <v>50000</v>
      </c>
      <c r="G389" s="250" t="s">
        <v>1536</v>
      </c>
      <c r="H389" s="240"/>
      <c r="I389" s="240" t="s">
        <v>1455</v>
      </c>
      <c r="J389" s="249"/>
      <c r="K389" s="240"/>
      <c r="L389" s="240"/>
      <c r="M389" s="240"/>
    </row>
    <row r="390" spans="1:13">
      <c r="A390" s="244" t="s">
        <v>684</v>
      </c>
      <c r="B390" s="244" t="s">
        <v>1353</v>
      </c>
      <c r="C390" s="244" t="s">
        <v>1537</v>
      </c>
      <c r="D390" s="244" t="s">
        <v>1535</v>
      </c>
      <c r="E390" s="244" t="s">
        <v>1356</v>
      </c>
      <c r="F390" s="251">
        <v>100000</v>
      </c>
      <c r="G390" s="252" t="s">
        <v>1536</v>
      </c>
      <c r="H390" s="244"/>
      <c r="I390" s="244" t="s">
        <v>1455</v>
      </c>
      <c r="J390" s="251"/>
      <c r="K390" s="244"/>
      <c r="L390" s="244"/>
      <c r="M390" s="244"/>
    </row>
    <row r="391" spans="1:13">
      <c r="A391" s="240" t="s">
        <v>684</v>
      </c>
      <c r="B391" s="240" t="s">
        <v>1353</v>
      </c>
      <c r="C391" s="240" t="s">
        <v>1538</v>
      </c>
      <c r="D391" s="240" t="s">
        <v>1535</v>
      </c>
      <c r="E391" s="240" t="s">
        <v>1356</v>
      </c>
      <c r="F391" s="249">
        <v>100000</v>
      </c>
      <c r="G391" s="250" t="s">
        <v>1536</v>
      </c>
      <c r="H391" s="240"/>
      <c r="I391" s="240" t="s">
        <v>1455</v>
      </c>
      <c r="J391" s="249"/>
      <c r="K391" s="240"/>
      <c r="L391" s="240"/>
      <c r="M391" s="240"/>
    </row>
    <row r="392" spans="1:13">
      <c r="A392" s="244" t="s">
        <v>684</v>
      </c>
      <c r="B392" s="244" t="s">
        <v>1353</v>
      </c>
      <c r="C392" s="244" t="s">
        <v>1539</v>
      </c>
      <c r="D392" s="244" t="s">
        <v>1540</v>
      </c>
      <c r="E392" s="244" t="s">
        <v>1356</v>
      </c>
      <c r="F392" s="251">
        <v>300000</v>
      </c>
      <c r="G392" s="252" t="s">
        <v>1541</v>
      </c>
      <c r="H392" s="244"/>
      <c r="I392" s="244" t="s">
        <v>1493</v>
      </c>
      <c r="J392" s="251"/>
      <c r="K392" s="244"/>
      <c r="L392" s="244"/>
      <c r="M392" s="244"/>
    </row>
    <row r="393" spans="1:13">
      <c r="A393" s="240" t="s">
        <v>684</v>
      </c>
      <c r="B393" s="240" t="s">
        <v>1353</v>
      </c>
      <c r="C393" s="240" t="s">
        <v>1542</v>
      </c>
      <c r="D393" s="240" t="s">
        <v>1543</v>
      </c>
      <c r="E393" s="240" t="s">
        <v>1356</v>
      </c>
      <c r="F393" s="249">
        <v>150000</v>
      </c>
      <c r="G393" s="250" t="s">
        <v>1541</v>
      </c>
      <c r="H393" s="240"/>
      <c r="I393" s="240" t="s">
        <v>1455</v>
      </c>
      <c r="J393" s="249"/>
      <c r="K393" s="240"/>
      <c r="L393" s="240"/>
      <c r="M393" s="240"/>
    </row>
    <row r="394" spans="1:13">
      <c r="A394" s="244" t="s">
        <v>684</v>
      </c>
      <c r="B394" s="244" t="s">
        <v>1353</v>
      </c>
      <c r="C394" s="244" t="s">
        <v>1544</v>
      </c>
      <c r="D394" s="244" t="s">
        <v>1545</v>
      </c>
      <c r="E394" s="244" t="s">
        <v>1356</v>
      </c>
      <c r="F394" s="251">
        <v>100000</v>
      </c>
      <c r="G394" s="252" t="s">
        <v>1546</v>
      </c>
      <c r="H394" s="244"/>
      <c r="I394" s="244" t="s">
        <v>733</v>
      </c>
      <c r="J394" s="251"/>
      <c r="K394" s="244"/>
      <c r="L394" s="244"/>
      <c r="M394" s="244"/>
    </row>
    <row r="395" spans="1:13">
      <c r="A395" s="240" t="s">
        <v>684</v>
      </c>
      <c r="B395" s="240" t="s">
        <v>1353</v>
      </c>
      <c r="C395" s="240" t="s">
        <v>1547</v>
      </c>
      <c r="D395" s="240" t="s">
        <v>1548</v>
      </c>
      <c r="E395" s="240" t="s">
        <v>1356</v>
      </c>
      <c r="F395" s="249">
        <v>100000</v>
      </c>
      <c r="G395" s="250" t="s">
        <v>1546</v>
      </c>
      <c r="H395" s="240"/>
      <c r="I395" s="240" t="s">
        <v>1455</v>
      </c>
      <c r="J395" s="249"/>
      <c r="K395" s="240"/>
      <c r="L395" s="240"/>
      <c r="M395" s="240"/>
    </row>
    <row r="396" spans="1:13">
      <c r="A396" s="244" t="s">
        <v>684</v>
      </c>
      <c r="B396" s="244" t="s">
        <v>1353</v>
      </c>
      <c r="C396" s="244" t="s">
        <v>1549</v>
      </c>
      <c r="D396" s="244" t="s">
        <v>1535</v>
      </c>
      <c r="E396" s="244" t="s">
        <v>1356</v>
      </c>
      <c r="F396" s="251">
        <v>100000</v>
      </c>
      <c r="G396" s="252" t="s">
        <v>1546</v>
      </c>
      <c r="H396" s="244"/>
      <c r="I396" s="244" t="s">
        <v>1455</v>
      </c>
      <c r="J396" s="251"/>
      <c r="K396" s="244"/>
      <c r="L396" s="244"/>
      <c r="M396" s="244"/>
    </row>
    <row r="397" spans="1:13">
      <c r="A397" s="240" t="s">
        <v>684</v>
      </c>
      <c r="B397" s="240" t="s">
        <v>1353</v>
      </c>
      <c r="C397" s="240" t="s">
        <v>1550</v>
      </c>
      <c r="D397" s="240" t="s">
        <v>1551</v>
      </c>
      <c r="E397" s="240" t="s">
        <v>1356</v>
      </c>
      <c r="F397" s="249">
        <v>100000</v>
      </c>
      <c r="G397" s="250" t="s">
        <v>1546</v>
      </c>
      <c r="H397" s="240"/>
      <c r="I397" s="240" t="s">
        <v>1455</v>
      </c>
      <c r="J397" s="249"/>
      <c r="K397" s="240"/>
      <c r="L397" s="240"/>
      <c r="M397" s="240"/>
    </row>
    <row r="398" spans="1:13">
      <c r="A398" s="244" t="s">
        <v>684</v>
      </c>
      <c r="B398" s="244" t="s">
        <v>1353</v>
      </c>
      <c r="C398" s="244" t="s">
        <v>1534</v>
      </c>
      <c r="D398" s="244" t="s">
        <v>1535</v>
      </c>
      <c r="E398" s="244" t="s">
        <v>1356</v>
      </c>
      <c r="F398" s="251">
        <v>100000</v>
      </c>
      <c r="G398" s="252" t="s">
        <v>1546</v>
      </c>
      <c r="H398" s="244"/>
      <c r="I398" s="244" t="s">
        <v>1455</v>
      </c>
      <c r="J398" s="251"/>
      <c r="K398" s="244"/>
      <c r="L398" s="244"/>
      <c r="M398" s="244"/>
    </row>
    <row r="399" spans="1:13">
      <c r="A399" s="240" t="s">
        <v>684</v>
      </c>
      <c r="B399" s="240" t="s">
        <v>1353</v>
      </c>
      <c r="C399" s="240" t="s">
        <v>1552</v>
      </c>
      <c r="D399" s="240" t="s">
        <v>1523</v>
      </c>
      <c r="E399" s="240" t="s">
        <v>1356</v>
      </c>
      <c r="F399" s="249">
        <v>70000</v>
      </c>
      <c r="G399" s="250" t="s">
        <v>1553</v>
      </c>
      <c r="H399" s="240"/>
      <c r="I399" s="240" t="s">
        <v>1363</v>
      </c>
      <c r="J399" s="249"/>
      <c r="K399" s="240"/>
      <c r="L399" s="240"/>
      <c r="M399" s="240"/>
    </row>
    <row r="400" spans="1:13">
      <c r="A400" s="244" t="s">
        <v>684</v>
      </c>
      <c r="B400" s="244" t="s">
        <v>1353</v>
      </c>
      <c r="C400" s="244" t="s">
        <v>1554</v>
      </c>
      <c r="D400" s="244" t="s">
        <v>1520</v>
      </c>
      <c r="E400" s="244" t="s">
        <v>1356</v>
      </c>
      <c r="F400" s="251">
        <v>50000</v>
      </c>
      <c r="G400" s="252" t="s">
        <v>1553</v>
      </c>
      <c r="H400" s="244"/>
      <c r="I400" s="244" t="s">
        <v>1521</v>
      </c>
      <c r="J400" s="251"/>
      <c r="K400" s="244"/>
      <c r="L400" s="244"/>
      <c r="M400" s="244"/>
    </row>
    <row r="401" spans="1:13">
      <c r="A401" s="240" t="s">
        <v>684</v>
      </c>
      <c r="B401" s="240" t="s">
        <v>1353</v>
      </c>
      <c r="C401" s="240" t="s">
        <v>1555</v>
      </c>
      <c r="D401" s="240" t="s">
        <v>1556</v>
      </c>
      <c r="E401" s="240" t="s">
        <v>1356</v>
      </c>
      <c r="F401" s="249">
        <v>150000</v>
      </c>
      <c r="G401" s="250" t="s">
        <v>1557</v>
      </c>
      <c r="H401" s="240"/>
      <c r="I401" s="240" t="s">
        <v>733</v>
      </c>
      <c r="J401" s="249"/>
      <c r="K401" s="240"/>
      <c r="L401" s="240"/>
      <c r="M401" s="240"/>
    </row>
    <row r="402" spans="1:13">
      <c r="A402" s="244" t="s">
        <v>684</v>
      </c>
      <c r="B402" s="244" t="s">
        <v>1353</v>
      </c>
      <c r="C402" s="244" t="s">
        <v>1558</v>
      </c>
      <c r="D402" s="244" t="s">
        <v>1559</v>
      </c>
      <c r="E402" s="244" t="s">
        <v>1356</v>
      </c>
      <c r="F402" s="251">
        <v>150000</v>
      </c>
      <c r="G402" s="252" t="s">
        <v>1557</v>
      </c>
      <c r="H402" s="244"/>
      <c r="I402" s="244" t="s">
        <v>733</v>
      </c>
      <c r="J402" s="251"/>
      <c r="K402" s="244"/>
      <c r="L402" s="244"/>
      <c r="M402" s="244"/>
    </row>
    <row r="403" spans="1:13">
      <c r="A403" s="240" t="s">
        <v>684</v>
      </c>
      <c r="B403" s="240" t="s">
        <v>1353</v>
      </c>
      <c r="C403" s="240" t="s">
        <v>1560</v>
      </c>
      <c r="D403" s="240" t="s">
        <v>1502</v>
      </c>
      <c r="E403" s="240" t="s">
        <v>1356</v>
      </c>
      <c r="F403" s="249">
        <v>100000</v>
      </c>
      <c r="G403" s="250" t="s">
        <v>1557</v>
      </c>
      <c r="H403" s="240"/>
      <c r="I403" s="240" t="s">
        <v>1455</v>
      </c>
      <c r="J403" s="249"/>
      <c r="K403" s="240"/>
      <c r="L403" s="240"/>
      <c r="M403" s="240"/>
    </row>
    <row r="404" spans="1:13">
      <c r="A404" s="244" t="s">
        <v>684</v>
      </c>
      <c r="B404" s="244" t="s">
        <v>1353</v>
      </c>
      <c r="C404" s="244" t="s">
        <v>1561</v>
      </c>
      <c r="D404" s="244" t="s">
        <v>1562</v>
      </c>
      <c r="E404" s="244" t="s">
        <v>1356</v>
      </c>
      <c r="F404" s="251">
        <v>100000</v>
      </c>
      <c r="G404" s="252" t="s">
        <v>1557</v>
      </c>
      <c r="H404" s="244"/>
      <c r="I404" s="244" t="s">
        <v>1455</v>
      </c>
      <c r="J404" s="251"/>
      <c r="K404" s="244"/>
      <c r="L404" s="244"/>
      <c r="M404" s="244"/>
    </row>
    <row r="405" spans="1:13">
      <c r="A405" s="240" t="s">
        <v>684</v>
      </c>
      <c r="B405" s="240" t="s">
        <v>1353</v>
      </c>
      <c r="C405" s="240" t="s">
        <v>1563</v>
      </c>
      <c r="D405" s="240" t="s">
        <v>1564</v>
      </c>
      <c r="E405" s="240" t="s">
        <v>1356</v>
      </c>
      <c r="F405" s="249">
        <v>100000</v>
      </c>
      <c r="G405" s="250" t="s">
        <v>1557</v>
      </c>
      <c r="H405" s="240"/>
      <c r="I405" s="240" t="s">
        <v>1455</v>
      </c>
      <c r="J405" s="249"/>
      <c r="K405" s="240"/>
      <c r="L405" s="240"/>
      <c r="M405" s="240"/>
    </row>
    <row r="406" spans="1:13">
      <c r="A406" s="244" t="s">
        <v>684</v>
      </c>
      <c r="B406" s="244" t="s">
        <v>1353</v>
      </c>
      <c r="C406" s="244" t="s">
        <v>1565</v>
      </c>
      <c r="D406" s="244" t="s">
        <v>1535</v>
      </c>
      <c r="E406" s="244" t="s">
        <v>1356</v>
      </c>
      <c r="F406" s="251">
        <v>100000</v>
      </c>
      <c r="G406" s="252" t="s">
        <v>1557</v>
      </c>
      <c r="H406" s="244"/>
      <c r="I406" s="244" t="s">
        <v>1455</v>
      </c>
      <c r="J406" s="251"/>
      <c r="K406" s="244"/>
      <c r="L406" s="244"/>
      <c r="M406" s="244"/>
    </row>
    <row r="407" spans="1:13">
      <c r="A407" s="240" t="s">
        <v>684</v>
      </c>
      <c r="B407" s="240" t="s">
        <v>1353</v>
      </c>
      <c r="C407" s="240" t="s">
        <v>1566</v>
      </c>
      <c r="D407" s="240" t="s">
        <v>1551</v>
      </c>
      <c r="E407" s="240" t="s">
        <v>1356</v>
      </c>
      <c r="F407" s="249">
        <v>150000</v>
      </c>
      <c r="G407" s="250" t="s">
        <v>1567</v>
      </c>
      <c r="H407" s="240"/>
      <c r="I407" s="240" t="s">
        <v>1455</v>
      </c>
      <c r="J407" s="249"/>
      <c r="K407" s="240"/>
      <c r="L407" s="240"/>
      <c r="M407" s="240"/>
    </row>
    <row r="408" spans="1:13">
      <c r="A408" s="244" t="s">
        <v>684</v>
      </c>
      <c r="B408" s="244" t="s">
        <v>1353</v>
      </c>
      <c r="C408" s="244" t="s">
        <v>1568</v>
      </c>
      <c r="D408" s="244" t="s">
        <v>1535</v>
      </c>
      <c r="E408" s="244" t="s">
        <v>1356</v>
      </c>
      <c r="F408" s="251">
        <v>100000</v>
      </c>
      <c r="G408" s="252" t="s">
        <v>1567</v>
      </c>
      <c r="H408" s="244"/>
      <c r="I408" s="244" t="s">
        <v>1455</v>
      </c>
      <c r="J408" s="251"/>
      <c r="K408" s="244"/>
      <c r="L408" s="244"/>
      <c r="M408" s="244"/>
    </row>
    <row r="409" spans="1:13">
      <c r="A409" s="240" t="s">
        <v>684</v>
      </c>
      <c r="B409" s="240" t="s">
        <v>1353</v>
      </c>
      <c r="C409" s="240" t="s">
        <v>1569</v>
      </c>
      <c r="D409" s="240" t="s">
        <v>1490</v>
      </c>
      <c r="E409" s="240" t="s">
        <v>1356</v>
      </c>
      <c r="F409" s="249">
        <v>150000</v>
      </c>
      <c r="G409" s="250" t="s">
        <v>1567</v>
      </c>
      <c r="H409" s="240"/>
      <c r="I409" s="240" t="s">
        <v>1493</v>
      </c>
      <c r="J409" s="249"/>
      <c r="K409" s="240"/>
      <c r="L409" s="240"/>
      <c r="M409" s="240"/>
    </row>
    <row r="410" spans="1:13">
      <c r="A410" s="244" t="s">
        <v>684</v>
      </c>
      <c r="B410" s="244" t="s">
        <v>1353</v>
      </c>
      <c r="C410" s="244" t="s">
        <v>1570</v>
      </c>
      <c r="D410" s="244" t="s">
        <v>1571</v>
      </c>
      <c r="E410" s="244" t="s">
        <v>1356</v>
      </c>
      <c r="F410" s="251">
        <v>200000</v>
      </c>
      <c r="G410" s="252" t="s">
        <v>1567</v>
      </c>
      <c r="H410" s="244"/>
      <c r="I410" s="244" t="s">
        <v>733</v>
      </c>
      <c r="J410" s="251"/>
      <c r="K410" s="244"/>
      <c r="L410" s="244"/>
      <c r="M410" s="244"/>
    </row>
    <row r="411" spans="1:13">
      <c r="A411" s="240" t="s">
        <v>684</v>
      </c>
      <c r="B411" s="240" t="s">
        <v>1353</v>
      </c>
      <c r="C411" s="240" t="s">
        <v>1572</v>
      </c>
      <c r="D411" s="240" t="s">
        <v>1564</v>
      </c>
      <c r="E411" s="240" t="s">
        <v>1356</v>
      </c>
      <c r="F411" s="249">
        <v>100000</v>
      </c>
      <c r="G411" s="250" t="s">
        <v>1567</v>
      </c>
      <c r="H411" s="240"/>
      <c r="I411" s="240" t="s">
        <v>1455</v>
      </c>
      <c r="J411" s="249"/>
      <c r="K411" s="240"/>
      <c r="L411" s="240"/>
      <c r="M411" s="240"/>
    </row>
    <row r="412" spans="1:13">
      <c r="A412" s="244" t="s">
        <v>684</v>
      </c>
      <c r="B412" s="244" t="s">
        <v>1353</v>
      </c>
      <c r="C412" s="244" t="s">
        <v>1573</v>
      </c>
      <c r="D412" s="244" t="s">
        <v>1574</v>
      </c>
      <c r="E412" s="244" t="s">
        <v>1356</v>
      </c>
      <c r="F412" s="251">
        <v>100000</v>
      </c>
      <c r="G412" s="252">
        <v>44987</v>
      </c>
      <c r="H412" s="244"/>
      <c r="I412" s="244" t="s">
        <v>1363</v>
      </c>
      <c r="J412" s="251"/>
      <c r="K412" s="244"/>
      <c r="L412" s="244"/>
      <c r="M412" s="244"/>
    </row>
    <row r="413" spans="1:13">
      <c r="A413" s="240" t="s">
        <v>684</v>
      </c>
      <c r="B413" s="240" t="s">
        <v>1353</v>
      </c>
      <c r="C413" s="240" t="s">
        <v>1575</v>
      </c>
      <c r="D413" s="240" t="s">
        <v>1506</v>
      </c>
      <c r="E413" s="240" t="s">
        <v>1356</v>
      </c>
      <c r="F413" s="249">
        <v>100000</v>
      </c>
      <c r="G413" s="250">
        <v>44987</v>
      </c>
      <c r="H413" s="240"/>
      <c r="I413" s="240" t="s">
        <v>1455</v>
      </c>
      <c r="J413" s="249"/>
      <c r="K413" s="240"/>
      <c r="L413" s="240"/>
      <c r="M413" s="240"/>
    </row>
    <row r="414" spans="1:13">
      <c r="A414" s="244" t="s">
        <v>684</v>
      </c>
      <c r="B414" s="244" t="s">
        <v>1353</v>
      </c>
      <c r="C414" s="244" t="s">
        <v>1576</v>
      </c>
      <c r="D414" s="244" t="s">
        <v>1564</v>
      </c>
      <c r="E414" s="244" t="s">
        <v>1356</v>
      </c>
      <c r="F414" s="251">
        <v>100000</v>
      </c>
      <c r="G414" s="252">
        <v>44987</v>
      </c>
      <c r="H414" s="244"/>
      <c r="I414" s="244" t="s">
        <v>1455</v>
      </c>
      <c r="J414" s="251"/>
      <c r="K414" s="244"/>
      <c r="L414" s="244"/>
      <c r="M414" s="244"/>
    </row>
    <row r="415" spans="1:13">
      <c r="A415" s="240" t="s">
        <v>684</v>
      </c>
      <c r="B415" s="240" t="s">
        <v>1353</v>
      </c>
      <c r="C415" s="240" t="s">
        <v>1576</v>
      </c>
      <c r="D415" s="240" t="s">
        <v>1535</v>
      </c>
      <c r="E415" s="240" t="s">
        <v>1356</v>
      </c>
      <c r="F415" s="249">
        <v>100000</v>
      </c>
      <c r="G415" s="250">
        <v>44987</v>
      </c>
      <c r="H415" s="240"/>
      <c r="I415" s="240" t="s">
        <v>1455</v>
      </c>
      <c r="J415" s="249"/>
      <c r="K415" s="240"/>
      <c r="L415" s="240"/>
      <c r="M415" s="240"/>
    </row>
    <row r="416" spans="1:13">
      <c r="A416" s="244" t="s">
        <v>684</v>
      </c>
      <c r="B416" s="244" t="s">
        <v>1353</v>
      </c>
      <c r="C416" s="244" t="s">
        <v>1577</v>
      </c>
      <c r="D416" s="244" t="s">
        <v>1495</v>
      </c>
      <c r="E416" s="244" t="s">
        <v>1356</v>
      </c>
      <c r="F416" s="251">
        <v>100000</v>
      </c>
      <c r="G416" s="252">
        <v>44987</v>
      </c>
      <c r="H416" s="244"/>
      <c r="I416" s="244" t="s">
        <v>1578</v>
      </c>
      <c r="J416" s="251"/>
      <c r="K416" s="244"/>
      <c r="L416" s="244"/>
      <c r="M416" s="244"/>
    </row>
    <row r="417" spans="1:13">
      <c r="A417" s="240" t="s">
        <v>684</v>
      </c>
      <c r="B417" s="240" t="s">
        <v>1353</v>
      </c>
      <c r="C417" s="240" t="s">
        <v>1579</v>
      </c>
      <c r="D417" s="240" t="s">
        <v>1495</v>
      </c>
      <c r="E417" s="240" t="s">
        <v>1356</v>
      </c>
      <c r="F417" s="249">
        <v>280000</v>
      </c>
      <c r="G417" s="250">
        <v>44994</v>
      </c>
      <c r="H417" s="240"/>
      <c r="I417" s="240" t="s">
        <v>1363</v>
      </c>
      <c r="J417" s="249"/>
      <c r="K417" s="240"/>
      <c r="L417" s="240"/>
      <c r="M417" s="240"/>
    </row>
    <row r="418" spans="1:13">
      <c r="A418" s="244" t="s">
        <v>684</v>
      </c>
      <c r="B418" s="244" t="s">
        <v>1353</v>
      </c>
      <c r="C418" s="244" t="s">
        <v>1580</v>
      </c>
      <c r="D418" s="244" t="s">
        <v>1495</v>
      </c>
      <c r="E418" s="244" t="s">
        <v>1356</v>
      </c>
      <c r="F418" s="251">
        <v>150000</v>
      </c>
      <c r="G418" s="252">
        <v>44994</v>
      </c>
      <c r="H418" s="244"/>
      <c r="I418" s="244" t="s">
        <v>1363</v>
      </c>
      <c r="J418" s="251"/>
      <c r="K418" s="244"/>
      <c r="L418" s="244"/>
      <c r="M418" s="244"/>
    </row>
    <row r="419" spans="1:13">
      <c r="A419" s="240" t="s">
        <v>684</v>
      </c>
      <c r="B419" s="240" t="s">
        <v>1353</v>
      </c>
      <c r="C419" s="240" t="s">
        <v>1581</v>
      </c>
      <c r="D419" s="240" t="s">
        <v>1495</v>
      </c>
      <c r="E419" s="240" t="s">
        <v>1356</v>
      </c>
      <c r="F419" s="249">
        <v>300000</v>
      </c>
      <c r="G419" s="250">
        <v>44994</v>
      </c>
      <c r="H419" s="240"/>
      <c r="I419" s="240" t="s">
        <v>1363</v>
      </c>
      <c r="J419" s="249"/>
      <c r="K419" s="240"/>
      <c r="L419" s="240"/>
      <c r="M419" s="240"/>
    </row>
    <row r="420" spans="1:13">
      <c r="A420" s="244" t="s">
        <v>684</v>
      </c>
      <c r="B420" s="244" t="s">
        <v>1353</v>
      </c>
      <c r="C420" s="244" t="s">
        <v>1582</v>
      </c>
      <c r="D420" s="244"/>
      <c r="E420" s="244" t="s">
        <v>1356</v>
      </c>
      <c r="F420" s="251">
        <v>300000</v>
      </c>
      <c r="G420" s="252">
        <v>44994</v>
      </c>
      <c r="H420" s="244"/>
      <c r="I420" s="244" t="s">
        <v>1363</v>
      </c>
      <c r="J420" s="251"/>
      <c r="K420" s="244"/>
      <c r="L420" s="244"/>
      <c r="M420" s="244"/>
    </row>
    <row r="421" spans="1:13">
      <c r="A421" s="240" t="s">
        <v>684</v>
      </c>
      <c r="B421" s="240" t="s">
        <v>1353</v>
      </c>
      <c r="C421" s="240" t="s">
        <v>1583</v>
      </c>
      <c r="D421" s="240" t="s">
        <v>1548</v>
      </c>
      <c r="E421" s="240" t="s">
        <v>1356</v>
      </c>
      <c r="F421" s="249">
        <v>100000</v>
      </c>
      <c r="G421" s="250">
        <v>44994</v>
      </c>
      <c r="H421" s="240"/>
      <c r="I421" s="240" t="s">
        <v>1455</v>
      </c>
      <c r="J421" s="249"/>
      <c r="K421" s="240"/>
      <c r="L421" s="240"/>
      <c r="M421" s="240"/>
    </row>
    <row r="422" spans="1:13">
      <c r="A422" s="244" t="s">
        <v>684</v>
      </c>
      <c r="B422" s="244" t="s">
        <v>1353</v>
      </c>
      <c r="C422" s="244" t="s">
        <v>1584</v>
      </c>
      <c r="D422" s="244" t="s">
        <v>1548</v>
      </c>
      <c r="E422" s="244" t="s">
        <v>1356</v>
      </c>
      <c r="F422" s="251">
        <v>100000</v>
      </c>
      <c r="G422" s="252">
        <v>44994</v>
      </c>
      <c r="H422" s="244"/>
      <c r="I422" s="244" t="s">
        <v>1455</v>
      </c>
      <c r="J422" s="251"/>
      <c r="K422" s="244"/>
      <c r="L422" s="244"/>
      <c r="M422" s="244"/>
    </row>
    <row r="423" spans="1:13">
      <c r="A423" s="240" t="s">
        <v>684</v>
      </c>
      <c r="B423" s="240" t="s">
        <v>1353</v>
      </c>
      <c r="C423" s="240" t="s">
        <v>1585</v>
      </c>
      <c r="D423" s="240" t="s">
        <v>1548</v>
      </c>
      <c r="E423" s="240" t="s">
        <v>1356</v>
      </c>
      <c r="F423" s="249">
        <v>100000</v>
      </c>
      <c r="G423" s="250">
        <v>44994</v>
      </c>
      <c r="H423" s="240"/>
      <c r="I423" s="240" t="s">
        <v>1455</v>
      </c>
      <c r="J423" s="249"/>
      <c r="K423" s="240"/>
      <c r="L423" s="240"/>
      <c r="M423" s="240"/>
    </row>
    <row r="424" spans="1:13">
      <c r="A424" s="244" t="s">
        <v>684</v>
      </c>
      <c r="B424" s="244" t="s">
        <v>1353</v>
      </c>
      <c r="C424" s="244" t="s">
        <v>1586</v>
      </c>
      <c r="D424" s="244" t="s">
        <v>1587</v>
      </c>
      <c r="E424" s="244" t="s">
        <v>1356</v>
      </c>
      <c r="F424" s="251">
        <v>100000</v>
      </c>
      <c r="G424" s="252">
        <v>44994</v>
      </c>
      <c r="H424" s="244"/>
      <c r="I424" s="244" t="s">
        <v>1455</v>
      </c>
      <c r="J424" s="251"/>
      <c r="K424" s="244"/>
      <c r="L424" s="244"/>
      <c r="M424" s="244"/>
    </row>
    <row r="425" spans="1:13">
      <c r="A425" s="240" t="s">
        <v>684</v>
      </c>
      <c r="B425" s="240" t="s">
        <v>1353</v>
      </c>
      <c r="C425" s="240" t="s">
        <v>1588</v>
      </c>
      <c r="D425" s="240" t="s">
        <v>1589</v>
      </c>
      <c r="E425" s="240" t="s">
        <v>1356</v>
      </c>
      <c r="F425" s="249">
        <v>200000</v>
      </c>
      <c r="G425" s="250">
        <v>44994</v>
      </c>
      <c r="H425" s="240"/>
      <c r="I425" s="240" t="s">
        <v>1455</v>
      </c>
      <c r="J425" s="249"/>
      <c r="K425" s="240"/>
      <c r="L425" s="240"/>
      <c r="M425" s="240"/>
    </row>
    <row r="426" spans="1:13">
      <c r="A426" s="244" t="s">
        <v>684</v>
      </c>
      <c r="B426" s="244" t="s">
        <v>1353</v>
      </c>
      <c r="C426" s="244" t="s">
        <v>1590</v>
      </c>
      <c r="D426" s="244" t="s">
        <v>1591</v>
      </c>
      <c r="E426" s="244" t="s">
        <v>1356</v>
      </c>
      <c r="F426" s="251">
        <v>150000</v>
      </c>
      <c r="G426" s="252">
        <v>44994</v>
      </c>
      <c r="H426" s="244"/>
      <c r="I426" s="244" t="s">
        <v>1363</v>
      </c>
      <c r="J426" s="251"/>
      <c r="K426" s="244"/>
      <c r="L426" s="244"/>
      <c r="M426" s="244"/>
    </row>
    <row r="427" spans="1:13">
      <c r="A427" s="240" t="s">
        <v>684</v>
      </c>
      <c r="B427" s="240" t="s">
        <v>1353</v>
      </c>
      <c r="C427" s="240" t="s">
        <v>1592</v>
      </c>
      <c r="D427" s="240" t="s">
        <v>1593</v>
      </c>
      <c r="E427" s="240" t="s">
        <v>1356</v>
      </c>
      <c r="F427" s="249">
        <v>150000</v>
      </c>
      <c r="G427" s="250">
        <v>44994</v>
      </c>
      <c r="H427" s="240"/>
      <c r="I427" s="240" t="s">
        <v>1455</v>
      </c>
      <c r="J427" s="249"/>
      <c r="K427" s="240"/>
      <c r="L427" s="240"/>
      <c r="M427" s="240"/>
    </row>
    <row r="428" spans="1:13">
      <c r="A428" s="244" t="s">
        <v>684</v>
      </c>
      <c r="B428" s="244" t="s">
        <v>1353</v>
      </c>
      <c r="C428" s="244" t="s">
        <v>1594</v>
      </c>
      <c r="D428" s="244" t="s">
        <v>1587</v>
      </c>
      <c r="E428" s="244" t="s">
        <v>1356</v>
      </c>
      <c r="F428" s="251">
        <v>100000</v>
      </c>
      <c r="G428" s="252">
        <v>44994</v>
      </c>
      <c r="H428" s="244"/>
      <c r="I428" s="244" t="s">
        <v>1455</v>
      </c>
      <c r="J428" s="251"/>
      <c r="K428" s="244"/>
      <c r="L428" s="244"/>
      <c r="M428" s="244"/>
    </row>
    <row r="429" spans="1:13">
      <c r="A429" s="240" t="s">
        <v>684</v>
      </c>
      <c r="B429" s="240" t="s">
        <v>1353</v>
      </c>
      <c r="C429" s="240" t="s">
        <v>1595</v>
      </c>
      <c r="D429" s="240" t="s">
        <v>1495</v>
      </c>
      <c r="E429" s="240" t="s">
        <v>1356</v>
      </c>
      <c r="F429" s="249">
        <v>300000</v>
      </c>
      <c r="G429" s="250">
        <v>44994</v>
      </c>
      <c r="H429" s="240"/>
      <c r="I429" s="240" t="s">
        <v>1578</v>
      </c>
      <c r="J429" s="249"/>
      <c r="K429" s="240"/>
      <c r="L429" s="240"/>
      <c r="M429" s="240"/>
    </row>
    <row r="430" spans="1:13">
      <c r="A430" s="244" t="s">
        <v>684</v>
      </c>
      <c r="B430" s="244" t="s">
        <v>1353</v>
      </c>
      <c r="C430" s="244" t="s">
        <v>1596</v>
      </c>
      <c r="D430" s="244" t="s">
        <v>1548</v>
      </c>
      <c r="E430" s="244" t="s">
        <v>1356</v>
      </c>
      <c r="F430" s="251">
        <v>100000</v>
      </c>
      <c r="G430" s="252">
        <v>44999</v>
      </c>
      <c r="H430" s="244"/>
      <c r="I430" s="244" t="s">
        <v>1455</v>
      </c>
      <c r="J430" s="251"/>
      <c r="K430" s="244"/>
      <c r="L430" s="244"/>
      <c r="M430" s="244"/>
    </row>
    <row r="431" spans="1:13">
      <c r="A431" s="240" t="s">
        <v>684</v>
      </c>
      <c r="B431" s="240" t="s">
        <v>1353</v>
      </c>
      <c r="C431" s="240" t="s">
        <v>1597</v>
      </c>
      <c r="D431" s="240" t="s">
        <v>1598</v>
      </c>
      <c r="E431" s="240" t="s">
        <v>1356</v>
      </c>
      <c r="F431" s="249">
        <v>200000</v>
      </c>
      <c r="G431" s="250">
        <v>44999</v>
      </c>
      <c r="H431" s="240"/>
      <c r="I431" s="240" t="s">
        <v>1455</v>
      </c>
      <c r="J431" s="249"/>
      <c r="K431" s="240"/>
      <c r="L431" s="240"/>
      <c r="M431" s="240"/>
    </row>
    <row r="432" spans="1:13">
      <c r="A432" s="244" t="s">
        <v>684</v>
      </c>
      <c r="B432" s="244" t="s">
        <v>1353</v>
      </c>
      <c r="C432" s="244" t="s">
        <v>1599</v>
      </c>
      <c r="D432" s="244" t="s">
        <v>1535</v>
      </c>
      <c r="E432" s="244" t="s">
        <v>1356</v>
      </c>
      <c r="F432" s="251">
        <v>100000</v>
      </c>
      <c r="G432" s="252">
        <v>44999</v>
      </c>
      <c r="H432" s="244"/>
      <c r="I432" s="244" t="s">
        <v>1455</v>
      </c>
      <c r="J432" s="251"/>
      <c r="K432" s="244"/>
      <c r="L432" s="244"/>
      <c r="M432" s="244"/>
    </row>
    <row r="433" spans="1:13">
      <c r="A433" s="240" t="s">
        <v>684</v>
      </c>
      <c r="B433" s="240" t="s">
        <v>1353</v>
      </c>
      <c r="C433" s="240" t="s">
        <v>1600</v>
      </c>
      <c r="D433" s="240" t="s">
        <v>1535</v>
      </c>
      <c r="E433" s="240" t="s">
        <v>1356</v>
      </c>
      <c r="F433" s="249">
        <v>100000</v>
      </c>
      <c r="G433" s="250">
        <v>44999</v>
      </c>
      <c r="H433" s="240"/>
      <c r="I433" s="240" t="s">
        <v>1455</v>
      </c>
      <c r="J433" s="249"/>
      <c r="K433" s="240"/>
      <c r="L433" s="240"/>
      <c r="M433" s="240"/>
    </row>
    <row r="434" spans="1:13">
      <c r="A434" s="244" t="s">
        <v>684</v>
      </c>
      <c r="B434" s="244" t="s">
        <v>1353</v>
      </c>
      <c r="C434" s="244" t="s">
        <v>1601</v>
      </c>
      <c r="D434" s="244" t="s">
        <v>1523</v>
      </c>
      <c r="E434" s="244" t="s">
        <v>1356</v>
      </c>
      <c r="F434" s="251">
        <v>70000</v>
      </c>
      <c r="G434" s="252">
        <v>44999</v>
      </c>
      <c r="H434" s="244"/>
      <c r="I434" s="244" t="s">
        <v>1363</v>
      </c>
      <c r="J434" s="251"/>
      <c r="K434" s="244"/>
      <c r="L434" s="244"/>
      <c r="M434" s="244"/>
    </row>
    <row r="435" spans="1:13">
      <c r="A435" s="240" t="s">
        <v>684</v>
      </c>
      <c r="B435" s="240" t="s">
        <v>1353</v>
      </c>
      <c r="C435" s="240" t="s">
        <v>1602</v>
      </c>
      <c r="D435" s="240" t="s">
        <v>1520</v>
      </c>
      <c r="E435" s="240" t="s">
        <v>1356</v>
      </c>
      <c r="F435" s="249">
        <v>50000</v>
      </c>
      <c r="G435" s="250">
        <v>44999</v>
      </c>
      <c r="H435" s="240"/>
      <c r="I435" s="240" t="s">
        <v>1521</v>
      </c>
      <c r="J435" s="249"/>
      <c r="K435" s="240"/>
      <c r="L435" s="240"/>
      <c r="M435" s="240"/>
    </row>
    <row r="436" spans="1:13">
      <c r="A436" s="244" t="s">
        <v>684</v>
      </c>
      <c r="B436" s="244" t="s">
        <v>1353</v>
      </c>
      <c r="C436" s="244" t="s">
        <v>1603</v>
      </c>
      <c r="D436" s="244" t="s">
        <v>1591</v>
      </c>
      <c r="E436" s="244" t="s">
        <v>1356</v>
      </c>
      <c r="F436" s="251">
        <v>110000</v>
      </c>
      <c r="G436" s="252">
        <v>45007</v>
      </c>
      <c r="H436" s="244"/>
      <c r="I436" s="244" t="s">
        <v>1452</v>
      </c>
      <c r="J436" s="251"/>
      <c r="K436" s="244"/>
      <c r="L436" s="244"/>
      <c r="M436" s="244"/>
    </row>
    <row r="437" spans="1:13">
      <c r="A437" s="240" t="s">
        <v>684</v>
      </c>
      <c r="B437" s="240" t="s">
        <v>1353</v>
      </c>
      <c r="C437" s="240" t="s">
        <v>1604</v>
      </c>
      <c r="D437" s="240" t="s">
        <v>1591</v>
      </c>
      <c r="E437" s="240" t="s">
        <v>1356</v>
      </c>
      <c r="F437" s="249">
        <v>110000</v>
      </c>
      <c r="G437" s="250">
        <v>45007</v>
      </c>
      <c r="H437" s="240"/>
      <c r="I437" s="240" t="s">
        <v>1452</v>
      </c>
      <c r="J437" s="249"/>
      <c r="K437" s="240"/>
      <c r="L437" s="240"/>
      <c r="M437" s="240"/>
    </row>
    <row r="438" spans="1:13">
      <c r="A438" s="244" t="s">
        <v>684</v>
      </c>
      <c r="B438" s="244" t="s">
        <v>1353</v>
      </c>
      <c r="C438" s="244" t="s">
        <v>1605</v>
      </c>
      <c r="D438" s="244" t="s">
        <v>1591</v>
      </c>
      <c r="E438" s="244" t="s">
        <v>1356</v>
      </c>
      <c r="F438" s="251">
        <v>110000</v>
      </c>
      <c r="G438" s="252">
        <v>45007</v>
      </c>
      <c r="H438" s="244"/>
      <c r="I438" s="244" t="s">
        <v>1452</v>
      </c>
      <c r="J438" s="251"/>
      <c r="K438" s="244"/>
      <c r="L438" s="244"/>
      <c r="M438" s="244"/>
    </row>
    <row r="439" spans="1:13">
      <c r="A439" s="240" t="s">
        <v>684</v>
      </c>
      <c r="B439" s="240" t="s">
        <v>1353</v>
      </c>
      <c r="C439" s="240" t="s">
        <v>1606</v>
      </c>
      <c r="D439" s="240" t="s">
        <v>1587</v>
      </c>
      <c r="E439" s="240" t="s">
        <v>1356</v>
      </c>
      <c r="F439" s="249">
        <v>100000</v>
      </c>
      <c r="G439" s="250">
        <v>45008</v>
      </c>
      <c r="H439" s="240"/>
      <c r="I439" s="240" t="s">
        <v>1455</v>
      </c>
      <c r="J439" s="249"/>
      <c r="K439" s="240"/>
      <c r="L439" s="240"/>
      <c r="M439" s="240"/>
    </row>
    <row r="440" spans="1:13">
      <c r="A440" s="244" t="s">
        <v>684</v>
      </c>
      <c r="B440" s="244" t="s">
        <v>1353</v>
      </c>
      <c r="C440" s="244" t="s">
        <v>1607</v>
      </c>
      <c r="D440" s="244" t="s">
        <v>1591</v>
      </c>
      <c r="E440" s="244" t="s">
        <v>1356</v>
      </c>
      <c r="F440" s="251">
        <v>80000</v>
      </c>
      <c r="G440" s="252">
        <v>45009</v>
      </c>
      <c r="H440" s="244"/>
      <c r="I440" s="244" t="s">
        <v>1452</v>
      </c>
      <c r="J440" s="251"/>
      <c r="K440" s="244"/>
      <c r="L440" s="244"/>
      <c r="M440" s="244"/>
    </row>
    <row r="441" spans="1:13">
      <c r="A441" s="240" t="s">
        <v>684</v>
      </c>
      <c r="B441" s="240" t="s">
        <v>1353</v>
      </c>
      <c r="C441" s="240" t="s">
        <v>1608</v>
      </c>
      <c r="D441" s="240" t="s">
        <v>1609</v>
      </c>
      <c r="E441" s="240" t="s">
        <v>1356</v>
      </c>
      <c r="F441" s="249">
        <v>200000</v>
      </c>
      <c r="G441" s="250" t="s">
        <v>1610</v>
      </c>
      <c r="H441" s="240"/>
      <c r="I441" s="240" t="s">
        <v>1363</v>
      </c>
      <c r="J441" s="249"/>
      <c r="K441" s="240"/>
      <c r="L441" s="240"/>
      <c r="M441" s="240"/>
    </row>
    <row r="442" spans="1:13">
      <c r="A442" s="244" t="s">
        <v>684</v>
      </c>
      <c r="B442" s="244" t="s">
        <v>1353</v>
      </c>
      <c r="C442" s="244" t="s">
        <v>1611</v>
      </c>
      <c r="D442" s="244" t="s">
        <v>1502</v>
      </c>
      <c r="E442" s="244" t="s">
        <v>1356</v>
      </c>
      <c r="F442" s="251">
        <v>100000</v>
      </c>
      <c r="G442" s="252" t="s">
        <v>1610</v>
      </c>
      <c r="H442" s="244"/>
      <c r="I442" s="244" t="s">
        <v>1455</v>
      </c>
      <c r="J442" s="251"/>
      <c r="K442" s="244"/>
      <c r="L442" s="244"/>
      <c r="M442" s="244"/>
    </row>
    <row r="443" spans="1:13">
      <c r="A443" s="240" t="s">
        <v>684</v>
      </c>
      <c r="B443" s="240" t="s">
        <v>1353</v>
      </c>
      <c r="C443" s="240" t="s">
        <v>1612</v>
      </c>
      <c r="D443" s="240" t="s">
        <v>1613</v>
      </c>
      <c r="E443" s="240" t="s">
        <v>1356</v>
      </c>
      <c r="F443" s="249">
        <v>100000</v>
      </c>
      <c r="G443" s="250" t="s">
        <v>1614</v>
      </c>
      <c r="H443" s="240"/>
      <c r="I443" s="240" t="s">
        <v>1455</v>
      </c>
      <c r="J443" s="249"/>
      <c r="K443" s="240"/>
      <c r="L443" s="240"/>
      <c r="M443" s="240"/>
    </row>
    <row r="444" spans="1:13">
      <c r="A444" s="244" t="s">
        <v>684</v>
      </c>
      <c r="B444" s="244" t="s">
        <v>1353</v>
      </c>
      <c r="C444" s="244" t="s">
        <v>1519</v>
      </c>
      <c r="D444" s="244" t="s">
        <v>1520</v>
      </c>
      <c r="E444" s="244" t="s">
        <v>1356</v>
      </c>
      <c r="F444" s="251">
        <v>50000</v>
      </c>
      <c r="G444" s="252" t="s">
        <v>1615</v>
      </c>
      <c r="H444" s="244"/>
      <c r="I444" s="244" t="s">
        <v>1521</v>
      </c>
      <c r="J444" s="251"/>
      <c r="K444" s="244"/>
      <c r="L444" s="244"/>
      <c r="M444" s="244"/>
    </row>
    <row r="445" spans="1:13">
      <c r="A445" s="240" t="s">
        <v>684</v>
      </c>
      <c r="B445" s="240" t="s">
        <v>1353</v>
      </c>
      <c r="C445" s="240" t="s">
        <v>1616</v>
      </c>
      <c r="D445" s="240" t="s">
        <v>1523</v>
      </c>
      <c r="E445" s="240" t="s">
        <v>1356</v>
      </c>
      <c r="F445" s="249">
        <v>70000</v>
      </c>
      <c r="G445" s="250" t="s">
        <v>1615</v>
      </c>
      <c r="H445" s="240"/>
      <c r="I445" s="240" t="s">
        <v>1363</v>
      </c>
      <c r="J445" s="249"/>
      <c r="K445" s="240"/>
      <c r="L445" s="240"/>
      <c r="M445" s="240"/>
    </row>
    <row r="446" spans="1:13">
      <c r="A446" s="244" t="s">
        <v>684</v>
      </c>
      <c r="B446" s="244" t="s">
        <v>1353</v>
      </c>
      <c r="C446" s="244" t="s">
        <v>1606</v>
      </c>
      <c r="D446" s="244" t="s">
        <v>1562</v>
      </c>
      <c r="E446" s="244" t="s">
        <v>1356</v>
      </c>
      <c r="F446" s="251">
        <v>100000</v>
      </c>
      <c r="G446" s="252" t="s">
        <v>1615</v>
      </c>
      <c r="H446" s="244"/>
      <c r="I446" s="244" t="s">
        <v>1455</v>
      </c>
      <c r="J446" s="251"/>
      <c r="K446" s="244"/>
      <c r="L446" s="244"/>
      <c r="M446" s="244"/>
    </row>
    <row r="447" spans="1:13">
      <c r="A447" s="240" t="s">
        <v>684</v>
      </c>
      <c r="B447" s="240" t="s">
        <v>1353</v>
      </c>
      <c r="C447" s="240" t="s">
        <v>1617</v>
      </c>
      <c r="D447" s="240" t="s">
        <v>1548</v>
      </c>
      <c r="E447" s="240" t="s">
        <v>1356</v>
      </c>
      <c r="F447" s="249">
        <v>200000</v>
      </c>
      <c r="G447" s="250" t="s">
        <v>1615</v>
      </c>
      <c r="H447" s="240"/>
      <c r="I447" s="240" t="s">
        <v>1455</v>
      </c>
      <c r="J447" s="249"/>
      <c r="K447" s="240"/>
      <c r="L447" s="240"/>
      <c r="M447" s="240"/>
    </row>
    <row r="448" spans="1:13">
      <c r="A448" s="244" t="s">
        <v>684</v>
      </c>
      <c r="B448" s="244" t="s">
        <v>1353</v>
      </c>
      <c r="C448" s="244" t="s">
        <v>1617</v>
      </c>
      <c r="D448" s="244" t="s">
        <v>1548</v>
      </c>
      <c r="E448" s="244" t="s">
        <v>1356</v>
      </c>
      <c r="F448" s="251">
        <v>100000</v>
      </c>
      <c r="G448" s="252" t="s">
        <v>1615</v>
      </c>
      <c r="H448" s="244"/>
      <c r="I448" s="244" t="s">
        <v>1455</v>
      </c>
      <c r="J448" s="251"/>
      <c r="K448" s="244"/>
      <c r="L448" s="244"/>
      <c r="M448" s="244"/>
    </row>
    <row r="449" spans="1:13">
      <c r="A449" s="240" t="s">
        <v>684</v>
      </c>
      <c r="B449" s="240" t="s">
        <v>1353</v>
      </c>
      <c r="C449" s="240" t="s">
        <v>1618</v>
      </c>
      <c r="D449" s="240" t="s">
        <v>1564</v>
      </c>
      <c r="E449" s="240" t="s">
        <v>1356</v>
      </c>
      <c r="F449" s="249">
        <v>150000</v>
      </c>
      <c r="G449" s="250" t="s">
        <v>1615</v>
      </c>
      <c r="H449" s="240"/>
      <c r="I449" s="240" t="s">
        <v>1455</v>
      </c>
      <c r="J449" s="249"/>
      <c r="K449" s="240"/>
      <c r="L449" s="240"/>
      <c r="M449" s="240"/>
    </row>
    <row r="450" spans="1:13">
      <c r="A450" s="244" t="s">
        <v>684</v>
      </c>
      <c r="B450" s="244" t="s">
        <v>1353</v>
      </c>
      <c r="C450" s="244" t="s">
        <v>1619</v>
      </c>
      <c r="D450" s="244" t="s">
        <v>1587</v>
      </c>
      <c r="E450" s="244" t="s">
        <v>1356</v>
      </c>
      <c r="F450" s="251">
        <v>200000</v>
      </c>
      <c r="G450" s="252" t="s">
        <v>1615</v>
      </c>
      <c r="H450" s="244"/>
      <c r="I450" s="244" t="s">
        <v>1436</v>
      </c>
      <c r="J450" s="251"/>
      <c r="K450" s="244"/>
      <c r="L450" s="244"/>
      <c r="M450" s="244"/>
    </row>
    <row r="451" spans="1:13">
      <c r="A451" s="240" t="s">
        <v>684</v>
      </c>
      <c r="B451" s="240" t="s">
        <v>1353</v>
      </c>
      <c r="C451" s="240" t="s">
        <v>1620</v>
      </c>
      <c r="D451" s="240" t="s">
        <v>1589</v>
      </c>
      <c r="E451" s="240" t="s">
        <v>1356</v>
      </c>
      <c r="F451" s="249">
        <v>50000</v>
      </c>
      <c r="G451" s="250" t="s">
        <v>1615</v>
      </c>
      <c r="H451" s="240"/>
      <c r="I451" s="240" t="s">
        <v>1455</v>
      </c>
      <c r="J451" s="249"/>
      <c r="K451" s="240"/>
      <c r="L451" s="240"/>
      <c r="M451" s="240"/>
    </row>
    <row r="452" spans="1:13">
      <c r="A452" s="244" t="s">
        <v>684</v>
      </c>
      <c r="B452" s="244" t="s">
        <v>1353</v>
      </c>
      <c r="C452" s="244" t="s">
        <v>1621</v>
      </c>
      <c r="D452" s="244" t="s">
        <v>1490</v>
      </c>
      <c r="E452" s="244" t="s">
        <v>1356</v>
      </c>
      <c r="F452" s="251">
        <v>100000</v>
      </c>
      <c r="G452" s="252" t="s">
        <v>1615</v>
      </c>
      <c r="H452" s="244"/>
      <c r="I452" s="244" t="s">
        <v>1455</v>
      </c>
      <c r="J452" s="251"/>
      <c r="K452" s="244"/>
      <c r="L452" s="244"/>
      <c r="M452" s="244"/>
    </row>
    <row r="453" spans="1:13">
      <c r="A453" s="240" t="s">
        <v>684</v>
      </c>
      <c r="B453" s="240" t="s">
        <v>1353</v>
      </c>
      <c r="C453" s="240" t="s">
        <v>1606</v>
      </c>
      <c r="D453" s="240" t="s">
        <v>1564</v>
      </c>
      <c r="E453" s="240" t="s">
        <v>1356</v>
      </c>
      <c r="F453" s="249">
        <v>50000</v>
      </c>
      <c r="G453" s="250" t="s">
        <v>1615</v>
      </c>
      <c r="H453" s="240"/>
      <c r="I453" s="240" t="s">
        <v>1455</v>
      </c>
      <c r="J453" s="249"/>
      <c r="K453" s="240"/>
      <c r="L453" s="240"/>
      <c r="M453" s="240"/>
    </row>
    <row r="454" spans="1:13">
      <c r="A454" s="244" t="s">
        <v>684</v>
      </c>
      <c r="B454" s="244" t="s">
        <v>1353</v>
      </c>
      <c r="C454" s="244" t="s">
        <v>1622</v>
      </c>
      <c r="D454" s="244" t="s">
        <v>1495</v>
      </c>
      <c r="E454" s="244" t="s">
        <v>1356</v>
      </c>
      <c r="F454" s="251">
        <v>100000</v>
      </c>
      <c r="G454" s="252" t="s">
        <v>1615</v>
      </c>
      <c r="H454" s="244"/>
      <c r="I454" s="244" t="s">
        <v>1455</v>
      </c>
      <c r="J454" s="251"/>
      <c r="K454" s="244"/>
      <c r="L454" s="244"/>
      <c r="M454" s="244"/>
    </row>
    <row r="455" spans="1:13">
      <c r="A455" s="240" t="s">
        <v>684</v>
      </c>
      <c r="B455" s="240" t="s">
        <v>1353</v>
      </c>
      <c r="C455" s="240" t="s">
        <v>1623</v>
      </c>
      <c r="D455" s="240" t="s">
        <v>1548</v>
      </c>
      <c r="E455" s="240" t="s">
        <v>1356</v>
      </c>
      <c r="F455" s="249">
        <v>100000</v>
      </c>
      <c r="G455" s="250" t="s">
        <v>1615</v>
      </c>
      <c r="H455" s="240"/>
      <c r="I455" s="240" t="s">
        <v>1455</v>
      </c>
      <c r="J455" s="249"/>
      <c r="K455" s="240"/>
      <c r="L455" s="240"/>
      <c r="M455" s="240"/>
    </row>
    <row r="456" spans="1:13">
      <c r="A456" s="244" t="s">
        <v>684</v>
      </c>
      <c r="B456" s="244" t="s">
        <v>1353</v>
      </c>
      <c r="C456" s="244" t="s">
        <v>1606</v>
      </c>
      <c r="D456" s="244" t="s">
        <v>1506</v>
      </c>
      <c r="E456" s="244" t="s">
        <v>1356</v>
      </c>
      <c r="F456" s="251">
        <v>100000</v>
      </c>
      <c r="G456" s="252" t="s">
        <v>1615</v>
      </c>
      <c r="H456" s="244"/>
      <c r="I456" s="244" t="s">
        <v>1455</v>
      </c>
      <c r="J456" s="251"/>
      <c r="K456" s="244"/>
      <c r="L456" s="244"/>
      <c r="M456" s="244"/>
    </row>
    <row r="457" spans="1:13">
      <c r="A457" s="240" t="s">
        <v>684</v>
      </c>
      <c r="B457" s="240" t="s">
        <v>1353</v>
      </c>
      <c r="C457" s="240" t="s">
        <v>1624</v>
      </c>
      <c r="D457" s="240" t="s">
        <v>1548</v>
      </c>
      <c r="E457" s="240" t="s">
        <v>1356</v>
      </c>
      <c r="F457" s="249">
        <v>50000</v>
      </c>
      <c r="G457" s="250" t="s">
        <v>1615</v>
      </c>
      <c r="H457" s="240"/>
      <c r="I457" s="240" t="s">
        <v>1455</v>
      </c>
      <c r="J457" s="249"/>
      <c r="K457" s="240"/>
      <c r="L457" s="240"/>
      <c r="M457" s="240"/>
    </row>
    <row r="458" spans="1:13">
      <c r="A458" s="244" t="s">
        <v>684</v>
      </c>
      <c r="B458" s="244" t="s">
        <v>1353</v>
      </c>
      <c r="C458" s="244" t="s">
        <v>1617</v>
      </c>
      <c r="D458" s="244" t="s">
        <v>1548</v>
      </c>
      <c r="E458" s="244" t="s">
        <v>1356</v>
      </c>
      <c r="F458" s="251">
        <v>100000</v>
      </c>
      <c r="G458" s="252" t="s">
        <v>1625</v>
      </c>
      <c r="H458" s="244"/>
      <c r="I458" s="244" t="s">
        <v>1455</v>
      </c>
      <c r="J458" s="251"/>
      <c r="K458" s="244"/>
      <c r="L458" s="244"/>
      <c r="M458" s="244"/>
    </row>
    <row r="459" spans="1:13">
      <c r="A459" s="240" t="s">
        <v>684</v>
      </c>
      <c r="B459" s="240" t="s">
        <v>1353</v>
      </c>
      <c r="C459" s="240" t="s">
        <v>1606</v>
      </c>
      <c r="D459" s="240" t="s">
        <v>1564</v>
      </c>
      <c r="E459" s="240" t="s">
        <v>1356</v>
      </c>
      <c r="F459" s="249">
        <v>100000</v>
      </c>
      <c r="G459" s="250" t="s">
        <v>1625</v>
      </c>
      <c r="H459" s="240"/>
      <c r="I459" s="240" t="s">
        <v>1455</v>
      </c>
      <c r="J459" s="249"/>
      <c r="K459" s="240"/>
      <c r="L459" s="240"/>
      <c r="M459" s="240"/>
    </row>
    <row r="460" spans="1:13">
      <c r="A460" s="244" t="s">
        <v>684</v>
      </c>
      <c r="B460" s="244" t="s">
        <v>1353</v>
      </c>
      <c r="C460" s="244" t="s">
        <v>1626</v>
      </c>
      <c r="D460" s="244" t="s">
        <v>1490</v>
      </c>
      <c r="E460" s="244" t="s">
        <v>1356</v>
      </c>
      <c r="F460" s="251">
        <v>75000</v>
      </c>
      <c r="G460" s="252" t="s">
        <v>1625</v>
      </c>
      <c r="H460" s="244"/>
      <c r="I460" s="244" t="s">
        <v>1455</v>
      </c>
      <c r="J460" s="251"/>
      <c r="K460" s="244"/>
      <c r="L460" s="244"/>
      <c r="M460" s="244"/>
    </row>
    <row r="461" spans="1:13">
      <c r="A461" s="240" t="s">
        <v>684</v>
      </c>
      <c r="B461" s="240" t="s">
        <v>1353</v>
      </c>
      <c r="C461" s="240" t="s">
        <v>1627</v>
      </c>
      <c r="D461" s="240" t="s">
        <v>1490</v>
      </c>
      <c r="E461" s="240" t="s">
        <v>1356</v>
      </c>
      <c r="F461" s="249">
        <v>25000</v>
      </c>
      <c r="G461" s="250" t="s">
        <v>1628</v>
      </c>
      <c r="H461" s="240"/>
      <c r="I461" s="240" t="s">
        <v>1455</v>
      </c>
      <c r="J461" s="249"/>
      <c r="K461" s="240"/>
      <c r="L461" s="240"/>
      <c r="M461" s="240"/>
    </row>
    <row r="462" spans="1:13">
      <c r="A462" s="244" t="s">
        <v>684</v>
      </c>
      <c r="B462" s="244" t="s">
        <v>1353</v>
      </c>
      <c r="C462" s="244" t="s">
        <v>1629</v>
      </c>
      <c r="D462" s="244" t="s">
        <v>1490</v>
      </c>
      <c r="E462" s="244" t="s">
        <v>1356</v>
      </c>
      <c r="F462" s="251">
        <v>100000</v>
      </c>
      <c r="G462" s="252" t="s">
        <v>1628</v>
      </c>
      <c r="H462" s="244"/>
      <c r="I462" s="244" t="s">
        <v>1363</v>
      </c>
      <c r="J462" s="251"/>
      <c r="K462" s="244"/>
      <c r="L462" s="244"/>
      <c r="M462" s="244"/>
    </row>
    <row r="463" spans="1:13">
      <c r="A463" s="240" t="s">
        <v>684</v>
      </c>
      <c r="B463" s="240" t="s">
        <v>1353</v>
      </c>
      <c r="C463" s="240" t="s">
        <v>1630</v>
      </c>
      <c r="D463" s="240" t="s">
        <v>1631</v>
      </c>
      <c r="E463" s="240" t="s">
        <v>1356</v>
      </c>
      <c r="F463" s="249">
        <v>100000</v>
      </c>
      <c r="G463" s="250" t="s">
        <v>1632</v>
      </c>
      <c r="H463" s="240"/>
      <c r="I463" s="240" t="s">
        <v>1455</v>
      </c>
      <c r="J463" s="249"/>
      <c r="K463" s="240"/>
      <c r="L463" s="240"/>
      <c r="M463" s="240"/>
    </row>
    <row r="464" spans="1:13">
      <c r="A464" s="244" t="s">
        <v>684</v>
      </c>
      <c r="B464" s="244" t="s">
        <v>1353</v>
      </c>
      <c r="C464" s="244" t="s">
        <v>1633</v>
      </c>
      <c r="D464" s="244" t="s">
        <v>1490</v>
      </c>
      <c r="E464" s="244" t="s">
        <v>1356</v>
      </c>
      <c r="F464" s="251">
        <v>100000</v>
      </c>
      <c r="G464" s="252" t="s">
        <v>1632</v>
      </c>
      <c r="H464" s="244"/>
      <c r="I464" s="244" t="s">
        <v>1578</v>
      </c>
      <c r="J464" s="251"/>
      <c r="K464" s="244"/>
      <c r="L464" s="244"/>
      <c r="M464" s="244"/>
    </row>
    <row r="465" spans="1:13">
      <c r="A465" s="240" t="s">
        <v>684</v>
      </c>
      <c r="B465" s="240" t="s">
        <v>1353</v>
      </c>
      <c r="C465" s="240" t="s">
        <v>1634</v>
      </c>
      <c r="D465" s="240"/>
      <c r="E465" s="240" t="s">
        <v>1356</v>
      </c>
      <c r="F465" s="249">
        <v>100000</v>
      </c>
      <c r="G465" s="250" t="s">
        <v>1632</v>
      </c>
      <c r="H465" s="240"/>
      <c r="I465" s="240" t="s">
        <v>1578</v>
      </c>
      <c r="J465" s="249"/>
      <c r="K465" s="240"/>
      <c r="L465" s="240"/>
      <c r="M465" s="240"/>
    </row>
    <row r="466" spans="1:13">
      <c r="A466" s="244" t="s">
        <v>684</v>
      </c>
      <c r="B466" s="244" t="s">
        <v>1353</v>
      </c>
      <c r="C466" s="244" t="s">
        <v>1635</v>
      </c>
      <c r="D466" s="244"/>
      <c r="E466" s="244" t="s">
        <v>1356</v>
      </c>
      <c r="F466" s="251">
        <v>100000</v>
      </c>
      <c r="G466" s="252" t="s">
        <v>1632</v>
      </c>
      <c r="H466" s="244"/>
      <c r="I466" s="244" t="s">
        <v>1455</v>
      </c>
      <c r="J466" s="251"/>
      <c r="K466" s="244"/>
      <c r="L466" s="244"/>
      <c r="M466" s="244"/>
    </row>
    <row r="467" spans="1:13">
      <c r="A467" s="240" t="s">
        <v>684</v>
      </c>
      <c r="B467" s="240" t="s">
        <v>1353</v>
      </c>
      <c r="C467" s="240" t="s">
        <v>1636</v>
      </c>
      <c r="D467" s="240" t="s">
        <v>1418</v>
      </c>
      <c r="E467" s="240" t="s">
        <v>1356</v>
      </c>
      <c r="F467" s="249">
        <v>225000</v>
      </c>
      <c r="G467" s="250" t="s">
        <v>1637</v>
      </c>
      <c r="H467" s="240"/>
      <c r="I467" s="240" t="s">
        <v>1578</v>
      </c>
      <c r="J467" s="249"/>
      <c r="K467" s="240"/>
      <c r="L467" s="240"/>
      <c r="M467" s="240"/>
    </row>
    <row r="468" spans="1:13">
      <c r="A468" s="244" t="s">
        <v>684</v>
      </c>
      <c r="B468" s="244" t="s">
        <v>1353</v>
      </c>
      <c r="C468" s="244" t="s">
        <v>1638</v>
      </c>
      <c r="D468" s="244" t="s">
        <v>1418</v>
      </c>
      <c r="E468" s="244" t="s">
        <v>1356</v>
      </c>
      <c r="F468" s="251">
        <v>73500</v>
      </c>
      <c r="G468" s="252" t="s">
        <v>1637</v>
      </c>
      <c r="H468" s="244"/>
      <c r="I468" s="244" t="s">
        <v>1578</v>
      </c>
      <c r="J468" s="251"/>
      <c r="K468" s="244"/>
      <c r="L468" s="244"/>
      <c r="M468" s="244"/>
    </row>
    <row r="469" spans="1:13">
      <c r="A469" s="240" t="s">
        <v>684</v>
      </c>
      <c r="B469" s="240" t="s">
        <v>1353</v>
      </c>
      <c r="C469" s="240" t="s">
        <v>1639</v>
      </c>
      <c r="D469" s="240" t="s">
        <v>1506</v>
      </c>
      <c r="E469" s="240" t="s">
        <v>1356</v>
      </c>
      <c r="F469" s="249">
        <v>100000</v>
      </c>
      <c r="G469" s="250" t="s">
        <v>1640</v>
      </c>
      <c r="H469" s="240"/>
      <c r="I469" s="240" t="s">
        <v>1455</v>
      </c>
      <c r="J469" s="249"/>
      <c r="K469" s="240"/>
      <c r="L469" s="240"/>
      <c r="M469" s="240"/>
    </row>
    <row r="470" spans="1:13">
      <c r="A470" s="244" t="s">
        <v>684</v>
      </c>
      <c r="B470" s="244" t="s">
        <v>1353</v>
      </c>
      <c r="C470" s="244" t="s">
        <v>1641</v>
      </c>
      <c r="D470" s="244" t="s">
        <v>1495</v>
      </c>
      <c r="E470" s="244" t="s">
        <v>1356</v>
      </c>
      <c r="F470" s="251">
        <v>100000</v>
      </c>
      <c r="G470" s="252" t="s">
        <v>1640</v>
      </c>
      <c r="H470" s="244"/>
      <c r="I470" s="244" t="s">
        <v>1455</v>
      </c>
      <c r="J470" s="251"/>
      <c r="K470" s="244"/>
      <c r="L470" s="244"/>
      <c r="M470" s="244"/>
    </row>
    <row r="471" spans="1:13">
      <c r="A471" s="240" t="s">
        <v>684</v>
      </c>
      <c r="B471" s="240" t="s">
        <v>1353</v>
      </c>
      <c r="C471" s="240" t="s">
        <v>1642</v>
      </c>
      <c r="D471" s="240" t="s">
        <v>1490</v>
      </c>
      <c r="E471" s="240" t="s">
        <v>1356</v>
      </c>
      <c r="F471" s="249">
        <v>100000</v>
      </c>
      <c r="G471" s="250" t="s">
        <v>1640</v>
      </c>
      <c r="H471" s="240"/>
      <c r="I471" s="240" t="s">
        <v>1493</v>
      </c>
      <c r="J471" s="249"/>
      <c r="K471" s="240"/>
      <c r="L471" s="240"/>
      <c r="M471" s="240"/>
    </row>
    <row r="472" spans="1:13">
      <c r="A472" s="244" t="s">
        <v>684</v>
      </c>
      <c r="B472" s="244" t="s">
        <v>1353</v>
      </c>
      <c r="C472" s="244" t="s">
        <v>1643</v>
      </c>
      <c r="D472" s="244" t="s">
        <v>1644</v>
      </c>
      <c r="E472" s="244" t="s">
        <v>1356</v>
      </c>
      <c r="F472" s="251">
        <v>200000</v>
      </c>
      <c r="G472" s="252" t="s">
        <v>1640</v>
      </c>
      <c r="H472" s="244"/>
      <c r="I472" s="244" t="s">
        <v>733</v>
      </c>
      <c r="J472" s="251"/>
      <c r="K472" s="244"/>
      <c r="L472" s="244"/>
      <c r="M472" s="244"/>
    </row>
    <row r="473" spans="1:13">
      <c r="A473" s="240" t="s">
        <v>684</v>
      </c>
      <c r="B473" s="240" t="s">
        <v>1353</v>
      </c>
      <c r="C473" s="240" t="s">
        <v>1645</v>
      </c>
      <c r="D473" s="240" t="s">
        <v>1533</v>
      </c>
      <c r="E473" s="240" t="s">
        <v>1356</v>
      </c>
      <c r="F473" s="249">
        <v>250000</v>
      </c>
      <c r="G473" s="250" t="s">
        <v>1640</v>
      </c>
      <c r="H473" s="240"/>
      <c r="I473" s="240" t="s">
        <v>729</v>
      </c>
      <c r="J473" s="249"/>
      <c r="K473" s="240"/>
      <c r="L473" s="240"/>
      <c r="M473" s="240"/>
    </row>
    <row r="474" spans="1:13">
      <c r="A474" s="244" t="s">
        <v>684</v>
      </c>
      <c r="B474" s="244" t="s">
        <v>1353</v>
      </c>
      <c r="C474" s="244" t="s">
        <v>1646</v>
      </c>
      <c r="D474" s="244" t="s">
        <v>1647</v>
      </c>
      <c r="E474" s="244" t="s">
        <v>1356</v>
      </c>
      <c r="F474" s="251">
        <v>200000</v>
      </c>
      <c r="G474" s="252" t="s">
        <v>1640</v>
      </c>
      <c r="H474" s="244"/>
      <c r="I474" s="244" t="s">
        <v>733</v>
      </c>
      <c r="J474" s="251"/>
      <c r="K474" s="244"/>
      <c r="L474" s="244"/>
      <c r="M474" s="244"/>
    </row>
    <row r="475" spans="1:13">
      <c r="A475" s="240" t="s">
        <v>684</v>
      </c>
      <c r="B475" s="240" t="s">
        <v>1353</v>
      </c>
      <c r="C475" s="240" t="s">
        <v>1648</v>
      </c>
      <c r="D475" s="240" t="s">
        <v>1649</v>
      </c>
      <c r="E475" s="240" t="s">
        <v>1356</v>
      </c>
      <c r="F475" s="249">
        <v>250000</v>
      </c>
      <c r="G475" s="250" t="s">
        <v>1640</v>
      </c>
      <c r="H475" s="240"/>
      <c r="I475" s="240" t="s">
        <v>1363</v>
      </c>
      <c r="J475" s="249"/>
      <c r="K475" s="240"/>
      <c r="L475" s="240"/>
      <c r="M475" s="240"/>
    </row>
    <row r="476" spans="1:13">
      <c r="A476" s="244" t="s">
        <v>684</v>
      </c>
      <c r="B476" s="244" t="s">
        <v>1353</v>
      </c>
      <c r="C476" s="244" t="s">
        <v>1650</v>
      </c>
      <c r="D476" s="244" t="s">
        <v>1490</v>
      </c>
      <c r="E476" s="244" t="s">
        <v>1356</v>
      </c>
      <c r="F476" s="251">
        <v>100000</v>
      </c>
      <c r="G476" s="252" t="s">
        <v>1651</v>
      </c>
      <c r="H476" s="244"/>
      <c r="I476" s="244" t="s">
        <v>1455</v>
      </c>
      <c r="J476" s="251"/>
      <c r="K476" s="244"/>
      <c r="L476" s="244"/>
      <c r="M476" s="244"/>
    </row>
    <row r="477" spans="1:13">
      <c r="A477" s="240" t="s">
        <v>684</v>
      </c>
      <c r="B477" s="240" t="s">
        <v>1353</v>
      </c>
      <c r="C477" s="240" t="s">
        <v>1646</v>
      </c>
      <c r="D477" s="240" t="s">
        <v>1647</v>
      </c>
      <c r="E477" s="240" t="s">
        <v>1356</v>
      </c>
      <c r="F477" s="249">
        <v>100000</v>
      </c>
      <c r="G477" s="250" t="s">
        <v>1651</v>
      </c>
      <c r="H477" s="240"/>
      <c r="I477" s="240" t="s">
        <v>733</v>
      </c>
      <c r="J477" s="249"/>
      <c r="K477" s="240"/>
      <c r="L477" s="240"/>
      <c r="M477" s="240"/>
    </row>
    <row r="478" spans="1:13">
      <c r="A478" s="244" t="s">
        <v>684</v>
      </c>
      <c r="B478" s="244" t="s">
        <v>1353</v>
      </c>
      <c r="C478" s="244" t="s">
        <v>1652</v>
      </c>
      <c r="D478" s="244" t="s">
        <v>1653</v>
      </c>
      <c r="E478" s="244" t="s">
        <v>1356</v>
      </c>
      <c r="F478" s="251">
        <v>100000</v>
      </c>
      <c r="G478" s="252" t="s">
        <v>1651</v>
      </c>
      <c r="H478" s="244"/>
      <c r="I478" s="244" t="s">
        <v>733</v>
      </c>
      <c r="J478" s="251"/>
      <c r="K478" s="244"/>
      <c r="L478" s="244"/>
      <c r="M478" s="244"/>
    </row>
    <row r="479" spans="1:13">
      <c r="A479" s="240" t="s">
        <v>684</v>
      </c>
      <c r="B479" s="240" t="s">
        <v>1353</v>
      </c>
      <c r="C479" s="240" t="s">
        <v>1616</v>
      </c>
      <c r="D479" s="240" t="s">
        <v>1523</v>
      </c>
      <c r="E479" s="240" t="s">
        <v>1356</v>
      </c>
      <c r="F479" s="249">
        <v>70000</v>
      </c>
      <c r="G479" s="250" t="s">
        <v>1651</v>
      </c>
      <c r="H479" s="240"/>
      <c r="I479" s="240" t="s">
        <v>1363</v>
      </c>
      <c r="J479" s="249"/>
      <c r="K479" s="240"/>
      <c r="L479" s="240"/>
      <c r="M479" s="240"/>
    </row>
    <row r="480" spans="1:13">
      <c r="A480" s="244" t="s">
        <v>684</v>
      </c>
      <c r="B480" s="244" t="s">
        <v>1353</v>
      </c>
      <c r="C480" s="244" t="s">
        <v>1654</v>
      </c>
      <c r="D480" s="244" t="s">
        <v>1520</v>
      </c>
      <c r="E480" s="244" t="s">
        <v>1356</v>
      </c>
      <c r="F480" s="251">
        <v>50000</v>
      </c>
      <c r="G480" s="252" t="s">
        <v>1651</v>
      </c>
      <c r="H480" s="244"/>
      <c r="I480" s="244" t="s">
        <v>1521</v>
      </c>
      <c r="J480" s="251"/>
      <c r="K480" s="244"/>
      <c r="L480" s="244"/>
      <c r="M480" s="244"/>
    </row>
    <row r="481" spans="1:13">
      <c r="A481" s="240" t="s">
        <v>684</v>
      </c>
      <c r="B481" s="240" t="s">
        <v>1353</v>
      </c>
      <c r="C481" s="240" t="s">
        <v>1655</v>
      </c>
      <c r="D481" s="240" t="s">
        <v>1656</v>
      </c>
      <c r="E481" s="240" t="s">
        <v>1356</v>
      </c>
      <c r="F481" s="249">
        <v>100000</v>
      </c>
      <c r="G481" s="250" t="s">
        <v>1651</v>
      </c>
      <c r="H481" s="240"/>
      <c r="I481" s="240" t="s">
        <v>733</v>
      </c>
      <c r="J481" s="249"/>
      <c r="K481" s="240"/>
      <c r="L481" s="240"/>
      <c r="M481" s="240"/>
    </row>
    <row r="482" spans="1:13">
      <c r="A482" s="244" t="s">
        <v>684</v>
      </c>
      <c r="B482" s="244" t="s">
        <v>1353</v>
      </c>
      <c r="C482" s="244" t="s">
        <v>1657</v>
      </c>
      <c r="D482" s="244" t="s">
        <v>1658</v>
      </c>
      <c r="E482" s="244" t="s">
        <v>1356</v>
      </c>
      <c r="F482" s="251">
        <v>300000</v>
      </c>
      <c r="G482" s="252" t="s">
        <v>1651</v>
      </c>
      <c r="H482" s="244"/>
      <c r="I482" s="244" t="s">
        <v>733</v>
      </c>
      <c r="J482" s="251"/>
      <c r="K482" s="244"/>
      <c r="L482" s="244"/>
      <c r="M482" s="244"/>
    </row>
    <row r="483" spans="1:13">
      <c r="A483" s="240" t="s">
        <v>684</v>
      </c>
      <c r="B483" s="240" t="s">
        <v>1353</v>
      </c>
      <c r="C483" s="240" t="s">
        <v>1659</v>
      </c>
      <c r="D483" s="240" t="s">
        <v>1660</v>
      </c>
      <c r="E483" s="240" t="s">
        <v>1356</v>
      </c>
      <c r="F483" s="249">
        <v>100000</v>
      </c>
      <c r="G483" s="250" t="s">
        <v>1651</v>
      </c>
      <c r="H483" s="240"/>
      <c r="I483" s="240" t="s">
        <v>1455</v>
      </c>
      <c r="J483" s="249"/>
      <c r="K483" s="240"/>
      <c r="L483" s="240"/>
      <c r="M483" s="240"/>
    </row>
    <row r="484" spans="1:13">
      <c r="A484" s="244" t="s">
        <v>684</v>
      </c>
      <c r="B484" s="244" t="s">
        <v>1353</v>
      </c>
      <c r="C484" s="244" t="s">
        <v>1661</v>
      </c>
      <c r="D484" s="244" t="s">
        <v>1564</v>
      </c>
      <c r="E484" s="244" t="s">
        <v>1356</v>
      </c>
      <c r="F484" s="251">
        <v>100000</v>
      </c>
      <c r="G484" s="252" t="s">
        <v>1651</v>
      </c>
      <c r="H484" s="244"/>
      <c r="I484" s="244" t="s">
        <v>1455</v>
      </c>
      <c r="J484" s="251"/>
      <c r="K484" s="244"/>
      <c r="L484" s="244"/>
      <c r="M484" s="244"/>
    </row>
    <row r="485" spans="1:13">
      <c r="A485" s="240" t="s">
        <v>684</v>
      </c>
      <c r="B485" s="240" t="s">
        <v>1353</v>
      </c>
      <c r="C485" s="240" t="s">
        <v>1662</v>
      </c>
      <c r="D485" s="240" t="s">
        <v>1564</v>
      </c>
      <c r="E485" s="240" t="s">
        <v>1356</v>
      </c>
      <c r="F485" s="249">
        <v>100000</v>
      </c>
      <c r="G485" s="250" t="s">
        <v>1651</v>
      </c>
      <c r="H485" s="240"/>
      <c r="I485" s="240" t="s">
        <v>1455</v>
      </c>
      <c r="J485" s="249"/>
      <c r="K485" s="240"/>
      <c r="L485" s="240"/>
      <c r="M485" s="240"/>
    </row>
    <row r="486" spans="1:13">
      <c r="A486" s="244" t="s">
        <v>684</v>
      </c>
      <c r="B486" s="244" t="s">
        <v>1353</v>
      </c>
      <c r="C486" s="244" t="s">
        <v>1663</v>
      </c>
      <c r="D486" s="244" t="s">
        <v>1664</v>
      </c>
      <c r="E486" s="244" t="s">
        <v>1356</v>
      </c>
      <c r="F486" s="251">
        <v>100000</v>
      </c>
      <c r="G486" s="252" t="s">
        <v>1651</v>
      </c>
      <c r="H486" s="244"/>
      <c r="I486" s="244" t="s">
        <v>1455</v>
      </c>
      <c r="J486" s="251"/>
      <c r="K486" s="244"/>
      <c r="L486" s="244"/>
      <c r="M486" s="244"/>
    </row>
    <row r="487" spans="1:13">
      <c r="A487" s="240" t="s">
        <v>684</v>
      </c>
      <c r="B487" s="240" t="s">
        <v>1353</v>
      </c>
      <c r="C487" s="240" t="s">
        <v>1665</v>
      </c>
      <c r="D487" s="240" t="s">
        <v>1533</v>
      </c>
      <c r="E487" s="240" t="s">
        <v>1356</v>
      </c>
      <c r="F487" s="249">
        <v>100000</v>
      </c>
      <c r="G487" s="250" t="s">
        <v>1666</v>
      </c>
      <c r="H487" s="240"/>
      <c r="I487" s="240" t="s">
        <v>1455</v>
      </c>
      <c r="J487" s="249"/>
      <c r="K487" s="240"/>
      <c r="L487" s="240"/>
      <c r="M487" s="240"/>
    </row>
    <row r="488" spans="1:13">
      <c r="A488" s="244" t="s">
        <v>684</v>
      </c>
      <c r="B488" s="244" t="s">
        <v>1353</v>
      </c>
      <c r="C488" s="244" t="s">
        <v>1667</v>
      </c>
      <c r="D488" s="244" t="s">
        <v>1668</v>
      </c>
      <c r="E488" s="244" t="s">
        <v>1356</v>
      </c>
      <c r="F488" s="251">
        <v>125000</v>
      </c>
      <c r="G488" s="252" t="s">
        <v>1666</v>
      </c>
      <c r="H488" s="244"/>
      <c r="I488" s="244" t="s">
        <v>733</v>
      </c>
      <c r="J488" s="251"/>
      <c r="K488" s="244"/>
      <c r="L488" s="244"/>
      <c r="M488" s="244"/>
    </row>
    <row r="489" spans="1:13">
      <c r="A489" s="240" t="s">
        <v>684</v>
      </c>
      <c r="B489" s="240" t="s">
        <v>1353</v>
      </c>
      <c r="C489" s="240" t="s">
        <v>1669</v>
      </c>
      <c r="D489" s="240" t="s">
        <v>1670</v>
      </c>
      <c r="E489" s="240" t="s">
        <v>1356</v>
      </c>
      <c r="F489" s="249">
        <v>100000</v>
      </c>
      <c r="G489" s="250" t="s">
        <v>1666</v>
      </c>
      <c r="H489" s="240"/>
      <c r="I489" s="240" t="s">
        <v>733</v>
      </c>
      <c r="J489" s="249"/>
      <c r="K489" s="240"/>
      <c r="L489" s="240"/>
      <c r="M489" s="240"/>
    </row>
    <row r="490" spans="1:13">
      <c r="A490" s="244" t="s">
        <v>684</v>
      </c>
      <c r="B490" s="244" t="s">
        <v>1353</v>
      </c>
      <c r="C490" s="244" t="s">
        <v>1575</v>
      </c>
      <c r="D490" s="244" t="s">
        <v>1671</v>
      </c>
      <c r="E490" s="244" t="s">
        <v>1356</v>
      </c>
      <c r="F490" s="251">
        <v>100000</v>
      </c>
      <c r="G490" s="252" t="s">
        <v>1666</v>
      </c>
      <c r="H490" s="244"/>
      <c r="I490" s="244" t="s">
        <v>733</v>
      </c>
      <c r="J490" s="251"/>
      <c r="K490" s="244"/>
      <c r="L490" s="244"/>
      <c r="M490" s="244"/>
    </row>
    <row r="491" spans="1:13">
      <c r="A491" s="240" t="s">
        <v>684</v>
      </c>
      <c r="B491" s="240" t="s">
        <v>1353</v>
      </c>
      <c r="C491" s="240" t="s">
        <v>1575</v>
      </c>
      <c r="D491" s="240" t="s">
        <v>1671</v>
      </c>
      <c r="E491" s="240" t="s">
        <v>1356</v>
      </c>
      <c r="F491" s="249">
        <v>100000</v>
      </c>
      <c r="G491" s="250" t="s">
        <v>1666</v>
      </c>
      <c r="H491" s="240"/>
      <c r="I491" s="240" t="s">
        <v>733</v>
      </c>
      <c r="J491" s="249"/>
      <c r="K491" s="240"/>
      <c r="L491" s="240"/>
      <c r="M491" s="240"/>
    </row>
    <row r="492" spans="1:13">
      <c r="A492" s="244" t="s">
        <v>684</v>
      </c>
      <c r="B492" s="244" t="s">
        <v>1353</v>
      </c>
      <c r="C492" s="244" t="s">
        <v>1672</v>
      </c>
      <c r="D492" s="244" t="s">
        <v>1671</v>
      </c>
      <c r="E492" s="244" t="s">
        <v>1356</v>
      </c>
      <c r="F492" s="251">
        <v>100000</v>
      </c>
      <c r="G492" s="252" t="s">
        <v>1666</v>
      </c>
      <c r="H492" s="244"/>
      <c r="I492" s="244" t="s">
        <v>733</v>
      </c>
      <c r="J492" s="251"/>
      <c r="K492" s="244"/>
      <c r="L492" s="244"/>
      <c r="M492" s="244"/>
    </row>
    <row r="493" spans="1:13">
      <c r="A493" s="240" t="s">
        <v>684</v>
      </c>
      <c r="B493" s="240" t="s">
        <v>1353</v>
      </c>
      <c r="C493" s="240" t="s">
        <v>1575</v>
      </c>
      <c r="D493" s="240" t="s">
        <v>1671</v>
      </c>
      <c r="E493" s="240" t="s">
        <v>1356</v>
      </c>
      <c r="F493" s="249">
        <v>100000</v>
      </c>
      <c r="G493" s="250" t="s">
        <v>1666</v>
      </c>
      <c r="H493" s="240"/>
      <c r="I493" s="240" t="s">
        <v>733</v>
      </c>
      <c r="J493" s="249"/>
      <c r="K493" s="240"/>
      <c r="L493" s="240"/>
      <c r="M493" s="240"/>
    </row>
    <row r="494" spans="1:13">
      <c r="A494" s="244" t="s">
        <v>684</v>
      </c>
      <c r="B494" s="244" t="s">
        <v>1353</v>
      </c>
      <c r="C494" s="244" t="s">
        <v>1673</v>
      </c>
      <c r="D494" s="244" t="s">
        <v>1674</v>
      </c>
      <c r="E494" s="244" t="s">
        <v>1356</v>
      </c>
      <c r="F494" s="251">
        <v>300000</v>
      </c>
      <c r="G494" s="252" t="s">
        <v>1675</v>
      </c>
      <c r="H494" s="244"/>
      <c r="I494" s="244" t="s">
        <v>733</v>
      </c>
      <c r="J494" s="251"/>
      <c r="K494" s="244"/>
      <c r="L494" s="244"/>
      <c r="M494" s="244"/>
    </row>
    <row r="495" spans="1:13">
      <c r="A495" s="240" t="s">
        <v>684</v>
      </c>
      <c r="B495" s="240" t="s">
        <v>1353</v>
      </c>
      <c r="C495" s="240" t="s">
        <v>1676</v>
      </c>
      <c r="D495" s="240" t="s">
        <v>1677</v>
      </c>
      <c r="E495" s="240" t="s">
        <v>1356</v>
      </c>
      <c r="F495" s="249">
        <v>100000</v>
      </c>
      <c r="G495" s="250" t="s">
        <v>1675</v>
      </c>
      <c r="H495" s="240"/>
      <c r="I495" s="240" t="s">
        <v>733</v>
      </c>
      <c r="J495" s="249"/>
      <c r="K495" s="240"/>
      <c r="L495" s="240"/>
      <c r="M495" s="240"/>
    </row>
    <row r="496" spans="1:13">
      <c r="A496" s="244" t="s">
        <v>684</v>
      </c>
      <c r="B496" s="244" t="s">
        <v>1353</v>
      </c>
      <c r="C496" s="244" t="s">
        <v>1678</v>
      </c>
      <c r="D496" s="244" t="s">
        <v>1533</v>
      </c>
      <c r="E496" s="244" t="s">
        <v>1356</v>
      </c>
      <c r="F496" s="251">
        <v>50000</v>
      </c>
      <c r="G496" s="252" t="s">
        <v>1675</v>
      </c>
      <c r="H496" s="244"/>
      <c r="I496" s="244" t="s">
        <v>1455</v>
      </c>
      <c r="J496" s="251"/>
      <c r="K496" s="244"/>
      <c r="L496" s="244"/>
      <c r="M496" s="244"/>
    </row>
    <row r="497" spans="1:13">
      <c r="A497" s="240" t="s">
        <v>684</v>
      </c>
      <c r="B497" s="240" t="s">
        <v>1353</v>
      </c>
      <c r="C497" s="240" t="s">
        <v>1679</v>
      </c>
      <c r="D497" s="240" t="s">
        <v>1564</v>
      </c>
      <c r="E497" s="240" t="s">
        <v>1356</v>
      </c>
      <c r="F497" s="249">
        <v>50000</v>
      </c>
      <c r="G497" s="250" t="s">
        <v>1675</v>
      </c>
      <c r="H497" s="240"/>
      <c r="I497" s="240" t="s">
        <v>1455</v>
      </c>
      <c r="J497" s="249"/>
      <c r="K497" s="240"/>
      <c r="L497" s="240"/>
      <c r="M497" s="240"/>
    </row>
    <row r="498" spans="1:13">
      <c r="A498" s="244" t="s">
        <v>684</v>
      </c>
      <c r="B498" s="244" t="s">
        <v>1353</v>
      </c>
      <c r="C498" s="244" t="s">
        <v>1680</v>
      </c>
      <c r="D498" s="244" t="s">
        <v>1681</v>
      </c>
      <c r="E498" s="244" t="s">
        <v>1356</v>
      </c>
      <c r="F498" s="251">
        <v>125000</v>
      </c>
      <c r="G498" s="252" t="s">
        <v>1675</v>
      </c>
      <c r="H498" s="244"/>
      <c r="I498" s="244" t="s">
        <v>1357</v>
      </c>
      <c r="J498" s="251"/>
      <c r="K498" s="244"/>
      <c r="L498" s="244"/>
      <c r="M498" s="244"/>
    </row>
    <row r="499" spans="1:13">
      <c r="A499" s="240" t="s">
        <v>684</v>
      </c>
      <c r="B499" s="240" t="s">
        <v>1353</v>
      </c>
      <c r="C499" s="240" t="s">
        <v>1682</v>
      </c>
      <c r="D499" s="240" t="s">
        <v>1656</v>
      </c>
      <c r="E499" s="240" t="s">
        <v>1356</v>
      </c>
      <c r="F499" s="249">
        <v>250000</v>
      </c>
      <c r="G499" s="250" t="s">
        <v>1683</v>
      </c>
      <c r="H499" s="240"/>
      <c r="I499" s="240" t="s">
        <v>733</v>
      </c>
      <c r="J499" s="249"/>
      <c r="K499" s="240"/>
      <c r="L499" s="240"/>
      <c r="M499" s="240"/>
    </row>
    <row r="500" spans="1:13">
      <c r="A500" s="244" t="s">
        <v>684</v>
      </c>
      <c r="B500" s="244" t="s">
        <v>1353</v>
      </c>
      <c r="C500" s="244" t="s">
        <v>1684</v>
      </c>
      <c r="D500" s="244" t="s">
        <v>1449</v>
      </c>
      <c r="E500" s="244" t="s">
        <v>1356</v>
      </c>
      <c r="F500" s="251">
        <v>100000</v>
      </c>
      <c r="G500" s="252" t="s">
        <v>1683</v>
      </c>
      <c r="H500" s="244"/>
      <c r="I500" s="244" t="s">
        <v>733</v>
      </c>
      <c r="J500" s="251"/>
      <c r="K500" s="244"/>
      <c r="L500" s="244"/>
      <c r="M500" s="244"/>
    </row>
    <row r="501" spans="1:13">
      <c r="A501" s="240" t="s">
        <v>684</v>
      </c>
      <c r="B501" s="240" t="s">
        <v>1353</v>
      </c>
      <c r="C501" s="240" t="s">
        <v>1685</v>
      </c>
      <c r="D501" s="240" t="s">
        <v>1449</v>
      </c>
      <c r="E501" s="240" t="s">
        <v>1356</v>
      </c>
      <c r="F501" s="249">
        <v>100000</v>
      </c>
      <c r="G501" s="250" t="s">
        <v>1683</v>
      </c>
      <c r="H501" s="240"/>
      <c r="I501" s="240" t="s">
        <v>733</v>
      </c>
      <c r="J501" s="249"/>
      <c r="K501" s="240"/>
      <c r="L501" s="240"/>
      <c r="M501" s="240"/>
    </row>
    <row r="502" spans="1:13">
      <c r="A502" s="244" t="s">
        <v>684</v>
      </c>
      <c r="B502" s="244" t="s">
        <v>1353</v>
      </c>
      <c r="C502" s="244" t="s">
        <v>1686</v>
      </c>
      <c r="D502" s="244" t="s">
        <v>1548</v>
      </c>
      <c r="E502" s="244" t="s">
        <v>1356</v>
      </c>
      <c r="F502" s="251">
        <v>100000</v>
      </c>
      <c r="G502" s="252" t="s">
        <v>1683</v>
      </c>
      <c r="H502" s="244"/>
      <c r="I502" s="244" t="s">
        <v>1455</v>
      </c>
      <c r="J502" s="251"/>
      <c r="K502" s="244"/>
      <c r="L502" s="244"/>
      <c r="M502" s="244"/>
    </row>
    <row r="503" spans="1:13">
      <c r="A503" s="240" t="s">
        <v>684</v>
      </c>
      <c r="B503" s="240" t="s">
        <v>1353</v>
      </c>
      <c r="C503" s="240" t="s">
        <v>1687</v>
      </c>
      <c r="D503" s="240" t="s">
        <v>1490</v>
      </c>
      <c r="E503" s="240" t="s">
        <v>1356</v>
      </c>
      <c r="F503" s="249">
        <v>100000</v>
      </c>
      <c r="G503" s="250" t="s">
        <v>1683</v>
      </c>
      <c r="H503" s="240"/>
      <c r="I503" s="240" t="s">
        <v>1455</v>
      </c>
      <c r="J503" s="249"/>
      <c r="K503" s="240"/>
      <c r="L503" s="240"/>
      <c r="M503" s="240"/>
    </row>
    <row r="504" spans="1:13">
      <c r="A504" s="244" t="s">
        <v>684</v>
      </c>
      <c r="B504" s="244" t="s">
        <v>1353</v>
      </c>
      <c r="C504" s="244" t="s">
        <v>1688</v>
      </c>
      <c r="D504" s="244"/>
      <c r="E504" s="244" t="s">
        <v>1356</v>
      </c>
      <c r="F504" s="251">
        <v>200000</v>
      </c>
      <c r="G504" s="252" t="s">
        <v>1683</v>
      </c>
      <c r="H504" s="244"/>
      <c r="I504" s="244" t="s">
        <v>1363</v>
      </c>
      <c r="J504" s="251"/>
      <c r="K504" s="244"/>
      <c r="L504" s="244"/>
      <c r="M504" s="244"/>
    </row>
    <row r="505" spans="1:13">
      <c r="A505" s="240" t="s">
        <v>684</v>
      </c>
      <c r="B505" s="240" t="s">
        <v>1353</v>
      </c>
      <c r="C505" s="240" t="s">
        <v>1689</v>
      </c>
      <c r="D505" s="240" t="s">
        <v>1656</v>
      </c>
      <c r="E505" s="240" t="s">
        <v>1356</v>
      </c>
      <c r="F505" s="249">
        <v>100000</v>
      </c>
      <c r="G505" s="250" t="s">
        <v>1683</v>
      </c>
      <c r="H505" s="240"/>
      <c r="I505" s="240" t="s">
        <v>733</v>
      </c>
      <c r="J505" s="249"/>
      <c r="K505" s="240"/>
      <c r="L505" s="240"/>
      <c r="M505" s="240"/>
    </row>
    <row r="506" spans="1:13">
      <c r="A506" s="244" t="s">
        <v>684</v>
      </c>
      <c r="B506" s="244" t="s">
        <v>1353</v>
      </c>
      <c r="C506" s="244" t="s">
        <v>1690</v>
      </c>
      <c r="D506" s="244" t="s">
        <v>1490</v>
      </c>
      <c r="E506" s="244" t="s">
        <v>1356</v>
      </c>
      <c r="F506" s="251">
        <v>300000</v>
      </c>
      <c r="G506" s="252" t="s">
        <v>1683</v>
      </c>
      <c r="H506" s="244"/>
      <c r="I506" s="244" t="s">
        <v>1455</v>
      </c>
      <c r="J506" s="251"/>
      <c r="K506" s="244"/>
      <c r="L506" s="244"/>
      <c r="M506" s="244"/>
    </row>
    <row r="507" spans="1:13">
      <c r="A507" s="240" t="s">
        <v>684</v>
      </c>
      <c r="B507" s="240" t="s">
        <v>1353</v>
      </c>
      <c r="C507" s="240" t="s">
        <v>1691</v>
      </c>
      <c r="D507" s="240" t="s">
        <v>1692</v>
      </c>
      <c r="E507" s="240" t="s">
        <v>1356</v>
      </c>
      <c r="F507" s="249">
        <v>150000</v>
      </c>
      <c r="G507" s="250" t="s">
        <v>1683</v>
      </c>
      <c r="H507" s="240"/>
      <c r="I507" s="240" t="s">
        <v>1578</v>
      </c>
      <c r="J507" s="249"/>
      <c r="K507" s="240"/>
      <c r="L507" s="240"/>
      <c r="M507" s="240"/>
    </row>
    <row r="508" spans="1:13">
      <c r="A508" s="244" t="s">
        <v>684</v>
      </c>
      <c r="B508" s="244" t="s">
        <v>1353</v>
      </c>
      <c r="C508" s="244" t="s">
        <v>1693</v>
      </c>
      <c r="D508" s="244" t="s">
        <v>1490</v>
      </c>
      <c r="E508" s="244" t="s">
        <v>1356</v>
      </c>
      <c r="F508" s="251">
        <v>200000</v>
      </c>
      <c r="G508" s="252" t="s">
        <v>1683</v>
      </c>
      <c r="H508" s="244"/>
      <c r="I508" s="244" t="s">
        <v>1694</v>
      </c>
      <c r="J508" s="251"/>
      <c r="K508" s="244"/>
      <c r="L508" s="244"/>
      <c r="M508" s="244"/>
    </row>
    <row r="509" spans="1:13">
      <c r="A509" s="240" t="s">
        <v>684</v>
      </c>
      <c r="B509" s="240" t="s">
        <v>1353</v>
      </c>
      <c r="C509" s="240" t="s">
        <v>1695</v>
      </c>
      <c r="D509" s="240" t="s">
        <v>1490</v>
      </c>
      <c r="E509" s="240" t="s">
        <v>1356</v>
      </c>
      <c r="F509" s="249">
        <v>100000</v>
      </c>
      <c r="G509" s="250" t="s">
        <v>1683</v>
      </c>
      <c r="H509" s="240"/>
      <c r="I509" s="240" t="s">
        <v>1455</v>
      </c>
      <c r="J509" s="249"/>
      <c r="K509" s="240"/>
      <c r="L509" s="240"/>
      <c r="M509" s="240"/>
    </row>
    <row r="510" spans="1:13">
      <c r="A510" s="244" t="s">
        <v>684</v>
      </c>
      <c r="B510" s="244" t="s">
        <v>1353</v>
      </c>
      <c r="C510" s="244" t="s">
        <v>1696</v>
      </c>
      <c r="D510" s="244" t="s">
        <v>1490</v>
      </c>
      <c r="E510" s="244" t="s">
        <v>1356</v>
      </c>
      <c r="F510" s="251">
        <v>100000</v>
      </c>
      <c r="G510" s="252" t="s">
        <v>1683</v>
      </c>
      <c r="H510" s="244"/>
      <c r="I510" s="244" t="s">
        <v>1455</v>
      </c>
      <c r="J510" s="251"/>
      <c r="K510" s="244"/>
      <c r="L510" s="244"/>
      <c r="M510" s="244"/>
    </row>
    <row r="511" spans="1:13">
      <c r="A511" s="240" t="s">
        <v>684</v>
      </c>
      <c r="B511" s="240" t="s">
        <v>1353</v>
      </c>
      <c r="C511" s="240" t="s">
        <v>1697</v>
      </c>
      <c r="D511" s="240" t="s">
        <v>1490</v>
      </c>
      <c r="E511" s="240" t="s">
        <v>1356</v>
      </c>
      <c r="F511" s="249">
        <v>100000</v>
      </c>
      <c r="G511" s="250" t="s">
        <v>1683</v>
      </c>
      <c r="H511" s="240"/>
      <c r="I511" s="240" t="s">
        <v>1455</v>
      </c>
      <c r="J511" s="249"/>
      <c r="K511" s="240"/>
      <c r="L511" s="240"/>
      <c r="M511" s="240"/>
    </row>
    <row r="512" spans="1:13">
      <c r="A512" s="244" t="s">
        <v>684</v>
      </c>
      <c r="B512" s="244" t="s">
        <v>1353</v>
      </c>
      <c r="C512" s="244" t="s">
        <v>1698</v>
      </c>
      <c r="D512" s="244" t="s">
        <v>1699</v>
      </c>
      <c r="E512" s="244" t="s">
        <v>1356</v>
      </c>
      <c r="F512" s="251">
        <v>100000</v>
      </c>
      <c r="G512" s="252" t="s">
        <v>1683</v>
      </c>
      <c r="H512" s="244"/>
      <c r="I512" s="244" t="s">
        <v>1455</v>
      </c>
      <c r="J512" s="251"/>
      <c r="K512" s="244"/>
      <c r="L512" s="244"/>
      <c r="M512" s="244"/>
    </row>
    <row r="513" spans="1:13">
      <c r="A513" s="240" t="s">
        <v>684</v>
      </c>
      <c r="B513" s="240" t="s">
        <v>1353</v>
      </c>
      <c r="C513" s="240" t="s">
        <v>1700</v>
      </c>
      <c r="D513" s="240" t="s">
        <v>1533</v>
      </c>
      <c r="E513" s="240" t="s">
        <v>1356</v>
      </c>
      <c r="F513" s="249">
        <v>50000</v>
      </c>
      <c r="G513" s="250" t="s">
        <v>1683</v>
      </c>
      <c r="H513" s="240"/>
      <c r="I513" s="240" t="s">
        <v>1455</v>
      </c>
      <c r="J513" s="249"/>
      <c r="K513" s="240"/>
      <c r="L513" s="240"/>
      <c r="M513" s="240"/>
    </row>
    <row r="514" spans="1:13">
      <c r="A514" s="244" t="s">
        <v>684</v>
      </c>
      <c r="B514" s="244" t="s">
        <v>1353</v>
      </c>
      <c r="C514" s="244" t="s">
        <v>1701</v>
      </c>
      <c r="D514" s="244" t="s">
        <v>1548</v>
      </c>
      <c r="E514" s="244" t="s">
        <v>1356</v>
      </c>
      <c r="F514" s="251">
        <v>200000</v>
      </c>
      <c r="G514" s="252" t="s">
        <v>1702</v>
      </c>
      <c r="H514" s="244"/>
      <c r="I514" s="244" t="s">
        <v>1455</v>
      </c>
      <c r="J514" s="251"/>
      <c r="K514" s="244"/>
      <c r="L514" s="244"/>
      <c r="M514" s="244"/>
    </row>
    <row r="515" spans="1:13">
      <c r="A515" s="240" t="s">
        <v>684</v>
      </c>
      <c r="B515" s="240" t="s">
        <v>1353</v>
      </c>
      <c r="C515" s="240" t="s">
        <v>1703</v>
      </c>
      <c r="D515" s="240" t="s">
        <v>1704</v>
      </c>
      <c r="E515" s="240" t="s">
        <v>1356</v>
      </c>
      <c r="F515" s="249">
        <v>300000</v>
      </c>
      <c r="G515" s="250" t="s">
        <v>1702</v>
      </c>
      <c r="H515" s="240"/>
      <c r="I515" s="240" t="s">
        <v>1363</v>
      </c>
      <c r="J515" s="249"/>
      <c r="K515" s="240"/>
      <c r="L515" s="240"/>
      <c r="M515" s="240"/>
    </row>
    <row r="516" spans="1:13">
      <c r="A516" s="244" t="s">
        <v>684</v>
      </c>
      <c r="B516" s="244" t="s">
        <v>1353</v>
      </c>
      <c r="C516" s="244" t="s">
        <v>1705</v>
      </c>
      <c r="D516" s="244" t="s">
        <v>1502</v>
      </c>
      <c r="E516" s="244" t="s">
        <v>1356</v>
      </c>
      <c r="F516" s="251">
        <v>100000</v>
      </c>
      <c r="G516" s="252" t="s">
        <v>1702</v>
      </c>
      <c r="H516" s="244"/>
      <c r="I516" s="244" t="s">
        <v>1455</v>
      </c>
      <c r="J516" s="251"/>
      <c r="K516" s="244"/>
      <c r="L516" s="244"/>
      <c r="M516" s="244"/>
    </row>
    <row r="517" spans="1:13">
      <c r="A517" s="240" t="s">
        <v>684</v>
      </c>
      <c r="B517" s="240" t="s">
        <v>1353</v>
      </c>
      <c r="C517" s="240" t="s">
        <v>1706</v>
      </c>
      <c r="D517" s="240" t="s">
        <v>1707</v>
      </c>
      <c r="E517" s="240" t="s">
        <v>1356</v>
      </c>
      <c r="F517" s="249">
        <v>100000</v>
      </c>
      <c r="G517" s="250" t="s">
        <v>1702</v>
      </c>
      <c r="H517" s="240"/>
      <c r="I517" s="240" t="s">
        <v>733</v>
      </c>
      <c r="J517" s="249"/>
      <c r="K517" s="240"/>
      <c r="L517" s="240"/>
      <c r="M517" s="240"/>
    </row>
    <row r="518" spans="1:13">
      <c r="A518" s="244" t="s">
        <v>684</v>
      </c>
      <c r="B518" s="244" t="s">
        <v>1353</v>
      </c>
      <c r="C518" s="244" t="s">
        <v>1708</v>
      </c>
      <c r="D518" s="244" t="s">
        <v>1709</v>
      </c>
      <c r="E518" s="244" t="s">
        <v>1356</v>
      </c>
      <c r="F518" s="251">
        <v>100000</v>
      </c>
      <c r="G518" s="252" t="s">
        <v>1702</v>
      </c>
      <c r="H518" s="244"/>
      <c r="I518" s="244" t="s">
        <v>1455</v>
      </c>
      <c r="J518" s="251"/>
      <c r="K518" s="244"/>
      <c r="L518" s="244"/>
      <c r="M518" s="244"/>
    </row>
    <row r="519" spans="1:13">
      <c r="A519" s="240" t="s">
        <v>684</v>
      </c>
      <c r="B519" s="240" t="s">
        <v>1353</v>
      </c>
      <c r="C519" s="240" t="s">
        <v>1710</v>
      </c>
      <c r="D519" s="240" t="s">
        <v>1449</v>
      </c>
      <c r="E519" s="240" t="s">
        <v>1356</v>
      </c>
      <c r="F519" s="249">
        <v>100000</v>
      </c>
      <c r="G519" s="250" t="s">
        <v>1702</v>
      </c>
      <c r="H519" s="240"/>
      <c r="I519" s="240" t="s">
        <v>733</v>
      </c>
      <c r="J519" s="249"/>
      <c r="K519" s="240"/>
      <c r="L519" s="240"/>
      <c r="M519" s="240"/>
    </row>
    <row r="520" spans="1:13">
      <c r="A520" s="244" t="s">
        <v>684</v>
      </c>
      <c r="B520" s="244" t="s">
        <v>1353</v>
      </c>
      <c r="C520" s="244" t="s">
        <v>1711</v>
      </c>
      <c r="D520" s="244" t="s">
        <v>1533</v>
      </c>
      <c r="E520" s="244" t="s">
        <v>1356</v>
      </c>
      <c r="F520" s="251">
        <v>100000</v>
      </c>
      <c r="G520" s="252" t="s">
        <v>1702</v>
      </c>
      <c r="H520" s="244"/>
      <c r="I520" s="244" t="s">
        <v>1694</v>
      </c>
      <c r="J520" s="251"/>
      <c r="K520" s="244"/>
      <c r="L520" s="244"/>
      <c r="M520" s="244"/>
    </row>
    <row r="521" spans="1:13">
      <c r="A521" s="240" t="s">
        <v>684</v>
      </c>
      <c r="B521" s="240" t="s">
        <v>1353</v>
      </c>
      <c r="C521" s="240" t="s">
        <v>1662</v>
      </c>
      <c r="D521" s="240" t="s">
        <v>1548</v>
      </c>
      <c r="E521" s="240" t="s">
        <v>1356</v>
      </c>
      <c r="F521" s="249">
        <v>100000</v>
      </c>
      <c r="G521" s="250" t="s">
        <v>1702</v>
      </c>
      <c r="H521" s="240"/>
      <c r="I521" s="240" t="s">
        <v>1455</v>
      </c>
      <c r="J521" s="249"/>
      <c r="K521" s="240"/>
      <c r="L521" s="240"/>
      <c r="M521" s="240"/>
    </row>
    <row r="522" spans="1:13">
      <c r="A522" s="244" t="s">
        <v>684</v>
      </c>
      <c r="B522" s="244" t="s">
        <v>1353</v>
      </c>
      <c r="C522" s="244" t="s">
        <v>1712</v>
      </c>
      <c r="D522" s="244" t="s">
        <v>1564</v>
      </c>
      <c r="E522" s="244" t="s">
        <v>1356</v>
      </c>
      <c r="F522" s="251">
        <v>100000</v>
      </c>
      <c r="G522" s="252" t="s">
        <v>1702</v>
      </c>
      <c r="H522" s="244"/>
      <c r="I522" s="244" t="s">
        <v>1455</v>
      </c>
      <c r="J522" s="251"/>
      <c r="K522" s="244"/>
      <c r="L522" s="244"/>
      <c r="M522" s="244"/>
    </row>
    <row r="523" spans="1:13">
      <c r="A523" s="240" t="s">
        <v>684</v>
      </c>
      <c r="B523" s="240" t="s">
        <v>1353</v>
      </c>
      <c r="C523" s="240" t="s">
        <v>1713</v>
      </c>
      <c r="D523" s="240" t="s">
        <v>1449</v>
      </c>
      <c r="E523" s="240" t="s">
        <v>1356</v>
      </c>
      <c r="F523" s="249">
        <v>100000</v>
      </c>
      <c r="G523" s="250" t="s">
        <v>1714</v>
      </c>
      <c r="H523" s="240"/>
      <c r="I523" s="240" t="s">
        <v>733</v>
      </c>
      <c r="J523" s="249"/>
      <c r="K523" s="240"/>
      <c r="L523" s="240"/>
      <c r="M523" s="240"/>
    </row>
    <row r="524" spans="1:13">
      <c r="A524" s="244" t="s">
        <v>684</v>
      </c>
      <c r="B524" s="244" t="s">
        <v>1353</v>
      </c>
      <c r="C524" s="244" t="s">
        <v>1576</v>
      </c>
      <c r="D524" s="244" t="s">
        <v>1490</v>
      </c>
      <c r="E524" s="244" t="s">
        <v>1356</v>
      </c>
      <c r="F524" s="251">
        <v>100000</v>
      </c>
      <c r="G524" s="252" t="s">
        <v>1714</v>
      </c>
      <c r="H524" s="244"/>
      <c r="I524" s="244" t="s">
        <v>1455</v>
      </c>
      <c r="J524" s="251"/>
      <c r="K524" s="244"/>
      <c r="L524" s="244"/>
      <c r="M524" s="244"/>
    </row>
    <row r="525" spans="1:13">
      <c r="A525" s="240" t="s">
        <v>684</v>
      </c>
      <c r="B525" s="240" t="s">
        <v>1353</v>
      </c>
      <c r="C525" s="240" t="s">
        <v>1715</v>
      </c>
      <c r="D525" s="240" t="s">
        <v>1449</v>
      </c>
      <c r="E525" s="240" t="s">
        <v>1356</v>
      </c>
      <c r="F525" s="249">
        <v>100000</v>
      </c>
      <c r="G525" s="250" t="s">
        <v>1714</v>
      </c>
      <c r="H525" s="240"/>
      <c r="I525" s="240" t="s">
        <v>733</v>
      </c>
      <c r="J525" s="249"/>
      <c r="K525" s="240"/>
      <c r="L525" s="240"/>
      <c r="M525" s="240"/>
    </row>
    <row r="526" spans="1:13">
      <c r="A526" s="244" t="s">
        <v>684</v>
      </c>
      <c r="B526" s="244" t="s">
        <v>1353</v>
      </c>
      <c r="C526" s="244" t="s">
        <v>1716</v>
      </c>
      <c r="D526" s="244" t="s">
        <v>1717</v>
      </c>
      <c r="E526" s="244" t="s">
        <v>1356</v>
      </c>
      <c r="F526" s="251">
        <v>150000</v>
      </c>
      <c r="G526" s="252" t="s">
        <v>1714</v>
      </c>
      <c r="H526" s="244"/>
      <c r="I526" s="244" t="s">
        <v>733</v>
      </c>
      <c r="J526" s="251"/>
      <c r="K526" s="244"/>
      <c r="L526" s="244"/>
      <c r="M526" s="244"/>
    </row>
    <row r="527" spans="1:13">
      <c r="A527" s="240" t="s">
        <v>684</v>
      </c>
      <c r="B527" s="240" t="s">
        <v>1353</v>
      </c>
      <c r="C527" s="240" t="s">
        <v>1715</v>
      </c>
      <c r="D527" s="240" t="s">
        <v>1449</v>
      </c>
      <c r="E527" s="240" t="s">
        <v>1356</v>
      </c>
      <c r="F527" s="249">
        <v>100000</v>
      </c>
      <c r="G527" s="250" t="s">
        <v>1714</v>
      </c>
      <c r="H527" s="240"/>
      <c r="I527" s="240" t="s">
        <v>733</v>
      </c>
      <c r="J527" s="249"/>
      <c r="K527" s="240"/>
      <c r="L527" s="240"/>
      <c r="M527" s="240"/>
    </row>
    <row r="528" spans="1:13">
      <c r="A528" s="244" t="s">
        <v>684</v>
      </c>
      <c r="B528" s="244" t="s">
        <v>1353</v>
      </c>
      <c r="C528" s="244" t="s">
        <v>1718</v>
      </c>
      <c r="D528" s="244" t="s">
        <v>1719</v>
      </c>
      <c r="E528" s="244" t="s">
        <v>1356</v>
      </c>
      <c r="F528" s="251">
        <v>100000</v>
      </c>
      <c r="G528" s="252" t="s">
        <v>1714</v>
      </c>
      <c r="H528" s="244"/>
      <c r="I528" s="244" t="s">
        <v>1357</v>
      </c>
      <c r="J528" s="251"/>
      <c r="K528" s="244"/>
      <c r="L528" s="244"/>
      <c r="M528" s="244"/>
    </row>
    <row r="529" spans="1:13">
      <c r="A529" s="240" t="s">
        <v>684</v>
      </c>
      <c r="B529" s="240" t="s">
        <v>1353</v>
      </c>
      <c r="C529" s="240" t="s">
        <v>1616</v>
      </c>
      <c r="D529" s="240" t="s">
        <v>1523</v>
      </c>
      <c r="E529" s="240" t="s">
        <v>1356</v>
      </c>
      <c r="F529" s="249">
        <v>70000</v>
      </c>
      <c r="G529" s="250" t="s">
        <v>1714</v>
      </c>
      <c r="H529" s="240"/>
      <c r="I529" s="240" t="s">
        <v>1363</v>
      </c>
      <c r="J529" s="249"/>
      <c r="K529" s="240"/>
      <c r="L529" s="240"/>
      <c r="M529" s="240"/>
    </row>
    <row r="530" spans="1:13">
      <c r="A530" s="244" t="s">
        <v>684</v>
      </c>
      <c r="B530" s="244" t="s">
        <v>1353</v>
      </c>
      <c r="C530" s="244" t="s">
        <v>1602</v>
      </c>
      <c r="D530" s="244" t="s">
        <v>1520</v>
      </c>
      <c r="E530" s="244" t="s">
        <v>1356</v>
      </c>
      <c r="F530" s="251">
        <v>50000</v>
      </c>
      <c r="G530" s="252" t="s">
        <v>1714</v>
      </c>
      <c r="H530" s="244"/>
      <c r="I530" s="244" t="s">
        <v>1521</v>
      </c>
      <c r="J530" s="251"/>
      <c r="K530" s="244"/>
      <c r="L530" s="244"/>
      <c r="M530" s="244"/>
    </row>
    <row r="531" spans="1:13">
      <c r="A531" s="240" t="s">
        <v>684</v>
      </c>
      <c r="B531" s="240" t="s">
        <v>1353</v>
      </c>
      <c r="C531" s="240" t="s">
        <v>1720</v>
      </c>
      <c r="D531" s="240" t="s">
        <v>1495</v>
      </c>
      <c r="E531" s="240" t="s">
        <v>1356</v>
      </c>
      <c r="F531" s="249">
        <v>80000</v>
      </c>
      <c r="G531" s="250" t="s">
        <v>1721</v>
      </c>
      <c r="H531" s="240"/>
      <c r="I531" s="240" t="s">
        <v>1452</v>
      </c>
      <c r="J531" s="249"/>
      <c r="K531" s="240"/>
      <c r="L531" s="240"/>
      <c r="M531" s="240"/>
    </row>
    <row r="532" spans="1:13">
      <c r="A532" s="244" t="s">
        <v>684</v>
      </c>
      <c r="B532" s="244" t="s">
        <v>1353</v>
      </c>
      <c r="C532" s="244" t="s">
        <v>1722</v>
      </c>
      <c r="D532" s="244" t="s">
        <v>1723</v>
      </c>
      <c r="E532" s="244" t="s">
        <v>1356</v>
      </c>
      <c r="F532" s="251">
        <v>100000</v>
      </c>
      <c r="G532" s="252" t="s">
        <v>1724</v>
      </c>
      <c r="H532" s="244"/>
      <c r="I532" s="244" t="s">
        <v>733</v>
      </c>
      <c r="J532" s="251"/>
      <c r="K532" s="244"/>
      <c r="L532" s="244"/>
      <c r="M532" s="244"/>
    </row>
    <row r="533" spans="1:13">
      <c r="A533" s="240" t="s">
        <v>684</v>
      </c>
      <c r="B533" s="240" t="s">
        <v>1353</v>
      </c>
      <c r="C533" s="240" t="s">
        <v>1725</v>
      </c>
      <c r="D533" s="240" t="s">
        <v>1723</v>
      </c>
      <c r="E533" s="240" t="s">
        <v>1356</v>
      </c>
      <c r="F533" s="249">
        <v>125000</v>
      </c>
      <c r="G533" s="250" t="s">
        <v>1724</v>
      </c>
      <c r="H533" s="240"/>
      <c r="I533" s="240" t="s">
        <v>733</v>
      </c>
      <c r="J533" s="249"/>
      <c r="K533" s="240"/>
      <c r="L533" s="240"/>
      <c r="M533" s="240"/>
    </row>
    <row r="534" spans="1:13">
      <c r="A534" s="244" t="s">
        <v>684</v>
      </c>
      <c r="B534" s="244" t="s">
        <v>1353</v>
      </c>
      <c r="C534" s="244" t="s">
        <v>1726</v>
      </c>
      <c r="D534" s="244" t="s">
        <v>1495</v>
      </c>
      <c r="E534" s="244" t="s">
        <v>1356</v>
      </c>
      <c r="F534" s="251">
        <v>30000</v>
      </c>
      <c r="G534" s="252" t="s">
        <v>1724</v>
      </c>
      <c r="H534" s="244"/>
      <c r="I534" s="244" t="s">
        <v>1452</v>
      </c>
      <c r="J534" s="251"/>
      <c r="K534" s="244"/>
      <c r="L534" s="244"/>
      <c r="M534" s="244"/>
    </row>
    <row r="535" spans="1:13">
      <c r="A535" s="240" t="s">
        <v>684</v>
      </c>
      <c r="B535" s="240" t="s">
        <v>1353</v>
      </c>
      <c r="C535" s="240" t="s">
        <v>1727</v>
      </c>
      <c r="D535" s="240"/>
      <c r="E535" s="240" t="s">
        <v>1356</v>
      </c>
      <c r="F535" s="249">
        <v>100000</v>
      </c>
      <c r="G535" s="250" t="s">
        <v>1728</v>
      </c>
      <c r="H535" s="240"/>
      <c r="I535" s="240" t="s">
        <v>1363</v>
      </c>
      <c r="J535" s="249"/>
      <c r="K535" s="240"/>
      <c r="L535" s="240"/>
      <c r="M535" s="240"/>
    </row>
    <row r="536" spans="1:13">
      <c r="A536" s="244" t="s">
        <v>684</v>
      </c>
      <c r="B536" s="244" t="s">
        <v>1353</v>
      </c>
      <c r="C536" s="244" t="s">
        <v>1729</v>
      </c>
      <c r="D536" s="244" t="s">
        <v>1730</v>
      </c>
      <c r="E536" s="244" t="s">
        <v>1356</v>
      </c>
      <c r="F536" s="251">
        <v>100000</v>
      </c>
      <c r="G536" s="252" t="s">
        <v>1728</v>
      </c>
      <c r="H536" s="244"/>
      <c r="I536" s="244" t="s">
        <v>1363</v>
      </c>
      <c r="J536" s="251"/>
      <c r="K536" s="244"/>
      <c r="L536" s="244"/>
      <c r="M536" s="244"/>
    </row>
    <row r="537" spans="1:13">
      <c r="A537" s="240" t="s">
        <v>684</v>
      </c>
      <c r="B537" s="240" t="s">
        <v>1353</v>
      </c>
      <c r="C537" s="240" t="s">
        <v>1731</v>
      </c>
      <c r="D537" s="240"/>
      <c r="E537" s="240" t="s">
        <v>1356</v>
      </c>
      <c r="F537" s="249">
        <v>100000</v>
      </c>
      <c r="G537" s="250" t="s">
        <v>1728</v>
      </c>
      <c r="H537" s="240"/>
      <c r="I537" s="240" t="s">
        <v>1363</v>
      </c>
      <c r="J537" s="249"/>
      <c r="K537" s="240"/>
      <c r="L537" s="240"/>
      <c r="M537" s="240"/>
    </row>
    <row r="538" spans="1:13">
      <c r="A538" s="244" t="s">
        <v>684</v>
      </c>
      <c r="B538" s="244" t="s">
        <v>1353</v>
      </c>
      <c r="C538" s="244" t="s">
        <v>1732</v>
      </c>
      <c r="D538" s="244" t="s">
        <v>1449</v>
      </c>
      <c r="E538" s="244" t="s">
        <v>1356</v>
      </c>
      <c r="F538" s="251">
        <v>100000</v>
      </c>
      <c r="G538" s="252" t="s">
        <v>1728</v>
      </c>
      <c r="H538" s="244"/>
      <c r="I538" s="244" t="s">
        <v>733</v>
      </c>
      <c r="J538" s="251"/>
      <c r="K538" s="244"/>
      <c r="L538" s="244"/>
      <c r="M538" s="244"/>
    </row>
    <row r="539" spans="1:13">
      <c r="A539" s="240" t="s">
        <v>684</v>
      </c>
      <c r="B539" s="240" t="s">
        <v>1353</v>
      </c>
      <c r="C539" s="240" t="s">
        <v>1733</v>
      </c>
      <c r="D539" s="240" t="s">
        <v>1449</v>
      </c>
      <c r="E539" s="240" t="s">
        <v>1356</v>
      </c>
      <c r="F539" s="249">
        <v>100000</v>
      </c>
      <c r="G539" s="250" t="s">
        <v>1728</v>
      </c>
      <c r="H539" s="240"/>
      <c r="I539" s="240" t="s">
        <v>733</v>
      </c>
      <c r="J539" s="249"/>
      <c r="K539" s="240"/>
      <c r="L539" s="240"/>
      <c r="M539" s="240"/>
    </row>
    <row r="540" spans="1:13">
      <c r="A540" s="244" t="s">
        <v>684</v>
      </c>
      <c r="B540" s="244" t="s">
        <v>1353</v>
      </c>
      <c r="C540" s="244" t="s">
        <v>1734</v>
      </c>
      <c r="D540" s="244" t="s">
        <v>1564</v>
      </c>
      <c r="E540" s="244" t="s">
        <v>1356</v>
      </c>
      <c r="F540" s="251">
        <v>100000</v>
      </c>
      <c r="G540" s="252" t="s">
        <v>1728</v>
      </c>
      <c r="H540" s="244"/>
      <c r="I540" s="244" t="s">
        <v>1455</v>
      </c>
      <c r="J540" s="251"/>
      <c r="K540" s="244"/>
      <c r="L540" s="244"/>
      <c r="M540" s="244"/>
    </row>
    <row r="541" spans="1:13">
      <c r="A541" s="240" t="s">
        <v>684</v>
      </c>
      <c r="B541" s="240" t="s">
        <v>1353</v>
      </c>
      <c r="C541" s="240" t="s">
        <v>1576</v>
      </c>
      <c r="D541" s="240" t="s">
        <v>1564</v>
      </c>
      <c r="E541" s="240" t="s">
        <v>1356</v>
      </c>
      <c r="F541" s="249">
        <v>150000</v>
      </c>
      <c r="G541" s="250" t="s">
        <v>1735</v>
      </c>
      <c r="H541" s="240"/>
      <c r="I541" s="240" t="s">
        <v>1455</v>
      </c>
      <c r="J541" s="249"/>
      <c r="K541" s="240"/>
      <c r="L541" s="240"/>
      <c r="M541" s="240"/>
    </row>
    <row r="542" spans="1:13">
      <c r="A542" s="244" t="s">
        <v>684</v>
      </c>
      <c r="B542" s="244" t="s">
        <v>1353</v>
      </c>
      <c r="C542" s="244" t="s">
        <v>1736</v>
      </c>
      <c r="D542" s="244"/>
      <c r="E542" s="244" t="s">
        <v>1356</v>
      </c>
      <c r="F542" s="251">
        <v>100000</v>
      </c>
      <c r="G542" s="252" t="s">
        <v>1735</v>
      </c>
      <c r="H542" s="244"/>
      <c r="I542" s="244" t="s">
        <v>1363</v>
      </c>
      <c r="J542" s="251"/>
      <c r="K542" s="244"/>
      <c r="L542" s="244"/>
      <c r="M542" s="244"/>
    </row>
    <row r="543" spans="1:13">
      <c r="A543" s="240" t="s">
        <v>684</v>
      </c>
      <c r="B543" s="240" t="s">
        <v>1353</v>
      </c>
      <c r="C543" s="240" t="s">
        <v>1737</v>
      </c>
      <c r="D543" s="240" t="s">
        <v>1490</v>
      </c>
      <c r="E543" s="240" t="s">
        <v>1356</v>
      </c>
      <c r="F543" s="249">
        <v>100000</v>
      </c>
      <c r="G543" s="250" t="s">
        <v>1735</v>
      </c>
      <c r="H543" s="240"/>
      <c r="I543" s="240" t="s">
        <v>1363</v>
      </c>
      <c r="J543" s="249"/>
      <c r="K543" s="240"/>
      <c r="L543" s="240"/>
      <c r="M543" s="240"/>
    </row>
    <row r="544" spans="1:13">
      <c r="A544" s="244" t="s">
        <v>684</v>
      </c>
      <c r="B544" s="244" t="s">
        <v>1353</v>
      </c>
      <c r="C544" s="244" t="s">
        <v>1575</v>
      </c>
      <c r="D544" s="244" t="s">
        <v>1490</v>
      </c>
      <c r="E544" s="244" t="s">
        <v>1356</v>
      </c>
      <c r="F544" s="251">
        <v>50000</v>
      </c>
      <c r="G544" s="252" t="s">
        <v>1735</v>
      </c>
      <c r="H544" s="244"/>
      <c r="I544" s="244" t="s">
        <v>1363</v>
      </c>
      <c r="J544" s="251"/>
      <c r="K544" s="244"/>
      <c r="L544" s="244"/>
      <c r="M544" s="244"/>
    </row>
    <row r="545" spans="1:13">
      <c r="A545" s="240" t="s">
        <v>684</v>
      </c>
      <c r="B545" s="240" t="s">
        <v>1353</v>
      </c>
      <c r="C545" s="240" t="s">
        <v>1738</v>
      </c>
      <c r="D545" s="240" t="s">
        <v>1589</v>
      </c>
      <c r="E545" s="240" t="s">
        <v>1356</v>
      </c>
      <c r="F545" s="249">
        <v>100000</v>
      </c>
      <c r="G545" s="250" t="s">
        <v>1735</v>
      </c>
      <c r="H545" s="240"/>
      <c r="I545" s="240" t="s">
        <v>1357</v>
      </c>
      <c r="J545" s="249"/>
      <c r="K545" s="240"/>
      <c r="L545" s="240"/>
      <c r="M545" s="240"/>
    </row>
    <row r="546" spans="1:13">
      <c r="A546" s="244" t="s">
        <v>684</v>
      </c>
      <c r="B546" s="244" t="s">
        <v>1353</v>
      </c>
      <c r="C546" s="244" t="s">
        <v>1739</v>
      </c>
      <c r="D546" s="244" t="s">
        <v>1647</v>
      </c>
      <c r="E546" s="244" t="s">
        <v>1356</v>
      </c>
      <c r="F546" s="251">
        <v>100000</v>
      </c>
      <c r="G546" s="252" t="s">
        <v>1735</v>
      </c>
      <c r="H546" s="244"/>
      <c r="I546" s="244" t="s">
        <v>733</v>
      </c>
      <c r="J546" s="251"/>
      <c r="K546" s="244"/>
      <c r="L546" s="244"/>
      <c r="M546" s="244"/>
    </row>
    <row r="547" spans="1:13">
      <c r="A547" s="240" t="s">
        <v>684</v>
      </c>
      <c r="B547" s="240" t="s">
        <v>1353</v>
      </c>
      <c r="C547" s="240" t="s">
        <v>1740</v>
      </c>
      <c r="D547" s="240" t="s">
        <v>1593</v>
      </c>
      <c r="E547" s="240" t="s">
        <v>1356</v>
      </c>
      <c r="F547" s="249">
        <v>100000</v>
      </c>
      <c r="G547" s="250" t="s">
        <v>1741</v>
      </c>
      <c r="H547" s="240"/>
      <c r="I547" s="240" t="s">
        <v>1455</v>
      </c>
      <c r="J547" s="249"/>
      <c r="K547" s="240"/>
      <c r="L547" s="240"/>
      <c r="M547" s="240"/>
    </row>
    <row r="548" spans="1:13">
      <c r="A548" s="244" t="s">
        <v>684</v>
      </c>
      <c r="B548" s="244" t="s">
        <v>1353</v>
      </c>
      <c r="C548" s="244" t="s">
        <v>1742</v>
      </c>
      <c r="D548" s="244" t="s">
        <v>1548</v>
      </c>
      <c r="E548" s="244" t="s">
        <v>1356</v>
      </c>
      <c r="F548" s="251">
        <v>100000</v>
      </c>
      <c r="G548" s="252" t="s">
        <v>1741</v>
      </c>
      <c r="H548" s="244"/>
      <c r="I548" s="244" t="s">
        <v>1455</v>
      </c>
      <c r="J548" s="251"/>
      <c r="K548" s="244"/>
      <c r="L548" s="244"/>
      <c r="M548" s="244"/>
    </row>
    <row r="549" spans="1:13">
      <c r="A549" s="240" t="s">
        <v>684</v>
      </c>
      <c r="B549" s="240" t="s">
        <v>1353</v>
      </c>
      <c r="C549" s="240" t="s">
        <v>1743</v>
      </c>
      <c r="D549" s="240" t="s">
        <v>1490</v>
      </c>
      <c r="E549" s="240" t="s">
        <v>1356</v>
      </c>
      <c r="F549" s="249">
        <v>150000</v>
      </c>
      <c r="G549" s="250" t="s">
        <v>1741</v>
      </c>
      <c r="H549" s="240"/>
      <c r="I549" s="240" t="s">
        <v>1363</v>
      </c>
      <c r="J549" s="249"/>
      <c r="K549" s="240"/>
      <c r="L549" s="240"/>
      <c r="M549" s="240"/>
    </row>
    <row r="550" spans="1:13">
      <c r="A550" s="244" t="s">
        <v>684</v>
      </c>
      <c r="B550" s="244" t="s">
        <v>1353</v>
      </c>
      <c r="C550" s="244" t="s">
        <v>1742</v>
      </c>
      <c r="D550" s="244" t="s">
        <v>1548</v>
      </c>
      <c r="E550" s="244" t="s">
        <v>1356</v>
      </c>
      <c r="F550" s="251">
        <v>100000</v>
      </c>
      <c r="G550" s="252" t="s">
        <v>1741</v>
      </c>
      <c r="H550" s="244"/>
      <c r="I550" s="244" t="s">
        <v>1455</v>
      </c>
      <c r="J550" s="251"/>
      <c r="K550" s="244"/>
      <c r="L550" s="244"/>
      <c r="M550" s="244"/>
    </row>
    <row r="551" spans="1:13">
      <c r="A551" s="240" t="s">
        <v>684</v>
      </c>
      <c r="B551" s="240" t="s">
        <v>1353</v>
      </c>
      <c r="C551" s="240" t="s">
        <v>1744</v>
      </c>
      <c r="D551" s="240" t="s">
        <v>1490</v>
      </c>
      <c r="E551" s="240" t="s">
        <v>1356</v>
      </c>
      <c r="F551" s="249">
        <v>100000</v>
      </c>
      <c r="G551" s="250" t="s">
        <v>1741</v>
      </c>
      <c r="H551" s="240"/>
      <c r="I551" s="240" t="s">
        <v>1363</v>
      </c>
      <c r="J551" s="249"/>
      <c r="K551" s="240"/>
      <c r="L551" s="240"/>
      <c r="M551" s="240"/>
    </row>
    <row r="552" spans="1:13">
      <c r="A552" s="244" t="s">
        <v>684</v>
      </c>
      <c r="B552" s="244" t="s">
        <v>1353</v>
      </c>
      <c r="C552" s="244" t="s">
        <v>1745</v>
      </c>
      <c r="D552" s="244" t="s">
        <v>1490</v>
      </c>
      <c r="E552" s="244" t="s">
        <v>1356</v>
      </c>
      <c r="F552" s="251">
        <v>200000</v>
      </c>
      <c r="G552" s="252" t="s">
        <v>1741</v>
      </c>
      <c r="H552" s="244"/>
      <c r="I552" s="244" t="s">
        <v>1455</v>
      </c>
      <c r="J552" s="251"/>
      <c r="K552" s="244"/>
      <c r="L552" s="244"/>
      <c r="M552" s="244"/>
    </row>
    <row r="553" spans="1:13">
      <c r="A553" s="240" t="s">
        <v>684</v>
      </c>
      <c r="B553" s="240" t="s">
        <v>1353</v>
      </c>
      <c r="C553" s="240" t="s">
        <v>1746</v>
      </c>
      <c r="D553" s="240" t="s">
        <v>1656</v>
      </c>
      <c r="E553" s="240" t="s">
        <v>1356</v>
      </c>
      <c r="F553" s="249">
        <v>150000</v>
      </c>
      <c r="G553" s="250" t="s">
        <v>1747</v>
      </c>
      <c r="H553" s="240"/>
      <c r="I553" s="240" t="s">
        <v>733</v>
      </c>
      <c r="J553" s="249"/>
      <c r="K553" s="240"/>
      <c r="L553" s="240"/>
      <c r="M553" s="240"/>
    </row>
    <row r="554" spans="1:13">
      <c r="A554" s="244" t="s">
        <v>684</v>
      </c>
      <c r="B554" s="244" t="s">
        <v>1353</v>
      </c>
      <c r="C554" s="244" t="s">
        <v>1748</v>
      </c>
      <c r="D554" s="244" t="s">
        <v>1656</v>
      </c>
      <c r="E554" s="244" t="s">
        <v>1356</v>
      </c>
      <c r="F554" s="251">
        <v>150000</v>
      </c>
      <c r="G554" s="252" t="s">
        <v>1747</v>
      </c>
      <c r="H554" s="244"/>
      <c r="I554" s="244" t="s">
        <v>733</v>
      </c>
      <c r="J554" s="251"/>
      <c r="K554" s="244"/>
      <c r="L554" s="244"/>
      <c r="M554" s="244"/>
    </row>
    <row r="555" spans="1:13">
      <c r="A555" s="240" t="s">
        <v>684</v>
      </c>
      <c r="B555" s="240" t="s">
        <v>1353</v>
      </c>
      <c r="C555" s="240" t="s">
        <v>1749</v>
      </c>
      <c r="D555" s="240" t="s">
        <v>1750</v>
      </c>
      <c r="E555" s="240" t="s">
        <v>1356</v>
      </c>
      <c r="F555" s="249">
        <v>150000</v>
      </c>
      <c r="G555" s="250" t="s">
        <v>1747</v>
      </c>
      <c r="H555" s="240"/>
      <c r="I555" s="240" t="s">
        <v>733</v>
      </c>
      <c r="J555" s="249"/>
      <c r="K555" s="240"/>
      <c r="L555" s="240"/>
      <c r="M555" s="240"/>
    </row>
    <row r="556" spans="1:13">
      <c r="A556" s="244" t="s">
        <v>684</v>
      </c>
      <c r="B556" s="244" t="s">
        <v>1353</v>
      </c>
      <c r="C556" s="244" t="s">
        <v>1751</v>
      </c>
      <c r="D556" s="244" t="s">
        <v>1752</v>
      </c>
      <c r="E556" s="244" t="s">
        <v>1356</v>
      </c>
      <c r="F556" s="251">
        <v>150000</v>
      </c>
      <c r="G556" s="252" t="s">
        <v>1747</v>
      </c>
      <c r="H556" s="244"/>
      <c r="I556" s="244" t="s">
        <v>733</v>
      </c>
      <c r="J556" s="251"/>
      <c r="K556" s="244"/>
      <c r="L556" s="244"/>
      <c r="M556" s="244"/>
    </row>
    <row r="557" spans="1:13">
      <c r="A557" s="240" t="s">
        <v>684</v>
      </c>
      <c r="B557" s="240" t="s">
        <v>1353</v>
      </c>
      <c r="C557" s="240" t="s">
        <v>1753</v>
      </c>
      <c r="D557" s="240" t="s">
        <v>1490</v>
      </c>
      <c r="E557" s="240" t="s">
        <v>1356</v>
      </c>
      <c r="F557" s="249">
        <v>300000</v>
      </c>
      <c r="G557" s="250" t="s">
        <v>1754</v>
      </c>
      <c r="H557" s="240"/>
      <c r="I557" s="240" t="s">
        <v>1455</v>
      </c>
      <c r="J557" s="249"/>
      <c r="K557" s="240"/>
      <c r="L557" s="240"/>
      <c r="M557" s="240"/>
    </row>
    <row r="558" spans="1:13">
      <c r="A558" s="244" t="s">
        <v>684</v>
      </c>
      <c r="B558" s="244" t="s">
        <v>1353</v>
      </c>
      <c r="C558" s="244" t="s">
        <v>1755</v>
      </c>
      <c r="D558" s="244" t="s">
        <v>1520</v>
      </c>
      <c r="E558" s="244" t="s">
        <v>1356</v>
      </c>
      <c r="F558" s="251">
        <v>50000</v>
      </c>
      <c r="G558" s="252" t="s">
        <v>1756</v>
      </c>
      <c r="H558" s="244"/>
      <c r="I558" s="244" t="s">
        <v>1521</v>
      </c>
      <c r="J558" s="251"/>
      <c r="K558" s="244"/>
      <c r="L558" s="244"/>
      <c r="M558" s="244"/>
    </row>
    <row r="559" spans="1:13">
      <c r="A559" s="240" t="s">
        <v>684</v>
      </c>
      <c r="B559" s="240" t="s">
        <v>1353</v>
      </c>
      <c r="C559" s="240" t="s">
        <v>1757</v>
      </c>
      <c r="D559" s="240" t="s">
        <v>1520</v>
      </c>
      <c r="E559" s="240" t="s">
        <v>1356</v>
      </c>
      <c r="F559" s="249">
        <v>50000</v>
      </c>
      <c r="G559" s="250" t="s">
        <v>1756</v>
      </c>
      <c r="H559" s="240"/>
      <c r="I559" s="240" t="s">
        <v>1521</v>
      </c>
      <c r="J559" s="249"/>
      <c r="K559" s="240"/>
      <c r="L559" s="240"/>
      <c r="M559" s="240"/>
    </row>
    <row r="560" spans="1:13">
      <c r="A560" s="244" t="s">
        <v>684</v>
      </c>
      <c r="B560" s="244" t="s">
        <v>1353</v>
      </c>
      <c r="C560" s="244" t="s">
        <v>1758</v>
      </c>
      <c r="D560" s="244" t="s">
        <v>1523</v>
      </c>
      <c r="E560" s="244" t="s">
        <v>1356</v>
      </c>
      <c r="F560" s="251">
        <v>70000</v>
      </c>
      <c r="G560" s="252" t="s">
        <v>1756</v>
      </c>
      <c r="H560" s="244"/>
      <c r="I560" s="244" t="s">
        <v>1363</v>
      </c>
      <c r="J560" s="251"/>
      <c r="K560" s="244"/>
      <c r="L560" s="244"/>
      <c r="M560" s="244"/>
    </row>
    <row r="561" spans="1:13">
      <c r="A561" s="240" t="s">
        <v>684</v>
      </c>
      <c r="B561" s="240" t="s">
        <v>1353</v>
      </c>
      <c r="C561" s="240" t="s">
        <v>1759</v>
      </c>
      <c r="D561" s="240" t="s">
        <v>1523</v>
      </c>
      <c r="E561" s="240" t="s">
        <v>1356</v>
      </c>
      <c r="F561" s="249">
        <v>70000</v>
      </c>
      <c r="G561" s="250" t="s">
        <v>1756</v>
      </c>
      <c r="H561" s="240"/>
      <c r="I561" s="240" t="s">
        <v>1363</v>
      </c>
      <c r="J561" s="249"/>
      <c r="K561" s="240"/>
      <c r="L561" s="240"/>
      <c r="M561" s="240"/>
    </row>
    <row r="562" spans="1:13">
      <c r="A562" s="244" t="s">
        <v>684</v>
      </c>
      <c r="B562" s="244" t="s">
        <v>1353</v>
      </c>
      <c r="C562" s="244" t="s">
        <v>1760</v>
      </c>
      <c r="D562" s="244" t="s">
        <v>1564</v>
      </c>
      <c r="E562" s="244" t="s">
        <v>1356</v>
      </c>
      <c r="F562" s="251">
        <v>150000</v>
      </c>
      <c r="G562" s="252" t="s">
        <v>1756</v>
      </c>
      <c r="H562" s="244"/>
      <c r="I562" s="244" t="s">
        <v>1455</v>
      </c>
      <c r="J562" s="251"/>
      <c r="K562" s="244"/>
      <c r="L562" s="244"/>
      <c r="M562" s="244"/>
    </row>
    <row r="563" spans="1:13">
      <c r="A563" s="240" t="s">
        <v>684</v>
      </c>
      <c r="B563" s="240" t="s">
        <v>1353</v>
      </c>
      <c r="C563" s="240" t="s">
        <v>1761</v>
      </c>
      <c r="D563" s="240" t="s">
        <v>1490</v>
      </c>
      <c r="E563" s="240" t="s">
        <v>1356</v>
      </c>
      <c r="F563" s="249">
        <v>100000</v>
      </c>
      <c r="G563" s="250" t="s">
        <v>1762</v>
      </c>
      <c r="H563" s="240"/>
      <c r="I563" s="240" t="s">
        <v>1363</v>
      </c>
      <c r="J563" s="249"/>
      <c r="K563" s="240"/>
      <c r="L563" s="240"/>
      <c r="M563" s="240"/>
    </row>
    <row r="564" spans="1:13">
      <c r="A564" s="244" t="s">
        <v>684</v>
      </c>
      <c r="B564" s="244" t="s">
        <v>1353</v>
      </c>
      <c r="C564" s="244" t="s">
        <v>1763</v>
      </c>
      <c r="D564" s="244" t="s">
        <v>1533</v>
      </c>
      <c r="E564" s="244" t="s">
        <v>1356</v>
      </c>
      <c r="F564" s="251">
        <v>250000</v>
      </c>
      <c r="G564" s="252" t="s">
        <v>1762</v>
      </c>
      <c r="H564" s="244"/>
      <c r="I564" s="244" t="s">
        <v>1363</v>
      </c>
      <c r="J564" s="251"/>
      <c r="K564" s="244"/>
      <c r="L564" s="244"/>
      <c r="M564" s="244"/>
    </row>
    <row r="565" spans="1:13">
      <c r="A565" s="240" t="s">
        <v>684</v>
      </c>
      <c r="B565" s="240" t="s">
        <v>1353</v>
      </c>
      <c r="C565" s="240" t="s">
        <v>1764</v>
      </c>
      <c r="D565" s="240" t="s">
        <v>1564</v>
      </c>
      <c r="E565" s="240" t="s">
        <v>1356</v>
      </c>
      <c r="F565" s="249">
        <v>200000</v>
      </c>
      <c r="G565" s="250" t="s">
        <v>1765</v>
      </c>
      <c r="H565" s="240"/>
      <c r="I565" s="240" t="s">
        <v>1455</v>
      </c>
      <c r="J565" s="249"/>
      <c r="K565" s="240"/>
      <c r="L565" s="240"/>
      <c r="M565" s="240"/>
    </row>
    <row r="566" spans="1:13">
      <c r="A566" s="244" t="s">
        <v>684</v>
      </c>
      <c r="B566" s="244" t="s">
        <v>1353</v>
      </c>
      <c r="C566" s="244" t="s">
        <v>1766</v>
      </c>
      <c r="D566" s="244" t="s">
        <v>1767</v>
      </c>
      <c r="E566" s="244" t="s">
        <v>1356</v>
      </c>
      <c r="F566" s="251">
        <v>199900</v>
      </c>
      <c r="G566" s="252" t="s">
        <v>1765</v>
      </c>
      <c r="H566" s="244"/>
      <c r="I566" s="244" t="s">
        <v>1363</v>
      </c>
      <c r="J566" s="251"/>
      <c r="K566" s="244"/>
      <c r="L566" s="244"/>
      <c r="M566" s="244"/>
    </row>
    <row r="567" spans="1:13">
      <c r="A567" s="240" t="s">
        <v>684</v>
      </c>
      <c r="B567" s="240" t="s">
        <v>1353</v>
      </c>
      <c r="C567" s="240" t="s">
        <v>1768</v>
      </c>
      <c r="D567" s="240" t="s">
        <v>1767</v>
      </c>
      <c r="E567" s="240" t="s">
        <v>1356</v>
      </c>
      <c r="F567" s="249">
        <v>60000</v>
      </c>
      <c r="G567" s="250" t="s">
        <v>1765</v>
      </c>
      <c r="H567" s="240"/>
      <c r="I567" s="240" t="s">
        <v>1363</v>
      </c>
      <c r="J567" s="249"/>
      <c r="K567" s="240"/>
      <c r="L567" s="240"/>
      <c r="M567" s="240"/>
    </row>
    <row r="568" spans="1:13">
      <c r="A568" s="244" t="s">
        <v>684</v>
      </c>
      <c r="B568" s="244" t="s">
        <v>1353</v>
      </c>
      <c r="C568" s="244" t="s">
        <v>1769</v>
      </c>
      <c r="D568" s="244" t="s">
        <v>1767</v>
      </c>
      <c r="E568" s="244" t="s">
        <v>1356</v>
      </c>
      <c r="F568" s="251">
        <v>60000</v>
      </c>
      <c r="G568" s="252" t="s">
        <v>1765</v>
      </c>
      <c r="H568" s="244"/>
      <c r="I568" s="244" t="s">
        <v>1363</v>
      </c>
      <c r="J568" s="251"/>
      <c r="K568" s="244"/>
      <c r="L568" s="244"/>
      <c r="M568" s="244"/>
    </row>
    <row r="569" spans="1:13">
      <c r="A569" s="240" t="s">
        <v>684</v>
      </c>
      <c r="B569" s="240" t="s">
        <v>1353</v>
      </c>
      <c r="C569" s="240" t="s">
        <v>1770</v>
      </c>
      <c r="D569" s="240" t="s">
        <v>1767</v>
      </c>
      <c r="E569" s="240" t="s">
        <v>1356</v>
      </c>
      <c r="F569" s="249">
        <v>60000</v>
      </c>
      <c r="G569" s="250" t="s">
        <v>1765</v>
      </c>
      <c r="H569" s="240"/>
      <c r="I569" s="240" t="s">
        <v>1363</v>
      </c>
      <c r="J569" s="249"/>
      <c r="K569" s="240"/>
      <c r="L569" s="240"/>
      <c r="M569" s="240"/>
    </row>
    <row r="570" spans="1:13">
      <c r="A570" s="244" t="s">
        <v>684</v>
      </c>
      <c r="B570" s="244" t="s">
        <v>1353</v>
      </c>
      <c r="C570" s="244" t="s">
        <v>1771</v>
      </c>
      <c r="D570" s="244" t="s">
        <v>1767</v>
      </c>
      <c r="E570" s="244" t="s">
        <v>1356</v>
      </c>
      <c r="F570" s="251">
        <v>60000</v>
      </c>
      <c r="G570" s="252" t="s">
        <v>1765</v>
      </c>
      <c r="H570" s="244"/>
      <c r="I570" s="244" t="s">
        <v>1363</v>
      </c>
      <c r="J570" s="251"/>
      <c r="K570" s="244"/>
      <c r="L570" s="244"/>
      <c r="M570" s="244"/>
    </row>
    <row r="571" spans="1:13">
      <c r="A571" s="240" t="s">
        <v>684</v>
      </c>
      <c r="B571" s="240" t="s">
        <v>1353</v>
      </c>
      <c r="C571" s="240" t="s">
        <v>1772</v>
      </c>
      <c r="D571" s="240" t="s">
        <v>1767</v>
      </c>
      <c r="E571" s="240" t="s">
        <v>1356</v>
      </c>
      <c r="F571" s="249">
        <v>60000</v>
      </c>
      <c r="G571" s="250" t="s">
        <v>1765</v>
      </c>
      <c r="H571" s="240"/>
      <c r="I571" s="240" t="s">
        <v>1363</v>
      </c>
      <c r="J571" s="249"/>
      <c r="K571" s="240"/>
      <c r="L571" s="240"/>
      <c r="M571" s="240"/>
    </row>
    <row r="572" spans="1:13">
      <c r="A572" s="244" t="s">
        <v>684</v>
      </c>
      <c r="B572" s="244" t="s">
        <v>1353</v>
      </c>
      <c r="C572" s="244" t="s">
        <v>1773</v>
      </c>
      <c r="D572" s="244" t="s">
        <v>1774</v>
      </c>
      <c r="E572" s="244" t="s">
        <v>1356</v>
      </c>
      <c r="F572" s="251">
        <v>100000</v>
      </c>
      <c r="G572" s="252" t="s">
        <v>1775</v>
      </c>
      <c r="H572" s="244"/>
      <c r="I572" s="244" t="s">
        <v>1363</v>
      </c>
      <c r="J572" s="251"/>
      <c r="K572" s="244"/>
      <c r="L572" s="244"/>
      <c r="M572" s="244"/>
    </row>
    <row r="573" spans="1:13">
      <c r="A573" s="240" t="s">
        <v>684</v>
      </c>
      <c r="B573" s="240" t="s">
        <v>1353</v>
      </c>
      <c r="C573" s="240" t="s">
        <v>1776</v>
      </c>
      <c r="D573" s="240" t="s">
        <v>1502</v>
      </c>
      <c r="E573" s="240" t="s">
        <v>1356</v>
      </c>
      <c r="F573" s="249">
        <v>100000</v>
      </c>
      <c r="G573" s="250" t="s">
        <v>1777</v>
      </c>
      <c r="H573" s="240"/>
      <c r="I573" s="240" t="s">
        <v>1363</v>
      </c>
      <c r="J573" s="249"/>
      <c r="K573" s="240"/>
      <c r="L573" s="240"/>
      <c r="M573" s="240"/>
    </row>
    <row r="574" spans="1:13">
      <c r="A574" s="244" t="s">
        <v>684</v>
      </c>
      <c r="B574" s="244" t="s">
        <v>1353</v>
      </c>
      <c r="C574" s="244" t="s">
        <v>1778</v>
      </c>
      <c r="D574" s="244" t="s">
        <v>1449</v>
      </c>
      <c r="E574" s="244" t="s">
        <v>1356</v>
      </c>
      <c r="F574" s="251">
        <v>100000</v>
      </c>
      <c r="G574" s="252" t="s">
        <v>1777</v>
      </c>
      <c r="H574" s="244"/>
      <c r="I574" s="244" t="s">
        <v>733</v>
      </c>
      <c r="J574" s="251"/>
      <c r="K574" s="244"/>
      <c r="L574" s="244"/>
      <c r="M574" s="244"/>
    </row>
    <row r="575" spans="1:13">
      <c r="A575" s="240" t="s">
        <v>684</v>
      </c>
      <c r="B575" s="240" t="s">
        <v>1353</v>
      </c>
      <c r="C575" s="240" t="s">
        <v>1779</v>
      </c>
      <c r="D575" s="240" t="s">
        <v>1490</v>
      </c>
      <c r="E575" s="240" t="s">
        <v>1356</v>
      </c>
      <c r="F575" s="249">
        <v>200000</v>
      </c>
      <c r="G575" s="250" t="s">
        <v>1777</v>
      </c>
      <c r="H575" s="240"/>
      <c r="I575" s="240" t="s">
        <v>733</v>
      </c>
      <c r="J575" s="249"/>
      <c r="K575" s="240"/>
      <c r="L575" s="240"/>
      <c r="M575" s="240"/>
    </row>
    <row r="576" spans="1:13">
      <c r="A576" s="244" t="s">
        <v>684</v>
      </c>
      <c r="B576" s="244" t="s">
        <v>1353</v>
      </c>
      <c r="C576" s="244" t="s">
        <v>1780</v>
      </c>
      <c r="D576" s="244" t="s">
        <v>1533</v>
      </c>
      <c r="E576" s="244" t="s">
        <v>1356</v>
      </c>
      <c r="F576" s="251">
        <v>300000</v>
      </c>
      <c r="G576" s="252" t="s">
        <v>1777</v>
      </c>
      <c r="H576" s="244"/>
      <c r="I576" s="244" t="s">
        <v>1363</v>
      </c>
      <c r="J576" s="251"/>
      <c r="K576" s="244"/>
      <c r="L576" s="244"/>
      <c r="M576" s="244"/>
    </row>
    <row r="577" spans="1:13">
      <c r="A577" s="240" t="s">
        <v>684</v>
      </c>
      <c r="B577" s="240" t="s">
        <v>1353</v>
      </c>
      <c r="C577" s="240" t="s">
        <v>1781</v>
      </c>
      <c r="D577" s="240" t="s">
        <v>1548</v>
      </c>
      <c r="E577" s="240" t="s">
        <v>1356</v>
      </c>
      <c r="F577" s="249">
        <v>150000</v>
      </c>
      <c r="G577" s="250">
        <v>45170</v>
      </c>
      <c r="H577" s="240"/>
      <c r="I577" s="240" t="s">
        <v>1363</v>
      </c>
      <c r="J577" s="249"/>
      <c r="K577" s="240"/>
      <c r="L577" s="240"/>
      <c r="M577" s="240"/>
    </row>
    <row r="578" spans="1:13">
      <c r="A578" s="244" t="s">
        <v>684</v>
      </c>
      <c r="B578" s="244" t="s">
        <v>1353</v>
      </c>
      <c r="C578" s="244" t="s">
        <v>1782</v>
      </c>
      <c r="D578" s="244" t="s">
        <v>1783</v>
      </c>
      <c r="E578" s="244" t="s">
        <v>1356</v>
      </c>
      <c r="F578" s="251">
        <v>50000</v>
      </c>
      <c r="G578" s="252">
        <v>45170</v>
      </c>
      <c r="H578" s="244"/>
      <c r="I578" s="244" t="s">
        <v>1363</v>
      </c>
      <c r="J578" s="251"/>
      <c r="K578" s="244"/>
      <c r="L578" s="244"/>
      <c r="M578" s="244"/>
    </row>
    <row r="579" spans="1:13">
      <c r="A579" s="240" t="s">
        <v>684</v>
      </c>
      <c r="B579" s="240" t="s">
        <v>1353</v>
      </c>
      <c r="C579" s="240" t="s">
        <v>1784</v>
      </c>
      <c r="D579" s="240" t="s">
        <v>1785</v>
      </c>
      <c r="E579" s="240" t="s">
        <v>1356</v>
      </c>
      <c r="F579" s="249">
        <v>100000</v>
      </c>
      <c r="G579" s="250">
        <v>45170</v>
      </c>
      <c r="H579" s="240"/>
      <c r="I579" s="240" t="s">
        <v>1363</v>
      </c>
      <c r="J579" s="249"/>
      <c r="K579" s="240"/>
      <c r="L579" s="240"/>
      <c r="M579" s="240"/>
    </row>
    <row r="580" spans="1:13">
      <c r="A580" s="244" t="s">
        <v>684</v>
      </c>
      <c r="B580" s="244" t="s">
        <v>1353</v>
      </c>
      <c r="C580" s="244" t="s">
        <v>1786</v>
      </c>
      <c r="D580" s="244" t="s">
        <v>1723</v>
      </c>
      <c r="E580" s="244" t="s">
        <v>1356</v>
      </c>
      <c r="F580" s="251">
        <v>150000</v>
      </c>
      <c r="G580" s="252">
        <v>45170</v>
      </c>
      <c r="H580" s="244"/>
      <c r="I580" s="244" t="s">
        <v>733</v>
      </c>
      <c r="J580" s="251"/>
      <c r="K580" s="244"/>
      <c r="L580" s="244"/>
      <c r="M580" s="244"/>
    </row>
    <row r="581" spans="1:13">
      <c r="A581" s="240" t="s">
        <v>684</v>
      </c>
      <c r="B581" s="240" t="s">
        <v>1353</v>
      </c>
      <c r="C581" s="240" t="s">
        <v>1787</v>
      </c>
      <c r="D581" s="240" t="s">
        <v>1788</v>
      </c>
      <c r="E581" s="240" t="s">
        <v>1356</v>
      </c>
      <c r="F581" s="249">
        <v>150000</v>
      </c>
      <c r="G581" s="250">
        <v>45170</v>
      </c>
      <c r="H581" s="240"/>
      <c r="I581" s="240" t="s">
        <v>1363</v>
      </c>
      <c r="J581" s="249"/>
      <c r="K581" s="240"/>
      <c r="L581" s="240"/>
      <c r="M581" s="240"/>
    </row>
    <row r="582" spans="1:13">
      <c r="A582" s="244" t="s">
        <v>684</v>
      </c>
      <c r="B582" s="244" t="s">
        <v>1353</v>
      </c>
      <c r="C582" s="244" t="s">
        <v>1789</v>
      </c>
      <c r="D582" s="244" t="s">
        <v>1502</v>
      </c>
      <c r="E582" s="244" t="s">
        <v>1356</v>
      </c>
      <c r="F582" s="251">
        <v>100000</v>
      </c>
      <c r="G582" s="252">
        <v>45177</v>
      </c>
      <c r="H582" s="244"/>
      <c r="I582" s="244" t="s">
        <v>1363</v>
      </c>
      <c r="J582" s="251"/>
      <c r="K582" s="244"/>
      <c r="L582" s="244"/>
      <c r="M582" s="244"/>
    </row>
    <row r="583" spans="1:13">
      <c r="A583" s="240" t="s">
        <v>684</v>
      </c>
      <c r="B583" s="240" t="s">
        <v>1353</v>
      </c>
      <c r="C583" s="240" t="s">
        <v>1790</v>
      </c>
      <c r="D583" s="240" t="s">
        <v>1533</v>
      </c>
      <c r="E583" s="240" t="s">
        <v>1356</v>
      </c>
      <c r="F583" s="249">
        <v>300000</v>
      </c>
      <c r="G583" s="250">
        <v>45182</v>
      </c>
      <c r="H583" s="240"/>
      <c r="I583" s="240" t="s">
        <v>1363</v>
      </c>
      <c r="J583" s="249"/>
      <c r="K583" s="240"/>
      <c r="L583" s="240"/>
      <c r="M583" s="240"/>
    </row>
    <row r="584" spans="1:13">
      <c r="A584" s="244" t="s">
        <v>684</v>
      </c>
      <c r="B584" s="244" t="s">
        <v>1353</v>
      </c>
      <c r="C584" s="244" t="s">
        <v>1791</v>
      </c>
      <c r="D584" s="244" t="s">
        <v>1587</v>
      </c>
      <c r="E584" s="244" t="s">
        <v>1356</v>
      </c>
      <c r="F584" s="251">
        <v>250000</v>
      </c>
      <c r="G584" s="252">
        <v>45182</v>
      </c>
      <c r="H584" s="244"/>
      <c r="I584" s="244" t="s">
        <v>1363</v>
      </c>
      <c r="J584" s="251"/>
      <c r="K584" s="244"/>
      <c r="L584" s="244"/>
      <c r="M584" s="244"/>
    </row>
    <row r="585" spans="1:13">
      <c r="A585" s="240" t="s">
        <v>684</v>
      </c>
      <c r="B585" s="240" t="s">
        <v>1353</v>
      </c>
      <c r="C585" s="240" t="s">
        <v>1792</v>
      </c>
      <c r="D585" s="240" t="s">
        <v>1490</v>
      </c>
      <c r="E585" s="240" t="s">
        <v>1356</v>
      </c>
      <c r="F585" s="249">
        <v>150000</v>
      </c>
      <c r="G585" s="250">
        <v>45182</v>
      </c>
      <c r="H585" s="240"/>
      <c r="I585" s="240" t="s">
        <v>1363</v>
      </c>
      <c r="J585" s="249"/>
      <c r="K585" s="240"/>
      <c r="L585" s="240"/>
      <c r="M585" s="240"/>
    </row>
    <row r="586" spans="1:13">
      <c r="A586" s="244" t="s">
        <v>684</v>
      </c>
      <c r="B586" s="244" t="s">
        <v>1353</v>
      </c>
      <c r="C586" s="244" t="s">
        <v>1793</v>
      </c>
      <c r="D586" s="244" t="s">
        <v>1523</v>
      </c>
      <c r="E586" s="244" t="s">
        <v>1356</v>
      </c>
      <c r="F586" s="251">
        <v>70000</v>
      </c>
      <c r="G586" s="252">
        <v>45182</v>
      </c>
      <c r="H586" s="244"/>
      <c r="I586" s="244" t="s">
        <v>1363</v>
      </c>
      <c r="J586" s="251"/>
      <c r="K586" s="244"/>
      <c r="L586" s="244"/>
      <c r="M586" s="244"/>
    </row>
    <row r="587" spans="1:13">
      <c r="A587" s="240" t="s">
        <v>684</v>
      </c>
      <c r="B587" s="240" t="s">
        <v>1353</v>
      </c>
      <c r="C587" s="240" t="s">
        <v>1602</v>
      </c>
      <c r="D587" s="240" t="s">
        <v>1520</v>
      </c>
      <c r="E587" s="240" t="s">
        <v>1356</v>
      </c>
      <c r="F587" s="249">
        <v>50000</v>
      </c>
      <c r="G587" s="250">
        <v>45182</v>
      </c>
      <c r="H587" s="240"/>
      <c r="I587" s="240" t="s">
        <v>1521</v>
      </c>
      <c r="J587" s="249"/>
      <c r="K587" s="240"/>
      <c r="L587" s="240"/>
      <c r="M587" s="240"/>
    </row>
    <row r="588" spans="1:13">
      <c r="A588" s="244" t="s">
        <v>684</v>
      </c>
      <c r="B588" s="244" t="s">
        <v>1353</v>
      </c>
      <c r="C588" s="244" t="s">
        <v>1794</v>
      </c>
      <c r="D588" s="244" t="s">
        <v>1564</v>
      </c>
      <c r="E588" s="244" t="s">
        <v>1356</v>
      </c>
      <c r="F588" s="251">
        <v>100000</v>
      </c>
      <c r="G588" s="252">
        <v>45190</v>
      </c>
      <c r="H588" s="244"/>
      <c r="I588" s="244" t="s">
        <v>1455</v>
      </c>
      <c r="J588" s="251"/>
      <c r="K588" s="244"/>
      <c r="L588" s="244"/>
      <c r="M588" s="244"/>
    </row>
    <row r="589" spans="1:13">
      <c r="A589" s="240" t="s">
        <v>684</v>
      </c>
      <c r="B589" s="240" t="s">
        <v>1353</v>
      </c>
      <c r="C589" s="240" t="s">
        <v>1795</v>
      </c>
      <c r="D589" s="240" t="s">
        <v>1533</v>
      </c>
      <c r="E589" s="240" t="s">
        <v>1356</v>
      </c>
      <c r="F589" s="249">
        <v>100000</v>
      </c>
      <c r="G589" s="250">
        <v>45190</v>
      </c>
      <c r="H589" s="240"/>
      <c r="I589" s="240" t="s">
        <v>1455</v>
      </c>
      <c r="J589" s="249"/>
      <c r="K589" s="240"/>
      <c r="L589" s="240"/>
      <c r="M589" s="240"/>
    </row>
    <row r="590" spans="1:13">
      <c r="A590" s="244" t="s">
        <v>684</v>
      </c>
      <c r="B590" s="244" t="s">
        <v>1353</v>
      </c>
      <c r="C590" s="244" t="s">
        <v>1796</v>
      </c>
      <c r="D590" s="244" t="s">
        <v>1564</v>
      </c>
      <c r="E590" s="244" t="s">
        <v>1356</v>
      </c>
      <c r="F590" s="251">
        <v>100000</v>
      </c>
      <c r="G590" s="252">
        <v>45190</v>
      </c>
      <c r="H590" s="244"/>
      <c r="I590" s="244" t="s">
        <v>1455</v>
      </c>
      <c r="J590" s="251"/>
      <c r="K590" s="244"/>
      <c r="L590" s="244"/>
      <c r="M590" s="244"/>
    </row>
    <row r="591" spans="1:13">
      <c r="A591" s="240" t="s">
        <v>684</v>
      </c>
      <c r="B591" s="240" t="s">
        <v>1353</v>
      </c>
      <c r="C591" s="240" t="s">
        <v>1797</v>
      </c>
      <c r="D591" s="240" t="s">
        <v>1564</v>
      </c>
      <c r="E591" s="240" t="s">
        <v>1356</v>
      </c>
      <c r="F591" s="249">
        <v>100000</v>
      </c>
      <c r="G591" s="250">
        <v>45195</v>
      </c>
      <c r="H591" s="240"/>
      <c r="I591" s="240" t="s">
        <v>1455</v>
      </c>
      <c r="J591" s="249"/>
      <c r="K591" s="240"/>
      <c r="L591" s="240"/>
      <c r="M591" s="240"/>
    </row>
    <row r="592" spans="1:13">
      <c r="A592" s="244" t="s">
        <v>684</v>
      </c>
      <c r="B592" s="244" t="s">
        <v>1353</v>
      </c>
      <c r="C592" s="244" t="s">
        <v>1797</v>
      </c>
      <c r="D592" s="244" t="s">
        <v>1664</v>
      </c>
      <c r="E592" s="244" t="s">
        <v>1356</v>
      </c>
      <c r="F592" s="251">
        <v>100000</v>
      </c>
      <c r="G592" s="252">
        <v>45195</v>
      </c>
      <c r="H592" s="244"/>
      <c r="I592" s="244" t="s">
        <v>1455</v>
      </c>
      <c r="J592" s="251"/>
      <c r="K592" s="244"/>
      <c r="L592" s="244"/>
      <c r="M592" s="244"/>
    </row>
    <row r="593" spans="1:13">
      <c r="A593" s="240" t="s">
        <v>684</v>
      </c>
      <c r="B593" s="240" t="s">
        <v>1353</v>
      </c>
      <c r="C593" s="240" t="s">
        <v>1797</v>
      </c>
      <c r="D593" s="240" t="s">
        <v>1564</v>
      </c>
      <c r="E593" s="240" t="s">
        <v>1356</v>
      </c>
      <c r="F593" s="249">
        <v>100000</v>
      </c>
      <c r="G593" s="250">
        <v>45195</v>
      </c>
      <c r="H593" s="240"/>
      <c r="I593" s="240" t="s">
        <v>1455</v>
      </c>
      <c r="J593" s="249"/>
      <c r="K593" s="240"/>
      <c r="L593" s="240"/>
      <c r="M593" s="240"/>
    </row>
    <row r="594" spans="1:13">
      <c r="A594" s="244" t="s">
        <v>684</v>
      </c>
      <c r="B594" s="244" t="s">
        <v>1353</v>
      </c>
      <c r="C594" s="244" t="s">
        <v>1798</v>
      </c>
      <c r="D594" s="244" t="s">
        <v>1564</v>
      </c>
      <c r="E594" s="244" t="s">
        <v>1356</v>
      </c>
      <c r="F594" s="251">
        <v>150000</v>
      </c>
      <c r="G594" s="252">
        <v>45195</v>
      </c>
      <c r="H594" s="244"/>
      <c r="I594" s="244" t="s">
        <v>1455</v>
      </c>
      <c r="J594" s="251"/>
      <c r="K594" s="244"/>
      <c r="L594" s="244"/>
      <c r="M594" s="244"/>
    </row>
    <row r="595" spans="1:13">
      <c r="A595" s="240" t="s">
        <v>684</v>
      </c>
      <c r="B595" s="240" t="s">
        <v>1353</v>
      </c>
      <c r="C595" s="240" t="s">
        <v>1799</v>
      </c>
      <c r="D595" s="240" t="s">
        <v>1564</v>
      </c>
      <c r="E595" s="240" t="s">
        <v>1356</v>
      </c>
      <c r="F595" s="249">
        <v>150000</v>
      </c>
      <c r="G595" s="250">
        <v>45195</v>
      </c>
      <c r="H595" s="240"/>
      <c r="I595" s="240" t="s">
        <v>1455</v>
      </c>
      <c r="J595" s="249"/>
      <c r="K595" s="240"/>
      <c r="L595" s="240"/>
      <c r="M595" s="240"/>
    </row>
    <row r="596" spans="1:13">
      <c r="A596" s="244" t="s">
        <v>684</v>
      </c>
      <c r="B596" s="244" t="s">
        <v>1353</v>
      </c>
      <c r="C596" s="244" t="s">
        <v>1799</v>
      </c>
      <c r="D596" s="244" t="s">
        <v>1564</v>
      </c>
      <c r="E596" s="244" t="s">
        <v>1356</v>
      </c>
      <c r="F596" s="251">
        <v>100000</v>
      </c>
      <c r="G596" s="252">
        <v>45195</v>
      </c>
      <c r="H596" s="244"/>
      <c r="I596" s="244" t="s">
        <v>1455</v>
      </c>
      <c r="J596" s="251"/>
      <c r="K596" s="244"/>
      <c r="L596" s="244"/>
      <c r="M596" s="244"/>
    </row>
    <row r="597" spans="1:13">
      <c r="A597" s="240" t="s">
        <v>684</v>
      </c>
      <c r="B597" s="240" t="s">
        <v>1353</v>
      </c>
      <c r="C597" s="240" t="s">
        <v>1800</v>
      </c>
      <c r="D597" s="240" t="s">
        <v>1533</v>
      </c>
      <c r="E597" s="240" t="s">
        <v>1356</v>
      </c>
      <c r="F597" s="249">
        <v>100000</v>
      </c>
      <c r="G597" s="250">
        <v>45204</v>
      </c>
      <c r="H597" s="240"/>
      <c r="I597" s="240" t="s">
        <v>1363</v>
      </c>
      <c r="J597" s="249"/>
      <c r="K597" s="240"/>
      <c r="L597" s="240"/>
      <c r="M597" s="240"/>
    </row>
    <row r="598" spans="1:13">
      <c r="A598" s="244" t="s">
        <v>684</v>
      </c>
      <c r="B598" s="244" t="s">
        <v>1353</v>
      </c>
      <c r="C598" s="244" t="s">
        <v>1801</v>
      </c>
      <c r="D598" s="244" t="s">
        <v>1520</v>
      </c>
      <c r="E598" s="244" t="s">
        <v>1356</v>
      </c>
      <c r="F598" s="251">
        <v>50000</v>
      </c>
      <c r="G598" s="252">
        <v>45204</v>
      </c>
      <c r="H598" s="244"/>
      <c r="I598" s="244" t="s">
        <v>1521</v>
      </c>
      <c r="J598" s="251"/>
      <c r="K598" s="244"/>
      <c r="L598" s="244"/>
      <c r="M598" s="244"/>
    </row>
    <row r="599" spans="1:13">
      <c r="A599" s="240" t="s">
        <v>684</v>
      </c>
      <c r="B599" s="240" t="s">
        <v>1353</v>
      </c>
      <c r="C599" s="240" t="s">
        <v>1616</v>
      </c>
      <c r="D599" s="240" t="s">
        <v>1523</v>
      </c>
      <c r="E599" s="240" t="s">
        <v>1356</v>
      </c>
      <c r="F599" s="249">
        <v>70000</v>
      </c>
      <c r="G599" s="250">
        <v>45204</v>
      </c>
      <c r="H599" s="240"/>
      <c r="I599" s="240" t="s">
        <v>1363</v>
      </c>
      <c r="J599" s="249"/>
      <c r="K599" s="240"/>
      <c r="L599" s="240"/>
      <c r="M599" s="240"/>
    </row>
    <row r="600" spans="1:13">
      <c r="A600" s="244" t="s">
        <v>684</v>
      </c>
      <c r="B600" s="244" t="s">
        <v>1353</v>
      </c>
      <c r="C600" s="244" t="s">
        <v>1802</v>
      </c>
      <c r="D600" s="244" t="s">
        <v>1548</v>
      </c>
      <c r="E600" s="244" t="s">
        <v>1356</v>
      </c>
      <c r="F600" s="251">
        <v>58500</v>
      </c>
      <c r="G600" s="252">
        <v>45205</v>
      </c>
      <c r="H600" s="244"/>
      <c r="I600" s="244" t="s">
        <v>1363</v>
      </c>
      <c r="J600" s="251"/>
      <c r="K600" s="244"/>
      <c r="L600" s="244"/>
      <c r="M600" s="244"/>
    </row>
    <row r="601" spans="1:13">
      <c r="A601" s="240" t="s">
        <v>684</v>
      </c>
      <c r="B601" s="240" t="s">
        <v>1353</v>
      </c>
      <c r="C601" s="240" t="s">
        <v>1803</v>
      </c>
      <c r="D601" s="240" t="s">
        <v>1548</v>
      </c>
      <c r="E601" s="240" t="s">
        <v>1356</v>
      </c>
      <c r="F601" s="249">
        <v>300000</v>
      </c>
      <c r="G601" s="250">
        <v>45205</v>
      </c>
      <c r="H601" s="240"/>
      <c r="I601" s="240" t="s">
        <v>1363</v>
      </c>
      <c r="J601" s="249"/>
      <c r="K601" s="240"/>
      <c r="L601" s="240"/>
      <c r="M601" s="240"/>
    </row>
    <row r="602" spans="1:13">
      <c r="A602" s="244" t="s">
        <v>684</v>
      </c>
      <c r="B602" s="244" t="s">
        <v>1353</v>
      </c>
      <c r="C602" s="244" t="s">
        <v>1804</v>
      </c>
      <c r="D602" s="244" t="s">
        <v>1548</v>
      </c>
      <c r="E602" s="244" t="s">
        <v>1356</v>
      </c>
      <c r="F602" s="251">
        <v>150000</v>
      </c>
      <c r="G602" s="252">
        <v>45205</v>
      </c>
      <c r="H602" s="244"/>
      <c r="I602" s="244" t="s">
        <v>1363</v>
      </c>
      <c r="J602" s="251"/>
      <c r="K602" s="244"/>
      <c r="L602" s="244"/>
      <c r="M602" s="244"/>
    </row>
    <row r="603" spans="1:13">
      <c r="A603" s="240" t="s">
        <v>684</v>
      </c>
      <c r="B603" s="240" t="s">
        <v>1353</v>
      </c>
      <c r="C603" s="240" t="s">
        <v>1805</v>
      </c>
      <c r="D603" s="240" t="s">
        <v>1564</v>
      </c>
      <c r="E603" s="240" t="s">
        <v>1356</v>
      </c>
      <c r="F603" s="249">
        <v>100000</v>
      </c>
      <c r="G603" s="250">
        <v>45217</v>
      </c>
      <c r="H603" s="240"/>
      <c r="I603" s="240" t="s">
        <v>1455</v>
      </c>
      <c r="J603" s="249"/>
      <c r="K603" s="240"/>
      <c r="L603" s="240"/>
      <c r="M603" s="240"/>
    </row>
    <row r="604" spans="1:13">
      <c r="A604" s="244" t="s">
        <v>684</v>
      </c>
      <c r="B604" s="244" t="s">
        <v>1353</v>
      </c>
      <c r="C604" s="244" t="s">
        <v>1806</v>
      </c>
      <c r="D604" s="244" t="s">
        <v>1807</v>
      </c>
      <c r="E604" s="244" t="s">
        <v>1356</v>
      </c>
      <c r="F604" s="251">
        <v>209800</v>
      </c>
      <c r="G604" s="252">
        <v>45223</v>
      </c>
      <c r="H604" s="244"/>
      <c r="I604" s="244" t="s">
        <v>1363</v>
      </c>
      <c r="J604" s="251"/>
      <c r="K604" s="244"/>
      <c r="L604" s="244"/>
      <c r="M604" s="244"/>
    </row>
    <row r="605" spans="1:13">
      <c r="A605" s="240" t="s">
        <v>684</v>
      </c>
      <c r="B605" s="240" t="s">
        <v>1353</v>
      </c>
      <c r="C605" s="240" t="s">
        <v>1769</v>
      </c>
      <c r="D605" s="240" t="s">
        <v>1807</v>
      </c>
      <c r="E605" s="240" t="s">
        <v>1356</v>
      </c>
      <c r="F605" s="249">
        <v>63157.89</v>
      </c>
      <c r="G605" s="250">
        <v>45223</v>
      </c>
      <c r="H605" s="240"/>
      <c r="I605" s="240" t="s">
        <v>1363</v>
      </c>
      <c r="J605" s="249"/>
      <c r="K605" s="240"/>
      <c r="L605" s="240"/>
      <c r="M605" s="240"/>
    </row>
    <row r="606" spans="1:13">
      <c r="A606" s="244" t="s">
        <v>684</v>
      </c>
      <c r="B606" s="244" t="s">
        <v>1353</v>
      </c>
      <c r="C606" s="244" t="s">
        <v>1770</v>
      </c>
      <c r="D606" s="244" t="s">
        <v>1807</v>
      </c>
      <c r="E606" s="244" t="s">
        <v>1356</v>
      </c>
      <c r="F606" s="251">
        <v>63157.89</v>
      </c>
      <c r="G606" s="252">
        <v>45223</v>
      </c>
      <c r="H606" s="244"/>
      <c r="I606" s="244" t="s">
        <v>1363</v>
      </c>
      <c r="J606" s="251"/>
      <c r="K606" s="244"/>
      <c r="L606" s="244"/>
      <c r="M606" s="244"/>
    </row>
    <row r="607" spans="1:13">
      <c r="A607" s="240" t="s">
        <v>684</v>
      </c>
      <c r="B607" s="240" t="s">
        <v>1353</v>
      </c>
      <c r="C607" s="240" t="s">
        <v>1771</v>
      </c>
      <c r="D607" s="240" t="s">
        <v>1807</v>
      </c>
      <c r="E607" s="240" t="s">
        <v>1356</v>
      </c>
      <c r="F607" s="249">
        <v>63157.89</v>
      </c>
      <c r="G607" s="250">
        <v>45223</v>
      </c>
      <c r="H607" s="240"/>
      <c r="I607" s="240" t="s">
        <v>1363</v>
      </c>
      <c r="J607" s="249"/>
      <c r="K607" s="240"/>
      <c r="L607" s="240"/>
      <c r="M607" s="240"/>
    </row>
    <row r="608" spans="1:13">
      <c r="A608" s="244" t="s">
        <v>684</v>
      </c>
      <c r="B608" s="244" t="s">
        <v>1353</v>
      </c>
      <c r="C608" s="244" t="s">
        <v>1772</v>
      </c>
      <c r="D608" s="244" t="s">
        <v>1807</v>
      </c>
      <c r="E608" s="244" t="s">
        <v>1356</v>
      </c>
      <c r="F608" s="251">
        <v>63157.89</v>
      </c>
      <c r="G608" s="252">
        <v>45223</v>
      </c>
      <c r="H608" s="244"/>
      <c r="I608" s="244" t="s">
        <v>1363</v>
      </c>
      <c r="J608" s="251"/>
      <c r="K608" s="244"/>
      <c r="L608" s="244"/>
      <c r="M608" s="244"/>
    </row>
    <row r="609" spans="1:13">
      <c r="A609" s="240" t="s">
        <v>684</v>
      </c>
      <c r="B609" s="240" t="s">
        <v>1353</v>
      </c>
      <c r="C609" s="240" t="s">
        <v>1768</v>
      </c>
      <c r="D609" s="240" t="s">
        <v>1807</v>
      </c>
      <c r="E609" s="240" t="s">
        <v>1356</v>
      </c>
      <c r="F609" s="249">
        <v>63157.89</v>
      </c>
      <c r="G609" s="250">
        <v>45223</v>
      </c>
      <c r="H609" s="240"/>
      <c r="I609" s="240" t="s">
        <v>1363</v>
      </c>
      <c r="J609" s="249"/>
      <c r="K609" s="240"/>
      <c r="L609" s="240"/>
      <c r="M609" s="240"/>
    </row>
    <row r="610" spans="1:13">
      <c r="A610" s="244" t="s">
        <v>684</v>
      </c>
      <c r="B610" s="244" t="s">
        <v>1353</v>
      </c>
      <c r="C610" s="244" t="s">
        <v>1808</v>
      </c>
      <c r="D610" s="244" t="s">
        <v>1564</v>
      </c>
      <c r="E610" s="244" t="s">
        <v>1356</v>
      </c>
      <c r="F610" s="251">
        <v>100000</v>
      </c>
      <c r="G610" s="252">
        <v>45232</v>
      </c>
      <c r="H610" s="244"/>
      <c r="I610" s="244" t="s">
        <v>1455</v>
      </c>
      <c r="J610" s="251"/>
      <c r="K610" s="244"/>
      <c r="L610" s="244"/>
      <c r="M610" s="244"/>
    </row>
    <row r="611" spans="1:13">
      <c r="A611" s="240" t="s">
        <v>684</v>
      </c>
      <c r="B611" s="240" t="s">
        <v>1353</v>
      </c>
      <c r="C611" s="240" t="s">
        <v>1809</v>
      </c>
      <c r="D611" s="240" t="s">
        <v>1490</v>
      </c>
      <c r="E611" s="240" t="s">
        <v>1356</v>
      </c>
      <c r="F611" s="249">
        <v>100000</v>
      </c>
      <c r="G611" s="250">
        <v>45232</v>
      </c>
      <c r="H611" s="240"/>
      <c r="I611" s="240" t="s">
        <v>1363</v>
      </c>
      <c r="J611" s="249"/>
      <c r="K611" s="240"/>
      <c r="L611" s="240"/>
      <c r="M611" s="240"/>
    </row>
    <row r="612" spans="1:13">
      <c r="A612" s="244" t="s">
        <v>684</v>
      </c>
      <c r="B612" s="244" t="s">
        <v>1353</v>
      </c>
      <c r="C612" s="244" t="s">
        <v>1810</v>
      </c>
      <c r="D612" s="244" t="s">
        <v>1504</v>
      </c>
      <c r="E612" s="244" t="s">
        <v>1356</v>
      </c>
      <c r="F612" s="251">
        <v>300000</v>
      </c>
      <c r="G612" s="252">
        <v>45232</v>
      </c>
      <c r="H612" s="244"/>
      <c r="I612" s="244" t="s">
        <v>1455</v>
      </c>
      <c r="J612" s="251"/>
      <c r="K612" s="244"/>
      <c r="L612" s="244"/>
      <c r="M612" s="244"/>
    </row>
    <row r="613" spans="1:13">
      <c r="A613" s="240" t="s">
        <v>684</v>
      </c>
      <c r="B613" s="240" t="s">
        <v>1353</v>
      </c>
      <c r="C613" s="240" t="s">
        <v>1764</v>
      </c>
      <c r="D613" s="240" t="s">
        <v>1564</v>
      </c>
      <c r="E613" s="240" t="s">
        <v>1356</v>
      </c>
      <c r="F613" s="249">
        <v>100000</v>
      </c>
      <c r="G613" s="250">
        <v>45232</v>
      </c>
      <c r="H613" s="240"/>
      <c r="I613" s="240" t="s">
        <v>1455</v>
      </c>
      <c r="J613" s="249"/>
      <c r="K613" s="240"/>
      <c r="L613" s="240"/>
      <c r="M613" s="240"/>
    </row>
    <row r="614" spans="1:13">
      <c r="A614" s="244" t="s">
        <v>684</v>
      </c>
      <c r="B614" s="244" t="s">
        <v>1353</v>
      </c>
      <c r="C614" s="244" t="s">
        <v>1811</v>
      </c>
      <c r="D614" s="244" t="s">
        <v>1812</v>
      </c>
      <c r="E614" s="244" t="s">
        <v>1356</v>
      </c>
      <c r="F614" s="251">
        <v>100000</v>
      </c>
      <c r="G614" s="252">
        <v>45237</v>
      </c>
      <c r="H614" s="244"/>
      <c r="I614" s="244" t="s">
        <v>733</v>
      </c>
      <c r="J614" s="251"/>
      <c r="K614" s="244"/>
      <c r="L614" s="244"/>
      <c r="M614" s="244"/>
    </row>
    <row r="615" spans="1:13">
      <c r="A615" s="240" t="s">
        <v>684</v>
      </c>
      <c r="B615" s="240" t="s">
        <v>1353</v>
      </c>
      <c r="C615" s="240" t="s">
        <v>1813</v>
      </c>
      <c r="D615" s="240" t="s">
        <v>1564</v>
      </c>
      <c r="E615" s="240" t="s">
        <v>1356</v>
      </c>
      <c r="F615" s="249">
        <v>100000</v>
      </c>
      <c r="G615" s="250">
        <v>45237</v>
      </c>
      <c r="H615" s="240"/>
      <c r="I615" s="240" t="s">
        <v>1455</v>
      </c>
      <c r="J615" s="249"/>
      <c r="K615" s="240"/>
      <c r="L615" s="240"/>
      <c r="M615" s="240"/>
    </row>
    <row r="616" spans="1:13">
      <c r="A616" s="244" t="s">
        <v>684</v>
      </c>
      <c r="B616" s="244" t="s">
        <v>1353</v>
      </c>
      <c r="C616" s="244" t="s">
        <v>1814</v>
      </c>
      <c r="D616" s="244" t="s">
        <v>1548</v>
      </c>
      <c r="E616" s="244" t="s">
        <v>1356</v>
      </c>
      <c r="F616" s="251">
        <v>100000</v>
      </c>
      <c r="G616" s="252">
        <v>45237</v>
      </c>
      <c r="H616" s="244"/>
      <c r="I616" s="244" t="s">
        <v>1455</v>
      </c>
      <c r="J616" s="251"/>
      <c r="K616" s="244"/>
      <c r="L616" s="244"/>
      <c r="M616" s="244"/>
    </row>
    <row r="617" spans="1:13">
      <c r="A617" s="240" t="s">
        <v>684</v>
      </c>
      <c r="B617" s="240" t="s">
        <v>1353</v>
      </c>
      <c r="C617" s="240" t="s">
        <v>1519</v>
      </c>
      <c r="D617" s="240" t="s">
        <v>1520</v>
      </c>
      <c r="E617" s="240" t="s">
        <v>1356</v>
      </c>
      <c r="F617" s="249">
        <v>50000</v>
      </c>
      <c r="G617" s="250">
        <v>45237</v>
      </c>
      <c r="H617" s="240"/>
      <c r="I617" s="240" t="s">
        <v>1521</v>
      </c>
      <c r="J617" s="249"/>
      <c r="K617" s="240"/>
      <c r="L617" s="240"/>
      <c r="M617" s="240"/>
    </row>
    <row r="618" spans="1:13">
      <c r="A618" s="244" t="s">
        <v>684</v>
      </c>
      <c r="B618" s="244" t="s">
        <v>1353</v>
      </c>
      <c r="C618" s="244" t="s">
        <v>1815</v>
      </c>
      <c r="D618" s="244" t="s">
        <v>1523</v>
      </c>
      <c r="E618" s="244" t="s">
        <v>1356</v>
      </c>
      <c r="F618" s="251">
        <v>70000</v>
      </c>
      <c r="G618" s="252">
        <v>45237</v>
      </c>
      <c r="H618" s="244"/>
      <c r="I618" s="244" t="s">
        <v>1363</v>
      </c>
      <c r="J618" s="251"/>
      <c r="K618" s="244"/>
      <c r="L618" s="244"/>
      <c r="M618" s="244"/>
    </row>
    <row r="619" spans="1:13">
      <c r="A619" s="240" t="s">
        <v>684</v>
      </c>
      <c r="B619" s="240" t="s">
        <v>1353</v>
      </c>
      <c r="C619" s="240" t="s">
        <v>1816</v>
      </c>
      <c r="D619" s="240" t="s">
        <v>1502</v>
      </c>
      <c r="E619" s="240" t="s">
        <v>1356</v>
      </c>
      <c r="F619" s="249">
        <v>150000</v>
      </c>
      <c r="G619" s="250" t="s">
        <v>1817</v>
      </c>
      <c r="H619" s="240"/>
      <c r="I619" s="240" t="s">
        <v>1363</v>
      </c>
      <c r="J619" s="249"/>
      <c r="K619" s="240"/>
      <c r="L619" s="240"/>
      <c r="M619" s="240"/>
    </row>
    <row r="620" spans="1:13">
      <c r="A620" s="244" t="s">
        <v>684</v>
      </c>
      <c r="B620" s="244" t="s">
        <v>1353</v>
      </c>
      <c r="C620" s="244" t="s">
        <v>1818</v>
      </c>
      <c r="D620" s="244" t="s">
        <v>1819</v>
      </c>
      <c r="E620" s="244" t="s">
        <v>1356</v>
      </c>
      <c r="F620" s="251">
        <v>100000</v>
      </c>
      <c r="G620" s="252" t="s">
        <v>1817</v>
      </c>
      <c r="H620" s="244"/>
      <c r="I620" s="244" t="s">
        <v>1363</v>
      </c>
      <c r="J620" s="251"/>
      <c r="K620" s="244"/>
      <c r="L620" s="244"/>
      <c r="M620" s="244"/>
    </row>
    <row r="621" spans="1:13">
      <c r="A621" s="240" t="s">
        <v>684</v>
      </c>
      <c r="B621" s="240" t="s">
        <v>1353</v>
      </c>
      <c r="C621" s="240" t="s">
        <v>1820</v>
      </c>
      <c r="D621" s="240" t="s">
        <v>1819</v>
      </c>
      <c r="E621" s="240" t="s">
        <v>1356</v>
      </c>
      <c r="F621" s="249">
        <v>300000</v>
      </c>
      <c r="G621" s="250" t="s">
        <v>1821</v>
      </c>
      <c r="H621" s="240"/>
      <c r="I621" s="240" t="s">
        <v>1363</v>
      </c>
      <c r="J621" s="249"/>
      <c r="K621" s="240"/>
      <c r="L621" s="240"/>
      <c r="M621" s="240"/>
    </row>
    <row r="622" spans="1:13">
      <c r="A622" s="244" t="s">
        <v>684</v>
      </c>
      <c r="B622" s="244" t="s">
        <v>1353</v>
      </c>
      <c r="C622" s="244" t="s">
        <v>1822</v>
      </c>
      <c r="D622" s="244" t="s">
        <v>1819</v>
      </c>
      <c r="E622" s="244" t="s">
        <v>1356</v>
      </c>
      <c r="F622" s="251">
        <v>200000</v>
      </c>
      <c r="G622" s="252" t="s">
        <v>1821</v>
      </c>
      <c r="H622" s="244"/>
      <c r="I622" s="244" t="s">
        <v>1363</v>
      </c>
      <c r="J622" s="251"/>
      <c r="K622" s="244"/>
      <c r="L622" s="244"/>
      <c r="M622" s="244"/>
    </row>
    <row r="623" spans="1:13">
      <c r="A623" s="240" t="s">
        <v>684</v>
      </c>
      <c r="B623" s="240" t="s">
        <v>1353</v>
      </c>
      <c r="C623" s="240" t="s">
        <v>1822</v>
      </c>
      <c r="D623" s="240" t="s">
        <v>1819</v>
      </c>
      <c r="E623" s="240" t="s">
        <v>1356</v>
      </c>
      <c r="F623" s="249">
        <v>300000</v>
      </c>
      <c r="G623" s="250" t="s">
        <v>1821</v>
      </c>
      <c r="H623" s="240"/>
      <c r="I623" s="240" t="s">
        <v>1363</v>
      </c>
      <c r="J623" s="249"/>
      <c r="K623" s="240"/>
      <c r="L623" s="240"/>
      <c r="M623" s="240"/>
    </row>
    <row r="624" spans="1:13">
      <c r="A624" s="244" t="s">
        <v>684</v>
      </c>
      <c r="B624" s="244" t="s">
        <v>1353</v>
      </c>
      <c r="C624" s="244" t="s">
        <v>1823</v>
      </c>
      <c r="D624" s="244" t="s">
        <v>1819</v>
      </c>
      <c r="E624" s="244" t="s">
        <v>1356</v>
      </c>
      <c r="F624" s="251">
        <v>300000</v>
      </c>
      <c r="G624" s="252" t="s">
        <v>1821</v>
      </c>
      <c r="H624" s="244"/>
      <c r="I624" s="244" t="s">
        <v>1363</v>
      </c>
      <c r="J624" s="251"/>
      <c r="K624" s="244"/>
      <c r="L624" s="244"/>
      <c r="M624" s="244"/>
    </row>
    <row r="625" spans="1:13">
      <c r="A625" s="240" t="s">
        <v>684</v>
      </c>
      <c r="B625" s="240" t="s">
        <v>1353</v>
      </c>
      <c r="C625" s="240" t="s">
        <v>1824</v>
      </c>
      <c r="D625" s="240" t="s">
        <v>1819</v>
      </c>
      <c r="E625" s="240" t="s">
        <v>1356</v>
      </c>
      <c r="F625" s="249">
        <v>287000</v>
      </c>
      <c r="G625" s="250" t="s">
        <v>1821</v>
      </c>
      <c r="H625" s="240"/>
      <c r="I625" s="240" t="s">
        <v>1363</v>
      </c>
      <c r="J625" s="249"/>
      <c r="K625" s="240"/>
      <c r="L625" s="240"/>
      <c r="M625" s="240"/>
    </row>
    <row r="626" spans="1:13">
      <c r="A626" s="244" t="s">
        <v>684</v>
      </c>
      <c r="B626" s="244" t="s">
        <v>1353</v>
      </c>
      <c r="C626" s="244"/>
      <c r="D626" s="244"/>
      <c r="E626" s="244"/>
      <c r="F626" s="251"/>
      <c r="G626" s="252">
        <v>23684</v>
      </c>
      <c r="H626" s="244"/>
      <c r="I626" s="244"/>
      <c r="J626" s="251"/>
      <c r="K626" s="244"/>
      <c r="L626" s="244"/>
      <c r="M626" s="244"/>
    </row>
    <row r="627" spans="1:13">
      <c r="A627" s="240" t="s">
        <v>1825</v>
      </c>
      <c r="B627" s="240">
        <v>2292168</v>
      </c>
      <c r="C627" s="240" t="s">
        <v>1826</v>
      </c>
      <c r="D627" s="240"/>
      <c r="E627" s="240"/>
      <c r="F627" s="249">
        <v>22220</v>
      </c>
      <c r="G627" s="250">
        <v>45291</v>
      </c>
      <c r="H627" s="240"/>
      <c r="I627" s="240"/>
      <c r="J627" s="249"/>
      <c r="K627" s="240"/>
      <c r="L627" s="240"/>
      <c r="M627" s="240"/>
    </row>
    <row r="628" spans="1:13">
      <c r="A628" s="244" t="s">
        <v>1825</v>
      </c>
      <c r="B628" s="244">
        <v>2292168</v>
      </c>
      <c r="C628" s="244" t="s">
        <v>1827</v>
      </c>
      <c r="D628" s="244"/>
      <c r="E628" s="244"/>
      <c r="F628" s="251">
        <v>182450</v>
      </c>
      <c r="G628" s="252">
        <v>45291</v>
      </c>
      <c r="H628" s="244"/>
      <c r="I628" s="244"/>
      <c r="J628" s="251"/>
      <c r="K628" s="244"/>
      <c r="L628" s="244"/>
      <c r="M628" s="244"/>
    </row>
    <row r="629" spans="1:13">
      <c r="A629" s="240" t="s">
        <v>1825</v>
      </c>
      <c r="B629" s="240">
        <v>2292168</v>
      </c>
      <c r="C629" s="240" t="s">
        <v>1828</v>
      </c>
      <c r="D629" s="240"/>
      <c r="E629" s="240"/>
      <c r="F629" s="249">
        <v>60000</v>
      </c>
      <c r="G629" s="250">
        <v>45286</v>
      </c>
      <c r="H629" s="240"/>
      <c r="I629" s="240"/>
      <c r="J629" s="249"/>
      <c r="K629" s="240"/>
      <c r="L629" s="240"/>
      <c r="M629" s="240"/>
    </row>
    <row r="630" spans="1:13">
      <c r="A630" s="244" t="s">
        <v>1825</v>
      </c>
      <c r="B630" s="244">
        <v>2292168</v>
      </c>
      <c r="C630" s="244" t="s">
        <v>1829</v>
      </c>
      <c r="D630" s="244"/>
      <c r="E630" s="244"/>
      <c r="F630" s="251">
        <v>2220000</v>
      </c>
      <c r="G630" s="252">
        <v>45279</v>
      </c>
      <c r="H630" s="244"/>
      <c r="I630" s="244"/>
      <c r="J630" s="251"/>
      <c r="K630" s="244"/>
      <c r="L630" s="244"/>
      <c r="M630" s="244"/>
    </row>
    <row r="631" spans="1:13">
      <c r="A631" s="240" t="s">
        <v>1825</v>
      </c>
      <c r="B631" s="240">
        <v>2292168</v>
      </c>
      <c r="C631" s="240" t="s">
        <v>1830</v>
      </c>
      <c r="D631" s="240"/>
      <c r="E631" s="240"/>
      <c r="F631" s="249">
        <v>35000</v>
      </c>
      <c r="G631" s="250">
        <v>45196</v>
      </c>
      <c r="H631" s="240"/>
      <c r="I631" s="240"/>
      <c r="J631" s="249"/>
      <c r="K631" s="240"/>
      <c r="L631" s="240"/>
      <c r="M631" s="240"/>
    </row>
    <row r="632" spans="1:13">
      <c r="A632" s="244" t="s">
        <v>1825</v>
      </c>
      <c r="B632" s="244">
        <v>2292168</v>
      </c>
      <c r="C632" s="244" t="s">
        <v>1831</v>
      </c>
      <c r="D632" s="244"/>
      <c r="E632" s="244"/>
      <c r="F632" s="251">
        <v>50000</v>
      </c>
      <c r="G632" s="252">
        <v>45182</v>
      </c>
      <c r="H632" s="244"/>
      <c r="I632" s="244"/>
      <c r="J632" s="251"/>
      <c r="K632" s="244"/>
      <c r="L632" s="244"/>
      <c r="M632" s="244"/>
    </row>
    <row r="633" spans="1:13">
      <c r="A633" s="240" t="s">
        <v>1825</v>
      </c>
      <c r="B633" s="240">
        <v>2292168</v>
      </c>
      <c r="C633" s="240" t="s">
        <v>1832</v>
      </c>
      <c r="D633" s="240"/>
      <c r="E633" s="240"/>
      <c r="F633" s="249">
        <v>2550000</v>
      </c>
      <c r="G633" s="250">
        <v>45176</v>
      </c>
      <c r="H633" s="240"/>
      <c r="I633" s="240"/>
      <c r="J633" s="249"/>
      <c r="K633" s="240"/>
      <c r="L633" s="240"/>
      <c r="M633" s="240"/>
    </row>
    <row r="634" spans="1:13">
      <c r="A634" s="244" t="s">
        <v>1825</v>
      </c>
      <c r="B634" s="244">
        <v>2292168</v>
      </c>
      <c r="C634" s="244" t="s">
        <v>1833</v>
      </c>
      <c r="D634" s="244"/>
      <c r="E634" s="244"/>
      <c r="F634" s="251">
        <v>82600</v>
      </c>
      <c r="G634" s="252">
        <v>45175</v>
      </c>
      <c r="H634" s="244"/>
      <c r="I634" s="244"/>
      <c r="J634" s="251"/>
      <c r="K634" s="244"/>
      <c r="L634" s="244"/>
      <c r="M634" s="244"/>
    </row>
    <row r="635" spans="1:13">
      <c r="A635" s="240" t="s">
        <v>1825</v>
      </c>
      <c r="B635" s="240">
        <v>2292168</v>
      </c>
      <c r="C635" s="240" t="s">
        <v>1834</v>
      </c>
      <c r="D635" s="240"/>
      <c r="E635" s="240"/>
      <c r="F635" s="249">
        <v>100000</v>
      </c>
      <c r="G635" s="250">
        <v>45170</v>
      </c>
      <c r="H635" s="240"/>
      <c r="I635" s="240"/>
      <c r="J635" s="249"/>
      <c r="K635" s="240"/>
      <c r="L635" s="240"/>
      <c r="M635" s="240"/>
    </row>
    <row r="636" spans="1:13">
      <c r="A636" s="244" t="s">
        <v>1825</v>
      </c>
      <c r="B636" s="244">
        <v>2292168</v>
      </c>
      <c r="C636" s="244" t="s">
        <v>1835</v>
      </c>
      <c r="D636" s="244"/>
      <c r="E636" s="244"/>
      <c r="F636" s="251">
        <v>1290000</v>
      </c>
      <c r="G636" s="252">
        <v>45170</v>
      </c>
      <c r="H636" s="244"/>
      <c r="I636" s="244"/>
      <c r="J636" s="251"/>
      <c r="K636" s="244"/>
      <c r="L636" s="244"/>
      <c r="M636" s="244"/>
    </row>
    <row r="637" spans="1:13">
      <c r="A637" s="240" t="s">
        <v>1825</v>
      </c>
      <c r="B637" s="240">
        <v>2292168</v>
      </c>
      <c r="C637" s="240" t="s">
        <v>1835</v>
      </c>
      <c r="D637" s="240"/>
      <c r="E637" s="240"/>
      <c r="F637" s="249">
        <v>420000</v>
      </c>
      <c r="G637" s="250">
        <v>45170</v>
      </c>
      <c r="H637" s="240"/>
      <c r="I637" s="240"/>
      <c r="J637" s="249"/>
      <c r="K637" s="240"/>
      <c r="L637" s="240"/>
      <c r="M637" s="240"/>
    </row>
    <row r="638" spans="1:13">
      <c r="A638" s="244" t="s">
        <v>1825</v>
      </c>
      <c r="B638" s="244">
        <v>2292168</v>
      </c>
      <c r="C638" s="244" t="s">
        <v>1836</v>
      </c>
      <c r="D638" s="244"/>
      <c r="E638" s="244"/>
      <c r="F638" s="251">
        <v>200000</v>
      </c>
      <c r="G638" s="252">
        <v>45157</v>
      </c>
      <c r="H638" s="244"/>
      <c r="I638" s="244"/>
      <c r="J638" s="251"/>
      <c r="K638" s="244"/>
      <c r="L638" s="244"/>
      <c r="M638" s="244"/>
    </row>
    <row r="639" spans="1:13">
      <c r="A639" s="240" t="s">
        <v>1825</v>
      </c>
      <c r="B639" s="240">
        <v>2292168</v>
      </c>
      <c r="C639" s="240" t="s">
        <v>1837</v>
      </c>
      <c r="D639" s="240"/>
      <c r="E639" s="240"/>
      <c r="F639" s="249">
        <v>3000</v>
      </c>
      <c r="G639" s="250">
        <v>45125</v>
      </c>
      <c r="H639" s="240"/>
      <c r="I639" s="240"/>
      <c r="J639" s="249"/>
      <c r="K639" s="240"/>
      <c r="L639" s="240"/>
      <c r="M639" s="240"/>
    </row>
    <row r="640" spans="1:13">
      <c r="A640" s="244" t="s">
        <v>1825</v>
      </c>
      <c r="B640" s="244">
        <v>2292168</v>
      </c>
      <c r="C640" s="244" t="s">
        <v>1838</v>
      </c>
      <c r="D640" s="244"/>
      <c r="E640" s="244"/>
      <c r="F640" s="251">
        <v>200000</v>
      </c>
      <c r="G640" s="252">
        <v>45113</v>
      </c>
      <c r="H640" s="244"/>
      <c r="I640" s="244"/>
      <c r="J640" s="251"/>
      <c r="K640" s="244"/>
      <c r="L640" s="244"/>
      <c r="M640" s="244"/>
    </row>
    <row r="641" spans="1:13">
      <c r="A641" s="240" t="s">
        <v>1825</v>
      </c>
      <c r="B641" s="240">
        <v>2292168</v>
      </c>
      <c r="C641" s="240" t="s">
        <v>1839</v>
      </c>
      <c r="D641" s="240"/>
      <c r="E641" s="240"/>
      <c r="F641" s="249">
        <v>1200000</v>
      </c>
      <c r="G641" s="250">
        <v>45111</v>
      </c>
      <c r="H641" s="240"/>
      <c r="I641" s="240"/>
      <c r="J641" s="249"/>
      <c r="K641" s="240"/>
      <c r="L641" s="240"/>
      <c r="M641" s="240"/>
    </row>
    <row r="642" spans="1:13">
      <c r="A642" s="244" t="s">
        <v>1825</v>
      </c>
      <c r="B642" s="244">
        <v>2292168</v>
      </c>
      <c r="C642" s="244" t="s">
        <v>1840</v>
      </c>
      <c r="D642" s="244"/>
      <c r="E642" s="244"/>
      <c r="F642" s="251">
        <v>500000</v>
      </c>
      <c r="G642" s="252">
        <v>45096</v>
      </c>
      <c r="H642" s="244"/>
      <c r="I642" s="244"/>
      <c r="J642" s="251"/>
      <c r="K642" s="244"/>
      <c r="L642" s="244"/>
      <c r="M642" s="244"/>
    </row>
    <row r="643" spans="1:13">
      <c r="A643" s="240" t="s">
        <v>1825</v>
      </c>
      <c r="B643" s="240">
        <v>2292168</v>
      </c>
      <c r="C643" s="240" t="s">
        <v>1841</v>
      </c>
      <c r="D643" s="240"/>
      <c r="E643" s="240"/>
      <c r="F643" s="249">
        <v>500000</v>
      </c>
      <c r="G643" s="250">
        <v>45092</v>
      </c>
      <c r="H643" s="240"/>
      <c r="I643" s="240"/>
      <c r="J643" s="249"/>
      <c r="K643" s="240"/>
      <c r="L643" s="240"/>
      <c r="M643" s="240"/>
    </row>
    <row r="644" spans="1:13">
      <c r="A644" s="244" t="s">
        <v>1825</v>
      </c>
      <c r="B644" s="244">
        <v>2292168</v>
      </c>
      <c r="C644" s="244" t="s">
        <v>1842</v>
      </c>
      <c r="D644" s="244"/>
      <c r="E644" s="244"/>
      <c r="F644" s="251">
        <v>140000</v>
      </c>
      <c r="G644" s="252">
        <v>45072</v>
      </c>
      <c r="H644" s="244"/>
      <c r="I644" s="244"/>
      <c r="J644" s="251"/>
      <c r="K644" s="244"/>
      <c r="L644" s="244"/>
      <c r="M644" s="244"/>
    </row>
    <row r="645" spans="1:13">
      <c r="A645" s="240" t="s">
        <v>1825</v>
      </c>
      <c r="B645" s="240">
        <v>2292168</v>
      </c>
      <c r="C645" s="240" t="s">
        <v>1843</v>
      </c>
      <c r="D645" s="240"/>
      <c r="E645" s="240"/>
      <c r="F645" s="249">
        <v>20000</v>
      </c>
      <c r="G645" s="250">
        <v>45071</v>
      </c>
      <c r="H645" s="240"/>
      <c r="I645" s="240"/>
      <c r="J645" s="249"/>
      <c r="K645" s="240"/>
      <c r="L645" s="240"/>
      <c r="M645" s="240"/>
    </row>
    <row r="646" spans="1:13">
      <c r="A646" s="244" t="s">
        <v>1825</v>
      </c>
      <c r="B646" s="244">
        <v>2292168</v>
      </c>
      <c r="C646" s="244" t="s">
        <v>1844</v>
      </c>
      <c r="D646" s="244"/>
      <c r="E646" s="244"/>
      <c r="F646" s="251">
        <v>216000</v>
      </c>
      <c r="G646" s="252">
        <v>45071</v>
      </c>
      <c r="H646" s="244"/>
      <c r="I646" s="244"/>
      <c r="J646" s="251"/>
      <c r="K646" s="244"/>
      <c r="L646" s="244"/>
      <c r="M646" s="244"/>
    </row>
    <row r="647" spans="1:13">
      <c r="A647" s="240" t="s">
        <v>1825</v>
      </c>
      <c r="B647" s="240">
        <v>2292168</v>
      </c>
      <c r="C647" s="240" t="s">
        <v>1845</v>
      </c>
      <c r="D647" s="240"/>
      <c r="E647" s="240"/>
      <c r="F647" s="249">
        <v>5000</v>
      </c>
      <c r="G647" s="250">
        <v>45071</v>
      </c>
      <c r="H647" s="240"/>
      <c r="I647" s="240"/>
      <c r="J647" s="249"/>
      <c r="K647" s="240"/>
      <c r="L647" s="240"/>
      <c r="M647" s="240"/>
    </row>
    <row r="648" spans="1:13">
      <c r="A648" s="244" t="s">
        <v>1825</v>
      </c>
      <c r="B648" s="244">
        <v>2292168</v>
      </c>
      <c r="C648" s="244" t="s">
        <v>1846</v>
      </c>
      <c r="D648" s="244"/>
      <c r="E648" s="244"/>
      <c r="F648" s="251">
        <v>600000</v>
      </c>
      <c r="G648" s="252">
        <v>45070</v>
      </c>
      <c r="H648" s="244"/>
      <c r="I648" s="244"/>
      <c r="J648" s="251"/>
      <c r="K648" s="244"/>
      <c r="L648" s="244"/>
      <c r="M648" s="244"/>
    </row>
    <row r="649" spans="1:13">
      <c r="A649" s="240" t="s">
        <v>1825</v>
      </c>
      <c r="B649" s="240">
        <v>2292168</v>
      </c>
      <c r="C649" s="240" t="s">
        <v>1847</v>
      </c>
      <c r="D649" s="240"/>
      <c r="E649" s="240"/>
      <c r="F649" s="249">
        <v>45000</v>
      </c>
      <c r="G649" s="250">
        <v>45070</v>
      </c>
      <c r="H649" s="240"/>
      <c r="I649" s="240"/>
      <c r="J649" s="249"/>
      <c r="K649" s="240"/>
      <c r="L649" s="240"/>
      <c r="M649" s="240"/>
    </row>
    <row r="650" spans="1:13">
      <c r="A650" s="244" t="s">
        <v>1825</v>
      </c>
      <c r="B650" s="244">
        <v>2292168</v>
      </c>
      <c r="C650" s="244" t="s">
        <v>1848</v>
      </c>
      <c r="D650" s="244"/>
      <c r="E650" s="244"/>
      <c r="F650" s="251">
        <v>100000</v>
      </c>
      <c r="G650" s="252">
        <v>45062</v>
      </c>
      <c r="H650" s="244"/>
      <c r="I650" s="244"/>
      <c r="J650" s="251"/>
      <c r="K650" s="244"/>
      <c r="L650" s="244"/>
      <c r="M650" s="244"/>
    </row>
    <row r="651" spans="1:13">
      <c r="A651" s="240" t="s">
        <v>1825</v>
      </c>
      <c r="B651" s="240">
        <v>2292168</v>
      </c>
      <c r="C651" s="240" t="s">
        <v>1849</v>
      </c>
      <c r="D651" s="240"/>
      <c r="E651" s="240"/>
      <c r="F651" s="249">
        <v>30000</v>
      </c>
      <c r="G651" s="250">
        <v>45054</v>
      </c>
      <c r="H651" s="240"/>
      <c r="I651" s="240"/>
      <c r="J651" s="249"/>
      <c r="K651" s="240"/>
      <c r="L651" s="240"/>
      <c r="M651" s="240"/>
    </row>
    <row r="652" spans="1:13">
      <c r="A652" s="244" t="s">
        <v>1825</v>
      </c>
      <c r="B652" s="244">
        <v>2292168</v>
      </c>
      <c r="C652" s="244" t="s">
        <v>1850</v>
      </c>
      <c r="D652" s="244"/>
      <c r="E652" s="244"/>
      <c r="F652" s="251">
        <v>100000</v>
      </c>
      <c r="G652" s="252">
        <v>45050</v>
      </c>
      <c r="H652" s="244"/>
      <c r="I652" s="244"/>
      <c r="J652" s="251"/>
      <c r="K652" s="244"/>
      <c r="L652" s="244"/>
      <c r="M652" s="244"/>
    </row>
    <row r="653" spans="1:13">
      <c r="A653" s="240" t="s">
        <v>1825</v>
      </c>
      <c r="B653" s="240">
        <v>2292168</v>
      </c>
      <c r="C653" s="240" t="s">
        <v>1851</v>
      </c>
      <c r="D653" s="240"/>
      <c r="E653" s="240"/>
      <c r="F653" s="249">
        <v>659823</v>
      </c>
      <c r="G653" s="250">
        <v>45049</v>
      </c>
      <c r="H653" s="240"/>
      <c r="I653" s="240"/>
      <c r="J653" s="249"/>
      <c r="K653" s="240"/>
      <c r="L653" s="240"/>
      <c r="M653" s="240"/>
    </row>
    <row r="654" spans="1:13">
      <c r="A654" s="244" t="s">
        <v>1825</v>
      </c>
      <c r="B654" s="244">
        <v>2292168</v>
      </c>
      <c r="C654" s="244" t="s">
        <v>1852</v>
      </c>
      <c r="D654" s="244"/>
      <c r="E654" s="244"/>
      <c r="F654" s="251">
        <v>50000</v>
      </c>
      <c r="G654" s="252">
        <v>45048</v>
      </c>
      <c r="H654" s="244"/>
      <c r="I654" s="244"/>
      <c r="J654" s="251"/>
      <c r="K654" s="244"/>
      <c r="L654" s="244"/>
      <c r="M654" s="244"/>
    </row>
    <row r="655" spans="1:13">
      <c r="A655" s="240" t="s">
        <v>1825</v>
      </c>
      <c r="B655" s="240">
        <v>2292168</v>
      </c>
      <c r="C655" s="240" t="s">
        <v>1853</v>
      </c>
      <c r="D655" s="240"/>
      <c r="E655" s="240"/>
      <c r="F655" s="249">
        <v>700000</v>
      </c>
      <c r="G655" s="250">
        <v>45035</v>
      </c>
      <c r="H655" s="240"/>
      <c r="I655" s="240"/>
      <c r="J655" s="249"/>
      <c r="K655" s="240"/>
      <c r="L655" s="240"/>
      <c r="M655" s="240"/>
    </row>
    <row r="656" spans="1:13">
      <c r="A656" s="244" t="s">
        <v>1825</v>
      </c>
      <c r="B656" s="244">
        <v>2292168</v>
      </c>
      <c r="C656" s="244" t="s">
        <v>1854</v>
      </c>
      <c r="D656" s="244"/>
      <c r="E656" s="244"/>
      <c r="F656" s="251">
        <v>700000</v>
      </c>
      <c r="G656" s="252">
        <v>45035</v>
      </c>
      <c r="H656" s="244"/>
      <c r="I656" s="244"/>
      <c r="J656" s="251"/>
      <c r="K656" s="244"/>
      <c r="L656" s="244"/>
      <c r="M656" s="244"/>
    </row>
    <row r="657" spans="1:13">
      <c r="A657" s="240" t="s">
        <v>1825</v>
      </c>
      <c r="B657" s="240">
        <v>2292168</v>
      </c>
      <c r="C657" s="240" t="s">
        <v>1855</v>
      </c>
      <c r="D657" s="240"/>
      <c r="E657" s="240"/>
      <c r="F657" s="249">
        <v>1000000</v>
      </c>
      <c r="G657" s="250">
        <v>45035</v>
      </c>
      <c r="H657" s="240"/>
      <c r="I657" s="240"/>
      <c r="J657" s="249"/>
      <c r="K657" s="240"/>
      <c r="L657" s="240"/>
      <c r="M657" s="240"/>
    </row>
    <row r="658" spans="1:13">
      <c r="A658" s="244" t="s">
        <v>1825</v>
      </c>
      <c r="B658" s="244">
        <v>2292168</v>
      </c>
      <c r="C658" s="244" t="s">
        <v>1856</v>
      </c>
      <c r="D658" s="244"/>
      <c r="E658" s="244"/>
      <c r="F658" s="251">
        <v>102000</v>
      </c>
      <c r="G658" s="252">
        <v>45029</v>
      </c>
      <c r="H658" s="244"/>
      <c r="I658" s="244"/>
      <c r="J658" s="251"/>
      <c r="K658" s="244"/>
      <c r="L658" s="244"/>
      <c r="M658" s="244"/>
    </row>
    <row r="659" spans="1:13">
      <c r="A659" s="240" t="s">
        <v>1825</v>
      </c>
      <c r="B659" s="240">
        <v>2292168</v>
      </c>
      <c r="C659" s="240" t="s">
        <v>1857</v>
      </c>
      <c r="D659" s="240"/>
      <c r="E659" s="240"/>
      <c r="F659" s="249">
        <v>50500</v>
      </c>
      <c r="G659" s="250">
        <v>45017</v>
      </c>
      <c r="H659" s="240"/>
      <c r="I659" s="240"/>
      <c r="J659" s="249"/>
      <c r="K659" s="240"/>
      <c r="L659" s="240"/>
      <c r="M659" s="240"/>
    </row>
    <row r="660" spans="1:13">
      <c r="A660" s="244" t="s">
        <v>1825</v>
      </c>
      <c r="B660" s="244">
        <v>2292168</v>
      </c>
      <c r="C660" s="244" t="s">
        <v>1858</v>
      </c>
      <c r="D660" s="244"/>
      <c r="E660" s="244"/>
      <c r="F660" s="251">
        <v>68000</v>
      </c>
      <c r="G660" s="252">
        <v>45002</v>
      </c>
      <c r="H660" s="244"/>
      <c r="I660" s="244"/>
      <c r="J660" s="251"/>
      <c r="K660" s="244"/>
      <c r="L660" s="244"/>
      <c r="M660" s="244"/>
    </row>
    <row r="661" spans="1:13">
      <c r="A661" s="240" t="s">
        <v>1825</v>
      </c>
      <c r="B661" s="240">
        <v>2292168</v>
      </c>
      <c r="C661" s="240" t="s">
        <v>1859</v>
      </c>
      <c r="D661" s="240"/>
      <c r="E661" s="240"/>
      <c r="F661" s="249">
        <v>58000</v>
      </c>
      <c r="G661" s="250">
        <v>44966</v>
      </c>
      <c r="H661" s="240"/>
      <c r="I661" s="240"/>
      <c r="J661" s="249"/>
      <c r="K661" s="240"/>
      <c r="L661" s="240"/>
      <c r="M661" s="240"/>
    </row>
    <row r="662" spans="1:13">
      <c r="A662" s="244" t="s">
        <v>1825</v>
      </c>
      <c r="B662" s="244">
        <v>2292168</v>
      </c>
      <c r="C662" s="244" t="s">
        <v>1860</v>
      </c>
      <c r="D662" s="244"/>
      <c r="E662" s="244"/>
      <c r="F662" s="251">
        <v>270000</v>
      </c>
      <c r="G662" s="252">
        <v>44924</v>
      </c>
      <c r="H662" s="244"/>
      <c r="I662" s="244"/>
      <c r="J662" s="251"/>
      <c r="K662" s="244"/>
      <c r="L662" s="244"/>
      <c r="M662" s="244"/>
    </row>
    <row r="663" spans="1:13">
      <c r="A663" s="240" t="s">
        <v>1825</v>
      </c>
      <c r="B663" s="240">
        <v>2292168</v>
      </c>
      <c r="C663" s="240" t="s">
        <v>1861</v>
      </c>
      <c r="D663" s="240"/>
      <c r="E663" s="240"/>
      <c r="F663" s="249">
        <v>650000</v>
      </c>
      <c r="G663" s="250">
        <v>44956</v>
      </c>
      <c r="H663" s="240"/>
      <c r="I663" s="240"/>
      <c r="J663" s="249"/>
      <c r="K663" s="240"/>
      <c r="L663" s="240"/>
      <c r="M663" s="240"/>
    </row>
    <row r="664" spans="1:13">
      <c r="A664" s="244" t="s">
        <v>1825</v>
      </c>
      <c r="B664" s="244">
        <v>2292168</v>
      </c>
      <c r="C664" s="244" t="s">
        <v>1862</v>
      </c>
      <c r="D664" s="244"/>
      <c r="E664" s="244"/>
      <c r="F664" s="251">
        <v>80000</v>
      </c>
      <c r="G664" s="252">
        <v>44937</v>
      </c>
      <c r="H664" s="244"/>
      <c r="I664" s="244"/>
      <c r="J664" s="251"/>
      <c r="K664" s="244"/>
      <c r="L664" s="244"/>
      <c r="M664" s="244"/>
    </row>
    <row r="665" spans="1:13">
      <c r="A665" s="240" t="s">
        <v>1825</v>
      </c>
      <c r="B665" s="240">
        <v>2292168</v>
      </c>
      <c r="C665" s="240" t="s">
        <v>1863</v>
      </c>
      <c r="D665" s="240"/>
      <c r="E665" s="240"/>
      <c r="F665" s="249">
        <v>200000</v>
      </c>
      <c r="G665" s="250">
        <v>44928</v>
      </c>
      <c r="H665" s="240"/>
      <c r="I665" s="240"/>
      <c r="J665" s="249"/>
      <c r="K665" s="240"/>
      <c r="L665" s="240"/>
      <c r="M665" s="240"/>
    </row>
    <row r="666" spans="1:13">
      <c r="A666" s="244" t="s">
        <v>686</v>
      </c>
      <c r="B666" s="244" t="s">
        <v>1864</v>
      </c>
      <c r="C666" s="244" t="s">
        <v>1865</v>
      </c>
      <c r="D666" s="244"/>
      <c r="E666" s="244" t="s">
        <v>991</v>
      </c>
      <c r="F666" s="251">
        <v>80000</v>
      </c>
      <c r="G666" s="252" t="s">
        <v>1866</v>
      </c>
      <c r="H666" s="244" t="s">
        <v>1363</v>
      </c>
      <c r="I666" s="244"/>
      <c r="J666" s="251"/>
      <c r="K666" s="244"/>
      <c r="L666" s="244"/>
      <c r="M666" s="244"/>
    </row>
    <row r="667" spans="1:13">
      <c r="A667" s="240" t="s">
        <v>686</v>
      </c>
      <c r="B667" s="240" t="s">
        <v>1864</v>
      </c>
      <c r="C667" s="240" t="s">
        <v>1865</v>
      </c>
      <c r="D667" s="240"/>
      <c r="E667" s="240" t="s">
        <v>991</v>
      </c>
      <c r="F667" s="249">
        <v>700000</v>
      </c>
      <c r="G667" s="250" t="s">
        <v>1867</v>
      </c>
      <c r="H667" s="240" t="s">
        <v>1363</v>
      </c>
      <c r="I667" s="240"/>
      <c r="J667" s="249"/>
      <c r="K667" s="240"/>
      <c r="L667" s="240"/>
      <c r="M667" s="240"/>
    </row>
    <row r="668" spans="1:13">
      <c r="A668" s="244" t="s">
        <v>686</v>
      </c>
      <c r="B668" s="244" t="s">
        <v>1864</v>
      </c>
      <c r="C668" s="244" t="s">
        <v>1865</v>
      </c>
      <c r="D668" s="244"/>
      <c r="E668" s="244" t="s">
        <v>991</v>
      </c>
      <c r="F668" s="251">
        <v>1050000</v>
      </c>
      <c r="G668" s="252" t="s">
        <v>1867</v>
      </c>
      <c r="H668" s="244" t="s">
        <v>1363</v>
      </c>
      <c r="I668" s="244"/>
      <c r="J668" s="251"/>
      <c r="K668" s="244"/>
      <c r="L668" s="244"/>
      <c r="M668" s="244"/>
    </row>
    <row r="669" spans="1:13">
      <c r="A669" s="240" t="s">
        <v>686</v>
      </c>
      <c r="B669" s="240" t="s">
        <v>1864</v>
      </c>
      <c r="C669" s="240" t="s">
        <v>1865</v>
      </c>
      <c r="D669" s="240"/>
      <c r="E669" s="240" t="s">
        <v>991</v>
      </c>
      <c r="F669" s="249">
        <v>1350000</v>
      </c>
      <c r="G669" s="250" t="s">
        <v>1867</v>
      </c>
      <c r="H669" s="240" t="s">
        <v>1363</v>
      </c>
      <c r="I669" s="240"/>
      <c r="J669" s="249"/>
      <c r="K669" s="240"/>
      <c r="L669" s="240"/>
      <c r="M669" s="240"/>
    </row>
    <row r="670" spans="1:13">
      <c r="A670" s="244" t="s">
        <v>686</v>
      </c>
      <c r="B670" s="244" t="s">
        <v>1864</v>
      </c>
      <c r="C670" s="244" t="s">
        <v>1865</v>
      </c>
      <c r="D670" s="244"/>
      <c r="E670" s="244" t="s">
        <v>991</v>
      </c>
      <c r="F670" s="251">
        <v>4535019</v>
      </c>
      <c r="G670" s="252" t="s">
        <v>1868</v>
      </c>
      <c r="H670" s="244" t="s">
        <v>1363</v>
      </c>
      <c r="I670" s="244"/>
      <c r="J670" s="251"/>
      <c r="K670" s="244"/>
      <c r="L670" s="244"/>
      <c r="M670" s="244"/>
    </row>
    <row r="671" spans="1:13">
      <c r="A671" s="240" t="s">
        <v>686</v>
      </c>
      <c r="B671" s="240" t="s">
        <v>1864</v>
      </c>
      <c r="C671" s="240" t="s">
        <v>1865</v>
      </c>
      <c r="D671" s="240"/>
      <c r="E671" s="240" t="s">
        <v>991</v>
      </c>
      <c r="F671" s="249">
        <v>3467955</v>
      </c>
      <c r="G671" s="250" t="s">
        <v>1869</v>
      </c>
      <c r="H671" s="240" t="s">
        <v>1363</v>
      </c>
      <c r="I671" s="240"/>
      <c r="J671" s="249"/>
      <c r="K671" s="240"/>
      <c r="L671" s="240"/>
      <c r="M671" s="240"/>
    </row>
    <row r="672" spans="1:13">
      <c r="A672" s="244" t="s">
        <v>686</v>
      </c>
      <c r="B672" s="244" t="s">
        <v>1864</v>
      </c>
      <c r="C672" s="244" t="s">
        <v>1865</v>
      </c>
      <c r="D672" s="244"/>
      <c r="E672" s="244" t="s">
        <v>991</v>
      </c>
      <c r="F672" s="251">
        <v>4900000</v>
      </c>
      <c r="G672" s="252" t="s">
        <v>1870</v>
      </c>
      <c r="H672" s="244" t="s">
        <v>733</v>
      </c>
      <c r="I672" s="244"/>
      <c r="J672" s="251"/>
      <c r="K672" s="244"/>
      <c r="L672" s="244"/>
      <c r="M672" s="244"/>
    </row>
    <row r="673" spans="1:13">
      <c r="A673" s="240" t="s">
        <v>686</v>
      </c>
      <c r="B673" s="240" t="s">
        <v>1864</v>
      </c>
      <c r="C673" s="240" t="s">
        <v>1865</v>
      </c>
      <c r="D673" s="240"/>
      <c r="E673" s="240" t="s">
        <v>991</v>
      </c>
      <c r="F673" s="249">
        <v>1260000</v>
      </c>
      <c r="G673" s="250" t="s">
        <v>1871</v>
      </c>
      <c r="H673" s="240" t="s">
        <v>1363</v>
      </c>
      <c r="I673" s="240"/>
      <c r="J673" s="249"/>
      <c r="K673" s="240"/>
      <c r="L673" s="240"/>
      <c r="M673" s="240"/>
    </row>
    <row r="674" spans="1:13">
      <c r="A674" s="244" t="s">
        <v>686</v>
      </c>
      <c r="B674" s="244" t="s">
        <v>1864</v>
      </c>
      <c r="C674" s="244" t="s">
        <v>1865</v>
      </c>
      <c r="D674" s="244"/>
      <c r="E674" s="244" t="s">
        <v>991</v>
      </c>
      <c r="F674" s="251">
        <v>1170000</v>
      </c>
      <c r="G674" s="252" t="s">
        <v>1872</v>
      </c>
      <c r="H674" s="244" t="s">
        <v>1363</v>
      </c>
      <c r="I674" s="244"/>
      <c r="J674" s="251"/>
      <c r="K674" s="244"/>
      <c r="L674" s="244"/>
      <c r="M674" s="244"/>
    </row>
    <row r="675" spans="1:13">
      <c r="A675" s="240" t="s">
        <v>686</v>
      </c>
      <c r="B675" s="240" t="s">
        <v>1864</v>
      </c>
      <c r="C675" s="240" t="s">
        <v>1865</v>
      </c>
      <c r="D675" s="240"/>
      <c r="E675" s="240" t="s">
        <v>991</v>
      </c>
      <c r="F675" s="249">
        <v>2750000</v>
      </c>
      <c r="G675" s="250" t="s">
        <v>1873</v>
      </c>
      <c r="H675" s="240" t="s">
        <v>1363</v>
      </c>
      <c r="I675" s="240"/>
      <c r="J675" s="249"/>
      <c r="K675" s="240"/>
      <c r="L675" s="240"/>
      <c r="M675" s="240"/>
    </row>
    <row r="676" spans="1:13">
      <c r="A676" s="244" t="s">
        <v>686</v>
      </c>
      <c r="B676" s="244" t="s">
        <v>1864</v>
      </c>
      <c r="C676" s="244" t="s">
        <v>1865</v>
      </c>
      <c r="D676" s="244"/>
      <c r="E676" s="244" t="s">
        <v>991</v>
      </c>
      <c r="F676" s="251">
        <v>7689500</v>
      </c>
      <c r="G676" s="252" t="s">
        <v>1874</v>
      </c>
      <c r="H676" s="244" t="s">
        <v>1363</v>
      </c>
      <c r="I676" s="244"/>
      <c r="J676" s="251"/>
      <c r="K676" s="244"/>
      <c r="L676" s="244"/>
      <c r="M676" s="244"/>
    </row>
    <row r="677" spans="1:13">
      <c r="A677" s="240" t="s">
        <v>686</v>
      </c>
      <c r="B677" s="240" t="s">
        <v>1864</v>
      </c>
      <c r="C677" s="240" t="s">
        <v>1865</v>
      </c>
      <c r="D677" s="240"/>
      <c r="E677" s="240" t="s">
        <v>991</v>
      </c>
      <c r="F677" s="249">
        <v>4900000</v>
      </c>
      <c r="G677" s="250" t="s">
        <v>1875</v>
      </c>
      <c r="H677" s="240" t="s">
        <v>733</v>
      </c>
      <c r="I677" s="240"/>
      <c r="J677" s="249"/>
      <c r="K677" s="240"/>
      <c r="L677" s="240"/>
      <c r="M677" s="240"/>
    </row>
    <row r="678" spans="1:13">
      <c r="A678" s="244" t="s">
        <v>686</v>
      </c>
      <c r="B678" s="244" t="s">
        <v>1864</v>
      </c>
      <c r="C678" s="244" t="s">
        <v>1865</v>
      </c>
      <c r="D678" s="244"/>
      <c r="E678" s="244" t="s">
        <v>991</v>
      </c>
      <c r="F678" s="251">
        <v>-7689500</v>
      </c>
      <c r="G678" s="252" t="s">
        <v>1875</v>
      </c>
      <c r="H678" s="244" t="s">
        <v>1363</v>
      </c>
      <c r="I678" s="244"/>
      <c r="J678" s="251"/>
      <c r="K678" s="244"/>
      <c r="L678" s="244"/>
      <c r="M678" s="244"/>
    </row>
    <row r="679" spans="1:13">
      <c r="A679" s="240" t="s">
        <v>686</v>
      </c>
      <c r="B679" s="240" t="s">
        <v>1864</v>
      </c>
      <c r="C679" s="240" t="s">
        <v>1865</v>
      </c>
      <c r="D679" s="240"/>
      <c r="E679" s="240" t="s">
        <v>991</v>
      </c>
      <c r="F679" s="249">
        <v>555000</v>
      </c>
      <c r="G679" s="250" t="s">
        <v>1876</v>
      </c>
      <c r="H679" s="240" t="s">
        <v>1363</v>
      </c>
      <c r="I679" s="240"/>
      <c r="J679" s="249"/>
      <c r="K679" s="240"/>
      <c r="L679" s="240"/>
      <c r="M679" s="240"/>
    </row>
    <row r="680" spans="1:13">
      <c r="A680" s="244" t="s">
        <v>686</v>
      </c>
      <c r="B680" s="244" t="s">
        <v>1864</v>
      </c>
      <c r="C680" s="244" t="s">
        <v>1865</v>
      </c>
      <c r="D680" s="244"/>
      <c r="E680" s="244" t="s">
        <v>991</v>
      </c>
      <c r="F680" s="251">
        <v>772345</v>
      </c>
      <c r="G680" s="252" t="s">
        <v>1876</v>
      </c>
      <c r="H680" s="244" t="s">
        <v>1363</v>
      </c>
      <c r="I680" s="244"/>
      <c r="J680" s="251"/>
      <c r="K680" s="244"/>
      <c r="L680" s="244"/>
      <c r="M680" s="244"/>
    </row>
    <row r="681" spans="1:13">
      <c r="A681" s="240" t="s">
        <v>686</v>
      </c>
      <c r="B681" s="240" t="s">
        <v>1864</v>
      </c>
      <c r="C681" s="240" t="s">
        <v>1865</v>
      </c>
      <c r="D681" s="240"/>
      <c r="E681" s="240" t="s">
        <v>991</v>
      </c>
      <c r="F681" s="249">
        <v>736556</v>
      </c>
      <c r="G681" s="250" t="s">
        <v>1877</v>
      </c>
      <c r="H681" s="240" t="s">
        <v>1363</v>
      </c>
      <c r="I681" s="240"/>
      <c r="J681" s="249"/>
      <c r="K681" s="240"/>
      <c r="L681" s="240"/>
      <c r="M681" s="240"/>
    </row>
    <row r="682" spans="1:13">
      <c r="A682" s="244" t="s">
        <v>686</v>
      </c>
      <c r="B682" s="244" t="s">
        <v>1864</v>
      </c>
      <c r="C682" s="244" t="s">
        <v>1865</v>
      </c>
      <c r="D682" s="244"/>
      <c r="E682" s="244" t="s">
        <v>991</v>
      </c>
      <c r="F682" s="251">
        <v>300000</v>
      </c>
      <c r="G682" s="252" t="s">
        <v>1877</v>
      </c>
      <c r="H682" s="244" t="s">
        <v>1363</v>
      </c>
      <c r="I682" s="244"/>
      <c r="J682" s="251"/>
      <c r="K682" s="244"/>
      <c r="L682" s="244"/>
      <c r="M682" s="244"/>
    </row>
    <row r="683" spans="1:13">
      <c r="A683" s="240" t="s">
        <v>686</v>
      </c>
      <c r="B683" s="240" t="s">
        <v>1864</v>
      </c>
      <c r="C683" s="240" t="s">
        <v>1865</v>
      </c>
      <c r="D683" s="240"/>
      <c r="E683" s="240" t="s">
        <v>991</v>
      </c>
      <c r="F683" s="249">
        <v>5335316</v>
      </c>
      <c r="G683" s="250" t="s">
        <v>1877</v>
      </c>
      <c r="H683" s="240" t="s">
        <v>1363</v>
      </c>
      <c r="I683" s="240"/>
      <c r="J683" s="249"/>
      <c r="K683" s="240"/>
      <c r="L683" s="240"/>
      <c r="M683" s="240"/>
    </row>
    <row r="684" spans="1:13">
      <c r="A684" s="244" t="s">
        <v>686</v>
      </c>
      <c r="B684" s="244" t="s">
        <v>1864</v>
      </c>
      <c r="C684" s="244" t="s">
        <v>1865</v>
      </c>
      <c r="D684" s="244"/>
      <c r="E684" s="244" t="s">
        <v>991</v>
      </c>
      <c r="F684" s="251">
        <v>235580</v>
      </c>
      <c r="G684" s="252" t="s">
        <v>1878</v>
      </c>
      <c r="H684" s="244" t="s">
        <v>1363</v>
      </c>
      <c r="I684" s="244"/>
      <c r="J684" s="251"/>
      <c r="K684" s="244"/>
      <c r="L684" s="244"/>
      <c r="M684" s="244"/>
    </row>
    <row r="685" spans="1:13">
      <c r="A685" s="240" t="s">
        <v>686</v>
      </c>
      <c r="B685" s="240" t="s">
        <v>1864</v>
      </c>
      <c r="C685" s="240" t="s">
        <v>1865</v>
      </c>
      <c r="D685" s="240"/>
      <c r="E685" s="240" t="s">
        <v>991</v>
      </c>
      <c r="F685" s="249">
        <v>1110227</v>
      </c>
      <c r="G685" s="250" t="s">
        <v>1878</v>
      </c>
      <c r="H685" s="240" t="s">
        <v>1363</v>
      </c>
      <c r="I685" s="240"/>
      <c r="J685" s="249"/>
      <c r="K685" s="240"/>
      <c r="L685" s="240"/>
      <c r="M685" s="240"/>
    </row>
    <row r="686" spans="1:13">
      <c r="A686" s="244" t="s">
        <v>686</v>
      </c>
      <c r="B686" s="244" t="s">
        <v>1864</v>
      </c>
      <c r="C686" s="244" t="s">
        <v>1865</v>
      </c>
      <c r="D686" s="244"/>
      <c r="E686" s="244" t="s">
        <v>991</v>
      </c>
      <c r="F686" s="251">
        <v>4178193</v>
      </c>
      <c r="G686" s="252" t="s">
        <v>1879</v>
      </c>
      <c r="H686" s="244" t="s">
        <v>1363</v>
      </c>
      <c r="I686" s="244"/>
      <c r="J686" s="251"/>
      <c r="K686" s="244"/>
      <c r="L686" s="244"/>
      <c r="M686" s="244"/>
    </row>
    <row r="687" spans="1:13">
      <c r="A687" s="240" t="s">
        <v>686</v>
      </c>
      <c r="B687" s="240" t="s">
        <v>1864</v>
      </c>
      <c r="C687" s="240" t="s">
        <v>1865</v>
      </c>
      <c r="D687" s="240"/>
      <c r="E687" s="240" t="s">
        <v>991</v>
      </c>
      <c r="F687" s="249">
        <v>3394900</v>
      </c>
      <c r="G687" s="250" t="s">
        <v>1879</v>
      </c>
      <c r="H687" s="240" t="s">
        <v>1363</v>
      </c>
      <c r="I687" s="240"/>
      <c r="J687" s="249"/>
      <c r="K687" s="240"/>
      <c r="L687" s="240"/>
      <c r="M687" s="240"/>
    </row>
    <row r="688" spans="1:13">
      <c r="A688" s="244" t="s">
        <v>686</v>
      </c>
      <c r="B688" s="244" t="s">
        <v>1864</v>
      </c>
      <c r="C688" s="244" t="s">
        <v>1865</v>
      </c>
      <c r="D688" s="244"/>
      <c r="E688" s="244" t="s">
        <v>991</v>
      </c>
      <c r="F688" s="251">
        <v>-3394900</v>
      </c>
      <c r="G688" s="252" t="s">
        <v>1880</v>
      </c>
      <c r="H688" s="244" t="s">
        <v>1363</v>
      </c>
      <c r="I688" s="244"/>
      <c r="J688" s="251"/>
      <c r="K688" s="244"/>
      <c r="L688" s="244"/>
      <c r="M688" s="244"/>
    </row>
    <row r="689" spans="1:13">
      <c r="A689" s="240" t="s">
        <v>686</v>
      </c>
      <c r="B689" s="240" t="s">
        <v>1864</v>
      </c>
      <c r="C689" s="240" t="s">
        <v>1865</v>
      </c>
      <c r="D689" s="240"/>
      <c r="E689" s="240" t="s">
        <v>991</v>
      </c>
      <c r="F689" s="249">
        <v>-4178193</v>
      </c>
      <c r="G689" s="250" t="s">
        <v>1880</v>
      </c>
      <c r="H689" s="240" t="s">
        <v>1363</v>
      </c>
      <c r="I689" s="240"/>
      <c r="J689" s="249"/>
      <c r="K689" s="240"/>
      <c r="L689" s="240"/>
      <c r="M689" s="240"/>
    </row>
    <row r="690" spans="1:13">
      <c r="A690" s="244" t="s">
        <v>686</v>
      </c>
      <c r="B690" s="244" t="s">
        <v>1864</v>
      </c>
      <c r="C690" s="244" t="s">
        <v>1865</v>
      </c>
      <c r="D690" s="244"/>
      <c r="E690" s="244" t="s">
        <v>991</v>
      </c>
      <c r="F690" s="251">
        <v>-5335316</v>
      </c>
      <c r="G690" s="252" t="s">
        <v>1880</v>
      </c>
      <c r="H690" s="244" t="s">
        <v>1363</v>
      </c>
      <c r="I690" s="244"/>
      <c r="J690" s="251"/>
      <c r="K690" s="244"/>
      <c r="L690" s="244"/>
      <c r="M690" s="244"/>
    </row>
    <row r="691" spans="1:13">
      <c r="A691" s="240" t="s">
        <v>686</v>
      </c>
      <c r="B691" s="240" t="s">
        <v>1864</v>
      </c>
      <c r="C691" s="240" t="s">
        <v>1865</v>
      </c>
      <c r="D691" s="240"/>
      <c r="E691" s="240" t="s">
        <v>991</v>
      </c>
      <c r="F691" s="249">
        <v>-683000</v>
      </c>
      <c r="G691" s="250" t="s">
        <v>1881</v>
      </c>
      <c r="H691" s="240" t="s">
        <v>1363</v>
      </c>
      <c r="I691" s="240"/>
      <c r="J691" s="249"/>
      <c r="K691" s="240"/>
      <c r="L691" s="240"/>
      <c r="M691" s="240"/>
    </row>
    <row r="692" spans="1:13">
      <c r="A692" s="244" t="s">
        <v>686</v>
      </c>
      <c r="B692" s="244" t="s">
        <v>1864</v>
      </c>
      <c r="C692" s="244" t="s">
        <v>1865</v>
      </c>
      <c r="D692" s="244"/>
      <c r="E692" s="244" t="s">
        <v>991</v>
      </c>
      <c r="F692" s="251">
        <v>683000</v>
      </c>
      <c r="G692" s="252" t="s">
        <v>1881</v>
      </c>
      <c r="H692" s="244" t="s">
        <v>1363</v>
      </c>
      <c r="I692" s="244"/>
      <c r="J692" s="251"/>
      <c r="K692" s="244"/>
      <c r="L692" s="244"/>
      <c r="M692" s="244"/>
    </row>
    <row r="693" spans="1:13">
      <c r="A693" s="240" t="s">
        <v>686</v>
      </c>
      <c r="B693" s="240" t="s">
        <v>1864</v>
      </c>
      <c r="C693" s="240" t="s">
        <v>1865</v>
      </c>
      <c r="D693" s="240"/>
      <c r="E693" s="240" t="s">
        <v>991</v>
      </c>
      <c r="F693" s="249">
        <v>683000</v>
      </c>
      <c r="G693" s="250" t="s">
        <v>1881</v>
      </c>
      <c r="H693" s="240" t="s">
        <v>1363</v>
      </c>
      <c r="I693" s="240"/>
      <c r="J693" s="249"/>
      <c r="K693" s="240"/>
      <c r="L693" s="240"/>
      <c r="M693" s="240"/>
    </row>
    <row r="694" spans="1:13">
      <c r="A694" s="244" t="s">
        <v>686</v>
      </c>
      <c r="B694" s="244" t="s">
        <v>1864</v>
      </c>
      <c r="C694" s="244" t="s">
        <v>1865</v>
      </c>
      <c r="D694" s="244"/>
      <c r="E694" s="244" t="s">
        <v>991</v>
      </c>
      <c r="F694" s="251">
        <v>3500000</v>
      </c>
      <c r="G694" s="252" t="s">
        <v>1881</v>
      </c>
      <c r="H694" s="244" t="s">
        <v>1363</v>
      </c>
      <c r="I694" s="244"/>
      <c r="J694" s="251"/>
      <c r="K694" s="244"/>
      <c r="L694" s="244"/>
      <c r="M694" s="244"/>
    </row>
    <row r="695" spans="1:13">
      <c r="A695" s="240" t="s">
        <v>686</v>
      </c>
      <c r="B695" s="240" t="s">
        <v>1864</v>
      </c>
      <c r="C695" s="240" t="s">
        <v>1865</v>
      </c>
      <c r="D695" s="240"/>
      <c r="E695" s="240" t="s">
        <v>991</v>
      </c>
      <c r="F695" s="249">
        <v>803000</v>
      </c>
      <c r="G695" s="250" t="s">
        <v>1881</v>
      </c>
      <c r="H695" s="240" t="s">
        <v>1363</v>
      </c>
      <c r="I695" s="240"/>
      <c r="J695" s="249"/>
      <c r="K695" s="240"/>
      <c r="L695" s="240"/>
      <c r="M695" s="240"/>
    </row>
    <row r="696" spans="1:13">
      <c r="A696" s="244" t="s">
        <v>686</v>
      </c>
      <c r="B696" s="244" t="s">
        <v>1864</v>
      </c>
      <c r="C696" s="244" t="s">
        <v>1865</v>
      </c>
      <c r="D696" s="244"/>
      <c r="E696" s="244" t="s">
        <v>991</v>
      </c>
      <c r="F696" s="251">
        <v>7801643</v>
      </c>
      <c r="G696" s="252" t="s">
        <v>1882</v>
      </c>
      <c r="H696" s="244" t="s">
        <v>1363</v>
      </c>
      <c r="I696" s="244"/>
      <c r="J696" s="251"/>
      <c r="K696" s="244"/>
      <c r="L696" s="244"/>
      <c r="M696" s="244"/>
    </row>
    <row r="697" spans="1:13">
      <c r="A697" s="240" t="s">
        <v>686</v>
      </c>
      <c r="B697" s="240" t="s">
        <v>1864</v>
      </c>
      <c r="C697" s="240" t="s">
        <v>1865</v>
      </c>
      <c r="D697" s="240"/>
      <c r="E697" s="240" t="s">
        <v>991</v>
      </c>
      <c r="F697" s="249">
        <v>3739835</v>
      </c>
      <c r="G697" s="250" t="s">
        <v>1882</v>
      </c>
      <c r="H697" s="240" t="s">
        <v>1363</v>
      </c>
      <c r="I697" s="240"/>
      <c r="J697" s="249"/>
      <c r="K697" s="240"/>
      <c r="L697" s="240"/>
      <c r="M697" s="240"/>
    </row>
    <row r="698" spans="1:13">
      <c r="A698" s="244" t="s">
        <v>686</v>
      </c>
      <c r="B698" s="244" t="s">
        <v>1864</v>
      </c>
      <c r="C698" s="244" t="s">
        <v>1865</v>
      </c>
      <c r="D698" s="244"/>
      <c r="E698" s="244" t="s">
        <v>991</v>
      </c>
      <c r="F698" s="251">
        <v>247671</v>
      </c>
      <c r="G698" s="252" t="s">
        <v>1882</v>
      </c>
      <c r="H698" s="244" t="s">
        <v>1363</v>
      </c>
      <c r="I698" s="244"/>
      <c r="J698" s="251"/>
      <c r="K698" s="244"/>
      <c r="L698" s="244"/>
      <c r="M698" s="244"/>
    </row>
    <row r="699" spans="1:13">
      <c r="A699" s="240" t="s">
        <v>686</v>
      </c>
      <c r="B699" s="240" t="s">
        <v>1864</v>
      </c>
      <c r="C699" s="240" t="s">
        <v>1865</v>
      </c>
      <c r="D699" s="240"/>
      <c r="E699" s="240" t="s">
        <v>991</v>
      </c>
      <c r="F699" s="249">
        <v>-683000</v>
      </c>
      <c r="G699" s="250" t="s">
        <v>1883</v>
      </c>
      <c r="H699" s="240" t="s">
        <v>1363</v>
      </c>
      <c r="I699" s="240"/>
      <c r="J699" s="249"/>
      <c r="K699" s="240"/>
      <c r="L699" s="240"/>
      <c r="M699" s="240"/>
    </row>
    <row r="700" spans="1:13">
      <c r="A700" s="244" t="s">
        <v>686</v>
      </c>
      <c r="B700" s="244" t="s">
        <v>1864</v>
      </c>
      <c r="C700" s="244" t="s">
        <v>1865</v>
      </c>
      <c r="D700" s="244"/>
      <c r="E700" s="244" t="s">
        <v>991</v>
      </c>
      <c r="F700" s="251">
        <v>-7801643</v>
      </c>
      <c r="G700" s="252" t="s">
        <v>1883</v>
      </c>
      <c r="H700" s="244" t="s">
        <v>1363</v>
      </c>
      <c r="I700" s="244"/>
      <c r="J700" s="251"/>
      <c r="K700" s="244"/>
      <c r="L700" s="244"/>
      <c r="M700" s="244"/>
    </row>
    <row r="701" spans="1:13">
      <c r="A701" s="240" t="s">
        <v>686</v>
      </c>
      <c r="B701" s="240" t="s">
        <v>1864</v>
      </c>
      <c r="C701" s="240" t="s">
        <v>1865</v>
      </c>
      <c r="D701" s="240"/>
      <c r="E701" s="240" t="s">
        <v>991</v>
      </c>
      <c r="F701" s="249">
        <v>-3739835</v>
      </c>
      <c r="G701" s="250" t="s">
        <v>1883</v>
      </c>
      <c r="H701" s="240" t="s">
        <v>1363</v>
      </c>
      <c r="I701" s="240"/>
      <c r="J701" s="249"/>
      <c r="K701" s="240"/>
      <c r="L701" s="240"/>
      <c r="M701" s="240"/>
    </row>
    <row r="702" spans="1:13">
      <c r="A702" s="244" t="s">
        <v>686</v>
      </c>
      <c r="B702" s="244" t="s">
        <v>1864</v>
      </c>
      <c r="C702" s="244" t="s">
        <v>1865</v>
      </c>
      <c r="D702" s="244"/>
      <c r="E702" s="244" t="s">
        <v>991</v>
      </c>
      <c r="F702" s="251">
        <v>-3500000</v>
      </c>
      <c r="G702" s="252" t="s">
        <v>1883</v>
      </c>
      <c r="H702" s="244" t="s">
        <v>1363</v>
      </c>
      <c r="I702" s="244"/>
      <c r="J702" s="251"/>
      <c r="K702" s="244"/>
      <c r="L702" s="244"/>
      <c r="M702" s="244"/>
    </row>
    <row r="703" spans="1:13">
      <c r="A703" s="240" t="s">
        <v>686</v>
      </c>
      <c r="B703" s="240" t="s">
        <v>1864</v>
      </c>
      <c r="C703" s="240" t="s">
        <v>1865</v>
      </c>
      <c r="D703" s="240"/>
      <c r="E703" s="240" t="s">
        <v>991</v>
      </c>
      <c r="F703" s="249">
        <v>-803000</v>
      </c>
      <c r="G703" s="250" t="s">
        <v>1883</v>
      </c>
      <c r="H703" s="240" t="s">
        <v>1363</v>
      </c>
      <c r="I703" s="240"/>
      <c r="J703" s="249"/>
      <c r="K703" s="240"/>
      <c r="L703" s="240"/>
      <c r="M703" s="240"/>
    </row>
    <row r="704" spans="1:13">
      <c r="A704" s="244" t="s">
        <v>686</v>
      </c>
      <c r="B704" s="244" t="s">
        <v>1864</v>
      </c>
      <c r="C704" s="244" t="s">
        <v>1865</v>
      </c>
      <c r="D704" s="244"/>
      <c r="E704" s="244" t="s">
        <v>991</v>
      </c>
      <c r="F704" s="251">
        <v>-247671</v>
      </c>
      <c r="G704" s="252" t="s">
        <v>1883</v>
      </c>
      <c r="H704" s="244" t="s">
        <v>1363</v>
      </c>
      <c r="I704" s="244"/>
      <c r="J704" s="251"/>
      <c r="K704" s="244"/>
      <c r="L704" s="244"/>
      <c r="M704" s="244"/>
    </row>
    <row r="705" spans="1:13">
      <c r="A705" s="240" t="s">
        <v>686</v>
      </c>
      <c r="B705" s="240" t="s">
        <v>1864</v>
      </c>
      <c r="C705" s="240" t="s">
        <v>1865</v>
      </c>
      <c r="D705" s="240"/>
      <c r="E705" s="240" t="s">
        <v>991</v>
      </c>
      <c r="F705" s="249">
        <v>1800000</v>
      </c>
      <c r="G705" s="250" t="s">
        <v>1884</v>
      </c>
      <c r="H705" s="240" t="s">
        <v>1363</v>
      </c>
      <c r="I705" s="240"/>
      <c r="J705" s="249"/>
      <c r="K705" s="240"/>
      <c r="L705" s="240"/>
      <c r="M705" s="240"/>
    </row>
    <row r="706" spans="1:13">
      <c r="A706" s="244" t="s">
        <v>686</v>
      </c>
      <c r="B706" s="244" t="s">
        <v>1864</v>
      </c>
      <c r="C706" s="244" t="s">
        <v>1865</v>
      </c>
      <c r="D706" s="244"/>
      <c r="E706" s="244" t="s">
        <v>991</v>
      </c>
      <c r="F706" s="251">
        <v>1500000</v>
      </c>
      <c r="G706" s="252" t="s">
        <v>1885</v>
      </c>
      <c r="H706" s="244" t="s">
        <v>1363</v>
      </c>
      <c r="I706" s="244"/>
      <c r="J706" s="251"/>
      <c r="K706" s="244"/>
      <c r="L706" s="244"/>
      <c r="M706" s="244"/>
    </row>
    <row r="707" spans="1:13">
      <c r="A707" s="240" t="s">
        <v>686</v>
      </c>
      <c r="B707" s="240" t="s">
        <v>1864</v>
      </c>
      <c r="C707" s="240" t="s">
        <v>1865</v>
      </c>
      <c r="D707" s="240"/>
      <c r="E707" s="240" t="s">
        <v>991</v>
      </c>
      <c r="F707" s="249">
        <v>370000</v>
      </c>
      <c r="G707" s="250" t="s">
        <v>1885</v>
      </c>
      <c r="H707" s="240" t="s">
        <v>1363</v>
      </c>
      <c r="I707" s="240"/>
      <c r="J707" s="249"/>
      <c r="K707" s="240"/>
      <c r="L707" s="240"/>
      <c r="M707" s="240"/>
    </row>
    <row r="708" spans="1:13">
      <c r="A708" s="244" t="s">
        <v>686</v>
      </c>
      <c r="B708" s="244" t="s">
        <v>1864</v>
      </c>
      <c r="C708" s="244" t="s">
        <v>1865</v>
      </c>
      <c r="D708" s="244"/>
      <c r="E708" s="244" t="s">
        <v>991</v>
      </c>
      <c r="F708" s="251">
        <v>5000000</v>
      </c>
      <c r="G708" s="252" t="s">
        <v>1886</v>
      </c>
      <c r="H708" s="244" t="s">
        <v>1363</v>
      </c>
      <c r="I708" s="244"/>
      <c r="J708" s="251"/>
      <c r="K708" s="244"/>
      <c r="L708" s="244"/>
      <c r="M708" s="244"/>
    </row>
    <row r="709" spans="1:13">
      <c r="A709" s="240" t="s">
        <v>686</v>
      </c>
      <c r="B709" s="240" t="s">
        <v>1864</v>
      </c>
      <c r="C709" s="240" t="s">
        <v>1865</v>
      </c>
      <c r="D709" s="240"/>
      <c r="E709" s="240" t="s">
        <v>991</v>
      </c>
      <c r="F709" s="249">
        <v>4818224</v>
      </c>
      <c r="G709" s="250" t="s">
        <v>1886</v>
      </c>
      <c r="H709" s="240" t="s">
        <v>1363</v>
      </c>
      <c r="I709" s="240"/>
      <c r="J709" s="249"/>
      <c r="K709" s="240"/>
      <c r="L709" s="240"/>
      <c r="M709" s="240"/>
    </row>
    <row r="710" spans="1:13">
      <c r="A710" s="244" t="s">
        <v>686</v>
      </c>
      <c r="B710" s="244" t="s">
        <v>1864</v>
      </c>
      <c r="C710" s="244" t="s">
        <v>1865</v>
      </c>
      <c r="D710" s="244"/>
      <c r="E710" s="244" t="s">
        <v>991</v>
      </c>
      <c r="F710" s="251">
        <v>2545136</v>
      </c>
      <c r="G710" s="252" t="s">
        <v>1886</v>
      </c>
      <c r="H710" s="244" t="s">
        <v>1363</v>
      </c>
      <c r="I710" s="244"/>
      <c r="J710" s="251"/>
      <c r="K710" s="244"/>
      <c r="L710" s="244"/>
      <c r="M710" s="244"/>
    </row>
    <row r="711" spans="1:13">
      <c r="A711" s="240" t="s">
        <v>686</v>
      </c>
      <c r="B711" s="240" t="s">
        <v>1864</v>
      </c>
      <c r="C711" s="240" t="s">
        <v>1865</v>
      </c>
      <c r="D711" s="240"/>
      <c r="E711" s="240" t="s">
        <v>991</v>
      </c>
      <c r="F711" s="249">
        <v>2413477</v>
      </c>
      <c r="G711" s="250" t="s">
        <v>1887</v>
      </c>
      <c r="H711" s="240" t="s">
        <v>1363</v>
      </c>
      <c r="I711" s="240"/>
      <c r="J711" s="249"/>
      <c r="K711" s="240"/>
      <c r="L711" s="240"/>
      <c r="M711" s="240"/>
    </row>
    <row r="712" spans="1:13">
      <c r="A712" s="244" t="s">
        <v>686</v>
      </c>
      <c r="B712" s="244" t="s">
        <v>1864</v>
      </c>
      <c r="C712" s="244" t="s">
        <v>1865</v>
      </c>
      <c r="D712" s="244"/>
      <c r="E712" s="244" t="s">
        <v>991</v>
      </c>
      <c r="F712" s="251">
        <v>1100000</v>
      </c>
      <c r="G712" s="252" t="s">
        <v>1888</v>
      </c>
      <c r="H712" s="244" t="s">
        <v>1363</v>
      </c>
      <c r="I712" s="244"/>
      <c r="J712" s="251"/>
      <c r="K712" s="244"/>
      <c r="L712" s="244"/>
      <c r="M712" s="244"/>
    </row>
    <row r="713" spans="1:13">
      <c r="A713" s="240" t="s">
        <v>686</v>
      </c>
      <c r="B713" s="240" t="s">
        <v>1864</v>
      </c>
      <c r="C713" s="240" t="s">
        <v>1865</v>
      </c>
      <c r="D713" s="240"/>
      <c r="E713" s="240" t="s">
        <v>991</v>
      </c>
      <c r="F713" s="249">
        <v>-4818224</v>
      </c>
      <c r="G713" s="250" t="s">
        <v>1888</v>
      </c>
      <c r="H713" s="240" t="s">
        <v>1363</v>
      </c>
      <c r="I713" s="240"/>
      <c r="J713" s="249"/>
      <c r="K713" s="240"/>
      <c r="L713" s="240"/>
      <c r="M713" s="240"/>
    </row>
    <row r="714" spans="1:13">
      <c r="A714" s="244" t="s">
        <v>686</v>
      </c>
      <c r="B714" s="244" t="s">
        <v>1864</v>
      </c>
      <c r="C714" s="244" t="s">
        <v>1865</v>
      </c>
      <c r="D714" s="244"/>
      <c r="E714" s="244" t="s">
        <v>991</v>
      </c>
      <c r="F714" s="251">
        <v>-1500000</v>
      </c>
      <c r="G714" s="252" t="s">
        <v>1888</v>
      </c>
      <c r="H714" s="244" t="s">
        <v>1363</v>
      </c>
      <c r="I714" s="244"/>
      <c r="J714" s="251"/>
      <c r="K714" s="244"/>
      <c r="L714" s="244"/>
      <c r="M714" s="244"/>
    </row>
    <row r="715" spans="1:13">
      <c r="A715" s="240" t="s">
        <v>686</v>
      </c>
      <c r="B715" s="240" t="s">
        <v>1864</v>
      </c>
      <c r="C715" s="240" t="s">
        <v>1865</v>
      </c>
      <c r="D715" s="240"/>
      <c r="E715" s="240" t="s">
        <v>991</v>
      </c>
      <c r="F715" s="249">
        <v>-1800000</v>
      </c>
      <c r="G715" s="250" t="s">
        <v>1888</v>
      </c>
      <c r="H715" s="240" t="s">
        <v>1363</v>
      </c>
      <c r="I715" s="240"/>
      <c r="J715" s="249"/>
      <c r="K715" s="240"/>
      <c r="L715" s="240"/>
      <c r="M715" s="240"/>
    </row>
    <row r="716" spans="1:13">
      <c r="A716" s="244" t="s">
        <v>686</v>
      </c>
      <c r="B716" s="244" t="s">
        <v>1864</v>
      </c>
      <c r="C716" s="244" t="s">
        <v>1865</v>
      </c>
      <c r="D716" s="244"/>
      <c r="E716" s="244" t="s">
        <v>991</v>
      </c>
      <c r="F716" s="251">
        <v>-2413477</v>
      </c>
      <c r="G716" s="252" t="s">
        <v>1888</v>
      </c>
      <c r="H716" s="244" t="s">
        <v>1363</v>
      </c>
      <c r="I716" s="244"/>
      <c r="J716" s="251"/>
      <c r="K716" s="244"/>
      <c r="L716" s="244"/>
      <c r="M716" s="244"/>
    </row>
    <row r="717" spans="1:13">
      <c r="A717" s="240" t="s">
        <v>686</v>
      </c>
      <c r="B717" s="240" t="s">
        <v>1864</v>
      </c>
      <c r="C717" s="240" t="s">
        <v>1865</v>
      </c>
      <c r="D717" s="240"/>
      <c r="E717" s="240" t="s">
        <v>991</v>
      </c>
      <c r="F717" s="249">
        <v>-2545136</v>
      </c>
      <c r="G717" s="250" t="s">
        <v>1888</v>
      </c>
      <c r="H717" s="240" t="s">
        <v>733</v>
      </c>
      <c r="I717" s="240"/>
      <c r="J717" s="249"/>
      <c r="K717" s="240"/>
      <c r="L717" s="240"/>
      <c r="M717" s="240"/>
    </row>
    <row r="718" spans="1:13">
      <c r="A718" s="244" t="s">
        <v>686</v>
      </c>
      <c r="B718" s="244" t="s">
        <v>1864</v>
      </c>
      <c r="C718" s="244" t="s">
        <v>1865</v>
      </c>
      <c r="D718" s="244"/>
      <c r="E718" s="244" t="s">
        <v>991</v>
      </c>
      <c r="F718" s="251">
        <v>4129333</v>
      </c>
      <c r="G718" s="252" t="s">
        <v>1888</v>
      </c>
      <c r="H718" s="244" t="s">
        <v>733</v>
      </c>
      <c r="I718" s="244"/>
      <c r="J718" s="251"/>
      <c r="K718" s="244"/>
      <c r="L718" s="244"/>
      <c r="M718" s="244"/>
    </row>
    <row r="719" spans="1:13">
      <c r="A719" s="240" t="s">
        <v>686</v>
      </c>
      <c r="B719" s="240" t="s">
        <v>1864</v>
      </c>
      <c r="C719" s="240" t="s">
        <v>1865</v>
      </c>
      <c r="D719" s="240"/>
      <c r="E719" s="240" t="s">
        <v>991</v>
      </c>
      <c r="F719" s="249">
        <v>4129333</v>
      </c>
      <c r="G719" s="250" t="s">
        <v>1888</v>
      </c>
      <c r="H719" s="240" t="s">
        <v>733</v>
      </c>
      <c r="I719" s="240"/>
      <c r="J719" s="249"/>
      <c r="K719" s="240"/>
      <c r="L719" s="240"/>
      <c r="M719" s="240"/>
    </row>
    <row r="720" spans="1:13">
      <c r="A720" s="244" t="s">
        <v>686</v>
      </c>
      <c r="B720" s="244" t="s">
        <v>1864</v>
      </c>
      <c r="C720" s="244" t="s">
        <v>1865</v>
      </c>
      <c r="D720" s="244"/>
      <c r="E720" s="244" t="s">
        <v>991</v>
      </c>
      <c r="F720" s="251">
        <v>4129333</v>
      </c>
      <c r="G720" s="252" t="s">
        <v>1888</v>
      </c>
      <c r="H720" s="244" t="s">
        <v>733</v>
      </c>
      <c r="I720" s="244"/>
      <c r="J720" s="251"/>
      <c r="K720" s="244"/>
      <c r="L720" s="244"/>
      <c r="M720" s="244"/>
    </row>
    <row r="721" spans="1:13">
      <c r="A721" s="240" t="s">
        <v>686</v>
      </c>
      <c r="B721" s="240" t="s">
        <v>1864</v>
      </c>
      <c r="C721" s="240" t="s">
        <v>1865</v>
      </c>
      <c r="D721" s="240"/>
      <c r="E721" s="240" t="s">
        <v>991</v>
      </c>
      <c r="F721" s="249">
        <v>4129333</v>
      </c>
      <c r="G721" s="250" t="s">
        <v>1888</v>
      </c>
      <c r="H721" s="240" t="s">
        <v>733</v>
      </c>
      <c r="I721" s="240"/>
      <c r="J721" s="249"/>
      <c r="K721" s="240"/>
      <c r="L721" s="240"/>
      <c r="M721" s="240"/>
    </row>
    <row r="722" spans="1:13">
      <c r="A722" s="244" t="s">
        <v>686</v>
      </c>
      <c r="B722" s="244" t="s">
        <v>1864</v>
      </c>
      <c r="C722" s="244" t="s">
        <v>1865</v>
      </c>
      <c r="D722" s="244"/>
      <c r="E722" s="244" t="s">
        <v>991</v>
      </c>
      <c r="F722" s="251">
        <v>4129333</v>
      </c>
      <c r="G722" s="252" t="s">
        <v>1888</v>
      </c>
      <c r="H722" s="244" t="s">
        <v>733</v>
      </c>
      <c r="I722" s="244"/>
      <c r="J722" s="251"/>
      <c r="K722" s="244"/>
      <c r="L722" s="244"/>
      <c r="M722" s="244"/>
    </row>
    <row r="723" spans="1:13">
      <c r="A723" s="240" t="s">
        <v>686</v>
      </c>
      <c r="B723" s="240" t="s">
        <v>1864</v>
      </c>
      <c r="C723" s="240" t="s">
        <v>1865</v>
      </c>
      <c r="D723" s="240"/>
      <c r="E723" s="240" t="s">
        <v>991</v>
      </c>
      <c r="F723" s="249">
        <v>4129333</v>
      </c>
      <c r="G723" s="250" t="s">
        <v>1888</v>
      </c>
      <c r="H723" s="240" t="s">
        <v>733</v>
      </c>
      <c r="I723" s="240"/>
      <c r="J723" s="249"/>
      <c r="K723" s="240"/>
      <c r="L723" s="240"/>
      <c r="M723" s="240"/>
    </row>
    <row r="724" spans="1:13">
      <c r="A724" s="244" t="s">
        <v>686</v>
      </c>
      <c r="B724" s="244" t="s">
        <v>1864</v>
      </c>
      <c r="C724" s="244" t="s">
        <v>1865</v>
      </c>
      <c r="D724" s="244"/>
      <c r="E724" s="244" t="s">
        <v>991</v>
      </c>
      <c r="F724" s="251">
        <v>4802402</v>
      </c>
      <c r="G724" s="252" t="s">
        <v>1888</v>
      </c>
      <c r="H724" s="244" t="s">
        <v>733</v>
      </c>
      <c r="I724" s="244"/>
      <c r="J724" s="251"/>
      <c r="K724" s="244"/>
      <c r="L724" s="244"/>
      <c r="M724" s="244"/>
    </row>
    <row r="725" spans="1:13">
      <c r="A725" s="240" t="s">
        <v>686</v>
      </c>
      <c r="B725" s="240" t="s">
        <v>1864</v>
      </c>
      <c r="C725" s="240" t="s">
        <v>1865</v>
      </c>
      <c r="D725" s="240"/>
      <c r="E725" s="240" t="s">
        <v>991</v>
      </c>
      <c r="F725" s="249">
        <v>5551604</v>
      </c>
      <c r="G725" s="250" t="s">
        <v>1888</v>
      </c>
      <c r="H725" s="240" t="s">
        <v>1889</v>
      </c>
      <c r="I725" s="240"/>
      <c r="J725" s="249"/>
      <c r="K725" s="240"/>
      <c r="L725" s="240"/>
      <c r="M725" s="240"/>
    </row>
    <row r="726" spans="1:13">
      <c r="A726" s="244" t="s">
        <v>686</v>
      </c>
      <c r="B726" s="244" t="s">
        <v>1864</v>
      </c>
      <c r="C726" s="244" t="s">
        <v>1890</v>
      </c>
      <c r="D726" s="244"/>
      <c r="E726" s="244" t="s">
        <v>991</v>
      </c>
      <c r="F726" s="251">
        <v>7189463</v>
      </c>
      <c r="G726" s="252" t="s">
        <v>1888</v>
      </c>
      <c r="H726" s="244" t="s">
        <v>1363</v>
      </c>
      <c r="I726" s="244"/>
      <c r="J726" s="251"/>
      <c r="K726" s="244"/>
      <c r="L726" s="244"/>
      <c r="M726" s="244"/>
    </row>
    <row r="727" spans="1:13">
      <c r="A727" s="240" t="s">
        <v>686</v>
      </c>
      <c r="B727" s="240" t="s">
        <v>1864</v>
      </c>
      <c r="C727" s="240" t="s">
        <v>1865</v>
      </c>
      <c r="D727" s="240"/>
      <c r="E727" s="240" t="s">
        <v>991</v>
      </c>
      <c r="F727" s="249">
        <v>7526122</v>
      </c>
      <c r="G727" s="250" t="s">
        <v>1888</v>
      </c>
      <c r="H727" s="240" t="s">
        <v>733</v>
      </c>
      <c r="I727" s="240"/>
      <c r="J727" s="249"/>
      <c r="K727" s="240"/>
      <c r="L727" s="240"/>
      <c r="M727" s="240"/>
    </row>
    <row r="728" spans="1:13">
      <c r="A728" s="244" t="s">
        <v>686</v>
      </c>
      <c r="B728" s="244" t="s">
        <v>1864</v>
      </c>
      <c r="C728" s="244" t="s">
        <v>1865</v>
      </c>
      <c r="D728" s="244"/>
      <c r="E728" s="244" t="s">
        <v>991</v>
      </c>
      <c r="F728" s="251">
        <v>7526122</v>
      </c>
      <c r="G728" s="252" t="s">
        <v>1888</v>
      </c>
      <c r="H728" s="244" t="s">
        <v>733</v>
      </c>
      <c r="I728" s="244"/>
      <c r="J728" s="251"/>
      <c r="K728" s="244"/>
      <c r="L728" s="244"/>
      <c r="M728" s="244"/>
    </row>
    <row r="729" spans="1:13">
      <c r="A729" s="240" t="s">
        <v>686</v>
      </c>
      <c r="B729" s="240" t="s">
        <v>1864</v>
      </c>
      <c r="C729" s="240" t="s">
        <v>1865</v>
      </c>
      <c r="D729" s="240"/>
      <c r="E729" s="240" t="s">
        <v>991</v>
      </c>
      <c r="F729" s="249">
        <v>7526122</v>
      </c>
      <c r="G729" s="250" t="s">
        <v>1888</v>
      </c>
      <c r="H729" s="240" t="s">
        <v>733</v>
      </c>
      <c r="I729" s="240"/>
      <c r="J729" s="249"/>
      <c r="K729" s="240"/>
      <c r="L729" s="240"/>
      <c r="M729" s="240"/>
    </row>
    <row r="730" spans="1:13">
      <c r="A730" s="244" t="s">
        <v>686</v>
      </c>
      <c r="B730" s="244" t="s">
        <v>1864</v>
      </c>
      <c r="C730" s="244" t="s">
        <v>1865</v>
      </c>
      <c r="D730" s="244"/>
      <c r="E730" s="244" t="s">
        <v>991</v>
      </c>
      <c r="F730" s="251">
        <v>7526123</v>
      </c>
      <c r="G730" s="252" t="s">
        <v>1888</v>
      </c>
      <c r="H730" s="244" t="s">
        <v>733</v>
      </c>
      <c r="I730" s="244"/>
      <c r="J730" s="251"/>
      <c r="K730" s="244"/>
      <c r="L730" s="244"/>
      <c r="M730" s="244"/>
    </row>
    <row r="731" spans="1:13">
      <c r="A731" s="240" t="s">
        <v>686</v>
      </c>
      <c r="B731" s="240" t="s">
        <v>1864</v>
      </c>
      <c r="C731" s="240" t="s">
        <v>1865</v>
      </c>
      <c r="D731" s="240"/>
      <c r="E731" s="240" t="s">
        <v>991</v>
      </c>
      <c r="F731" s="249">
        <v>7526123</v>
      </c>
      <c r="G731" s="250" t="s">
        <v>1888</v>
      </c>
      <c r="H731" s="240" t="s">
        <v>733</v>
      </c>
      <c r="I731" s="240"/>
      <c r="J731" s="249"/>
      <c r="K731" s="240"/>
      <c r="L731" s="240"/>
      <c r="M731" s="240"/>
    </row>
    <row r="732" spans="1:13">
      <c r="A732" s="244" t="s">
        <v>686</v>
      </c>
      <c r="B732" s="244" t="s">
        <v>1864</v>
      </c>
      <c r="C732" s="244" t="s">
        <v>1865</v>
      </c>
      <c r="D732" s="244"/>
      <c r="E732" s="244" t="s">
        <v>991</v>
      </c>
      <c r="F732" s="251">
        <v>7526123</v>
      </c>
      <c r="G732" s="252" t="s">
        <v>1888</v>
      </c>
      <c r="H732" s="244" t="s">
        <v>733</v>
      </c>
      <c r="I732" s="244"/>
      <c r="J732" s="251"/>
      <c r="K732" s="244"/>
      <c r="L732" s="244"/>
      <c r="M732" s="244"/>
    </row>
    <row r="733" spans="1:13">
      <c r="A733" s="240" t="s">
        <v>686</v>
      </c>
      <c r="B733" s="240" t="s">
        <v>1864</v>
      </c>
      <c r="C733" s="240" t="s">
        <v>1865</v>
      </c>
      <c r="D733" s="240"/>
      <c r="E733" s="240" t="s">
        <v>991</v>
      </c>
      <c r="F733" s="249">
        <v>7819417</v>
      </c>
      <c r="G733" s="250" t="s">
        <v>1888</v>
      </c>
      <c r="H733" s="240" t="s">
        <v>733</v>
      </c>
      <c r="I733" s="240"/>
      <c r="J733" s="249"/>
      <c r="K733" s="240"/>
      <c r="L733" s="240"/>
      <c r="M733" s="240"/>
    </row>
    <row r="734" spans="1:13">
      <c r="A734" s="244" t="s">
        <v>686</v>
      </c>
      <c r="B734" s="244" t="s">
        <v>1864</v>
      </c>
      <c r="C734" s="244" t="s">
        <v>1865</v>
      </c>
      <c r="D734" s="244"/>
      <c r="E734" s="244" t="s">
        <v>991</v>
      </c>
      <c r="F734" s="251">
        <v>7951315</v>
      </c>
      <c r="G734" s="252" t="s">
        <v>1888</v>
      </c>
      <c r="H734" s="244" t="s">
        <v>733</v>
      </c>
      <c r="I734" s="244"/>
      <c r="J734" s="251"/>
      <c r="K734" s="244"/>
      <c r="L734" s="244"/>
      <c r="M734" s="244"/>
    </row>
    <row r="735" spans="1:13">
      <c r="A735" s="240" t="s">
        <v>686</v>
      </c>
      <c r="B735" s="240" t="s">
        <v>1864</v>
      </c>
      <c r="C735" s="240" t="s">
        <v>1865</v>
      </c>
      <c r="D735" s="240"/>
      <c r="E735" s="240" t="s">
        <v>991</v>
      </c>
      <c r="F735" s="249">
        <v>8051315</v>
      </c>
      <c r="G735" s="250" t="s">
        <v>1888</v>
      </c>
      <c r="H735" s="240" t="s">
        <v>733</v>
      </c>
      <c r="I735" s="240"/>
      <c r="J735" s="249"/>
      <c r="K735" s="240"/>
      <c r="L735" s="240"/>
      <c r="M735" s="240"/>
    </row>
    <row r="736" spans="1:13">
      <c r="A736" s="244" t="s">
        <v>686</v>
      </c>
      <c r="B736" s="244" t="s">
        <v>1864</v>
      </c>
      <c r="C736" s="244" t="s">
        <v>1891</v>
      </c>
      <c r="D736" s="244"/>
      <c r="E736" s="244" t="s">
        <v>991</v>
      </c>
      <c r="F736" s="251">
        <v>8160661</v>
      </c>
      <c r="G736" s="252" t="s">
        <v>1888</v>
      </c>
      <c r="H736" s="244" t="s">
        <v>1363</v>
      </c>
      <c r="I736" s="244"/>
      <c r="J736" s="251"/>
      <c r="K736" s="244"/>
      <c r="L736" s="244"/>
      <c r="M736" s="244"/>
    </row>
    <row r="737" spans="1:13">
      <c r="A737" s="240" t="s">
        <v>686</v>
      </c>
      <c r="B737" s="240" t="s">
        <v>1864</v>
      </c>
      <c r="C737" s="240" t="s">
        <v>1891</v>
      </c>
      <c r="D737" s="240"/>
      <c r="E737" s="240" t="s">
        <v>991</v>
      </c>
      <c r="F737" s="249">
        <v>8160661</v>
      </c>
      <c r="G737" s="250" t="s">
        <v>1888</v>
      </c>
      <c r="H737" s="240" t="s">
        <v>1363</v>
      </c>
      <c r="I737" s="240"/>
      <c r="J737" s="249"/>
      <c r="K737" s="240"/>
      <c r="L737" s="240"/>
      <c r="M737" s="240"/>
    </row>
    <row r="738" spans="1:13">
      <c r="A738" s="244" t="s">
        <v>686</v>
      </c>
      <c r="B738" s="244" t="s">
        <v>1864</v>
      </c>
      <c r="C738" s="244" t="s">
        <v>1865</v>
      </c>
      <c r="D738" s="244"/>
      <c r="E738" s="244" t="s">
        <v>991</v>
      </c>
      <c r="F738" s="251">
        <v>9800000</v>
      </c>
      <c r="G738" s="252" t="s">
        <v>1888</v>
      </c>
      <c r="H738" s="244" t="s">
        <v>733</v>
      </c>
      <c r="I738" s="244"/>
      <c r="J738" s="251"/>
      <c r="K738" s="244"/>
      <c r="L738" s="244"/>
      <c r="M738" s="244"/>
    </row>
    <row r="739" spans="1:13">
      <c r="A739" s="240" t="s">
        <v>686</v>
      </c>
      <c r="B739" s="240" t="s">
        <v>1864</v>
      </c>
      <c r="C739" s="240" t="s">
        <v>1865</v>
      </c>
      <c r="D739" s="240"/>
      <c r="E739" s="240" t="s">
        <v>991</v>
      </c>
      <c r="F739" s="249">
        <v>13816733</v>
      </c>
      <c r="G739" s="250" t="s">
        <v>1888</v>
      </c>
      <c r="H739" s="240" t="s">
        <v>910</v>
      </c>
      <c r="I739" s="240"/>
      <c r="J739" s="249"/>
      <c r="K739" s="240"/>
      <c r="L739" s="240"/>
      <c r="M739" s="240"/>
    </row>
    <row r="740" spans="1:13">
      <c r="A740" s="244" t="s">
        <v>686</v>
      </c>
      <c r="B740" s="244" t="s">
        <v>1864</v>
      </c>
      <c r="C740" s="244" t="s">
        <v>1865</v>
      </c>
      <c r="D740" s="244"/>
      <c r="E740" s="244" t="s">
        <v>991</v>
      </c>
      <c r="F740" s="251">
        <v>14952245</v>
      </c>
      <c r="G740" s="252" t="s">
        <v>1888</v>
      </c>
      <c r="H740" s="244" t="s">
        <v>733</v>
      </c>
      <c r="I740" s="244"/>
      <c r="J740" s="251"/>
      <c r="K740" s="244"/>
      <c r="L740" s="244"/>
      <c r="M740" s="244"/>
    </row>
    <row r="741" spans="1:13">
      <c r="A741" s="240" t="s">
        <v>686</v>
      </c>
      <c r="B741" s="240" t="s">
        <v>1864</v>
      </c>
      <c r="C741" s="240" t="s">
        <v>1865</v>
      </c>
      <c r="D741" s="240"/>
      <c r="E741" s="240" t="s">
        <v>991</v>
      </c>
      <c r="F741" s="249">
        <v>15275550</v>
      </c>
      <c r="G741" s="250" t="s">
        <v>1888</v>
      </c>
      <c r="H741" s="240" t="s">
        <v>733</v>
      </c>
      <c r="I741" s="240"/>
      <c r="J741" s="249"/>
      <c r="K741" s="240"/>
      <c r="L741" s="240"/>
      <c r="M741" s="240"/>
    </row>
    <row r="742" spans="1:13">
      <c r="A742" s="244" t="s">
        <v>686</v>
      </c>
      <c r="B742" s="244" t="s">
        <v>1864</v>
      </c>
      <c r="C742" s="244" t="s">
        <v>1865</v>
      </c>
      <c r="D742" s="244"/>
      <c r="E742" s="244" t="s">
        <v>991</v>
      </c>
      <c r="F742" s="251">
        <v>15275550</v>
      </c>
      <c r="G742" s="252" t="s">
        <v>1888</v>
      </c>
      <c r="H742" s="244" t="s">
        <v>733</v>
      </c>
      <c r="I742" s="244"/>
      <c r="J742" s="251"/>
      <c r="K742" s="244"/>
      <c r="L742" s="244"/>
      <c r="M742" s="244"/>
    </row>
    <row r="743" spans="1:13">
      <c r="A743" s="240" t="s">
        <v>686</v>
      </c>
      <c r="B743" s="240" t="s">
        <v>1864</v>
      </c>
      <c r="C743" s="240" t="s">
        <v>1865</v>
      </c>
      <c r="D743" s="240"/>
      <c r="E743" s="240" t="s">
        <v>991</v>
      </c>
      <c r="F743" s="249">
        <v>15275550</v>
      </c>
      <c r="G743" s="250" t="s">
        <v>1888</v>
      </c>
      <c r="H743" s="240" t="s">
        <v>733</v>
      </c>
      <c r="I743" s="240"/>
      <c r="J743" s="249"/>
      <c r="K743" s="240"/>
      <c r="L743" s="240"/>
      <c r="M743" s="240"/>
    </row>
    <row r="744" spans="1:13">
      <c r="A744" s="244" t="s">
        <v>686</v>
      </c>
      <c r="B744" s="244" t="s">
        <v>1864</v>
      </c>
      <c r="C744" s="244" t="s">
        <v>1865</v>
      </c>
      <c r="D744" s="244"/>
      <c r="E744" s="244" t="s">
        <v>991</v>
      </c>
      <c r="F744" s="251">
        <v>18844190</v>
      </c>
      <c r="G744" s="252" t="s">
        <v>1888</v>
      </c>
      <c r="H744" s="244" t="s">
        <v>733</v>
      </c>
      <c r="I744" s="244"/>
      <c r="J744" s="251"/>
      <c r="K744" s="244"/>
      <c r="L744" s="244"/>
      <c r="M744" s="244"/>
    </row>
    <row r="745" spans="1:13">
      <c r="A745" s="240" t="s">
        <v>686</v>
      </c>
      <c r="B745" s="240" t="s">
        <v>1864</v>
      </c>
      <c r="C745" s="240" t="s">
        <v>1865</v>
      </c>
      <c r="D745" s="240"/>
      <c r="E745" s="240" t="s">
        <v>991</v>
      </c>
      <c r="F745" s="249">
        <v>27009076</v>
      </c>
      <c r="G745" s="250" t="s">
        <v>1888</v>
      </c>
      <c r="H745" s="240" t="s">
        <v>733</v>
      </c>
      <c r="I745" s="240"/>
      <c r="J745" s="249"/>
      <c r="K745" s="240"/>
      <c r="L745" s="240"/>
      <c r="M745" s="240"/>
    </row>
    <row r="746" spans="1:13">
      <c r="A746" s="244" t="s">
        <v>686</v>
      </c>
      <c r="B746" s="244" t="s">
        <v>1864</v>
      </c>
      <c r="C746" s="244" t="s">
        <v>1865</v>
      </c>
      <c r="D746" s="244"/>
      <c r="E746" s="244" t="s">
        <v>991</v>
      </c>
      <c r="F746" s="251">
        <v>400000</v>
      </c>
      <c r="G746" s="252" t="s">
        <v>1888</v>
      </c>
      <c r="H746" s="244" t="s">
        <v>733</v>
      </c>
      <c r="I746" s="244"/>
      <c r="J746" s="251"/>
      <c r="K746" s="244"/>
      <c r="L746" s="244"/>
      <c r="M746" s="244"/>
    </row>
    <row r="747" spans="1:13">
      <c r="A747" s="240" t="s">
        <v>686</v>
      </c>
      <c r="B747" s="240" t="s">
        <v>1864</v>
      </c>
      <c r="C747" s="240" t="s">
        <v>1865</v>
      </c>
      <c r="D747" s="240"/>
      <c r="E747" s="240" t="s">
        <v>991</v>
      </c>
      <c r="F747" s="249">
        <v>608000</v>
      </c>
      <c r="G747" s="250" t="s">
        <v>1888</v>
      </c>
      <c r="H747" s="240" t="s">
        <v>910</v>
      </c>
      <c r="I747" s="240"/>
      <c r="J747" s="249"/>
      <c r="K747" s="240"/>
      <c r="L747" s="240"/>
      <c r="M747" s="240"/>
    </row>
    <row r="748" spans="1:13">
      <c r="A748" s="244" t="s">
        <v>686</v>
      </c>
      <c r="B748" s="244" t="s">
        <v>1864</v>
      </c>
      <c r="C748" s="244" t="s">
        <v>1865</v>
      </c>
      <c r="D748" s="244"/>
      <c r="E748" s="244" t="s">
        <v>991</v>
      </c>
      <c r="F748" s="251">
        <v>1955000</v>
      </c>
      <c r="G748" s="252" t="s">
        <v>1888</v>
      </c>
      <c r="H748" s="244" t="s">
        <v>1363</v>
      </c>
      <c r="I748" s="244"/>
      <c r="J748" s="251"/>
      <c r="K748" s="244"/>
      <c r="L748" s="244"/>
      <c r="M748" s="244"/>
    </row>
    <row r="749" spans="1:13">
      <c r="A749" s="240" t="s">
        <v>686</v>
      </c>
      <c r="B749" s="240" t="s">
        <v>1864</v>
      </c>
      <c r="C749" s="240" t="s">
        <v>1865</v>
      </c>
      <c r="D749" s="240"/>
      <c r="E749" s="240" t="s">
        <v>991</v>
      </c>
      <c r="F749" s="249">
        <v>2196000</v>
      </c>
      <c r="G749" s="250" t="s">
        <v>1888</v>
      </c>
      <c r="H749" s="240" t="s">
        <v>910</v>
      </c>
      <c r="I749" s="240"/>
      <c r="J749" s="249"/>
      <c r="K749" s="240"/>
      <c r="L749" s="240"/>
      <c r="M749" s="240"/>
    </row>
    <row r="750" spans="1:13">
      <c r="A750" s="244" t="s">
        <v>686</v>
      </c>
      <c r="B750" s="244" t="s">
        <v>1864</v>
      </c>
      <c r="C750" s="244" t="s">
        <v>1892</v>
      </c>
      <c r="D750" s="244"/>
      <c r="E750" s="244" t="s">
        <v>991</v>
      </c>
      <c r="F750" s="251">
        <v>2250000</v>
      </c>
      <c r="G750" s="252" t="s">
        <v>1888</v>
      </c>
      <c r="H750" s="244" t="s">
        <v>1363</v>
      </c>
      <c r="I750" s="244"/>
      <c r="J750" s="251"/>
      <c r="K750" s="244"/>
      <c r="L750" s="244"/>
      <c r="M750" s="244"/>
    </row>
    <row r="751" spans="1:13">
      <c r="A751" s="240" t="s">
        <v>686</v>
      </c>
      <c r="B751" s="240" t="s">
        <v>1864</v>
      </c>
      <c r="C751" s="240" t="s">
        <v>1865</v>
      </c>
      <c r="D751" s="240"/>
      <c r="E751" s="240" t="s">
        <v>991</v>
      </c>
      <c r="F751" s="249">
        <v>4129333</v>
      </c>
      <c r="G751" s="250" t="s">
        <v>1888</v>
      </c>
      <c r="H751" s="240" t="s">
        <v>733</v>
      </c>
      <c r="I751" s="240"/>
      <c r="J751" s="249"/>
      <c r="K751" s="240"/>
      <c r="L751" s="240"/>
      <c r="M751" s="240"/>
    </row>
    <row r="752" spans="1:13">
      <c r="A752" s="244" t="s">
        <v>686</v>
      </c>
      <c r="B752" s="244" t="s">
        <v>1864</v>
      </c>
      <c r="C752" s="244" t="s">
        <v>1865</v>
      </c>
      <c r="D752" s="244"/>
      <c r="E752" s="244" t="s">
        <v>991</v>
      </c>
      <c r="F752" s="251">
        <v>4129333</v>
      </c>
      <c r="G752" s="252" t="s">
        <v>1888</v>
      </c>
      <c r="H752" s="244" t="s">
        <v>733</v>
      </c>
      <c r="I752" s="244"/>
      <c r="J752" s="251"/>
      <c r="K752" s="244"/>
      <c r="L752" s="244"/>
      <c r="M752" s="244"/>
    </row>
    <row r="753" spans="1:13">
      <c r="A753" s="240" t="s">
        <v>686</v>
      </c>
      <c r="B753" s="240" t="s">
        <v>1864</v>
      </c>
      <c r="C753" s="240" t="s">
        <v>1893</v>
      </c>
      <c r="D753" s="240"/>
      <c r="E753" s="240" t="s">
        <v>991</v>
      </c>
      <c r="F753" s="249">
        <v>40000</v>
      </c>
      <c r="G753" s="250" t="s">
        <v>1894</v>
      </c>
      <c r="H753" s="240" t="s">
        <v>733</v>
      </c>
      <c r="I753" s="240"/>
      <c r="J753" s="249"/>
      <c r="K753" s="240"/>
      <c r="L753" s="240"/>
      <c r="M753" s="240"/>
    </row>
    <row r="754" spans="1:13">
      <c r="A754" s="244" t="s">
        <v>686</v>
      </c>
      <c r="B754" s="244" t="s">
        <v>1864</v>
      </c>
      <c r="C754" s="244" t="s">
        <v>1893</v>
      </c>
      <c r="D754" s="244"/>
      <c r="E754" s="244" t="s">
        <v>991</v>
      </c>
      <c r="F754" s="251">
        <v>25000</v>
      </c>
      <c r="G754" s="252" t="s">
        <v>1894</v>
      </c>
      <c r="H754" s="244" t="s">
        <v>733</v>
      </c>
      <c r="I754" s="244"/>
      <c r="J754" s="251"/>
      <c r="K754" s="244"/>
      <c r="L754" s="244"/>
      <c r="M754" s="244"/>
    </row>
    <row r="755" spans="1:13">
      <c r="A755" s="240" t="s">
        <v>686</v>
      </c>
      <c r="B755" s="240" t="s">
        <v>1864</v>
      </c>
      <c r="C755" s="240" t="s">
        <v>1893</v>
      </c>
      <c r="D755" s="240"/>
      <c r="E755" s="240" t="s">
        <v>991</v>
      </c>
      <c r="F755" s="249">
        <v>25000</v>
      </c>
      <c r="G755" s="250" t="s">
        <v>1895</v>
      </c>
      <c r="H755" s="240" t="s">
        <v>733</v>
      </c>
      <c r="I755" s="240"/>
      <c r="J755" s="249"/>
      <c r="K755" s="240"/>
      <c r="L755" s="240"/>
      <c r="M755" s="240"/>
    </row>
    <row r="756" spans="1:13">
      <c r="A756" s="244" t="s">
        <v>686</v>
      </c>
      <c r="B756" s="244" t="s">
        <v>1864</v>
      </c>
      <c r="C756" s="244" t="s">
        <v>1893</v>
      </c>
      <c r="D756" s="244"/>
      <c r="E756" s="244" t="s">
        <v>991</v>
      </c>
      <c r="F756" s="251">
        <v>40000</v>
      </c>
      <c r="G756" s="252" t="s">
        <v>1895</v>
      </c>
      <c r="H756" s="244" t="s">
        <v>733</v>
      </c>
      <c r="I756" s="244"/>
      <c r="J756" s="251"/>
      <c r="K756" s="244"/>
      <c r="L756" s="244"/>
      <c r="M756" s="244"/>
    </row>
    <row r="757" spans="1:13">
      <c r="A757" s="240" t="s">
        <v>686</v>
      </c>
      <c r="B757" s="240" t="s">
        <v>1864</v>
      </c>
      <c r="C757" s="240" t="s">
        <v>1893</v>
      </c>
      <c r="D757" s="240"/>
      <c r="E757" s="240" t="s">
        <v>991</v>
      </c>
      <c r="F757" s="249">
        <v>-90100</v>
      </c>
      <c r="G757" s="250" t="s">
        <v>1896</v>
      </c>
      <c r="H757" s="240" t="s">
        <v>733</v>
      </c>
      <c r="I757" s="240"/>
      <c r="J757" s="249"/>
      <c r="K757" s="240"/>
      <c r="L757" s="240"/>
      <c r="M757" s="240"/>
    </row>
    <row r="758" spans="1:13">
      <c r="A758" s="244" t="s">
        <v>686</v>
      </c>
      <c r="B758" s="244" t="s">
        <v>1864</v>
      </c>
      <c r="C758" s="244" t="s">
        <v>1893</v>
      </c>
      <c r="D758" s="244"/>
      <c r="E758" s="244" t="s">
        <v>991</v>
      </c>
      <c r="F758" s="251">
        <v>-88400</v>
      </c>
      <c r="G758" s="252" t="s">
        <v>1896</v>
      </c>
      <c r="H758" s="244" t="s">
        <v>733</v>
      </c>
      <c r="I758" s="244"/>
      <c r="J758" s="251"/>
      <c r="K758" s="244"/>
      <c r="L758" s="244"/>
      <c r="M758" s="244"/>
    </row>
    <row r="759" spans="1:13">
      <c r="A759" s="240" t="s">
        <v>686</v>
      </c>
      <c r="B759" s="240" t="s">
        <v>1864</v>
      </c>
      <c r="C759" s="240" t="s">
        <v>1893</v>
      </c>
      <c r="D759" s="240"/>
      <c r="E759" s="240" t="s">
        <v>991</v>
      </c>
      <c r="F759" s="249">
        <v>-75500</v>
      </c>
      <c r="G759" s="250" t="s">
        <v>1896</v>
      </c>
      <c r="H759" s="240" t="s">
        <v>733</v>
      </c>
      <c r="I759" s="240"/>
      <c r="J759" s="249"/>
      <c r="K759" s="240"/>
      <c r="L759" s="240"/>
      <c r="M759" s="240"/>
    </row>
    <row r="760" spans="1:13">
      <c r="A760" s="244" t="s">
        <v>686</v>
      </c>
      <c r="B760" s="244" t="s">
        <v>1864</v>
      </c>
      <c r="C760" s="244" t="s">
        <v>1893</v>
      </c>
      <c r="D760" s="244"/>
      <c r="E760" s="244" t="s">
        <v>991</v>
      </c>
      <c r="F760" s="251">
        <v>-55500</v>
      </c>
      <c r="G760" s="252" t="s">
        <v>1896</v>
      </c>
      <c r="H760" s="244" t="s">
        <v>733</v>
      </c>
      <c r="I760" s="244"/>
      <c r="J760" s="251"/>
      <c r="K760" s="244"/>
      <c r="L760" s="244"/>
      <c r="M760" s="244"/>
    </row>
    <row r="761" spans="1:13">
      <c r="A761" s="240" t="s">
        <v>686</v>
      </c>
      <c r="B761" s="240" t="s">
        <v>1864</v>
      </c>
      <c r="C761" s="240" t="s">
        <v>1865</v>
      </c>
      <c r="D761" s="240"/>
      <c r="E761" s="240" t="s">
        <v>991</v>
      </c>
      <c r="F761" s="249">
        <v>-27000</v>
      </c>
      <c r="G761" s="250" t="s">
        <v>1896</v>
      </c>
      <c r="H761" s="240" t="s">
        <v>1363</v>
      </c>
      <c r="I761" s="240"/>
      <c r="J761" s="249"/>
      <c r="K761" s="240"/>
      <c r="L761" s="240"/>
      <c r="M761" s="240"/>
    </row>
    <row r="762" spans="1:13">
      <c r="A762" s="244" t="s">
        <v>686</v>
      </c>
      <c r="B762" s="244" t="s">
        <v>1864</v>
      </c>
      <c r="C762" s="244" t="s">
        <v>1865</v>
      </c>
      <c r="D762" s="244"/>
      <c r="E762" s="244" t="s">
        <v>991</v>
      </c>
      <c r="F762" s="251">
        <v>-102300</v>
      </c>
      <c r="G762" s="252" t="s">
        <v>1896</v>
      </c>
      <c r="H762" s="244" t="s">
        <v>1363</v>
      </c>
      <c r="I762" s="244"/>
      <c r="J762" s="251"/>
      <c r="K762" s="244"/>
      <c r="L762" s="244"/>
      <c r="M762" s="244"/>
    </row>
    <row r="763" spans="1:13">
      <c r="A763" s="240" t="s">
        <v>686</v>
      </c>
      <c r="B763" s="240" t="s">
        <v>1864</v>
      </c>
      <c r="C763" s="240" t="s">
        <v>1865</v>
      </c>
      <c r="D763" s="240"/>
      <c r="E763" s="240" t="s">
        <v>991</v>
      </c>
      <c r="F763" s="249">
        <v>500000</v>
      </c>
      <c r="G763" s="250" t="s">
        <v>1896</v>
      </c>
      <c r="H763" s="240" t="s">
        <v>1363</v>
      </c>
      <c r="I763" s="240"/>
      <c r="J763" s="249"/>
      <c r="K763" s="240"/>
      <c r="L763" s="240"/>
      <c r="M763" s="240"/>
    </row>
    <row r="764" spans="1:13">
      <c r="A764" s="244" t="s">
        <v>686</v>
      </c>
      <c r="B764" s="244" t="s">
        <v>1864</v>
      </c>
      <c r="C764" s="244" t="s">
        <v>1893</v>
      </c>
      <c r="D764" s="244"/>
      <c r="E764" s="244" t="s">
        <v>991</v>
      </c>
      <c r="F764" s="251">
        <v>55500</v>
      </c>
      <c r="G764" s="252" t="s">
        <v>1897</v>
      </c>
      <c r="H764" s="244" t="s">
        <v>733</v>
      </c>
      <c r="I764" s="244"/>
      <c r="J764" s="251"/>
      <c r="K764" s="244"/>
      <c r="L764" s="244"/>
      <c r="M764" s="244"/>
    </row>
    <row r="765" spans="1:13">
      <c r="A765" s="240" t="s">
        <v>686</v>
      </c>
      <c r="B765" s="240" t="s">
        <v>1864</v>
      </c>
      <c r="C765" s="240" t="s">
        <v>1893</v>
      </c>
      <c r="D765" s="240"/>
      <c r="E765" s="240" t="s">
        <v>991</v>
      </c>
      <c r="F765" s="249">
        <v>90100</v>
      </c>
      <c r="G765" s="250" t="s">
        <v>1897</v>
      </c>
      <c r="H765" s="240" t="s">
        <v>733</v>
      </c>
      <c r="I765" s="240"/>
      <c r="J765" s="249"/>
      <c r="K765" s="240"/>
      <c r="L765" s="240"/>
      <c r="M765" s="240"/>
    </row>
    <row r="766" spans="1:13">
      <c r="A766" s="244" t="s">
        <v>686</v>
      </c>
      <c r="B766" s="244" t="s">
        <v>1864</v>
      </c>
      <c r="C766" s="244" t="s">
        <v>1893</v>
      </c>
      <c r="D766" s="244"/>
      <c r="E766" s="244" t="s">
        <v>991</v>
      </c>
      <c r="F766" s="251">
        <v>75500</v>
      </c>
      <c r="G766" s="252" t="s">
        <v>1897</v>
      </c>
      <c r="H766" s="244" t="s">
        <v>733</v>
      </c>
      <c r="I766" s="244"/>
      <c r="J766" s="251"/>
      <c r="K766" s="244"/>
      <c r="L766" s="244"/>
      <c r="M766" s="244"/>
    </row>
    <row r="767" spans="1:13">
      <c r="A767" s="240" t="s">
        <v>686</v>
      </c>
      <c r="B767" s="240" t="s">
        <v>1864</v>
      </c>
      <c r="C767" s="240" t="s">
        <v>1893</v>
      </c>
      <c r="D767" s="240"/>
      <c r="E767" s="240" t="s">
        <v>991</v>
      </c>
      <c r="F767" s="249">
        <v>88400</v>
      </c>
      <c r="G767" s="250" t="s">
        <v>1897</v>
      </c>
      <c r="H767" s="240" t="s">
        <v>733</v>
      </c>
      <c r="I767" s="240"/>
      <c r="J767" s="249"/>
      <c r="K767" s="240"/>
      <c r="L767" s="240"/>
      <c r="M767" s="240"/>
    </row>
    <row r="768" spans="1:13">
      <c r="A768" s="244" t="s">
        <v>686</v>
      </c>
      <c r="B768" s="244" t="s">
        <v>1864</v>
      </c>
      <c r="C768" s="244" t="s">
        <v>1865</v>
      </c>
      <c r="D768" s="244"/>
      <c r="E768" s="244" t="s">
        <v>991</v>
      </c>
      <c r="F768" s="251">
        <v>27000</v>
      </c>
      <c r="G768" s="252" t="s">
        <v>1897</v>
      </c>
      <c r="H768" s="244" t="s">
        <v>1363</v>
      </c>
      <c r="I768" s="244"/>
      <c r="J768" s="251"/>
      <c r="K768" s="244"/>
      <c r="L768" s="244"/>
      <c r="M768" s="244"/>
    </row>
    <row r="769" spans="1:13">
      <c r="A769" s="240" t="s">
        <v>686</v>
      </c>
      <c r="B769" s="240" t="s">
        <v>1864</v>
      </c>
      <c r="C769" s="240" t="s">
        <v>1865</v>
      </c>
      <c r="D769" s="240"/>
      <c r="E769" s="240" t="s">
        <v>991</v>
      </c>
      <c r="F769" s="249">
        <v>102300</v>
      </c>
      <c r="G769" s="250" t="s">
        <v>1897</v>
      </c>
      <c r="H769" s="240" t="s">
        <v>1363</v>
      </c>
      <c r="I769" s="240"/>
      <c r="J769" s="249"/>
      <c r="K769" s="240"/>
      <c r="L769" s="240"/>
      <c r="M769" s="240"/>
    </row>
    <row r="770" spans="1:13">
      <c r="A770" s="244" t="s">
        <v>686</v>
      </c>
      <c r="B770" s="244" t="s">
        <v>1864</v>
      </c>
      <c r="C770" s="244" t="s">
        <v>1893</v>
      </c>
      <c r="D770" s="244"/>
      <c r="E770" s="244" t="s">
        <v>991</v>
      </c>
      <c r="F770" s="251">
        <v>40000</v>
      </c>
      <c r="G770" s="252" t="s">
        <v>1898</v>
      </c>
      <c r="H770" s="244" t="s">
        <v>733</v>
      </c>
      <c r="I770" s="244"/>
      <c r="J770" s="251"/>
      <c r="K770" s="244"/>
      <c r="L770" s="244"/>
      <c r="M770" s="244"/>
    </row>
    <row r="771" spans="1:13">
      <c r="A771" s="240" t="s">
        <v>686</v>
      </c>
      <c r="B771" s="240" t="s">
        <v>1864</v>
      </c>
      <c r="C771" s="240" t="s">
        <v>1893</v>
      </c>
      <c r="D771" s="240"/>
      <c r="E771" s="240" t="s">
        <v>991</v>
      </c>
      <c r="F771" s="249">
        <v>25000</v>
      </c>
      <c r="G771" s="250" t="s">
        <v>1898</v>
      </c>
      <c r="H771" s="240" t="s">
        <v>733</v>
      </c>
      <c r="I771" s="240"/>
      <c r="J771" s="249"/>
      <c r="K771" s="240"/>
      <c r="L771" s="240"/>
      <c r="M771" s="240"/>
    </row>
    <row r="772" spans="1:13">
      <c r="A772" s="244" t="s">
        <v>686</v>
      </c>
      <c r="B772" s="244" t="s">
        <v>1864</v>
      </c>
      <c r="C772" s="244" t="s">
        <v>1893</v>
      </c>
      <c r="D772" s="244"/>
      <c r="E772" s="244" t="s">
        <v>991</v>
      </c>
      <c r="F772" s="251">
        <v>40000</v>
      </c>
      <c r="G772" s="252" t="s">
        <v>1899</v>
      </c>
      <c r="H772" s="244" t="s">
        <v>733</v>
      </c>
      <c r="I772" s="244"/>
      <c r="J772" s="251"/>
      <c r="K772" s="244"/>
      <c r="L772" s="244"/>
      <c r="M772" s="244"/>
    </row>
    <row r="773" spans="1:13">
      <c r="A773" s="240" t="s">
        <v>686</v>
      </c>
      <c r="B773" s="240" t="s">
        <v>1864</v>
      </c>
      <c r="C773" s="240" t="s">
        <v>1893</v>
      </c>
      <c r="D773" s="240"/>
      <c r="E773" s="240" t="s">
        <v>991</v>
      </c>
      <c r="F773" s="249">
        <v>25000</v>
      </c>
      <c r="G773" s="250" t="s">
        <v>1899</v>
      </c>
      <c r="H773" s="240" t="s">
        <v>733</v>
      </c>
      <c r="I773" s="240"/>
      <c r="J773" s="249"/>
      <c r="K773" s="240"/>
      <c r="L773" s="240"/>
      <c r="M773" s="240"/>
    </row>
    <row r="774" spans="1:13">
      <c r="A774" s="244" t="s">
        <v>686</v>
      </c>
      <c r="B774" s="244" t="s">
        <v>1864</v>
      </c>
      <c r="C774" s="244" t="s">
        <v>1865</v>
      </c>
      <c r="D774" s="244"/>
      <c r="E774" s="244" t="s">
        <v>991</v>
      </c>
      <c r="F774" s="251">
        <v>-100000</v>
      </c>
      <c r="G774" s="252" t="s">
        <v>1900</v>
      </c>
      <c r="H774" s="244" t="s">
        <v>1363</v>
      </c>
      <c r="I774" s="244"/>
      <c r="J774" s="251"/>
      <c r="K774" s="244"/>
      <c r="L774" s="244"/>
      <c r="M774" s="244"/>
    </row>
    <row r="775" spans="1:13">
      <c r="A775" s="240" t="s">
        <v>686</v>
      </c>
      <c r="B775" s="240" t="s">
        <v>1864</v>
      </c>
      <c r="C775" s="240" t="s">
        <v>1865</v>
      </c>
      <c r="D775" s="240"/>
      <c r="E775" s="240" t="s">
        <v>991</v>
      </c>
      <c r="F775" s="249">
        <v>100000</v>
      </c>
      <c r="G775" s="250" t="s">
        <v>1900</v>
      </c>
      <c r="H775" s="240" t="s">
        <v>1363</v>
      </c>
      <c r="I775" s="240"/>
      <c r="J775" s="249"/>
      <c r="K775" s="240"/>
      <c r="L775" s="240"/>
      <c r="M775" s="240"/>
    </row>
    <row r="776" spans="1:13">
      <c r="A776" s="244" t="s">
        <v>686</v>
      </c>
      <c r="B776" s="244" t="s">
        <v>1864</v>
      </c>
      <c r="C776" s="244" t="s">
        <v>1865</v>
      </c>
      <c r="D776" s="244"/>
      <c r="E776" s="244" t="s">
        <v>991</v>
      </c>
      <c r="F776" s="251">
        <v>-250000</v>
      </c>
      <c r="G776" s="252" t="s">
        <v>1900</v>
      </c>
      <c r="H776" s="244" t="s">
        <v>1363</v>
      </c>
      <c r="I776" s="244"/>
      <c r="J776" s="251"/>
      <c r="K776" s="244"/>
      <c r="L776" s="244"/>
      <c r="M776" s="244"/>
    </row>
    <row r="777" spans="1:13">
      <c r="A777" s="240" t="s">
        <v>686</v>
      </c>
      <c r="B777" s="240" t="s">
        <v>1864</v>
      </c>
      <c r="C777" s="240" t="s">
        <v>1865</v>
      </c>
      <c r="D777" s="240"/>
      <c r="E777" s="240" t="s">
        <v>991</v>
      </c>
      <c r="F777" s="249">
        <v>250000</v>
      </c>
      <c r="G777" s="250" t="s">
        <v>1900</v>
      </c>
      <c r="H777" s="240" t="s">
        <v>1363</v>
      </c>
      <c r="I777" s="240"/>
      <c r="J777" s="249"/>
      <c r="K777" s="240"/>
      <c r="L777" s="240"/>
      <c r="M777" s="240"/>
    </row>
    <row r="778" spans="1:13">
      <c r="A778" s="244" t="s">
        <v>686</v>
      </c>
      <c r="B778" s="244" t="s">
        <v>1864</v>
      </c>
      <c r="C778" s="244" t="s">
        <v>1893</v>
      </c>
      <c r="D778" s="244"/>
      <c r="E778" s="244" t="s">
        <v>991</v>
      </c>
      <c r="F778" s="251">
        <v>40000</v>
      </c>
      <c r="G778" s="252" t="s">
        <v>1901</v>
      </c>
      <c r="H778" s="244" t="s">
        <v>733</v>
      </c>
      <c r="I778" s="244"/>
      <c r="J778" s="251"/>
      <c r="K778" s="244"/>
      <c r="L778" s="244"/>
      <c r="M778" s="244"/>
    </row>
    <row r="779" spans="1:13">
      <c r="A779" s="240" t="s">
        <v>686</v>
      </c>
      <c r="B779" s="240" t="s">
        <v>1864</v>
      </c>
      <c r="C779" s="240" t="s">
        <v>1893</v>
      </c>
      <c r="D779" s="240"/>
      <c r="E779" s="240" t="s">
        <v>991</v>
      </c>
      <c r="F779" s="249">
        <v>40000</v>
      </c>
      <c r="G779" s="250" t="s">
        <v>1901</v>
      </c>
      <c r="H779" s="240" t="s">
        <v>733</v>
      </c>
      <c r="I779" s="240"/>
      <c r="J779" s="249"/>
      <c r="K779" s="240"/>
      <c r="L779" s="240"/>
      <c r="M779" s="240"/>
    </row>
    <row r="780" spans="1:13">
      <c r="A780" s="244" t="s">
        <v>686</v>
      </c>
      <c r="B780" s="244" t="s">
        <v>1864</v>
      </c>
      <c r="C780" s="244" t="s">
        <v>1893</v>
      </c>
      <c r="D780" s="244"/>
      <c r="E780" s="244" t="s">
        <v>991</v>
      </c>
      <c r="F780" s="251">
        <v>40000</v>
      </c>
      <c r="G780" s="252" t="s">
        <v>1901</v>
      </c>
      <c r="H780" s="244" t="s">
        <v>733</v>
      </c>
      <c r="I780" s="244"/>
      <c r="J780" s="251"/>
      <c r="K780" s="244"/>
      <c r="L780" s="244"/>
      <c r="M780" s="244"/>
    </row>
    <row r="781" spans="1:13">
      <c r="A781" s="240" t="s">
        <v>686</v>
      </c>
      <c r="B781" s="240" t="s">
        <v>1864</v>
      </c>
      <c r="C781" s="240" t="s">
        <v>1893</v>
      </c>
      <c r="D781" s="240"/>
      <c r="E781" s="240" t="s">
        <v>991</v>
      </c>
      <c r="F781" s="249">
        <v>40000</v>
      </c>
      <c r="G781" s="250" t="s">
        <v>1901</v>
      </c>
      <c r="H781" s="240" t="s">
        <v>733</v>
      </c>
      <c r="I781" s="240"/>
      <c r="J781" s="249"/>
      <c r="K781" s="240"/>
      <c r="L781" s="240"/>
      <c r="M781" s="240"/>
    </row>
    <row r="782" spans="1:13">
      <c r="A782" s="244" t="s">
        <v>686</v>
      </c>
      <c r="B782" s="244" t="s">
        <v>1864</v>
      </c>
      <c r="C782" s="244" t="s">
        <v>1893</v>
      </c>
      <c r="D782" s="244"/>
      <c r="E782" s="244" t="s">
        <v>991</v>
      </c>
      <c r="F782" s="251">
        <v>40000</v>
      </c>
      <c r="G782" s="252" t="s">
        <v>1901</v>
      </c>
      <c r="H782" s="244" t="s">
        <v>733</v>
      </c>
      <c r="I782" s="244"/>
      <c r="J782" s="251"/>
      <c r="K782" s="244"/>
      <c r="L782" s="244"/>
      <c r="M782" s="244"/>
    </row>
    <row r="783" spans="1:13">
      <c r="A783" s="240" t="s">
        <v>686</v>
      </c>
      <c r="B783" s="240" t="s">
        <v>1864</v>
      </c>
      <c r="C783" s="240" t="s">
        <v>1893</v>
      </c>
      <c r="D783" s="240"/>
      <c r="E783" s="240" t="s">
        <v>991</v>
      </c>
      <c r="F783" s="249">
        <v>40000</v>
      </c>
      <c r="G783" s="250" t="s">
        <v>1901</v>
      </c>
      <c r="H783" s="240" t="s">
        <v>733</v>
      </c>
      <c r="I783" s="240"/>
      <c r="J783" s="249"/>
      <c r="K783" s="240"/>
      <c r="L783" s="240"/>
      <c r="M783" s="240"/>
    </row>
    <row r="784" spans="1:13">
      <c r="A784" s="244" t="s">
        <v>686</v>
      </c>
      <c r="B784" s="244" t="s">
        <v>1864</v>
      </c>
      <c r="C784" s="244" t="s">
        <v>1893</v>
      </c>
      <c r="D784" s="244"/>
      <c r="E784" s="244" t="s">
        <v>991</v>
      </c>
      <c r="F784" s="251">
        <v>24000</v>
      </c>
      <c r="G784" s="252" t="s">
        <v>1901</v>
      </c>
      <c r="H784" s="244" t="s">
        <v>733</v>
      </c>
      <c r="I784" s="244"/>
      <c r="J784" s="251"/>
      <c r="K784" s="244"/>
      <c r="L784" s="244"/>
      <c r="M784" s="244"/>
    </row>
    <row r="785" spans="1:13">
      <c r="A785" s="240" t="s">
        <v>686</v>
      </c>
      <c r="B785" s="240" t="s">
        <v>1864</v>
      </c>
      <c r="C785" s="240" t="s">
        <v>1893</v>
      </c>
      <c r="D785" s="240"/>
      <c r="E785" s="240" t="s">
        <v>991</v>
      </c>
      <c r="F785" s="249">
        <v>24000</v>
      </c>
      <c r="G785" s="250" t="s">
        <v>1901</v>
      </c>
      <c r="H785" s="240" t="s">
        <v>733</v>
      </c>
      <c r="I785" s="240"/>
      <c r="J785" s="249"/>
      <c r="K785" s="240"/>
      <c r="L785" s="240"/>
      <c r="M785" s="240"/>
    </row>
    <row r="786" spans="1:13">
      <c r="A786" s="244" t="s">
        <v>686</v>
      </c>
      <c r="B786" s="244" t="s">
        <v>1864</v>
      </c>
      <c r="C786" s="244" t="s">
        <v>1893</v>
      </c>
      <c r="D786" s="244"/>
      <c r="E786" s="244" t="s">
        <v>991</v>
      </c>
      <c r="F786" s="251">
        <v>24000</v>
      </c>
      <c r="G786" s="252" t="s">
        <v>1901</v>
      </c>
      <c r="H786" s="244" t="s">
        <v>733</v>
      </c>
      <c r="I786" s="244"/>
      <c r="J786" s="251"/>
      <c r="K786" s="244"/>
      <c r="L786" s="244"/>
      <c r="M786" s="244"/>
    </row>
    <row r="787" spans="1:13">
      <c r="A787" s="240" t="s">
        <v>686</v>
      </c>
      <c r="B787" s="240" t="s">
        <v>1864</v>
      </c>
      <c r="C787" s="240" t="s">
        <v>1893</v>
      </c>
      <c r="D787" s="240"/>
      <c r="E787" s="240" t="s">
        <v>991</v>
      </c>
      <c r="F787" s="249">
        <v>24000</v>
      </c>
      <c r="G787" s="250" t="s">
        <v>1901</v>
      </c>
      <c r="H787" s="240" t="s">
        <v>733</v>
      </c>
      <c r="I787" s="240"/>
      <c r="J787" s="249"/>
      <c r="K787" s="240"/>
      <c r="L787" s="240"/>
      <c r="M787" s="240"/>
    </row>
    <row r="788" spans="1:13">
      <c r="A788" s="244" t="s">
        <v>686</v>
      </c>
      <c r="B788" s="244" t="s">
        <v>1864</v>
      </c>
      <c r="C788" s="244" t="s">
        <v>1893</v>
      </c>
      <c r="D788" s="244"/>
      <c r="E788" s="244" t="s">
        <v>991</v>
      </c>
      <c r="F788" s="251">
        <v>24000</v>
      </c>
      <c r="G788" s="252" t="s">
        <v>1901</v>
      </c>
      <c r="H788" s="244" t="s">
        <v>733</v>
      </c>
      <c r="I788" s="244"/>
      <c r="J788" s="251"/>
      <c r="K788" s="244"/>
      <c r="L788" s="244"/>
      <c r="M788" s="244"/>
    </row>
    <row r="789" spans="1:13">
      <c r="A789" s="240" t="s">
        <v>686</v>
      </c>
      <c r="B789" s="240" t="s">
        <v>1864</v>
      </c>
      <c r="C789" s="240" t="s">
        <v>1893</v>
      </c>
      <c r="D789" s="240"/>
      <c r="E789" s="240" t="s">
        <v>991</v>
      </c>
      <c r="F789" s="249">
        <v>24000</v>
      </c>
      <c r="G789" s="250" t="s">
        <v>1901</v>
      </c>
      <c r="H789" s="240" t="s">
        <v>733</v>
      </c>
      <c r="I789" s="240"/>
      <c r="J789" s="249"/>
      <c r="K789" s="240"/>
      <c r="L789" s="240"/>
      <c r="M789" s="240"/>
    </row>
    <row r="790" spans="1:13">
      <c r="A790" s="244" t="s">
        <v>686</v>
      </c>
      <c r="B790" s="244" t="s">
        <v>1864</v>
      </c>
      <c r="C790" s="244" t="s">
        <v>1893</v>
      </c>
      <c r="D790" s="244"/>
      <c r="E790" s="244" t="s">
        <v>991</v>
      </c>
      <c r="F790" s="251">
        <v>40000</v>
      </c>
      <c r="G790" s="252" t="s">
        <v>1902</v>
      </c>
      <c r="H790" s="244" t="s">
        <v>733</v>
      </c>
      <c r="I790" s="244"/>
      <c r="J790" s="251"/>
      <c r="K790" s="244"/>
      <c r="L790" s="244"/>
      <c r="M790" s="244"/>
    </row>
    <row r="791" spans="1:13">
      <c r="A791" s="240" t="s">
        <v>686</v>
      </c>
      <c r="B791" s="240" t="s">
        <v>1864</v>
      </c>
      <c r="C791" s="240" t="s">
        <v>1893</v>
      </c>
      <c r="D791" s="240"/>
      <c r="E791" s="240" t="s">
        <v>991</v>
      </c>
      <c r="F791" s="249">
        <v>25000</v>
      </c>
      <c r="G791" s="250" t="s">
        <v>1902</v>
      </c>
      <c r="H791" s="240" t="s">
        <v>733</v>
      </c>
      <c r="I791" s="240"/>
      <c r="J791" s="249"/>
      <c r="K791" s="240"/>
      <c r="L791" s="240"/>
      <c r="M791" s="240"/>
    </row>
    <row r="792" spans="1:13">
      <c r="A792" s="244" t="s">
        <v>686</v>
      </c>
      <c r="B792" s="244" t="s">
        <v>1864</v>
      </c>
      <c r="C792" s="244" t="s">
        <v>1893</v>
      </c>
      <c r="D792" s="244"/>
      <c r="E792" s="244" t="s">
        <v>991</v>
      </c>
      <c r="F792" s="251">
        <v>40000</v>
      </c>
      <c r="G792" s="252" t="s">
        <v>1903</v>
      </c>
      <c r="H792" s="244" t="s">
        <v>733</v>
      </c>
      <c r="I792" s="244"/>
      <c r="J792" s="251"/>
      <c r="K792" s="244"/>
      <c r="L792" s="244"/>
      <c r="M792" s="244"/>
    </row>
    <row r="793" spans="1:13">
      <c r="A793" s="240" t="s">
        <v>686</v>
      </c>
      <c r="B793" s="240" t="s">
        <v>1864</v>
      </c>
      <c r="C793" s="240" t="s">
        <v>1893</v>
      </c>
      <c r="D793" s="240"/>
      <c r="E793" s="240" t="s">
        <v>991</v>
      </c>
      <c r="F793" s="249">
        <v>40000</v>
      </c>
      <c r="G793" s="250" t="s">
        <v>1903</v>
      </c>
      <c r="H793" s="240" t="s">
        <v>733</v>
      </c>
      <c r="I793" s="240"/>
      <c r="J793" s="249"/>
      <c r="K793" s="240"/>
      <c r="L793" s="240"/>
      <c r="M793" s="240"/>
    </row>
    <row r="794" spans="1:13">
      <c r="A794" s="244" t="s">
        <v>686</v>
      </c>
      <c r="B794" s="244" t="s">
        <v>1864</v>
      </c>
      <c r="C794" s="244" t="s">
        <v>1893</v>
      </c>
      <c r="D794" s="244"/>
      <c r="E794" s="244" t="s">
        <v>991</v>
      </c>
      <c r="F794" s="251">
        <v>40000</v>
      </c>
      <c r="G794" s="252" t="s">
        <v>1903</v>
      </c>
      <c r="H794" s="244" t="s">
        <v>733</v>
      </c>
      <c r="I794" s="244"/>
      <c r="J794" s="251"/>
      <c r="K794" s="244"/>
      <c r="L794" s="244"/>
      <c r="M794" s="244"/>
    </row>
    <row r="795" spans="1:13">
      <c r="A795" s="240" t="s">
        <v>686</v>
      </c>
      <c r="B795" s="240" t="s">
        <v>1864</v>
      </c>
      <c r="C795" s="240" t="s">
        <v>1893</v>
      </c>
      <c r="D795" s="240"/>
      <c r="E795" s="240" t="s">
        <v>991</v>
      </c>
      <c r="F795" s="249">
        <v>40000</v>
      </c>
      <c r="G795" s="250" t="s">
        <v>1903</v>
      </c>
      <c r="H795" s="240" t="s">
        <v>733</v>
      </c>
      <c r="I795" s="240"/>
      <c r="J795" s="249"/>
      <c r="K795" s="240"/>
      <c r="L795" s="240"/>
      <c r="M795" s="240"/>
    </row>
    <row r="796" spans="1:13">
      <c r="A796" s="244" t="s">
        <v>686</v>
      </c>
      <c r="B796" s="244" t="s">
        <v>1864</v>
      </c>
      <c r="C796" s="244" t="s">
        <v>1893</v>
      </c>
      <c r="D796" s="244"/>
      <c r="E796" s="244" t="s">
        <v>991</v>
      </c>
      <c r="F796" s="251">
        <v>40000</v>
      </c>
      <c r="G796" s="252" t="s">
        <v>1903</v>
      </c>
      <c r="H796" s="244" t="s">
        <v>733</v>
      </c>
      <c r="I796" s="244"/>
      <c r="J796" s="251"/>
      <c r="K796" s="244"/>
      <c r="L796" s="244"/>
      <c r="M796" s="244"/>
    </row>
    <row r="797" spans="1:13">
      <c r="A797" s="240" t="s">
        <v>686</v>
      </c>
      <c r="B797" s="240" t="s">
        <v>1864</v>
      </c>
      <c r="C797" s="240" t="s">
        <v>1893</v>
      </c>
      <c r="D797" s="240"/>
      <c r="E797" s="240" t="s">
        <v>991</v>
      </c>
      <c r="F797" s="249">
        <v>40000</v>
      </c>
      <c r="G797" s="250" t="s">
        <v>1903</v>
      </c>
      <c r="H797" s="240" t="s">
        <v>733</v>
      </c>
      <c r="I797" s="240"/>
      <c r="J797" s="249"/>
      <c r="K797" s="240"/>
      <c r="L797" s="240"/>
      <c r="M797" s="240"/>
    </row>
    <row r="798" spans="1:13">
      <c r="A798" s="244" t="s">
        <v>686</v>
      </c>
      <c r="B798" s="244" t="s">
        <v>1864</v>
      </c>
      <c r="C798" s="244" t="s">
        <v>1865</v>
      </c>
      <c r="D798" s="244"/>
      <c r="E798" s="244" t="s">
        <v>991</v>
      </c>
      <c r="F798" s="251">
        <v>114000</v>
      </c>
      <c r="G798" s="252" t="s">
        <v>1904</v>
      </c>
      <c r="H798" s="244" t="s">
        <v>1363</v>
      </c>
      <c r="I798" s="244"/>
      <c r="J798" s="251"/>
      <c r="K798" s="244"/>
      <c r="L798" s="244"/>
      <c r="M798" s="244"/>
    </row>
    <row r="799" spans="1:13">
      <c r="A799" s="240" t="s">
        <v>686</v>
      </c>
      <c r="B799" s="240" t="s">
        <v>1864</v>
      </c>
      <c r="C799" s="240" t="s">
        <v>1865</v>
      </c>
      <c r="D799" s="240"/>
      <c r="E799" s="240" t="s">
        <v>991</v>
      </c>
      <c r="F799" s="249">
        <v>136000</v>
      </c>
      <c r="G799" s="250" t="s">
        <v>1904</v>
      </c>
      <c r="H799" s="240" t="s">
        <v>1363</v>
      </c>
      <c r="I799" s="240"/>
      <c r="J799" s="249"/>
      <c r="K799" s="240"/>
      <c r="L799" s="240"/>
      <c r="M799" s="240"/>
    </row>
    <row r="800" spans="1:13">
      <c r="A800" s="244" t="s">
        <v>686</v>
      </c>
      <c r="B800" s="244" t="s">
        <v>1864</v>
      </c>
      <c r="C800" s="244" t="s">
        <v>1865</v>
      </c>
      <c r="D800" s="244"/>
      <c r="E800" s="244" t="s">
        <v>991</v>
      </c>
      <c r="F800" s="251">
        <v>-114000</v>
      </c>
      <c r="G800" s="252" t="s">
        <v>1904</v>
      </c>
      <c r="H800" s="244" t="s">
        <v>1363</v>
      </c>
      <c r="I800" s="244"/>
      <c r="J800" s="251"/>
      <c r="K800" s="244"/>
      <c r="L800" s="244"/>
      <c r="M800" s="244"/>
    </row>
    <row r="801" spans="1:13">
      <c r="A801" s="240" t="s">
        <v>686</v>
      </c>
      <c r="B801" s="240" t="s">
        <v>1864</v>
      </c>
      <c r="C801" s="240" t="s">
        <v>1865</v>
      </c>
      <c r="D801" s="240"/>
      <c r="E801" s="240" t="s">
        <v>991</v>
      </c>
      <c r="F801" s="249">
        <v>-136000</v>
      </c>
      <c r="G801" s="250" t="s">
        <v>1904</v>
      </c>
      <c r="H801" s="240" t="s">
        <v>1363</v>
      </c>
      <c r="I801" s="240"/>
      <c r="J801" s="249"/>
      <c r="K801" s="240"/>
      <c r="L801" s="240"/>
      <c r="M801" s="240"/>
    </row>
    <row r="802" spans="1:13">
      <c r="A802" s="244" t="s">
        <v>686</v>
      </c>
      <c r="B802" s="244" t="s">
        <v>1864</v>
      </c>
      <c r="C802" s="244" t="s">
        <v>1893</v>
      </c>
      <c r="D802" s="244"/>
      <c r="E802" s="244" t="s">
        <v>991</v>
      </c>
      <c r="F802" s="251">
        <v>40000</v>
      </c>
      <c r="G802" s="252" t="s">
        <v>1905</v>
      </c>
      <c r="H802" s="244" t="s">
        <v>733</v>
      </c>
      <c r="I802" s="244"/>
      <c r="J802" s="251"/>
      <c r="K802" s="244"/>
      <c r="L802" s="244"/>
      <c r="M802" s="244"/>
    </row>
    <row r="803" spans="1:13">
      <c r="A803" s="240" t="s">
        <v>686</v>
      </c>
      <c r="B803" s="240" t="s">
        <v>1864</v>
      </c>
      <c r="C803" s="240" t="s">
        <v>1893</v>
      </c>
      <c r="D803" s="240"/>
      <c r="E803" s="240" t="s">
        <v>991</v>
      </c>
      <c r="F803" s="249">
        <v>40000</v>
      </c>
      <c r="G803" s="250" t="s">
        <v>1905</v>
      </c>
      <c r="H803" s="240" t="s">
        <v>733</v>
      </c>
      <c r="I803" s="240"/>
      <c r="J803" s="249"/>
      <c r="K803" s="240"/>
      <c r="L803" s="240"/>
      <c r="M803" s="240"/>
    </row>
    <row r="804" spans="1:13">
      <c r="A804" s="244" t="s">
        <v>686</v>
      </c>
      <c r="B804" s="244" t="s">
        <v>1864</v>
      </c>
      <c r="C804" s="244" t="s">
        <v>1893</v>
      </c>
      <c r="D804" s="244"/>
      <c r="E804" s="244" t="s">
        <v>991</v>
      </c>
      <c r="F804" s="251">
        <v>40000</v>
      </c>
      <c r="G804" s="252" t="s">
        <v>1905</v>
      </c>
      <c r="H804" s="244" t="s">
        <v>733</v>
      </c>
      <c r="I804" s="244"/>
      <c r="J804" s="251"/>
      <c r="K804" s="244"/>
      <c r="L804" s="244"/>
      <c r="M804" s="244"/>
    </row>
    <row r="805" spans="1:13">
      <c r="A805" s="240" t="s">
        <v>686</v>
      </c>
      <c r="B805" s="240" t="s">
        <v>1864</v>
      </c>
      <c r="C805" s="240" t="s">
        <v>1893</v>
      </c>
      <c r="D805" s="240"/>
      <c r="E805" s="240" t="s">
        <v>991</v>
      </c>
      <c r="F805" s="249">
        <v>40000</v>
      </c>
      <c r="G805" s="250" t="s">
        <v>1905</v>
      </c>
      <c r="H805" s="240" t="s">
        <v>733</v>
      </c>
      <c r="I805" s="240"/>
      <c r="J805" s="249"/>
      <c r="K805" s="240"/>
      <c r="L805" s="240"/>
      <c r="M805" s="240"/>
    </row>
    <row r="806" spans="1:13">
      <c r="A806" s="244" t="s">
        <v>686</v>
      </c>
      <c r="B806" s="244" t="s">
        <v>1864</v>
      </c>
      <c r="C806" s="244" t="s">
        <v>1893</v>
      </c>
      <c r="D806" s="244"/>
      <c r="E806" s="244" t="s">
        <v>991</v>
      </c>
      <c r="F806" s="251">
        <v>40000</v>
      </c>
      <c r="G806" s="252" t="s">
        <v>1905</v>
      </c>
      <c r="H806" s="244" t="s">
        <v>733</v>
      </c>
      <c r="I806" s="244"/>
      <c r="J806" s="251"/>
      <c r="K806" s="244"/>
      <c r="L806" s="244"/>
      <c r="M806" s="244"/>
    </row>
    <row r="807" spans="1:13">
      <c r="A807" s="240" t="s">
        <v>686</v>
      </c>
      <c r="B807" s="240" t="s">
        <v>1864</v>
      </c>
      <c r="C807" s="240" t="s">
        <v>1893</v>
      </c>
      <c r="D807" s="240"/>
      <c r="E807" s="240" t="s">
        <v>991</v>
      </c>
      <c r="F807" s="249">
        <v>40000</v>
      </c>
      <c r="G807" s="250" t="s">
        <v>1905</v>
      </c>
      <c r="H807" s="240" t="s">
        <v>733</v>
      </c>
      <c r="I807" s="240"/>
      <c r="J807" s="249"/>
      <c r="K807" s="240"/>
      <c r="L807" s="240"/>
      <c r="M807" s="240"/>
    </row>
    <row r="808" spans="1:13">
      <c r="A808" s="244" t="s">
        <v>686</v>
      </c>
      <c r="B808" s="244" t="s">
        <v>1864</v>
      </c>
      <c r="C808" s="244" t="s">
        <v>1893</v>
      </c>
      <c r="D808" s="244"/>
      <c r="E808" s="244" t="s">
        <v>991</v>
      </c>
      <c r="F808" s="251">
        <v>40000</v>
      </c>
      <c r="G808" s="252" t="s">
        <v>1906</v>
      </c>
      <c r="H808" s="244" t="s">
        <v>733</v>
      </c>
      <c r="I808" s="244"/>
      <c r="J808" s="251"/>
      <c r="K808" s="244"/>
      <c r="L808" s="244"/>
      <c r="M808" s="244"/>
    </row>
    <row r="809" spans="1:13">
      <c r="A809" s="240" t="s">
        <v>686</v>
      </c>
      <c r="B809" s="240" t="s">
        <v>1864</v>
      </c>
      <c r="C809" s="240" t="s">
        <v>1893</v>
      </c>
      <c r="D809" s="240"/>
      <c r="E809" s="240" t="s">
        <v>991</v>
      </c>
      <c r="F809" s="249">
        <v>25000</v>
      </c>
      <c r="G809" s="250" t="s">
        <v>1906</v>
      </c>
      <c r="H809" s="240" t="s">
        <v>733</v>
      </c>
      <c r="I809" s="240"/>
      <c r="J809" s="249"/>
      <c r="K809" s="240"/>
      <c r="L809" s="240"/>
      <c r="M809" s="240"/>
    </row>
    <row r="810" spans="1:13">
      <c r="A810" s="244" t="s">
        <v>686</v>
      </c>
      <c r="B810" s="244" t="s">
        <v>1864</v>
      </c>
      <c r="C810" s="244" t="s">
        <v>1865</v>
      </c>
      <c r="D810" s="244"/>
      <c r="E810" s="244" t="s">
        <v>991</v>
      </c>
      <c r="F810" s="251">
        <v>125000</v>
      </c>
      <c r="G810" s="252" t="s">
        <v>1907</v>
      </c>
      <c r="H810" s="244" t="s">
        <v>1363</v>
      </c>
      <c r="I810" s="244"/>
      <c r="J810" s="251"/>
      <c r="K810" s="244"/>
      <c r="L810" s="244"/>
      <c r="M810" s="244"/>
    </row>
    <row r="811" spans="1:13">
      <c r="A811" s="240" t="s">
        <v>686</v>
      </c>
      <c r="B811" s="240" t="s">
        <v>1864</v>
      </c>
      <c r="C811" s="240" t="s">
        <v>1893</v>
      </c>
      <c r="D811" s="240"/>
      <c r="E811" s="240" t="s">
        <v>991</v>
      </c>
      <c r="F811" s="249">
        <v>200000</v>
      </c>
      <c r="G811" s="250" t="s">
        <v>1907</v>
      </c>
      <c r="H811" s="240" t="s">
        <v>733</v>
      </c>
      <c r="I811" s="240"/>
      <c r="J811" s="249"/>
      <c r="K811" s="240"/>
      <c r="L811" s="240"/>
      <c r="M811" s="240"/>
    </row>
    <row r="812" spans="1:13">
      <c r="A812" s="244" t="s">
        <v>686</v>
      </c>
      <c r="B812" s="244" t="s">
        <v>1864</v>
      </c>
      <c r="C812" s="244" t="s">
        <v>1865</v>
      </c>
      <c r="D812" s="244"/>
      <c r="E812" s="244" t="s">
        <v>991</v>
      </c>
      <c r="F812" s="251">
        <v>100000</v>
      </c>
      <c r="G812" s="252" t="s">
        <v>1908</v>
      </c>
      <c r="H812" s="244" t="s">
        <v>1363</v>
      </c>
      <c r="I812" s="244"/>
      <c r="J812" s="251"/>
      <c r="K812" s="244"/>
      <c r="L812" s="244"/>
      <c r="M812" s="244"/>
    </row>
    <row r="813" spans="1:13">
      <c r="A813" s="240" t="s">
        <v>686</v>
      </c>
      <c r="B813" s="240" t="s">
        <v>1864</v>
      </c>
      <c r="C813" s="240" t="s">
        <v>1893</v>
      </c>
      <c r="D813" s="240"/>
      <c r="E813" s="240" t="s">
        <v>991</v>
      </c>
      <c r="F813" s="249">
        <v>500000</v>
      </c>
      <c r="G813" s="250" t="s">
        <v>1909</v>
      </c>
      <c r="H813" s="240" t="s">
        <v>733</v>
      </c>
      <c r="I813" s="240"/>
      <c r="J813" s="249"/>
      <c r="K813" s="240"/>
      <c r="L813" s="240"/>
      <c r="M813" s="240"/>
    </row>
    <row r="814" spans="1:13">
      <c r="A814" s="244" t="s">
        <v>686</v>
      </c>
      <c r="B814" s="244" t="s">
        <v>1864</v>
      </c>
      <c r="C814" s="244" t="s">
        <v>1865</v>
      </c>
      <c r="D814" s="244"/>
      <c r="E814" s="244" t="s">
        <v>991</v>
      </c>
      <c r="F814" s="251">
        <v>200000</v>
      </c>
      <c r="G814" s="252" t="s">
        <v>1909</v>
      </c>
      <c r="H814" s="244" t="s">
        <v>1363</v>
      </c>
      <c r="I814" s="244"/>
      <c r="J814" s="251"/>
      <c r="K814" s="244"/>
      <c r="L814" s="244"/>
      <c r="M814" s="244"/>
    </row>
    <row r="815" spans="1:13">
      <c r="A815" s="240" t="s">
        <v>686</v>
      </c>
      <c r="B815" s="240" t="s">
        <v>1864</v>
      </c>
      <c r="C815" s="240" t="s">
        <v>1893</v>
      </c>
      <c r="D815" s="240"/>
      <c r="E815" s="240" t="s">
        <v>991</v>
      </c>
      <c r="F815" s="249">
        <v>150000</v>
      </c>
      <c r="G815" s="250" t="s">
        <v>1909</v>
      </c>
      <c r="H815" s="240" t="s">
        <v>733</v>
      </c>
      <c r="I815" s="240"/>
      <c r="J815" s="249"/>
      <c r="K815" s="240"/>
      <c r="L815" s="240"/>
      <c r="M815" s="240"/>
    </row>
    <row r="816" spans="1:13">
      <c r="A816" s="244" t="s">
        <v>686</v>
      </c>
      <c r="B816" s="244" t="s">
        <v>1864</v>
      </c>
      <c r="C816" s="244" t="s">
        <v>1893</v>
      </c>
      <c r="D816" s="244"/>
      <c r="E816" s="244" t="s">
        <v>991</v>
      </c>
      <c r="F816" s="251">
        <v>-500000</v>
      </c>
      <c r="G816" s="252" t="s">
        <v>1909</v>
      </c>
      <c r="H816" s="244" t="s">
        <v>733</v>
      </c>
      <c r="I816" s="244"/>
      <c r="J816" s="251"/>
      <c r="K816" s="244"/>
      <c r="L816" s="244"/>
      <c r="M816" s="244"/>
    </row>
    <row r="817" spans="1:13">
      <c r="A817" s="240" t="s">
        <v>686</v>
      </c>
      <c r="B817" s="240" t="s">
        <v>1864</v>
      </c>
      <c r="C817" s="240" t="s">
        <v>1893</v>
      </c>
      <c r="D817" s="240"/>
      <c r="E817" s="240" t="s">
        <v>991</v>
      </c>
      <c r="F817" s="249">
        <v>40000</v>
      </c>
      <c r="G817" s="250" t="s">
        <v>1910</v>
      </c>
      <c r="H817" s="240" t="s">
        <v>733</v>
      </c>
      <c r="I817" s="240"/>
      <c r="J817" s="249"/>
      <c r="K817" s="240"/>
      <c r="L817" s="240"/>
      <c r="M817" s="240"/>
    </row>
    <row r="818" spans="1:13">
      <c r="A818" s="244" t="s">
        <v>686</v>
      </c>
      <c r="B818" s="244" t="s">
        <v>1864</v>
      </c>
      <c r="C818" s="244" t="s">
        <v>1893</v>
      </c>
      <c r="D818" s="244"/>
      <c r="E818" s="244" t="s">
        <v>991</v>
      </c>
      <c r="F818" s="251">
        <v>40000</v>
      </c>
      <c r="G818" s="252" t="s">
        <v>1910</v>
      </c>
      <c r="H818" s="244" t="s">
        <v>733</v>
      </c>
      <c r="I818" s="244"/>
      <c r="J818" s="251"/>
      <c r="K818" s="244"/>
      <c r="L818" s="244"/>
      <c r="M818" s="244"/>
    </row>
    <row r="819" spans="1:13">
      <c r="A819" s="240" t="s">
        <v>686</v>
      </c>
      <c r="B819" s="240" t="s">
        <v>1864</v>
      </c>
      <c r="C819" s="240" t="s">
        <v>1893</v>
      </c>
      <c r="D819" s="240"/>
      <c r="E819" s="240" t="s">
        <v>991</v>
      </c>
      <c r="F819" s="249">
        <v>40000</v>
      </c>
      <c r="G819" s="250" t="s">
        <v>1910</v>
      </c>
      <c r="H819" s="240" t="s">
        <v>733</v>
      </c>
      <c r="I819" s="240"/>
      <c r="J819" s="249"/>
      <c r="K819" s="240"/>
      <c r="L819" s="240"/>
      <c r="M819" s="240"/>
    </row>
    <row r="820" spans="1:13">
      <c r="A820" s="244" t="s">
        <v>686</v>
      </c>
      <c r="B820" s="244" t="s">
        <v>1864</v>
      </c>
      <c r="C820" s="244" t="s">
        <v>1893</v>
      </c>
      <c r="D820" s="244"/>
      <c r="E820" s="244" t="s">
        <v>991</v>
      </c>
      <c r="F820" s="251">
        <v>40000</v>
      </c>
      <c r="G820" s="252" t="s">
        <v>1910</v>
      </c>
      <c r="H820" s="244" t="s">
        <v>733</v>
      </c>
      <c r="I820" s="244"/>
      <c r="J820" s="251"/>
      <c r="K820" s="244"/>
      <c r="L820" s="244"/>
      <c r="M820" s="244"/>
    </row>
    <row r="821" spans="1:13">
      <c r="A821" s="240" t="s">
        <v>686</v>
      </c>
      <c r="B821" s="240" t="s">
        <v>1864</v>
      </c>
      <c r="C821" s="240" t="s">
        <v>1893</v>
      </c>
      <c r="D821" s="240"/>
      <c r="E821" s="240" t="s">
        <v>991</v>
      </c>
      <c r="F821" s="249">
        <v>40000</v>
      </c>
      <c r="G821" s="250" t="s">
        <v>1910</v>
      </c>
      <c r="H821" s="240" t="s">
        <v>733</v>
      </c>
      <c r="I821" s="240"/>
      <c r="J821" s="249"/>
      <c r="K821" s="240"/>
      <c r="L821" s="240"/>
      <c r="M821" s="240"/>
    </row>
    <row r="822" spans="1:13">
      <c r="A822" s="244" t="s">
        <v>686</v>
      </c>
      <c r="B822" s="244" t="s">
        <v>1864</v>
      </c>
      <c r="C822" s="244" t="s">
        <v>1893</v>
      </c>
      <c r="D822" s="244"/>
      <c r="E822" s="244" t="s">
        <v>991</v>
      </c>
      <c r="F822" s="251">
        <v>40000</v>
      </c>
      <c r="G822" s="252" t="s">
        <v>1910</v>
      </c>
      <c r="H822" s="244" t="s">
        <v>733</v>
      </c>
      <c r="I822" s="244"/>
      <c r="J822" s="251"/>
      <c r="K822" s="244"/>
      <c r="L822" s="244"/>
      <c r="M822" s="244"/>
    </row>
    <row r="823" spans="1:13">
      <c r="A823" s="240" t="s">
        <v>686</v>
      </c>
      <c r="B823" s="240" t="s">
        <v>1864</v>
      </c>
      <c r="C823" s="240" t="s">
        <v>1865</v>
      </c>
      <c r="D823" s="240"/>
      <c r="E823" s="240" t="s">
        <v>991</v>
      </c>
      <c r="F823" s="249">
        <v>250000</v>
      </c>
      <c r="G823" s="250" t="s">
        <v>1911</v>
      </c>
      <c r="H823" s="240" t="s">
        <v>733</v>
      </c>
      <c r="I823" s="240"/>
      <c r="J823" s="249"/>
      <c r="K823" s="240"/>
      <c r="L823" s="240"/>
      <c r="M823" s="240"/>
    </row>
    <row r="824" spans="1:13">
      <c r="A824" s="244" t="s">
        <v>686</v>
      </c>
      <c r="B824" s="244" t="s">
        <v>1864</v>
      </c>
      <c r="C824" s="244" t="s">
        <v>1893</v>
      </c>
      <c r="D824" s="244"/>
      <c r="E824" s="244" t="s">
        <v>991</v>
      </c>
      <c r="F824" s="251">
        <v>100000</v>
      </c>
      <c r="G824" s="252" t="s">
        <v>1912</v>
      </c>
      <c r="H824" s="244" t="s">
        <v>733</v>
      </c>
      <c r="I824" s="244"/>
      <c r="J824" s="251"/>
      <c r="K824" s="244"/>
      <c r="L824" s="244"/>
      <c r="M824" s="244"/>
    </row>
    <row r="825" spans="1:13">
      <c r="A825" s="240" t="s">
        <v>686</v>
      </c>
      <c r="B825" s="240" t="s">
        <v>1864</v>
      </c>
      <c r="C825" s="240" t="s">
        <v>1893</v>
      </c>
      <c r="D825" s="240"/>
      <c r="E825" s="240" t="s">
        <v>991</v>
      </c>
      <c r="F825" s="249">
        <v>250000</v>
      </c>
      <c r="G825" s="250" t="s">
        <v>1913</v>
      </c>
      <c r="H825" s="240" t="s">
        <v>733</v>
      </c>
      <c r="I825" s="240"/>
      <c r="J825" s="249"/>
      <c r="K825" s="240"/>
      <c r="L825" s="240"/>
      <c r="M825" s="240"/>
    </row>
    <row r="826" spans="1:13">
      <c r="A826" s="244" t="s">
        <v>686</v>
      </c>
      <c r="B826" s="244" t="s">
        <v>1864</v>
      </c>
      <c r="C826" s="244" t="s">
        <v>1865</v>
      </c>
      <c r="D826" s="244"/>
      <c r="E826" s="244" t="s">
        <v>991</v>
      </c>
      <c r="F826" s="251">
        <v>200000</v>
      </c>
      <c r="G826" s="252" t="s">
        <v>1913</v>
      </c>
      <c r="H826" s="244" t="s">
        <v>733</v>
      </c>
      <c r="I826" s="244"/>
      <c r="J826" s="251"/>
      <c r="K826" s="244"/>
      <c r="L826" s="244"/>
      <c r="M826" s="244"/>
    </row>
    <row r="827" spans="1:13">
      <c r="A827" s="240" t="s">
        <v>686</v>
      </c>
      <c r="B827" s="240" t="s">
        <v>1864</v>
      </c>
      <c r="C827" s="240" t="s">
        <v>1893</v>
      </c>
      <c r="D827" s="240"/>
      <c r="E827" s="240" t="s">
        <v>991</v>
      </c>
      <c r="F827" s="249">
        <v>40000</v>
      </c>
      <c r="G827" s="250" t="s">
        <v>1914</v>
      </c>
      <c r="H827" s="240" t="s">
        <v>733</v>
      </c>
      <c r="I827" s="240"/>
      <c r="J827" s="249"/>
      <c r="K827" s="240"/>
      <c r="L827" s="240"/>
      <c r="M827" s="240"/>
    </row>
    <row r="828" spans="1:13">
      <c r="A828" s="244" t="s">
        <v>686</v>
      </c>
      <c r="B828" s="244" t="s">
        <v>1864</v>
      </c>
      <c r="C828" s="244" t="s">
        <v>1893</v>
      </c>
      <c r="D828" s="244"/>
      <c r="E828" s="244" t="s">
        <v>991</v>
      </c>
      <c r="F828" s="251">
        <v>40000</v>
      </c>
      <c r="G828" s="252" t="s">
        <v>1914</v>
      </c>
      <c r="H828" s="244" t="s">
        <v>733</v>
      </c>
      <c r="I828" s="244"/>
      <c r="J828" s="251"/>
      <c r="K828" s="244"/>
      <c r="L828" s="244"/>
      <c r="M828" s="244"/>
    </row>
    <row r="829" spans="1:13">
      <c r="A829" s="240" t="s">
        <v>686</v>
      </c>
      <c r="B829" s="240" t="s">
        <v>1864</v>
      </c>
      <c r="C829" s="240" t="s">
        <v>1893</v>
      </c>
      <c r="D829" s="240"/>
      <c r="E829" s="240" t="s">
        <v>991</v>
      </c>
      <c r="F829" s="249">
        <v>40000</v>
      </c>
      <c r="G829" s="250" t="s">
        <v>1914</v>
      </c>
      <c r="H829" s="240" t="s">
        <v>733</v>
      </c>
      <c r="I829" s="240"/>
      <c r="J829" s="249"/>
      <c r="K829" s="240"/>
      <c r="L829" s="240"/>
      <c r="M829" s="240"/>
    </row>
    <row r="830" spans="1:13">
      <c r="A830" s="244" t="s">
        <v>686</v>
      </c>
      <c r="B830" s="244" t="s">
        <v>1864</v>
      </c>
      <c r="C830" s="244" t="s">
        <v>1893</v>
      </c>
      <c r="D830" s="244"/>
      <c r="E830" s="244" t="s">
        <v>991</v>
      </c>
      <c r="F830" s="251">
        <v>40000</v>
      </c>
      <c r="G830" s="252" t="s">
        <v>1914</v>
      </c>
      <c r="H830" s="244" t="s">
        <v>733</v>
      </c>
      <c r="I830" s="244"/>
      <c r="J830" s="251"/>
      <c r="K830" s="244"/>
      <c r="L830" s="244"/>
      <c r="M830" s="244"/>
    </row>
    <row r="831" spans="1:13">
      <c r="A831" s="240" t="s">
        <v>686</v>
      </c>
      <c r="B831" s="240" t="s">
        <v>1864</v>
      </c>
      <c r="C831" s="240" t="s">
        <v>1893</v>
      </c>
      <c r="D831" s="240"/>
      <c r="E831" s="240" t="s">
        <v>991</v>
      </c>
      <c r="F831" s="249">
        <v>40000</v>
      </c>
      <c r="G831" s="250" t="s">
        <v>1914</v>
      </c>
      <c r="H831" s="240" t="s">
        <v>733</v>
      </c>
      <c r="I831" s="240"/>
      <c r="J831" s="249"/>
      <c r="K831" s="240"/>
      <c r="L831" s="240"/>
      <c r="M831" s="240"/>
    </row>
    <row r="832" spans="1:13">
      <c r="A832" s="244" t="s">
        <v>686</v>
      </c>
      <c r="B832" s="244" t="s">
        <v>1864</v>
      </c>
      <c r="C832" s="244" t="s">
        <v>1893</v>
      </c>
      <c r="D832" s="244"/>
      <c r="E832" s="244" t="s">
        <v>991</v>
      </c>
      <c r="F832" s="251">
        <v>40000</v>
      </c>
      <c r="G832" s="252" t="s">
        <v>1914</v>
      </c>
      <c r="H832" s="244" t="s">
        <v>733</v>
      </c>
      <c r="I832" s="244"/>
      <c r="J832" s="251"/>
      <c r="K832" s="244"/>
      <c r="L832" s="244"/>
      <c r="M832" s="244"/>
    </row>
    <row r="833" spans="1:13">
      <c r="A833" s="240" t="s">
        <v>686</v>
      </c>
      <c r="B833" s="240" t="s">
        <v>1864</v>
      </c>
      <c r="C833" s="240" t="s">
        <v>1865</v>
      </c>
      <c r="D833" s="240"/>
      <c r="E833" s="240" t="s">
        <v>991</v>
      </c>
      <c r="F833" s="249">
        <v>200000</v>
      </c>
      <c r="G833" s="250" t="s">
        <v>1915</v>
      </c>
      <c r="H833" s="240" t="s">
        <v>733</v>
      </c>
      <c r="I833" s="240"/>
      <c r="J833" s="249"/>
      <c r="K833" s="240"/>
      <c r="L833" s="240"/>
      <c r="M833" s="240"/>
    </row>
    <row r="834" spans="1:13">
      <c r="A834" s="244" t="s">
        <v>686</v>
      </c>
      <c r="B834" s="244" t="s">
        <v>1864</v>
      </c>
      <c r="C834" s="244" t="s">
        <v>1865</v>
      </c>
      <c r="D834" s="244"/>
      <c r="E834" s="244" t="s">
        <v>991</v>
      </c>
      <c r="F834" s="251">
        <v>300000</v>
      </c>
      <c r="G834" s="252" t="s">
        <v>1915</v>
      </c>
      <c r="H834" s="244" t="s">
        <v>733</v>
      </c>
      <c r="I834" s="244"/>
      <c r="J834" s="251"/>
      <c r="K834" s="244"/>
      <c r="L834" s="244"/>
      <c r="M834" s="244"/>
    </row>
    <row r="835" spans="1:13">
      <c r="A835" s="240" t="s">
        <v>686</v>
      </c>
      <c r="B835" s="240" t="s">
        <v>1864</v>
      </c>
      <c r="C835" s="240" t="s">
        <v>1893</v>
      </c>
      <c r="D835" s="240"/>
      <c r="E835" s="240" t="s">
        <v>991</v>
      </c>
      <c r="F835" s="249">
        <v>25000</v>
      </c>
      <c r="G835" s="250" t="s">
        <v>1916</v>
      </c>
      <c r="H835" s="240" t="s">
        <v>733</v>
      </c>
      <c r="I835" s="240"/>
      <c r="J835" s="249"/>
      <c r="K835" s="240"/>
      <c r="L835" s="240"/>
      <c r="M835" s="240"/>
    </row>
    <row r="836" spans="1:13">
      <c r="A836" s="244" t="s">
        <v>686</v>
      </c>
      <c r="B836" s="244" t="s">
        <v>1864</v>
      </c>
      <c r="C836" s="244" t="s">
        <v>1893</v>
      </c>
      <c r="D836" s="244"/>
      <c r="E836" s="244" t="s">
        <v>991</v>
      </c>
      <c r="F836" s="251">
        <v>25000</v>
      </c>
      <c r="G836" s="252" t="s">
        <v>1916</v>
      </c>
      <c r="H836" s="244" t="s">
        <v>733</v>
      </c>
      <c r="I836" s="244"/>
      <c r="J836" s="251"/>
      <c r="K836" s="244"/>
      <c r="L836" s="244"/>
      <c r="M836" s="244"/>
    </row>
    <row r="837" spans="1:13">
      <c r="A837" s="240" t="s">
        <v>686</v>
      </c>
      <c r="B837" s="240" t="s">
        <v>1864</v>
      </c>
      <c r="C837" s="240" t="s">
        <v>1893</v>
      </c>
      <c r="D837" s="240"/>
      <c r="E837" s="240" t="s">
        <v>991</v>
      </c>
      <c r="F837" s="249">
        <v>240000</v>
      </c>
      <c r="G837" s="250" t="s">
        <v>1916</v>
      </c>
      <c r="H837" s="240" t="s">
        <v>733</v>
      </c>
      <c r="I837" s="240"/>
      <c r="J837" s="249"/>
      <c r="K837" s="240"/>
      <c r="L837" s="240"/>
      <c r="M837" s="240"/>
    </row>
    <row r="838" spans="1:13">
      <c r="A838" s="244" t="s">
        <v>686</v>
      </c>
      <c r="B838" s="244" t="s">
        <v>1864</v>
      </c>
      <c r="C838" s="244" t="s">
        <v>1893</v>
      </c>
      <c r="D838" s="244"/>
      <c r="E838" s="244" t="s">
        <v>991</v>
      </c>
      <c r="F838" s="251">
        <v>25000</v>
      </c>
      <c r="G838" s="252" t="s">
        <v>1917</v>
      </c>
      <c r="H838" s="244" t="s">
        <v>733</v>
      </c>
      <c r="I838" s="244"/>
      <c r="J838" s="251"/>
      <c r="K838" s="244"/>
      <c r="L838" s="244"/>
      <c r="M838" s="244"/>
    </row>
    <row r="839" spans="1:13">
      <c r="A839" s="240" t="s">
        <v>686</v>
      </c>
      <c r="B839" s="240" t="s">
        <v>1864</v>
      </c>
      <c r="C839" s="240" t="s">
        <v>1893</v>
      </c>
      <c r="D839" s="240"/>
      <c r="E839" s="240" t="s">
        <v>991</v>
      </c>
      <c r="F839" s="249">
        <v>25000</v>
      </c>
      <c r="G839" s="250" t="s">
        <v>1917</v>
      </c>
      <c r="H839" s="240" t="s">
        <v>733</v>
      </c>
      <c r="I839" s="240"/>
      <c r="J839" s="249"/>
      <c r="K839" s="240"/>
      <c r="L839" s="240"/>
      <c r="M839" s="240"/>
    </row>
    <row r="840" spans="1:13">
      <c r="A840" s="244" t="s">
        <v>686</v>
      </c>
      <c r="B840" s="244" t="s">
        <v>1864</v>
      </c>
      <c r="C840" s="244" t="s">
        <v>1893</v>
      </c>
      <c r="D840" s="244"/>
      <c r="E840" s="244" t="s">
        <v>991</v>
      </c>
      <c r="F840" s="251">
        <v>160000</v>
      </c>
      <c r="G840" s="252" t="s">
        <v>1918</v>
      </c>
      <c r="H840" s="244" t="s">
        <v>733</v>
      </c>
      <c r="I840" s="244"/>
      <c r="J840" s="251"/>
      <c r="K840" s="244"/>
      <c r="L840" s="244"/>
      <c r="M840" s="244"/>
    </row>
    <row r="841" spans="1:13">
      <c r="A841" s="240" t="s">
        <v>686</v>
      </c>
      <c r="B841" s="240" t="s">
        <v>1864</v>
      </c>
      <c r="C841" s="240" t="s">
        <v>1893</v>
      </c>
      <c r="D841" s="240"/>
      <c r="E841" s="240" t="s">
        <v>991</v>
      </c>
      <c r="F841" s="249">
        <v>240000</v>
      </c>
      <c r="G841" s="250" t="s">
        <v>1919</v>
      </c>
      <c r="H841" s="240" t="s">
        <v>733</v>
      </c>
      <c r="I841" s="240"/>
      <c r="J841" s="249"/>
      <c r="K841" s="240"/>
      <c r="L841" s="240"/>
      <c r="M841" s="240"/>
    </row>
    <row r="842" spans="1:13">
      <c r="A842" s="244" t="s">
        <v>686</v>
      </c>
      <c r="B842" s="244" t="s">
        <v>1864</v>
      </c>
      <c r="C842" s="244" t="s">
        <v>1920</v>
      </c>
      <c r="D842" s="244"/>
      <c r="E842" s="244" t="s">
        <v>991</v>
      </c>
      <c r="F842" s="251">
        <v>723300</v>
      </c>
      <c r="G842" s="252" t="s">
        <v>1921</v>
      </c>
      <c r="H842" s="244" t="s">
        <v>733</v>
      </c>
      <c r="I842" s="244"/>
      <c r="J842" s="251"/>
      <c r="K842" s="244"/>
      <c r="L842" s="244"/>
      <c r="M842" s="244"/>
    </row>
    <row r="843" spans="1:13">
      <c r="A843" s="240" t="s">
        <v>686</v>
      </c>
      <c r="B843" s="240" t="s">
        <v>1864</v>
      </c>
      <c r="C843" s="240" t="s">
        <v>1893</v>
      </c>
      <c r="D843" s="240"/>
      <c r="E843" s="240" t="s">
        <v>991</v>
      </c>
      <c r="F843" s="249">
        <v>40000</v>
      </c>
      <c r="G843" s="250" t="s">
        <v>1922</v>
      </c>
      <c r="H843" s="240" t="s">
        <v>733</v>
      </c>
      <c r="I843" s="240"/>
      <c r="J843" s="249"/>
      <c r="K843" s="240"/>
      <c r="L843" s="240"/>
      <c r="M843" s="240"/>
    </row>
    <row r="844" spans="1:13">
      <c r="A844" s="244" t="s">
        <v>686</v>
      </c>
      <c r="B844" s="244" t="s">
        <v>1864</v>
      </c>
      <c r="C844" s="244" t="s">
        <v>1893</v>
      </c>
      <c r="D844" s="244"/>
      <c r="E844" s="244" t="s">
        <v>991</v>
      </c>
      <c r="F844" s="251">
        <v>25000</v>
      </c>
      <c r="G844" s="252" t="s">
        <v>1922</v>
      </c>
      <c r="H844" s="244" t="s">
        <v>733</v>
      </c>
      <c r="I844" s="244"/>
      <c r="J844" s="251"/>
      <c r="K844" s="244"/>
      <c r="L844" s="244"/>
      <c r="M844" s="244"/>
    </row>
    <row r="845" spans="1:13">
      <c r="A845" s="240" t="s">
        <v>686</v>
      </c>
      <c r="B845" s="240" t="s">
        <v>1864</v>
      </c>
      <c r="C845" s="240" t="s">
        <v>1865</v>
      </c>
      <c r="D845" s="240"/>
      <c r="E845" s="240" t="s">
        <v>991</v>
      </c>
      <c r="F845" s="249">
        <v>70700</v>
      </c>
      <c r="G845" s="250" t="s">
        <v>1923</v>
      </c>
      <c r="H845" s="240" t="s">
        <v>733</v>
      </c>
      <c r="I845" s="240"/>
      <c r="J845" s="249"/>
      <c r="K845" s="240"/>
      <c r="L845" s="240"/>
      <c r="M845" s="240"/>
    </row>
    <row r="846" spans="1:13">
      <c r="A846" s="244" t="s">
        <v>686</v>
      </c>
      <c r="B846" s="244" t="s">
        <v>1864</v>
      </c>
      <c r="C846" s="244" t="s">
        <v>1893</v>
      </c>
      <c r="D846" s="244"/>
      <c r="E846" s="244" t="s">
        <v>991</v>
      </c>
      <c r="F846" s="251">
        <v>240000</v>
      </c>
      <c r="G846" s="252" t="s">
        <v>1924</v>
      </c>
      <c r="H846" s="244" t="s">
        <v>733</v>
      </c>
      <c r="I846" s="244"/>
      <c r="J846" s="251"/>
      <c r="K846" s="244"/>
      <c r="L846" s="244"/>
      <c r="M846" s="244"/>
    </row>
    <row r="847" spans="1:13">
      <c r="A847" s="240" t="s">
        <v>686</v>
      </c>
      <c r="B847" s="240" t="s">
        <v>1864</v>
      </c>
      <c r="C847" s="240" t="s">
        <v>1893</v>
      </c>
      <c r="D847" s="240"/>
      <c r="E847" s="240" t="s">
        <v>991</v>
      </c>
      <c r="F847" s="249">
        <v>25000</v>
      </c>
      <c r="G847" s="250" t="s">
        <v>1924</v>
      </c>
      <c r="H847" s="240" t="s">
        <v>733</v>
      </c>
      <c r="I847" s="240"/>
      <c r="J847" s="249"/>
      <c r="K847" s="240"/>
      <c r="L847" s="240"/>
      <c r="M847" s="240"/>
    </row>
    <row r="848" spans="1:13">
      <c r="A848" s="244" t="s">
        <v>686</v>
      </c>
      <c r="B848" s="244" t="s">
        <v>1864</v>
      </c>
      <c r="C848" s="244" t="s">
        <v>1893</v>
      </c>
      <c r="D848" s="244"/>
      <c r="E848" s="244" t="s">
        <v>991</v>
      </c>
      <c r="F848" s="251">
        <v>40000</v>
      </c>
      <c r="G848" s="252" t="s">
        <v>1924</v>
      </c>
      <c r="H848" s="244" t="s">
        <v>733</v>
      </c>
      <c r="I848" s="244"/>
      <c r="J848" s="251"/>
      <c r="K848" s="244"/>
      <c r="L848" s="244"/>
      <c r="M848" s="244"/>
    </row>
    <row r="849" spans="1:13">
      <c r="A849" s="240" t="s">
        <v>686</v>
      </c>
      <c r="B849" s="240" t="s">
        <v>1864</v>
      </c>
      <c r="C849" s="240" t="s">
        <v>1893</v>
      </c>
      <c r="D849" s="240"/>
      <c r="E849" s="240" t="s">
        <v>991</v>
      </c>
      <c r="F849" s="249">
        <v>240000</v>
      </c>
      <c r="G849" s="250" t="s">
        <v>1880</v>
      </c>
      <c r="H849" s="240" t="s">
        <v>733</v>
      </c>
      <c r="I849" s="240"/>
      <c r="J849" s="249"/>
      <c r="K849" s="240"/>
      <c r="L849" s="240"/>
      <c r="M849" s="240"/>
    </row>
    <row r="850" spans="1:13">
      <c r="A850" s="244" t="s">
        <v>686</v>
      </c>
      <c r="B850" s="244" t="s">
        <v>1864</v>
      </c>
      <c r="C850" s="244" t="s">
        <v>1893</v>
      </c>
      <c r="D850" s="244"/>
      <c r="E850" s="244" t="s">
        <v>991</v>
      </c>
      <c r="F850" s="251">
        <v>28400</v>
      </c>
      <c r="G850" s="252" t="s">
        <v>1880</v>
      </c>
      <c r="H850" s="244" t="s">
        <v>733</v>
      </c>
      <c r="I850" s="244"/>
      <c r="J850" s="251"/>
      <c r="K850" s="244"/>
      <c r="L850" s="244"/>
      <c r="M850" s="244"/>
    </row>
    <row r="851" spans="1:13">
      <c r="A851" s="240" t="s">
        <v>686</v>
      </c>
      <c r="B851" s="240" t="s">
        <v>1864</v>
      </c>
      <c r="C851" s="240" t="s">
        <v>1865</v>
      </c>
      <c r="D851" s="240"/>
      <c r="E851" s="240" t="s">
        <v>991</v>
      </c>
      <c r="F851" s="249">
        <v>5335316</v>
      </c>
      <c r="G851" s="250" t="s">
        <v>1880</v>
      </c>
      <c r="H851" s="240" t="s">
        <v>733</v>
      </c>
      <c r="I851" s="240"/>
      <c r="J851" s="249"/>
      <c r="K851" s="240"/>
      <c r="L851" s="240"/>
      <c r="M851" s="240"/>
    </row>
    <row r="852" spans="1:13">
      <c r="A852" s="244" t="s">
        <v>686</v>
      </c>
      <c r="B852" s="244" t="s">
        <v>1864</v>
      </c>
      <c r="C852" s="244" t="s">
        <v>1865</v>
      </c>
      <c r="D852" s="244"/>
      <c r="E852" s="244" t="s">
        <v>991</v>
      </c>
      <c r="F852" s="251">
        <v>3394900</v>
      </c>
      <c r="G852" s="252" t="s">
        <v>1880</v>
      </c>
      <c r="H852" s="244" t="s">
        <v>733</v>
      </c>
      <c r="I852" s="244"/>
      <c r="J852" s="251"/>
      <c r="K852" s="244"/>
      <c r="L852" s="244"/>
      <c r="M852" s="244"/>
    </row>
    <row r="853" spans="1:13">
      <c r="A853" s="240" t="s">
        <v>686</v>
      </c>
      <c r="B853" s="240" t="s">
        <v>1864</v>
      </c>
      <c r="C853" s="240" t="s">
        <v>1865</v>
      </c>
      <c r="D853" s="240"/>
      <c r="E853" s="240" t="s">
        <v>991</v>
      </c>
      <c r="F853" s="249">
        <v>4178193</v>
      </c>
      <c r="G853" s="250" t="s">
        <v>1880</v>
      </c>
      <c r="H853" s="240" t="s">
        <v>733</v>
      </c>
      <c r="I853" s="240"/>
      <c r="J853" s="249"/>
      <c r="K853" s="240"/>
      <c r="L853" s="240"/>
      <c r="M853" s="240"/>
    </row>
    <row r="854" spans="1:13">
      <c r="A854" s="244" t="s">
        <v>686</v>
      </c>
      <c r="B854" s="244" t="s">
        <v>1864</v>
      </c>
      <c r="C854" s="244" t="s">
        <v>1893</v>
      </c>
      <c r="D854" s="244"/>
      <c r="E854" s="244" t="s">
        <v>991</v>
      </c>
      <c r="F854" s="251">
        <v>25000</v>
      </c>
      <c r="G854" s="252" t="s">
        <v>1881</v>
      </c>
      <c r="H854" s="244" t="s">
        <v>733</v>
      </c>
      <c r="I854" s="244"/>
      <c r="J854" s="251"/>
      <c r="K854" s="244"/>
      <c r="L854" s="244"/>
      <c r="M854" s="244"/>
    </row>
    <row r="855" spans="1:13">
      <c r="A855" s="240" t="s">
        <v>686</v>
      </c>
      <c r="B855" s="240" t="s">
        <v>1864</v>
      </c>
      <c r="C855" s="240" t="s">
        <v>1893</v>
      </c>
      <c r="D855" s="240"/>
      <c r="E855" s="240" t="s">
        <v>991</v>
      </c>
      <c r="F855" s="249">
        <v>40000</v>
      </c>
      <c r="G855" s="250" t="s">
        <v>1881</v>
      </c>
      <c r="H855" s="240" t="s">
        <v>733</v>
      </c>
      <c r="I855" s="240"/>
      <c r="J855" s="249"/>
      <c r="K855" s="240"/>
      <c r="L855" s="240"/>
      <c r="M855" s="240"/>
    </row>
    <row r="856" spans="1:13">
      <c r="A856" s="244" t="s">
        <v>686</v>
      </c>
      <c r="B856" s="244" t="s">
        <v>1864</v>
      </c>
      <c r="C856" s="244" t="s">
        <v>1893</v>
      </c>
      <c r="D856" s="244"/>
      <c r="E856" s="244" t="s">
        <v>991</v>
      </c>
      <c r="F856" s="251">
        <v>89900</v>
      </c>
      <c r="G856" s="252" t="s">
        <v>1925</v>
      </c>
      <c r="H856" s="244" t="s">
        <v>733</v>
      </c>
      <c r="I856" s="244"/>
      <c r="J856" s="251"/>
      <c r="K856" s="244"/>
      <c r="L856" s="244"/>
      <c r="M856" s="244"/>
    </row>
    <row r="857" spans="1:13">
      <c r="A857" s="240" t="s">
        <v>686</v>
      </c>
      <c r="B857" s="240" t="s">
        <v>1864</v>
      </c>
      <c r="C857" s="240" t="s">
        <v>1893</v>
      </c>
      <c r="D857" s="240"/>
      <c r="E857" s="240" t="s">
        <v>991</v>
      </c>
      <c r="F857" s="249">
        <v>240000</v>
      </c>
      <c r="G857" s="250" t="s">
        <v>1926</v>
      </c>
      <c r="H857" s="240" t="s">
        <v>733</v>
      </c>
      <c r="I857" s="240"/>
      <c r="J857" s="249"/>
      <c r="K857" s="240"/>
      <c r="L857" s="240"/>
      <c r="M857" s="240"/>
    </row>
    <row r="858" spans="1:13">
      <c r="A858" s="244" t="s">
        <v>686</v>
      </c>
      <c r="B858" s="244" t="s">
        <v>1864</v>
      </c>
      <c r="C858" s="244" t="s">
        <v>1893</v>
      </c>
      <c r="D858" s="244"/>
      <c r="E858" s="244" t="s">
        <v>991</v>
      </c>
      <c r="F858" s="251">
        <v>65000</v>
      </c>
      <c r="G858" s="252" t="s">
        <v>1927</v>
      </c>
      <c r="H858" s="244" t="s">
        <v>733</v>
      </c>
      <c r="I858" s="244"/>
      <c r="J858" s="251"/>
      <c r="K858" s="244"/>
      <c r="L858" s="244"/>
      <c r="M858" s="244"/>
    </row>
    <row r="859" spans="1:13">
      <c r="A859" s="240" t="s">
        <v>686</v>
      </c>
      <c r="B859" s="240" t="s">
        <v>1864</v>
      </c>
      <c r="C859" s="240" t="s">
        <v>1865</v>
      </c>
      <c r="D859" s="240"/>
      <c r="E859" s="240" t="s">
        <v>991</v>
      </c>
      <c r="F859" s="249">
        <v>2545136</v>
      </c>
      <c r="G859" s="250" t="s">
        <v>1888</v>
      </c>
      <c r="H859" s="240" t="s">
        <v>733</v>
      </c>
      <c r="I859" s="240"/>
      <c r="J859" s="249"/>
      <c r="K859" s="240"/>
      <c r="L859" s="240"/>
      <c r="M859" s="240"/>
    </row>
    <row r="860" spans="1:13">
      <c r="A860" s="244" t="s">
        <v>686</v>
      </c>
      <c r="B860" s="244" t="s">
        <v>1864</v>
      </c>
      <c r="C860" s="244" t="s">
        <v>1865</v>
      </c>
      <c r="D860" s="244"/>
      <c r="E860" s="244" t="s">
        <v>991</v>
      </c>
      <c r="F860" s="251">
        <v>2413477</v>
      </c>
      <c r="G860" s="252" t="s">
        <v>1888</v>
      </c>
      <c r="H860" s="244" t="s">
        <v>733</v>
      </c>
      <c r="I860" s="244"/>
      <c r="J860" s="251"/>
      <c r="K860" s="244"/>
      <c r="L860" s="244"/>
      <c r="M860" s="244"/>
    </row>
    <row r="861" spans="1:13">
      <c r="A861" s="240" t="s">
        <v>686</v>
      </c>
      <c r="B861" s="240" t="s">
        <v>1864</v>
      </c>
      <c r="C861" s="240" t="s">
        <v>1865</v>
      </c>
      <c r="D861" s="240"/>
      <c r="E861" s="240" t="s">
        <v>991</v>
      </c>
      <c r="F861" s="249">
        <v>4818224</v>
      </c>
      <c r="G861" s="250" t="s">
        <v>1888</v>
      </c>
      <c r="H861" s="240" t="s">
        <v>733</v>
      </c>
      <c r="I861" s="240"/>
      <c r="J861" s="249"/>
      <c r="K861" s="240"/>
      <c r="L861" s="240"/>
      <c r="M861" s="240"/>
    </row>
    <row r="862" spans="1:13">
      <c r="A862" s="244" t="s">
        <v>686</v>
      </c>
      <c r="B862" s="244" t="s">
        <v>1864</v>
      </c>
      <c r="C862" s="244" t="s">
        <v>1928</v>
      </c>
      <c r="D862" s="244"/>
      <c r="E862" s="244" t="s">
        <v>991</v>
      </c>
      <c r="F862" s="251">
        <v>2542503</v>
      </c>
      <c r="G862" s="252" t="s">
        <v>1929</v>
      </c>
      <c r="H862" s="244" t="s">
        <v>771</v>
      </c>
      <c r="I862" s="244"/>
      <c r="J862" s="251"/>
      <c r="K862" s="244"/>
      <c r="L862" s="244"/>
      <c r="M862" s="244"/>
    </row>
    <row r="863" spans="1:13">
      <c r="A863" s="240" t="s">
        <v>686</v>
      </c>
      <c r="B863" s="240" t="s">
        <v>1864</v>
      </c>
      <c r="C863" s="240" t="s">
        <v>1928</v>
      </c>
      <c r="D863" s="240"/>
      <c r="E863" s="240" t="s">
        <v>991</v>
      </c>
      <c r="F863" s="249">
        <v>2831827</v>
      </c>
      <c r="G863" s="250" t="s">
        <v>1929</v>
      </c>
      <c r="H863" s="240" t="s">
        <v>771</v>
      </c>
      <c r="I863" s="240"/>
      <c r="J863" s="249"/>
      <c r="K863" s="240"/>
      <c r="L863" s="240"/>
      <c r="M863" s="240"/>
    </row>
    <row r="864" spans="1:13">
      <c r="A864" s="244" t="s">
        <v>686</v>
      </c>
      <c r="B864" s="244" t="s">
        <v>1864</v>
      </c>
      <c r="C864" s="244" t="s">
        <v>1928</v>
      </c>
      <c r="D864" s="244"/>
      <c r="E864" s="244" t="s">
        <v>991</v>
      </c>
      <c r="F864" s="251">
        <v>-261136</v>
      </c>
      <c r="G864" s="252" t="s">
        <v>1930</v>
      </c>
      <c r="H864" s="244" t="s">
        <v>771</v>
      </c>
      <c r="I864" s="244"/>
      <c r="J864" s="251"/>
      <c r="K864" s="244"/>
      <c r="L864" s="244"/>
      <c r="M864" s="244"/>
    </row>
    <row r="865" spans="1:13">
      <c r="A865" s="240" t="s">
        <v>686</v>
      </c>
      <c r="B865" s="240" t="s">
        <v>1864</v>
      </c>
      <c r="C865" s="240" t="s">
        <v>1928</v>
      </c>
      <c r="D865" s="240"/>
      <c r="E865" s="240" t="s">
        <v>991</v>
      </c>
      <c r="F865" s="249">
        <v>-290852</v>
      </c>
      <c r="G865" s="250" t="s">
        <v>1930</v>
      </c>
      <c r="H865" s="240" t="s">
        <v>771</v>
      </c>
      <c r="I865" s="240"/>
      <c r="J865" s="249"/>
      <c r="K865" s="240"/>
      <c r="L865" s="240"/>
      <c r="M865" s="240"/>
    </row>
    <row r="866" spans="1:13">
      <c r="A866" s="244" t="s">
        <v>686</v>
      </c>
      <c r="B866" s="244" t="s">
        <v>1864</v>
      </c>
      <c r="C866" s="244" t="s">
        <v>1928</v>
      </c>
      <c r="D866" s="244"/>
      <c r="E866" s="244" t="s">
        <v>991</v>
      </c>
      <c r="F866" s="251">
        <v>-2831827</v>
      </c>
      <c r="G866" s="252" t="s">
        <v>1896</v>
      </c>
      <c r="H866" s="244" t="s">
        <v>771</v>
      </c>
      <c r="I866" s="244"/>
      <c r="J866" s="251"/>
      <c r="K866" s="244"/>
      <c r="L866" s="244"/>
      <c r="M866" s="244"/>
    </row>
    <row r="867" spans="1:13">
      <c r="A867" s="240" t="s">
        <v>686</v>
      </c>
      <c r="B867" s="240" t="s">
        <v>1864</v>
      </c>
      <c r="C867" s="240" t="s">
        <v>1928</v>
      </c>
      <c r="D867" s="240"/>
      <c r="E867" s="240" t="s">
        <v>991</v>
      </c>
      <c r="F867" s="249">
        <v>290852</v>
      </c>
      <c r="G867" s="250" t="s">
        <v>1896</v>
      </c>
      <c r="H867" s="240" t="s">
        <v>771</v>
      </c>
      <c r="I867" s="240"/>
      <c r="J867" s="249"/>
      <c r="K867" s="240"/>
      <c r="L867" s="240"/>
      <c r="M867" s="240"/>
    </row>
    <row r="868" spans="1:13">
      <c r="A868" s="244" t="s">
        <v>686</v>
      </c>
      <c r="B868" s="244" t="s">
        <v>1864</v>
      </c>
      <c r="C868" s="244" t="s">
        <v>1928</v>
      </c>
      <c r="D868" s="244"/>
      <c r="E868" s="244" t="s">
        <v>991</v>
      </c>
      <c r="F868" s="251">
        <v>261136</v>
      </c>
      <c r="G868" s="252" t="s">
        <v>1896</v>
      </c>
      <c r="H868" s="244" t="s">
        <v>771</v>
      </c>
      <c r="I868" s="244"/>
      <c r="J868" s="251"/>
      <c r="K868" s="244"/>
      <c r="L868" s="244"/>
      <c r="M868" s="244"/>
    </row>
    <row r="869" spans="1:13">
      <c r="A869" s="240" t="s">
        <v>686</v>
      </c>
      <c r="B869" s="240" t="s">
        <v>1864</v>
      </c>
      <c r="C869" s="240" t="s">
        <v>1928</v>
      </c>
      <c r="D869" s="240"/>
      <c r="E869" s="240" t="s">
        <v>991</v>
      </c>
      <c r="F869" s="249">
        <v>-2542503</v>
      </c>
      <c r="G869" s="250" t="s">
        <v>1896</v>
      </c>
      <c r="H869" s="240" t="s">
        <v>771</v>
      </c>
      <c r="I869" s="240"/>
      <c r="J869" s="249"/>
      <c r="K869" s="240"/>
      <c r="L869" s="240"/>
      <c r="M869" s="240"/>
    </row>
    <row r="870" spans="1:13">
      <c r="A870" s="244" t="s">
        <v>686</v>
      </c>
      <c r="B870" s="244" t="s">
        <v>1864</v>
      </c>
      <c r="C870" s="244" t="s">
        <v>1928</v>
      </c>
      <c r="D870" s="244"/>
      <c r="E870" s="244" t="s">
        <v>991</v>
      </c>
      <c r="F870" s="251">
        <v>2453996</v>
      </c>
      <c r="G870" s="252" t="s">
        <v>1896</v>
      </c>
      <c r="H870" s="244" t="s">
        <v>771</v>
      </c>
      <c r="I870" s="244"/>
      <c r="J870" s="251"/>
      <c r="K870" s="244"/>
      <c r="L870" s="244"/>
      <c r="M870" s="244"/>
    </row>
    <row r="871" spans="1:13">
      <c r="A871" s="240" t="s">
        <v>686</v>
      </c>
      <c r="B871" s="240" t="s">
        <v>1864</v>
      </c>
      <c r="C871" s="240" t="s">
        <v>1928</v>
      </c>
      <c r="D871" s="240"/>
      <c r="E871" s="240" t="s">
        <v>991</v>
      </c>
      <c r="F871" s="249">
        <v>2734892</v>
      </c>
      <c r="G871" s="250" t="s">
        <v>1931</v>
      </c>
      <c r="H871" s="240" t="s">
        <v>771</v>
      </c>
      <c r="I871" s="240"/>
      <c r="J871" s="249"/>
      <c r="K871" s="240"/>
      <c r="L871" s="240"/>
      <c r="M871" s="240"/>
    </row>
    <row r="872" spans="1:13">
      <c r="A872" s="244" t="s">
        <v>686</v>
      </c>
      <c r="B872" s="244" t="s">
        <v>1864</v>
      </c>
      <c r="C872" s="244" t="s">
        <v>1928</v>
      </c>
      <c r="D872" s="244"/>
      <c r="E872" s="244" t="s">
        <v>991</v>
      </c>
      <c r="F872" s="251">
        <v>-280896</v>
      </c>
      <c r="G872" s="252" t="s">
        <v>1931</v>
      </c>
      <c r="H872" s="244" t="s">
        <v>771</v>
      </c>
      <c r="I872" s="244"/>
      <c r="J872" s="251"/>
      <c r="K872" s="244"/>
      <c r="L872" s="244"/>
      <c r="M872" s="244"/>
    </row>
    <row r="873" spans="1:13">
      <c r="A873" s="240" t="s">
        <v>686</v>
      </c>
      <c r="B873" s="240" t="s">
        <v>1864</v>
      </c>
      <c r="C873" s="240" t="s">
        <v>1928</v>
      </c>
      <c r="D873" s="240"/>
      <c r="E873" s="240" t="s">
        <v>991</v>
      </c>
      <c r="F873" s="249">
        <v>2380961</v>
      </c>
      <c r="G873" s="250" t="s">
        <v>1898</v>
      </c>
      <c r="H873" s="240" t="s">
        <v>771</v>
      </c>
      <c r="I873" s="240"/>
      <c r="J873" s="249"/>
      <c r="K873" s="240"/>
      <c r="L873" s="240"/>
      <c r="M873" s="240"/>
    </row>
    <row r="874" spans="1:13">
      <c r="A874" s="244" t="s">
        <v>686</v>
      </c>
      <c r="B874" s="244" t="s">
        <v>1864</v>
      </c>
      <c r="C874" s="244" t="s">
        <v>1928</v>
      </c>
      <c r="D874" s="244"/>
      <c r="E874" s="244" t="s">
        <v>991</v>
      </c>
      <c r="F874" s="251">
        <v>280896</v>
      </c>
      <c r="G874" s="252" t="s">
        <v>1898</v>
      </c>
      <c r="H874" s="244" t="s">
        <v>771</v>
      </c>
      <c r="I874" s="244"/>
      <c r="J874" s="251"/>
      <c r="K874" s="244"/>
      <c r="L874" s="244"/>
      <c r="M874" s="244"/>
    </row>
    <row r="875" spans="1:13">
      <c r="A875" s="240" t="s">
        <v>686</v>
      </c>
      <c r="B875" s="240" t="s">
        <v>1864</v>
      </c>
      <c r="C875" s="240" t="s">
        <v>1928</v>
      </c>
      <c r="D875" s="240"/>
      <c r="E875" s="240" t="s">
        <v>991</v>
      </c>
      <c r="F875" s="249">
        <v>-2734892</v>
      </c>
      <c r="G875" s="250" t="s">
        <v>1898</v>
      </c>
      <c r="H875" s="240" t="s">
        <v>771</v>
      </c>
      <c r="I875" s="240"/>
      <c r="J875" s="249"/>
      <c r="K875" s="240"/>
      <c r="L875" s="240"/>
      <c r="M875" s="240"/>
    </row>
    <row r="876" spans="1:13">
      <c r="A876" s="244" t="s">
        <v>686</v>
      </c>
      <c r="B876" s="244" t="s">
        <v>1864</v>
      </c>
      <c r="C876" s="244" t="s">
        <v>1928</v>
      </c>
      <c r="D876" s="244"/>
      <c r="E876" s="244" t="s">
        <v>991</v>
      </c>
      <c r="F876" s="251">
        <v>-272536</v>
      </c>
      <c r="G876" s="252" t="s">
        <v>1932</v>
      </c>
      <c r="H876" s="244" t="s">
        <v>771</v>
      </c>
      <c r="I876" s="244"/>
      <c r="J876" s="251"/>
      <c r="K876" s="244"/>
      <c r="L876" s="244"/>
      <c r="M876" s="244"/>
    </row>
    <row r="877" spans="1:13">
      <c r="A877" s="240" t="s">
        <v>686</v>
      </c>
      <c r="B877" s="240" t="s">
        <v>1864</v>
      </c>
      <c r="C877" s="240" t="s">
        <v>1928</v>
      </c>
      <c r="D877" s="240"/>
      <c r="E877" s="240" t="s">
        <v>991</v>
      </c>
      <c r="F877" s="249">
        <v>2653497</v>
      </c>
      <c r="G877" s="250" t="s">
        <v>1932</v>
      </c>
      <c r="H877" s="240" t="s">
        <v>771</v>
      </c>
      <c r="I877" s="240"/>
      <c r="J877" s="249"/>
      <c r="K877" s="240"/>
      <c r="L877" s="240"/>
      <c r="M877" s="240"/>
    </row>
    <row r="878" spans="1:13">
      <c r="A878" s="244" t="s">
        <v>686</v>
      </c>
      <c r="B878" s="244" t="s">
        <v>1864</v>
      </c>
      <c r="C878" s="244" t="s">
        <v>1928</v>
      </c>
      <c r="D878" s="244"/>
      <c r="E878" s="244" t="s">
        <v>991</v>
      </c>
      <c r="F878" s="251">
        <v>2712941</v>
      </c>
      <c r="G878" s="252" t="s">
        <v>1933</v>
      </c>
      <c r="H878" s="244" t="s">
        <v>771</v>
      </c>
      <c r="I878" s="244"/>
      <c r="J878" s="251"/>
      <c r="K878" s="244"/>
      <c r="L878" s="244"/>
      <c r="M878" s="244"/>
    </row>
    <row r="879" spans="1:13">
      <c r="A879" s="240" t="s">
        <v>686</v>
      </c>
      <c r="B879" s="240" t="s">
        <v>1864</v>
      </c>
      <c r="C879" s="240" t="s">
        <v>1928</v>
      </c>
      <c r="D879" s="240"/>
      <c r="E879" s="240" t="s">
        <v>991</v>
      </c>
      <c r="F879" s="249">
        <v>272536</v>
      </c>
      <c r="G879" s="250" t="s">
        <v>1933</v>
      </c>
      <c r="H879" s="240" t="s">
        <v>771</v>
      </c>
      <c r="I879" s="240"/>
      <c r="J879" s="249"/>
      <c r="K879" s="240"/>
      <c r="L879" s="240"/>
      <c r="M879" s="240"/>
    </row>
    <row r="880" spans="1:13">
      <c r="A880" s="244" t="s">
        <v>686</v>
      </c>
      <c r="B880" s="244" t="s">
        <v>1864</v>
      </c>
      <c r="C880" s="244" t="s">
        <v>1928</v>
      </c>
      <c r="D880" s="244"/>
      <c r="E880" s="244" t="s">
        <v>991</v>
      </c>
      <c r="F880" s="251">
        <v>-2653497</v>
      </c>
      <c r="G880" s="252" t="s">
        <v>1933</v>
      </c>
      <c r="H880" s="244" t="s">
        <v>771</v>
      </c>
      <c r="I880" s="244"/>
      <c r="J880" s="251"/>
      <c r="K880" s="244"/>
      <c r="L880" s="244"/>
      <c r="M880" s="244"/>
    </row>
    <row r="881" spans="1:13">
      <c r="A881" s="240" t="s">
        <v>686</v>
      </c>
      <c r="B881" s="240" t="s">
        <v>1864</v>
      </c>
      <c r="C881" s="240" t="s">
        <v>1928</v>
      </c>
      <c r="D881" s="240"/>
      <c r="E881" s="240" t="s">
        <v>991</v>
      </c>
      <c r="F881" s="249">
        <v>3023477</v>
      </c>
      <c r="G881" s="250" t="s">
        <v>1904</v>
      </c>
      <c r="H881" s="240" t="s">
        <v>771</v>
      </c>
      <c r="I881" s="240"/>
      <c r="J881" s="249"/>
      <c r="K881" s="240"/>
      <c r="L881" s="240"/>
      <c r="M881" s="240"/>
    </row>
    <row r="882" spans="1:13">
      <c r="A882" s="244" t="s">
        <v>686</v>
      </c>
      <c r="B882" s="244" t="s">
        <v>1864</v>
      </c>
      <c r="C882" s="244" t="s">
        <v>1928</v>
      </c>
      <c r="D882" s="244"/>
      <c r="E882" s="244" t="s">
        <v>991</v>
      </c>
      <c r="F882" s="251">
        <v>-310536</v>
      </c>
      <c r="G882" s="252" t="s">
        <v>1934</v>
      </c>
      <c r="H882" s="244" t="s">
        <v>771</v>
      </c>
      <c r="I882" s="244"/>
      <c r="J882" s="251"/>
      <c r="K882" s="244"/>
      <c r="L882" s="244"/>
      <c r="M882" s="244"/>
    </row>
    <row r="883" spans="1:13">
      <c r="A883" s="240" t="s">
        <v>686</v>
      </c>
      <c r="B883" s="240" t="s">
        <v>1864</v>
      </c>
      <c r="C883" s="240" t="s">
        <v>1928</v>
      </c>
      <c r="D883" s="240"/>
      <c r="E883" s="240" t="s">
        <v>991</v>
      </c>
      <c r="F883" s="249">
        <v>-303468</v>
      </c>
      <c r="G883" s="250" t="s">
        <v>1909</v>
      </c>
      <c r="H883" s="240" t="s">
        <v>771</v>
      </c>
      <c r="I883" s="240"/>
      <c r="J883" s="249"/>
      <c r="K883" s="240"/>
      <c r="L883" s="240"/>
      <c r="M883" s="240"/>
    </row>
    <row r="884" spans="1:13">
      <c r="A884" s="244" t="s">
        <v>686</v>
      </c>
      <c r="B884" s="244" t="s">
        <v>1864</v>
      </c>
      <c r="C884" s="244" t="s">
        <v>1928</v>
      </c>
      <c r="D884" s="244"/>
      <c r="E884" s="244" t="s">
        <v>991</v>
      </c>
      <c r="F884" s="251">
        <v>2954660</v>
      </c>
      <c r="G884" s="252" t="s">
        <v>1909</v>
      </c>
      <c r="H884" s="244" t="s">
        <v>771</v>
      </c>
      <c r="I884" s="244"/>
      <c r="J884" s="251"/>
      <c r="K884" s="244"/>
      <c r="L884" s="244"/>
      <c r="M884" s="244"/>
    </row>
    <row r="885" spans="1:13">
      <c r="A885" s="240" t="s">
        <v>686</v>
      </c>
      <c r="B885" s="240" t="s">
        <v>1864</v>
      </c>
      <c r="C885" s="240" t="s">
        <v>1928</v>
      </c>
      <c r="D885" s="240"/>
      <c r="E885" s="240" t="s">
        <v>991</v>
      </c>
      <c r="F885" s="249">
        <v>2862996</v>
      </c>
      <c r="G885" s="250" t="s">
        <v>1935</v>
      </c>
      <c r="H885" s="240" t="s">
        <v>771</v>
      </c>
      <c r="I885" s="240"/>
      <c r="J885" s="249"/>
      <c r="K885" s="240"/>
      <c r="L885" s="240"/>
      <c r="M885" s="240"/>
    </row>
    <row r="886" spans="1:13">
      <c r="A886" s="244" t="s">
        <v>686</v>
      </c>
      <c r="B886" s="244" t="s">
        <v>1864</v>
      </c>
      <c r="C886" s="244" t="s">
        <v>1928</v>
      </c>
      <c r="D886" s="244"/>
      <c r="E886" s="244" t="s">
        <v>991</v>
      </c>
      <c r="F886" s="251">
        <v>-2954660</v>
      </c>
      <c r="G886" s="252" t="s">
        <v>1935</v>
      </c>
      <c r="H886" s="244" t="s">
        <v>771</v>
      </c>
      <c r="I886" s="244"/>
      <c r="J886" s="251"/>
      <c r="K886" s="244"/>
      <c r="L886" s="244"/>
      <c r="M886" s="244"/>
    </row>
    <row r="887" spans="1:13">
      <c r="A887" s="240" t="s">
        <v>686</v>
      </c>
      <c r="B887" s="240" t="s">
        <v>1864</v>
      </c>
      <c r="C887" s="240" t="s">
        <v>1928</v>
      </c>
      <c r="D887" s="240"/>
      <c r="E887" s="240" t="s">
        <v>991</v>
      </c>
      <c r="F887" s="249">
        <v>3190708</v>
      </c>
      <c r="G887" s="250" t="s">
        <v>1936</v>
      </c>
      <c r="H887" s="240" t="s">
        <v>771</v>
      </c>
      <c r="I887" s="240"/>
      <c r="J887" s="249"/>
      <c r="K887" s="240"/>
      <c r="L887" s="240"/>
      <c r="M887" s="240"/>
    </row>
    <row r="888" spans="1:13">
      <c r="A888" s="244" t="s">
        <v>686</v>
      </c>
      <c r="B888" s="244" t="s">
        <v>1864</v>
      </c>
      <c r="C888" s="244" t="s">
        <v>1928</v>
      </c>
      <c r="D888" s="244"/>
      <c r="E888" s="244" t="s">
        <v>991</v>
      </c>
      <c r="F888" s="251">
        <v>-327712</v>
      </c>
      <c r="G888" s="252" t="s">
        <v>1936</v>
      </c>
      <c r="H888" s="244" t="s">
        <v>771</v>
      </c>
      <c r="I888" s="244"/>
      <c r="J888" s="251"/>
      <c r="K888" s="244"/>
      <c r="L888" s="244"/>
      <c r="M888" s="244"/>
    </row>
    <row r="889" spans="1:13">
      <c r="A889" s="240" t="s">
        <v>686</v>
      </c>
      <c r="B889" s="240" t="s">
        <v>1864</v>
      </c>
      <c r="C889" s="240" t="s">
        <v>1928</v>
      </c>
      <c r="D889" s="240"/>
      <c r="E889" s="240" t="s">
        <v>991</v>
      </c>
      <c r="F889" s="249">
        <v>2474579</v>
      </c>
      <c r="G889" s="250" t="s">
        <v>1870</v>
      </c>
      <c r="H889" s="240" t="s">
        <v>771</v>
      </c>
      <c r="I889" s="240"/>
      <c r="J889" s="249"/>
      <c r="K889" s="240"/>
      <c r="L889" s="240"/>
      <c r="M889" s="240"/>
    </row>
    <row r="890" spans="1:13">
      <c r="A890" s="244" t="s">
        <v>686</v>
      </c>
      <c r="B890" s="244" t="s">
        <v>1864</v>
      </c>
      <c r="C890" s="244" t="s">
        <v>1928</v>
      </c>
      <c r="D890" s="244"/>
      <c r="E890" s="244" t="s">
        <v>991</v>
      </c>
      <c r="F890" s="251">
        <v>2757831</v>
      </c>
      <c r="G890" s="252" t="s">
        <v>1937</v>
      </c>
      <c r="H890" s="244" t="s">
        <v>771</v>
      </c>
      <c r="I890" s="244"/>
      <c r="J890" s="251"/>
      <c r="K890" s="244"/>
      <c r="L890" s="244"/>
      <c r="M890" s="244"/>
    </row>
    <row r="891" spans="1:13">
      <c r="A891" s="240" t="s">
        <v>686</v>
      </c>
      <c r="B891" s="240" t="s">
        <v>1864</v>
      </c>
      <c r="C891" s="240" t="s">
        <v>1928</v>
      </c>
      <c r="D891" s="240"/>
      <c r="E891" s="240" t="s">
        <v>991</v>
      </c>
      <c r="F891" s="249">
        <v>-283252</v>
      </c>
      <c r="G891" s="250" t="s">
        <v>1937</v>
      </c>
      <c r="H891" s="240" t="s">
        <v>771</v>
      </c>
      <c r="I891" s="240"/>
      <c r="J891" s="249"/>
      <c r="K891" s="240"/>
      <c r="L891" s="240"/>
      <c r="M891" s="240"/>
    </row>
    <row r="892" spans="1:13">
      <c r="A892" s="244" t="s">
        <v>686</v>
      </c>
      <c r="B892" s="244" t="s">
        <v>1864</v>
      </c>
      <c r="C892" s="244" t="s">
        <v>1928</v>
      </c>
      <c r="D892" s="244"/>
      <c r="E892" s="244" t="s">
        <v>991</v>
      </c>
      <c r="F892" s="251">
        <v>2531679</v>
      </c>
      <c r="G892" s="252" t="s">
        <v>1938</v>
      </c>
      <c r="H892" s="244" t="s">
        <v>771</v>
      </c>
      <c r="I892" s="244"/>
      <c r="J892" s="251"/>
      <c r="K892" s="244"/>
      <c r="L892" s="244"/>
      <c r="M892" s="244"/>
    </row>
    <row r="893" spans="1:13">
      <c r="A893" s="240" t="s">
        <v>686</v>
      </c>
      <c r="B893" s="240" t="s">
        <v>1864</v>
      </c>
      <c r="C893" s="240" t="s">
        <v>1928</v>
      </c>
      <c r="D893" s="240"/>
      <c r="E893" s="240" t="s">
        <v>991</v>
      </c>
      <c r="F893" s="249">
        <v>2821467</v>
      </c>
      <c r="G893" s="250" t="s">
        <v>1874</v>
      </c>
      <c r="H893" s="240" t="s">
        <v>771</v>
      </c>
      <c r="I893" s="240"/>
      <c r="J893" s="249"/>
      <c r="K893" s="240"/>
      <c r="L893" s="240"/>
      <c r="M893" s="240"/>
    </row>
    <row r="894" spans="1:13">
      <c r="A894" s="244" t="s">
        <v>686</v>
      </c>
      <c r="B894" s="244" t="s">
        <v>1864</v>
      </c>
      <c r="C894" s="244" t="s">
        <v>1928</v>
      </c>
      <c r="D894" s="244"/>
      <c r="E894" s="244" t="s">
        <v>991</v>
      </c>
      <c r="F894" s="251">
        <v>-289788</v>
      </c>
      <c r="G894" s="252" t="s">
        <v>1874</v>
      </c>
      <c r="H894" s="244" t="s">
        <v>771</v>
      </c>
      <c r="I894" s="244"/>
      <c r="J894" s="251"/>
      <c r="K894" s="244"/>
      <c r="L894" s="244"/>
      <c r="M894" s="244"/>
    </row>
    <row r="895" spans="1:13">
      <c r="A895" s="240" t="s">
        <v>686</v>
      </c>
      <c r="B895" s="240" t="s">
        <v>1864</v>
      </c>
      <c r="C895" s="240" t="s">
        <v>1928</v>
      </c>
      <c r="D895" s="240"/>
      <c r="E895" s="240" t="s">
        <v>991</v>
      </c>
      <c r="F895" s="249">
        <v>-2531679</v>
      </c>
      <c r="G895" s="250" t="s">
        <v>1875</v>
      </c>
      <c r="H895" s="240" t="s">
        <v>771</v>
      </c>
      <c r="I895" s="240"/>
      <c r="J895" s="249"/>
      <c r="K895" s="240"/>
      <c r="L895" s="240"/>
      <c r="M895" s="240"/>
    </row>
    <row r="896" spans="1:13">
      <c r="A896" s="244" t="s">
        <v>686</v>
      </c>
      <c r="B896" s="244" t="s">
        <v>1864</v>
      </c>
      <c r="C896" s="244" t="s">
        <v>1928</v>
      </c>
      <c r="D896" s="244"/>
      <c r="E896" s="244" t="s">
        <v>991</v>
      </c>
      <c r="F896" s="251">
        <v>2463292</v>
      </c>
      <c r="G896" s="252" t="s">
        <v>1875</v>
      </c>
      <c r="H896" s="244" t="s">
        <v>771</v>
      </c>
      <c r="I896" s="244"/>
      <c r="J896" s="251"/>
      <c r="K896" s="244"/>
      <c r="L896" s="244"/>
      <c r="M896" s="244"/>
    </row>
    <row r="897" spans="1:13">
      <c r="A897" s="240" t="s">
        <v>686</v>
      </c>
      <c r="B897" s="240" t="s">
        <v>1864</v>
      </c>
      <c r="C897" s="240" t="s">
        <v>1928</v>
      </c>
      <c r="D897" s="240"/>
      <c r="E897" s="240" t="s">
        <v>991</v>
      </c>
      <c r="F897" s="249">
        <v>2745252</v>
      </c>
      <c r="G897" s="250" t="s">
        <v>1939</v>
      </c>
      <c r="H897" s="240" t="s">
        <v>771</v>
      </c>
      <c r="I897" s="240"/>
      <c r="J897" s="249"/>
      <c r="K897" s="240"/>
      <c r="L897" s="240"/>
      <c r="M897" s="240"/>
    </row>
    <row r="898" spans="1:13">
      <c r="A898" s="244" t="s">
        <v>686</v>
      </c>
      <c r="B898" s="244" t="s">
        <v>1864</v>
      </c>
      <c r="C898" s="244" t="s">
        <v>1928</v>
      </c>
      <c r="D898" s="244"/>
      <c r="E898" s="244" t="s">
        <v>991</v>
      </c>
      <c r="F898" s="251">
        <v>-281960</v>
      </c>
      <c r="G898" s="252" t="s">
        <v>1939</v>
      </c>
      <c r="H898" s="244" t="s">
        <v>771</v>
      </c>
      <c r="I898" s="244"/>
      <c r="J898" s="251"/>
      <c r="K898" s="244"/>
      <c r="L898" s="244"/>
      <c r="M898" s="244"/>
    </row>
    <row r="899" spans="1:13">
      <c r="A899" s="240" t="s">
        <v>686</v>
      </c>
      <c r="B899" s="240" t="s">
        <v>1864</v>
      </c>
      <c r="C899" s="240" t="s">
        <v>1928</v>
      </c>
      <c r="D899" s="240"/>
      <c r="E899" s="240" t="s">
        <v>991</v>
      </c>
      <c r="F899" s="249">
        <v>-2463292</v>
      </c>
      <c r="G899" s="250" t="s">
        <v>1939</v>
      </c>
      <c r="H899" s="240" t="s">
        <v>771</v>
      </c>
      <c r="I899" s="240"/>
      <c r="J899" s="249"/>
      <c r="K899" s="240"/>
      <c r="L899" s="240"/>
      <c r="M899" s="240"/>
    </row>
    <row r="900" spans="1:13">
      <c r="A900" s="244" t="s">
        <v>686</v>
      </c>
      <c r="B900" s="244" t="s">
        <v>1864</v>
      </c>
      <c r="C900" s="244" t="s">
        <v>1928</v>
      </c>
      <c r="D900" s="244"/>
      <c r="E900" s="244" t="s">
        <v>991</v>
      </c>
      <c r="F900" s="251">
        <v>3615262</v>
      </c>
      <c r="G900" s="252" t="s">
        <v>1939</v>
      </c>
      <c r="H900" s="244" t="s">
        <v>771</v>
      </c>
      <c r="I900" s="244"/>
      <c r="J900" s="251"/>
      <c r="K900" s="244"/>
      <c r="L900" s="244"/>
      <c r="M900" s="244"/>
    </row>
    <row r="901" spans="1:13">
      <c r="A901" s="240" t="s">
        <v>686</v>
      </c>
      <c r="B901" s="240" t="s">
        <v>1864</v>
      </c>
      <c r="C901" s="240" t="s">
        <v>1928</v>
      </c>
      <c r="D901" s="240"/>
      <c r="E901" s="240" t="s">
        <v>991</v>
      </c>
      <c r="F901" s="249">
        <v>-2474579</v>
      </c>
      <c r="G901" s="250" t="s">
        <v>1939</v>
      </c>
      <c r="H901" s="240" t="s">
        <v>771</v>
      </c>
      <c r="I901" s="240"/>
      <c r="J901" s="249"/>
      <c r="K901" s="240"/>
      <c r="L901" s="240"/>
      <c r="M901" s="240"/>
    </row>
    <row r="902" spans="1:13">
      <c r="A902" s="244" t="s">
        <v>686</v>
      </c>
      <c r="B902" s="244" t="s">
        <v>1864</v>
      </c>
      <c r="C902" s="244" t="s">
        <v>1928</v>
      </c>
      <c r="D902" s="244"/>
      <c r="E902" s="244" t="s">
        <v>991</v>
      </c>
      <c r="F902" s="251">
        <v>-2862996</v>
      </c>
      <c r="G902" s="252" t="s">
        <v>1939</v>
      </c>
      <c r="H902" s="244" t="s">
        <v>771</v>
      </c>
      <c r="I902" s="244"/>
      <c r="J902" s="251"/>
      <c r="K902" s="244"/>
      <c r="L902" s="244"/>
      <c r="M902" s="244"/>
    </row>
    <row r="903" spans="1:13">
      <c r="A903" s="240" t="s">
        <v>686</v>
      </c>
      <c r="B903" s="240" t="s">
        <v>1864</v>
      </c>
      <c r="C903" s="240" t="s">
        <v>1928</v>
      </c>
      <c r="D903" s="240"/>
      <c r="E903" s="240" t="s">
        <v>991</v>
      </c>
      <c r="F903" s="249">
        <v>-413820</v>
      </c>
      <c r="G903" s="250" t="s">
        <v>1940</v>
      </c>
      <c r="H903" s="240" t="s">
        <v>771</v>
      </c>
      <c r="I903" s="240"/>
      <c r="J903" s="249"/>
      <c r="K903" s="240"/>
      <c r="L903" s="240"/>
      <c r="M903" s="240"/>
    </row>
    <row r="904" spans="1:13">
      <c r="A904" s="244" t="s">
        <v>686</v>
      </c>
      <c r="B904" s="244" t="s">
        <v>1864</v>
      </c>
      <c r="C904" s="244" t="s">
        <v>1928</v>
      </c>
      <c r="D904" s="244"/>
      <c r="E904" s="244" t="s">
        <v>991</v>
      </c>
      <c r="F904" s="251">
        <v>4029082</v>
      </c>
      <c r="G904" s="252" t="s">
        <v>1940</v>
      </c>
      <c r="H904" s="244" t="s">
        <v>771</v>
      </c>
      <c r="I904" s="244"/>
      <c r="J904" s="251"/>
      <c r="K904" s="244"/>
      <c r="L904" s="244"/>
      <c r="M904" s="244"/>
    </row>
    <row r="905" spans="1:13">
      <c r="A905" s="240" t="s">
        <v>686</v>
      </c>
      <c r="B905" s="240" t="s">
        <v>1864</v>
      </c>
      <c r="C905" s="240" t="s">
        <v>1928</v>
      </c>
      <c r="D905" s="240"/>
      <c r="E905" s="240" t="s">
        <v>991</v>
      </c>
      <c r="F905" s="249">
        <v>3783908</v>
      </c>
      <c r="G905" s="250" t="s">
        <v>1880</v>
      </c>
      <c r="H905" s="240" t="s">
        <v>771</v>
      </c>
      <c r="I905" s="240"/>
      <c r="J905" s="249"/>
      <c r="K905" s="240"/>
      <c r="L905" s="240"/>
      <c r="M905" s="240"/>
    </row>
    <row r="906" spans="1:13">
      <c r="A906" s="244" t="s">
        <v>686</v>
      </c>
      <c r="B906" s="244" t="s">
        <v>1864</v>
      </c>
      <c r="C906" s="244" t="s">
        <v>1928</v>
      </c>
      <c r="D906" s="244"/>
      <c r="E906" s="244" t="s">
        <v>991</v>
      </c>
      <c r="F906" s="251">
        <v>-3615262</v>
      </c>
      <c r="G906" s="252" t="s">
        <v>1880</v>
      </c>
      <c r="H906" s="244" t="s">
        <v>771</v>
      </c>
      <c r="I906" s="244"/>
      <c r="J906" s="251"/>
      <c r="K906" s="244"/>
      <c r="L906" s="244"/>
      <c r="M906" s="244"/>
    </row>
    <row r="907" spans="1:13">
      <c r="A907" s="240" t="s">
        <v>686</v>
      </c>
      <c r="B907" s="240" t="s">
        <v>1864</v>
      </c>
      <c r="C907" s="240" t="s">
        <v>1928</v>
      </c>
      <c r="D907" s="240"/>
      <c r="E907" s="240" t="s">
        <v>991</v>
      </c>
      <c r="F907" s="249">
        <v>-433124</v>
      </c>
      <c r="G907" s="250" t="s">
        <v>1941</v>
      </c>
      <c r="H907" s="240" t="s">
        <v>771</v>
      </c>
      <c r="I907" s="240"/>
      <c r="J907" s="249"/>
      <c r="K907" s="240"/>
      <c r="L907" s="240"/>
      <c r="M907" s="240"/>
    </row>
    <row r="908" spans="1:13">
      <c r="A908" s="244" t="s">
        <v>686</v>
      </c>
      <c r="B908" s="244" t="s">
        <v>1864</v>
      </c>
      <c r="C908" s="244" t="s">
        <v>1928</v>
      </c>
      <c r="D908" s="244"/>
      <c r="E908" s="244" t="s">
        <v>991</v>
      </c>
      <c r="F908" s="251">
        <v>4217032</v>
      </c>
      <c r="G908" s="252" t="s">
        <v>1941</v>
      </c>
      <c r="H908" s="244" t="s">
        <v>771</v>
      </c>
      <c r="I908" s="244"/>
      <c r="J908" s="251"/>
      <c r="K908" s="244"/>
      <c r="L908" s="244"/>
      <c r="M908" s="244"/>
    </row>
    <row r="909" spans="1:13">
      <c r="A909" s="240" t="s">
        <v>686</v>
      </c>
      <c r="B909" s="240" t="s">
        <v>1864</v>
      </c>
      <c r="C909" s="240" t="s">
        <v>1928</v>
      </c>
      <c r="D909" s="240"/>
      <c r="E909" s="240" t="s">
        <v>991</v>
      </c>
      <c r="F909" s="249">
        <v>3823082</v>
      </c>
      <c r="G909" s="250" t="s">
        <v>1883</v>
      </c>
      <c r="H909" s="240" t="s">
        <v>771</v>
      </c>
      <c r="I909" s="240"/>
      <c r="J909" s="249"/>
      <c r="K909" s="240"/>
      <c r="L909" s="240"/>
      <c r="M909" s="240"/>
    </row>
    <row r="910" spans="1:13">
      <c r="A910" s="244" t="s">
        <v>686</v>
      </c>
      <c r="B910" s="244" t="s">
        <v>1864</v>
      </c>
      <c r="C910" s="244" t="s">
        <v>1928</v>
      </c>
      <c r="D910" s="244"/>
      <c r="E910" s="244" t="s">
        <v>991</v>
      </c>
      <c r="F910" s="251">
        <v>-3783908</v>
      </c>
      <c r="G910" s="252" t="s">
        <v>1883</v>
      </c>
      <c r="H910" s="244" t="s">
        <v>771</v>
      </c>
      <c r="I910" s="244"/>
      <c r="J910" s="251"/>
      <c r="K910" s="244"/>
      <c r="L910" s="244"/>
      <c r="M910" s="244"/>
    </row>
    <row r="911" spans="1:13">
      <c r="A911" s="240" t="s">
        <v>686</v>
      </c>
      <c r="B911" s="240" t="s">
        <v>1864</v>
      </c>
      <c r="C911" s="240" t="s">
        <v>1928</v>
      </c>
      <c r="D911" s="240"/>
      <c r="E911" s="240" t="s">
        <v>991</v>
      </c>
      <c r="F911" s="249">
        <v>-437608</v>
      </c>
      <c r="G911" s="250" t="s">
        <v>1942</v>
      </c>
      <c r="H911" s="240" t="s">
        <v>771</v>
      </c>
      <c r="I911" s="240"/>
      <c r="J911" s="249"/>
      <c r="K911" s="240"/>
      <c r="L911" s="240"/>
      <c r="M911" s="240"/>
    </row>
    <row r="912" spans="1:13">
      <c r="A912" s="244" t="s">
        <v>686</v>
      </c>
      <c r="B912" s="244" t="s">
        <v>1864</v>
      </c>
      <c r="C912" s="244" t="s">
        <v>1928</v>
      </c>
      <c r="D912" s="244"/>
      <c r="E912" s="244" t="s">
        <v>991</v>
      </c>
      <c r="F912" s="251">
        <v>4260690</v>
      </c>
      <c r="G912" s="252" t="s">
        <v>1942</v>
      </c>
      <c r="H912" s="244" t="s">
        <v>771</v>
      </c>
      <c r="I912" s="244"/>
      <c r="J912" s="251"/>
      <c r="K912" s="244"/>
      <c r="L912" s="244"/>
      <c r="M912" s="244"/>
    </row>
    <row r="913" spans="1:13">
      <c r="A913" s="240" t="s">
        <v>686</v>
      </c>
      <c r="B913" s="240" t="s">
        <v>1864</v>
      </c>
      <c r="C913" s="240" t="s">
        <v>1928</v>
      </c>
      <c r="D913" s="240"/>
      <c r="E913" s="240" t="s">
        <v>991</v>
      </c>
      <c r="F913" s="249">
        <v>3843664</v>
      </c>
      <c r="G913" s="250" t="s">
        <v>1888</v>
      </c>
      <c r="H913" s="240" t="s">
        <v>771</v>
      </c>
      <c r="I913" s="240"/>
      <c r="J913" s="249"/>
      <c r="K913" s="240"/>
      <c r="L913" s="240"/>
      <c r="M913" s="240"/>
    </row>
    <row r="914" spans="1:13">
      <c r="A914" s="244" t="s">
        <v>686</v>
      </c>
      <c r="B914" s="244" t="s">
        <v>1864</v>
      </c>
      <c r="C914" s="244" t="s">
        <v>1928</v>
      </c>
      <c r="D914" s="244"/>
      <c r="E914" s="244" t="s">
        <v>991</v>
      </c>
      <c r="F914" s="251">
        <v>-3823082</v>
      </c>
      <c r="G914" s="252" t="s">
        <v>1888</v>
      </c>
      <c r="H914" s="244" t="s">
        <v>771</v>
      </c>
      <c r="I914" s="244"/>
      <c r="J914" s="251"/>
      <c r="K914" s="244"/>
      <c r="L914" s="244"/>
      <c r="M914" s="244"/>
    </row>
    <row r="915" spans="1:13">
      <c r="A915" s="240" t="s">
        <v>686</v>
      </c>
      <c r="B915" s="240" t="s">
        <v>1864</v>
      </c>
      <c r="C915" s="240" t="s">
        <v>1928</v>
      </c>
      <c r="D915" s="240"/>
      <c r="E915" s="240" t="s">
        <v>991</v>
      </c>
      <c r="F915" s="249">
        <v>795151</v>
      </c>
      <c r="G915" s="250" t="s">
        <v>1888</v>
      </c>
      <c r="H915" s="240" t="s">
        <v>771</v>
      </c>
      <c r="I915" s="240"/>
      <c r="J915" s="249"/>
      <c r="K915" s="240"/>
      <c r="L915" s="240"/>
      <c r="M915" s="240"/>
    </row>
    <row r="916" spans="1:13">
      <c r="A916" s="244" t="s">
        <v>686</v>
      </c>
      <c r="B916" s="244" t="s">
        <v>1864</v>
      </c>
      <c r="C916" s="244" t="s">
        <v>1865</v>
      </c>
      <c r="D916" s="244"/>
      <c r="E916" s="244" t="s">
        <v>991</v>
      </c>
      <c r="F916" s="251">
        <v>18000000</v>
      </c>
      <c r="G916" s="252" t="s">
        <v>1943</v>
      </c>
      <c r="H916" s="244" t="s">
        <v>1363</v>
      </c>
      <c r="I916" s="244"/>
      <c r="J916" s="251"/>
      <c r="K916" s="244"/>
      <c r="L916" s="244"/>
      <c r="M916" s="244"/>
    </row>
    <row r="917" spans="1:13">
      <c r="A917" s="240" t="s">
        <v>686</v>
      </c>
      <c r="B917" s="240" t="s">
        <v>1864</v>
      </c>
      <c r="C917" s="240" t="s">
        <v>1865</v>
      </c>
      <c r="D917" s="240"/>
      <c r="E917" s="240" t="s">
        <v>991</v>
      </c>
      <c r="F917" s="249">
        <v>22000000</v>
      </c>
      <c r="G917" s="250" t="s">
        <v>1895</v>
      </c>
      <c r="H917" s="240" t="s">
        <v>1363</v>
      </c>
      <c r="I917" s="240"/>
      <c r="J917" s="249"/>
      <c r="K917" s="240"/>
      <c r="L917" s="240"/>
      <c r="M917" s="240"/>
    </row>
    <row r="918" spans="1:13">
      <c r="A918" s="244" t="s">
        <v>686</v>
      </c>
      <c r="B918" s="244" t="s">
        <v>1864</v>
      </c>
      <c r="C918" s="244" t="s">
        <v>1865</v>
      </c>
      <c r="D918" s="244"/>
      <c r="E918" s="244" t="s">
        <v>991</v>
      </c>
      <c r="F918" s="251">
        <v>20000000</v>
      </c>
      <c r="G918" s="252" t="s">
        <v>1944</v>
      </c>
      <c r="H918" s="244" t="s">
        <v>1363</v>
      </c>
      <c r="I918" s="244"/>
      <c r="J918" s="251"/>
      <c r="K918" s="244"/>
      <c r="L918" s="244"/>
      <c r="M918" s="244"/>
    </row>
    <row r="919" spans="1:13">
      <c r="A919" s="240" t="s">
        <v>686</v>
      </c>
      <c r="B919" s="240" t="s">
        <v>1864</v>
      </c>
      <c r="C919" s="240" t="s">
        <v>1865</v>
      </c>
      <c r="D919" s="240"/>
      <c r="E919" s="240" t="s">
        <v>991</v>
      </c>
      <c r="F919" s="249">
        <v>25000000</v>
      </c>
      <c r="G919" s="250" t="s">
        <v>1945</v>
      </c>
      <c r="H919" s="240" t="s">
        <v>1363</v>
      </c>
      <c r="I919" s="240"/>
      <c r="J919" s="249"/>
      <c r="K919" s="240"/>
      <c r="L919" s="240"/>
      <c r="M919" s="240"/>
    </row>
    <row r="920" spans="1:13">
      <c r="A920" s="244" t="s">
        <v>686</v>
      </c>
      <c r="B920" s="244" t="s">
        <v>1864</v>
      </c>
      <c r="C920" s="244" t="s">
        <v>1865</v>
      </c>
      <c r="D920" s="244"/>
      <c r="E920" s="244" t="s">
        <v>991</v>
      </c>
      <c r="F920" s="251">
        <v>11500000</v>
      </c>
      <c r="G920" s="252" t="s">
        <v>1901</v>
      </c>
      <c r="H920" s="244" t="s">
        <v>1363</v>
      </c>
      <c r="I920" s="244"/>
      <c r="J920" s="251"/>
      <c r="K920" s="244"/>
      <c r="L920" s="244"/>
      <c r="M920" s="244"/>
    </row>
    <row r="921" spans="1:13">
      <c r="A921" s="240" t="s">
        <v>686</v>
      </c>
      <c r="B921" s="240" t="s">
        <v>1864</v>
      </c>
      <c r="C921" s="240" t="s">
        <v>1865</v>
      </c>
      <c r="D921" s="240"/>
      <c r="E921" s="240" t="s">
        <v>991</v>
      </c>
      <c r="F921" s="249">
        <v>14500000</v>
      </c>
      <c r="G921" s="250" t="s">
        <v>1901</v>
      </c>
      <c r="H921" s="240" t="s">
        <v>1363</v>
      </c>
      <c r="I921" s="240"/>
      <c r="J921" s="249"/>
      <c r="K921" s="240"/>
      <c r="L921" s="240"/>
      <c r="M921" s="240"/>
    </row>
    <row r="922" spans="1:13">
      <c r="A922" s="244" t="s">
        <v>686</v>
      </c>
      <c r="B922" s="244" t="s">
        <v>1864</v>
      </c>
      <c r="C922" s="244" t="s">
        <v>1865</v>
      </c>
      <c r="D922" s="244"/>
      <c r="E922" s="244" t="s">
        <v>991</v>
      </c>
      <c r="F922" s="251">
        <v>14994000</v>
      </c>
      <c r="G922" s="252" t="s">
        <v>1946</v>
      </c>
      <c r="H922" s="244" t="s">
        <v>1363</v>
      </c>
      <c r="I922" s="244"/>
      <c r="J922" s="251"/>
      <c r="K922" s="244"/>
      <c r="L922" s="244"/>
      <c r="M922" s="244"/>
    </row>
    <row r="923" spans="1:13">
      <c r="A923" s="240" t="s">
        <v>686</v>
      </c>
      <c r="B923" s="240" t="s">
        <v>1864</v>
      </c>
      <c r="C923" s="240" t="s">
        <v>1865</v>
      </c>
      <c r="D923" s="240"/>
      <c r="E923" s="240" t="s">
        <v>991</v>
      </c>
      <c r="F923" s="249">
        <v>100000</v>
      </c>
      <c r="G923" s="250" t="s">
        <v>1947</v>
      </c>
      <c r="H923" s="240" t="s">
        <v>1363</v>
      </c>
      <c r="I923" s="240"/>
      <c r="J923" s="249"/>
      <c r="K923" s="240"/>
      <c r="L923" s="240"/>
      <c r="M923" s="240"/>
    </row>
    <row r="924" spans="1:13">
      <c r="A924" s="244" t="s">
        <v>686</v>
      </c>
      <c r="B924" s="244" t="s">
        <v>1864</v>
      </c>
      <c r="C924" s="244" t="s">
        <v>1865</v>
      </c>
      <c r="D924" s="244"/>
      <c r="E924" s="244" t="s">
        <v>991</v>
      </c>
      <c r="F924" s="251">
        <v>9999921</v>
      </c>
      <c r="G924" s="252" t="s">
        <v>1948</v>
      </c>
      <c r="H924" s="244" t="s">
        <v>910</v>
      </c>
      <c r="I924" s="244"/>
      <c r="J924" s="251"/>
      <c r="K924" s="244"/>
      <c r="L924" s="244"/>
      <c r="M924" s="244"/>
    </row>
    <row r="925" spans="1:13">
      <c r="A925" s="240" t="s">
        <v>686</v>
      </c>
      <c r="B925" s="240" t="s">
        <v>1864</v>
      </c>
      <c r="C925" s="240" t="s">
        <v>1865</v>
      </c>
      <c r="D925" s="240"/>
      <c r="E925" s="240" t="s">
        <v>991</v>
      </c>
      <c r="F925" s="249">
        <v>2000162</v>
      </c>
      <c r="G925" s="250" t="s">
        <v>1934</v>
      </c>
      <c r="H925" s="240" t="s">
        <v>910</v>
      </c>
      <c r="I925" s="240"/>
      <c r="J925" s="249"/>
      <c r="K925" s="240"/>
      <c r="L925" s="240"/>
      <c r="M925" s="240"/>
    </row>
    <row r="926" spans="1:13">
      <c r="A926" s="244" t="s">
        <v>686</v>
      </c>
      <c r="B926" s="244" t="s">
        <v>1864</v>
      </c>
      <c r="C926" s="244" t="s">
        <v>1865</v>
      </c>
      <c r="D926" s="244"/>
      <c r="E926" s="244" t="s">
        <v>991</v>
      </c>
      <c r="F926" s="251">
        <v>250000</v>
      </c>
      <c r="G926" s="252" t="s">
        <v>1909</v>
      </c>
      <c r="H926" s="244" t="s">
        <v>1363</v>
      </c>
      <c r="I926" s="244"/>
      <c r="J926" s="251"/>
      <c r="K926" s="244"/>
      <c r="L926" s="244"/>
      <c r="M926" s="244"/>
    </row>
    <row r="927" spans="1:13">
      <c r="A927" s="240" t="s">
        <v>686</v>
      </c>
      <c r="B927" s="240" t="s">
        <v>1864</v>
      </c>
      <c r="C927" s="240" t="s">
        <v>1865</v>
      </c>
      <c r="D927" s="240"/>
      <c r="E927" s="240" t="s">
        <v>991</v>
      </c>
      <c r="F927" s="249">
        <v>26940000</v>
      </c>
      <c r="G927" s="250" t="s">
        <v>1949</v>
      </c>
      <c r="H927" s="240" t="s">
        <v>1363</v>
      </c>
      <c r="I927" s="240"/>
      <c r="J927" s="249"/>
      <c r="K927" s="240"/>
      <c r="L927" s="240"/>
      <c r="M927" s="240"/>
    </row>
    <row r="928" spans="1:13">
      <c r="A928" s="244" t="s">
        <v>686</v>
      </c>
      <c r="B928" s="244" t="s">
        <v>1864</v>
      </c>
      <c r="C928" s="244" t="s">
        <v>1865</v>
      </c>
      <c r="D928" s="244"/>
      <c r="E928" s="244" t="s">
        <v>991</v>
      </c>
      <c r="F928" s="251">
        <v>7000000</v>
      </c>
      <c r="G928" s="252" t="s">
        <v>1950</v>
      </c>
      <c r="H928" s="244" t="s">
        <v>1363</v>
      </c>
      <c r="I928" s="244"/>
      <c r="J928" s="251"/>
      <c r="K928" s="244"/>
      <c r="L928" s="244"/>
      <c r="M928" s="244"/>
    </row>
    <row r="929" spans="1:13">
      <c r="A929" s="240" t="s">
        <v>686</v>
      </c>
      <c r="B929" s="240" t="s">
        <v>1864</v>
      </c>
      <c r="C929" s="240" t="s">
        <v>1865</v>
      </c>
      <c r="D929" s="240"/>
      <c r="E929" s="240" t="s">
        <v>991</v>
      </c>
      <c r="F929" s="249">
        <v>13175000</v>
      </c>
      <c r="G929" s="250" t="s">
        <v>1868</v>
      </c>
      <c r="H929" s="240" t="s">
        <v>1363</v>
      </c>
      <c r="I929" s="240"/>
      <c r="J929" s="249"/>
      <c r="K929" s="240"/>
      <c r="L929" s="240"/>
      <c r="M929" s="240"/>
    </row>
    <row r="930" spans="1:13">
      <c r="A930" s="244" t="s">
        <v>686</v>
      </c>
      <c r="B930" s="244" t="s">
        <v>1864</v>
      </c>
      <c r="C930" s="244" t="s">
        <v>1865</v>
      </c>
      <c r="D930" s="244"/>
      <c r="E930" s="244" t="s">
        <v>991</v>
      </c>
      <c r="F930" s="251">
        <v>58000</v>
      </c>
      <c r="G930" s="252" t="s">
        <v>1915</v>
      </c>
      <c r="H930" s="244" t="s">
        <v>1363</v>
      </c>
      <c r="I930" s="244"/>
      <c r="J930" s="251"/>
      <c r="K930" s="244"/>
      <c r="L930" s="244"/>
      <c r="M930" s="244"/>
    </row>
    <row r="931" spans="1:13">
      <c r="A931" s="240" t="s">
        <v>686</v>
      </c>
      <c r="B931" s="240" t="s">
        <v>1864</v>
      </c>
      <c r="C931" s="240" t="s">
        <v>1865</v>
      </c>
      <c r="D931" s="240"/>
      <c r="E931" s="240" t="s">
        <v>991</v>
      </c>
      <c r="F931" s="249">
        <v>2180000</v>
      </c>
      <c r="G931" s="250" t="s">
        <v>1937</v>
      </c>
      <c r="H931" s="240" t="s">
        <v>1363</v>
      </c>
      <c r="I931" s="240"/>
      <c r="J931" s="249"/>
      <c r="K931" s="240"/>
      <c r="L931" s="240"/>
      <c r="M931" s="240"/>
    </row>
    <row r="932" spans="1:13">
      <c r="A932" s="244" t="s">
        <v>686</v>
      </c>
      <c r="B932" s="244" t="s">
        <v>1864</v>
      </c>
      <c r="C932" s="244" t="s">
        <v>1865</v>
      </c>
      <c r="D932" s="244"/>
      <c r="E932" s="244" t="s">
        <v>991</v>
      </c>
      <c r="F932" s="251">
        <v>500000</v>
      </c>
      <c r="G932" s="252" t="s">
        <v>1951</v>
      </c>
      <c r="H932" s="244" t="s">
        <v>1363</v>
      </c>
      <c r="I932" s="244"/>
      <c r="J932" s="251"/>
      <c r="K932" s="244"/>
      <c r="L932" s="244"/>
      <c r="M932" s="244"/>
    </row>
    <row r="933" spans="1:13">
      <c r="A933" s="240" t="s">
        <v>686</v>
      </c>
      <c r="B933" s="240" t="s">
        <v>1864</v>
      </c>
      <c r="C933" s="240" t="s">
        <v>1865</v>
      </c>
      <c r="D933" s="240"/>
      <c r="E933" s="240" t="s">
        <v>991</v>
      </c>
      <c r="F933" s="249">
        <v>90000</v>
      </c>
      <c r="G933" s="250" t="s">
        <v>1951</v>
      </c>
      <c r="H933" s="240" t="s">
        <v>1363</v>
      </c>
      <c r="I933" s="240"/>
      <c r="J933" s="249"/>
      <c r="K933" s="240"/>
      <c r="L933" s="240"/>
      <c r="M933" s="240"/>
    </row>
    <row r="934" spans="1:13">
      <c r="A934" s="244" t="s">
        <v>686</v>
      </c>
      <c r="B934" s="244" t="s">
        <v>1864</v>
      </c>
      <c r="C934" s="244" t="s">
        <v>1865</v>
      </c>
      <c r="D934" s="244"/>
      <c r="E934" s="244" t="s">
        <v>991</v>
      </c>
      <c r="F934" s="251">
        <v>4000000</v>
      </c>
      <c r="G934" s="252" t="s">
        <v>1952</v>
      </c>
      <c r="H934" s="244" t="s">
        <v>1363</v>
      </c>
      <c r="I934" s="244"/>
      <c r="J934" s="251"/>
      <c r="K934" s="244"/>
      <c r="L934" s="244"/>
      <c r="M934" s="244"/>
    </row>
    <row r="935" spans="1:13">
      <c r="A935" s="240" t="s">
        <v>686</v>
      </c>
      <c r="B935" s="240" t="s">
        <v>1864</v>
      </c>
      <c r="C935" s="240" t="s">
        <v>1865</v>
      </c>
      <c r="D935" s="240"/>
      <c r="E935" s="240" t="s">
        <v>991</v>
      </c>
      <c r="F935" s="249">
        <v>200000</v>
      </c>
      <c r="G935" s="250" t="s">
        <v>1888</v>
      </c>
      <c r="H935" s="240" t="s">
        <v>1363</v>
      </c>
      <c r="I935" s="240"/>
      <c r="J935" s="249"/>
      <c r="K935" s="240"/>
      <c r="L935" s="240"/>
      <c r="M935" s="240"/>
    </row>
    <row r="936" spans="1:13">
      <c r="A936" s="244" t="s">
        <v>686</v>
      </c>
      <c r="B936" s="244" t="s">
        <v>1864</v>
      </c>
      <c r="C936" s="244" t="s">
        <v>1865</v>
      </c>
      <c r="D936" s="244"/>
      <c r="E936" s="244" t="s">
        <v>991</v>
      </c>
      <c r="F936" s="251">
        <v>80000</v>
      </c>
      <c r="G936" s="252" t="s">
        <v>1888</v>
      </c>
      <c r="H936" s="244" t="s">
        <v>910</v>
      </c>
      <c r="I936" s="244"/>
      <c r="J936" s="251"/>
      <c r="K936" s="244"/>
      <c r="L936" s="244"/>
      <c r="M936" s="244"/>
    </row>
    <row r="937" spans="1:13">
      <c r="A937" s="240" t="s">
        <v>686</v>
      </c>
      <c r="B937" s="240" t="s">
        <v>1864</v>
      </c>
      <c r="C937" s="240" t="s">
        <v>1865</v>
      </c>
      <c r="D937" s="240"/>
      <c r="E937" s="240" t="s">
        <v>991</v>
      </c>
      <c r="F937" s="249">
        <v>5741800</v>
      </c>
      <c r="G937" s="250" t="s">
        <v>1888</v>
      </c>
      <c r="H937" s="240" t="s">
        <v>910</v>
      </c>
      <c r="I937" s="240"/>
      <c r="J937" s="249"/>
      <c r="K937" s="240"/>
      <c r="L937" s="240"/>
      <c r="M937" s="240"/>
    </row>
    <row r="938" spans="1:13">
      <c r="A938" s="244" t="s">
        <v>686</v>
      </c>
      <c r="B938" s="244" t="s">
        <v>1864</v>
      </c>
      <c r="C938" s="244" t="s">
        <v>1865</v>
      </c>
      <c r="D938" s="244"/>
      <c r="E938" s="244" t="s">
        <v>991</v>
      </c>
      <c r="F938" s="251">
        <v>45500</v>
      </c>
      <c r="G938" s="252" t="s">
        <v>1888</v>
      </c>
      <c r="H938" s="244" t="s">
        <v>1363</v>
      </c>
      <c r="I938" s="244"/>
      <c r="J938" s="251"/>
      <c r="K938" s="244"/>
      <c r="L938" s="244"/>
      <c r="M938" s="244"/>
    </row>
    <row r="939" spans="1:13">
      <c r="A939" s="240" t="s">
        <v>686</v>
      </c>
      <c r="B939" s="240" t="s">
        <v>1864</v>
      </c>
      <c r="C939" s="240" t="s">
        <v>1865</v>
      </c>
      <c r="D939" s="240"/>
      <c r="E939" s="240" t="s">
        <v>991</v>
      </c>
      <c r="F939" s="249">
        <v>40000</v>
      </c>
      <c r="G939" s="250" t="s">
        <v>1888</v>
      </c>
      <c r="H939" s="240" t="s">
        <v>1363</v>
      </c>
      <c r="I939" s="240"/>
      <c r="J939" s="249"/>
      <c r="K939" s="240"/>
      <c r="L939" s="240"/>
      <c r="M939" s="240"/>
    </row>
    <row r="940" spans="1:13">
      <c r="A940" s="244" t="s">
        <v>686</v>
      </c>
      <c r="B940" s="244" t="s">
        <v>1864</v>
      </c>
      <c r="C940" s="244" t="s">
        <v>1865</v>
      </c>
      <c r="D940" s="244"/>
      <c r="E940" s="244" t="s">
        <v>991</v>
      </c>
      <c r="F940" s="251">
        <v>1000000</v>
      </c>
      <c r="G940" s="252" t="s">
        <v>1953</v>
      </c>
      <c r="H940" s="244" t="s">
        <v>1363</v>
      </c>
      <c r="I940" s="244"/>
      <c r="J940" s="251"/>
      <c r="K940" s="244"/>
      <c r="L940" s="244"/>
      <c r="M940" s="244"/>
    </row>
    <row r="941" spans="1:13">
      <c r="A941" s="240" t="s">
        <v>686</v>
      </c>
      <c r="B941" s="240" t="s">
        <v>1864</v>
      </c>
      <c r="C941" s="240" t="s">
        <v>1893</v>
      </c>
      <c r="D941" s="240"/>
      <c r="E941" s="240" t="s">
        <v>991</v>
      </c>
      <c r="F941" s="249">
        <v>40000</v>
      </c>
      <c r="G941" s="250" t="s">
        <v>1954</v>
      </c>
      <c r="H941" s="240" t="s">
        <v>733</v>
      </c>
      <c r="I941" s="240"/>
      <c r="J941" s="249"/>
      <c r="K941" s="240"/>
      <c r="L941" s="240"/>
      <c r="M941" s="240"/>
    </row>
    <row r="942" spans="1:13">
      <c r="A942" s="244" t="s">
        <v>686</v>
      </c>
      <c r="B942" s="244" t="s">
        <v>1864</v>
      </c>
      <c r="C942" s="244" t="s">
        <v>1893</v>
      </c>
      <c r="D942" s="244"/>
      <c r="E942" s="244" t="s">
        <v>991</v>
      </c>
      <c r="F942" s="251">
        <v>25000</v>
      </c>
      <c r="G942" s="252" t="s">
        <v>1954</v>
      </c>
      <c r="H942" s="244" t="s">
        <v>733</v>
      </c>
      <c r="I942" s="244"/>
      <c r="J942" s="251"/>
      <c r="K942" s="244"/>
      <c r="L942" s="244"/>
      <c r="M942" s="244"/>
    </row>
    <row r="943" spans="1:13">
      <c r="A943" s="240" t="s">
        <v>686</v>
      </c>
      <c r="B943" s="240" t="s">
        <v>1864</v>
      </c>
      <c r="C943" s="240" t="s">
        <v>1955</v>
      </c>
      <c r="D943" s="240"/>
      <c r="E943" s="240" t="s">
        <v>991</v>
      </c>
      <c r="F943" s="249">
        <v>50000</v>
      </c>
      <c r="G943" s="250" t="s">
        <v>1956</v>
      </c>
      <c r="H943" s="240" t="s">
        <v>1363</v>
      </c>
      <c r="I943" s="240"/>
      <c r="J943" s="249"/>
      <c r="K943" s="240"/>
      <c r="L943" s="240"/>
      <c r="M943" s="240"/>
    </row>
    <row r="944" spans="1:13">
      <c r="A944" s="244" t="s">
        <v>686</v>
      </c>
      <c r="B944" s="244" t="s">
        <v>1864</v>
      </c>
      <c r="C944" s="244" t="s">
        <v>1865</v>
      </c>
      <c r="D944" s="244"/>
      <c r="E944" s="244" t="s">
        <v>991</v>
      </c>
      <c r="F944" s="251">
        <v>1500000</v>
      </c>
      <c r="G944" s="252" t="s">
        <v>1957</v>
      </c>
      <c r="H944" s="244" t="s">
        <v>1363</v>
      </c>
      <c r="I944" s="244"/>
      <c r="J944" s="251"/>
      <c r="K944" s="244"/>
      <c r="L944" s="244"/>
      <c r="M944" s="244"/>
    </row>
    <row r="945" spans="1:13">
      <c r="A945" s="240" t="s">
        <v>686</v>
      </c>
      <c r="B945" s="240" t="s">
        <v>1864</v>
      </c>
      <c r="C945" s="240" t="s">
        <v>1955</v>
      </c>
      <c r="D945" s="240"/>
      <c r="E945" s="240" t="s">
        <v>991</v>
      </c>
      <c r="F945" s="249">
        <v>50000</v>
      </c>
      <c r="G945" s="250" t="s">
        <v>1957</v>
      </c>
      <c r="H945" s="240" t="s">
        <v>1363</v>
      </c>
      <c r="I945" s="240"/>
      <c r="J945" s="249"/>
      <c r="K945" s="240"/>
      <c r="L945" s="240"/>
      <c r="M945" s="240"/>
    </row>
    <row r="946" spans="1:13">
      <c r="A946" s="244" t="s">
        <v>686</v>
      </c>
      <c r="B946" s="244" t="s">
        <v>1864</v>
      </c>
      <c r="C946" s="244" t="s">
        <v>1955</v>
      </c>
      <c r="D946" s="244"/>
      <c r="E946" s="244" t="s">
        <v>991</v>
      </c>
      <c r="F946" s="251">
        <v>300000</v>
      </c>
      <c r="G946" s="252" t="s">
        <v>1957</v>
      </c>
      <c r="H946" s="244" t="s">
        <v>1363</v>
      </c>
      <c r="I946" s="244"/>
      <c r="J946" s="251"/>
      <c r="K946" s="244"/>
      <c r="L946" s="244"/>
      <c r="M946" s="244"/>
    </row>
    <row r="947" spans="1:13">
      <c r="A947" s="240" t="s">
        <v>686</v>
      </c>
      <c r="B947" s="240" t="s">
        <v>1864</v>
      </c>
      <c r="C947" s="240" t="s">
        <v>1955</v>
      </c>
      <c r="D947" s="240"/>
      <c r="E947" s="240" t="s">
        <v>991</v>
      </c>
      <c r="F947" s="249">
        <v>100000</v>
      </c>
      <c r="G947" s="250" t="s">
        <v>1957</v>
      </c>
      <c r="H947" s="240" t="s">
        <v>1363</v>
      </c>
      <c r="I947" s="240"/>
      <c r="J947" s="249"/>
      <c r="K947" s="240"/>
      <c r="L947" s="240"/>
      <c r="M947" s="240"/>
    </row>
    <row r="948" spans="1:13">
      <c r="A948" s="244" t="s">
        <v>686</v>
      </c>
      <c r="B948" s="244" t="s">
        <v>1864</v>
      </c>
      <c r="C948" s="244" t="s">
        <v>1865</v>
      </c>
      <c r="D948" s="244"/>
      <c r="E948" s="244" t="s">
        <v>991</v>
      </c>
      <c r="F948" s="251">
        <v>300000</v>
      </c>
      <c r="G948" s="252" t="s">
        <v>1957</v>
      </c>
      <c r="H948" s="244" t="s">
        <v>1363</v>
      </c>
      <c r="I948" s="244"/>
      <c r="J948" s="251"/>
      <c r="K948" s="244"/>
      <c r="L948" s="244"/>
      <c r="M948" s="244"/>
    </row>
    <row r="949" spans="1:13">
      <c r="A949" s="240" t="s">
        <v>686</v>
      </c>
      <c r="B949" s="240" t="s">
        <v>1864</v>
      </c>
      <c r="C949" s="240" t="s">
        <v>1865</v>
      </c>
      <c r="D949" s="240"/>
      <c r="E949" s="240" t="s">
        <v>991</v>
      </c>
      <c r="F949" s="249">
        <v>425000</v>
      </c>
      <c r="G949" s="250" t="s">
        <v>1898</v>
      </c>
      <c r="H949" s="240" t="s">
        <v>910</v>
      </c>
      <c r="I949" s="240"/>
      <c r="J949" s="249"/>
      <c r="K949" s="240"/>
      <c r="L949" s="240"/>
      <c r="M949" s="240"/>
    </row>
    <row r="950" spans="1:13">
      <c r="A950" s="244" t="s">
        <v>686</v>
      </c>
      <c r="B950" s="244" t="s">
        <v>1864</v>
      </c>
      <c r="C950" s="244" t="s">
        <v>1865</v>
      </c>
      <c r="D950" s="244"/>
      <c r="E950" s="244" t="s">
        <v>991</v>
      </c>
      <c r="F950" s="251">
        <v>90000</v>
      </c>
      <c r="G950" s="252" t="s">
        <v>1898</v>
      </c>
      <c r="H950" s="244" t="s">
        <v>910</v>
      </c>
      <c r="I950" s="244"/>
      <c r="J950" s="251"/>
      <c r="K950" s="244"/>
      <c r="L950" s="244"/>
      <c r="M950" s="244"/>
    </row>
    <row r="951" spans="1:13">
      <c r="A951" s="240" t="s">
        <v>686</v>
      </c>
      <c r="B951" s="240" t="s">
        <v>1864</v>
      </c>
      <c r="C951" s="240" t="s">
        <v>1865</v>
      </c>
      <c r="D951" s="240"/>
      <c r="E951" s="240" t="s">
        <v>991</v>
      </c>
      <c r="F951" s="249">
        <v>230000</v>
      </c>
      <c r="G951" s="250" t="s">
        <v>1898</v>
      </c>
      <c r="H951" s="240" t="s">
        <v>910</v>
      </c>
      <c r="I951" s="240"/>
      <c r="J951" s="249"/>
      <c r="K951" s="240"/>
      <c r="L951" s="240"/>
      <c r="M951" s="240"/>
    </row>
    <row r="952" spans="1:13">
      <c r="A952" s="244" t="s">
        <v>686</v>
      </c>
      <c r="B952" s="244" t="s">
        <v>1864</v>
      </c>
      <c r="C952" s="244" t="s">
        <v>1893</v>
      </c>
      <c r="D952" s="244"/>
      <c r="E952" s="244" t="s">
        <v>991</v>
      </c>
      <c r="F952" s="251">
        <v>-25000</v>
      </c>
      <c r="G952" s="252" t="s">
        <v>1898</v>
      </c>
      <c r="H952" s="244" t="s">
        <v>733</v>
      </c>
      <c r="I952" s="244"/>
      <c r="J952" s="251"/>
      <c r="K952" s="244"/>
      <c r="L952" s="244"/>
      <c r="M952" s="244"/>
    </row>
    <row r="953" spans="1:13">
      <c r="A953" s="240" t="s">
        <v>686</v>
      </c>
      <c r="B953" s="240" t="s">
        <v>1864</v>
      </c>
      <c r="C953" s="240" t="s">
        <v>1893</v>
      </c>
      <c r="D953" s="240"/>
      <c r="E953" s="240" t="s">
        <v>991</v>
      </c>
      <c r="F953" s="249">
        <v>-40000</v>
      </c>
      <c r="G953" s="250" t="s">
        <v>1898</v>
      </c>
      <c r="H953" s="240" t="s">
        <v>733</v>
      </c>
      <c r="I953" s="240"/>
      <c r="J953" s="249"/>
      <c r="K953" s="240"/>
      <c r="L953" s="240"/>
      <c r="M953" s="240"/>
    </row>
    <row r="954" spans="1:13">
      <c r="A954" s="244" t="s">
        <v>686</v>
      </c>
      <c r="B954" s="244" t="s">
        <v>1864</v>
      </c>
      <c r="C954" s="244" t="s">
        <v>1865</v>
      </c>
      <c r="D954" s="244"/>
      <c r="E954" s="244" t="s">
        <v>991</v>
      </c>
      <c r="F954" s="251">
        <v>42900</v>
      </c>
      <c r="G954" s="252" t="s">
        <v>1899</v>
      </c>
      <c r="H954" s="244" t="s">
        <v>1363</v>
      </c>
      <c r="I954" s="244"/>
      <c r="J954" s="251"/>
      <c r="K954" s="244"/>
      <c r="L954" s="244"/>
      <c r="M954" s="244"/>
    </row>
    <row r="955" spans="1:13">
      <c r="A955" s="240" t="s">
        <v>686</v>
      </c>
      <c r="B955" s="240" t="s">
        <v>1864</v>
      </c>
      <c r="C955" s="240" t="s">
        <v>1865</v>
      </c>
      <c r="D955" s="240"/>
      <c r="E955" s="240" t="s">
        <v>991</v>
      </c>
      <c r="F955" s="249">
        <v>94000</v>
      </c>
      <c r="G955" s="250" t="s">
        <v>1958</v>
      </c>
      <c r="H955" s="240" t="s">
        <v>910</v>
      </c>
      <c r="I955" s="240"/>
      <c r="J955" s="249"/>
      <c r="K955" s="240"/>
      <c r="L955" s="240"/>
      <c r="M955" s="240"/>
    </row>
    <row r="956" spans="1:13">
      <c r="A956" s="244" t="s">
        <v>686</v>
      </c>
      <c r="B956" s="244" t="s">
        <v>1864</v>
      </c>
      <c r="C956" s="244" t="s">
        <v>1865</v>
      </c>
      <c r="D956" s="244"/>
      <c r="E956" s="244" t="s">
        <v>991</v>
      </c>
      <c r="F956" s="251">
        <v>365500</v>
      </c>
      <c r="G956" s="252" t="s">
        <v>1958</v>
      </c>
      <c r="H956" s="244" t="s">
        <v>910</v>
      </c>
      <c r="I956" s="244"/>
      <c r="J956" s="251"/>
      <c r="K956" s="244"/>
      <c r="L956" s="244"/>
      <c r="M956" s="244"/>
    </row>
    <row r="957" spans="1:13">
      <c r="A957" s="240" t="s">
        <v>686</v>
      </c>
      <c r="B957" s="240" t="s">
        <v>1864</v>
      </c>
      <c r="C957" s="240" t="s">
        <v>1865</v>
      </c>
      <c r="D957" s="240"/>
      <c r="E957" s="240" t="s">
        <v>991</v>
      </c>
      <c r="F957" s="249">
        <v>-30000</v>
      </c>
      <c r="G957" s="250" t="s">
        <v>1959</v>
      </c>
      <c r="H957" s="240" t="s">
        <v>1363</v>
      </c>
      <c r="I957" s="240"/>
      <c r="J957" s="249"/>
      <c r="K957" s="240"/>
      <c r="L957" s="240"/>
      <c r="M957" s="240"/>
    </row>
    <row r="958" spans="1:13">
      <c r="A958" s="244" t="s">
        <v>686</v>
      </c>
      <c r="B958" s="244" t="s">
        <v>1864</v>
      </c>
      <c r="C958" s="244" t="s">
        <v>1865</v>
      </c>
      <c r="D958" s="244"/>
      <c r="E958" s="244" t="s">
        <v>991</v>
      </c>
      <c r="F958" s="251">
        <v>100000</v>
      </c>
      <c r="G958" s="252" t="s">
        <v>1900</v>
      </c>
      <c r="H958" s="244" t="s">
        <v>1363</v>
      </c>
      <c r="I958" s="244"/>
      <c r="J958" s="251"/>
      <c r="K958" s="244"/>
      <c r="L958" s="244"/>
      <c r="M958" s="244"/>
    </row>
    <row r="959" spans="1:13">
      <c r="A959" s="240" t="s">
        <v>686</v>
      </c>
      <c r="B959" s="240" t="s">
        <v>1864</v>
      </c>
      <c r="C959" s="240" t="s">
        <v>1865</v>
      </c>
      <c r="D959" s="240"/>
      <c r="E959" s="240" t="s">
        <v>991</v>
      </c>
      <c r="F959" s="249">
        <v>250000</v>
      </c>
      <c r="G959" s="250" t="s">
        <v>1900</v>
      </c>
      <c r="H959" s="240" t="s">
        <v>1363</v>
      </c>
      <c r="I959" s="240"/>
      <c r="J959" s="249"/>
      <c r="K959" s="240"/>
      <c r="L959" s="240"/>
      <c r="M959" s="240"/>
    </row>
    <row r="960" spans="1:13">
      <c r="A960" s="244" t="s">
        <v>686</v>
      </c>
      <c r="B960" s="244" t="s">
        <v>1864</v>
      </c>
      <c r="C960" s="244" t="s">
        <v>1865</v>
      </c>
      <c r="D960" s="244"/>
      <c r="E960" s="244" t="s">
        <v>991</v>
      </c>
      <c r="F960" s="251">
        <v>250000</v>
      </c>
      <c r="G960" s="252" t="s">
        <v>1900</v>
      </c>
      <c r="H960" s="244" t="s">
        <v>1363</v>
      </c>
      <c r="I960" s="244"/>
      <c r="J960" s="251"/>
      <c r="K960" s="244"/>
      <c r="L960" s="244"/>
      <c r="M960" s="244"/>
    </row>
    <row r="961" spans="1:13">
      <c r="A961" s="240" t="s">
        <v>686</v>
      </c>
      <c r="B961" s="240" t="s">
        <v>1864</v>
      </c>
      <c r="C961" s="240" t="s">
        <v>1865</v>
      </c>
      <c r="D961" s="240"/>
      <c r="E961" s="240" t="s">
        <v>991</v>
      </c>
      <c r="F961" s="249">
        <v>60000</v>
      </c>
      <c r="G961" s="250" t="s">
        <v>1900</v>
      </c>
      <c r="H961" s="240" t="s">
        <v>1363</v>
      </c>
      <c r="I961" s="240"/>
      <c r="J961" s="249"/>
      <c r="K961" s="240"/>
      <c r="L961" s="240"/>
      <c r="M961" s="240"/>
    </row>
    <row r="962" spans="1:13">
      <c r="A962" s="244" t="s">
        <v>686</v>
      </c>
      <c r="B962" s="244" t="s">
        <v>1864</v>
      </c>
      <c r="C962" s="244" t="s">
        <v>1955</v>
      </c>
      <c r="D962" s="244"/>
      <c r="E962" s="244" t="s">
        <v>991</v>
      </c>
      <c r="F962" s="251">
        <v>602000</v>
      </c>
      <c r="G962" s="252" t="s">
        <v>1900</v>
      </c>
      <c r="H962" s="244" t="s">
        <v>1363</v>
      </c>
      <c r="I962" s="244"/>
      <c r="J962" s="251"/>
      <c r="K962" s="244"/>
      <c r="L962" s="244"/>
      <c r="M962" s="244"/>
    </row>
    <row r="963" spans="1:13">
      <c r="A963" s="240" t="s">
        <v>686</v>
      </c>
      <c r="B963" s="240" t="s">
        <v>1864</v>
      </c>
      <c r="C963" s="240" t="s">
        <v>1955</v>
      </c>
      <c r="D963" s="240"/>
      <c r="E963" s="240" t="s">
        <v>991</v>
      </c>
      <c r="F963" s="249">
        <v>602000</v>
      </c>
      <c r="G963" s="250" t="s">
        <v>1900</v>
      </c>
      <c r="H963" s="240" t="s">
        <v>1363</v>
      </c>
      <c r="I963" s="240"/>
      <c r="J963" s="249"/>
      <c r="K963" s="240"/>
      <c r="L963" s="240"/>
      <c r="M963" s="240"/>
    </row>
    <row r="964" spans="1:13">
      <c r="A964" s="244" t="s">
        <v>686</v>
      </c>
      <c r="B964" s="244" t="s">
        <v>1864</v>
      </c>
      <c r="C964" s="244" t="s">
        <v>1865</v>
      </c>
      <c r="D964" s="244"/>
      <c r="E964" s="244" t="s">
        <v>991</v>
      </c>
      <c r="F964" s="251">
        <v>16000000</v>
      </c>
      <c r="G964" s="252" t="s">
        <v>1960</v>
      </c>
      <c r="H964" s="244" t="s">
        <v>1363</v>
      </c>
      <c r="I964" s="244"/>
      <c r="J964" s="251"/>
      <c r="K964" s="244"/>
      <c r="L964" s="244"/>
      <c r="M964" s="244"/>
    </row>
    <row r="965" spans="1:13">
      <c r="A965" s="240" t="s">
        <v>686</v>
      </c>
      <c r="B965" s="240" t="s">
        <v>1864</v>
      </c>
      <c r="C965" s="240" t="s">
        <v>1865</v>
      </c>
      <c r="D965" s="240"/>
      <c r="E965" s="240" t="s">
        <v>991</v>
      </c>
      <c r="F965" s="249">
        <v>50000</v>
      </c>
      <c r="G965" s="250" t="s">
        <v>1961</v>
      </c>
      <c r="H965" s="240" t="s">
        <v>1363</v>
      </c>
      <c r="I965" s="240"/>
      <c r="J965" s="249"/>
      <c r="K965" s="240"/>
      <c r="L965" s="240"/>
      <c r="M965" s="240"/>
    </row>
    <row r="966" spans="1:13">
      <c r="A966" s="244" t="s">
        <v>686</v>
      </c>
      <c r="B966" s="244" t="s">
        <v>1864</v>
      </c>
      <c r="C966" s="244" t="s">
        <v>1865</v>
      </c>
      <c r="D966" s="244"/>
      <c r="E966" s="244" t="s">
        <v>991</v>
      </c>
      <c r="F966" s="251">
        <v>1000000</v>
      </c>
      <c r="G966" s="252" t="s">
        <v>1961</v>
      </c>
      <c r="H966" s="244" t="s">
        <v>1363</v>
      </c>
      <c r="I966" s="244"/>
      <c r="J966" s="251"/>
      <c r="K966" s="244"/>
      <c r="L966" s="244"/>
      <c r="M966" s="244"/>
    </row>
    <row r="967" spans="1:13">
      <c r="A967" s="240" t="s">
        <v>686</v>
      </c>
      <c r="B967" s="240" t="s">
        <v>1864</v>
      </c>
      <c r="C967" s="240" t="s">
        <v>1865</v>
      </c>
      <c r="D967" s="240"/>
      <c r="E967" s="240" t="s">
        <v>991</v>
      </c>
      <c r="F967" s="249">
        <v>259292</v>
      </c>
      <c r="G967" s="250" t="s">
        <v>1961</v>
      </c>
      <c r="H967" s="240" t="s">
        <v>910</v>
      </c>
      <c r="I967" s="240"/>
      <c r="J967" s="249"/>
      <c r="K967" s="240"/>
      <c r="L967" s="240"/>
      <c r="M967" s="240"/>
    </row>
    <row r="968" spans="1:13">
      <c r="A968" s="244" t="s">
        <v>686</v>
      </c>
      <c r="B968" s="244" t="s">
        <v>1864</v>
      </c>
      <c r="C968" s="244" t="s">
        <v>1865</v>
      </c>
      <c r="D968" s="244"/>
      <c r="E968" s="244" t="s">
        <v>991</v>
      </c>
      <c r="F968" s="251">
        <v>-259292</v>
      </c>
      <c r="G968" s="252" t="s">
        <v>1961</v>
      </c>
      <c r="H968" s="244" t="s">
        <v>910</v>
      </c>
      <c r="I968" s="244"/>
      <c r="J968" s="251"/>
      <c r="K968" s="244"/>
      <c r="L968" s="244"/>
      <c r="M968" s="244"/>
    </row>
    <row r="969" spans="1:13">
      <c r="A969" s="240" t="s">
        <v>686</v>
      </c>
      <c r="B969" s="240" t="s">
        <v>1864</v>
      </c>
      <c r="C969" s="240" t="s">
        <v>1865</v>
      </c>
      <c r="D969" s="240"/>
      <c r="E969" s="240" t="s">
        <v>991</v>
      </c>
      <c r="F969" s="249">
        <v>500000</v>
      </c>
      <c r="G969" s="250" t="s">
        <v>1962</v>
      </c>
      <c r="H969" s="240" t="s">
        <v>1363</v>
      </c>
      <c r="I969" s="240"/>
      <c r="J969" s="249"/>
      <c r="K969" s="240"/>
      <c r="L969" s="240"/>
      <c r="M969" s="240"/>
    </row>
    <row r="970" spans="1:13">
      <c r="A970" s="244" t="s">
        <v>686</v>
      </c>
      <c r="B970" s="244" t="s">
        <v>1864</v>
      </c>
      <c r="C970" s="244" t="s">
        <v>1865</v>
      </c>
      <c r="D970" s="244"/>
      <c r="E970" s="244" t="s">
        <v>991</v>
      </c>
      <c r="F970" s="251">
        <v>-1250000</v>
      </c>
      <c r="G970" s="252" t="s">
        <v>1963</v>
      </c>
      <c r="H970" s="244" t="s">
        <v>1363</v>
      </c>
      <c r="I970" s="244"/>
      <c r="J970" s="251"/>
      <c r="K970" s="244"/>
      <c r="L970" s="244"/>
      <c r="M970" s="244"/>
    </row>
    <row r="971" spans="1:13">
      <c r="A971" s="240" t="s">
        <v>686</v>
      </c>
      <c r="B971" s="240" t="s">
        <v>1864</v>
      </c>
      <c r="C971" s="240" t="s">
        <v>1865</v>
      </c>
      <c r="D971" s="240"/>
      <c r="E971" s="240" t="s">
        <v>991</v>
      </c>
      <c r="F971" s="249">
        <v>1800000</v>
      </c>
      <c r="G971" s="250" t="s">
        <v>1963</v>
      </c>
      <c r="H971" s="240" t="s">
        <v>1363</v>
      </c>
      <c r="I971" s="240"/>
      <c r="J971" s="249"/>
      <c r="K971" s="240"/>
      <c r="L971" s="240"/>
      <c r="M971" s="240"/>
    </row>
    <row r="972" spans="1:13">
      <c r="A972" s="244" t="s">
        <v>686</v>
      </c>
      <c r="B972" s="244" t="s">
        <v>1864</v>
      </c>
      <c r="C972" s="244" t="s">
        <v>1955</v>
      </c>
      <c r="D972" s="244"/>
      <c r="E972" s="244" t="s">
        <v>991</v>
      </c>
      <c r="F972" s="251">
        <v>100000</v>
      </c>
      <c r="G972" s="252" t="s">
        <v>1964</v>
      </c>
      <c r="H972" s="244" t="s">
        <v>1363</v>
      </c>
      <c r="I972" s="244"/>
      <c r="J972" s="251"/>
      <c r="K972" s="244"/>
      <c r="L972" s="244"/>
      <c r="M972" s="244"/>
    </row>
    <row r="973" spans="1:13">
      <c r="A973" s="240" t="s">
        <v>686</v>
      </c>
      <c r="B973" s="240" t="s">
        <v>1864</v>
      </c>
      <c r="C973" s="240" t="s">
        <v>1865</v>
      </c>
      <c r="D973" s="240"/>
      <c r="E973" s="240" t="s">
        <v>991</v>
      </c>
      <c r="F973" s="249">
        <v>147420</v>
      </c>
      <c r="G973" s="250" t="s">
        <v>1964</v>
      </c>
      <c r="H973" s="240" t="s">
        <v>1363</v>
      </c>
      <c r="I973" s="240"/>
      <c r="J973" s="249"/>
      <c r="K973" s="240"/>
      <c r="L973" s="240"/>
      <c r="M973" s="240"/>
    </row>
    <row r="974" spans="1:13">
      <c r="A974" s="244" t="s">
        <v>686</v>
      </c>
      <c r="B974" s="244" t="s">
        <v>1864</v>
      </c>
      <c r="C974" s="244" t="s">
        <v>1865</v>
      </c>
      <c r="D974" s="244"/>
      <c r="E974" s="244" t="s">
        <v>991</v>
      </c>
      <c r="F974" s="251">
        <v>60000</v>
      </c>
      <c r="G974" s="252" t="s">
        <v>1964</v>
      </c>
      <c r="H974" s="244" t="s">
        <v>1363</v>
      </c>
      <c r="I974" s="244"/>
      <c r="J974" s="251"/>
      <c r="K974" s="244"/>
      <c r="L974" s="244"/>
      <c r="M974" s="244"/>
    </row>
    <row r="975" spans="1:13">
      <c r="A975" s="240" t="s">
        <v>686</v>
      </c>
      <c r="B975" s="240" t="s">
        <v>1864</v>
      </c>
      <c r="C975" s="240" t="s">
        <v>1865</v>
      </c>
      <c r="D975" s="240"/>
      <c r="E975" s="240" t="s">
        <v>991</v>
      </c>
      <c r="F975" s="249">
        <v>10000000</v>
      </c>
      <c r="G975" s="250" t="s">
        <v>1947</v>
      </c>
      <c r="H975" s="240" t="s">
        <v>1363</v>
      </c>
      <c r="I975" s="240"/>
      <c r="J975" s="249"/>
      <c r="K975" s="240"/>
      <c r="L975" s="240"/>
      <c r="M975" s="240"/>
    </row>
    <row r="976" spans="1:13">
      <c r="A976" s="244" t="s">
        <v>686</v>
      </c>
      <c r="B976" s="244" t="s">
        <v>1864</v>
      </c>
      <c r="C976" s="244" t="s">
        <v>1865</v>
      </c>
      <c r="D976" s="244"/>
      <c r="E976" s="244" t="s">
        <v>991</v>
      </c>
      <c r="F976" s="251">
        <v>125500</v>
      </c>
      <c r="G976" s="252" t="s">
        <v>1947</v>
      </c>
      <c r="H976" s="244" t="s">
        <v>1363</v>
      </c>
      <c r="I976" s="244"/>
      <c r="J976" s="251"/>
      <c r="K976" s="244"/>
      <c r="L976" s="244"/>
      <c r="M976" s="244"/>
    </row>
    <row r="977" spans="1:13">
      <c r="A977" s="240" t="s">
        <v>686</v>
      </c>
      <c r="B977" s="240" t="s">
        <v>1864</v>
      </c>
      <c r="C977" s="240" t="s">
        <v>1865</v>
      </c>
      <c r="D977" s="240"/>
      <c r="E977" s="240" t="s">
        <v>991</v>
      </c>
      <c r="F977" s="249">
        <v>1000000</v>
      </c>
      <c r="G977" s="250" t="s">
        <v>1947</v>
      </c>
      <c r="H977" s="240" t="s">
        <v>1363</v>
      </c>
      <c r="I977" s="240"/>
      <c r="J977" s="249"/>
      <c r="K977" s="240"/>
      <c r="L977" s="240"/>
      <c r="M977" s="240"/>
    </row>
    <row r="978" spans="1:13">
      <c r="A978" s="244" t="s">
        <v>686</v>
      </c>
      <c r="B978" s="244" t="s">
        <v>1864</v>
      </c>
      <c r="C978" s="244" t="s">
        <v>1865</v>
      </c>
      <c r="D978" s="244"/>
      <c r="E978" s="244" t="s">
        <v>991</v>
      </c>
      <c r="F978" s="251">
        <v>25000</v>
      </c>
      <c r="G978" s="252" t="s">
        <v>1947</v>
      </c>
      <c r="H978" s="244" t="s">
        <v>1363</v>
      </c>
      <c r="I978" s="244"/>
      <c r="J978" s="251"/>
      <c r="K978" s="244"/>
      <c r="L978" s="244"/>
      <c r="M978" s="244"/>
    </row>
    <row r="979" spans="1:13">
      <c r="A979" s="240" t="s">
        <v>686</v>
      </c>
      <c r="B979" s="240" t="s">
        <v>1864</v>
      </c>
      <c r="C979" s="240" t="s">
        <v>1865</v>
      </c>
      <c r="D979" s="240"/>
      <c r="E979" s="240" t="s">
        <v>991</v>
      </c>
      <c r="F979" s="249">
        <v>270000</v>
      </c>
      <c r="G979" s="250" t="s">
        <v>1933</v>
      </c>
      <c r="H979" s="240" t="s">
        <v>1363</v>
      </c>
      <c r="I979" s="240"/>
      <c r="J979" s="249"/>
      <c r="K979" s="240"/>
      <c r="L979" s="240"/>
      <c r="M979" s="240"/>
    </row>
    <row r="980" spans="1:13">
      <c r="A980" s="244" t="s">
        <v>686</v>
      </c>
      <c r="B980" s="244" t="s">
        <v>1864</v>
      </c>
      <c r="C980" s="244" t="s">
        <v>1865</v>
      </c>
      <c r="D980" s="244"/>
      <c r="E980" s="244" t="s">
        <v>991</v>
      </c>
      <c r="F980" s="251">
        <v>20000</v>
      </c>
      <c r="G980" s="252" t="s">
        <v>1902</v>
      </c>
      <c r="H980" s="244" t="s">
        <v>1363</v>
      </c>
      <c r="I980" s="244"/>
      <c r="J980" s="251"/>
      <c r="K980" s="244"/>
      <c r="L980" s="244"/>
      <c r="M980" s="244"/>
    </row>
    <row r="981" spans="1:13">
      <c r="A981" s="240" t="s">
        <v>686</v>
      </c>
      <c r="B981" s="240" t="s">
        <v>1864</v>
      </c>
      <c r="C981" s="240" t="s">
        <v>1865</v>
      </c>
      <c r="D981" s="240"/>
      <c r="E981" s="240" t="s">
        <v>991</v>
      </c>
      <c r="F981" s="249">
        <v>140000</v>
      </c>
      <c r="G981" s="250" t="s">
        <v>1902</v>
      </c>
      <c r="H981" s="240" t="s">
        <v>1363</v>
      </c>
      <c r="I981" s="240"/>
      <c r="J981" s="249"/>
      <c r="K981" s="240"/>
      <c r="L981" s="240"/>
      <c r="M981" s="240"/>
    </row>
    <row r="982" spans="1:13">
      <c r="A982" s="244" t="s">
        <v>686</v>
      </c>
      <c r="B982" s="244" t="s">
        <v>1864</v>
      </c>
      <c r="C982" s="244" t="s">
        <v>1865</v>
      </c>
      <c r="D982" s="244"/>
      <c r="E982" s="244" t="s">
        <v>991</v>
      </c>
      <c r="F982" s="251">
        <v>123820</v>
      </c>
      <c r="G982" s="252" t="s">
        <v>1965</v>
      </c>
      <c r="H982" s="244" t="s">
        <v>1363</v>
      </c>
      <c r="I982" s="244"/>
      <c r="J982" s="251"/>
      <c r="K982" s="244"/>
      <c r="L982" s="244"/>
      <c r="M982" s="244"/>
    </row>
    <row r="983" spans="1:13">
      <c r="A983" s="240" t="s">
        <v>686</v>
      </c>
      <c r="B983" s="240" t="s">
        <v>1864</v>
      </c>
      <c r="C983" s="240" t="s">
        <v>1955</v>
      </c>
      <c r="D983" s="240"/>
      <c r="E983" s="240" t="s">
        <v>991</v>
      </c>
      <c r="F983" s="249">
        <v>100000</v>
      </c>
      <c r="G983" s="250" t="s">
        <v>1966</v>
      </c>
      <c r="H983" s="240" t="s">
        <v>1363</v>
      </c>
      <c r="I983" s="240"/>
      <c r="J983" s="249"/>
      <c r="K983" s="240"/>
      <c r="L983" s="240"/>
      <c r="M983" s="240"/>
    </row>
    <row r="984" spans="1:13">
      <c r="A984" s="244" t="s">
        <v>686</v>
      </c>
      <c r="B984" s="244" t="s">
        <v>1864</v>
      </c>
      <c r="C984" s="244" t="s">
        <v>1865</v>
      </c>
      <c r="D984" s="244"/>
      <c r="E984" s="244" t="s">
        <v>991</v>
      </c>
      <c r="F984" s="251">
        <v>25000</v>
      </c>
      <c r="G984" s="252" t="s">
        <v>1966</v>
      </c>
      <c r="H984" s="244" t="s">
        <v>1363</v>
      </c>
      <c r="I984" s="244"/>
      <c r="J984" s="251"/>
      <c r="K984" s="244"/>
      <c r="L984" s="244"/>
      <c r="M984" s="244"/>
    </row>
    <row r="985" spans="1:13">
      <c r="A985" s="240" t="s">
        <v>686</v>
      </c>
      <c r="B985" s="240" t="s">
        <v>1864</v>
      </c>
      <c r="C985" s="240" t="s">
        <v>1865</v>
      </c>
      <c r="D985" s="240"/>
      <c r="E985" s="240" t="s">
        <v>991</v>
      </c>
      <c r="F985" s="249">
        <v>25000</v>
      </c>
      <c r="G985" s="250" t="s">
        <v>1967</v>
      </c>
      <c r="H985" s="240" t="s">
        <v>1363</v>
      </c>
      <c r="I985" s="240"/>
      <c r="J985" s="249"/>
      <c r="K985" s="240"/>
      <c r="L985" s="240"/>
      <c r="M985" s="240"/>
    </row>
    <row r="986" spans="1:13">
      <c r="A986" s="244" t="s">
        <v>686</v>
      </c>
      <c r="B986" s="244" t="s">
        <v>1864</v>
      </c>
      <c r="C986" s="244" t="s">
        <v>1865</v>
      </c>
      <c r="D986" s="244"/>
      <c r="E986" s="244" t="s">
        <v>991</v>
      </c>
      <c r="F986" s="251">
        <v>100000</v>
      </c>
      <c r="G986" s="252" t="s">
        <v>1948</v>
      </c>
      <c r="H986" s="244" t="s">
        <v>1363</v>
      </c>
      <c r="I986" s="244"/>
      <c r="J986" s="251"/>
      <c r="K986" s="244"/>
      <c r="L986" s="244"/>
      <c r="M986" s="244"/>
    </row>
    <row r="987" spans="1:13">
      <c r="A987" s="240" t="s">
        <v>686</v>
      </c>
      <c r="B987" s="240" t="s">
        <v>1864</v>
      </c>
      <c r="C987" s="240" t="s">
        <v>1865</v>
      </c>
      <c r="D987" s="240"/>
      <c r="E987" s="240" t="s">
        <v>991</v>
      </c>
      <c r="F987" s="249">
        <v>60000</v>
      </c>
      <c r="G987" s="250" t="s">
        <v>1968</v>
      </c>
      <c r="H987" s="240" t="s">
        <v>1363</v>
      </c>
      <c r="I987" s="240"/>
      <c r="J987" s="249"/>
      <c r="K987" s="240"/>
      <c r="L987" s="240"/>
      <c r="M987" s="240"/>
    </row>
    <row r="988" spans="1:13">
      <c r="A988" s="244" t="s">
        <v>686</v>
      </c>
      <c r="B988" s="244" t="s">
        <v>1864</v>
      </c>
      <c r="C988" s="244" t="s">
        <v>1865</v>
      </c>
      <c r="D988" s="244"/>
      <c r="E988" s="244" t="s">
        <v>991</v>
      </c>
      <c r="F988" s="251">
        <v>50000</v>
      </c>
      <c r="G988" s="252" t="s">
        <v>1969</v>
      </c>
      <c r="H988" s="244" t="s">
        <v>1363</v>
      </c>
      <c r="I988" s="244"/>
      <c r="J988" s="251"/>
      <c r="K988" s="244"/>
      <c r="L988" s="244"/>
      <c r="M988" s="244"/>
    </row>
    <row r="989" spans="1:13">
      <c r="A989" s="240" t="s">
        <v>686</v>
      </c>
      <c r="B989" s="240" t="s">
        <v>1864</v>
      </c>
      <c r="C989" s="240" t="s">
        <v>1865</v>
      </c>
      <c r="D989" s="240"/>
      <c r="E989" s="240" t="s">
        <v>991</v>
      </c>
      <c r="F989" s="249">
        <v>60000</v>
      </c>
      <c r="G989" s="250" t="s">
        <v>1969</v>
      </c>
      <c r="H989" s="240" t="s">
        <v>910</v>
      </c>
      <c r="I989" s="240"/>
      <c r="J989" s="249"/>
      <c r="K989" s="240"/>
      <c r="L989" s="240"/>
      <c r="M989" s="240"/>
    </row>
    <row r="990" spans="1:13">
      <c r="A990" s="244" t="s">
        <v>686</v>
      </c>
      <c r="B990" s="244" t="s">
        <v>1864</v>
      </c>
      <c r="C990" s="244" t="s">
        <v>1865</v>
      </c>
      <c r="D990" s="244"/>
      <c r="E990" s="244" t="s">
        <v>991</v>
      </c>
      <c r="F990" s="251">
        <v>50000</v>
      </c>
      <c r="G990" s="252" t="s">
        <v>1969</v>
      </c>
      <c r="H990" s="244" t="s">
        <v>1363</v>
      </c>
      <c r="I990" s="244"/>
      <c r="J990" s="251"/>
      <c r="K990" s="244"/>
      <c r="L990" s="244"/>
      <c r="M990" s="244"/>
    </row>
    <row r="991" spans="1:13">
      <c r="A991" s="240" t="s">
        <v>686</v>
      </c>
      <c r="B991" s="240" t="s">
        <v>1864</v>
      </c>
      <c r="C991" s="240" t="s">
        <v>1865</v>
      </c>
      <c r="D991" s="240"/>
      <c r="E991" s="240" t="s">
        <v>991</v>
      </c>
      <c r="F991" s="249">
        <v>500000</v>
      </c>
      <c r="G991" s="250" t="s">
        <v>1905</v>
      </c>
      <c r="H991" s="240" t="s">
        <v>1363</v>
      </c>
      <c r="I991" s="240"/>
      <c r="J991" s="249"/>
      <c r="K991" s="240"/>
      <c r="L991" s="240"/>
      <c r="M991" s="240"/>
    </row>
    <row r="992" spans="1:13">
      <c r="A992" s="244" t="s">
        <v>686</v>
      </c>
      <c r="B992" s="244" t="s">
        <v>1864</v>
      </c>
      <c r="C992" s="244" t="s">
        <v>1955</v>
      </c>
      <c r="D992" s="244"/>
      <c r="E992" s="244" t="s">
        <v>991</v>
      </c>
      <c r="F992" s="251">
        <v>100000</v>
      </c>
      <c r="G992" s="252" t="s">
        <v>1905</v>
      </c>
      <c r="H992" s="244" t="s">
        <v>1363</v>
      </c>
      <c r="I992" s="244"/>
      <c r="J992" s="251"/>
      <c r="K992" s="244"/>
      <c r="L992" s="244"/>
      <c r="M992" s="244"/>
    </row>
    <row r="993" spans="1:13">
      <c r="A993" s="240" t="s">
        <v>686</v>
      </c>
      <c r="B993" s="240" t="s">
        <v>1864</v>
      </c>
      <c r="C993" s="240" t="s">
        <v>1865</v>
      </c>
      <c r="D993" s="240"/>
      <c r="E993" s="240" t="s">
        <v>991</v>
      </c>
      <c r="F993" s="249">
        <v>500000</v>
      </c>
      <c r="G993" s="250" t="s">
        <v>1907</v>
      </c>
      <c r="H993" s="240" t="s">
        <v>910</v>
      </c>
      <c r="I993" s="240"/>
      <c r="J993" s="249"/>
      <c r="K993" s="240"/>
      <c r="L993" s="240"/>
      <c r="M993" s="240"/>
    </row>
    <row r="994" spans="1:13">
      <c r="A994" s="244" t="s">
        <v>686</v>
      </c>
      <c r="B994" s="244" t="s">
        <v>1864</v>
      </c>
      <c r="C994" s="244" t="s">
        <v>1865</v>
      </c>
      <c r="D994" s="244"/>
      <c r="E994" s="244" t="s">
        <v>991</v>
      </c>
      <c r="F994" s="251">
        <v>200000</v>
      </c>
      <c r="G994" s="252" t="s">
        <v>1907</v>
      </c>
      <c r="H994" s="244" t="s">
        <v>1363</v>
      </c>
      <c r="I994" s="244"/>
      <c r="J994" s="251"/>
      <c r="K994" s="244"/>
      <c r="L994" s="244"/>
      <c r="M994" s="244"/>
    </row>
    <row r="995" spans="1:13">
      <c r="A995" s="240" t="s">
        <v>686</v>
      </c>
      <c r="B995" s="240" t="s">
        <v>1864</v>
      </c>
      <c r="C995" s="240" t="s">
        <v>1865</v>
      </c>
      <c r="D995" s="240"/>
      <c r="E995" s="240" t="s">
        <v>991</v>
      </c>
      <c r="F995" s="249">
        <v>7000</v>
      </c>
      <c r="G995" s="250" t="s">
        <v>1907</v>
      </c>
      <c r="H995" s="240" t="s">
        <v>1363</v>
      </c>
      <c r="I995" s="240"/>
      <c r="J995" s="249"/>
      <c r="K995" s="240"/>
      <c r="L995" s="240"/>
      <c r="M995" s="240"/>
    </row>
    <row r="996" spans="1:13">
      <c r="A996" s="244" t="s">
        <v>686</v>
      </c>
      <c r="B996" s="244" t="s">
        <v>1864</v>
      </c>
      <c r="C996" s="244" t="s">
        <v>1865</v>
      </c>
      <c r="D996" s="244"/>
      <c r="E996" s="244" t="s">
        <v>991</v>
      </c>
      <c r="F996" s="251">
        <v>250000</v>
      </c>
      <c r="G996" s="252" t="s">
        <v>1907</v>
      </c>
      <c r="H996" s="244" t="s">
        <v>1363</v>
      </c>
      <c r="I996" s="244"/>
      <c r="J996" s="251"/>
      <c r="K996" s="244"/>
      <c r="L996" s="244"/>
      <c r="M996" s="244"/>
    </row>
    <row r="997" spans="1:13">
      <c r="A997" s="240" t="s">
        <v>686</v>
      </c>
      <c r="B997" s="240" t="s">
        <v>1864</v>
      </c>
      <c r="C997" s="240" t="s">
        <v>1955</v>
      </c>
      <c r="D997" s="240"/>
      <c r="E997" s="240" t="s">
        <v>991</v>
      </c>
      <c r="F997" s="249">
        <v>300000</v>
      </c>
      <c r="G997" s="250" t="s">
        <v>1908</v>
      </c>
      <c r="H997" s="240" t="s">
        <v>1363</v>
      </c>
      <c r="I997" s="240"/>
      <c r="J997" s="249"/>
      <c r="K997" s="240"/>
      <c r="L997" s="240"/>
      <c r="M997" s="240"/>
    </row>
    <row r="998" spans="1:13">
      <c r="A998" s="244" t="s">
        <v>686</v>
      </c>
      <c r="B998" s="244" t="s">
        <v>1864</v>
      </c>
      <c r="C998" s="244" t="s">
        <v>1865</v>
      </c>
      <c r="D998" s="244"/>
      <c r="E998" s="244" t="s">
        <v>991</v>
      </c>
      <c r="F998" s="251">
        <v>300000</v>
      </c>
      <c r="G998" s="252" t="s">
        <v>1908</v>
      </c>
      <c r="H998" s="244" t="s">
        <v>1363</v>
      </c>
      <c r="I998" s="244"/>
      <c r="J998" s="251"/>
      <c r="K998" s="244"/>
      <c r="L998" s="244"/>
      <c r="M998" s="244"/>
    </row>
    <row r="999" spans="1:13">
      <c r="A999" s="240" t="s">
        <v>686</v>
      </c>
      <c r="B999" s="240" t="s">
        <v>1864</v>
      </c>
      <c r="C999" s="240" t="s">
        <v>1865</v>
      </c>
      <c r="D999" s="240"/>
      <c r="E999" s="240" t="s">
        <v>991</v>
      </c>
      <c r="F999" s="249">
        <v>100000</v>
      </c>
      <c r="G999" s="250" t="s">
        <v>1908</v>
      </c>
      <c r="H999" s="240" t="s">
        <v>1363</v>
      </c>
      <c r="I999" s="240"/>
      <c r="J999" s="249"/>
      <c r="K999" s="240"/>
      <c r="L999" s="240"/>
      <c r="M999" s="240"/>
    </row>
    <row r="1000" spans="1:13">
      <c r="A1000" s="244" t="s">
        <v>686</v>
      </c>
      <c r="B1000" s="244" t="s">
        <v>1864</v>
      </c>
      <c r="C1000" s="244" t="s">
        <v>1865</v>
      </c>
      <c r="D1000" s="244"/>
      <c r="E1000" s="244" t="s">
        <v>991</v>
      </c>
      <c r="F1000" s="251">
        <v>20800000</v>
      </c>
      <c r="G1000" s="252" t="s">
        <v>1970</v>
      </c>
      <c r="H1000" s="244" t="s">
        <v>1363</v>
      </c>
      <c r="I1000" s="244"/>
      <c r="J1000" s="251"/>
      <c r="K1000" s="244"/>
      <c r="L1000" s="244"/>
      <c r="M1000" s="244"/>
    </row>
    <row r="1001" spans="1:13">
      <c r="A1001" s="240" t="s">
        <v>686</v>
      </c>
      <c r="B1001" s="240" t="s">
        <v>1864</v>
      </c>
      <c r="C1001" s="240" t="s">
        <v>1971</v>
      </c>
      <c r="D1001" s="240"/>
      <c r="E1001" s="240" t="s">
        <v>991</v>
      </c>
      <c r="F1001" s="249">
        <v>60000</v>
      </c>
      <c r="G1001" s="250" t="s">
        <v>1909</v>
      </c>
      <c r="H1001" s="240" t="s">
        <v>1889</v>
      </c>
      <c r="I1001" s="240"/>
      <c r="J1001" s="249"/>
      <c r="K1001" s="240"/>
      <c r="L1001" s="240"/>
      <c r="M1001" s="240"/>
    </row>
    <row r="1002" spans="1:13">
      <c r="A1002" s="244" t="s">
        <v>686</v>
      </c>
      <c r="B1002" s="244" t="s">
        <v>1864</v>
      </c>
      <c r="C1002" s="244" t="s">
        <v>1865</v>
      </c>
      <c r="D1002" s="244"/>
      <c r="E1002" s="244" t="s">
        <v>991</v>
      </c>
      <c r="F1002" s="251">
        <v>100000</v>
      </c>
      <c r="G1002" s="252" t="s">
        <v>1909</v>
      </c>
      <c r="H1002" s="244" t="s">
        <v>1889</v>
      </c>
      <c r="I1002" s="244"/>
      <c r="J1002" s="251"/>
      <c r="K1002" s="244"/>
      <c r="L1002" s="244"/>
      <c r="M1002" s="244"/>
    </row>
    <row r="1003" spans="1:13">
      <c r="A1003" s="240" t="s">
        <v>686</v>
      </c>
      <c r="B1003" s="240" t="s">
        <v>1864</v>
      </c>
      <c r="C1003" s="240" t="s">
        <v>1865</v>
      </c>
      <c r="D1003" s="240"/>
      <c r="E1003" s="240" t="s">
        <v>991</v>
      </c>
      <c r="F1003" s="249">
        <v>595000</v>
      </c>
      <c r="G1003" s="250" t="s">
        <v>1909</v>
      </c>
      <c r="H1003" s="240" t="s">
        <v>1363</v>
      </c>
      <c r="I1003" s="240"/>
      <c r="J1003" s="249"/>
      <c r="K1003" s="240"/>
      <c r="L1003" s="240"/>
      <c r="M1003" s="240"/>
    </row>
    <row r="1004" spans="1:13">
      <c r="A1004" s="244" t="s">
        <v>686</v>
      </c>
      <c r="B1004" s="244" t="s">
        <v>1864</v>
      </c>
      <c r="C1004" s="244" t="s">
        <v>1865</v>
      </c>
      <c r="D1004" s="244"/>
      <c r="E1004" s="244" t="s">
        <v>991</v>
      </c>
      <c r="F1004" s="251">
        <v>250000</v>
      </c>
      <c r="G1004" s="252" t="s">
        <v>1909</v>
      </c>
      <c r="H1004" s="244" t="s">
        <v>1889</v>
      </c>
      <c r="I1004" s="244"/>
      <c r="J1004" s="251"/>
      <c r="K1004" s="244"/>
      <c r="L1004" s="244"/>
      <c r="M1004" s="244"/>
    </row>
    <row r="1005" spans="1:13">
      <c r="A1005" s="240" t="s">
        <v>686</v>
      </c>
      <c r="B1005" s="240" t="s">
        <v>1864</v>
      </c>
      <c r="C1005" s="240" t="s">
        <v>1865</v>
      </c>
      <c r="D1005" s="240"/>
      <c r="E1005" s="240" t="s">
        <v>991</v>
      </c>
      <c r="F1005" s="249">
        <v>961800</v>
      </c>
      <c r="G1005" s="250" t="s">
        <v>1909</v>
      </c>
      <c r="H1005" s="240" t="s">
        <v>1363</v>
      </c>
      <c r="I1005" s="240"/>
      <c r="J1005" s="249"/>
      <c r="K1005" s="240"/>
      <c r="L1005" s="240"/>
      <c r="M1005" s="240"/>
    </row>
    <row r="1006" spans="1:13">
      <c r="A1006" s="244" t="s">
        <v>686</v>
      </c>
      <c r="B1006" s="244" t="s">
        <v>1864</v>
      </c>
      <c r="C1006" s="244" t="s">
        <v>1971</v>
      </c>
      <c r="D1006" s="244"/>
      <c r="E1006" s="244" t="s">
        <v>991</v>
      </c>
      <c r="F1006" s="251">
        <v>40000</v>
      </c>
      <c r="G1006" s="252" t="s">
        <v>1909</v>
      </c>
      <c r="H1006" s="244" t="s">
        <v>1889</v>
      </c>
      <c r="I1006" s="244"/>
      <c r="J1006" s="251"/>
      <c r="K1006" s="244"/>
      <c r="L1006" s="244"/>
      <c r="M1006" s="244"/>
    </row>
    <row r="1007" spans="1:13">
      <c r="A1007" s="240" t="s">
        <v>686</v>
      </c>
      <c r="B1007" s="240" t="s">
        <v>1864</v>
      </c>
      <c r="C1007" s="240" t="s">
        <v>1865</v>
      </c>
      <c r="D1007" s="240"/>
      <c r="E1007" s="240" t="s">
        <v>991</v>
      </c>
      <c r="F1007" s="249">
        <v>200000</v>
      </c>
      <c r="G1007" s="250" t="s">
        <v>1972</v>
      </c>
      <c r="H1007" s="240" t="s">
        <v>1363</v>
      </c>
      <c r="I1007" s="240"/>
      <c r="J1007" s="249"/>
      <c r="K1007" s="240"/>
      <c r="L1007" s="240"/>
      <c r="M1007" s="240"/>
    </row>
    <row r="1008" spans="1:13">
      <c r="A1008" s="244" t="s">
        <v>686</v>
      </c>
      <c r="B1008" s="244" t="s">
        <v>1864</v>
      </c>
      <c r="C1008" s="244" t="s">
        <v>1865</v>
      </c>
      <c r="D1008" s="244"/>
      <c r="E1008" s="244" t="s">
        <v>991</v>
      </c>
      <c r="F1008" s="251">
        <v>403000</v>
      </c>
      <c r="G1008" s="252" t="s">
        <v>1972</v>
      </c>
      <c r="H1008" s="244" t="s">
        <v>1889</v>
      </c>
      <c r="I1008" s="244"/>
      <c r="J1008" s="251"/>
      <c r="K1008" s="244"/>
      <c r="L1008" s="244"/>
      <c r="M1008" s="244"/>
    </row>
    <row r="1009" spans="1:13">
      <c r="A1009" s="240" t="s">
        <v>686</v>
      </c>
      <c r="B1009" s="240" t="s">
        <v>1864</v>
      </c>
      <c r="C1009" s="240" t="s">
        <v>1865</v>
      </c>
      <c r="D1009" s="240"/>
      <c r="E1009" s="240" t="s">
        <v>991</v>
      </c>
      <c r="F1009" s="249">
        <v>100000</v>
      </c>
      <c r="G1009" s="250" t="s">
        <v>1973</v>
      </c>
      <c r="H1009" s="240" t="s">
        <v>1363</v>
      </c>
      <c r="I1009" s="240"/>
      <c r="J1009" s="249"/>
      <c r="K1009" s="240"/>
      <c r="L1009" s="240"/>
      <c r="M1009" s="240"/>
    </row>
    <row r="1010" spans="1:13">
      <c r="A1010" s="244" t="s">
        <v>686</v>
      </c>
      <c r="B1010" s="244" t="s">
        <v>1864</v>
      </c>
      <c r="C1010" s="244" t="s">
        <v>1955</v>
      </c>
      <c r="D1010" s="244"/>
      <c r="E1010" s="244" t="s">
        <v>991</v>
      </c>
      <c r="F1010" s="251">
        <v>200000</v>
      </c>
      <c r="G1010" s="252" t="s">
        <v>1973</v>
      </c>
      <c r="H1010" s="244" t="s">
        <v>1363</v>
      </c>
      <c r="I1010" s="244"/>
      <c r="J1010" s="251"/>
      <c r="K1010" s="244"/>
      <c r="L1010" s="244"/>
      <c r="M1010" s="244"/>
    </row>
    <row r="1011" spans="1:13">
      <c r="A1011" s="240" t="s">
        <v>686</v>
      </c>
      <c r="B1011" s="240" t="s">
        <v>1864</v>
      </c>
      <c r="C1011" s="240" t="s">
        <v>1865</v>
      </c>
      <c r="D1011" s="240"/>
      <c r="E1011" s="240" t="s">
        <v>991</v>
      </c>
      <c r="F1011" s="249">
        <v>100000</v>
      </c>
      <c r="G1011" s="250" t="s">
        <v>1973</v>
      </c>
      <c r="H1011" s="240" t="s">
        <v>1363</v>
      </c>
      <c r="I1011" s="240"/>
      <c r="J1011" s="249"/>
      <c r="K1011" s="240"/>
      <c r="L1011" s="240"/>
      <c r="M1011" s="240"/>
    </row>
    <row r="1012" spans="1:13">
      <c r="A1012" s="244" t="s">
        <v>686</v>
      </c>
      <c r="B1012" s="244" t="s">
        <v>1864</v>
      </c>
      <c r="C1012" s="244" t="s">
        <v>1865</v>
      </c>
      <c r="D1012" s="244"/>
      <c r="E1012" s="244" t="s">
        <v>991</v>
      </c>
      <c r="F1012" s="251">
        <v>100000</v>
      </c>
      <c r="G1012" s="252" t="s">
        <v>1973</v>
      </c>
      <c r="H1012" s="244" t="s">
        <v>1363</v>
      </c>
      <c r="I1012" s="244"/>
      <c r="J1012" s="251"/>
      <c r="K1012" s="244"/>
      <c r="L1012" s="244"/>
      <c r="M1012" s="244"/>
    </row>
    <row r="1013" spans="1:13">
      <c r="A1013" s="240" t="s">
        <v>686</v>
      </c>
      <c r="B1013" s="240" t="s">
        <v>1864</v>
      </c>
      <c r="C1013" s="240" t="s">
        <v>1865</v>
      </c>
      <c r="D1013" s="240"/>
      <c r="E1013" s="240" t="s">
        <v>991</v>
      </c>
      <c r="F1013" s="249">
        <v>300000</v>
      </c>
      <c r="G1013" s="250" t="s">
        <v>1973</v>
      </c>
      <c r="H1013" s="240" t="s">
        <v>1363</v>
      </c>
      <c r="I1013" s="240"/>
      <c r="J1013" s="249"/>
      <c r="K1013" s="240"/>
      <c r="L1013" s="240"/>
      <c r="M1013" s="240"/>
    </row>
    <row r="1014" spans="1:13">
      <c r="A1014" s="244" t="s">
        <v>686</v>
      </c>
      <c r="B1014" s="244" t="s">
        <v>1864</v>
      </c>
      <c r="C1014" s="244" t="s">
        <v>1865</v>
      </c>
      <c r="D1014" s="244"/>
      <c r="E1014" s="244" t="s">
        <v>991</v>
      </c>
      <c r="F1014" s="251">
        <v>500000</v>
      </c>
      <c r="G1014" s="252" t="s">
        <v>1910</v>
      </c>
      <c r="H1014" s="244" t="s">
        <v>1363</v>
      </c>
      <c r="I1014" s="244"/>
      <c r="J1014" s="251"/>
      <c r="K1014" s="244"/>
      <c r="L1014" s="244"/>
      <c r="M1014" s="244"/>
    </row>
    <row r="1015" spans="1:13">
      <c r="A1015" s="240" t="s">
        <v>686</v>
      </c>
      <c r="B1015" s="240" t="s">
        <v>1864</v>
      </c>
      <c r="C1015" s="240" t="s">
        <v>1865</v>
      </c>
      <c r="D1015" s="240"/>
      <c r="E1015" s="240" t="s">
        <v>991</v>
      </c>
      <c r="F1015" s="249">
        <v>32400</v>
      </c>
      <c r="G1015" s="250" t="s">
        <v>1974</v>
      </c>
      <c r="H1015" s="240" t="s">
        <v>1363</v>
      </c>
      <c r="I1015" s="240"/>
      <c r="J1015" s="249"/>
      <c r="K1015" s="240"/>
      <c r="L1015" s="240"/>
      <c r="M1015" s="240"/>
    </row>
    <row r="1016" spans="1:13">
      <c r="A1016" s="244" t="s">
        <v>686</v>
      </c>
      <c r="B1016" s="244" t="s">
        <v>1864</v>
      </c>
      <c r="C1016" s="244" t="s">
        <v>1865</v>
      </c>
      <c r="D1016" s="244"/>
      <c r="E1016" s="244" t="s">
        <v>991</v>
      </c>
      <c r="F1016" s="251">
        <v>10000</v>
      </c>
      <c r="G1016" s="252" t="s">
        <v>1975</v>
      </c>
      <c r="H1016" s="244" t="s">
        <v>1363</v>
      </c>
      <c r="I1016" s="244"/>
      <c r="J1016" s="251"/>
      <c r="K1016" s="244"/>
      <c r="L1016" s="244"/>
      <c r="M1016" s="244"/>
    </row>
    <row r="1017" spans="1:13">
      <c r="A1017" s="240" t="s">
        <v>686</v>
      </c>
      <c r="B1017" s="240" t="s">
        <v>1864</v>
      </c>
      <c r="C1017" s="240" t="s">
        <v>1865</v>
      </c>
      <c r="D1017" s="240"/>
      <c r="E1017" s="240" t="s">
        <v>991</v>
      </c>
      <c r="F1017" s="249">
        <v>7000000</v>
      </c>
      <c r="G1017" s="250" t="s">
        <v>1950</v>
      </c>
      <c r="H1017" s="240" t="s">
        <v>1363</v>
      </c>
      <c r="I1017" s="240"/>
      <c r="J1017" s="249"/>
      <c r="K1017" s="240"/>
      <c r="L1017" s="240"/>
      <c r="M1017" s="240"/>
    </row>
    <row r="1018" spans="1:13">
      <c r="A1018" s="244" t="s">
        <v>686</v>
      </c>
      <c r="B1018" s="244" t="s">
        <v>1864</v>
      </c>
      <c r="C1018" s="244" t="s">
        <v>1865</v>
      </c>
      <c r="D1018" s="244"/>
      <c r="E1018" s="244" t="s">
        <v>991</v>
      </c>
      <c r="F1018" s="251">
        <v>-7000000</v>
      </c>
      <c r="G1018" s="252" t="s">
        <v>1950</v>
      </c>
      <c r="H1018" s="244" t="s">
        <v>1363</v>
      </c>
      <c r="I1018" s="244"/>
      <c r="J1018" s="251"/>
      <c r="K1018" s="244"/>
      <c r="L1018" s="244"/>
      <c r="M1018" s="244"/>
    </row>
    <row r="1019" spans="1:13">
      <c r="A1019" s="240" t="s">
        <v>686</v>
      </c>
      <c r="B1019" s="240" t="s">
        <v>1864</v>
      </c>
      <c r="C1019" s="240" t="s">
        <v>1865</v>
      </c>
      <c r="D1019" s="240"/>
      <c r="E1019" s="240" t="s">
        <v>991</v>
      </c>
      <c r="F1019" s="249">
        <v>40000</v>
      </c>
      <c r="G1019" s="250" t="s">
        <v>1868</v>
      </c>
      <c r="H1019" s="240" t="s">
        <v>910</v>
      </c>
      <c r="I1019" s="240"/>
      <c r="J1019" s="249"/>
      <c r="K1019" s="240"/>
      <c r="L1019" s="240"/>
      <c r="M1019" s="240"/>
    </row>
    <row r="1020" spans="1:13">
      <c r="A1020" s="244" t="s">
        <v>686</v>
      </c>
      <c r="B1020" s="244" t="s">
        <v>1864</v>
      </c>
      <c r="C1020" s="244" t="s">
        <v>1865</v>
      </c>
      <c r="D1020" s="244"/>
      <c r="E1020" s="244" t="s">
        <v>991</v>
      </c>
      <c r="F1020" s="251">
        <v>355000</v>
      </c>
      <c r="G1020" s="252" t="s">
        <v>1868</v>
      </c>
      <c r="H1020" s="244" t="s">
        <v>1363</v>
      </c>
      <c r="I1020" s="244"/>
      <c r="J1020" s="251"/>
      <c r="K1020" s="244"/>
      <c r="L1020" s="244"/>
      <c r="M1020" s="244"/>
    </row>
    <row r="1021" spans="1:13">
      <c r="A1021" s="240" t="s">
        <v>686</v>
      </c>
      <c r="B1021" s="240" t="s">
        <v>1864</v>
      </c>
      <c r="C1021" s="240" t="s">
        <v>1971</v>
      </c>
      <c r="D1021" s="240"/>
      <c r="E1021" s="240" t="s">
        <v>991</v>
      </c>
      <c r="F1021" s="249">
        <v>150000</v>
      </c>
      <c r="G1021" s="250" t="s">
        <v>1868</v>
      </c>
      <c r="H1021" s="240" t="s">
        <v>1889</v>
      </c>
      <c r="I1021" s="240"/>
      <c r="J1021" s="249"/>
      <c r="K1021" s="240"/>
      <c r="L1021" s="240"/>
      <c r="M1021" s="240"/>
    </row>
    <row r="1022" spans="1:13">
      <c r="A1022" s="244" t="s">
        <v>686</v>
      </c>
      <c r="B1022" s="244" t="s">
        <v>1864</v>
      </c>
      <c r="C1022" s="244" t="s">
        <v>1971</v>
      </c>
      <c r="D1022" s="244"/>
      <c r="E1022" s="244" t="s">
        <v>991</v>
      </c>
      <c r="F1022" s="251">
        <v>-150000</v>
      </c>
      <c r="G1022" s="252" t="s">
        <v>1868</v>
      </c>
      <c r="H1022" s="244" t="s">
        <v>1889</v>
      </c>
      <c r="I1022" s="244"/>
      <c r="J1022" s="251"/>
      <c r="K1022" s="244"/>
      <c r="L1022" s="244"/>
      <c r="M1022" s="244"/>
    </row>
    <row r="1023" spans="1:13">
      <c r="A1023" s="240" t="s">
        <v>686</v>
      </c>
      <c r="B1023" s="240" t="s">
        <v>1864</v>
      </c>
      <c r="C1023" s="240" t="s">
        <v>1971</v>
      </c>
      <c r="D1023" s="240"/>
      <c r="E1023" s="240" t="s">
        <v>991</v>
      </c>
      <c r="F1023" s="249">
        <v>150000</v>
      </c>
      <c r="G1023" s="250" t="s">
        <v>1976</v>
      </c>
      <c r="H1023" s="240" t="s">
        <v>1889</v>
      </c>
      <c r="I1023" s="240"/>
      <c r="J1023" s="249"/>
      <c r="K1023" s="240"/>
      <c r="L1023" s="240"/>
      <c r="M1023" s="240"/>
    </row>
    <row r="1024" spans="1:13">
      <c r="A1024" s="244" t="s">
        <v>686</v>
      </c>
      <c r="B1024" s="244" t="s">
        <v>1864</v>
      </c>
      <c r="C1024" s="244" t="s">
        <v>1865</v>
      </c>
      <c r="D1024" s="244"/>
      <c r="E1024" s="244" t="s">
        <v>991</v>
      </c>
      <c r="F1024" s="251">
        <v>362000</v>
      </c>
      <c r="G1024" s="252" t="s">
        <v>1977</v>
      </c>
      <c r="H1024" s="244" t="s">
        <v>1363</v>
      </c>
      <c r="I1024" s="244"/>
      <c r="J1024" s="251"/>
      <c r="K1024" s="244"/>
      <c r="L1024" s="244"/>
      <c r="M1024" s="244"/>
    </row>
    <row r="1025" spans="1:13">
      <c r="A1025" s="240" t="s">
        <v>686</v>
      </c>
      <c r="B1025" s="240" t="s">
        <v>1864</v>
      </c>
      <c r="C1025" s="240" t="s">
        <v>1865</v>
      </c>
      <c r="D1025" s="240"/>
      <c r="E1025" s="240" t="s">
        <v>991</v>
      </c>
      <c r="F1025" s="249">
        <v>556000</v>
      </c>
      <c r="G1025" s="250" t="s">
        <v>1913</v>
      </c>
      <c r="H1025" s="240" t="s">
        <v>1363</v>
      </c>
      <c r="I1025" s="240"/>
      <c r="J1025" s="249"/>
      <c r="K1025" s="240"/>
      <c r="L1025" s="240"/>
      <c r="M1025" s="240"/>
    </row>
    <row r="1026" spans="1:13">
      <c r="A1026" s="244" t="s">
        <v>686</v>
      </c>
      <c r="B1026" s="244" t="s">
        <v>1864</v>
      </c>
      <c r="C1026" s="244" t="s">
        <v>1865</v>
      </c>
      <c r="D1026" s="244"/>
      <c r="E1026" s="244" t="s">
        <v>991</v>
      </c>
      <c r="F1026" s="251">
        <v>2649500</v>
      </c>
      <c r="G1026" s="252" t="s">
        <v>1937</v>
      </c>
      <c r="H1026" s="244" t="s">
        <v>1363</v>
      </c>
      <c r="I1026" s="244"/>
      <c r="J1026" s="251"/>
      <c r="K1026" s="244"/>
      <c r="L1026" s="244"/>
      <c r="M1026" s="244"/>
    </row>
    <row r="1027" spans="1:13">
      <c r="A1027" s="240" t="s">
        <v>686</v>
      </c>
      <c r="B1027" s="240" t="s">
        <v>1864</v>
      </c>
      <c r="C1027" s="240" t="s">
        <v>1865</v>
      </c>
      <c r="D1027" s="240"/>
      <c r="E1027" s="240" t="s">
        <v>991</v>
      </c>
      <c r="F1027" s="249">
        <v>3200000</v>
      </c>
      <c r="G1027" s="250" t="s">
        <v>1978</v>
      </c>
      <c r="H1027" s="240" t="s">
        <v>1363</v>
      </c>
      <c r="I1027" s="240"/>
      <c r="J1027" s="249"/>
      <c r="K1027" s="240"/>
      <c r="L1027" s="240"/>
      <c r="M1027" s="240"/>
    </row>
    <row r="1028" spans="1:13">
      <c r="A1028" s="244" t="s">
        <v>686</v>
      </c>
      <c r="B1028" s="244" t="s">
        <v>1864</v>
      </c>
      <c r="C1028" s="244" t="s">
        <v>1865</v>
      </c>
      <c r="D1028" s="244"/>
      <c r="E1028" s="244" t="s">
        <v>991</v>
      </c>
      <c r="F1028" s="251">
        <v>1000000</v>
      </c>
      <c r="G1028" s="252" t="s">
        <v>1979</v>
      </c>
      <c r="H1028" s="244" t="s">
        <v>1363</v>
      </c>
      <c r="I1028" s="244"/>
      <c r="J1028" s="251"/>
      <c r="K1028" s="244"/>
      <c r="L1028" s="244"/>
      <c r="M1028" s="244"/>
    </row>
    <row r="1029" spans="1:13">
      <c r="A1029" s="240" t="s">
        <v>686</v>
      </c>
      <c r="B1029" s="240" t="s">
        <v>1864</v>
      </c>
      <c r="C1029" s="240" t="s">
        <v>1865</v>
      </c>
      <c r="D1029" s="240"/>
      <c r="E1029" s="240" t="s">
        <v>991</v>
      </c>
      <c r="F1029" s="249">
        <v>500000</v>
      </c>
      <c r="G1029" s="250" t="s">
        <v>1979</v>
      </c>
      <c r="H1029" s="240" t="s">
        <v>1363</v>
      </c>
      <c r="I1029" s="240"/>
      <c r="J1029" s="249"/>
      <c r="K1029" s="240"/>
      <c r="L1029" s="240"/>
      <c r="M1029" s="240"/>
    </row>
    <row r="1030" spans="1:13">
      <c r="A1030" s="244" t="s">
        <v>686</v>
      </c>
      <c r="B1030" s="244" t="s">
        <v>1864</v>
      </c>
      <c r="C1030" s="244" t="s">
        <v>1865</v>
      </c>
      <c r="D1030" s="244"/>
      <c r="E1030" s="244" t="s">
        <v>991</v>
      </c>
      <c r="F1030" s="251">
        <v>11700000</v>
      </c>
      <c r="G1030" s="252" t="s">
        <v>1980</v>
      </c>
      <c r="H1030" s="244" t="s">
        <v>1889</v>
      </c>
      <c r="I1030" s="244"/>
      <c r="J1030" s="251"/>
      <c r="K1030" s="244"/>
      <c r="L1030" s="244"/>
      <c r="M1030" s="244"/>
    </row>
    <row r="1031" spans="1:13">
      <c r="A1031" s="240" t="s">
        <v>686</v>
      </c>
      <c r="B1031" s="240" t="s">
        <v>1864</v>
      </c>
      <c r="C1031" s="240" t="s">
        <v>1865</v>
      </c>
      <c r="D1031" s="240"/>
      <c r="E1031" s="240" t="s">
        <v>991</v>
      </c>
      <c r="F1031" s="249">
        <v>7200000</v>
      </c>
      <c r="G1031" s="250" t="s">
        <v>1980</v>
      </c>
      <c r="H1031" s="240" t="s">
        <v>1889</v>
      </c>
      <c r="I1031" s="240"/>
      <c r="J1031" s="249"/>
      <c r="K1031" s="240"/>
      <c r="L1031" s="240"/>
      <c r="M1031" s="240"/>
    </row>
    <row r="1032" spans="1:13">
      <c r="A1032" s="244" t="s">
        <v>686</v>
      </c>
      <c r="B1032" s="244" t="s">
        <v>1864</v>
      </c>
      <c r="C1032" s="244" t="s">
        <v>1865</v>
      </c>
      <c r="D1032" s="244"/>
      <c r="E1032" s="244" t="s">
        <v>991</v>
      </c>
      <c r="F1032" s="251">
        <v>220000</v>
      </c>
      <c r="G1032" s="252" t="s">
        <v>1981</v>
      </c>
      <c r="H1032" s="244" t="s">
        <v>1363</v>
      </c>
      <c r="I1032" s="244"/>
      <c r="J1032" s="251"/>
      <c r="K1032" s="244"/>
      <c r="L1032" s="244"/>
      <c r="M1032" s="244"/>
    </row>
    <row r="1033" spans="1:13">
      <c r="A1033" s="240" t="s">
        <v>686</v>
      </c>
      <c r="B1033" s="240" t="s">
        <v>1864</v>
      </c>
      <c r="C1033" s="240" t="s">
        <v>1893</v>
      </c>
      <c r="D1033" s="240"/>
      <c r="E1033" s="240" t="s">
        <v>991</v>
      </c>
      <c r="F1033" s="249">
        <v>220000</v>
      </c>
      <c r="G1033" s="250" t="s">
        <v>1981</v>
      </c>
      <c r="H1033" s="240" t="s">
        <v>733</v>
      </c>
      <c r="I1033" s="240"/>
      <c r="J1033" s="249"/>
      <c r="K1033" s="240"/>
      <c r="L1033" s="240"/>
      <c r="M1033" s="240"/>
    </row>
    <row r="1034" spans="1:13">
      <c r="A1034" s="244" t="s">
        <v>686</v>
      </c>
      <c r="B1034" s="244" t="s">
        <v>1864</v>
      </c>
      <c r="C1034" s="244" t="s">
        <v>1865</v>
      </c>
      <c r="D1034" s="244"/>
      <c r="E1034" s="244" t="s">
        <v>991</v>
      </c>
      <c r="F1034" s="251">
        <v>500000</v>
      </c>
      <c r="G1034" s="252" t="s">
        <v>1981</v>
      </c>
      <c r="H1034" s="244" t="s">
        <v>1363</v>
      </c>
      <c r="I1034" s="244"/>
      <c r="J1034" s="251"/>
      <c r="K1034" s="244"/>
      <c r="L1034" s="244"/>
      <c r="M1034" s="244"/>
    </row>
    <row r="1035" spans="1:13">
      <c r="A1035" s="240" t="s">
        <v>686</v>
      </c>
      <c r="B1035" s="240" t="s">
        <v>1864</v>
      </c>
      <c r="C1035" s="240" t="s">
        <v>1865</v>
      </c>
      <c r="D1035" s="240"/>
      <c r="E1035" s="240" t="s">
        <v>991</v>
      </c>
      <c r="F1035" s="249">
        <v>2180000</v>
      </c>
      <c r="G1035" s="250" t="s">
        <v>1981</v>
      </c>
      <c r="H1035" s="240" t="s">
        <v>1889</v>
      </c>
      <c r="I1035" s="240"/>
      <c r="J1035" s="249"/>
      <c r="K1035" s="240"/>
      <c r="L1035" s="240"/>
      <c r="M1035" s="240"/>
    </row>
    <row r="1036" spans="1:13">
      <c r="A1036" s="244" t="s">
        <v>686</v>
      </c>
      <c r="B1036" s="244" t="s">
        <v>1864</v>
      </c>
      <c r="C1036" s="244" t="s">
        <v>1865</v>
      </c>
      <c r="D1036" s="244"/>
      <c r="E1036" s="244" t="s">
        <v>991</v>
      </c>
      <c r="F1036" s="251">
        <v>800000</v>
      </c>
      <c r="G1036" s="252" t="s">
        <v>1982</v>
      </c>
      <c r="H1036" s="244" t="s">
        <v>1363</v>
      </c>
      <c r="I1036" s="244"/>
      <c r="J1036" s="251"/>
      <c r="K1036" s="244"/>
      <c r="L1036" s="244"/>
      <c r="M1036" s="244"/>
    </row>
    <row r="1037" spans="1:13">
      <c r="A1037" s="240" t="s">
        <v>686</v>
      </c>
      <c r="B1037" s="240" t="s">
        <v>1864</v>
      </c>
      <c r="C1037" s="240" t="s">
        <v>1865</v>
      </c>
      <c r="D1037" s="240"/>
      <c r="E1037" s="240" t="s">
        <v>991</v>
      </c>
      <c r="F1037" s="249">
        <v>2000000</v>
      </c>
      <c r="G1037" s="250" t="s">
        <v>1982</v>
      </c>
      <c r="H1037" s="240" t="s">
        <v>1363</v>
      </c>
      <c r="I1037" s="240"/>
      <c r="J1037" s="249"/>
      <c r="K1037" s="240"/>
      <c r="L1037" s="240"/>
      <c r="M1037" s="240"/>
    </row>
    <row r="1038" spans="1:13">
      <c r="A1038" s="244" t="s">
        <v>686</v>
      </c>
      <c r="B1038" s="244" t="s">
        <v>1864</v>
      </c>
      <c r="C1038" s="244" t="s">
        <v>1865</v>
      </c>
      <c r="D1038" s="244"/>
      <c r="E1038" s="244" t="s">
        <v>991</v>
      </c>
      <c r="F1038" s="251">
        <v>4845500</v>
      </c>
      <c r="G1038" s="252" t="s">
        <v>1982</v>
      </c>
      <c r="H1038" s="244" t="s">
        <v>1363</v>
      </c>
      <c r="I1038" s="244"/>
      <c r="J1038" s="251"/>
      <c r="K1038" s="244"/>
      <c r="L1038" s="244"/>
      <c r="M1038" s="244"/>
    </row>
    <row r="1039" spans="1:13">
      <c r="A1039" s="240" t="s">
        <v>686</v>
      </c>
      <c r="B1039" s="240" t="s">
        <v>1864</v>
      </c>
      <c r="C1039" s="240" t="s">
        <v>1865</v>
      </c>
      <c r="D1039" s="240"/>
      <c r="E1039" s="240" t="s">
        <v>991</v>
      </c>
      <c r="F1039" s="249">
        <v>100000</v>
      </c>
      <c r="G1039" s="250" t="s">
        <v>1983</v>
      </c>
      <c r="H1039" s="240" t="s">
        <v>1363</v>
      </c>
      <c r="I1039" s="240"/>
      <c r="J1039" s="249"/>
      <c r="K1039" s="240"/>
      <c r="L1039" s="240"/>
      <c r="M1039" s="240"/>
    </row>
    <row r="1040" spans="1:13">
      <c r="A1040" s="244" t="s">
        <v>686</v>
      </c>
      <c r="B1040" s="244" t="s">
        <v>1864</v>
      </c>
      <c r="C1040" s="244" t="s">
        <v>1865</v>
      </c>
      <c r="D1040" s="244"/>
      <c r="E1040" s="244" t="s">
        <v>991</v>
      </c>
      <c r="F1040" s="251">
        <v>-2000000</v>
      </c>
      <c r="G1040" s="252" t="s">
        <v>1916</v>
      </c>
      <c r="H1040" s="244" t="s">
        <v>1363</v>
      </c>
      <c r="I1040" s="244"/>
      <c r="J1040" s="251"/>
      <c r="K1040" s="244"/>
      <c r="L1040" s="244"/>
      <c r="M1040" s="244"/>
    </row>
    <row r="1041" spans="1:13">
      <c r="A1041" s="240" t="s">
        <v>686</v>
      </c>
      <c r="B1041" s="240" t="s">
        <v>1864</v>
      </c>
      <c r="C1041" s="240" t="s">
        <v>1865</v>
      </c>
      <c r="D1041" s="240"/>
      <c r="E1041" s="240" t="s">
        <v>991</v>
      </c>
      <c r="F1041" s="249">
        <v>337000</v>
      </c>
      <c r="G1041" s="250" t="s">
        <v>1872</v>
      </c>
      <c r="H1041" s="240" t="s">
        <v>1889</v>
      </c>
      <c r="I1041" s="240"/>
      <c r="J1041" s="249"/>
      <c r="K1041" s="240"/>
      <c r="L1041" s="240"/>
      <c r="M1041" s="240"/>
    </row>
    <row r="1042" spans="1:13">
      <c r="A1042" s="244" t="s">
        <v>686</v>
      </c>
      <c r="B1042" s="244" t="s">
        <v>1864</v>
      </c>
      <c r="C1042" s="244" t="s">
        <v>1865</v>
      </c>
      <c r="D1042" s="244"/>
      <c r="E1042" s="244" t="s">
        <v>991</v>
      </c>
      <c r="F1042" s="251">
        <v>2000000</v>
      </c>
      <c r="G1042" s="252" t="s">
        <v>1872</v>
      </c>
      <c r="H1042" s="244" t="s">
        <v>1889</v>
      </c>
      <c r="I1042" s="244"/>
      <c r="J1042" s="251"/>
      <c r="K1042" s="244"/>
      <c r="L1042" s="244"/>
      <c r="M1042" s="244"/>
    </row>
    <row r="1043" spans="1:13">
      <c r="A1043" s="240" t="s">
        <v>686</v>
      </c>
      <c r="B1043" s="240" t="s">
        <v>1864</v>
      </c>
      <c r="C1043" s="240" t="s">
        <v>1865</v>
      </c>
      <c r="D1043" s="240"/>
      <c r="E1043" s="240" t="s">
        <v>991</v>
      </c>
      <c r="F1043" s="249">
        <v>420000</v>
      </c>
      <c r="G1043" s="250" t="s">
        <v>1872</v>
      </c>
      <c r="H1043" s="240" t="s">
        <v>1363</v>
      </c>
      <c r="I1043" s="240"/>
      <c r="J1043" s="249"/>
      <c r="K1043" s="240"/>
      <c r="L1043" s="240"/>
      <c r="M1043" s="240"/>
    </row>
    <row r="1044" spans="1:13">
      <c r="A1044" s="244" t="s">
        <v>686</v>
      </c>
      <c r="B1044" s="244" t="s">
        <v>1864</v>
      </c>
      <c r="C1044" s="244" t="s">
        <v>1865</v>
      </c>
      <c r="D1044" s="244"/>
      <c r="E1044" s="244" t="s">
        <v>991</v>
      </c>
      <c r="F1044" s="251">
        <v>517000</v>
      </c>
      <c r="G1044" s="252" t="s">
        <v>1872</v>
      </c>
      <c r="H1044" s="244" t="s">
        <v>1889</v>
      </c>
      <c r="I1044" s="244"/>
      <c r="J1044" s="251"/>
      <c r="K1044" s="244"/>
      <c r="L1044" s="244"/>
      <c r="M1044" s="244"/>
    </row>
    <row r="1045" spans="1:13">
      <c r="A1045" s="240" t="s">
        <v>686</v>
      </c>
      <c r="B1045" s="240" t="s">
        <v>1864</v>
      </c>
      <c r="C1045" s="240" t="s">
        <v>1865</v>
      </c>
      <c r="D1045" s="240"/>
      <c r="E1045" s="240" t="s">
        <v>991</v>
      </c>
      <c r="F1045" s="249">
        <v>867500</v>
      </c>
      <c r="G1045" s="250" t="s">
        <v>1984</v>
      </c>
      <c r="H1045" s="240" t="s">
        <v>1889</v>
      </c>
      <c r="I1045" s="240"/>
      <c r="J1045" s="249"/>
      <c r="K1045" s="240"/>
      <c r="L1045" s="240"/>
      <c r="M1045" s="240"/>
    </row>
    <row r="1046" spans="1:13">
      <c r="A1046" s="244" t="s">
        <v>686</v>
      </c>
      <c r="B1046" s="244" t="s">
        <v>1864</v>
      </c>
      <c r="C1046" s="244" t="s">
        <v>1865</v>
      </c>
      <c r="D1046" s="244"/>
      <c r="E1046" s="244" t="s">
        <v>991</v>
      </c>
      <c r="F1046" s="251">
        <v>70000</v>
      </c>
      <c r="G1046" s="252" t="s">
        <v>1984</v>
      </c>
      <c r="H1046" s="244" t="s">
        <v>1363</v>
      </c>
      <c r="I1046" s="244"/>
      <c r="J1046" s="251"/>
      <c r="K1046" s="244"/>
      <c r="L1046" s="244"/>
      <c r="M1046" s="244"/>
    </row>
    <row r="1047" spans="1:13">
      <c r="A1047" s="240" t="s">
        <v>686</v>
      </c>
      <c r="B1047" s="240" t="s">
        <v>1864</v>
      </c>
      <c r="C1047" s="240" t="s">
        <v>1955</v>
      </c>
      <c r="D1047" s="240"/>
      <c r="E1047" s="240" t="s">
        <v>991</v>
      </c>
      <c r="F1047" s="249">
        <v>300000</v>
      </c>
      <c r="G1047" s="250" t="s">
        <v>1984</v>
      </c>
      <c r="H1047" s="240" t="s">
        <v>1363</v>
      </c>
      <c r="I1047" s="240"/>
      <c r="J1047" s="249"/>
      <c r="K1047" s="240"/>
      <c r="L1047" s="240"/>
      <c r="M1047" s="240"/>
    </row>
    <row r="1048" spans="1:13">
      <c r="A1048" s="244" t="s">
        <v>686</v>
      </c>
      <c r="B1048" s="244" t="s">
        <v>1864</v>
      </c>
      <c r="C1048" s="244" t="s">
        <v>1865</v>
      </c>
      <c r="D1048" s="244"/>
      <c r="E1048" s="244" t="s">
        <v>991</v>
      </c>
      <c r="F1048" s="251">
        <v>200000</v>
      </c>
      <c r="G1048" s="252" t="s">
        <v>1918</v>
      </c>
      <c r="H1048" s="244" t="s">
        <v>1363</v>
      </c>
      <c r="I1048" s="244"/>
      <c r="J1048" s="251"/>
      <c r="K1048" s="244"/>
      <c r="L1048" s="244"/>
      <c r="M1048" s="244"/>
    </row>
    <row r="1049" spans="1:13">
      <c r="A1049" s="240" t="s">
        <v>686</v>
      </c>
      <c r="B1049" s="240" t="s">
        <v>1864</v>
      </c>
      <c r="C1049" s="240" t="s">
        <v>1865</v>
      </c>
      <c r="D1049" s="240"/>
      <c r="E1049" s="240" t="s">
        <v>991</v>
      </c>
      <c r="F1049" s="249">
        <v>200000</v>
      </c>
      <c r="G1049" s="250" t="s">
        <v>1918</v>
      </c>
      <c r="H1049" s="240" t="s">
        <v>1363</v>
      </c>
      <c r="I1049" s="240"/>
      <c r="J1049" s="249"/>
      <c r="K1049" s="240"/>
      <c r="L1049" s="240"/>
      <c r="M1049" s="240"/>
    </row>
    <row r="1050" spans="1:13">
      <c r="A1050" s="244" t="s">
        <v>686</v>
      </c>
      <c r="B1050" s="244" t="s">
        <v>1864</v>
      </c>
      <c r="C1050" s="244" t="s">
        <v>1865</v>
      </c>
      <c r="D1050" s="244"/>
      <c r="E1050" s="244" t="s">
        <v>991</v>
      </c>
      <c r="F1050" s="251">
        <v>77500</v>
      </c>
      <c r="G1050" s="252" t="s">
        <v>1918</v>
      </c>
      <c r="H1050" s="244" t="s">
        <v>1363</v>
      </c>
      <c r="I1050" s="244"/>
      <c r="J1050" s="251"/>
      <c r="K1050" s="244"/>
      <c r="L1050" s="244"/>
      <c r="M1050" s="244"/>
    </row>
    <row r="1051" spans="1:13">
      <c r="A1051" s="240" t="s">
        <v>686</v>
      </c>
      <c r="B1051" s="240" t="s">
        <v>1864</v>
      </c>
      <c r="C1051" s="240" t="s">
        <v>1865</v>
      </c>
      <c r="D1051" s="240"/>
      <c r="E1051" s="240" t="s">
        <v>991</v>
      </c>
      <c r="F1051" s="249">
        <v>284500</v>
      </c>
      <c r="G1051" s="250" t="s">
        <v>1918</v>
      </c>
      <c r="H1051" s="240" t="s">
        <v>1363</v>
      </c>
      <c r="I1051" s="240"/>
      <c r="J1051" s="249"/>
      <c r="K1051" s="240"/>
      <c r="L1051" s="240"/>
      <c r="M1051" s="240"/>
    </row>
    <row r="1052" spans="1:13">
      <c r="A1052" s="244" t="s">
        <v>686</v>
      </c>
      <c r="B1052" s="244" t="s">
        <v>1864</v>
      </c>
      <c r="C1052" s="244" t="s">
        <v>1865</v>
      </c>
      <c r="D1052" s="244"/>
      <c r="E1052" s="244" t="s">
        <v>991</v>
      </c>
      <c r="F1052" s="251">
        <v>22800000</v>
      </c>
      <c r="G1052" s="252" t="s">
        <v>1918</v>
      </c>
      <c r="H1052" s="244" t="s">
        <v>1363</v>
      </c>
      <c r="I1052" s="244"/>
      <c r="J1052" s="251"/>
      <c r="K1052" s="244"/>
      <c r="L1052" s="244"/>
      <c r="M1052" s="244"/>
    </row>
    <row r="1053" spans="1:13">
      <c r="A1053" s="240" t="s">
        <v>686</v>
      </c>
      <c r="B1053" s="240" t="s">
        <v>1864</v>
      </c>
      <c r="C1053" s="240" t="s">
        <v>1865</v>
      </c>
      <c r="D1053" s="240"/>
      <c r="E1053" s="240" t="s">
        <v>991</v>
      </c>
      <c r="F1053" s="249">
        <v>80000</v>
      </c>
      <c r="G1053" s="250" t="s">
        <v>1985</v>
      </c>
      <c r="H1053" s="240" t="s">
        <v>1363</v>
      </c>
      <c r="I1053" s="240"/>
      <c r="J1053" s="249"/>
      <c r="K1053" s="240"/>
      <c r="L1053" s="240"/>
      <c r="M1053" s="240"/>
    </row>
    <row r="1054" spans="1:13">
      <c r="A1054" s="244" t="s">
        <v>686</v>
      </c>
      <c r="B1054" s="244" t="s">
        <v>1864</v>
      </c>
      <c r="C1054" s="244" t="s">
        <v>1865</v>
      </c>
      <c r="D1054" s="244"/>
      <c r="E1054" s="244" t="s">
        <v>991</v>
      </c>
      <c r="F1054" s="251">
        <v>122500</v>
      </c>
      <c r="G1054" s="252" t="s">
        <v>1985</v>
      </c>
      <c r="H1054" s="244" t="s">
        <v>1363</v>
      </c>
      <c r="I1054" s="244"/>
      <c r="J1054" s="251"/>
      <c r="K1054" s="244"/>
      <c r="L1054" s="244"/>
      <c r="M1054" s="244"/>
    </row>
    <row r="1055" spans="1:13">
      <c r="A1055" s="240" t="s">
        <v>686</v>
      </c>
      <c r="B1055" s="240" t="s">
        <v>1864</v>
      </c>
      <c r="C1055" s="240" t="s">
        <v>1865</v>
      </c>
      <c r="D1055" s="240"/>
      <c r="E1055" s="240" t="s">
        <v>991</v>
      </c>
      <c r="F1055" s="249">
        <v>1140000</v>
      </c>
      <c r="G1055" s="250" t="s">
        <v>1985</v>
      </c>
      <c r="H1055" s="240" t="s">
        <v>1363</v>
      </c>
      <c r="I1055" s="240"/>
      <c r="J1055" s="249"/>
      <c r="K1055" s="240"/>
      <c r="L1055" s="240"/>
      <c r="M1055" s="240"/>
    </row>
    <row r="1056" spans="1:13">
      <c r="A1056" s="244" t="s">
        <v>686</v>
      </c>
      <c r="B1056" s="244" t="s">
        <v>1864</v>
      </c>
      <c r="C1056" s="244" t="s">
        <v>1865</v>
      </c>
      <c r="D1056" s="244"/>
      <c r="E1056" s="244" t="s">
        <v>991</v>
      </c>
      <c r="F1056" s="251">
        <v>411000</v>
      </c>
      <c r="G1056" s="252" t="s">
        <v>1985</v>
      </c>
      <c r="H1056" s="244" t="s">
        <v>1889</v>
      </c>
      <c r="I1056" s="244"/>
      <c r="J1056" s="251"/>
      <c r="K1056" s="244"/>
      <c r="L1056" s="244"/>
      <c r="M1056" s="244"/>
    </row>
    <row r="1057" spans="1:13">
      <c r="A1057" s="240" t="s">
        <v>686</v>
      </c>
      <c r="B1057" s="240" t="s">
        <v>1864</v>
      </c>
      <c r="C1057" s="240" t="s">
        <v>1865</v>
      </c>
      <c r="D1057" s="240"/>
      <c r="E1057" s="240" t="s">
        <v>991</v>
      </c>
      <c r="F1057" s="249">
        <v>30000</v>
      </c>
      <c r="G1057" s="250" t="s">
        <v>1985</v>
      </c>
      <c r="H1057" s="240" t="s">
        <v>1363</v>
      </c>
      <c r="I1057" s="240"/>
      <c r="J1057" s="249"/>
      <c r="K1057" s="240"/>
      <c r="L1057" s="240"/>
      <c r="M1057" s="240"/>
    </row>
    <row r="1058" spans="1:13">
      <c r="A1058" s="244" t="s">
        <v>686</v>
      </c>
      <c r="B1058" s="244" t="s">
        <v>1864</v>
      </c>
      <c r="C1058" s="244" t="s">
        <v>1865</v>
      </c>
      <c r="D1058" s="244"/>
      <c r="E1058" s="244" t="s">
        <v>991</v>
      </c>
      <c r="F1058" s="251">
        <v>200000</v>
      </c>
      <c r="G1058" s="252" t="s">
        <v>1986</v>
      </c>
      <c r="H1058" s="244" t="s">
        <v>1363</v>
      </c>
      <c r="I1058" s="244"/>
      <c r="J1058" s="251"/>
      <c r="K1058" s="244"/>
      <c r="L1058" s="244"/>
      <c r="M1058" s="244"/>
    </row>
    <row r="1059" spans="1:13">
      <c r="A1059" s="240" t="s">
        <v>686</v>
      </c>
      <c r="B1059" s="240" t="s">
        <v>1864</v>
      </c>
      <c r="C1059" s="240" t="s">
        <v>1865</v>
      </c>
      <c r="D1059" s="240"/>
      <c r="E1059" s="240" t="s">
        <v>991</v>
      </c>
      <c r="F1059" s="249">
        <v>1500000</v>
      </c>
      <c r="G1059" s="250" t="s">
        <v>1986</v>
      </c>
      <c r="H1059" s="240" t="s">
        <v>1363</v>
      </c>
      <c r="I1059" s="240"/>
      <c r="J1059" s="249"/>
      <c r="K1059" s="240"/>
      <c r="L1059" s="240"/>
      <c r="M1059" s="240"/>
    </row>
    <row r="1060" spans="1:13">
      <c r="A1060" s="244" t="s">
        <v>686</v>
      </c>
      <c r="B1060" s="244" t="s">
        <v>1864</v>
      </c>
      <c r="C1060" s="244" t="s">
        <v>1865</v>
      </c>
      <c r="D1060" s="244"/>
      <c r="E1060" s="244" t="s">
        <v>991</v>
      </c>
      <c r="F1060" s="251">
        <v>200000</v>
      </c>
      <c r="G1060" s="252" t="s">
        <v>1874</v>
      </c>
      <c r="H1060" s="244" t="s">
        <v>1363</v>
      </c>
      <c r="I1060" s="244"/>
      <c r="J1060" s="251"/>
      <c r="K1060" s="244"/>
      <c r="L1060" s="244"/>
      <c r="M1060" s="244"/>
    </row>
    <row r="1061" spans="1:13">
      <c r="A1061" s="240" t="s">
        <v>686</v>
      </c>
      <c r="B1061" s="240" t="s">
        <v>1864</v>
      </c>
      <c r="C1061" s="240" t="s">
        <v>1865</v>
      </c>
      <c r="D1061" s="240"/>
      <c r="E1061" s="240" t="s">
        <v>991</v>
      </c>
      <c r="F1061" s="249">
        <v>418000</v>
      </c>
      <c r="G1061" s="250" t="s">
        <v>1874</v>
      </c>
      <c r="H1061" s="240" t="s">
        <v>1363</v>
      </c>
      <c r="I1061" s="240"/>
      <c r="J1061" s="249"/>
      <c r="K1061" s="240"/>
      <c r="L1061" s="240"/>
      <c r="M1061" s="240"/>
    </row>
    <row r="1062" spans="1:13">
      <c r="A1062" s="244" t="s">
        <v>686</v>
      </c>
      <c r="B1062" s="244" t="s">
        <v>1864</v>
      </c>
      <c r="C1062" s="244" t="s">
        <v>1955</v>
      </c>
      <c r="D1062" s="244"/>
      <c r="E1062" s="244" t="s">
        <v>991</v>
      </c>
      <c r="F1062" s="251">
        <v>200000</v>
      </c>
      <c r="G1062" s="252" t="s">
        <v>1874</v>
      </c>
      <c r="H1062" s="244" t="s">
        <v>1363</v>
      </c>
      <c r="I1062" s="244"/>
      <c r="J1062" s="251"/>
      <c r="K1062" s="244"/>
      <c r="L1062" s="244"/>
      <c r="M1062" s="244"/>
    </row>
    <row r="1063" spans="1:13">
      <c r="A1063" s="240" t="s">
        <v>686</v>
      </c>
      <c r="B1063" s="240" t="s">
        <v>1864</v>
      </c>
      <c r="C1063" s="240" t="s">
        <v>1865</v>
      </c>
      <c r="D1063" s="240"/>
      <c r="E1063" s="240" t="s">
        <v>991</v>
      </c>
      <c r="F1063" s="249">
        <v>284000</v>
      </c>
      <c r="G1063" s="250" t="s">
        <v>1874</v>
      </c>
      <c r="H1063" s="240" t="s">
        <v>1363</v>
      </c>
      <c r="I1063" s="240"/>
      <c r="J1063" s="249"/>
      <c r="K1063" s="240"/>
      <c r="L1063" s="240"/>
      <c r="M1063" s="240"/>
    </row>
    <row r="1064" spans="1:13">
      <c r="A1064" s="244" t="s">
        <v>686</v>
      </c>
      <c r="B1064" s="244" t="s">
        <v>1864</v>
      </c>
      <c r="C1064" s="244" t="s">
        <v>1893</v>
      </c>
      <c r="D1064" s="244"/>
      <c r="E1064" s="244" t="s">
        <v>991</v>
      </c>
      <c r="F1064" s="251">
        <v>1000000</v>
      </c>
      <c r="G1064" s="252" t="s">
        <v>1874</v>
      </c>
      <c r="H1064" s="244" t="s">
        <v>733</v>
      </c>
      <c r="I1064" s="244"/>
      <c r="J1064" s="251"/>
      <c r="K1064" s="244"/>
      <c r="L1064" s="244"/>
      <c r="M1064" s="244"/>
    </row>
    <row r="1065" spans="1:13">
      <c r="A1065" s="240" t="s">
        <v>686</v>
      </c>
      <c r="B1065" s="240" t="s">
        <v>1864</v>
      </c>
      <c r="C1065" s="240" t="s">
        <v>1865</v>
      </c>
      <c r="D1065" s="240"/>
      <c r="E1065" s="240" t="s">
        <v>991</v>
      </c>
      <c r="F1065" s="249">
        <v>2250000</v>
      </c>
      <c r="G1065" s="250" t="s">
        <v>1987</v>
      </c>
      <c r="H1065" s="240" t="s">
        <v>1363</v>
      </c>
      <c r="I1065" s="240"/>
      <c r="J1065" s="249"/>
      <c r="K1065" s="240"/>
      <c r="L1065" s="240"/>
      <c r="M1065" s="240"/>
    </row>
    <row r="1066" spans="1:13">
      <c r="A1066" s="244" t="s">
        <v>686</v>
      </c>
      <c r="B1066" s="244" t="s">
        <v>1864</v>
      </c>
      <c r="C1066" s="244" t="s">
        <v>1865</v>
      </c>
      <c r="D1066" s="244"/>
      <c r="E1066" s="244" t="s">
        <v>991</v>
      </c>
      <c r="F1066" s="251">
        <v>-1140000</v>
      </c>
      <c r="G1066" s="252" t="s">
        <v>1988</v>
      </c>
      <c r="H1066" s="244" t="s">
        <v>1363</v>
      </c>
      <c r="I1066" s="244"/>
      <c r="J1066" s="251"/>
      <c r="K1066" s="244"/>
      <c r="L1066" s="244"/>
      <c r="M1066" s="244"/>
    </row>
    <row r="1067" spans="1:13">
      <c r="A1067" s="240" t="s">
        <v>686</v>
      </c>
      <c r="B1067" s="240" t="s">
        <v>1864</v>
      </c>
      <c r="C1067" s="240" t="s">
        <v>1865</v>
      </c>
      <c r="D1067" s="240"/>
      <c r="E1067" s="240" t="s">
        <v>991</v>
      </c>
      <c r="F1067" s="249">
        <v>-1500000</v>
      </c>
      <c r="G1067" s="250" t="s">
        <v>1988</v>
      </c>
      <c r="H1067" s="240" t="s">
        <v>1363</v>
      </c>
      <c r="I1067" s="240"/>
      <c r="J1067" s="249"/>
      <c r="K1067" s="240"/>
      <c r="L1067" s="240"/>
      <c r="M1067" s="240"/>
    </row>
    <row r="1068" spans="1:13">
      <c r="A1068" s="244" t="s">
        <v>686</v>
      </c>
      <c r="B1068" s="244" t="s">
        <v>1864</v>
      </c>
      <c r="C1068" s="244" t="s">
        <v>1893</v>
      </c>
      <c r="D1068" s="244"/>
      <c r="E1068" s="244" t="s">
        <v>991</v>
      </c>
      <c r="F1068" s="251">
        <v>-1000000</v>
      </c>
      <c r="G1068" s="252" t="s">
        <v>1988</v>
      </c>
      <c r="H1068" s="244" t="s">
        <v>733</v>
      </c>
      <c r="I1068" s="244"/>
      <c r="J1068" s="251"/>
      <c r="K1068" s="244"/>
      <c r="L1068" s="244"/>
      <c r="M1068" s="244"/>
    </row>
    <row r="1069" spans="1:13">
      <c r="A1069" s="240" t="s">
        <v>686</v>
      </c>
      <c r="B1069" s="240" t="s">
        <v>1864</v>
      </c>
      <c r="C1069" s="240" t="s">
        <v>1865</v>
      </c>
      <c r="D1069" s="240"/>
      <c r="E1069" s="240" t="s">
        <v>991</v>
      </c>
      <c r="F1069" s="249">
        <v>-2250000</v>
      </c>
      <c r="G1069" s="250" t="s">
        <v>1988</v>
      </c>
      <c r="H1069" s="240" t="s">
        <v>1363</v>
      </c>
      <c r="I1069" s="240"/>
      <c r="J1069" s="249"/>
      <c r="K1069" s="240"/>
      <c r="L1069" s="240"/>
      <c r="M1069" s="240"/>
    </row>
    <row r="1070" spans="1:13">
      <c r="A1070" s="244" t="s">
        <v>686</v>
      </c>
      <c r="B1070" s="244" t="s">
        <v>1864</v>
      </c>
      <c r="C1070" s="244" t="s">
        <v>1865</v>
      </c>
      <c r="D1070" s="244"/>
      <c r="E1070" s="244" t="s">
        <v>991</v>
      </c>
      <c r="F1070" s="251">
        <v>5000000</v>
      </c>
      <c r="G1070" s="252" t="s">
        <v>1988</v>
      </c>
      <c r="H1070" s="244" t="s">
        <v>1363</v>
      </c>
      <c r="I1070" s="244"/>
      <c r="J1070" s="251"/>
      <c r="K1070" s="244"/>
      <c r="L1070" s="244"/>
      <c r="M1070" s="244"/>
    </row>
    <row r="1071" spans="1:13">
      <c r="A1071" s="240" t="s">
        <v>686</v>
      </c>
      <c r="B1071" s="240" t="s">
        <v>1864</v>
      </c>
      <c r="C1071" s="240" t="s">
        <v>1865</v>
      </c>
      <c r="D1071" s="240"/>
      <c r="E1071" s="240" t="s">
        <v>991</v>
      </c>
      <c r="F1071" s="249">
        <v>309500</v>
      </c>
      <c r="G1071" s="250" t="s">
        <v>1919</v>
      </c>
      <c r="H1071" s="240" t="s">
        <v>1363</v>
      </c>
      <c r="I1071" s="240"/>
      <c r="J1071" s="249"/>
      <c r="K1071" s="240"/>
      <c r="L1071" s="240"/>
      <c r="M1071" s="240"/>
    </row>
    <row r="1072" spans="1:13">
      <c r="A1072" s="244" t="s">
        <v>686</v>
      </c>
      <c r="B1072" s="244" t="s">
        <v>1864</v>
      </c>
      <c r="C1072" s="244" t="s">
        <v>1865</v>
      </c>
      <c r="D1072" s="244"/>
      <c r="E1072" s="244" t="s">
        <v>991</v>
      </c>
      <c r="F1072" s="251">
        <v>235000</v>
      </c>
      <c r="G1072" s="252" t="s">
        <v>1989</v>
      </c>
      <c r="H1072" s="244" t="s">
        <v>1363</v>
      </c>
      <c r="I1072" s="244"/>
      <c r="J1072" s="251"/>
      <c r="K1072" s="244"/>
      <c r="L1072" s="244"/>
      <c r="M1072" s="244"/>
    </row>
    <row r="1073" spans="1:13">
      <c r="A1073" s="240" t="s">
        <v>686</v>
      </c>
      <c r="B1073" s="240" t="s">
        <v>1864</v>
      </c>
      <c r="C1073" s="240" t="s">
        <v>1865</v>
      </c>
      <c r="D1073" s="240"/>
      <c r="E1073" s="240" t="s">
        <v>991</v>
      </c>
      <c r="F1073" s="249">
        <v>2000000</v>
      </c>
      <c r="G1073" s="250" t="s">
        <v>1990</v>
      </c>
      <c r="H1073" s="240" t="s">
        <v>1363</v>
      </c>
      <c r="I1073" s="240"/>
      <c r="J1073" s="249"/>
      <c r="K1073" s="240"/>
      <c r="L1073" s="240"/>
      <c r="M1073" s="240"/>
    </row>
    <row r="1074" spans="1:13">
      <c r="A1074" s="244" t="s">
        <v>686</v>
      </c>
      <c r="B1074" s="244" t="s">
        <v>1864</v>
      </c>
      <c r="C1074" s="244" t="s">
        <v>1865</v>
      </c>
      <c r="D1074" s="244"/>
      <c r="E1074" s="244" t="s">
        <v>991</v>
      </c>
      <c r="F1074" s="251">
        <v>5250000</v>
      </c>
      <c r="G1074" s="252" t="s">
        <v>1923</v>
      </c>
      <c r="H1074" s="244" t="s">
        <v>1363</v>
      </c>
      <c r="I1074" s="244"/>
      <c r="J1074" s="251"/>
      <c r="K1074" s="244"/>
      <c r="L1074" s="244"/>
      <c r="M1074" s="244"/>
    </row>
    <row r="1075" spans="1:13">
      <c r="A1075" s="240" t="s">
        <v>686</v>
      </c>
      <c r="B1075" s="240" t="s">
        <v>1864</v>
      </c>
      <c r="C1075" s="240" t="s">
        <v>1955</v>
      </c>
      <c r="D1075" s="240"/>
      <c r="E1075" s="240" t="s">
        <v>991</v>
      </c>
      <c r="F1075" s="249">
        <v>300000</v>
      </c>
      <c r="G1075" s="250" t="s">
        <v>1991</v>
      </c>
      <c r="H1075" s="240" t="s">
        <v>1363</v>
      </c>
      <c r="I1075" s="240"/>
      <c r="J1075" s="249"/>
      <c r="K1075" s="240"/>
      <c r="L1075" s="240"/>
      <c r="M1075" s="240"/>
    </row>
    <row r="1076" spans="1:13">
      <c r="A1076" s="244" t="s">
        <v>686</v>
      </c>
      <c r="B1076" s="244" t="s">
        <v>1864</v>
      </c>
      <c r="C1076" s="244" t="s">
        <v>1955</v>
      </c>
      <c r="D1076" s="244"/>
      <c r="E1076" s="244" t="s">
        <v>991</v>
      </c>
      <c r="F1076" s="251">
        <v>50000</v>
      </c>
      <c r="G1076" s="252" t="s">
        <v>1991</v>
      </c>
      <c r="H1076" s="244" t="s">
        <v>1363</v>
      </c>
      <c r="I1076" s="244"/>
      <c r="J1076" s="251"/>
      <c r="K1076" s="244"/>
      <c r="L1076" s="244"/>
      <c r="M1076" s="244"/>
    </row>
    <row r="1077" spans="1:13">
      <c r="A1077" s="240" t="s">
        <v>686</v>
      </c>
      <c r="B1077" s="240" t="s">
        <v>1864</v>
      </c>
      <c r="C1077" s="240" t="s">
        <v>1865</v>
      </c>
      <c r="D1077" s="240"/>
      <c r="E1077" s="240" t="s">
        <v>991</v>
      </c>
      <c r="F1077" s="249">
        <v>20000</v>
      </c>
      <c r="G1077" s="250" t="s">
        <v>1991</v>
      </c>
      <c r="H1077" s="240" t="s">
        <v>1363</v>
      </c>
      <c r="I1077" s="240"/>
      <c r="J1077" s="249"/>
      <c r="K1077" s="240"/>
      <c r="L1077" s="240"/>
      <c r="M1077" s="240"/>
    </row>
    <row r="1078" spans="1:13">
      <c r="A1078" s="244" t="s">
        <v>686</v>
      </c>
      <c r="B1078" s="244" t="s">
        <v>1864</v>
      </c>
      <c r="C1078" s="244" t="s">
        <v>1865</v>
      </c>
      <c r="D1078" s="244"/>
      <c r="E1078" s="244" t="s">
        <v>991</v>
      </c>
      <c r="F1078" s="251">
        <v>317000</v>
      </c>
      <c r="G1078" s="252" t="s">
        <v>1991</v>
      </c>
      <c r="H1078" s="244" t="s">
        <v>1363</v>
      </c>
      <c r="I1078" s="244"/>
      <c r="J1078" s="251"/>
      <c r="K1078" s="244"/>
      <c r="L1078" s="244"/>
      <c r="M1078" s="244"/>
    </row>
    <row r="1079" spans="1:13">
      <c r="A1079" s="240" t="s">
        <v>686</v>
      </c>
      <c r="B1079" s="240" t="s">
        <v>1864</v>
      </c>
      <c r="C1079" s="240" t="s">
        <v>1955</v>
      </c>
      <c r="D1079" s="240"/>
      <c r="E1079" s="240" t="s">
        <v>991</v>
      </c>
      <c r="F1079" s="249">
        <v>50000</v>
      </c>
      <c r="G1079" s="250" t="s">
        <v>1991</v>
      </c>
      <c r="H1079" s="240" t="s">
        <v>1363</v>
      </c>
      <c r="I1079" s="240"/>
      <c r="J1079" s="249"/>
      <c r="K1079" s="240"/>
      <c r="L1079" s="240"/>
      <c r="M1079" s="240"/>
    </row>
    <row r="1080" spans="1:13">
      <c r="A1080" s="244" t="s">
        <v>686</v>
      </c>
      <c r="B1080" s="244" t="s">
        <v>1864</v>
      </c>
      <c r="C1080" s="244" t="s">
        <v>1865</v>
      </c>
      <c r="D1080" s="244"/>
      <c r="E1080" s="244" t="s">
        <v>991</v>
      </c>
      <c r="F1080" s="251">
        <v>13500000</v>
      </c>
      <c r="G1080" s="252" t="s">
        <v>1992</v>
      </c>
      <c r="H1080" s="244" t="s">
        <v>1363</v>
      </c>
      <c r="I1080" s="244"/>
      <c r="J1080" s="251"/>
      <c r="K1080" s="244"/>
      <c r="L1080" s="244"/>
      <c r="M1080" s="244"/>
    </row>
    <row r="1081" spans="1:13">
      <c r="A1081" s="240" t="s">
        <v>686</v>
      </c>
      <c r="B1081" s="240" t="s">
        <v>1864</v>
      </c>
      <c r="C1081" s="240" t="s">
        <v>1865</v>
      </c>
      <c r="D1081" s="240"/>
      <c r="E1081" s="240" t="s">
        <v>991</v>
      </c>
      <c r="F1081" s="249">
        <v>225400</v>
      </c>
      <c r="G1081" s="250" t="s">
        <v>1939</v>
      </c>
      <c r="H1081" s="240" t="s">
        <v>1363</v>
      </c>
      <c r="I1081" s="240"/>
      <c r="J1081" s="249"/>
      <c r="K1081" s="240"/>
      <c r="L1081" s="240"/>
      <c r="M1081" s="240"/>
    </row>
    <row r="1082" spans="1:13">
      <c r="A1082" s="244" t="s">
        <v>686</v>
      </c>
      <c r="B1082" s="244" t="s">
        <v>1864</v>
      </c>
      <c r="C1082" s="244" t="s">
        <v>1865</v>
      </c>
      <c r="D1082" s="244"/>
      <c r="E1082" s="244" t="s">
        <v>991</v>
      </c>
      <c r="F1082" s="251">
        <v>847458</v>
      </c>
      <c r="G1082" s="252" t="s">
        <v>1993</v>
      </c>
      <c r="H1082" s="244" t="s">
        <v>1363</v>
      </c>
      <c r="I1082" s="244"/>
      <c r="J1082" s="251"/>
      <c r="K1082" s="244"/>
      <c r="L1082" s="244"/>
      <c r="M1082" s="244"/>
    </row>
    <row r="1083" spans="1:13">
      <c r="A1083" s="240" t="s">
        <v>686</v>
      </c>
      <c r="B1083" s="240" t="s">
        <v>1864</v>
      </c>
      <c r="C1083" s="240" t="s">
        <v>1955</v>
      </c>
      <c r="D1083" s="240"/>
      <c r="E1083" s="240" t="s">
        <v>991</v>
      </c>
      <c r="F1083" s="249">
        <v>800000</v>
      </c>
      <c r="G1083" s="250" t="s">
        <v>1993</v>
      </c>
      <c r="H1083" s="240" t="s">
        <v>1363</v>
      </c>
      <c r="I1083" s="240"/>
      <c r="J1083" s="249"/>
      <c r="K1083" s="240"/>
      <c r="L1083" s="240"/>
      <c r="M1083" s="240"/>
    </row>
    <row r="1084" spans="1:13">
      <c r="A1084" s="244" t="s">
        <v>686</v>
      </c>
      <c r="B1084" s="244" t="s">
        <v>1864</v>
      </c>
      <c r="C1084" s="244" t="s">
        <v>1865</v>
      </c>
      <c r="D1084" s="244"/>
      <c r="E1084" s="244" t="s">
        <v>991</v>
      </c>
      <c r="F1084" s="251">
        <v>100000</v>
      </c>
      <c r="G1084" s="252" t="s">
        <v>1993</v>
      </c>
      <c r="H1084" s="244" t="s">
        <v>1889</v>
      </c>
      <c r="I1084" s="244"/>
      <c r="J1084" s="251"/>
      <c r="K1084" s="244"/>
      <c r="L1084" s="244"/>
      <c r="M1084" s="244"/>
    </row>
    <row r="1085" spans="1:13">
      <c r="A1085" s="240" t="s">
        <v>686</v>
      </c>
      <c r="B1085" s="240" t="s">
        <v>1864</v>
      </c>
      <c r="C1085" s="240" t="s">
        <v>1865</v>
      </c>
      <c r="D1085" s="240"/>
      <c r="E1085" s="240" t="s">
        <v>991</v>
      </c>
      <c r="F1085" s="249">
        <v>100000</v>
      </c>
      <c r="G1085" s="250" t="s">
        <v>1924</v>
      </c>
      <c r="H1085" s="240" t="s">
        <v>1363</v>
      </c>
      <c r="I1085" s="240"/>
      <c r="J1085" s="249"/>
      <c r="K1085" s="240"/>
      <c r="L1085" s="240"/>
      <c r="M1085" s="240"/>
    </row>
    <row r="1086" spans="1:13">
      <c r="A1086" s="244" t="s">
        <v>686</v>
      </c>
      <c r="B1086" s="244" t="s">
        <v>1864</v>
      </c>
      <c r="C1086" s="244" t="s">
        <v>1865</v>
      </c>
      <c r="D1086" s="244"/>
      <c r="E1086" s="244" t="s">
        <v>991</v>
      </c>
      <c r="F1086" s="251">
        <v>169000</v>
      </c>
      <c r="G1086" s="252" t="s">
        <v>1994</v>
      </c>
      <c r="H1086" s="244" t="s">
        <v>1363</v>
      </c>
      <c r="I1086" s="244"/>
      <c r="J1086" s="251"/>
      <c r="K1086" s="244"/>
      <c r="L1086" s="244"/>
      <c r="M1086" s="244"/>
    </row>
    <row r="1087" spans="1:13">
      <c r="A1087" s="240" t="s">
        <v>686</v>
      </c>
      <c r="B1087" s="240" t="s">
        <v>1864</v>
      </c>
      <c r="C1087" s="240" t="s">
        <v>1865</v>
      </c>
      <c r="D1087" s="240"/>
      <c r="E1087" s="240" t="s">
        <v>991</v>
      </c>
      <c r="F1087" s="249">
        <v>20000</v>
      </c>
      <c r="G1087" s="250" t="s">
        <v>1995</v>
      </c>
      <c r="H1087" s="240" t="s">
        <v>1363</v>
      </c>
      <c r="I1087" s="240"/>
      <c r="J1087" s="249"/>
      <c r="K1087" s="240"/>
      <c r="L1087" s="240"/>
      <c r="M1087" s="240"/>
    </row>
    <row r="1088" spans="1:13">
      <c r="A1088" s="244" t="s">
        <v>686</v>
      </c>
      <c r="B1088" s="244" t="s">
        <v>1864</v>
      </c>
      <c r="C1088" s="244" t="s">
        <v>1865</v>
      </c>
      <c r="D1088" s="244"/>
      <c r="E1088" s="244" t="s">
        <v>991</v>
      </c>
      <c r="F1088" s="251">
        <v>-13500000</v>
      </c>
      <c r="G1088" s="252" t="s">
        <v>1995</v>
      </c>
      <c r="H1088" s="244" t="s">
        <v>1363</v>
      </c>
      <c r="I1088" s="244"/>
      <c r="J1088" s="251"/>
      <c r="K1088" s="244"/>
      <c r="L1088" s="244"/>
      <c r="M1088" s="244"/>
    </row>
    <row r="1089" spans="1:13">
      <c r="A1089" s="240" t="s">
        <v>686</v>
      </c>
      <c r="B1089" s="240" t="s">
        <v>1864</v>
      </c>
      <c r="C1089" s="240" t="s">
        <v>1865</v>
      </c>
      <c r="D1089" s="240"/>
      <c r="E1089" s="240" t="s">
        <v>991</v>
      </c>
      <c r="F1089" s="249">
        <v>1429000</v>
      </c>
      <c r="G1089" s="250" t="s">
        <v>1996</v>
      </c>
      <c r="H1089" s="240" t="s">
        <v>1363</v>
      </c>
      <c r="I1089" s="240"/>
      <c r="J1089" s="249"/>
      <c r="K1089" s="240"/>
      <c r="L1089" s="240"/>
      <c r="M1089" s="240"/>
    </row>
    <row r="1090" spans="1:13">
      <c r="A1090" s="244" t="s">
        <v>686</v>
      </c>
      <c r="B1090" s="244" t="s">
        <v>1864</v>
      </c>
      <c r="C1090" s="244" t="s">
        <v>1865</v>
      </c>
      <c r="D1090" s="244"/>
      <c r="E1090" s="244" t="s">
        <v>991</v>
      </c>
      <c r="F1090" s="251">
        <v>3000000</v>
      </c>
      <c r="G1090" s="252" t="s">
        <v>1997</v>
      </c>
      <c r="H1090" s="244" t="s">
        <v>1363</v>
      </c>
      <c r="I1090" s="244"/>
      <c r="J1090" s="251"/>
      <c r="K1090" s="244"/>
      <c r="L1090" s="244"/>
      <c r="M1090" s="244"/>
    </row>
    <row r="1091" spans="1:13">
      <c r="A1091" s="240" t="s">
        <v>686</v>
      </c>
      <c r="B1091" s="240" t="s">
        <v>1864</v>
      </c>
      <c r="C1091" s="240" t="s">
        <v>1865</v>
      </c>
      <c r="D1091" s="240"/>
      <c r="E1091" s="240" t="s">
        <v>991</v>
      </c>
      <c r="F1091" s="249">
        <v>1000000</v>
      </c>
      <c r="G1091" s="250" t="s">
        <v>1997</v>
      </c>
      <c r="H1091" s="240" t="s">
        <v>1363</v>
      </c>
      <c r="I1091" s="240"/>
      <c r="J1091" s="249"/>
      <c r="K1091" s="240"/>
      <c r="L1091" s="240"/>
      <c r="M1091" s="240"/>
    </row>
    <row r="1092" spans="1:13">
      <c r="A1092" s="244" t="s">
        <v>686</v>
      </c>
      <c r="B1092" s="244" t="s">
        <v>1864</v>
      </c>
      <c r="C1092" s="244" t="s">
        <v>1865</v>
      </c>
      <c r="D1092" s="244"/>
      <c r="E1092" s="244" t="s">
        <v>991</v>
      </c>
      <c r="F1092" s="251">
        <v>9500000</v>
      </c>
      <c r="G1092" s="252" t="s">
        <v>1997</v>
      </c>
      <c r="H1092" s="244" t="s">
        <v>1363</v>
      </c>
      <c r="I1092" s="244"/>
      <c r="J1092" s="251"/>
      <c r="K1092" s="244"/>
      <c r="L1092" s="244"/>
      <c r="M1092" s="244"/>
    </row>
    <row r="1093" spans="1:13">
      <c r="A1093" s="240" t="s">
        <v>686</v>
      </c>
      <c r="B1093" s="240" t="s">
        <v>1864</v>
      </c>
      <c r="C1093" s="240" t="s">
        <v>1865</v>
      </c>
      <c r="D1093" s="240"/>
      <c r="E1093" s="240" t="s">
        <v>991</v>
      </c>
      <c r="F1093" s="249">
        <v>335000</v>
      </c>
      <c r="G1093" s="250" t="s">
        <v>1877</v>
      </c>
      <c r="H1093" s="240" t="s">
        <v>1363</v>
      </c>
      <c r="I1093" s="240"/>
      <c r="J1093" s="249"/>
      <c r="K1093" s="240"/>
      <c r="L1093" s="240"/>
      <c r="M1093" s="240"/>
    </row>
    <row r="1094" spans="1:13">
      <c r="A1094" s="244" t="s">
        <v>686</v>
      </c>
      <c r="B1094" s="244" t="s">
        <v>1864</v>
      </c>
      <c r="C1094" s="244" t="s">
        <v>1865</v>
      </c>
      <c r="D1094" s="244"/>
      <c r="E1094" s="244" t="s">
        <v>991</v>
      </c>
      <c r="F1094" s="251">
        <v>485900</v>
      </c>
      <c r="G1094" s="252" t="s">
        <v>1877</v>
      </c>
      <c r="H1094" s="244" t="s">
        <v>733</v>
      </c>
      <c r="I1094" s="244"/>
      <c r="J1094" s="251"/>
      <c r="K1094" s="244"/>
      <c r="L1094" s="244"/>
      <c r="M1094" s="244"/>
    </row>
    <row r="1095" spans="1:13">
      <c r="A1095" s="240" t="s">
        <v>686</v>
      </c>
      <c r="B1095" s="240" t="s">
        <v>1864</v>
      </c>
      <c r="C1095" s="240" t="s">
        <v>1865</v>
      </c>
      <c r="D1095" s="240"/>
      <c r="E1095" s="240" t="s">
        <v>991</v>
      </c>
      <c r="F1095" s="249">
        <v>110000</v>
      </c>
      <c r="G1095" s="250" t="s">
        <v>1878</v>
      </c>
      <c r="H1095" s="240" t="s">
        <v>1363</v>
      </c>
      <c r="I1095" s="240"/>
      <c r="J1095" s="249"/>
      <c r="K1095" s="240"/>
      <c r="L1095" s="240"/>
      <c r="M1095" s="240"/>
    </row>
    <row r="1096" spans="1:13">
      <c r="A1096" s="244" t="s">
        <v>686</v>
      </c>
      <c r="B1096" s="244" t="s">
        <v>1864</v>
      </c>
      <c r="C1096" s="244" t="s">
        <v>1865</v>
      </c>
      <c r="D1096" s="244"/>
      <c r="E1096" s="244" t="s">
        <v>991</v>
      </c>
      <c r="F1096" s="251">
        <v>600000</v>
      </c>
      <c r="G1096" s="252" t="s">
        <v>1998</v>
      </c>
      <c r="H1096" s="244" t="s">
        <v>1363</v>
      </c>
      <c r="I1096" s="244"/>
      <c r="J1096" s="251"/>
      <c r="K1096" s="244"/>
      <c r="L1096" s="244"/>
      <c r="M1096" s="244"/>
    </row>
    <row r="1097" spans="1:13">
      <c r="A1097" s="240" t="s">
        <v>686</v>
      </c>
      <c r="B1097" s="240" t="s">
        <v>1864</v>
      </c>
      <c r="C1097" s="240" t="s">
        <v>1865</v>
      </c>
      <c r="D1097" s="240"/>
      <c r="E1097" s="240" t="s">
        <v>991</v>
      </c>
      <c r="F1097" s="249">
        <v>280000</v>
      </c>
      <c r="G1097" s="250" t="s">
        <v>1998</v>
      </c>
      <c r="H1097" s="240" t="s">
        <v>1363</v>
      </c>
      <c r="I1097" s="240"/>
      <c r="J1097" s="249"/>
      <c r="K1097" s="240"/>
      <c r="L1097" s="240"/>
      <c r="M1097" s="240"/>
    </row>
    <row r="1098" spans="1:13">
      <c r="A1098" s="244" t="s">
        <v>686</v>
      </c>
      <c r="B1098" s="244" t="s">
        <v>1864</v>
      </c>
      <c r="C1098" s="244" t="s">
        <v>1865</v>
      </c>
      <c r="D1098" s="244"/>
      <c r="E1098" s="244" t="s">
        <v>991</v>
      </c>
      <c r="F1098" s="251">
        <v>200000</v>
      </c>
      <c r="G1098" s="252" t="s">
        <v>1998</v>
      </c>
      <c r="H1098" s="244" t="s">
        <v>1363</v>
      </c>
      <c r="I1098" s="244"/>
      <c r="J1098" s="251"/>
      <c r="K1098" s="244"/>
      <c r="L1098" s="244"/>
      <c r="M1098" s="244"/>
    </row>
    <row r="1099" spans="1:13">
      <c r="A1099" s="240" t="s">
        <v>686</v>
      </c>
      <c r="B1099" s="240" t="s">
        <v>1864</v>
      </c>
      <c r="C1099" s="240" t="s">
        <v>1865</v>
      </c>
      <c r="D1099" s="240"/>
      <c r="E1099" s="240" t="s">
        <v>991</v>
      </c>
      <c r="F1099" s="249">
        <v>857250</v>
      </c>
      <c r="G1099" s="250" t="s">
        <v>1998</v>
      </c>
      <c r="H1099" s="240" t="s">
        <v>1363</v>
      </c>
      <c r="I1099" s="240"/>
      <c r="J1099" s="249"/>
      <c r="K1099" s="240"/>
      <c r="L1099" s="240"/>
      <c r="M1099" s="240"/>
    </row>
    <row r="1100" spans="1:13">
      <c r="A1100" s="244" t="s">
        <v>686</v>
      </c>
      <c r="B1100" s="244" t="s">
        <v>1864</v>
      </c>
      <c r="C1100" s="244" t="s">
        <v>1865</v>
      </c>
      <c r="D1100" s="244"/>
      <c r="E1100" s="244" t="s">
        <v>991</v>
      </c>
      <c r="F1100" s="251">
        <v>5000000</v>
      </c>
      <c r="G1100" s="252" t="s">
        <v>1998</v>
      </c>
      <c r="H1100" s="244" t="s">
        <v>1363</v>
      </c>
      <c r="I1100" s="244"/>
      <c r="J1100" s="251"/>
      <c r="K1100" s="244"/>
      <c r="L1100" s="244"/>
      <c r="M1100" s="244"/>
    </row>
    <row r="1101" spans="1:13">
      <c r="A1101" s="240" t="s">
        <v>686</v>
      </c>
      <c r="B1101" s="240" t="s">
        <v>1864</v>
      </c>
      <c r="C1101" s="240" t="s">
        <v>1893</v>
      </c>
      <c r="D1101" s="240"/>
      <c r="E1101" s="240" t="s">
        <v>991</v>
      </c>
      <c r="F1101" s="249">
        <v>335000</v>
      </c>
      <c r="G1101" s="250" t="s">
        <v>1880</v>
      </c>
      <c r="H1101" s="240" t="s">
        <v>733</v>
      </c>
      <c r="I1101" s="240"/>
      <c r="J1101" s="249"/>
      <c r="K1101" s="240"/>
      <c r="L1101" s="240"/>
      <c r="M1101" s="240"/>
    </row>
    <row r="1102" spans="1:13">
      <c r="A1102" s="244" t="s">
        <v>686</v>
      </c>
      <c r="B1102" s="244" t="s">
        <v>1864</v>
      </c>
      <c r="C1102" s="244" t="s">
        <v>1865</v>
      </c>
      <c r="D1102" s="244"/>
      <c r="E1102" s="244" t="s">
        <v>991</v>
      </c>
      <c r="F1102" s="251">
        <v>3000000</v>
      </c>
      <c r="G1102" s="252" t="s">
        <v>1880</v>
      </c>
      <c r="H1102" s="244" t="s">
        <v>1363</v>
      </c>
      <c r="I1102" s="244"/>
      <c r="J1102" s="251"/>
      <c r="K1102" s="244"/>
      <c r="L1102" s="244"/>
      <c r="M1102" s="244"/>
    </row>
    <row r="1103" spans="1:13">
      <c r="A1103" s="240" t="s">
        <v>686</v>
      </c>
      <c r="B1103" s="240" t="s">
        <v>1864</v>
      </c>
      <c r="C1103" s="240" t="s">
        <v>1865</v>
      </c>
      <c r="D1103" s="240"/>
      <c r="E1103" s="240" t="s">
        <v>991</v>
      </c>
      <c r="F1103" s="249">
        <v>1858200</v>
      </c>
      <c r="G1103" s="250" t="s">
        <v>1880</v>
      </c>
      <c r="H1103" s="240" t="s">
        <v>1363</v>
      </c>
      <c r="I1103" s="240"/>
      <c r="J1103" s="249"/>
      <c r="K1103" s="240"/>
      <c r="L1103" s="240"/>
      <c r="M1103" s="240"/>
    </row>
    <row r="1104" spans="1:13">
      <c r="A1104" s="244" t="s">
        <v>686</v>
      </c>
      <c r="B1104" s="244" t="s">
        <v>1864</v>
      </c>
      <c r="C1104" s="244" t="s">
        <v>1865</v>
      </c>
      <c r="D1104" s="244"/>
      <c r="E1104" s="244" t="s">
        <v>991</v>
      </c>
      <c r="F1104" s="251">
        <v>650000</v>
      </c>
      <c r="G1104" s="252" t="s">
        <v>1880</v>
      </c>
      <c r="H1104" s="244" t="s">
        <v>1363</v>
      </c>
      <c r="I1104" s="244"/>
      <c r="J1104" s="251"/>
      <c r="K1104" s="244"/>
      <c r="L1104" s="244"/>
      <c r="M1104" s="244"/>
    </row>
    <row r="1105" spans="1:13">
      <c r="A1105" s="240" t="s">
        <v>686</v>
      </c>
      <c r="B1105" s="240" t="s">
        <v>1864</v>
      </c>
      <c r="C1105" s="240" t="s">
        <v>1865</v>
      </c>
      <c r="D1105" s="240"/>
      <c r="E1105" s="240" t="s">
        <v>991</v>
      </c>
      <c r="F1105" s="249">
        <v>155000</v>
      </c>
      <c r="G1105" s="250" t="s">
        <v>1880</v>
      </c>
      <c r="H1105" s="240" t="s">
        <v>1363</v>
      </c>
      <c r="I1105" s="240"/>
      <c r="J1105" s="249"/>
      <c r="K1105" s="240"/>
      <c r="L1105" s="240"/>
      <c r="M1105" s="240"/>
    </row>
    <row r="1106" spans="1:13">
      <c r="A1106" s="244" t="s">
        <v>686</v>
      </c>
      <c r="B1106" s="244" t="s">
        <v>1864</v>
      </c>
      <c r="C1106" s="244" t="s">
        <v>1865</v>
      </c>
      <c r="D1106" s="244"/>
      <c r="E1106" s="244" t="s">
        <v>991</v>
      </c>
      <c r="F1106" s="251">
        <v>175000</v>
      </c>
      <c r="G1106" s="252" t="s">
        <v>1999</v>
      </c>
      <c r="H1106" s="244" t="s">
        <v>1889</v>
      </c>
      <c r="I1106" s="244"/>
      <c r="J1106" s="251"/>
      <c r="K1106" s="244"/>
      <c r="L1106" s="244"/>
      <c r="M1106" s="244"/>
    </row>
    <row r="1107" spans="1:13">
      <c r="A1107" s="240" t="s">
        <v>686</v>
      </c>
      <c r="B1107" s="240" t="s">
        <v>1864</v>
      </c>
      <c r="C1107" s="240" t="s">
        <v>1893</v>
      </c>
      <c r="D1107" s="240"/>
      <c r="E1107" s="240" t="s">
        <v>991</v>
      </c>
      <c r="F1107" s="249">
        <v>125400</v>
      </c>
      <c r="G1107" s="250" t="s">
        <v>1881</v>
      </c>
      <c r="H1107" s="240" t="s">
        <v>733</v>
      </c>
      <c r="I1107" s="240"/>
      <c r="J1107" s="249"/>
      <c r="K1107" s="240"/>
      <c r="L1107" s="240"/>
      <c r="M1107" s="240"/>
    </row>
    <row r="1108" spans="1:13">
      <c r="A1108" s="244" t="s">
        <v>686</v>
      </c>
      <c r="B1108" s="244" t="s">
        <v>1864</v>
      </c>
      <c r="C1108" s="244" t="s">
        <v>1865</v>
      </c>
      <c r="D1108" s="244"/>
      <c r="E1108" s="244" t="s">
        <v>991</v>
      </c>
      <c r="F1108" s="251">
        <v>150000</v>
      </c>
      <c r="G1108" s="252" t="s">
        <v>2000</v>
      </c>
      <c r="H1108" s="244" t="s">
        <v>1889</v>
      </c>
      <c r="I1108" s="244"/>
      <c r="J1108" s="251"/>
      <c r="K1108" s="244"/>
      <c r="L1108" s="244"/>
      <c r="M1108" s="244"/>
    </row>
    <row r="1109" spans="1:13">
      <c r="A1109" s="240" t="s">
        <v>686</v>
      </c>
      <c r="B1109" s="240" t="s">
        <v>1864</v>
      </c>
      <c r="C1109" s="240" t="s">
        <v>1865</v>
      </c>
      <c r="D1109" s="240"/>
      <c r="E1109" s="240" t="s">
        <v>991</v>
      </c>
      <c r="F1109" s="249">
        <v>680000</v>
      </c>
      <c r="G1109" s="250" t="s">
        <v>2001</v>
      </c>
      <c r="H1109" s="240" t="s">
        <v>1363</v>
      </c>
      <c r="I1109" s="240"/>
      <c r="J1109" s="249"/>
      <c r="K1109" s="240"/>
      <c r="L1109" s="240"/>
      <c r="M1109" s="240"/>
    </row>
    <row r="1110" spans="1:13">
      <c r="A1110" s="244" t="s">
        <v>686</v>
      </c>
      <c r="B1110" s="244" t="s">
        <v>1864</v>
      </c>
      <c r="C1110" s="244" t="s">
        <v>1865</v>
      </c>
      <c r="D1110" s="244"/>
      <c r="E1110" s="244" t="s">
        <v>991</v>
      </c>
      <c r="F1110" s="251">
        <v>323700</v>
      </c>
      <c r="G1110" s="252" t="s">
        <v>1941</v>
      </c>
      <c r="H1110" s="244" t="s">
        <v>1363</v>
      </c>
      <c r="I1110" s="244"/>
      <c r="J1110" s="251"/>
      <c r="K1110" s="244"/>
      <c r="L1110" s="244"/>
      <c r="M1110" s="244"/>
    </row>
    <row r="1111" spans="1:13">
      <c r="A1111" s="240" t="s">
        <v>686</v>
      </c>
      <c r="B1111" s="240" t="s">
        <v>1864</v>
      </c>
      <c r="C1111" s="240" t="s">
        <v>1865</v>
      </c>
      <c r="D1111" s="240"/>
      <c r="E1111" s="240" t="s">
        <v>991</v>
      </c>
      <c r="F1111" s="249">
        <v>60000</v>
      </c>
      <c r="G1111" s="250" t="s">
        <v>2002</v>
      </c>
      <c r="H1111" s="240" t="s">
        <v>1363</v>
      </c>
      <c r="I1111" s="240"/>
      <c r="J1111" s="249"/>
      <c r="K1111" s="240"/>
      <c r="L1111" s="240"/>
      <c r="M1111" s="240"/>
    </row>
    <row r="1112" spans="1:13">
      <c r="A1112" s="244" t="s">
        <v>686</v>
      </c>
      <c r="B1112" s="244" t="s">
        <v>1864</v>
      </c>
      <c r="C1112" s="244" t="s">
        <v>1865</v>
      </c>
      <c r="D1112" s="244"/>
      <c r="E1112" s="244" t="s">
        <v>991</v>
      </c>
      <c r="F1112" s="251">
        <v>175000</v>
      </c>
      <c r="G1112" s="252" t="s">
        <v>2002</v>
      </c>
      <c r="H1112" s="244" t="s">
        <v>1363</v>
      </c>
      <c r="I1112" s="244"/>
      <c r="J1112" s="251"/>
      <c r="K1112" s="244"/>
      <c r="L1112" s="244"/>
      <c r="M1112" s="244"/>
    </row>
    <row r="1113" spans="1:13">
      <c r="A1113" s="240" t="s">
        <v>686</v>
      </c>
      <c r="B1113" s="240" t="s">
        <v>1864</v>
      </c>
      <c r="C1113" s="240" t="s">
        <v>1865</v>
      </c>
      <c r="D1113" s="240"/>
      <c r="E1113" s="240" t="s">
        <v>991</v>
      </c>
      <c r="F1113" s="249">
        <v>150000</v>
      </c>
      <c r="G1113" s="250" t="s">
        <v>2003</v>
      </c>
      <c r="H1113" s="240" t="s">
        <v>1363</v>
      </c>
      <c r="I1113" s="240"/>
      <c r="J1113" s="249"/>
      <c r="K1113" s="240"/>
      <c r="L1113" s="240"/>
      <c r="M1113" s="240"/>
    </row>
    <row r="1114" spans="1:13">
      <c r="A1114" s="244" t="s">
        <v>686</v>
      </c>
      <c r="B1114" s="244" t="s">
        <v>1864</v>
      </c>
      <c r="C1114" s="244" t="s">
        <v>1865</v>
      </c>
      <c r="D1114" s="244"/>
      <c r="E1114" s="244" t="s">
        <v>991</v>
      </c>
      <c r="F1114" s="251">
        <v>300000</v>
      </c>
      <c r="G1114" s="252" t="s">
        <v>2003</v>
      </c>
      <c r="H1114" s="244" t="s">
        <v>1363</v>
      </c>
      <c r="I1114" s="244"/>
      <c r="J1114" s="251"/>
      <c r="K1114" s="244"/>
      <c r="L1114" s="244"/>
      <c r="M1114" s="244"/>
    </row>
    <row r="1115" spans="1:13">
      <c r="A1115" s="240" t="s">
        <v>686</v>
      </c>
      <c r="B1115" s="240" t="s">
        <v>1864</v>
      </c>
      <c r="C1115" s="240" t="s">
        <v>1865</v>
      </c>
      <c r="D1115" s="240"/>
      <c r="E1115" s="240" t="s">
        <v>991</v>
      </c>
      <c r="F1115" s="249">
        <v>587000</v>
      </c>
      <c r="G1115" s="250" t="s">
        <v>2003</v>
      </c>
      <c r="H1115" s="240" t="s">
        <v>1363</v>
      </c>
      <c r="I1115" s="240"/>
      <c r="J1115" s="249"/>
      <c r="K1115" s="240"/>
      <c r="L1115" s="240"/>
      <c r="M1115" s="240"/>
    </row>
    <row r="1116" spans="1:13">
      <c r="A1116" s="244" t="s">
        <v>686</v>
      </c>
      <c r="B1116" s="244" t="s">
        <v>1864</v>
      </c>
      <c r="C1116" s="244" t="s">
        <v>1865</v>
      </c>
      <c r="D1116" s="244"/>
      <c r="E1116" s="244" t="s">
        <v>991</v>
      </c>
      <c r="F1116" s="251">
        <v>375000</v>
      </c>
      <c r="G1116" s="252" t="s">
        <v>2003</v>
      </c>
      <c r="H1116" s="244" t="s">
        <v>1363</v>
      </c>
      <c r="I1116" s="244"/>
      <c r="J1116" s="251"/>
      <c r="K1116" s="244"/>
      <c r="L1116" s="244"/>
      <c r="M1116" s="244"/>
    </row>
    <row r="1117" spans="1:13">
      <c r="A1117" s="240" t="s">
        <v>686</v>
      </c>
      <c r="B1117" s="240" t="s">
        <v>1864</v>
      </c>
      <c r="C1117" s="240" t="s">
        <v>1865</v>
      </c>
      <c r="D1117" s="240"/>
      <c r="E1117" s="240" t="s">
        <v>991</v>
      </c>
      <c r="F1117" s="249">
        <v>660000</v>
      </c>
      <c r="G1117" s="250" t="s">
        <v>2004</v>
      </c>
      <c r="H1117" s="240" t="s">
        <v>1363</v>
      </c>
      <c r="I1117" s="240"/>
      <c r="J1117" s="249"/>
      <c r="K1117" s="240"/>
      <c r="L1117" s="240"/>
      <c r="M1117" s="240"/>
    </row>
    <row r="1118" spans="1:13">
      <c r="A1118" s="244" t="s">
        <v>686</v>
      </c>
      <c r="B1118" s="244" t="s">
        <v>1864</v>
      </c>
      <c r="C1118" s="244" t="s">
        <v>1865</v>
      </c>
      <c r="D1118" s="244"/>
      <c r="E1118" s="244" t="s">
        <v>991</v>
      </c>
      <c r="F1118" s="251">
        <v>1000000</v>
      </c>
      <c r="G1118" s="252" t="s">
        <v>2005</v>
      </c>
      <c r="H1118" s="244" t="s">
        <v>1363</v>
      </c>
      <c r="I1118" s="244"/>
      <c r="J1118" s="251"/>
      <c r="K1118" s="244"/>
      <c r="L1118" s="244"/>
      <c r="M1118" s="244"/>
    </row>
    <row r="1119" spans="1:13">
      <c r="A1119" s="240" t="s">
        <v>686</v>
      </c>
      <c r="B1119" s="240" t="s">
        <v>1864</v>
      </c>
      <c r="C1119" s="240" t="s">
        <v>1865</v>
      </c>
      <c r="D1119" s="240"/>
      <c r="E1119" s="240" t="s">
        <v>991</v>
      </c>
      <c r="F1119" s="249">
        <v>5000000</v>
      </c>
      <c r="G1119" s="250" t="s">
        <v>1883</v>
      </c>
      <c r="H1119" s="240" t="s">
        <v>1363</v>
      </c>
      <c r="I1119" s="240"/>
      <c r="J1119" s="249"/>
      <c r="K1119" s="240"/>
      <c r="L1119" s="240"/>
      <c r="M1119" s="240"/>
    </row>
    <row r="1120" spans="1:13">
      <c r="A1120" s="244" t="s">
        <v>686</v>
      </c>
      <c r="B1120" s="244" t="s">
        <v>1864</v>
      </c>
      <c r="C1120" s="244" t="s">
        <v>1865</v>
      </c>
      <c r="D1120" s="244"/>
      <c r="E1120" s="244" t="s">
        <v>991</v>
      </c>
      <c r="F1120" s="251">
        <v>37771480</v>
      </c>
      <c r="G1120" s="252" t="s">
        <v>1883</v>
      </c>
      <c r="H1120" s="244" t="s">
        <v>1363</v>
      </c>
      <c r="I1120" s="244"/>
      <c r="J1120" s="251"/>
      <c r="K1120" s="244"/>
      <c r="L1120" s="244"/>
      <c r="M1120" s="244"/>
    </row>
    <row r="1121" spans="1:13">
      <c r="A1121" s="240" t="s">
        <v>686</v>
      </c>
      <c r="B1121" s="240" t="s">
        <v>1864</v>
      </c>
      <c r="C1121" s="240" t="s">
        <v>1865</v>
      </c>
      <c r="D1121" s="240"/>
      <c r="E1121" s="240" t="s">
        <v>991</v>
      </c>
      <c r="F1121" s="249">
        <v>803000</v>
      </c>
      <c r="G1121" s="250" t="s">
        <v>1883</v>
      </c>
      <c r="H1121" s="240" t="s">
        <v>1363</v>
      </c>
      <c r="I1121" s="240"/>
      <c r="J1121" s="249"/>
      <c r="K1121" s="240"/>
      <c r="L1121" s="240"/>
      <c r="M1121" s="240"/>
    </row>
    <row r="1122" spans="1:13">
      <c r="A1122" s="244" t="s">
        <v>686</v>
      </c>
      <c r="B1122" s="244" t="s">
        <v>1864</v>
      </c>
      <c r="C1122" s="244" t="s">
        <v>1865</v>
      </c>
      <c r="D1122" s="244"/>
      <c r="E1122" s="244" t="s">
        <v>991</v>
      </c>
      <c r="F1122" s="251">
        <v>3500000</v>
      </c>
      <c r="G1122" s="252" t="s">
        <v>1883</v>
      </c>
      <c r="H1122" s="244" t="s">
        <v>1363</v>
      </c>
      <c r="I1122" s="244"/>
      <c r="J1122" s="251"/>
      <c r="K1122" s="244"/>
      <c r="L1122" s="244"/>
      <c r="M1122" s="244"/>
    </row>
    <row r="1123" spans="1:13">
      <c r="A1123" s="240" t="s">
        <v>686</v>
      </c>
      <c r="B1123" s="240" t="s">
        <v>1864</v>
      </c>
      <c r="C1123" s="240" t="s">
        <v>1865</v>
      </c>
      <c r="D1123" s="240"/>
      <c r="E1123" s="240" t="s">
        <v>991</v>
      </c>
      <c r="F1123" s="249">
        <v>3739835</v>
      </c>
      <c r="G1123" s="250" t="s">
        <v>1883</v>
      </c>
      <c r="H1123" s="240" t="s">
        <v>1363</v>
      </c>
      <c r="I1123" s="240"/>
      <c r="J1123" s="249"/>
      <c r="K1123" s="240"/>
      <c r="L1123" s="240"/>
      <c r="M1123" s="240"/>
    </row>
    <row r="1124" spans="1:13">
      <c r="A1124" s="244" t="s">
        <v>686</v>
      </c>
      <c r="B1124" s="244" t="s">
        <v>1864</v>
      </c>
      <c r="C1124" s="244" t="s">
        <v>1865</v>
      </c>
      <c r="D1124" s="244"/>
      <c r="E1124" s="244" t="s">
        <v>991</v>
      </c>
      <c r="F1124" s="251">
        <v>7801643</v>
      </c>
      <c r="G1124" s="252" t="s">
        <v>1883</v>
      </c>
      <c r="H1124" s="244" t="s">
        <v>1363</v>
      </c>
      <c r="I1124" s="244"/>
      <c r="J1124" s="251"/>
      <c r="K1124" s="244"/>
      <c r="L1124" s="244"/>
      <c r="M1124" s="244"/>
    </row>
    <row r="1125" spans="1:13">
      <c r="A1125" s="240" t="s">
        <v>686</v>
      </c>
      <c r="B1125" s="240" t="s">
        <v>1864</v>
      </c>
      <c r="C1125" s="240" t="s">
        <v>1865</v>
      </c>
      <c r="D1125" s="240"/>
      <c r="E1125" s="240" t="s">
        <v>991</v>
      </c>
      <c r="F1125" s="249">
        <v>247671</v>
      </c>
      <c r="G1125" s="250" t="s">
        <v>1883</v>
      </c>
      <c r="H1125" s="240" t="s">
        <v>1363</v>
      </c>
      <c r="I1125" s="240"/>
      <c r="J1125" s="249"/>
      <c r="K1125" s="240"/>
      <c r="L1125" s="240"/>
      <c r="M1125" s="240"/>
    </row>
    <row r="1126" spans="1:13">
      <c r="A1126" s="244" t="s">
        <v>686</v>
      </c>
      <c r="B1126" s="244" t="s">
        <v>1864</v>
      </c>
      <c r="C1126" s="244" t="s">
        <v>1865</v>
      </c>
      <c r="D1126" s="244"/>
      <c r="E1126" s="244" t="s">
        <v>991</v>
      </c>
      <c r="F1126" s="251">
        <v>683000</v>
      </c>
      <c r="G1126" s="252" t="s">
        <v>1883</v>
      </c>
      <c r="H1126" s="244" t="s">
        <v>1363</v>
      </c>
      <c r="I1126" s="244"/>
      <c r="J1126" s="251"/>
      <c r="K1126" s="244"/>
      <c r="L1126" s="244"/>
      <c r="M1126" s="244"/>
    </row>
    <row r="1127" spans="1:13">
      <c r="A1127" s="240" t="s">
        <v>686</v>
      </c>
      <c r="B1127" s="240" t="s">
        <v>1864</v>
      </c>
      <c r="C1127" s="240" t="s">
        <v>1865</v>
      </c>
      <c r="D1127" s="240"/>
      <c r="E1127" s="240" t="s">
        <v>991</v>
      </c>
      <c r="F1127" s="249">
        <v>375000</v>
      </c>
      <c r="G1127" s="250" t="s">
        <v>1926</v>
      </c>
      <c r="H1127" s="240" t="s">
        <v>1363</v>
      </c>
      <c r="I1127" s="240"/>
      <c r="J1127" s="249"/>
      <c r="K1127" s="240"/>
      <c r="L1127" s="240"/>
      <c r="M1127" s="240"/>
    </row>
    <row r="1128" spans="1:13">
      <c r="A1128" s="244" t="s">
        <v>686</v>
      </c>
      <c r="B1128" s="244" t="s">
        <v>1864</v>
      </c>
      <c r="C1128" s="244" t="s">
        <v>1865</v>
      </c>
      <c r="D1128" s="244"/>
      <c r="E1128" s="244" t="s">
        <v>991</v>
      </c>
      <c r="F1128" s="251">
        <v>1126100</v>
      </c>
      <c r="G1128" s="252" t="s">
        <v>1926</v>
      </c>
      <c r="H1128" s="244" t="s">
        <v>1363</v>
      </c>
      <c r="I1128" s="244"/>
      <c r="J1128" s="251"/>
      <c r="K1128" s="244"/>
      <c r="L1128" s="244"/>
      <c r="M1128" s="244"/>
    </row>
    <row r="1129" spans="1:13">
      <c r="A1129" s="240" t="s">
        <v>686</v>
      </c>
      <c r="B1129" s="240" t="s">
        <v>1864</v>
      </c>
      <c r="C1129" s="240" t="s">
        <v>1955</v>
      </c>
      <c r="D1129" s="240"/>
      <c r="E1129" s="240" t="s">
        <v>991</v>
      </c>
      <c r="F1129" s="249">
        <v>1000000</v>
      </c>
      <c r="G1129" s="250" t="s">
        <v>1926</v>
      </c>
      <c r="H1129" s="240" t="s">
        <v>1363</v>
      </c>
      <c r="I1129" s="240"/>
      <c r="J1129" s="249"/>
      <c r="K1129" s="240"/>
      <c r="L1129" s="240"/>
      <c r="M1129" s="240"/>
    </row>
    <row r="1130" spans="1:13">
      <c r="A1130" s="244" t="s">
        <v>686</v>
      </c>
      <c r="B1130" s="244" t="s">
        <v>1864</v>
      </c>
      <c r="C1130" s="244" t="s">
        <v>1865</v>
      </c>
      <c r="D1130" s="244"/>
      <c r="E1130" s="244" t="s">
        <v>991</v>
      </c>
      <c r="F1130" s="251">
        <v>750000</v>
      </c>
      <c r="G1130" s="252" t="s">
        <v>2006</v>
      </c>
      <c r="H1130" s="244" t="s">
        <v>1363</v>
      </c>
      <c r="I1130" s="244"/>
      <c r="J1130" s="251"/>
      <c r="K1130" s="244"/>
      <c r="L1130" s="244"/>
      <c r="M1130" s="244"/>
    </row>
    <row r="1131" spans="1:13">
      <c r="A1131" s="240" t="s">
        <v>686</v>
      </c>
      <c r="B1131" s="240" t="s">
        <v>1864</v>
      </c>
      <c r="C1131" s="240" t="s">
        <v>1865</v>
      </c>
      <c r="D1131" s="240"/>
      <c r="E1131" s="240" t="s">
        <v>991</v>
      </c>
      <c r="F1131" s="249">
        <v>5000000</v>
      </c>
      <c r="G1131" s="250" t="s">
        <v>2006</v>
      </c>
      <c r="H1131" s="240" t="s">
        <v>1363</v>
      </c>
      <c r="I1131" s="240"/>
      <c r="J1131" s="249"/>
      <c r="K1131" s="240"/>
      <c r="L1131" s="240"/>
      <c r="M1131" s="240"/>
    </row>
    <row r="1132" spans="1:13">
      <c r="A1132" s="244" t="s">
        <v>686</v>
      </c>
      <c r="B1132" s="244" t="s">
        <v>1864</v>
      </c>
      <c r="C1132" s="244" t="s">
        <v>1865</v>
      </c>
      <c r="D1132" s="244"/>
      <c r="E1132" s="244" t="s">
        <v>991</v>
      </c>
      <c r="F1132" s="251">
        <v>-5000000</v>
      </c>
      <c r="G1132" s="252" t="s">
        <v>2006</v>
      </c>
      <c r="H1132" s="244" t="s">
        <v>1363</v>
      </c>
      <c r="I1132" s="244"/>
      <c r="J1132" s="251"/>
      <c r="K1132" s="244"/>
      <c r="L1132" s="244"/>
      <c r="M1132" s="244"/>
    </row>
    <row r="1133" spans="1:13">
      <c r="A1133" s="240" t="s">
        <v>686</v>
      </c>
      <c r="B1133" s="240" t="s">
        <v>1864</v>
      </c>
      <c r="C1133" s="240" t="s">
        <v>1865</v>
      </c>
      <c r="D1133" s="240"/>
      <c r="E1133" s="240" t="s">
        <v>991</v>
      </c>
      <c r="F1133" s="249">
        <v>70000</v>
      </c>
      <c r="G1133" s="250" t="s">
        <v>2007</v>
      </c>
      <c r="H1133" s="240" t="s">
        <v>1363</v>
      </c>
      <c r="I1133" s="240"/>
      <c r="J1133" s="249"/>
      <c r="K1133" s="240"/>
      <c r="L1133" s="240"/>
      <c r="M1133" s="240"/>
    </row>
    <row r="1134" spans="1:13">
      <c r="A1134" s="244" t="s">
        <v>686</v>
      </c>
      <c r="B1134" s="244" t="s">
        <v>1864</v>
      </c>
      <c r="C1134" s="244" t="s">
        <v>1865</v>
      </c>
      <c r="D1134" s="244"/>
      <c r="E1134" s="244" t="s">
        <v>991</v>
      </c>
      <c r="F1134" s="251">
        <v>240000</v>
      </c>
      <c r="G1134" s="252" t="s">
        <v>2007</v>
      </c>
      <c r="H1134" s="244" t="s">
        <v>1363</v>
      </c>
      <c r="I1134" s="244"/>
      <c r="J1134" s="251"/>
      <c r="K1134" s="244"/>
      <c r="L1134" s="244"/>
      <c r="M1134" s="244"/>
    </row>
    <row r="1135" spans="1:13">
      <c r="A1135" s="240" t="s">
        <v>686</v>
      </c>
      <c r="B1135" s="240" t="s">
        <v>1864</v>
      </c>
      <c r="C1135" s="240" t="s">
        <v>1865</v>
      </c>
      <c r="D1135" s="240"/>
      <c r="E1135" s="240" t="s">
        <v>991</v>
      </c>
      <c r="F1135" s="249">
        <v>300000</v>
      </c>
      <c r="G1135" s="250" t="s">
        <v>2007</v>
      </c>
      <c r="H1135" s="240" t="s">
        <v>1363</v>
      </c>
      <c r="I1135" s="240"/>
      <c r="J1135" s="249"/>
      <c r="K1135" s="240"/>
      <c r="L1135" s="240"/>
      <c r="M1135" s="240"/>
    </row>
    <row r="1136" spans="1:13">
      <c r="A1136" s="244" t="s">
        <v>686</v>
      </c>
      <c r="B1136" s="244" t="s">
        <v>1864</v>
      </c>
      <c r="C1136" s="244" t="s">
        <v>1865</v>
      </c>
      <c r="D1136" s="244"/>
      <c r="E1136" s="244" t="s">
        <v>991</v>
      </c>
      <c r="F1136" s="251">
        <v>100000</v>
      </c>
      <c r="G1136" s="252" t="s">
        <v>2007</v>
      </c>
      <c r="H1136" s="244" t="s">
        <v>1363</v>
      </c>
      <c r="I1136" s="244"/>
      <c r="J1136" s="251"/>
      <c r="K1136" s="244"/>
      <c r="L1136" s="244"/>
      <c r="M1136" s="244"/>
    </row>
    <row r="1137" spans="1:13">
      <c r="A1137" s="240" t="s">
        <v>686</v>
      </c>
      <c r="B1137" s="240" t="s">
        <v>1864</v>
      </c>
      <c r="C1137" s="240" t="s">
        <v>1865</v>
      </c>
      <c r="D1137" s="240"/>
      <c r="E1137" s="240" t="s">
        <v>991</v>
      </c>
      <c r="F1137" s="249">
        <v>100000</v>
      </c>
      <c r="G1137" s="250" t="s">
        <v>2007</v>
      </c>
      <c r="H1137" s="240" t="s">
        <v>1363</v>
      </c>
      <c r="I1137" s="240"/>
      <c r="J1137" s="249"/>
      <c r="K1137" s="240"/>
      <c r="L1137" s="240"/>
      <c r="M1137" s="240"/>
    </row>
    <row r="1138" spans="1:13">
      <c r="A1138" s="244" t="s">
        <v>686</v>
      </c>
      <c r="B1138" s="244" t="s">
        <v>1864</v>
      </c>
      <c r="C1138" s="244" t="s">
        <v>1865</v>
      </c>
      <c r="D1138" s="244"/>
      <c r="E1138" s="244" t="s">
        <v>991</v>
      </c>
      <c r="F1138" s="251">
        <v>56500</v>
      </c>
      <c r="G1138" s="252" t="s">
        <v>2008</v>
      </c>
      <c r="H1138" s="244" t="s">
        <v>1363</v>
      </c>
      <c r="I1138" s="244"/>
      <c r="J1138" s="251"/>
      <c r="K1138" s="244"/>
      <c r="L1138" s="244"/>
      <c r="M1138" s="244"/>
    </row>
    <row r="1139" spans="1:13">
      <c r="A1139" s="240" t="s">
        <v>686</v>
      </c>
      <c r="B1139" s="240" t="s">
        <v>1864</v>
      </c>
      <c r="C1139" s="240" t="s">
        <v>1865</v>
      </c>
      <c r="D1139" s="240"/>
      <c r="E1139" s="240" t="s">
        <v>991</v>
      </c>
      <c r="F1139" s="249">
        <v>1450000</v>
      </c>
      <c r="G1139" s="250" t="s">
        <v>2008</v>
      </c>
      <c r="H1139" s="240" t="s">
        <v>1363</v>
      </c>
      <c r="I1139" s="240"/>
      <c r="J1139" s="249"/>
      <c r="K1139" s="240"/>
      <c r="L1139" s="240"/>
      <c r="M1139" s="240"/>
    </row>
    <row r="1140" spans="1:13">
      <c r="A1140" s="244" t="s">
        <v>686</v>
      </c>
      <c r="B1140" s="244" t="s">
        <v>1864</v>
      </c>
      <c r="C1140" s="244" t="s">
        <v>1865</v>
      </c>
      <c r="D1140" s="244"/>
      <c r="E1140" s="244" t="s">
        <v>991</v>
      </c>
      <c r="F1140" s="251">
        <v>375000</v>
      </c>
      <c r="G1140" s="252" t="s">
        <v>2008</v>
      </c>
      <c r="H1140" s="244" t="s">
        <v>1363</v>
      </c>
      <c r="I1140" s="244"/>
      <c r="J1140" s="251"/>
      <c r="K1140" s="244"/>
      <c r="L1140" s="244"/>
      <c r="M1140" s="244"/>
    </row>
    <row r="1141" spans="1:13">
      <c r="A1141" s="240" t="s">
        <v>686</v>
      </c>
      <c r="B1141" s="240" t="s">
        <v>1864</v>
      </c>
      <c r="C1141" s="240" t="s">
        <v>1865</v>
      </c>
      <c r="D1141" s="240"/>
      <c r="E1141" s="240" t="s">
        <v>991</v>
      </c>
      <c r="F1141" s="249">
        <v>504500</v>
      </c>
      <c r="G1141" s="250" t="s">
        <v>2009</v>
      </c>
      <c r="H1141" s="240" t="s">
        <v>1363</v>
      </c>
      <c r="I1141" s="240"/>
      <c r="J1141" s="249"/>
      <c r="K1141" s="240"/>
      <c r="L1141" s="240"/>
      <c r="M1141" s="240"/>
    </row>
    <row r="1142" spans="1:13">
      <c r="A1142" s="244" t="s">
        <v>686</v>
      </c>
      <c r="B1142" s="244" t="s">
        <v>1864</v>
      </c>
      <c r="C1142" s="244" t="s">
        <v>1865</v>
      </c>
      <c r="D1142" s="244"/>
      <c r="E1142" s="244" t="s">
        <v>991</v>
      </c>
      <c r="F1142" s="251">
        <v>504500</v>
      </c>
      <c r="G1142" s="252" t="s">
        <v>2009</v>
      </c>
      <c r="H1142" s="244" t="s">
        <v>1363</v>
      </c>
      <c r="I1142" s="244"/>
      <c r="J1142" s="251"/>
      <c r="K1142" s="244"/>
      <c r="L1142" s="244"/>
      <c r="M1142" s="244"/>
    </row>
    <row r="1143" spans="1:13">
      <c r="A1143" s="240" t="s">
        <v>686</v>
      </c>
      <c r="B1143" s="240" t="s">
        <v>1864</v>
      </c>
      <c r="C1143" s="240" t="s">
        <v>1865</v>
      </c>
      <c r="D1143" s="240"/>
      <c r="E1143" s="240" t="s">
        <v>991</v>
      </c>
      <c r="F1143" s="249">
        <v>350000</v>
      </c>
      <c r="G1143" s="250" t="s">
        <v>1887</v>
      </c>
      <c r="H1143" s="240" t="s">
        <v>910</v>
      </c>
      <c r="I1143" s="240"/>
      <c r="J1143" s="249"/>
      <c r="K1143" s="240"/>
      <c r="L1143" s="240"/>
      <c r="M1143" s="240"/>
    </row>
    <row r="1144" spans="1:13">
      <c r="A1144" s="244" t="s">
        <v>686</v>
      </c>
      <c r="B1144" s="244" t="s">
        <v>1864</v>
      </c>
      <c r="C1144" s="244" t="s">
        <v>1955</v>
      </c>
      <c r="D1144" s="244"/>
      <c r="E1144" s="244" t="s">
        <v>991</v>
      </c>
      <c r="F1144" s="251">
        <v>85000</v>
      </c>
      <c r="G1144" s="252" t="s">
        <v>1887</v>
      </c>
      <c r="H1144" s="244" t="s">
        <v>1363</v>
      </c>
      <c r="I1144" s="244"/>
      <c r="J1144" s="251"/>
      <c r="K1144" s="244"/>
      <c r="L1144" s="244"/>
      <c r="M1144" s="244"/>
    </row>
    <row r="1145" spans="1:13">
      <c r="A1145" s="240" t="s">
        <v>686</v>
      </c>
      <c r="B1145" s="240" t="s">
        <v>1864</v>
      </c>
      <c r="C1145" s="240" t="s">
        <v>1865</v>
      </c>
      <c r="D1145" s="240"/>
      <c r="E1145" s="240" t="s">
        <v>991</v>
      </c>
      <c r="F1145" s="249">
        <v>375000</v>
      </c>
      <c r="G1145" s="250" t="s">
        <v>1887</v>
      </c>
      <c r="H1145" s="240" t="s">
        <v>1363</v>
      </c>
      <c r="I1145" s="240"/>
      <c r="J1145" s="249"/>
      <c r="K1145" s="240"/>
      <c r="L1145" s="240"/>
      <c r="M1145" s="240"/>
    </row>
    <row r="1146" spans="1:13">
      <c r="A1146" s="244" t="s">
        <v>686</v>
      </c>
      <c r="B1146" s="244" t="s">
        <v>1864</v>
      </c>
      <c r="C1146" s="244" t="s">
        <v>1865</v>
      </c>
      <c r="D1146" s="244"/>
      <c r="E1146" s="244" t="s">
        <v>991</v>
      </c>
      <c r="F1146" s="251">
        <v>267400</v>
      </c>
      <c r="G1146" s="252" t="s">
        <v>1887</v>
      </c>
      <c r="H1146" s="244" t="s">
        <v>1363</v>
      </c>
      <c r="I1146" s="244"/>
      <c r="J1146" s="251"/>
      <c r="K1146" s="244"/>
      <c r="L1146" s="244"/>
      <c r="M1146" s="244"/>
    </row>
    <row r="1147" spans="1:13">
      <c r="A1147" s="240" t="s">
        <v>686</v>
      </c>
      <c r="B1147" s="240" t="s">
        <v>1864</v>
      </c>
      <c r="C1147" s="240" t="s">
        <v>1865</v>
      </c>
      <c r="D1147" s="240"/>
      <c r="E1147" s="240" t="s">
        <v>991</v>
      </c>
      <c r="F1147" s="249">
        <v>80000</v>
      </c>
      <c r="G1147" s="250" t="s">
        <v>1887</v>
      </c>
      <c r="H1147" s="240" t="s">
        <v>910</v>
      </c>
      <c r="I1147" s="240"/>
      <c r="J1147" s="249"/>
      <c r="K1147" s="240"/>
      <c r="L1147" s="240"/>
      <c r="M1147" s="240"/>
    </row>
    <row r="1148" spans="1:13">
      <c r="A1148" s="244" t="s">
        <v>686</v>
      </c>
      <c r="B1148" s="244" t="s">
        <v>1864</v>
      </c>
      <c r="C1148" s="244" t="s">
        <v>1865</v>
      </c>
      <c r="D1148" s="244"/>
      <c r="E1148" s="244" t="s">
        <v>991</v>
      </c>
      <c r="F1148" s="251">
        <v>700000</v>
      </c>
      <c r="G1148" s="252" t="s">
        <v>1887</v>
      </c>
      <c r="H1148" s="244" t="s">
        <v>1363</v>
      </c>
      <c r="I1148" s="244"/>
      <c r="J1148" s="251"/>
      <c r="K1148" s="244"/>
      <c r="L1148" s="244"/>
      <c r="M1148" s="244"/>
    </row>
    <row r="1149" spans="1:13">
      <c r="A1149" s="240" t="s">
        <v>686</v>
      </c>
      <c r="B1149" s="240" t="s">
        <v>1864</v>
      </c>
      <c r="C1149" s="240" t="s">
        <v>1865</v>
      </c>
      <c r="D1149" s="240"/>
      <c r="E1149" s="240" t="s">
        <v>991</v>
      </c>
      <c r="F1149" s="249">
        <v>250500</v>
      </c>
      <c r="G1149" s="250" t="s">
        <v>1887</v>
      </c>
      <c r="H1149" s="240" t="s">
        <v>1363</v>
      </c>
      <c r="I1149" s="240"/>
      <c r="J1149" s="249"/>
      <c r="K1149" s="240"/>
      <c r="L1149" s="240"/>
      <c r="M1149" s="240"/>
    </row>
    <row r="1150" spans="1:13">
      <c r="A1150" s="244" t="s">
        <v>686</v>
      </c>
      <c r="B1150" s="244" t="s">
        <v>1864</v>
      </c>
      <c r="C1150" s="244" t="s">
        <v>1865</v>
      </c>
      <c r="D1150" s="244"/>
      <c r="E1150" s="244" t="s">
        <v>991</v>
      </c>
      <c r="F1150" s="251">
        <v>44200</v>
      </c>
      <c r="G1150" s="252" t="s">
        <v>1887</v>
      </c>
      <c r="H1150" s="244" t="s">
        <v>1363</v>
      </c>
      <c r="I1150" s="244"/>
      <c r="J1150" s="251"/>
      <c r="K1150" s="244"/>
      <c r="L1150" s="244"/>
      <c r="M1150" s="244"/>
    </row>
    <row r="1151" spans="1:13">
      <c r="A1151" s="240" t="s">
        <v>686</v>
      </c>
      <c r="B1151" s="240" t="s">
        <v>1864</v>
      </c>
      <c r="C1151" s="240" t="s">
        <v>1865</v>
      </c>
      <c r="D1151" s="240"/>
      <c r="E1151" s="240" t="s">
        <v>991</v>
      </c>
      <c r="F1151" s="249">
        <v>60000</v>
      </c>
      <c r="G1151" s="250" t="s">
        <v>1888</v>
      </c>
      <c r="H1151" s="240" t="s">
        <v>1363</v>
      </c>
      <c r="I1151" s="240"/>
      <c r="J1151" s="249"/>
      <c r="K1151" s="240"/>
      <c r="L1151" s="240"/>
      <c r="M1151" s="240"/>
    </row>
    <row r="1152" spans="1:13">
      <c r="A1152" s="244" t="s">
        <v>686</v>
      </c>
      <c r="B1152" s="244" t="s">
        <v>1864</v>
      </c>
      <c r="C1152" s="244" t="s">
        <v>1865</v>
      </c>
      <c r="D1152" s="244"/>
      <c r="E1152" s="244" t="s">
        <v>991</v>
      </c>
      <c r="F1152" s="251">
        <v>5000000</v>
      </c>
      <c r="G1152" s="252" t="s">
        <v>1888</v>
      </c>
      <c r="H1152" s="244" t="s">
        <v>1363</v>
      </c>
      <c r="I1152" s="244"/>
      <c r="J1152" s="251"/>
      <c r="K1152" s="244"/>
      <c r="L1152" s="244"/>
      <c r="M1152" s="244"/>
    </row>
    <row r="1153" spans="1:13">
      <c r="A1153" s="240" t="s">
        <v>686</v>
      </c>
      <c r="B1153" s="240" t="s">
        <v>1864</v>
      </c>
      <c r="C1153" s="240" t="s">
        <v>1865</v>
      </c>
      <c r="D1153" s="240"/>
      <c r="E1153" s="240" t="s">
        <v>991</v>
      </c>
      <c r="F1153" s="249">
        <v>1000000</v>
      </c>
      <c r="G1153" s="250" t="s">
        <v>1888</v>
      </c>
      <c r="H1153" s="240" t="s">
        <v>1363</v>
      </c>
      <c r="I1153" s="240"/>
      <c r="J1153" s="249"/>
      <c r="K1153" s="240"/>
      <c r="L1153" s="240"/>
      <c r="M1153" s="240"/>
    </row>
    <row r="1154" spans="1:13">
      <c r="A1154" s="244" t="s">
        <v>686</v>
      </c>
      <c r="B1154" s="244" t="s">
        <v>1864</v>
      </c>
      <c r="C1154" s="244" t="s">
        <v>1865</v>
      </c>
      <c r="D1154" s="244"/>
      <c r="E1154" s="244" t="s">
        <v>991</v>
      </c>
      <c r="F1154" s="251">
        <v>1800000</v>
      </c>
      <c r="G1154" s="252" t="s">
        <v>1888</v>
      </c>
      <c r="H1154" s="244" t="s">
        <v>1363</v>
      </c>
      <c r="I1154" s="244"/>
      <c r="J1154" s="251"/>
      <c r="K1154" s="244"/>
      <c r="L1154" s="244"/>
      <c r="M1154" s="244"/>
    </row>
    <row r="1155" spans="1:13">
      <c r="A1155" s="240" t="s">
        <v>686</v>
      </c>
      <c r="B1155" s="240" t="s">
        <v>1864</v>
      </c>
      <c r="C1155" s="240" t="s">
        <v>1865</v>
      </c>
      <c r="D1155" s="240"/>
      <c r="E1155" s="240" t="s">
        <v>991</v>
      </c>
      <c r="F1155" s="249">
        <v>1500000</v>
      </c>
      <c r="G1155" s="250" t="s">
        <v>1888</v>
      </c>
      <c r="H1155" s="240" t="s">
        <v>1363</v>
      </c>
      <c r="I1155" s="240"/>
      <c r="J1155" s="249"/>
      <c r="K1155" s="240"/>
      <c r="L1155" s="240"/>
      <c r="M1155" s="240"/>
    </row>
    <row r="1156" spans="1:13">
      <c r="A1156" s="244" t="s">
        <v>686</v>
      </c>
      <c r="B1156" s="244" t="s">
        <v>1864</v>
      </c>
      <c r="C1156" s="244" t="s">
        <v>1865</v>
      </c>
      <c r="D1156" s="244"/>
      <c r="E1156" s="244" t="s">
        <v>991</v>
      </c>
      <c r="F1156" s="251">
        <v>76370986</v>
      </c>
      <c r="G1156" s="252" t="s">
        <v>1888</v>
      </c>
      <c r="H1156" s="244" t="s">
        <v>910</v>
      </c>
      <c r="I1156" s="244"/>
      <c r="J1156" s="251"/>
      <c r="K1156" s="244"/>
      <c r="L1156" s="244"/>
      <c r="M1156" s="244"/>
    </row>
    <row r="1157" spans="1:13">
      <c r="A1157" s="240" t="s">
        <v>1150</v>
      </c>
      <c r="B1157" s="240" t="s">
        <v>216</v>
      </c>
      <c r="C1157" s="240" t="s">
        <v>2010</v>
      </c>
      <c r="D1157" s="240"/>
      <c r="E1157" s="240" t="s">
        <v>1155</v>
      </c>
      <c r="F1157" s="249">
        <v>750000</v>
      </c>
      <c r="G1157" s="250">
        <v>44947</v>
      </c>
      <c r="H1157" s="240" t="s">
        <v>1153</v>
      </c>
      <c r="I1157" s="240"/>
      <c r="J1157" s="249"/>
      <c r="K1157" s="240"/>
      <c r="L1157" s="240"/>
      <c r="M1157" s="240"/>
    </row>
    <row r="1158" spans="1:13">
      <c r="A1158" s="244" t="s">
        <v>1150</v>
      </c>
      <c r="B1158" s="244" t="s">
        <v>216</v>
      </c>
      <c r="C1158" s="244" t="s">
        <v>2011</v>
      </c>
      <c r="D1158" s="244"/>
      <c r="E1158" s="244" t="s">
        <v>1155</v>
      </c>
      <c r="F1158" s="251">
        <v>12289680</v>
      </c>
      <c r="G1158" s="252">
        <v>45015</v>
      </c>
      <c r="H1158" s="244" t="s">
        <v>1153</v>
      </c>
      <c r="I1158" s="244"/>
      <c r="J1158" s="251"/>
      <c r="K1158" s="244"/>
      <c r="L1158" s="244"/>
      <c r="M1158" s="244"/>
    </row>
    <row r="1159" spans="1:13">
      <c r="A1159" s="240" t="s">
        <v>1150</v>
      </c>
      <c r="B1159" s="240" t="s">
        <v>216</v>
      </c>
      <c r="C1159" s="240" t="s">
        <v>2012</v>
      </c>
      <c r="D1159" s="240"/>
      <c r="E1159" s="240" t="s">
        <v>1155</v>
      </c>
      <c r="F1159" s="249">
        <v>7770000</v>
      </c>
      <c r="G1159" s="250">
        <v>45048</v>
      </c>
      <c r="H1159" s="240" t="s">
        <v>1153</v>
      </c>
      <c r="I1159" s="240"/>
      <c r="J1159" s="249"/>
      <c r="K1159" s="240"/>
      <c r="L1159" s="240"/>
      <c r="M1159" s="240"/>
    </row>
    <row r="1160" spans="1:13">
      <c r="A1160" s="244" t="s">
        <v>1150</v>
      </c>
      <c r="B1160" s="244" t="s">
        <v>216</v>
      </c>
      <c r="C1160" s="244" t="s">
        <v>2013</v>
      </c>
      <c r="D1160" s="244"/>
      <c r="E1160" s="244" t="s">
        <v>1155</v>
      </c>
      <c r="F1160" s="251">
        <v>2375000</v>
      </c>
      <c r="G1160" s="252">
        <v>45208</v>
      </c>
      <c r="H1160" s="244" t="s">
        <v>1153</v>
      </c>
      <c r="I1160" s="244"/>
      <c r="J1160" s="251"/>
      <c r="K1160" s="244"/>
      <c r="L1160" s="244"/>
      <c r="M1160" s="244"/>
    </row>
    <row r="1161" spans="1:13">
      <c r="A1161" s="240" t="s">
        <v>1150</v>
      </c>
      <c r="B1161" s="240" t="s">
        <v>216</v>
      </c>
      <c r="C1161" s="240" t="s">
        <v>2014</v>
      </c>
      <c r="D1161" s="240"/>
      <c r="E1161" s="240" t="s">
        <v>1155</v>
      </c>
      <c r="F1161" s="249">
        <v>9335295.9000000004</v>
      </c>
      <c r="G1161" s="250">
        <v>45017</v>
      </c>
      <c r="H1161" s="240" t="s">
        <v>1153</v>
      </c>
      <c r="I1161" s="240"/>
      <c r="J1161" s="249"/>
      <c r="K1161" s="240"/>
      <c r="L1161" s="240"/>
      <c r="M1161" s="240"/>
    </row>
    <row r="1162" spans="1:13">
      <c r="A1162" s="244" t="s">
        <v>1150</v>
      </c>
      <c r="B1162" s="244" t="s">
        <v>216</v>
      </c>
      <c r="C1162" s="244" t="s">
        <v>2015</v>
      </c>
      <c r="D1162" s="244"/>
      <c r="E1162" s="244" t="s">
        <v>1155</v>
      </c>
      <c r="F1162" s="251">
        <v>470000</v>
      </c>
      <c r="G1162" s="252">
        <v>45030</v>
      </c>
      <c r="H1162" s="244" t="s">
        <v>1153</v>
      </c>
      <c r="I1162" s="244"/>
      <c r="J1162" s="251"/>
      <c r="K1162" s="244"/>
      <c r="L1162" s="244"/>
      <c r="M1162" s="244"/>
    </row>
    <row r="1163" spans="1:13">
      <c r="A1163" s="240" t="s">
        <v>1150</v>
      </c>
      <c r="B1163" s="240" t="s">
        <v>216</v>
      </c>
      <c r="C1163" s="240" t="s">
        <v>2016</v>
      </c>
      <c r="D1163" s="240"/>
      <c r="E1163" s="240" t="s">
        <v>1155</v>
      </c>
      <c r="F1163" s="249">
        <v>540000</v>
      </c>
      <c r="G1163" s="250">
        <v>45017</v>
      </c>
      <c r="H1163" s="240" t="s">
        <v>1153</v>
      </c>
      <c r="I1163" s="240"/>
      <c r="J1163" s="249"/>
      <c r="K1163" s="240"/>
      <c r="L1163" s="240"/>
      <c r="M1163" s="240"/>
    </row>
    <row r="1164" spans="1:13">
      <c r="A1164" s="244" t="s">
        <v>627</v>
      </c>
      <c r="B1164" s="244">
        <v>4013041</v>
      </c>
      <c r="C1164" s="244" t="s">
        <v>2017</v>
      </c>
      <c r="D1164" s="244" t="s">
        <v>2018</v>
      </c>
      <c r="E1164" s="244" t="s">
        <v>991</v>
      </c>
      <c r="F1164" s="251">
        <v>3000000</v>
      </c>
      <c r="G1164" s="252">
        <v>45097</v>
      </c>
      <c r="H1164" s="244" t="s">
        <v>2019</v>
      </c>
      <c r="I1164" s="244"/>
      <c r="J1164" s="251"/>
      <c r="K1164" s="244"/>
      <c r="L1164" s="244"/>
      <c r="M1164" s="244"/>
    </row>
    <row r="1165" spans="1:13">
      <c r="A1165" s="240" t="s">
        <v>689</v>
      </c>
      <c r="B1165" s="240" t="s">
        <v>2020</v>
      </c>
      <c r="C1165" s="240" t="s">
        <v>2021</v>
      </c>
      <c r="D1165" s="240"/>
      <c r="E1165" s="240" t="s">
        <v>2022</v>
      </c>
      <c r="F1165" s="249">
        <v>37140000</v>
      </c>
      <c r="G1165" s="250" t="s">
        <v>2023</v>
      </c>
      <c r="H1165" s="240" t="s">
        <v>2024</v>
      </c>
      <c r="I1165" s="240"/>
      <c r="J1165" s="249"/>
      <c r="K1165" s="240"/>
      <c r="L1165" s="240"/>
      <c r="M1165" s="240" t="s">
        <v>2025</v>
      </c>
    </row>
    <row r="1166" spans="1:13">
      <c r="A1166" s="244" t="s">
        <v>689</v>
      </c>
      <c r="B1166" s="244" t="s">
        <v>2020</v>
      </c>
      <c r="C1166" s="244" t="s">
        <v>2026</v>
      </c>
      <c r="D1166" s="244"/>
      <c r="E1166" s="244" t="s">
        <v>2022</v>
      </c>
      <c r="F1166" s="251">
        <v>6050000</v>
      </c>
      <c r="G1166" s="252" t="s">
        <v>2023</v>
      </c>
      <c r="H1166" s="244" t="s">
        <v>1294</v>
      </c>
      <c r="I1166" s="244"/>
      <c r="J1166" s="251"/>
      <c r="K1166" s="244"/>
      <c r="L1166" s="244"/>
      <c r="M1166" s="244" t="s">
        <v>2026</v>
      </c>
    </row>
    <row r="1167" spans="1:13">
      <c r="A1167" s="240" t="s">
        <v>689</v>
      </c>
      <c r="B1167" s="240" t="s">
        <v>2020</v>
      </c>
      <c r="C1167" s="240" t="s">
        <v>2027</v>
      </c>
      <c r="D1167" s="240"/>
      <c r="E1167" s="240" t="s">
        <v>2022</v>
      </c>
      <c r="F1167" s="249">
        <v>124971165</v>
      </c>
      <c r="G1167" s="250" t="s">
        <v>2023</v>
      </c>
      <c r="H1167" s="240" t="s">
        <v>1294</v>
      </c>
      <c r="I1167" s="240"/>
      <c r="J1167" s="249"/>
      <c r="K1167" s="240"/>
      <c r="L1167" s="240"/>
      <c r="M1167" s="240" t="s">
        <v>2028</v>
      </c>
    </row>
    <row r="1168" spans="1:13">
      <c r="A1168" s="244" t="s">
        <v>685</v>
      </c>
      <c r="B1168" s="244">
        <v>28797</v>
      </c>
      <c r="C1168" s="244" t="s">
        <v>2029</v>
      </c>
      <c r="D1168" s="244" t="s">
        <v>2030</v>
      </c>
      <c r="E1168" s="244" t="s">
        <v>1346</v>
      </c>
      <c r="F1168" s="251">
        <v>20000000</v>
      </c>
      <c r="G1168" s="252">
        <v>44931</v>
      </c>
      <c r="H1168" s="244" t="s">
        <v>733</v>
      </c>
      <c r="I1168" s="244" t="s">
        <v>2031</v>
      </c>
      <c r="J1168" s="251" t="s">
        <v>2032</v>
      </c>
      <c r="K1168" s="244" t="s">
        <v>2033</v>
      </c>
      <c r="L1168" s="244"/>
      <c r="M1168" s="244"/>
    </row>
    <row r="1169" spans="1:13">
      <c r="A1169" s="240" t="s">
        <v>685</v>
      </c>
      <c r="B1169" s="240">
        <v>28797</v>
      </c>
      <c r="C1169" s="240" t="s">
        <v>2029</v>
      </c>
      <c r="D1169" s="240" t="s">
        <v>2030</v>
      </c>
      <c r="E1169" s="240" t="s">
        <v>1346</v>
      </c>
      <c r="F1169" s="249">
        <v>17584946</v>
      </c>
      <c r="G1169" s="250">
        <v>45033</v>
      </c>
      <c r="H1169" s="240" t="s">
        <v>733</v>
      </c>
      <c r="I1169" s="240" t="s">
        <v>2031</v>
      </c>
      <c r="J1169" s="249" t="s">
        <v>2032</v>
      </c>
      <c r="K1169" s="240" t="s">
        <v>2034</v>
      </c>
      <c r="L1169" s="240"/>
      <c r="M1169" s="240"/>
    </row>
    <row r="1170" spans="1:13">
      <c r="A1170" s="244" t="s">
        <v>685</v>
      </c>
      <c r="B1170" s="244">
        <v>28797</v>
      </c>
      <c r="C1170" s="244" t="s">
        <v>2029</v>
      </c>
      <c r="D1170" s="244" t="s">
        <v>2030</v>
      </c>
      <c r="E1170" s="244" t="s">
        <v>1346</v>
      </c>
      <c r="F1170" s="251">
        <v>15000000</v>
      </c>
      <c r="G1170" s="252">
        <v>45189</v>
      </c>
      <c r="H1170" s="244" t="s">
        <v>733</v>
      </c>
      <c r="I1170" s="244" t="s">
        <v>2031</v>
      </c>
      <c r="J1170" s="251" t="s">
        <v>2032</v>
      </c>
      <c r="K1170" s="244" t="s">
        <v>2035</v>
      </c>
      <c r="L1170" s="244"/>
      <c r="M1170" s="244"/>
    </row>
    <row r="1171" spans="1:13">
      <c r="A1171" s="240" t="s">
        <v>685</v>
      </c>
      <c r="B1171" s="240">
        <v>28797</v>
      </c>
      <c r="C1171" s="240" t="s">
        <v>2036</v>
      </c>
      <c r="D1171" s="240" t="s">
        <v>1194</v>
      </c>
      <c r="E1171" s="240" t="s">
        <v>2037</v>
      </c>
      <c r="F1171" s="249">
        <v>1077874</v>
      </c>
      <c r="G1171" s="250">
        <v>44971</v>
      </c>
      <c r="H1171" s="240" t="s">
        <v>1194</v>
      </c>
      <c r="I1171" s="240" t="s">
        <v>2038</v>
      </c>
      <c r="J1171" s="249" t="s">
        <v>2032</v>
      </c>
      <c r="K1171" s="250">
        <v>44927</v>
      </c>
      <c r="L1171" s="240"/>
      <c r="M1171" s="240"/>
    </row>
    <row r="1172" spans="1:13">
      <c r="A1172" s="244" t="s">
        <v>685</v>
      </c>
      <c r="B1172" s="244">
        <v>28797</v>
      </c>
      <c r="C1172" s="244" t="s">
        <v>2036</v>
      </c>
      <c r="D1172" s="244" t="s">
        <v>1194</v>
      </c>
      <c r="E1172" s="244" t="s">
        <v>2037</v>
      </c>
      <c r="F1172" s="251">
        <v>383248</v>
      </c>
      <c r="G1172" s="252">
        <v>45006</v>
      </c>
      <c r="H1172" s="244" t="s">
        <v>1194</v>
      </c>
      <c r="I1172" s="244" t="s">
        <v>2038</v>
      </c>
      <c r="J1172" s="251" t="s">
        <v>2032</v>
      </c>
      <c r="K1172" s="252">
        <v>44958</v>
      </c>
      <c r="L1172" s="244"/>
      <c r="M1172" s="244"/>
    </row>
    <row r="1173" spans="1:13">
      <c r="A1173" s="240" t="s">
        <v>685</v>
      </c>
      <c r="B1173" s="240">
        <v>28797</v>
      </c>
      <c r="C1173" s="240" t="s">
        <v>2036</v>
      </c>
      <c r="D1173" s="240" t="s">
        <v>1194</v>
      </c>
      <c r="E1173" s="240" t="s">
        <v>2037</v>
      </c>
      <c r="F1173" s="249">
        <v>473903</v>
      </c>
      <c r="G1173" s="250">
        <v>45050</v>
      </c>
      <c r="H1173" s="240" t="s">
        <v>1194</v>
      </c>
      <c r="I1173" s="240" t="s">
        <v>2038</v>
      </c>
      <c r="J1173" s="249" t="s">
        <v>2032</v>
      </c>
      <c r="K1173" s="250">
        <v>44986</v>
      </c>
      <c r="L1173" s="240"/>
      <c r="M1173" s="240"/>
    </row>
    <row r="1174" spans="1:13">
      <c r="A1174" s="244" t="s">
        <v>685</v>
      </c>
      <c r="B1174" s="244">
        <v>28797</v>
      </c>
      <c r="C1174" s="244" t="s">
        <v>2036</v>
      </c>
      <c r="D1174" s="244" t="s">
        <v>1194</v>
      </c>
      <c r="E1174" s="244" t="s">
        <v>2037</v>
      </c>
      <c r="F1174" s="251">
        <v>192074</v>
      </c>
      <c r="G1174" s="252">
        <v>45068</v>
      </c>
      <c r="H1174" s="244" t="s">
        <v>1194</v>
      </c>
      <c r="I1174" s="244" t="s">
        <v>2038</v>
      </c>
      <c r="J1174" s="251" t="s">
        <v>2032</v>
      </c>
      <c r="K1174" s="252">
        <v>45017</v>
      </c>
      <c r="L1174" s="244"/>
      <c r="M1174" s="244"/>
    </row>
    <row r="1175" spans="1:13">
      <c r="A1175" s="240" t="s">
        <v>685</v>
      </c>
      <c r="B1175" s="240">
        <v>28797</v>
      </c>
      <c r="C1175" s="240" t="s">
        <v>2036</v>
      </c>
      <c r="D1175" s="240" t="s">
        <v>1194</v>
      </c>
      <c r="E1175" s="240" t="s">
        <v>2037</v>
      </c>
      <c r="F1175" s="249">
        <v>512836</v>
      </c>
      <c r="G1175" s="250">
        <v>45097</v>
      </c>
      <c r="H1175" s="240" t="s">
        <v>1194</v>
      </c>
      <c r="I1175" s="240" t="s">
        <v>2038</v>
      </c>
      <c r="J1175" s="249" t="s">
        <v>2032</v>
      </c>
      <c r="K1175" s="250">
        <v>45047</v>
      </c>
      <c r="L1175" s="240"/>
      <c r="M1175" s="240"/>
    </row>
    <row r="1176" spans="1:13">
      <c r="A1176" s="244" t="s">
        <v>685</v>
      </c>
      <c r="B1176" s="244">
        <v>28797</v>
      </c>
      <c r="C1176" s="244" t="s">
        <v>2036</v>
      </c>
      <c r="D1176" s="244" t="s">
        <v>1194</v>
      </c>
      <c r="E1176" s="244" t="s">
        <v>2037</v>
      </c>
      <c r="F1176" s="251">
        <v>880091</v>
      </c>
      <c r="G1176" s="252">
        <v>45127</v>
      </c>
      <c r="H1176" s="244" t="s">
        <v>1194</v>
      </c>
      <c r="I1176" s="244" t="s">
        <v>2038</v>
      </c>
      <c r="J1176" s="251" t="s">
        <v>2032</v>
      </c>
      <c r="K1176" s="252">
        <v>45078</v>
      </c>
      <c r="L1176" s="244"/>
      <c r="M1176" s="244"/>
    </row>
    <row r="1177" spans="1:13">
      <c r="A1177" s="240" t="s">
        <v>685</v>
      </c>
      <c r="B1177" s="240">
        <v>28797</v>
      </c>
      <c r="C1177" s="240" t="s">
        <v>2036</v>
      </c>
      <c r="D1177" s="240" t="s">
        <v>1194</v>
      </c>
      <c r="E1177" s="240" t="s">
        <v>2037</v>
      </c>
      <c r="F1177" s="249">
        <v>746299</v>
      </c>
      <c r="G1177" s="250">
        <v>45161</v>
      </c>
      <c r="H1177" s="240" t="s">
        <v>1194</v>
      </c>
      <c r="I1177" s="240" t="s">
        <v>2038</v>
      </c>
      <c r="J1177" s="249" t="s">
        <v>2032</v>
      </c>
      <c r="K1177" s="250">
        <v>45108</v>
      </c>
      <c r="L1177" s="240"/>
      <c r="M1177" s="240"/>
    </row>
    <row r="1178" spans="1:13">
      <c r="A1178" s="244" t="s">
        <v>685</v>
      </c>
      <c r="B1178" s="244">
        <v>28797</v>
      </c>
      <c r="C1178" s="244" t="s">
        <v>2036</v>
      </c>
      <c r="D1178" s="244" t="s">
        <v>1194</v>
      </c>
      <c r="E1178" s="244" t="s">
        <v>2037</v>
      </c>
      <c r="F1178" s="251">
        <v>745243</v>
      </c>
      <c r="G1178" s="252">
        <v>45182</v>
      </c>
      <c r="H1178" s="244" t="s">
        <v>1194</v>
      </c>
      <c r="I1178" s="244" t="s">
        <v>2038</v>
      </c>
      <c r="J1178" s="251" t="s">
        <v>2032</v>
      </c>
      <c r="K1178" s="252">
        <v>45139</v>
      </c>
      <c r="L1178" s="244"/>
      <c r="M1178" s="244"/>
    </row>
    <row r="1179" spans="1:13">
      <c r="A1179" s="240" t="s">
        <v>685</v>
      </c>
      <c r="B1179" s="240">
        <v>28797</v>
      </c>
      <c r="C1179" s="240" t="s">
        <v>2036</v>
      </c>
      <c r="D1179" s="240" t="s">
        <v>1194</v>
      </c>
      <c r="E1179" s="240" t="s">
        <v>2037</v>
      </c>
      <c r="F1179" s="249">
        <v>579919</v>
      </c>
      <c r="G1179" s="250">
        <v>45240</v>
      </c>
      <c r="H1179" s="240" t="s">
        <v>1194</v>
      </c>
      <c r="I1179" s="240" t="s">
        <v>2038</v>
      </c>
      <c r="J1179" s="249" t="s">
        <v>2032</v>
      </c>
      <c r="K1179" s="250">
        <v>45170</v>
      </c>
      <c r="L1179" s="240"/>
      <c r="M1179" s="240"/>
    </row>
    <row r="1180" spans="1:13">
      <c r="A1180" s="244" t="s">
        <v>685</v>
      </c>
      <c r="B1180" s="244">
        <v>28797</v>
      </c>
      <c r="C1180" s="244" t="s">
        <v>2036</v>
      </c>
      <c r="D1180" s="244" t="s">
        <v>1194</v>
      </c>
      <c r="E1180" s="244" t="s">
        <v>2037</v>
      </c>
      <c r="F1180" s="251">
        <v>415515</v>
      </c>
      <c r="G1180" s="252">
        <v>45268</v>
      </c>
      <c r="H1180" s="244" t="s">
        <v>1194</v>
      </c>
      <c r="I1180" s="244" t="s">
        <v>2038</v>
      </c>
      <c r="J1180" s="251" t="s">
        <v>2032</v>
      </c>
      <c r="K1180" s="252">
        <v>45200</v>
      </c>
      <c r="L1180" s="244"/>
      <c r="M1180" s="244"/>
    </row>
    <row r="1181" spans="1:13">
      <c r="A1181" s="240" t="s">
        <v>685</v>
      </c>
      <c r="B1181" s="240">
        <v>28797</v>
      </c>
      <c r="C1181" s="240" t="s">
        <v>2036</v>
      </c>
      <c r="D1181" s="240" t="s">
        <v>1194</v>
      </c>
      <c r="E1181" s="240" t="s">
        <v>2037</v>
      </c>
      <c r="F1181" s="249">
        <v>708378</v>
      </c>
      <c r="G1181" s="250">
        <v>45291</v>
      </c>
      <c r="H1181" s="240" t="s">
        <v>1194</v>
      </c>
      <c r="I1181" s="240" t="s">
        <v>2038</v>
      </c>
      <c r="J1181" s="249" t="s">
        <v>2032</v>
      </c>
      <c r="K1181" s="250">
        <v>45231</v>
      </c>
      <c r="L1181" s="240"/>
      <c r="M1181" s="240"/>
    </row>
    <row r="1182" spans="1:13">
      <c r="A1182" s="244" t="s">
        <v>685</v>
      </c>
      <c r="B1182" s="244">
        <v>28797</v>
      </c>
      <c r="C1182" s="244" t="s">
        <v>2039</v>
      </c>
      <c r="D1182" s="244" t="s">
        <v>1194</v>
      </c>
      <c r="E1182" s="244" t="s">
        <v>2037</v>
      </c>
      <c r="F1182" s="251">
        <v>929574</v>
      </c>
      <c r="G1182" s="252">
        <v>44971</v>
      </c>
      <c r="H1182" s="244" t="s">
        <v>1194</v>
      </c>
      <c r="I1182" s="244" t="s">
        <v>2038</v>
      </c>
      <c r="J1182" s="251" t="s">
        <v>2032</v>
      </c>
      <c r="K1182" s="252">
        <v>44927</v>
      </c>
      <c r="L1182" s="244"/>
      <c r="M1182" s="244"/>
    </row>
    <row r="1183" spans="1:13">
      <c r="A1183" s="240" t="s">
        <v>685</v>
      </c>
      <c r="B1183" s="240">
        <v>28797</v>
      </c>
      <c r="C1183" s="240" t="s">
        <v>2039</v>
      </c>
      <c r="D1183" s="240" t="s">
        <v>1194</v>
      </c>
      <c r="E1183" s="240" t="s">
        <v>2037</v>
      </c>
      <c r="F1183" s="249">
        <v>890862</v>
      </c>
      <c r="G1183" s="250">
        <v>45006</v>
      </c>
      <c r="H1183" s="240" t="s">
        <v>1194</v>
      </c>
      <c r="I1183" s="240" t="s">
        <v>2038</v>
      </c>
      <c r="J1183" s="249" t="s">
        <v>2032</v>
      </c>
      <c r="K1183" s="250">
        <v>44958</v>
      </c>
      <c r="L1183" s="240"/>
      <c r="M1183" s="240"/>
    </row>
    <row r="1184" spans="1:13">
      <c r="A1184" s="244" t="s">
        <v>685</v>
      </c>
      <c r="B1184" s="244">
        <v>28797</v>
      </c>
      <c r="C1184" s="244" t="s">
        <v>2039</v>
      </c>
      <c r="D1184" s="244" t="s">
        <v>1194</v>
      </c>
      <c r="E1184" s="244" t="s">
        <v>2037</v>
      </c>
      <c r="F1184" s="251">
        <v>915000</v>
      </c>
      <c r="G1184" s="252">
        <v>45050</v>
      </c>
      <c r="H1184" s="244" t="s">
        <v>1194</v>
      </c>
      <c r="I1184" s="244" t="s">
        <v>2038</v>
      </c>
      <c r="J1184" s="251" t="s">
        <v>2032</v>
      </c>
      <c r="K1184" s="252">
        <v>44986</v>
      </c>
      <c r="L1184" s="244"/>
      <c r="M1184" s="244"/>
    </row>
    <row r="1185" spans="1:13">
      <c r="A1185" s="240" t="s">
        <v>685</v>
      </c>
      <c r="B1185" s="240">
        <v>28797</v>
      </c>
      <c r="C1185" s="240" t="s">
        <v>2039</v>
      </c>
      <c r="D1185" s="240" t="s">
        <v>1194</v>
      </c>
      <c r="E1185" s="240" t="s">
        <v>2037</v>
      </c>
      <c r="F1185" s="249">
        <v>904736</v>
      </c>
      <c r="G1185" s="250">
        <v>45068</v>
      </c>
      <c r="H1185" s="240" t="s">
        <v>1194</v>
      </c>
      <c r="I1185" s="240" t="s">
        <v>2038</v>
      </c>
      <c r="J1185" s="249" t="s">
        <v>2032</v>
      </c>
      <c r="K1185" s="250">
        <v>45017</v>
      </c>
      <c r="L1185" s="240"/>
      <c r="M1185" s="240"/>
    </row>
    <row r="1186" spans="1:13">
      <c r="A1186" s="244" t="s">
        <v>685</v>
      </c>
      <c r="B1186" s="244">
        <v>28797</v>
      </c>
      <c r="C1186" s="244" t="s">
        <v>2039</v>
      </c>
      <c r="D1186" s="244" t="s">
        <v>1194</v>
      </c>
      <c r="E1186" s="244" t="s">
        <v>2037</v>
      </c>
      <c r="F1186" s="251">
        <v>912800</v>
      </c>
      <c r="G1186" s="252">
        <v>45097</v>
      </c>
      <c r="H1186" s="244" t="s">
        <v>1194</v>
      </c>
      <c r="I1186" s="244" t="s">
        <v>2038</v>
      </c>
      <c r="J1186" s="251" t="s">
        <v>2032</v>
      </c>
      <c r="K1186" s="252">
        <v>45047</v>
      </c>
      <c r="L1186" s="244"/>
      <c r="M1186" s="244"/>
    </row>
    <row r="1187" spans="1:13">
      <c r="A1187" s="240" t="s">
        <v>685</v>
      </c>
      <c r="B1187" s="240">
        <v>28797</v>
      </c>
      <c r="C1187" s="240" t="s">
        <v>2039</v>
      </c>
      <c r="D1187" s="240" t="s">
        <v>1194</v>
      </c>
      <c r="E1187" s="240" t="s">
        <v>2037</v>
      </c>
      <c r="F1187" s="249">
        <v>887388</v>
      </c>
      <c r="G1187" s="250">
        <v>45127</v>
      </c>
      <c r="H1187" s="240" t="s">
        <v>1194</v>
      </c>
      <c r="I1187" s="240" t="s">
        <v>2038</v>
      </c>
      <c r="J1187" s="249" t="s">
        <v>2032</v>
      </c>
      <c r="K1187" s="250">
        <v>45078</v>
      </c>
      <c r="L1187" s="240"/>
      <c r="M1187" s="240"/>
    </row>
    <row r="1188" spans="1:13">
      <c r="A1188" s="244" t="s">
        <v>685</v>
      </c>
      <c r="B1188" s="244">
        <v>28797</v>
      </c>
      <c r="C1188" s="244" t="s">
        <v>2039</v>
      </c>
      <c r="D1188" s="244" t="s">
        <v>1194</v>
      </c>
      <c r="E1188" s="244" t="s">
        <v>2037</v>
      </c>
      <c r="F1188" s="251">
        <v>1023084</v>
      </c>
      <c r="G1188" s="252">
        <v>45147</v>
      </c>
      <c r="H1188" s="244" t="s">
        <v>1194</v>
      </c>
      <c r="I1188" s="244" t="s">
        <v>2038</v>
      </c>
      <c r="J1188" s="251" t="s">
        <v>2032</v>
      </c>
      <c r="K1188" s="252">
        <v>45108</v>
      </c>
      <c r="L1188" s="244"/>
      <c r="M1188" s="244"/>
    </row>
    <row r="1189" spans="1:13">
      <c r="A1189" s="240" t="s">
        <v>685</v>
      </c>
      <c r="B1189" s="240">
        <v>28797</v>
      </c>
      <c r="C1189" s="240" t="s">
        <v>2039</v>
      </c>
      <c r="D1189" s="240" t="s">
        <v>1194</v>
      </c>
      <c r="E1189" s="240" t="s">
        <v>2037</v>
      </c>
      <c r="F1189" s="249">
        <v>1032616</v>
      </c>
      <c r="G1189" s="250">
        <v>45182</v>
      </c>
      <c r="H1189" s="240" t="s">
        <v>1194</v>
      </c>
      <c r="I1189" s="240" t="s">
        <v>2038</v>
      </c>
      <c r="J1189" s="249" t="s">
        <v>2032</v>
      </c>
      <c r="K1189" s="250">
        <v>45139</v>
      </c>
      <c r="L1189" s="240"/>
      <c r="M1189" s="240"/>
    </row>
    <row r="1190" spans="1:13">
      <c r="A1190" s="244" t="s">
        <v>685</v>
      </c>
      <c r="B1190" s="244">
        <v>28797</v>
      </c>
      <c r="C1190" s="244" t="s">
        <v>2039</v>
      </c>
      <c r="D1190" s="244" t="s">
        <v>1194</v>
      </c>
      <c r="E1190" s="244" t="s">
        <v>2037</v>
      </c>
      <c r="F1190" s="251">
        <v>1038188</v>
      </c>
      <c r="G1190" s="252">
        <v>45240</v>
      </c>
      <c r="H1190" s="244" t="s">
        <v>1194</v>
      </c>
      <c r="I1190" s="244" t="s">
        <v>2038</v>
      </c>
      <c r="J1190" s="251" t="s">
        <v>2032</v>
      </c>
      <c r="K1190" s="252">
        <v>45170</v>
      </c>
      <c r="L1190" s="244"/>
      <c r="M1190" s="244"/>
    </row>
    <row r="1191" spans="1:13">
      <c r="A1191" s="240" t="s">
        <v>685</v>
      </c>
      <c r="B1191" s="240">
        <v>28797</v>
      </c>
      <c r="C1191" s="240" t="s">
        <v>2039</v>
      </c>
      <c r="D1191" s="240" t="s">
        <v>1194</v>
      </c>
      <c r="E1191" s="240" t="s">
        <v>2037</v>
      </c>
      <c r="F1191" s="249">
        <v>1029818</v>
      </c>
      <c r="G1191" s="250">
        <v>45268</v>
      </c>
      <c r="H1191" s="240" t="s">
        <v>1194</v>
      </c>
      <c r="I1191" s="240" t="s">
        <v>2038</v>
      </c>
      <c r="J1191" s="249" t="s">
        <v>2032</v>
      </c>
      <c r="K1191" s="250">
        <v>45200</v>
      </c>
      <c r="L1191" s="240"/>
      <c r="M1191" s="240"/>
    </row>
    <row r="1192" spans="1:13">
      <c r="A1192" s="244" t="s">
        <v>685</v>
      </c>
      <c r="B1192" s="244">
        <v>28797</v>
      </c>
      <c r="C1192" s="244" t="s">
        <v>2039</v>
      </c>
      <c r="D1192" s="244" t="s">
        <v>1194</v>
      </c>
      <c r="E1192" s="244" t="s">
        <v>2037</v>
      </c>
      <c r="F1192" s="251">
        <v>1055362</v>
      </c>
      <c r="G1192" s="252">
        <v>45291</v>
      </c>
      <c r="H1192" s="244" t="s">
        <v>1194</v>
      </c>
      <c r="I1192" s="244" t="s">
        <v>2038</v>
      </c>
      <c r="J1192" s="251" t="s">
        <v>2032</v>
      </c>
      <c r="K1192" s="252">
        <v>45231</v>
      </c>
      <c r="L1192" s="244"/>
      <c r="M1192" s="244"/>
    </row>
    <row r="1193" spans="1:13">
      <c r="A1193" s="240" t="s">
        <v>685</v>
      </c>
      <c r="B1193" s="240">
        <v>28797</v>
      </c>
      <c r="C1193" s="240" t="s">
        <v>2040</v>
      </c>
      <c r="D1193" s="240" t="s">
        <v>1194</v>
      </c>
      <c r="E1193" s="240" t="s">
        <v>2037</v>
      </c>
      <c r="F1193" s="249">
        <v>1304850</v>
      </c>
      <c r="G1193" s="250">
        <v>44971</v>
      </c>
      <c r="H1193" s="240" t="s">
        <v>1194</v>
      </c>
      <c r="I1193" s="240" t="s">
        <v>2038</v>
      </c>
      <c r="J1193" s="249" t="s">
        <v>2032</v>
      </c>
      <c r="K1193" s="250">
        <v>44927</v>
      </c>
      <c r="L1193" s="240"/>
      <c r="M1193" s="240"/>
    </row>
    <row r="1194" spans="1:13">
      <c r="A1194" s="244" t="s">
        <v>685</v>
      </c>
      <c r="B1194" s="244">
        <v>28797</v>
      </c>
      <c r="C1194" s="244" t="s">
        <v>2040</v>
      </c>
      <c r="D1194" s="244" t="s">
        <v>1194</v>
      </c>
      <c r="E1194" s="244" t="s">
        <v>2037</v>
      </c>
      <c r="F1194" s="251">
        <v>1325228</v>
      </c>
      <c r="G1194" s="252">
        <v>45009</v>
      </c>
      <c r="H1194" s="244" t="s">
        <v>1194</v>
      </c>
      <c r="I1194" s="244" t="s">
        <v>2038</v>
      </c>
      <c r="J1194" s="251" t="s">
        <v>2032</v>
      </c>
      <c r="K1194" s="252">
        <v>44958</v>
      </c>
      <c r="L1194" s="244"/>
      <c r="M1194" s="244"/>
    </row>
    <row r="1195" spans="1:13">
      <c r="A1195" s="240" t="s">
        <v>685</v>
      </c>
      <c r="B1195" s="240">
        <v>28797</v>
      </c>
      <c r="C1195" s="240" t="s">
        <v>2040</v>
      </c>
      <c r="D1195" s="240" t="s">
        <v>1194</v>
      </c>
      <c r="E1195" s="240" t="s">
        <v>2037</v>
      </c>
      <c r="F1195" s="249">
        <v>1217415</v>
      </c>
      <c r="G1195" s="250">
        <v>45055</v>
      </c>
      <c r="H1195" s="240" t="s">
        <v>1194</v>
      </c>
      <c r="I1195" s="240" t="s">
        <v>2038</v>
      </c>
      <c r="J1195" s="249" t="s">
        <v>2032</v>
      </c>
      <c r="K1195" s="250">
        <v>44986</v>
      </c>
      <c r="L1195" s="240"/>
      <c r="M1195" s="240"/>
    </row>
    <row r="1196" spans="1:13">
      <c r="A1196" s="244" t="s">
        <v>685</v>
      </c>
      <c r="B1196" s="244">
        <v>28797</v>
      </c>
      <c r="C1196" s="244" t="s">
        <v>2040</v>
      </c>
      <c r="D1196" s="244" t="s">
        <v>1194</v>
      </c>
      <c r="E1196" s="244" t="s">
        <v>2037</v>
      </c>
      <c r="F1196" s="251">
        <v>1220189</v>
      </c>
      <c r="G1196" s="252">
        <v>45068</v>
      </c>
      <c r="H1196" s="244" t="s">
        <v>1194</v>
      </c>
      <c r="I1196" s="244" t="s">
        <v>2038</v>
      </c>
      <c r="J1196" s="251" t="s">
        <v>2032</v>
      </c>
      <c r="K1196" s="252">
        <v>45017</v>
      </c>
      <c r="L1196" s="244"/>
      <c r="M1196" s="244"/>
    </row>
    <row r="1197" spans="1:13">
      <c r="A1197" s="240" t="s">
        <v>685</v>
      </c>
      <c r="B1197" s="240">
        <v>28797</v>
      </c>
      <c r="C1197" s="240" t="s">
        <v>2040</v>
      </c>
      <c r="D1197" s="240" t="s">
        <v>1194</v>
      </c>
      <c r="E1197" s="240" t="s">
        <v>2037</v>
      </c>
      <c r="F1197" s="249">
        <v>1556548</v>
      </c>
      <c r="G1197" s="250">
        <v>45131</v>
      </c>
      <c r="H1197" s="240" t="s">
        <v>1194</v>
      </c>
      <c r="I1197" s="240" t="s">
        <v>2038</v>
      </c>
      <c r="J1197" s="249" t="s">
        <v>2032</v>
      </c>
      <c r="K1197" s="250">
        <v>45047</v>
      </c>
      <c r="L1197" s="240"/>
      <c r="M1197" s="240"/>
    </row>
    <row r="1198" spans="1:13">
      <c r="A1198" s="244" t="s">
        <v>685</v>
      </c>
      <c r="B1198" s="244">
        <v>28797</v>
      </c>
      <c r="C1198" s="244" t="s">
        <v>2040</v>
      </c>
      <c r="D1198" s="244" t="s">
        <v>1194</v>
      </c>
      <c r="E1198" s="244" t="s">
        <v>2037</v>
      </c>
      <c r="F1198" s="251">
        <v>1519737</v>
      </c>
      <c r="G1198" s="252">
        <v>45127</v>
      </c>
      <c r="H1198" s="244" t="s">
        <v>1194</v>
      </c>
      <c r="I1198" s="244" t="s">
        <v>2038</v>
      </c>
      <c r="J1198" s="251" t="s">
        <v>2032</v>
      </c>
      <c r="K1198" s="252">
        <v>45078</v>
      </c>
      <c r="L1198" s="244"/>
      <c r="M1198" s="244"/>
    </row>
    <row r="1199" spans="1:13">
      <c r="A1199" s="240" t="s">
        <v>685</v>
      </c>
      <c r="B1199" s="240">
        <v>28797</v>
      </c>
      <c r="C1199" s="240" t="s">
        <v>2040</v>
      </c>
      <c r="D1199" s="240" t="s">
        <v>1194</v>
      </c>
      <c r="E1199" s="240" t="s">
        <v>2037</v>
      </c>
      <c r="F1199" s="249">
        <v>1711794</v>
      </c>
      <c r="G1199" s="250">
        <v>45147</v>
      </c>
      <c r="H1199" s="240" t="s">
        <v>1194</v>
      </c>
      <c r="I1199" s="240" t="s">
        <v>2038</v>
      </c>
      <c r="J1199" s="249" t="s">
        <v>2032</v>
      </c>
      <c r="K1199" s="250">
        <v>45108</v>
      </c>
      <c r="L1199" s="240"/>
      <c r="M1199" s="240"/>
    </row>
    <row r="1200" spans="1:13">
      <c r="A1200" s="244" t="s">
        <v>685</v>
      </c>
      <c r="B1200" s="244">
        <v>28797</v>
      </c>
      <c r="C1200" s="244" t="s">
        <v>2040</v>
      </c>
      <c r="D1200" s="244" t="s">
        <v>1194</v>
      </c>
      <c r="E1200" s="244" t="s">
        <v>2037</v>
      </c>
      <c r="F1200" s="251">
        <v>1714313</v>
      </c>
      <c r="G1200" s="252">
        <v>45238</v>
      </c>
      <c r="H1200" s="244" t="s">
        <v>1194</v>
      </c>
      <c r="I1200" s="244" t="s">
        <v>2038</v>
      </c>
      <c r="J1200" s="251" t="s">
        <v>2032</v>
      </c>
      <c r="K1200" s="252">
        <v>45139</v>
      </c>
      <c r="L1200" s="244"/>
      <c r="M1200" s="244"/>
    </row>
    <row r="1201" spans="1:13">
      <c r="A1201" s="240" t="s">
        <v>685</v>
      </c>
      <c r="B1201" s="240">
        <v>28797</v>
      </c>
      <c r="C1201" s="240" t="s">
        <v>2040</v>
      </c>
      <c r="D1201" s="240" t="s">
        <v>1194</v>
      </c>
      <c r="E1201" s="240" t="s">
        <v>2037</v>
      </c>
      <c r="F1201" s="249">
        <v>1758387</v>
      </c>
      <c r="G1201" s="250">
        <v>45240</v>
      </c>
      <c r="H1201" s="240" t="s">
        <v>1194</v>
      </c>
      <c r="I1201" s="240" t="s">
        <v>2038</v>
      </c>
      <c r="J1201" s="249" t="s">
        <v>2032</v>
      </c>
      <c r="K1201" s="250">
        <v>45170</v>
      </c>
      <c r="L1201" s="240"/>
      <c r="M1201" s="240"/>
    </row>
    <row r="1202" spans="1:13">
      <c r="A1202" s="244" t="s">
        <v>685</v>
      </c>
      <c r="B1202" s="244">
        <v>28797</v>
      </c>
      <c r="C1202" s="244" t="s">
        <v>2040</v>
      </c>
      <c r="D1202" s="244" t="s">
        <v>1194</v>
      </c>
      <c r="E1202" s="244" t="s">
        <v>2037</v>
      </c>
      <c r="F1202" s="251">
        <v>1784162</v>
      </c>
      <c r="G1202" s="252">
        <v>45268</v>
      </c>
      <c r="H1202" s="244" t="s">
        <v>1194</v>
      </c>
      <c r="I1202" s="244" t="s">
        <v>2038</v>
      </c>
      <c r="J1202" s="251" t="s">
        <v>2032</v>
      </c>
      <c r="K1202" s="252">
        <v>45200</v>
      </c>
      <c r="L1202" s="244"/>
      <c r="M1202" s="244"/>
    </row>
    <row r="1203" spans="1:13">
      <c r="A1203" s="240" t="s">
        <v>685</v>
      </c>
      <c r="B1203" s="240">
        <v>28797</v>
      </c>
      <c r="C1203" s="240" t="s">
        <v>2040</v>
      </c>
      <c r="D1203" s="240" t="s">
        <v>1194</v>
      </c>
      <c r="E1203" s="240" t="s">
        <v>2037</v>
      </c>
      <c r="F1203" s="249">
        <v>1740271</v>
      </c>
      <c r="G1203" s="250">
        <v>45291</v>
      </c>
      <c r="H1203" s="240" t="s">
        <v>1194</v>
      </c>
      <c r="I1203" s="240" t="s">
        <v>2038</v>
      </c>
      <c r="J1203" s="249" t="s">
        <v>2032</v>
      </c>
      <c r="K1203" s="250">
        <v>45231</v>
      </c>
      <c r="L1203" s="240"/>
      <c r="M1203" s="240"/>
    </row>
    <row r="1204" spans="1:13">
      <c r="A1204" s="739" t="s">
        <v>1246</v>
      </c>
      <c r="B1204" s="739"/>
      <c r="C1204" s="739"/>
      <c r="D1204" s="739"/>
      <c r="E1204" s="739"/>
      <c r="F1204" s="287">
        <f>SUM(F9:F1203)</f>
        <v>1773252072.96</v>
      </c>
      <c r="G1204" s="269"/>
      <c r="H1204" s="267"/>
      <c r="I1204" s="267"/>
      <c r="J1204" s="287">
        <f>SUM(J9:J1203)</f>
        <v>514597396</v>
      </c>
      <c r="K1204" s="267"/>
      <c r="L1204" s="267"/>
      <c r="M1204" s="267"/>
    </row>
    <row r="1206" spans="1:13" s="217" customFormat="1" ht="19">
      <c r="A1206" s="219" t="s">
        <v>142</v>
      </c>
    </row>
    <row r="1209" spans="1:13">
      <c r="B1209" s="223"/>
      <c r="C1209" s="740" t="s">
        <v>1256</v>
      </c>
      <c r="D1209" s="741"/>
      <c r="E1209" s="742"/>
      <c r="F1209" s="740" t="s">
        <v>1257</v>
      </c>
      <c r="G1209" s="741"/>
      <c r="H1209" s="742"/>
      <c r="I1209" s="740" t="s">
        <v>711</v>
      </c>
      <c r="J1209" s="741"/>
      <c r="K1209" s="742"/>
      <c r="L1209" s="245" t="s">
        <v>712</v>
      </c>
    </row>
    <row r="1210" spans="1:13" ht="48">
      <c r="A1210" s="246" t="s">
        <v>144</v>
      </c>
      <c r="B1210" s="246" t="s">
        <v>713</v>
      </c>
      <c r="C1210" s="246" t="s">
        <v>714</v>
      </c>
      <c r="D1210" s="247" t="s">
        <v>1258</v>
      </c>
      <c r="E1210" s="247" t="s">
        <v>716</v>
      </c>
      <c r="F1210" s="229" t="s">
        <v>717</v>
      </c>
      <c r="G1210" s="248" t="s">
        <v>1259</v>
      </c>
      <c r="H1210" s="246" t="s">
        <v>719</v>
      </c>
      <c r="I1210" s="247" t="s">
        <v>1260</v>
      </c>
      <c r="J1210" s="229" t="s">
        <v>1261</v>
      </c>
      <c r="K1210" s="247" t="s">
        <v>1262</v>
      </c>
      <c r="L1210" s="247" t="s">
        <v>1263</v>
      </c>
      <c r="M1210" s="247" t="s">
        <v>1264</v>
      </c>
    </row>
    <row r="1211" spans="1:13">
      <c r="A1211" s="240" t="s">
        <v>2041</v>
      </c>
      <c r="B1211" s="240" t="s">
        <v>2042</v>
      </c>
      <c r="C1211" s="240" t="s">
        <v>2043</v>
      </c>
      <c r="D1211" s="240" t="s">
        <v>2044</v>
      </c>
      <c r="E1211" s="240" t="s">
        <v>1251</v>
      </c>
      <c r="F1211" s="249">
        <v>11701982</v>
      </c>
      <c r="G1211" s="250">
        <v>45097</v>
      </c>
      <c r="H1211" s="240" t="s">
        <v>2044</v>
      </c>
      <c r="I1211" s="240"/>
      <c r="J1211" s="249"/>
      <c r="K1211" s="240"/>
      <c r="L1211" s="240"/>
      <c r="M1211" s="240"/>
    </row>
    <row r="1212" spans="1:13">
      <c r="A1212" s="244" t="s">
        <v>2041</v>
      </c>
      <c r="B1212" s="244" t="s">
        <v>2042</v>
      </c>
      <c r="C1212" s="244" t="s">
        <v>2045</v>
      </c>
      <c r="D1212" s="244" t="s">
        <v>2046</v>
      </c>
      <c r="E1212" s="244" t="s">
        <v>2047</v>
      </c>
      <c r="F1212" s="251">
        <v>50457060</v>
      </c>
      <c r="G1212" s="252">
        <v>44952</v>
      </c>
      <c r="H1212" s="244" t="s">
        <v>2046</v>
      </c>
      <c r="I1212" s="244"/>
      <c r="J1212" s="251"/>
      <c r="K1212" s="244"/>
      <c r="L1212" s="244"/>
      <c r="M1212" s="244"/>
    </row>
    <row r="1213" spans="1:13">
      <c r="A1213" s="240" t="s">
        <v>2041</v>
      </c>
      <c r="B1213" s="240" t="s">
        <v>2042</v>
      </c>
      <c r="C1213" s="240" t="s">
        <v>2048</v>
      </c>
      <c r="D1213" s="240" t="s">
        <v>2049</v>
      </c>
      <c r="E1213" s="240" t="s">
        <v>2050</v>
      </c>
      <c r="F1213" s="249">
        <v>64986132</v>
      </c>
      <c r="G1213" s="250">
        <v>45278</v>
      </c>
      <c r="H1213" s="240" t="s">
        <v>2049</v>
      </c>
      <c r="I1213" s="240"/>
      <c r="J1213" s="249"/>
      <c r="K1213" s="240"/>
      <c r="L1213" s="240"/>
      <c r="M1213" s="240"/>
    </row>
    <row r="1214" spans="1:13">
      <c r="A1214" s="244" t="s">
        <v>2041</v>
      </c>
      <c r="B1214" s="244" t="s">
        <v>2042</v>
      </c>
      <c r="C1214" s="244" t="s">
        <v>2051</v>
      </c>
      <c r="D1214" s="244" t="s">
        <v>2052</v>
      </c>
      <c r="E1214" s="244" t="s">
        <v>2053</v>
      </c>
      <c r="F1214" s="251">
        <v>24750000</v>
      </c>
      <c r="G1214" s="252">
        <v>45100</v>
      </c>
      <c r="H1214" s="244" t="s">
        <v>2052</v>
      </c>
      <c r="I1214" s="244"/>
      <c r="J1214" s="251"/>
      <c r="K1214" s="244"/>
      <c r="L1214" s="244"/>
      <c r="M1214" s="244"/>
    </row>
    <row r="1215" spans="1:13">
      <c r="A1215" s="240" t="s">
        <v>2041</v>
      </c>
      <c r="B1215" s="240" t="s">
        <v>2042</v>
      </c>
      <c r="C1215" s="240" t="s">
        <v>2051</v>
      </c>
      <c r="D1215" s="240" t="s">
        <v>2052</v>
      </c>
      <c r="E1215" s="240" t="s">
        <v>2053</v>
      </c>
      <c r="F1215" s="249">
        <v>1850000</v>
      </c>
      <c r="G1215" s="250">
        <v>44943</v>
      </c>
      <c r="H1215" s="240" t="s">
        <v>2054</v>
      </c>
      <c r="I1215" s="240"/>
      <c r="J1215" s="249"/>
      <c r="K1215" s="240"/>
      <c r="L1215" s="240"/>
      <c r="M1215" s="240"/>
    </row>
    <row r="1216" spans="1:13">
      <c r="A1216" s="244" t="s">
        <v>2041</v>
      </c>
      <c r="B1216" s="244" t="s">
        <v>2042</v>
      </c>
      <c r="C1216" s="244" t="s">
        <v>2055</v>
      </c>
      <c r="D1216" s="244" t="s">
        <v>2056</v>
      </c>
      <c r="E1216" s="244" t="s">
        <v>2057</v>
      </c>
      <c r="F1216" s="251">
        <v>48200000</v>
      </c>
      <c r="G1216" s="252">
        <v>45181</v>
      </c>
      <c r="H1216" s="244"/>
      <c r="I1216" s="244"/>
      <c r="J1216" s="251"/>
      <c r="K1216" s="244"/>
      <c r="L1216" s="244"/>
      <c r="M1216" s="244"/>
    </row>
    <row r="1217" spans="1:13">
      <c r="A1217" s="240" t="s">
        <v>2041</v>
      </c>
      <c r="B1217" s="240" t="s">
        <v>2042</v>
      </c>
      <c r="C1217" s="240" t="s">
        <v>2058</v>
      </c>
      <c r="D1217" s="240" t="s">
        <v>2059</v>
      </c>
      <c r="E1217" s="240" t="s">
        <v>1251</v>
      </c>
      <c r="F1217" s="249">
        <v>260700000</v>
      </c>
      <c r="G1217" s="250">
        <v>44991</v>
      </c>
      <c r="H1217" s="240" t="s">
        <v>2059</v>
      </c>
      <c r="I1217" s="240"/>
      <c r="J1217" s="249"/>
      <c r="K1217" s="240"/>
      <c r="L1217" s="240"/>
      <c r="M1217" s="240"/>
    </row>
    <row r="1218" spans="1:13">
      <c r="A1218" s="244" t="s">
        <v>2041</v>
      </c>
      <c r="B1218" s="244" t="s">
        <v>2042</v>
      </c>
      <c r="C1218" s="244" t="s">
        <v>2058</v>
      </c>
      <c r="D1218" s="244" t="s">
        <v>2059</v>
      </c>
      <c r="E1218" s="244" t="s">
        <v>1251</v>
      </c>
      <c r="F1218" s="251">
        <v>552750000</v>
      </c>
      <c r="G1218" s="252">
        <v>44991</v>
      </c>
      <c r="H1218" s="244" t="s">
        <v>2059</v>
      </c>
      <c r="I1218" s="244"/>
      <c r="J1218" s="251"/>
      <c r="K1218" s="244"/>
      <c r="L1218" s="244"/>
      <c r="M1218" s="244"/>
    </row>
    <row r="1219" spans="1:13">
      <c r="A1219" s="240" t="s">
        <v>2041</v>
      </c>
      <c r="B1219" s="240" t="s">
        <v>2042</v>
      </c>
      <c r="C1219" s="240" t="s">
        <v>2058</v>
      </c>
      <c r="D1219" s="240" t="s">
        <v>2059</v>
      </c>
      <c r="E1219" s="240" t="s">
        <v>1251</v>
      </c>
      <c r="F1219" s="249">
        <v>200133000</v>
      </c>
      <c r="G1219" s="250">
        <v>45274</v>
      </c>
      <c r="H1219" s="240" t="s">
        <v>2059</v>
      </c>
      <c r="I1219" s="240"/>
      <c r="J1219" s="249"/>
      <c r="K1219" s="240"/>
      <c r="L1219" s="240"/>
      <c r="M1219" s="240"/>
    </row>
    <row r="1220" spans="1:13">
      <c r="A1220" s="244" t="s">
        <v>2041</v>
      </c>
      <c r="B1220" s="244" t="s">
        <v>2042</v>
      </c>
      <c r="C1220" s="244" t="s">
        <v>2058</v>
      </c>
      <c r="D1220" s="244" t="s">
        <v>2059</v>
      </c>
      <c r="E1220" s="244" t="s">
        <v>1251</v>
      </c>
      <c r="F1220" s="251">
        <v>110477046</v>
      </c>
      <c r="G1220" s="252">
        <v>45274</v>
      </c>
      <c r="H1220" s="244" t="s">
        <v>2059</v>
      </c>
      <c r="I1220" s="244"/>
      <c r="J1220" s="251"/>
      <c r="K1220" s="244"/>
      <c r="L1220" s="244"/>
      <c r="M1220" s="244"/>
    </row>
    <row r="1221" spans="1:13">
      <c r="A1221" s="240" t="s">
        <v>2041</v>
      </c>
      <c r="B1221" s="240" t="s">
        <v>2042</v>
      </c>
      <c r="C1221" s="240" t="s">
        <v>2060</v>
      </c>
      <c r="D1221" s="240" t="s">
        <v>2061</v>
      </c>
      <c r="E1221" s="240" t="s">
        <v>2062</v>
      </c>
      <c r="F1221" s="249">
        <v>106849128</v>
      </c>
      <c r="G1221" s="250">
        <v>45222</v>
      </c>
      <c r="H1221" s="240" t="s">
        <v>2061</v>
      </c>
      <c r="I1221" s="240"/>
      <c r="J1221" s="249"/>
      <c r="K1221" s="240"/>
      <c r="L1221" s="240"/>
      <c r="M1221" s="240"/>
    </row>
    <row r="1222" spans="1:13">
      <c r="A1222" s="244" t="s">
        <v>2041</v>
      </c>
      <c r="B1222" s="244" t="s">
        <v>2042</v>
      </c>
      <c r="C1222" s="244" t="s">
        <v>2063</v>
      </c>
      <c r="D1222" s="244" t="s">
        <v>2064</v>
      </c>
      <c r="E1222" s="244" t="s">
        <v>1251</v>
      </c>
      <c r="F1222" s="251">
        <v>5272727</v>
      </c>
      <c r="G1222" s="252">
        <v>45016</v>
      </c>
      <c r="H1222" s="244"/>
      <c r="I1222" s="244"/>
      <c r="J1222" s="251"/>
      <c r="K1222" s="244"/>
      <c r="L1222" s="244"/>
      <c r="M1222" s="244"/>
    </row>
    <row r="1223" spans="1:13">
      <c r="A1223" s="240" t="s">
        <v>2041</v>
      </c>
      <c r="B1223" s="240" t="s">
        <v>2042</v>
      </c>
      <c r="C1223" s="240" t="s">
        <v>2065</v>
      </c>
      <c r="D1223" s="240" t="s">
        <v>2066</v>
      </c>
      <c r="E1223" s="240" t="s">
        <v>1251</v>
      </c>
      <c r="F1223" s="249">
        <v>6235000</v>
      </c>
      <c r="G1223" s="250">
        <v>44963</v>
      </c>
      <c r="H1223" s="240" t="s">
        <v>2066</v>
      </c>
      <c r="I1223" s="240"/>
      <c r="J1223" s="249"/>
      <c r="K1223" s="240"/>
      <c r="L1223" s="240"/>
      <c r="M1223" s="240"/>
    </row>
    <row r="1224" spans="1:13">
      <c r="A1224" s="244" t="s">
        <v>2041</v>
      </c>
      <c r="B1224" s="244" t="s">
        <v>2042</v>
      </c>
      <c r="C1224" s="244" t="s">
        <v>2065</v>
      </c>
      <c r="D1224" s="244" t="s">
        <v>2066</v>
      </c>
      <c r="E1224" s="244" t="s">
        <v>1251</v>
      </c>
      <c r="F1224" s="251">
        <v>12444800</v>
      </c>
      <c r="G1224" s="252">
        <v>45217</v>
      </c>
      <c r="H1224" s="244" t="s">
        <v>2066</v>
      </c>
      <c r="I1224" s="244"/>
      <c r="J1224" s="251"/>
      <c r="K1224" s="244"/>
      <c r="L1224" s="244"/>
      <c r="M1224" s="244"/>
    </row>
    <row r="1225" spans="1:13">
      <c r="A1225" s="240" t="s">
        <v>2041</v>
      </c>
      <c r="B1225" s="240" t="s">
        <v>2042</v>
      </c>
      <c r="C1225" s="240" t="s">
        <v>2067</v>
      </c>
      <c r="D1225" s="240" t="s">
        <v>2068</v>
      </c>
      <c r="E1225" s="240" t="s">
        <v>2053</v>
      </c>
      <c r="F1225" s="249">
        <v>5600000</v>
      </c>
      <c r="G1225" s="250">
        <v>45002</v>
      </c>
      <c r="H1225" s="240" t="s">
        <v>2069</v>
      </c>
      <c r="I1225" s="240"/>
      <c r="J1225" s="249"/>
      <c r="K1225" s="240"/>
      <c r="L1225" s="240"/>
      <c r="M1225" s="240"/>
    </row>
    <row r="1226" spans="1:13">
      <c r="A1226" s="244" t="s">
        <v>2041</v>
      </c>
      <c r="B1226" s="244" t="s">
        <v>2042</v>
      </c>
      <c r="C1226" s="244" t="s">
        <v>2070</v>
      </c>
      <c r="D1226" s="244" t="s">
        <v>2071</v>
      </c>
      <c r="E1226" s="244" t="s">
        <v>1251</v>
      </c>
      <c r="F1226" s="251">
        <v>217391300</v>
      </c>
      <c r="G1226" s="252">
        <v>45187</v>
      </c>
      <c r="H1226" s="244" t="s">
        <v>2071</v>
      </c>
      <c r="I1226" s="244"/>
      <c r="J1226" s="251"/>
      <c r="K1226" s="244"/>
      <c r="L1226" s="244"/>
      <c r="M1226" s="244"/>
    </row>
    <row r="1227" spans="1:13">
      <c r="A1227" s="240" t="s">
        <v>2041</v>
      </c>
      <c r="B1227" s="240" t="s">
        <v>2042</v>
      </c>
      <c r="C1227" s="240" t="s">
        <v>2070</v>
      </c>
      <c r="D1227" s="240" t="s">
        <v>2071</v>
      </c>
      <c r="E1227" s="240" t="s">
        <v>1251</v>
      </c>
      <c r="F1227" s="249">
        <v>24270409</v>
      </c>
      <c r="G1227" s="250">
        <v>45187</v>
      </c>
      <c r="H1227" s="240" t="s">
        <v>2071</v>
      </c>
      <c r="I1227" s="240"/>
      <c r="J1227" s="249"/>
      <c r="K1227" s="240"/>
      <c r="L1227" s="240"/>
      <c r="M1227" s="240"/>
    </row>
    <row r="1228" spans="1:13">
      <c r="A1228" s="244" t="s">
        <v>2041</v>
      </c>
      <c r="B1228" s="244" t="s">
        <v>2042</v>
      </c>
      <c r="C1228" s="244" t="s">
        <v>2072</v>
      </c>
      <c r="D1228" s="244" t="s">
        <v>2073</v>
      </c>
      <c r="E1228" s="244" t="s">
        <v>2053</v>
      </c>
      <c r="F1228" s="251">
        <v>8000000</v>
      </c>
      <c r="G1228" s="252">
        <v>45118</v>
      </c>
      <c r="H1228" s="244" t="s">
        <v>2073</v>
      </c>
      <c r="I1228" s="244"/>
      <c r="J1228" s="251"/>
      <c r="K1228" s="244"/>
      <c r="L1228" s="244"/>
      <c r="M1228" s="244"/>
    </row>
    <row r="1229" spans="1:13">
      <c r="A1229" s="240" t="s">
        <v>2041</v>
      </c>
      <c r="B1229" s="240" t="s">
        <v>2042</v>
      </c>
      <c r="C1229" s="240" t="s">
        <v>2074</v>
      </c>
      <c r="D1229" s="240" t="s">
        <v>2075</v>
      </c>
      <c r="E1229" s="240" t="s">
        <v>2053</v>
      </c>
      <c r="F1229" s="249">
        <v>1045000</v>
      </c>
      <c r="G1229" s="250">
        <v>45289</v>
      </c>
      <c r="H1229" s="240" t="s">
        <v>2075</v>
      </c>
      <c r="I1229" s="240"/>
      <c r="J1229" s="249"/>
      <c r="K1229" s="240"/>
      <c r="L1229" s="240"/>
      <c r="M1229" s="240"/>
    </row>
    <row r="1230" spans="1:13">
      <c r="A1230" s="244" t="s">
        <v>2076</v>
      </c>
      <c r="B1230" s="244" t="s">
        <v>2077</v>
      </c>
      <c r="C1230" s="244" t="s">
        <v>2078</v>
      </c>
      <c r="D1230" s="244"/>
      <c r="E1230" s="244"/>
      <c r="F1230" s="251">
        <v>127010400</v>
      </c>
      <c r="G1230" s="252">
        <v>45196</v>
      </c>
      <c r="H1230" s="244">
        <v>0</v>
      </c>
      <c r="I1230" s="244"/>
      <c r="J1230" s="251"/>
      <c r="K1230" s="244"/>
      <c r="L1230" s="244"/>
      <c r="M1230" s="244"/>
    </row>
    <row r="1231" spans="1:13">
      <c r="A1231" s="240" t="s">
        <v>2076</v>
      </c>
      <c r="B1231" s="240" t="s">
        <v>2077</v>
      </c>
      <c r="C1231" s="240" t="s">
        <v>2079</v>
      </c>
      <c r="D1231" s="240"/>
      <c r="E1231" s="240"/>
      <c r="F1231" s="249">
        <v>47752488</v>
      </c>
      <c r="G1231" s="250">
        <v>45196</v>
      </c>
      <c r="H1231" s="240"/>
      <c r="I1231" s="240"/>
      <c r="J1231" s="249"/>
      <c r="K1231" s="240"/>
      <c r="L1231" s="240"/>
      <c r="M1231" s="240"/>
    </row>
    <row r="1232" spans="1:13">
      <c r="A1232" s="240" t="s">
        <v>2080</v>
      </c>
      <c r="B1232" s="240"/>
      <c r="C1232" s="240"/>
      <c r="D1232" s="240"/>
      <c r="E1232" s="240"/>
      <c r="F1232" s="249">
        <v>192578213</v>
      </c>
      <c r="G1232" s="250"/>
      <c r="H1232" s="240"/>
      <c r="I1232" s="240"/>
      <c r="J1232" s="249"/>
      <c r="K1232" s="240"/>
      <c r="L1232" s="240"/>
      <c r="M1232" s="240"/>
    </row>
    <row r="1233" spans="1:13">
      <c r="A1233" s="739" t="s">
        <v>1246</v>
      </c>
      <c r="B1233" s="739"/>
      <c r="C1233" s="739"/>
      <c r="D1233" s="739"/>
      <c r="E1233" s="739"/>
      <c r="F1233" s="268">
        <f>SUM(F1211:F1232)</f>
        <v>2080454685</v>
      </c>
      <c r="G1233" s="269"/>
      <c r="H1233" s="267"/>
      <c r="I1233" s="267"/>
      <c r="J1233" s="268">
        <f>SUM(J1211:J1232)</f>
        <v>0</v>
      </c>
      <c r="K1233" s="267"/>
      <c r="L1233" s="267"/>
      <c r="M1233" s="267"/>
    </row>
    <row r="1237" spans="1:13">
      <c r="F1237" s="215">
        <v>2080454685</v>
      </c>
    </row>
  </sheetData>
  <autoFilter ref="A8:M1204" xr:uid="{00000000-0009-0000-0000-000007000000}"/>
  <mergeCells count="9">
    <mergeCell ref="A1233:E1233"/>
    <mergeCell ref="A1204:E1204"/>
    <mergeCell ref="C7:E7"/>
    <mergeCell ref="F7:H7"/>
    <mergeCell ref="I7:K7"/>
    <mergeCell ref="C1209:E1209"/>
    <mergeCell ref="F1209:H1209"/>
    <mergeCell ref="I1209:K1209"/>
    <mergeCell ref="A1:C1"/>
  </mergeCells>
  <conditionalFormatting sqref="B9:B37 C20:E37 F20:G38 D38:E39">
    <cfRule type="containsText" dxfId="20" priority="2" operator="containsText" text="Not">
      <formula>NOT(ISERROR(SEARCH("Not",B9)))</formula>
    </cfRule>
  </conditionalFormatting>
  <conditionalFormatting sqref="C9:L19 B38:C38 B39">
    <cfRule type="containsText" dxfId="19" priority="5" operator="containsText" text="Not">
      <formula>NOT(ISERROR(SEARCH("Not",B9)))</formula>
    </cfRule>
  </conditionalFormatting>
  <conditionalFormatting sqref="G37:L37 G38:J38 K38:L39">
    <cfRule type="containsText" dxfId="18" priority="1" operator="containsText" text="Not">
      <formula>NOT(ISERROR(SEARCH("Not",G37)))</formula>
    </cfRule>
  </conditionalFormatting>
  <conditionalFormatting sqref="H20:L36">
    <cfRule type="containsText" dxfId="17" priority="3" operator="containsText" text="Not">
      <formula>NOT(ISERROR(SEARCH("Not",H20)))</formula>
    </cfRule>
  </conditionalFormatting>
  <conditionalFormatting sqref="J20:L20 K21:L36">
    <cfRule type="containsText" dxfId="16" priority="4" operator="containsText" text="Not">
      <formula>NOT(ISERROR(SEARCH("Not",J20)))</formula>
    </cfRule>
  </conditionalFormatting>
  <hyperlinks>
    <hyperlink ref="A1:C1" location="Sommaire!A1" display="Sommaire!A1"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14"/>
  <dimension ref="A1:M94"/>
  <sheetViews>
    <sheetView workbookViewId="0">
      <selection sqref="A1:C1"/>
    </sheetView>
  </sheetViews>
  <sheetFormatPr baseColWidth="10" defaultColWidth="8" defaultRowHeight="12"/>
  <cols>
    <col min="1" max="1" width="12.33203125" style="276" customWidth="1"/>
    <col min="2" max="2" width="10.33203125" style="203" bestFit="1" customWidth="1"/>
    <col min="3" max="3" width="44.1640625" style="203" bestFit="1" customWidth="1"/>
    <col min="4" max="4" width="17.6640625" style="203" bestFit="1" customWidth="1"/>
    <col min="5" max="5" width="15.33203125" style="203" bestFit="1" customWidth="1"/>
    <col min="6" max="6" width="24.33203125" style="203" bestFit="1" customWidth="1"/>
    <col min="7" max="7" width="17" style="274" bestFit="1" customWidth="1"/>
    <col min="8" max="8" width="52" style="275" bestFit="1" customWidth="1"/>
    <col min="9" max="9" width="29.33203125" style="203" bestFit="1" customWidth="1"/>
    <col min="10" max="10" width="20" style="203" bestFit="1" customWidth="1"/>
    <col min="11" max="11" width="46" style="203" bestFit="1" customWidth="1"/>
    <col min="12" max="12" width="27.33203125" style="203" bestFit="1" customWidth="1"/>
    <col min="13" max="16384" width="8" style="203"/>
  </cols>
  <sheetData>
    <row r="1" spans="1:12" ht="14.5">
      <c r="A1" s="709" t="s">
        <v>140</v>
      </c>
      <c r="B1" s="709"/>
      <c r="C1" s="709"/>
    </row>
    <row r="2" spans="1:12" s="280" customFormat="1" ht="20.5">
      <c r="A2" s="559" t="s">
        <v>2081</v>
      </c>
      <c r="G2" s="281"/>
      <c r="H2" s="282"/>
    </row>
    <row r="4" spans="1:12" s="207" customFormat="1" ht="19">
      <c r="A4" s="279" t="s">
        <v>182</v>
      </c>
      <c r="G4" s="277"/>
      <c r="H4" s="278"/>
    </row>
    <row r="5" spans="1:12" ht="12.5" thickBot="1"/>
    <row r="6" spans="1:12" s="215" customFormat="1" ht="12.5" thickBot="1">
      <c r="F6" s="743" t="s">
        <v>2082</v>
      </c>
      <c r="G6" s="744"/>
      <c r="H6" s="745" t="s">
        <v>711</v>
      </c>
      <c r="I6" s="744"/>
      <c r="J6" s="745" t="s">
        <v>2083</v>
      </c>
      <c r="K6" s="746"/>
      <c r="L6" s="744"/>
    </row>
    <row r="7" spans="1:12" s="215" customFormat="1" ht="48.5" thickBot="1">
      <c r="A7" s="205" t="s">
        <v>2084</v>
      </c>
      <c r="B7" s="205" t="s">
        <v>713</v>
      </c>
      <c r="C7" s="205" t="s">
        <v>2085</v>
      </c>
      <c r="D7" s="205" t="s">
        <v>2086</v>
      </c>
      <c r="E7" s="205" t="s">
        <v>2087</v>
      </c>
      <c r="F7" s="234" t="s">
        <v>2088</v>
      </c>
      <c r="G7" s="235" t="s">
        <v>2089</v>
      </c>
      <c r="H7" s="205" t="s">
        <v>2090</v>
      </c>
      <c r="I7" s="205" t="s">
        <v>2091</v>
      </c>
      <c r="J7" s="236" t="s">
        <v>2092</v>
      </c>
      <c r="K7" s="205" t="s">
        <v>2093</v>
      </c>
      <c r="L7" s="205" t="s">
        <v>2094</v>
      </c>
    </row>
    <row r="8" spans="1:12" s="215" customFormat="1">
      <c r="A8" s="237" t="s">
        <v>678</v>
      </c>
      <c r="B8" s="237" t="s">
        <v>725</v>
      </c>
      <c r="C8" s="237" t="s">
        <v>2095</v>
      </c>
      <c r="D8" s="237" t="s">
        <v>606</v>
      </c>
      <c r="E8" s="237" t="s">
        <v>606</v>
      </c>
      <c r="F8" s="238">
        <v>275334250.5</v>
      </c>
      <c r="G8" s="239">
        <v>45000</v>
      </c>
      <c r="H8" s="237" t="s">
        <v>606</v>
      </c>
      <c r="I8" s="237" t="s">
        <v>606</v>
      </c>
      <c r="J8" s="240" t="s">
        <v>606</v>
      </c>
      <c r="K8" s="237" t="s">
        <v>2096</v>
      </c>
      <c r="L8" s="237" t="s">
        <v>2097</v>
      </c>
    </row>
    <row r="9" spans="1:12" s="215" customFormat="1">
      <c r="A9" s="241" t="s">
        <v>678</v>
      </c>
      <c r="B9" s="241" t="s">
        <v>725</v>
      </c>
      <c r="C9" s="241" t="s">
        <v>2095</v>
      </c>
      <c r="D9" s="241" t="s">
        <v>606</v>
      </c>
      <c r="E9" s="241" t="s">
        <v>606</v>
      </c>
      <c r="F9" s="242">
        <v>1200349100</v>
      </c>
      <c r="G9" s="243">
        <v>45139</v>
      </c>
      <c r="H9" s="241" t="s">
        <v>606</v>
      </c>
      <c r="I9" s="241" t="s">
        <v>606</v>
      </c>
      <c r="J9" s="244" t="s">
        <v>606</v>
      </c>
      <c r="K9" s="241" t="s">
        <v>2098</v>
      </c>
      <c r="L9" s="241" t="s">
        <v>2097</v>
      </c>
    </row>
    <row r="10" spans="1:12" s="215" customFormat="1">
      <c r="A10" s="237" t="s">
        <v>978</v>
      </c>
      <c r="B10" s="240">
        <v>4408622</v>
      </c>
      <c r="C10" s="237"/>
      <c r="D10" s="237"/>
      <c r="E10" s="237"/>
      <c r="F10" s="238"/>
      <c r="G10" s="239">
        <v>44958</v>
      </c>
      <c r="H10" s="237" t="s">
        <v>2099</v>
      </c>
      <c r="I10" s="237" t="s">
        <v>2100</v>
      </c>
      <c r="J10" s="421">
        <v>676000</v>
      </c>
      <c r="K10" s="237"/>
      <c r="L10" s="237"/>
    </row>
    <row r="11" spans="1:12" s="215" customFormat="1">
      <c r="A11" s="241" t="s">
        <v>978</v>
      </c>
      <c r="B11" s="244">
        <v>4408622</v>
      </c>
      <c r="C11" s="241"/>
      <c r="D11" s="241"/>
      <c r="E11" s="241"/>
      <c r="F11" s="242"/>
      <c r="G11" s="243">
        <v>45159</v>
      </c>
      <c r="H11" s="241" t="s">
        <v>2101</v>
      </c>
      <c r="I11" s="241" t="s">
        <v>2100</v>
      </c>
      <c r="J11" s="422">
        <v>1402850</v>
      </c>
      <c r="K11" s="241"/>
      <c r="L11" s="241"/>
    </row>
    <row r="12" spans="1:12" s="215" customFormat="1">
      <c r="A12" s="237" t="s">
        <v>978</v>
      </c>
      <c r="B12" s="240">
        <v>4408622</v>
      </c>
      <c r="C12" s="237"/>
      <c r="D12" s="237"/>
      <c r="E12" s="237"/>
      <c r="F12" s="238"/>
      <c r="G12" s="239">
        <v>45222</v>
      </c>
      <c r="H12" s="237" t="s">
        <v>2102</v>
      </c>
      <c r="I12" s="237" t="s">
        <v>2100</v>
      </c>
      <c r="J12" s="421">
        <v>560000</v>
      </c>
      <c r="K12" s="237"/>
      <c r="L12" s="237"/>
    </row>
    <row r="13" spans="1:12" s="215" customFormat="1">
      <c r="A13" s="241" t="s">
        <v>978</v>
      </c>
      <c r="B13" s="244">
        <v>4408622</v>
      </c>
      <c r="C13" s="241"/>
      <c r="D13" s="241"/>
      <c r="E13" s="241"/>
      <c r="F13" s="242"/>
      <c r="G13" s="243">
        <v>45268</v>
      </c>
      <c r="H13" s="241" t="s">
        <v>2103</v>
      </c>
      <c r="I13" s="241" t="s">
        <v>2100</v>
      </c>
      <c r="J13" s="422">
        <v>15000000</v>
      </c>
      <c r="K13" s="241"/>
      <c r="L13" s="241"/>
    </row>
    <row r="14" spans="1:12" s="215" customFormat="1">
      <c r="A14" s="237" t="s">
        <v>640</v>
      </c>
      <c r="B14" s="240" t="s">
        <v>1343</v>
      </c>
      <c r="C14" s="237" t="s">
        <v>2104</v>
      </c>
      <c r="D14" s="237"/>
      <c r="E14" s="237"/>
      <c r="F14" s="238">
        <v>13000000</v>
      </c>
      <c r="G14" s="239">
        <v>2023</v>
      </c>
      <c r="H14" s="237"/>
      <c r="I14" s="237"/>
      <c r="J14" s="240"/>
      <c r="K14" s="237" t="s">
        <v>2105</v>
      </c>
      <c r="L14" s="237"/>
    </row>
    <row r="15" spans="1:12" s="215" customFormat="1">
      <c r="A15" s="241" t="s">
        <v>686</v>
      </c>
      <c r="B15" s="241" t="s">
        <v>1864</v>
      </c>
      <c r="C15" s="241" t="s">
        <v>2106</v>
      </c>
      <c r="D15" s="241"/>
      <c r="E15" s="241"/>
      <c r="F15" s="242">
        <v>216046651</v>
      </c>
      <c r="G15" s="243">
        <v>45028</v>
      </c>
      <c r="H15" s="241"/>
      <c r="I15" s="244" t="s">
        <v>2107</v>
      </c>
      <c r="J15" s="244"/>
      <c r="K15" s="241"/>
      <c r="L15" s="241"/>
    </row>
    <row r="16" spans="1:12" s="215" customFormat="1">
      <c r="A16" s="237" t="s">
        <v>686</v>
      </c>
      <c r="B16" s="237" t="s">
        <v>1864</v>
      </c>
      <c r="C16" s="237" t="s">
        <v>2106</v>
      </c>
      <c r="D16" s="237"/>
      <c r="E16" s="237"/>
      <c r="F16" s="238">
        <v>296167150</v>
      </c>
      <c r="G16" s="239">
        <v>45030</v>
      </c>
      <c r="H16" s="237"/>
      <c r="I16" s="240" t="s">
        <v>2108</v>
      </c>
      <c r="J16" s="240"/>
      <c r="K16" s="237"/>
      <c r="L16" s="237"/>
    </row>
    <row r="17" spans="1:13" s="215" customFormat="1">
      <c r="A17" s="241" t="s">
        <v>686</v>
      </c>
      <c r="B17" s="241" t="s">
        <v>1864</v>
      </c>
      <c r="C17" s="241" t="s">
        <v>2106</v>
      </c>
      <c r="D17" s="241"/>
      <c r="E17" s="241"/>
      <c r="F17" s="242">
        <v>25431000</v>
      </c>
      <c r="G17" s="243">
        <v>45072</v>
      </c>
      <c r="H17" s="241"/>
      <c r="I17" s="244" t="s">
        <v>2109</v>
      </c>
      <c r="J17" s="244"/>
      <c r="K17" s="241"/>
      <c r="L17" s="241"/>
    </row>
    <row r="18" spans="1:13" s="215" customFormat="1">
      <c r="A18" s="237" t="s">
        <v>686</v>
      </c>
      <c r="B18" s="237" t="s">
        <v>1864</v>
      </c>
      <c r="C18" s="237" t="s">
        <v>2106</v>
      </c>
      <c r="D18" s="237"/>
      <c r="E18" s="237"/>
      <c r="F18" s="238">
        <v>45353964</v>
      </c>
      <c r="G18" s="239">
        <v>45168</v>
      </c>
      <c r="H18" s="237"/>
      <c r="I18" s="240" t="s">
        <v>2110</v>
      </c>
      <c r="J18" s="240"/>
      <c r="K18" s="237"/>
      <c r="L18" s="237"/>
    </row>
    <row r="19" spans="1:13" s="215" customFormat="1">
      <c r="A19" s="241" t="s">
        <v>686</v>
      </c>
      <c r="B19" s="241" t="s">
        <v>1864</v>
      </c>
      <c r="C19" s="241" t="s">
        <v>2106</v>
      </c>
      <c r="D19" s="241"/>
      <c r="E19" s="241"/>
      <c r="F19" s="242">
        <v>31450000</v>
      </c>
      <c r="G19" s="243">
        <v>45168</v>
      </c>
      <c r="H19" s="241"/>
      <c r="I19" s="244" t="s">
        <v>2111</v>
      </c>
      <c r="J19" s="244"/>
      <c r="K19" s="241"/>
      <c r="L19" s="241"/>
    </row>
    <row r="20" spans="1:13" s="215" customFormat="1">
      <c r="A20" s="237" t="s">
        <v>686</v>
      </c>
      <c r="B20" s="237" t="s">
        <v>1864</v>
      </c>
      <c r="C20" s="237" t="s">
        <v>2106</v>
      </c>
      <c r="D20" s="237"/>
      <c r="E20" s="237"/>
      <c r="F20" s="238">
        <v>12100000</v>
      </c>
      <c r="G20" s="239">
        <v>45210</v>
      </c>
      <c r="H20" s="237"/>
      <c r="I20" s="240" t="s">
        <v>2112</v>
      </c>
      <c r="J20" s="240"/>
      <c r="K20" s="237"/>
      <c r="L20" s="237"/>
    </row>
    <row r="21" spans="1:13" s="215" customFormat="1">
      <c r="A21" s="241" t="s">
        <v>686</v>
      </c>
      <c r="B21" s="241" t="s">
        <v>1864</v>
      </c>
      <c r="C21" s="241" t="s">
        <v>2106</v>
      </c>
      <c r="D21" s="241"/>
      <c r="E21" s="241"/>
      <c r="F21" s="242">
        <v>6990000</v>
      </c>
      <c r="G21" s="243">
        <v>45247</v>
      </c>
      <c r="H21" s="241"/>
      <c r="I21" s="244" t="s">
        <v>2113</v>
      </c>
      <c r="J21" s="244"/>
      <c r="K21" s="241"/>
      <c r="L21" s="241"/>
    </row>
    <row r="22" spans="1:13" s="215" customFormat="1">
      <c r="A22" s="237" t="s">
        <v>686</v>
      </c>
      <c r="B22" s="237" t="s">
        <v>1864</v>
      </c>
      <c r="C22" s="237" t="s">
        <v>2106</v>
      </c>
      <c r="D22" s="237"/>
      <c r="E22" s="237"/>
      <c r="F22" s="238">
        <v>14994000</v>
      </c>
      <c r="G22" s="239">
        <v>45258</v>
      </c>
      <c r="H22" s="237"/>
      <c r="I22" s="240" t="s">
        <v>2114</v>
      </c>
      <c r="J22" s="240"/>
      <c r="K22" s="237"/>
      <c r="L22" s="237"/>
    </row>
    <row r="23" spans="1:13" s="215" customFormat="1">
      <c r="A23" s="241" t="s">
        <v>686</v>
      </c>
      <c r="B23" s="241" t="s">
        <v>1864</v>
      </c>
      <c r="C23" s="241" t="s">
        <v>2106</v>
      </c>
      <c r="D23" s="241">
        <v>422.58</v>
      </c>
      <c r="E23" s="241"/>
      <c r="F23" s="242">
        <v>6929210263</v>
      </c>
      <c r="G23" s="243">
        <v>45283</v>
      </c>
      <c r="H23" s="241"/>
      <c r="I23" s="244" t="s">
        <v>2115</v>
      </c>
      <c r="J23" s="244"/>
      <c r="K23" s="241"/>
      <c r="L23" s="241"/>
    </row>
    <row r="24" spans="1:13" s="215" customFormat="1">
      <c r="A24" s="237" t="s">
        <v>1150</v>
      </c>
      <c r="B24" s="237" t="s">
        <v>216</v>
      </c>
      <c r="C24" s="237" t="s">
        <v>2116</v>
      </c>
      <c r="D24" s="237">
        <v>1.33</v>
      </c>
      <c r="E24" s="237">
        <v>29</v>
      </c>
      <c r="F24" s="238">
        <v>32632312</v>
      </c>
      <c r="G24" s="239"/>
      <c r="H24" s="237"/>
      <c r="I24" s="237"/>
      <c r="J24" s="240"/>
      <c r="K24" s="237"/>
      <c r="L24" s="237"/>
    </row>
    <row r="25" spans="1:13" s="215" customFormat="1">
      <c r="A25" s="241" t="s">
        <v>2117</v>
      </c>
      <c r="B25" s="241" t="s">
        <v>2118</v>
      </c>
      <c r="C25" s="241" t="s">
        <v>2119</v>
      </c>
      <c r="D25" s="241"/>
      <c r="E25" s="241" t="s">
        <v>167</v>
      </c>
      <c r="F25" s="242">
        <v>91778083.5</v>
      </c>
      <c r="G25" s="243">
        <v>45007</v>
      </c>
      <c r="H25" s="241" t="s">
        <v>167</v>
      </c>
      <c r="I25" s="241" t="s">
        <v>167</v>
      </c>
      <c r="J25" s="244" t="s">
        <v>167</v>
      </c>
      <c r="K25" s="241" t="s">
        <v>2120</v>
      </c>
      <c r="L25" s="241"/>
    </row>
    <row r="26" spans="1:13" s="215" customFormat="1">
      <c r="A26" s="739" t="s">
        <v>1246</v>
      </c>
      <c r="B26" s="739"/>
      <c r="C26" s="739"/>
      <c r="D26" s="739"/>
      <c r="E26" s="739"/>
      <c r="F26" s="268">
        <f>SUM(F8:F25)</f>
        <v>9190836774</v>
      </c>
      <c r="G26" s="269"/>
      <c r="H26" s="267"/>
      <c r="I26" s="267"/>
      <c r="J26" s="268">
        <f>SUM(J8:J25)</f>
        <v>17638850</v>
      </c>
      <c r="K26" s="267"/>
      <c r="L26" s="267"/>
      <c r="M26" s="267"/>
    </row>
    <row r="29" spans="1:13" s="217" customFormat="1" ht="19">
      <c r="A29" s="286" t="s">
        <v>142</v>
      </c>
      <c r="G29" s="284"/>
      <c r="H29" s="285"/>
    </row>
    <row r="30" spans="1:13" s="215" customFormat="1" ht="12.5" thickBot="1">
      <c r="A30" s="220"/>
      <c r="G30" s="283"/>
      <c r="H30" s="227"/>
    </row>
    <row r="31" spans="1:13" s="215" customFormat="1" ht="12.5" thickBot="1">
      <c r="F31" s="743" t="s">
        <v>2082</v>
      </c>
      <c r="G31" s="744"/>
      <c r="H31" s="745" t="s">
        <v>711</v>
      </c>
      <c r="I31" s="744"/>
      <c r="J31" s="745" t="s">
        <v>2083</v>
      </c>
      <c r="K31" s="746"/>
      <c r="L31" s="744"/>
    </row>
    <row r="32" spans="1:13" s="215" customFormat="1" ht="36.5" thickBot="1">
      <c r="A32" s="205" t="s">
        <v>2084</v>
      </c>
      <c r="B32" s="205" t="s">
        <v>713</v>
      </c>
      <c r="C32" s="205" t="s">
        <v>2085</v>
      </c>
      <c r="D32" s="205" t="s">
        <v>2086</v>
      </c>
      <c r="E32" s="205" t="s">
        <v>2087</v>
      </c>
      <c r="F32" s="234" t="s">
        <v>2088</v>
      </c>
      <c r="G32" s="235" t="s">
        <v>2089</v>
      </c>
      <c r="H32" s="205" t="s">
        <v>2090</v>
      </c>
      <c r="I32" s="205" t="s">
        <v>2121</v>
      </c>
      <c r="J32" s="236" t="s">
        <v>2092</v>
      </c>
      <c r="K32" s="205" t="s">
        <v>2093</v>
      </c>
      <c r="L32" s="205" t="s">
        <v>2094</v>
      </c>
    </row>
    <row r="33" spans="1:12" s="215" customFormat="1">
      <c r="A33" s="237" t="s">
        <v>2041</v>
      </c>
      <c r="B33" s="237" t="s">
        <v>2042</v>
      </c>
      <c r="C33" s="237" t="s">
        <v>2122</v>
      </c>
      <c r="D33" s="237"/>
      <c r="E33" s="237"/>
      <c r="F33" s="238">
        <v>91006.447150000007</v>
      </c>
      <c r="G33" s="239">
        <v>45182</v>
      </c>
      <c r="H33" s="237"/>
      <c r="I33" s="237"/>
      <c r="J33" s="240"/>
      <c r="K33" s="237"/>
      <c r="L33" s="237"/>
    </row>
    <row r="34" spans="1:12" s="215" customFormat="1">
      <c r="A34" s="241" t="s">
        <v>2041</v>
      </c>
      <c r="B34" s="241" t="s">
        <v>2042</v>
      </c>
      <c r="C34" s="241" t="s">
        <v>2122</v>
      </c>
      <c r="D34" s="241"/>
      <c r="E34" s="241"/>
      <c r="F34" s="242">
        <v>231750.18385</v>
      </c>
      <c r="G34" s="243">
        <v>45142</v>
      </c>
      <c r="H34" s="241"/>
      <c r="I34" s="241"/>
      <c r="J34" s="244"/>
      <c r="K34" s="241"/>
      <c r="L34" s="241"/>
    </row>
    <row r="35" spans="1:12" s="215" customFormat="1">
      <c r="A35" s="237" t="s">
        <v>2041</v>
      </c>
      <c r="B35" s="237" t="s">
        <v>2042</v>
      </c>
      <c r="C35" s="237" t="s">
        <v>2122</v>
      </c>
      <c r="D35" s="237"/>
      <c r="E35" s="237"/>
      <c r="F35" s="238">
        <v>187744.39194999999</v>
      </c>
      <c r="G35" s="239">
        <v>45112</v>
      </c>
      <c r="H35" s="237"/>
      <c r="I35" s="237"/>
      <c r="J35" s="240"/>
      <c r="K35" s="237"/>
      <c r="L35" s="237"/>
    </row>
    <row r="36" spans="1:12" s="215" customFormat="1">
      <c r="A36" s="241" t="s">
        <v>2041</v>
      </c>
      <c r="B36" s="241" t="s">
        <v>2042</v>
      </c>
      <c r="C36" s="241" t="s">
        <v>2122</v>
      </c>
      <c r="D36" s="241"/>
      <c r="E36" s="241"/>
      <c r="F36" s="242">
        <v>712819.03139999998</v>
      </c>
      <c r="G36" s="243">
        <v>45092</v>
      </c>
      <c r="H36" s="241"/>
      <c r="I36" s="241"/>
      <c r="J36" s="244"/>
      <c r="K36" s="241"/>
      <c r="L36" s="241"/>
    </row>
    <row r="37" spans="1:12" s="215" customFormat="1">
      <c r="A37" s="237" t="s">
        <v>2041</v>
      </c>
      <c r="B37" s="237" t="s">
        <v>2042</v>
      </c>
      <c r="C37" s="237" t="s">
        <v>2122</v>
      </c>
      <c r="D37" s="237"/>
      <c r="E37" s="237"/>
      <c r="F37" s="238">
        <v>207981.23865000001</v>
      </c>
      <c r="G37" s="239">
        <v>45017</v>
      </c>
      <c r="H37" s="237"/>
      <c r="I37" s="237"/>
      <c r="J37" s="240"/>
      <c r="K37" s="237"/>
      <c r="L37" s="237"/>
    </row>
    <row r="38" spans="1:12" s="215" customFormat="1">
      <c r="A38" s="241" t="s">
        <v>2041</v>
      </c>
      <c r="B38" s="241" t="s">
        <v>2042</v>
      </c>
      <c r="C38" s="241" t="s">
        <v>2122</v>
      </c>
      <c r="D38" s="241"/>
      <c r="E38" s="241"/>
      <c r="F38" s="242">
        <v>2301494.60555</v>
      </c>
      <c r="G38" s="243">
        <v>45002</v>
      </c>
      <c r="H38" s="241"/>
      <c r="I38" s="241"/>
      <c r="J38" s="244"/>
      <c r="K38" s="241"/>
      <c r="L38" s="241"/>
    </row>
    <row r="39" spans="1:12" s="215" customFormat="1">
      <c r="A39" s="237" t="s">
        <v>2041</v>
      </c>
      <c r="B39" s="237" t="s">
        <v>2042</v>
      </c>
      <c r="C39" s="237" t="s">
        <v>2122</v>
      </c>
      <c r="D39" s="237"/>
      <c r="E39" s="237"/>
      <c r="F39" s="238">
        <v>356094.89179999998</v>
      </c>
      <c r="G39" s="239">
        <v>45002</v>
      </c>
      <c r="H39" s="237"/>
      <c r="I39" s="237"/>
      <c r="J39" s="240"/>
      <c r="K39" s="237"/>
      <c r="L39" s="237"/>
    </row>
    <row r="40" spans="1:12" s="215" customFormat="1">
      <c r="A40" s="241" t="s">
        <v>2041</v>
      </c>
      <c r="B40" s="241" t="s">
        <v>2042</v>
      </c>
      <c r="C40" s="241" t="s">
        <v>2122</v>
      </c>
      <c r="D40" s="241"/>
      <c r="E40" s="241"/>
      <c r="F40" s="242">
        <v>779759.71834999998</v>
      </c>
      <c r="G40" s="243">
        <v>44995</v>
      </c>
      <c r="H40" s="241"/>
      <c r="I40" s="241"/>
      <c r="J40" s="244"/>
      <c r="K40" s="241"/>
      <c r="L40" s="241"/>
    </row>
    <row r="41" spans="1:12" s="215" customFormat="1">
      <c r="A41" s="237" t="s">
        <v>2041</v>
      </c>
      <c r="B41" s="237" t="s">
        <v>2042</v>
      </c>
      <c r="C41" s="237" t="s">
        <v>2122</v>
      </c>
      <c r="D41" s="237"/>
      <c r="E41" s="237"/>
      <c r="F41" s="238">
        <v>24071343.290149998</v>
      </c>
      <c r="G41" s="239">
        <v>44991</v>
      </c>
      <c r="H41" s="237"/>
      <c r="I41" s="237"/>
      <c r="J41" s="240"/>
      <c r="K41" s="237"/>
      <c r="L41" s="237"/>
    </row>
    <row r="42" spans="1:12" s="215" customFormat="1">
      <c r="A42" s="241" t="s">
        <v>2041</v>
      </c>
      <c r="B42" s="241" t="s">
        <v>2042</v>
      </c>
      <c r="C42" s="241" t="s">
        <v>2122</v>
      </c>
      <c r="D42" s="241"/>
      <c r="E42" s="241"/>
      <c r="F42" s="242">
        <v>12036391.42145</v>
      </c>
      <c r="G42" s="243">
        <v>44991</v>
      </c>
      <c r="H42" s="241"/>
      <c r="I42" s="241"/>
      <c r="J42" s="244"/>
      <c r="K42" s="241"/>
      <c r="L42" s="241"/>
    </row>
    <row r="43" spans="1:12" s="215" customFormat="1">
      <c r="A43" s="237" t="s">
        <v>2041</v>
      </c>
      <c r="B43" s="237" t="s">
        <v>2042</v>
      </c>
      <c r="C43" s="237" t="s">
        <v>2122</v>
      </c>
      <c r="D43" s="237"/>
      <c r="E43" s="237"/>
      <c r="F43" s="238">
        <v>59491859.2641</v>
      </c>
      <c r="G43" s="239">
        <v>44991</v>
      </c>
      <c r="H43" s="237"/>
      <c r="I43" s="237"/>
      <c r="J43" s="240"/>
      <c r="K43" s="237"/>
      <c r="L43" s="237"/>
    </row>
    <row r="44" spans="1:12" s="215" customFormat="1">
      <c r="A44" s="241" t="s">
        <v>2041</v>
      </c>
      <c r="B44" s="241" t="s">
        <v>2042</v>
      </c>
      <c r="C44" s="241" t="s">
        <v>2122</v>
      </c>
      <c r="D44" s="241"/>
      <c r="E44" s="241"/>
      <c r="F44" s="242">
        <v>8987439.4739999995</v>
      </c>
      <c r="G44" s="243">
        <v>45128</v>
      </c>
      <c r="H44" s="241"/>
      <c r="I44" s="241"/>
      <c r="J44" s="244"/>
      <c r="K44" s="241"/>
      <c r="L44" s="241"/>
    </row>
    <row r="45" spans="1:12" s="215" customFormat="1">
      <c r="A45" s="237" t="s">
        <v>2041</v>
      </c>
      <c r="B45" s="237" t="s">
        <v>2042</v>
      </c>
      <c r="C45" s="237" t="s">
        <v>2122</v>
      </c>
      <c r="D45" s="237"/>
      <c r="E45" s="237"/>
      <c r="F45" s="238">
        <v>5991626.3160000006</v>
      </c>
      <c r="G45" s="239">
        <v>45085</v>
      </c>
      <c r="H45" s="237"/>
      <c r="I45" s="237"/>
      <c r="J45" s="240"/>
      <c r="K45" s="237"/>
      <c r="L45" s="237"/>
    </row>
    <row r="46" spans="1:12" s="215" customFormat="1">
      <c r="A46" s="241" t="s">
        <v>2041</v>
      </c>
      <c r="B46" s="241" t="s">
        <v>2042</v>
      </c>
      <c r="C46" s="241" t="s">
        <v>2122</v>
      </c>
      <c r="D46" s="241"/>
      <c r="E46" s="241"/>
      <c r="F46" s="242">
        <v>66805876.545149997</v>
      </c>
      <c r="G46" s="243">
        <v>45182</v>
      </c>
      <c r="H46" s="241"/>
      <c r="I46" s="241"/>
      <c r="J46" s="244"/>
      <c r="K46" s="241"/>
      <c r="L46" s="241"/>
    </row>
    <row r="47" spans="1:12" s="215" customFormat="1">
      <c r="A47" s="237" t="s">
        <v>2041</v>
      </c>
      <c r="B47" s="237" t="s">
        <v>2042</v>
      </c>
      <c r="C47" s="237" t="s">
        <v>2122</v>
      </c>
      <c r="D47" s="237"/>
      <c r="E47" s="237"/>
      <c r="F47" s="238">
        <v>2755912.4342500004</v>
      </c>
      <c r="G47" s="239">
        <v>45112</v>
      </c>
      <c r="H47" s="237"/>
      <c r="I47" s="237"/>
      <c r="J47" s="240"/>
      <c r="K47" s="237"/>
      <c r="L47" s="237"/>
    </row>
    <row r="48" spans="1:12" s="215" customFormat="1">
      <c r="A48" s="241" t="s">
        <v>2041</v>
      </c>
      <c r="B48" s="241" t="s">
        <v>2042</v>
      </c>
      <c r="C48" s="241" t="s">
        <v>2122</v>
      </c>
      <c r="D48" s="241"/>
      <c r="E48" s="241"/>
      <c r="F48" s="242">
        <v>2158830.4757999997</v>
      </c>
      <c r="G48" s="243">
        <v>45021</v>
      </c>
      <c r="H48" s="241"/>
      <c r="I48" s="241"/>
      <c r="J48" s="244"/>
      <c r="K48" s="241"/>
      <c r="L48" s="241"/>
    </row>
    <row r="49" spans="1:12" s="215" customFormat="1">
      <c r="A49" s="237" t="s">
        <v>2041</v>
      </c>
      <c r="B49" s="237" t="s">
        <v>2042</v>
      </c>
      <c r="C49" s="237" t="s">
        <v>2122</v>
      </c>
      <c r="D49" s="237"/>
      <c r="E49" s="237"/>
      <c r="F49" s="238">
        <v>2257996.3673</v>
      </c>
      <c r="G49" s="239">
        <v>44949</v>
      </c>
      <c r="H49" s="237"/>
      <c r="I49" s="237"/>
      <c r="J49" s="240"/>
      <c r="K49" s="237"/>
      <c r="L49" s="237"/>
    </row>
    <row r="50" spans="1:12" s="215" customFormat="1">
      <c r="A50" s="241" t="s">
        <v>2041</v>
      </c>
      <c r="B50" s="241" t="s">
        <v>2042</v>
      </c>
      <c r="C50" s="241" t="s">
        <v>2122</v>
      </c>
      <c r="D50" s="241"/>
      <c r="E50" s="241"/>
      <c r="F50" s="242">
        <v>2453362.9684499996</v>
      </c>
      <c r="G50" s="243">
        <v>45184</v>
      </c>
      <c r="H50" s="241"/>
      <c r="I50" s="241"/>
      <c r="J50" s="244"/>
      <c r="K50" s="241"/>
      <c r="L50" s="241"/>
    </row>
    <row r="51" spans="1:12" s="215" customFormat="1">
      <c r="A51" s="237" t="s">
        <v>2041</v>
      </c>
      <c r="B51" s="237" t="s">
        <v>2042</v>
      </c>
      <c r="C51" s="237" t="s">
        <v>2122</v>
      </c>
      <c r="D51" s="237"/>
      <c r="E51" s="237"/>
      <c r="F51" s="238">
        <v>5685791.1081499998</v>
      </c>
      <c r="G51" s="239">
        <v>45184</v>
      </c>
      <c r="H51" s="237"/>
      <c r="I51" s="237"/>
      <c r="J51" s="240"/>
      <c r="K51" s="237"/>
      <c r="L51" s="237"/>
    </row>
    <row r="52" spans="1:12" s="215" customFormat="1">
      <c r="A52" s="241" t="s">
        <v>2041</v>
      </c>
      <c r="B52" s="241" t="s">
        <v>2042</v>
      </c>
      <c r="C52" s="241" t="s">
        <v>2122</v>
      </c>
      <c r="D52" s="241"/>
      <c r="E52" s="241"/>
      <c r="F52" s="242">
        <v>5815074.8177000005</v>
      </c>
      <c r="G52" s="243">
        <v>45121</v>
      </c>
      <c r="H52" s="241"/>
      <c r="I52" s="241"/>
      <c r="J52" s="244"/>
      <c r="K52" s="241"/>
      <c r="L52" s="241"/>
    </row>
    <row r="53" spans="1:12" s="215" customFormat="1">
      <c r="A53" s="237" t="s">
        <v>2041</v>
      </c>
      <c r="B53" s="237" t="s">
        <v>2042</v>
      </c>
      <c r="C53" s="237" t="s">
        <v>2122</v>
      </c>
      <c r="D53" s="237"/>
      <c r="E53" s="237"/>
      <c r="F53" s="238">
        <v>2440611.79605</v>
      </c>
      <c r="G53" s="239">
        <v>45121</v>
      </c>
      <c r="H53" s="237"/>
      <c r="I53" s="237"/>
      <c r="J53" s="240"/>
      <c r="K53" s="237"/>
      <c r="L53" s="237"/>
    </row>
    <row r="54" spans="1:12" s="215" customFormat="1">
      <c r="A54" s="241" t="s">
        <v>2041</v>
      </c>
      <c r="B54" s="241" t="s">
        <v>2042</v>
      </c>
      <c r="C54" s="241" t="s">
        <v>2122</v>
      </c>
      <c r="D54" s="241"/>
      <c r="E54" s="241"/>
      <c r="F54" s="242">
        <v>2384804.6397500001</v>
      </c>
      <c r="G54" s="243">
        <v>45006</v>
      </c>
      <c r="H54" s="241"/>
      <c r="I54" s="241"/>
      <c r="J54" s="244"/>
      <c r="K54" s="241"/>
      <c r="L54" s="241"/>
    </row>
    <row r="55" spans="1:12" s="215" customFormat="1">
      <c r="A55" s="237" t="s">
        <v>2041</v>
      </c>
      <c r="B55" s="237" t="s">
        <v>2042</v>
      </c>
      <c r="C55" s="237" t="s">
        <v>2122</v>
      </c>
      <c r="D55" s="237"/>
      <c r="E55" s="237"/>
      <c r="F55" s="238">
        <v>6027615.1347500002</v>
      </c>
      <c r="G55" s="239">
        <v>44993</v>
      </c>
      <c r="H55" s="237"/>
      <c r="I55" s="237"/>
      <c r="J55" s="240"/>
      <c r="K55" s="237"/>
      <c r="L55" s="237"/>
    </row>
    <row r="56" spans="1:12" s="215" customFormat="1">
      <c r="A56" s="241" t="s">
        <v>2041</v>
      </c>
      <c r="B56" s="241" t="s">
        <v>2042</v>
      </c>
      <c r="C56" s="241" t="s">
        <v>2122</v>
      </c>
      <c r="D56" s="241"/>
      <c r="E56" s="241"/>
      <c r="F56" s="242">
        <v>2610588.8421</v>
      </c>
      <c r="G56" s="243">
        <v>44966</v>
      </c>
      <c r="H56" s="241"/>
      <c r="I56" s="241"/>
      <c r="J56" s="244"/>
      <c r="K56" s="241"/>
      <c r="L56" s="241"/>
    </row>
    <row r="57" spans="1:12" s="215" customFormat="1">
      <c r="A57" s="237" t="s">
        <v>2041</v>
      </c>
      <c r="B57" s="237" t="s">
        <v>2042</v>
      </c>
      <c r="C57" s="237" t="s">
        <v>2122</v>
      </c>
      <c r="D57" s="237"/>
      <c r="E57" s="237"/>
      <c r="F57" s="238">
        <v>5426665.6768500004</v>
      </c>
      <c r="G57" s="239">
        <v>44958</v>
      </c>
      <c r="H57" s="237"/>
      <c r="I57" s="237"/>
      <c r="J57" s="240"/>
      <c r="K57" s="237"/>
      <c r="L57" s="237"/>
    </row>
    <row r="58" spans="1:12" s="215" customFormat="1">
      <c r="A58" s="241" t="s">
        <v>2041</v>
      </c>
      <c r="B58" s="241" t="s">
        <v>2042</v>
      </c>
      <c r="C58" s="241" t="s">
        <v>2122</v>
      </c>
      <c r="D58" s="241"/>
      <c r="E58" s="241"/>
      <c r="F58" s="242">
        <v>7123560</v>
      </c>
      <c r="G58" s="243">
        <v>45148</v>
      </c>
      <c r="H58" s="241"/>
      <c r="I58" s="241"/>
      <c r="J58" s="244"/>
      <c r="K58" s="241"/>
      <c r="L58" s="241"/>
    </row>
    <row r="59" spans="1:12" s="215" customFormat="1">
      <c r="A59" s="237" t="s">
        <v>2041</v>
      </c>
      <c r="B59" s="237" t="s">
        <v>2042</v>
      </c>
      <c r="C59" s="237" t="s">
        <v>2122</v>
      </c>
      <c r="D59" s="237"/>
      <c r="E59" s="237"/>
      <c r="F59" s="238">
        <v>913584.69739999995</v>
      </c>
      <c r="G59" s="239">
        <v>45273</v>
      </c>
      <c r="H59" s="237"/>
      <c r="I59" s="237"/>
      <c r="J59" s="240"/>
      <c r="K59" s="237"/>
      <c r="L59" s="237"/>
    </row>
    <row r="60" spans="1:12" s="215" customFormat="1">
      <c r="A60" s="241" t="s">
        <v>2041</v>
      </c>
      <c r="B60" s="241" t="s">
        <v>2042</v>
      </c>
      <c r="C60" s="241" t="s">
        <v>2122</v>
      </c>
      <c r="D60" s="241"/>
      <c r="E60" s="241"/>
      <c r="F60" s="242">
        <v>913584.69739999995</v>
      </c>
      <c r="G60" s="243">
        <v>45240</v>
      </c>
      <c r="H60" s="241"/>
      <c r="I60" s="241"/>
      <c r="J60" s="244"/>
      <c r="K60" s="241"/>
      <c r="L60" s="241"/>
    </row>
    <row r="61" spans="1:12" s="215" customFormat="1">
      <c r="A61" s="237" t="s">
        <v>2041</v>
      </c>
      <c r="B61" s="237" t="s">
        <v>2042</v>
      </c>
      <c r="C61" s="237" t="s">
        <v>2122</v>
      </c>
      <c r="D61" s="237"/>
      <c r="E61" s="237"/>
      <c r="F61" s="238">
        <v>913584.69739999995</v>
      </c>
      <c r="G61" s="239">
        <v>45238</v>
      </c>
      <c r="H61" s="237"/>
      <c r="I61" s="237"/>
      <c r="J61" s="240"/>
      <c r="K61" s="237"/>
      <c r="L61" s="237"/>
    </row>
    <row r="62" spans="1:12" s="215" customFormat="1">
      <c r="A62" s="241" t="s">
        <v>2041</v>
      </c>
      <c r="B62" s="241" t="s">
        <v>2042</v>
      </c>
      <c r="C62" s="241" t="s">
        <v>2122</v>
      </c>
      <c r="D62" s="241"/>
      <c r="E62" s="241"/>
      <c r="F62" s="242">
        <v>8519335.5056499988</v>
      </c>
      <c r="G62" s="243">
        <v>45194</v>
      </c>
      <c r="H62" s="241"/>
      <c r="I62" s="241"/>
      <c r="J62" s="244"/>
      <c r="K62" s="241"/>
      <c r="L62" s="241"/>
    </row>
    <row r="63" spans="1:12" s="215" customFormat="1">
      <c r="A63" s="237" t="s">
        <v>2041</v>
      </c>
      <c r="B63" s="237" t="s">
        <v>2042</v>
      </c>
      <c r="C63" s="237" t="s">
        <v>2122</v>
      </c>
      <c r="D63" s="237"/>
      <c r="E63" s="237"/>
      <c r="F63" s="238">
        <v>913002.94</v>
      </c>
      <c r="G63" s="239">
        <v>45177</v>
      </c>
      <c r="H63" s="237"/>
      <c r="I63" s="237"/>
      <c r="J63" s="240"/>
      <c r="K63" s="237"/>
      <c r="L63" s="237"/>
    </row>
    <row r="64" spans="1:12" s="215" customFormat="1">
      <c r="A64" s="241" t="s">
        <v>2041</v>
      </c>
      <c r="B64" s="241" t="s">
        <v>2042</v>
      </c>
      <c r="C64" s="241" t="s">
        <v>2122</v>
      </c>
      <c r="D64" s="241"/>
      <c r="E64" s="241"/>
      <c r="F64" s="242">
        <v>998188.84499999997</v>
      </c>
      <c r="G64" s="243">
        <v>45177</v>
      </c>
      <c r="H64" s="241"/>
      <c r="I64" s="241"/>
      <c r="J64" s="244"/>
      <c r="K64" s="241"/>
      <c r="L64" s="241"/>
    </row>
    <row r="65" spans="1:12" s="215" customFormat="1">
      <c r="A65" s="237" t="s">
        <v>2041</v>
      </c>
      <c r="B65" s="237" t="s">
        <v>2042</v>
      </c>
      <c r="C65" s="237" t="s">
        <v>2122</v>
      </c>
      <c r="D65" s="237"/>
      <c r="E65" s="237"/>
      <c r="F65" s="238">
        <v>150408.0331</v>
      </c>
      <c r="G65" s="239">
        <v>45156</v>
      </c>
      <c r="H65" s="237"/>
      <c r="I65" s="237"/>
      <c r="J65" s="240"/>
      <c r="K65" s="237"/>
      <c r="L65" s="237"/>
    </row>
    <row r="66" spans="1:12" s="215" customFormat="1">
      <c r="A66" s="241" t="s">
        <v>2041</v>
      </c>
      <c r="B66" s="241" t="s">
        <v>2042</v>
      </c>
      <c r="C66" s="241" t="s">
        <v>2122</v>
      </c>
      <c r="D66" s="241"/>
      <c r="E66" s="241"/>
      <c r="F66" s="242">
        <v>889931.51005000004</v>
      </c>
      <c r="G66" s="243">
        <v>45121</v>
      </c>
      <c r="H66" s="241"/>
      <c r="I66" s="241"/>
      <c r="J66" s="244"/>
      <c r="K66" s="241"/>
      <c r="L66" s="241"/>
    </row>
    <row r="67" spans="1:12" s="215" customFormat="1">
      <c r="A67" s="237" t="s">
        <v>2041</v>
      </c>
      <c r="B67" s="237" t="s">
        <v>2042</v>
      </c>
      <c r="C67" s="237" t="s">
        <v>2122</v>
      </c>
      <c r="D67" s="237"/>
      <c r="E67" s="237"/>
      <c r="F67" s="238">
        <v>5523154.2970500002</v>
      </c>
      <c r="G67" s="239">
        <v>45104</v>
      </c>
      <c r="H67" s="237"/>
      <c r="I67" s="237"/>
      <c r="J67" s="240"/>
      <c r="K67" s="237"/>
      <c r="L67" s="237"/>
    </row>
    <row r="68" spans="1:12" s="215" customFormat="1">
      <c r="A68" s="241" t="s">
        <v>2041</v>
      </c>
      <c r="B68" s="241" t="s">
        <v>2042</v>
      </c>
      <c r="C68" s="241" t="s">
        <v>2122</v>
      </c>
      <c r="D68" s="241"/>
      <c r="E68" s="241"/>
      <c r="F68" s="242">
        <v>889931.51005000004</v>
      </c>
      <c r="G68" s="243">
        <v>45091</v>
      </c>
      <c r="H68" s="241"/>
      <c r="I68" s="241"/>
      <c r="J68" s="244"/>
      <c r="K68" s="241"/>
      <c r="L68" s="241"/>
    </row>
    <row r="69" spans="1:12" s="215" customFormat="1">
      <c r="A69" s="237" t="s">
        <v>2041</v>
      </c>
      <c r="B69" s="237" t="s">
        <v>2042</v>
      </c>
      <c r="C69" s="237" t="s">
        <v>2122</v>
      </c>
      <c r="D69" s="237"/>
      <c r="E69" s="237"/>
      <c r="F69" s="238">
        <v>4780520.1989000002</v>
      </c>
      <c r="G69" s="239">
        <v>45070</v>
      </c>
      <c r="H69" s="237"/>
      <c r="I69" s="237"/>
      <c r="J69" s="240"/>
      <c r="K69" s="237"/>
      <c r="L69" s="237"/>
    </row>
    <row r="70" spans="1:12" s="215" customFormat="1">
      <c r="A70" s="241" t="s">
        <v>2041</v>
      </c>
      <c r="B70" s="241" t="s">
        <v>2042</v>
      </c>
      <c r="C70" s="241" t="s">
        <v>2122</v>
      </c>
      <c r="D70" s="241"/>
      <c r="E70" s="241"/>
      <c r="F70" s="242">
        <v>889931.51005000004</v>
      </c>
      <c r="G70" s="243">
        <v>45058</v>
      </c>
      <c r="H70" s="241"/>
      <c r="I70" s="241"/>
      <c r="J70" s="244"/>
      <c r="K70" s="241"/>
      <c r="L70" s="241"/>
    </row>
    <row r="71" spans="1:12" s="215" customFormat="1">
      <c r="A71" s="237" t="s">
        <v>2041</v>
      </c>
      <c r="B71" s="237" t="s">
        <v>2042</v>
      </c>
      <c r="C71" s="237" t="s">
        <v>2122</v>
      </c>
      <c r="D71" s="237"/>
      <c r="E71" s="237"/>
      <c r="F71" s="238">
        <v>889931.51005000004</v>
      </c>
      <c r="G71" s="239">
        <v>45028</v>
      </c>
      <c r="H71" s="237"/>
      <c r="I71" s="237"/>
      <c r="J71" s="240"/>
      <c r="K71" s="237"/>
      <c r="L71" s="237"/>
    </row>
    <row r="72" spans="1:12" s="215" customFormat="1">
      <c r="A72" s="241" t="s">
        <v>2041</v>
      </c>
      <c r="B72" s="241" t="s">
        <v>2042</v>
      </c>
      <c r="C72" s="241" t="s">
        <v>2122</v>
      </c>
      <c r="D72" s="241"/>
      <c r="E72" s="241"/>
      <c r="F72" s="242">
        <v>4902831.7241000002</v>
      </c>
      <c r="G72" s="243">
        <v>45028</v>
      </c>
      <c r="H72" s="241"/>
      <c r="I72" s="241"/>
      <c r="J72" s="244"/>
      <c r="K72" s="241"/>
      <c r="L72" s="241"/>
    </row>
    <row r="73" spans="1:12" s="215" customFormat="1">
      <c r="A73" s="237" t="s">
        <v>2041</v>
      </c>
      <c r="B73" s="237" t="s">
        <v>2042</v>
      </c>
      <c r="C73" s="237" t="s">
        <v>2122</v>
      </c>
      <c r="D73" s="237"/>
      <c r="E73" s="237"/>
      <c r="F73" s="238">
        <v>889931.51005000004</v>
      </c>
      <c r="G73" s="239">
        <v>45001</v>
      </c>
      <c r="H73" s="237"/>
      <c r="I73" s="237"/>
      <c r="J73" s="240"/>
      <c r="K73" s="237"/>
      <c r="L73" s="237"/>
    </row>
    <row r="74" spans="1:12" s="215" customFormat="1">
      <c r="A74" s="241" t="s">
        <v>2041</v>
      </c>
      <c r="B74" s="241" t="s">
        <v>2042</v>
      </c>
      <c r="C74" s="241" t="s">
        <v>2122</v>
      </c>
      <c r="D74" s="241"/>
      <c r="E74" s="241"/>
      <c r="F74" s="242">
        <v>889931.51005000004</v>
      </c>
      <c r="G74" s="243">
        <v>44966</v>
      </c>
      <c r="H74" s="241"/>
      <c r="I74" s="241"/>
      <c r="J74" s="244"/>
      <c r="K74" s="241"/>
      <c r="L74" s="241"/>
    </row>
    <row r="75" spans="1:12" s="215" customFormat="1">
      <c r="A75" s="237" t="s">
        <v>2041</v>
      </c>
      <c r="B75" s="237" t="s">
        <v>2042</v>
      </c>
      <c r="C75" s="237" t="s">
        <v>2122</v>
      </c>
      <c r="D75" s="237"/>
      <c r="E75" s="237"/>
      <c r="F75" s="238">
        <v>889931.51005000004</v>
      </c>
      <c r="G75" s="239">
        <v>44965</v>
      </c>
      <c r="H75" s="237"/>
      <c r="I75" s="237"/>
      <c r="J75" s="240"/>
      <c r="K75" s="237"/>
      <c r="L75" s="237"/>
    </row>
    <row r="76" spans="1:12" s="215" customFormat="1">
      <c r="A76" s="241" t="s">
        <v>2041</v>
      </c>
      <c r="B76" s="241" t="s">
        <v>2042</v>
      </c>
      <c r="C76" s="241" t="s">
        <v>2122</v>
      </c>
      <c r="D76" s="241"/>
      <c r="E76" s="241"/>
      <c r="F76" s="242">
        <v>889931.51005000004</v>
      </c>
      <c r="G76" s="243">
        <v>44965</v>
      </c>
      <c r="H76" s="241"/>
      <c r="I76" s="241"/>
      <c r="J76" s="244"/>
      <c r="K76" s="241"/>
      <c r="L76" s="241"/>
    </row>
    <row r="77" spans="1:12" s="215" customFormat="1">
      <c r="A77" s="237" t="s">
        <v>2041</v>
      </c>
      <c r="B77" s="237" t="s">
        <v>2042</v>
      </c>
      <c r="C77" s="237" t="s">
        <v>2122</v>
      </c>
      <c r="D77" s="237"/>
      <c r="E77" s="237"/>
      <c r="F77" s="238">
        <v>889931.51005000004</v>
      </c>
      <c r="G77" s="239">
        <v>44965</v>
      </c>
      <c r="H77" s="237"/>
      <c r="I77" s="237"/>
      <c r="J77" s="240"/>
      <c r="K77" s="237"/>
      <c r="L77" s="237"/>
    </row>
    <row r="78" spans="1:12" s="215" customFormat="1">
      <c r="A78" s="241" t="s">
        <v>2041</v>
      </c>
      <c r="B78" s="241" t="s">
        <v>2042</v>
      </c>
      <c r="C78" s="241" t="s">
        <v>2122</v>
      </c>
      <c r="D78" s="241"/>
      <c r="E78" s="241"/>
      <c r="F78" s="242">
        <v>5703911.6639</v>
      </c>
      <c r="G78" s="243">
        <v>44946</v>
      </c>
      <c r="H78" s="241"/>
      <c r="I78" s="241"/>
      <c r="J78" s="244"/>
      <c r="K78" s="241"/>
      <c r="L78" s="241"/>
    </row>
    <row r="79" spans="1:12" s="215" customFormat="1">
      <c r="A79" s="237" t="s">
        <v>2041</v>
      </c>
      <c r="B79" s="237" t="s">
        <v>2042</v>
      </c>
      <c r="C79" s="237" t="s">
        <v>2122</v>
      </c>
      <c r="D79" s="237"/>
      <c r="E79" s="237"/>
      <c r="F79" s="238">
        <v>2602586.7096999995</v>
      </c>
      <c r="G79" s="239">
        <v>45246</v>
      </c>
      <c r="H79" s="237"/>
      <c r="I79" s="237"/>
      <c r="J79" s="240"/>
      <c r="K79" s="237"/>
      <c r="L79" s="237"/>
    </row>
    <row r="80" spans="1:12" s="215" customFormat="1">
      <c r="A80" s="241" t="s">
        <v>2041</v>
      </c>
      <c r="B80" s="241" t="s">
        <v>2042</v>
      </c>
      <c r="C80" s="241" t="s">
        <v>2122</v>
      </c>
      <c r="D80" s="241"/>
      <c r="E80" s="241"/>
      <c r="F80" s="242">
        <v>1726575.8231500001</v>
      </c>
      <c r="G80" s="243">
        <v>45209</v>
      </c>
      <c r="H80" s="241"/>
      <c r="I80" s="241"/>
      <c r="J80" s="244"/>
      <c r="K80" s="241"/>
      <c r="L80" s="241"/>
    </row>
    <row r="81" spans="1:13" s="215" customFormat="1">
      <c r="A81" s="237" t="s">
        <v>2041</v>
      </c>
      <c r="B81" s="237" t="s">
        <v>2042</v>
      </c>
      <c r="C81" s="237" t="s">
        <v>2122</v>
      </c>
      <c r="D81" s="237"/>
      <c r="E81" s="237"/>
      <c r="F81" s="238">
        <v>2094513.6334500001</v>
      </c>
      <c r="G81" s="239">
        <v>45203</v>
      </c>
      <c r="H81" s="237"/>
      <c r="I81" s="237"/>
      <c r="J81" s="240"/>
      <c r="K81" s="237"/>
      <c r="L81" s="237"/>
    </row>
    <row r="82" spans="1:13" s="215" customFormat="1">
      <c r="A82" s="241" t="s">
        <v>2041</v>
      </c>
      <c r="B82" s="241" t="s">
        <v>2042</v>
      </c>
      <c r="C82" s="241" t="s">
        <v>2122</v>
      </c>
      <c r="D82" s="241"/>
      <c r="E82" s="241"/>
      <c r="F82" s="242">
        <v>29519335.124749999</v>
      </c>
      <c r="G82" s="243">
        <v>45162</v>
      </c>
      <c r="H82" s="241"/>
      <c r="I82" s="241"/>
      <c r="J82" s="244"/>
      <c r="K82" s="241"/>
      <c r="L82" s="241"/>
    </row>
    <row r="83" spans="1:13" s="215" customFormat="1">
      <c r="A83" s="237" t="s">
        <v>2041</v>
      </c>
      <c r="B83" s="237" t="s">
        <v>2042</v>
      </c>
      <c r="C83" s="237" t="s">
        <v>2122</v>
      </c>
      <c r="D83" s="237"/>
      <c r="E83" s="237"/>
      <c r="F83" s="238">
        <v>24469.428599999999</v>
      </c>
      <c r="G83" s="239">
        <v>45161</v>
      </c>
      <c r="H83" s="237"/>
      <c r="I83" s="237"/>
      <c r="J83" s="240"/>
      <c r="K83" s="237"/>
      <c r="L83" s="237"/>
    </row>
    <row r="84" spans="1:13" s="215" customFormat="1">
      <c r="A84" s="241" t="s">
        <v>2041</v>
      </c>
      <c r="B84" s="241" t="s">
        <v>2042</v>
      </c>
      <c r="C84" s="241" t="s">
        <v>2122</v>
      </c>
      <c r="D84" s="241"/>
      <c r="E84" s="241"/>
      <c r="F84" s="242">
        <v>772446.19674999989</v>
      </c>
      <c r="G84" s="243">
        <v>45015</v>
      </c>
      <c r="H84" s="241"/>
      <c r="I84" s="241"/>
      <c r="J84" s="244"/>
      <c r="K84" s="241"/>
      <c r="L84" s="241"/>
    </row>
    <row r="85" spans="1:13" s="215" customFormat="1">
      <c r="A85" s="237" t="s">
        <v>2041</v>
      </c>
      <c r="B85" s="237" t="s">
        <v>2042</v>
      </c>
      <c r="C85" s="237" t="s">
        <v>2122</v>
      </c>
      <c r="D85" s="237"/>
      <c r="E85" s="237"/>
      <c r="F85" s="238">
        <v>1103893.5709500001</v>
      </c>
      <c r="G85" s="239">
        <v>45198</v>
      </c>
      <c r="H85" s="237"/>
      <c r="I85" s="237"/>
      <c r="J85" s="240"/>
      <c r="K85" s="237"/>
      <c r="L85" s="237"/>
    </row>
    <row r="86" spans="1:13" s="215" customFormat="1">
      <c r="A86" s="241" t="s">
        <v>2041</v>
      </c>
      <c r="B86" s="241" t="s">
        <v>2042</v>
      </c>
      <c r="C86" s="241" t="s">
        <v>2122</v>
      </c>
      <c r="D86" s="241"/>
      <c r="E86" s="241"/>
      <c r="F86" s="242">
        <v>7238465.9909500005</v>
      </c>
      <c r="G86" s="243">
        <v>45092</v>
      </c>
      <c r="H86" s="241"/>
      <c r="I86" s="241"/>
      <c r="J86" s="244"/>
      <c r="K86" s="241"/>
      <c r="L86" s="241"/>
    </row>
    <row r="87" spans="1:13" s="215" customFormat="1">
      <c r="A87" s="237" t="s">
        <v>2041</v>
      </c>
      <c r="B87" s="237" t="s">
        <v>2042</v>
      </c>
      <c r="C87" s="237" t="s">
        <v>2122</v>
      </c>
      <c r="D87" s="237"/>
      <c r="E87" s="237"/>
      <c r="F87" s="238">
        <v>15819352.023150001</v>
      </c>
      <c r="G87" s="239">
        <v>45040</v>
      </c>
      <c r="H87" s="237"/>
      <c r="I87" s="237"/>
      <c r="J87" s="240"/>
      <c r="K87" s="237"/>
      <c r="L87" s="237"/>
    </row>
    <row r="88" spans="1:13" s="215" customFormat="1">
      <c r="A88" s="241" t="s">
        <v>2041</v>
      </c>
      <c r="B88" s="241" t="s">
        <v>2042</v>
      </c>
      <c r="C88" s="241" t="s">
        <v>2122</v>
      </c>
      <c r="D88" s="241"/>
      <c r="E88" s="241"/>
      <c r="F88" s="242">
        <v>2359723.7722499999</v>
      </c>
      <c r="G88" s="243">
        <v>45191</v>
      </c>
      <c r="H88" s="241"/>
      <c r="I88" s="241"/>
      <c r="J88" s="244"/>
      <c r="K88" s="241"/>
      <c r="L88" s="241"/>
    </row>
    <row r="89" spans="1:13" s="215" customFormat="1">
      <c r="A89" s="739" t="s">
        <v>1246</v>
      </c>
      <c r="B89" s="739"/>
      <c r="C89" s="739"/>
      <c r="D89" s="739"/>
      <c r="E89" s="739"/>
      <c r="F89" s="268">
        <f>SUM(F33:F88)</f>
        <v>334896854.24475002</v>
      </c>
      <c r="G89" s="269"/>
      <c r="H89" s="267"/>
      <c r="I89" s="267"/>
      <c r="J89" s="268">
        <f>SUM(J33:J88)</f>
        <v>0</v>
      </c>
      <c r="K89" s="267"/>
      <c r="L89" s="267"/>
      <c r="M89" s="267"/>
    </row>
    <row r="90" spans="1:13" s="215" customFormat="1">
      <c r="A90" s="220"/>
      <c r="G90" s="283"/>
      <c r="H90" s="227"/>
    </row>
    <row r="91" spans="1:13" s="215" customFormat="1">
      <c r="A91" s="220"/>
      <c r="G91" s="283"/>
      <c r="H91" s="227"/>
    </row>
    <row r="94" spans="1:13">
      <c r="F94" s="203">
        <v>334896854</v>
      </c>
    </row>
  </sheetData>
  <mergeCells count="9">
    <mergeCell ref="A1:C1"/>
    <mergeCell ref="A89:E89"/>
    <mergeCell ref="F6:G6"/>
    <mergeCell ref="H6:I6"/>
    <mergeCell ref="J6:L6"/>
    <mergeCell ref="A26:E26"/>
    <mergeCell ref="F31:G31"/>
    <mergeCell ref="H31:I31"/>
    <mergeCell ref="J31:L31"/>
  </mergeCells>
  <hyperlinks>
    <hyperlink ref="A1:C1" location="Sommaire!A1" display="Sommaire!A1"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euil19"/>
  <dimension ref="A1:J622"/>
  <sheetViews>
    <sheetView workbookViewId="0"/>
  </sheetViews>
  <sheetFormatPr baseColWidth="10" defaultColWidth="11.5" defaultRowHeight="12"/>
  <cols>
    <col min="1" max="1" width="8.33203125" style="215" customWidth="1"/>
    <col min="2" max="2" width="35.6640625" style="215" bestFit="1" customWidth="1"/>
    <col min="3" max="3" width="73.6640625" style="215" bestFit="1" customWidth="1"/>
    <col min="4" max="4" width="6.6640625" style="215" bestFit="1" customWidth="1"/>
    <col min="5" max="5" width="28.6640625" style="215" bestFit="1" customWidth="1"/>
    <col min="6" max="6" width="18.33203125" style="215" bestFit="1" customWidth="1"/>
    <col min="7" max="7" width="6" style="215" bestFit="1" customWidth="1"/>
    <col min="8" max="8" width="10.6640625" style="227" bestFit="1" customWidth="1"/>
    <col min="9" max="9" width="9.33203125" style="227" bestFit="1" customWidth="1"/>
    <col min="10" max="10" width="26.5" style="215" customWidth="1"/>
    <col min="11" max="16384" width="11.5" style="215"/>
  </cols>
  <sheetData>
    <row r="1" spans="1:10" ht="14.5">
      <c r="A1" s="570" t="s">
        <v>140</v>
      </c>
      <c r="B1" s="570"/>
      <c r="C1" s="570"/>
    </row>
    <row r="2" spans="1:10" ht="14.5">
      <c r="A2" s="570"/>
      <c r="B2" s="570"/>
      <c r="C2" s="570"/>
    </row>
    <row r="3" spans="1:10" ht="19">
      <c r="A3" s="559" t="s">
        <v>2123</v>
      </c>
    </row>
    <row r="4" spans="1:10" ht="19">
      <c r="A4" s="559"/>
    </row>
    <row r="5" spans="1:10" ht="24">
      <c r="A5" s="571" t="s">
        <v>2124</v>
      </c>
      <c r="B5" s="571" t="s">
        <v>2125</v>
      </c>
      <c r="C5" s="571" t="s">
        <v>2084</v>
      </c>
      <c r="D5" s="571" t="s">
        <v>2126</v>
      </c>
      <c r="E5" s="571" t="s">
        <v>2127</v>
      </c>
      <c r="F5" s="571" t="s">
        <v>2128</v>
      </c>
      <c r="G5" s="571" t="s">
        <v>2129</v>
      </c>
      <c r="H5" s="571" t="s">
        <v>2130</v>
      </c>
      <c r="I5" s="571" t="s">
        <v>2131</v>
      </c>
      <c r="J5" s="571" t="s">
        <v>2132</v>
      </c>
    </row>
    <row r="6" spans="1:10">
      <c r="A6" s="586">
        <v>1</v>
      </c>
      <c r="B6" s="565" t="s">
        <v>2133</v>
      </c>
      <c r="C6" s="565" t="s">
        <v>2134</v>
      </c>
      <c r="D6" s="565" t="s">
        <v>2135</v>
      </c>
      <c r="E6" s="565" t="s">
        <v>2136</v>
      </c>
      <c r="F6" s="565" t="s">
        <v>2137</v>
      </c>
      <c r="G6" s="565">
        <v>2011</v>
      </c>
      <c r="H6" s="399">
        <v>40864</v>
      </c>
      <c r="I6" s="399">
        <v>42690</v>
      </c>
      <c r="J6" s="572" t="s">
        <v>2138</v>
      </c>
    </row>
    <row r="7" spans="1:10">
      <c r="A7" s="587">
        <v>2</v>
      </c>
      <c r="B7" s="564" t="s">
        <v>2139</v>
      </c>
      <c r="C7" s="564" t="s">
        <v>2140</v>
      </c>
      <c r="D7" s="564" t="s">
        <v>2135</v>
      </c>
      <c r="E7" s="564" t="s">
        <v>2141</v>
      </c>
      <c r="F7" s="564" t="s">
        <v>2137</v>
      </c>
      <c r="G7" s="564">
        <v>2012</v>
      </c>
      <c r="H7" s="398">
        <v>41143</v>
      </c>
      <c r="I7" s="398">
        <v>42968</v>
      </c>
      <c r="J7" s="573" t="s">
        <v>2142</v>
      </c>
    </row>
    <row r="8" spans="1:10">
      <c r="A8" s="586">
        <v>3</v>
      </c>
      <c r="B8" s="565" t="s">
        <v>2143</v>
      </c>
      <c r="C8" s="565" t="s">
        <v>2144</v>
      </c>
      <c r="D8" s="565" t="s">
        <v>2135</v>
      </c>
      <c r="E8" s="565" t="s">
        <v>2136</v>
      </c>
      <c r="F8" s="565" t="s">
        <v>2137</v>
      </c>
      <c r="G8" s="565">
        <v>2015</v>
      </c>
      <c r="H8" s="399">
        <v>42054</v>
      </c>
      <c r="I8" s="399">
        <v>43879</v>
      </c>
      <c r="J8" s="572" t="s">
        <v>2142</v>
      </c>
    </row>
    <row r="9" spans="1:10">
      <c r="A9" s="587">
        <v>4</v>
      </c>
      <c r="B9" s="564" t="s">
        <v>2133</v>
      </c>
      <c r="C9" s="564" t="s">
        <v>2145</v>
      </c>
      <c r="D9" s="564" t="s">
        <v>2135</v>
      </c>
      <c r="E9" s="564" t="s">
        <v>2136</v>
      </c>
      <c r="F9" s="564" t="s">
        <v>2137</v>
      </c>
      <c r="G9" s="564">
        <v>2015</v>
      </c>
      <c r="H9" s="398">
        <v>42054</v>
      </c>
      <c r="I9" s="398">
        <v>43879</v>
      </c>
      <c r="J9" s="573" t="s">
        <v>2146</v>
      </c>
    </row>
    <row r="10" spans="1:10">
      <c r="A10" s="586">
        <v>5</v>
      </c>
      <c r="B10" s="565" t="s">
        <v>2143</v>
      </c>
      <c r="C10" s="565" t="s">
        <v>2147</v>
      </c>
      <c r="D10" s="565" t="s">
        <v>2135</v>
      </c>
      <c r="E10" s="565" t="s">
        <v>2136</v>
      </c>
      <c r="F10" s="565" t="s">
        <v>2137</v>
      </c>
      <c r="G10" s="565">
        <v>2015</v>
      </c>
      <c r="H10" s="399">
        <v>42054</v>
      </c>
      <c r="I10" s="399">
        <v>43879</v>
      </c>
      <c r="J10" s="572" t="s">
        <v>2142</v>
      </c>
    </row>
    <row r="11" spans="1:10">
      <c r="A11" s="587">
        <v>6</v>
      </c>
      <c r="B11" s="564" t="s">
        <v>2148</v>
      </c>
      <c r="C11" s="564" t="s">
        <v>2149</v>
      </c>
      <c r="D11" s="564" t="s">
        <v>2135</v>
      </c>
      <c r="E11" s="564" t="s">
        <v>2136</v>
      </c>
      <c r="F11" s="564" t="s">
        <v>2137</v>
      </c>
      <c r="G11" s="564">
        <v>2011</v>
      </c>
      <c r="H11" s="398">
        <v>40575</v>
      </c>
      <c r="I11" s="398">
        <v>44255</v>
      </c>
      <c r="J11" s="573" t="s">
        <v>2150</v>
      </c>
    </row>
    <row r="12" spans="1:10">
      <c r="A12" s="586">
        <v>7</v>
      </c>
      <c r="B12" s="565" t="s">
        <v>2151</v>
      </c>
      <c r="C12" s="565" t="s">
        <v>2152</v>
      </c>
      <c r="D12" s="565" t="s">
        <v>2135</v>
      </c>
      <c r="E12" s="565" t="s">
        <v>2153</v>
      </c>
      <c r="F12" s="565" t="s">
        <v>2137</v>
      </c>
      <c r="G12" s="565">
        <v>2006</v>
      </c>
      <c r="H12" s="399">
        <v>39024</v>
      </c>
      <c r="I12" s="399">
        <v>44296</v>
      </c>
      <c r="J12" s="572" t="s">
        <v>2150</v>
      </c>
    </row>
    <row r="13" spans="1:10">
      <c r="A13" s="587">
        <v>8</v>
      </c>
      <c r="B13" s="564" t="s">
        <v>2133</v>
      </c>
      <c r="C13" s="564" t="s">
        <v>2154</v>
      </c>
      <c r="D13" s="564" t="s">
        <v>2135</v>
      </c>
      <c r="E13" s="564" t="s">
        <v>2136</v>
      </c>
      <c r="F13" s="564" t="s">
        <v>2155</v>
      </c>
      <c r="G13" s="564">
        <v>2016</v>
      </c>
      <c r="H13" s="398">
        <v>42551</v>
      </c>
      <c r="I13" s="398">
        <v>44376</v>
      </c>
      <c r="J13" s="573" t="s">
        <v>2142</v>
      </c>
    </row>
    <row r="14" spans="1:10">
      <c r="A14" s="586">
        <v>9</v>
      </c>
      <c r="B14" s="565" t="s">
        <v>2156</v>
      </c>
      <c r="C14" s="565" t="s">
        <v>2157</v>
      </c>
      <c r="D14" s="565" t="s">
        <v>2135</v>
      </c>
      <c r="E14" s="565" t="s">
        <v>2136</v>
      </c>
      <c r="F14" s="565" t="s">
        <v>2155</v>
      </c>
      <c r="G14" s="565">
        <v>2009</v>
      </c>
      <c r="H14" s="399">
        <v>40128</v>
      </c>
      <c r="I14" s="399">
        <v>44438</v>
      </c>
      <c r="J14" s="572" t="s">
        <v>2158</v>
      </c>
    </row>
    <row r="15" spans="1:10">
      <c r="A15" s="587">
        <v>10</v>
      </c>
      <c r="B15" s="564" t="s">
        <v>2159</v>
      </c>
      <c r="C15" s="564" t="s">
        <v>2160</v>
      </c>
      <c r="D15" s="564" t="s">
        <v>2135</v>
      </c>
      <c r="E15" s="564" t="s">
        <v>2153</v>
      </c>
      <c r="F15" s="564" t="s">
        <v>2155</v>
      </c>
      <c r="G15" s="564">
        <v>2010</v>
      </c>
      <c r="H15" s="398">
        <v>40430</v>
      </c>
      <c r="I15" s="398">
        <v>44474</v>
      </c>
      <c r="J15" s="573" t="s">
        <v>2142</v>
      </c>
    </row>
    <row r="16" spans="1:10">
      <c r="A16" s="586">
        <v>11</v>
      </c>
      <c r="B16" s="565" t="s">
        <v>2161</v>
      </c>
      <c r="C16" s="565" t="s">
        <v>2162</v>
      </c>
      <c r="D16" s="565" t="s">
        <v>2135</v>
      </c>
      <c r="E16" s="565" t="s">
        <v>2136</v>
      </c>
      <c r="F16" s="565" t="s">
        <v>2155</v>
      </c>
      <c r="G16" s="565">
        <v>2016</v>
      </c>
      <c r="H16" s="399">
        <v>42667</v>
      </c>
      <c r="I16" s="399">
        <v>44492</v>
      </c>
      <c r="J16" s="572" t="s">
        <v>2150</v>
      </c>
    </row>
    <row r="17" spans="1:10">
      <c r="A17" s="587">
        <v>12</v>
      </c>
      <c r="B17" s="564" t="s">
        <v>2143</v>
      </c>
      <c r="C17" s="564" t="s">
        <v>2163</v>
      </c>
      <c r="D17" s="564" t="s">
        <v>2135</v>
      </c>
      <c r="E17" s="564" t="s">
        <v>2136</v>
      </c>
      <c r="F17" s="564" t="s">
        <v>2155</v>
      </c>
      <c r="G17" s="564">
        <v>2005</v>
      </c>
      <c r="H17" s="398">
        <v>38525</v>
      </c>
      <c r="I17" s="398">
        <v>44651</v>
      </c>
      <c r="J17" s="573" t="s">
        <v>2146</v>
      </c>
    </row>
    <row r="18" spans="1:10">
      <c r="A18" s="586">
        <v>13</v>
      </c>
      <c r="B18" s="565" t="s">
        <v>2143</v>
      </c>
      <c r="C18" s="565" t="s">
        <v>2164</v>
      </c>
      <c r="D18" s="565" t="s">
        <v>2135</v>
      </c>
      <c r="E18" s="565" t="s">
        <v>2136</v>
      </c>
      <c r="F18" s="565" t="s">
        <v>2155</v>
      </c>
      <c r="G18" s="565">
        <v>2017</v>
      </c>
      <c r="H18" s="399">
        <v>42886</v>
      </c>
      <c r="I18" s="399">
        <v>44711</v>
      </c>
      <c r="J18" s="572" t="s">
        <v>2142</v>
      </c>
    </row>
    <row r="19" spans="1:10">
      <c r="A19" s="587">
        <v>14</v>
      </c>
      <c r="B19" s="564" t="s">
        <v>2165</v>
      </c>
      <c r="C19" s="564" t="s">
        <v>2166</v>
      </c>
      <c r="D19" s="564" t="s">
        <v>2135</v>
      </c>
      <c r="E19" s="564" t="s">
        <v>2141</v>
      </c>
      <c r="F19" s="564" t="s">
        <v>2137</v>
      </c>
      <c r="G19" s="564">
        <v>2013</v>
      </c>
      <c r="H19" s="398">
        <v>41597</v>
      </c>
      <c r="I19" s="398">
        <v>44781</v>
      </c>
      <c r="J19" s="573" t="s">
        <v>2142</v>
      </c>
    </row>
    <row r="20" spans="1:10">
      <c r="A20" s="586">
        <v>15</v>
      </c>
      <c r="B20" s="565" t="s">
        <v>2167</v>
      </c>
      <c r="C20" s="565" t="s">
        <v>2168</v>
      </c>
      <c r="D20" s="565" t="s">
        <v>2135</v>
      </c>
      <c r="E20" s="565" t="s">
        <v>2169</v>
      </c>
      <c r="F20" s="565" t="s">
        <v>2155</v>
      </c>
      <c r="G20" s="565">
        <v>2017</v>
      </c>
      <c r="H20" s="399">
        <v>42977</v>
      </c>
      <c r="I20" s="399">
        <v>44802</v>
      </c>
      <c r="J20" s="572" t="s">
        <v>2170</v>
      </c>
    </row>
    <row r="21" spans="1:10">
      <c r="A21" s="587">
        <v>16</v>
      </c>
      <c r="B21" s="564" t="s">
        <v>2171</v>
      </c>
      <c r="C21" s="564" t="s">
        <v>2160</v>
      </c>
      <c r="D21" s="564" t="s">
        <v>2135</v>
      </c>
      <c r="E21" s="564" t="s">
        <v>2153</v>
      </c>
      <c r="F21" s="564" t="s">
        <v>2155</v>
      </c>
      <c r="G21" s="564">
        <v>2012</v>
      </c>
      <c r="H21" s="398">
        <v>41219</v>
      </c>
      <c r="I21" s="398">
        <v>44870</v>
      </c>
      <c r="J21" s="573" t="s">
        <v>2158</v>
      </c>
    </row>
    <row r="22" spans="1:10">
      <c r="A22" s="586">
        <v>17</v>
      </c>
      <c r="B22" s="565" t="s">
        <v>2172</v>
      </c>
      <c r="C22" s="565" t="s">
        <v>2173</v>
      </c>
      <c r="D22" s="565" t="s">
        <v>2135</v>
      </c>
      <c r="E22" s="565" t="s">
        <v>2136</v>
      </c>
      <c r="F22" s="565" t="s">
        <v>2137</v>
      </c>
      <c r="G22" s="565">
        <v>2018</v>
      </c>
      <c r="H22" s="399">
        <v>43139</v>
      </c>
      <c r="I22" s="399">
        <v>44964</v>
      </c>
      <c r="J22" s="572" t="s">
        <v>2174</v>
      </c>
    </row>
    <row r="23" spans="1:10">
      <c r="A23" s="587">
        <v>18</v>
      </c>
      <c r="B23" s="564" t="s">
        <v>2175</v>
      </c>
      <c r="C23" s="564" t="s">
        <v>2176</v>
      </c>
      <c r="D23" s="564" t="s">
        <v>2135</v>
      </c>
      <c r="E23" s="564" t="s">
        <v>2177</v>
      </c>
      <c r="F23" s="564" t="s">
        <v>2155</v>
      </c>
      <c r="G23" s="564">
        <v>2018</v>
      </c>
      <c r="H23" s="398">
        <v>43139</v>
      </c>
      <c r="I23" s="398">
        <v>44964</v>
      </c>
      <c r="J23" s="573" t="s">
        <v>2178</v>
      </c>
    </row>
    <row r="24" spans="1:10">
      <c r="A24" s="586">
        <v>19</v>
      </c>
      <c r="B24" s="565" t="s">
        <v>2179</v>
      </c>
      <c r="C24" s="565" t="s">
        <v>491</v>
      </c>
      <c r="D24" s="565" t="s">
        <v>2135</v>
      </c>
      <c r="E24" s="565" t="s">
        <v>2177</v>
      </c>
      <c r="F24" s="565" t="s">
        <v>2137</v>
      </c>
      <c r="G24" s="565">
        <v>2018</v>
      </c>
      <c r="H24" s="399">
        <v>43139</v>
      </c>
      <c r="I24" s="399">
        <v>44964</v>
      </c>
      <c r="J24" s="572" t="s">
        <v>2178</v>
      </c>
    </row>
    <row r="25" spans="1:10">
      <c r="A25" s="587">
        <v>20</v>
      </c>
      <c r="B25" s="564" t="s">
        <v>2180</v>
      </c>
      <c r="C25" s="564" t="s">
        <v>2181</v>
      </c>
      <c r="D25" s="564" t="s">
        <v>2135</v>
      </c>
      <c r="E25" s="564" t="s">
        <v>2136</v>
      </c>
      <c r="F25" s="564" t="s">
        <v>2155</v>
      </c>
      <c r="G25" s="564">
        <v>2018</v>
      </c>
      <c r="H25" s="398">
        <v>43229</v>
      </c>
      <c r="I25" s="398">
        <v>45054</v>
      </c>
      <c r="J25" s="573" t="s">
        <v>2158</v>
      </c>
    </row>
    <row r="26" spans="1:10">
      <c r="A26" s="586">
        <v>21</v>
      </c>
      <c r="B26" s="565" t="s">
        <v>2182</v>
      </c>
      <c r="C26" s="565" t="s">
        <v>2183</v>
      </c>
      <c r="D26" s="565" t="s">
        <v>2135</v>
      </c>
      <c r="E26" s="565" t="s">
        <v>2136</v>
      </c>
      <c r="F26" s="565" t="s">
        <v>2155</v>
      </c>
      <c r="G26" s="565">
        <v>2018</v>
      </c>
      <c r="H26" s="399">
        <v>43325</v>
      </c>
      <c r="I26" s="399">
        <v>45150</v>
      </c>
      <c r="J26" s="572" t="s">
        <v>2150</v>
      </c>
    </row>
    <row r="27" spans="1:10">
      <c r="A27" s="587">
        <v>22</v>
      </c>
      <c r="B27" s="564" t="s">
        <v>2184</v>
      </c>
      <c r="C27" s="564" t="s">
        <v>2185</v>
      </c>
      <c r="D27" s="564" t="s">
        <v>2135</v>
      </c>
      <c r="E27" s="564" t="s">
        <v>2153</v>
      </c>
      <c r="F27" s="564" t="s">
        <v>2155</v>
      </c>
      <c r="G27" s="564">
        <v>2018</v>
      </c>
      <c r="H27" s="398">
        <v>43445</v>
      </c>
      <c r="I27" s="398">
        <v>45270</v>
      </c>
      <c r="J27" s="573" t="s">
        <v>2150</v>
      </c>
    </row>
    <row r="28" spans="1:10">
      <c r="A28" s="586">
        <v>23</v>
      </c>
      <c r="B28" s="565" t="s">
        <v>2186</v>
      </c>
      <c r="C28" s="565" t="s">
        <v>2163</v>
      </c>
      <c r="D28" s="565" t="s">
        <v>2135</v>
      </c>
      <c r="E28" s="565" t="s">
        <v>2169</v>
      </c>
      <c r="F28" s="565" t="s">
        <v>2155</v>
      </c>
      <c r="G28" s="565">
        <v>2009</v>
      </c>
      <c r="H28" s="399">
        <v>40066</v>
      </c>
      <c r="I28" s="399">
        <v>45274</v>
      </c>
      <c r="J28" s="572" t="s">
        <v>2187</v>
      </c>
    </row>
    <row r="29" spans="1:10">
      <c r="A29" s="587">
        <v>24</v>
      </c>
      <c r="B29" s="564" t="s">
        <v>2148</v>
      </c>
      <c r="C29" s="564" t="s">
        <v>2188</v>
      </c>
      <c r="D29" s="564" t="s">
        <v>2135</v>
      </c>
      <c r="E29" s="564" t="s">
        <v>2136</v>
      </c>
      <c r="F29" s="564" t="s">
        <v>2155</v>
      </c>
      <c r="G29" s="564">
        <v>2019</v>
      </c>
      <c r="H29" s="398">
        <v>43474</v>
      </c>
      <c r="I29" s="398">
        <v>45299</v>
      </c>
      <c r="J29" s="573" t="s">
        <v>2146</v>
      </c>
    </row>
    <row r="30" spans="1:10">
      <c r="A30" s="586">
        <v>25</v>
      </c>
      <c r="B30" s="565" t="s">
        <v>2143</v>
      </c>
      <c r="C30" s="565" t="s">
        <v>2189</v>
      </c>
      <c r="D30" s="565" t="s">
        <v>2135</v>
      </c>
      <c r="E30" s="565" t="s">
        <v>2136</v>
      </c>
      <c r="F30" s="565" t="s">
        <v>2155</v>
      </c>
      <c r="G30" s="565">
        <v>2019</v>
      </c>
      <c r="H30" s="399">
        <v>43493</v>
      </c>
      <c r="I30" s="399">
        <v>45319</v>
      </c>
      <c r="J30" s="572" t="s">
        <v>2190</v>
      </c>
    </row>
    <row r="31" spans="1:10">
      <c r="A31" s="587">
        <v>26</v>
      </c>
      <c r="B31" s="564" t="s">
        <v>2143</v>
      </c>
      <c r="C31" s="564" t="s">
        <v>2191</v>
      </c>
      <c r="D31" s="564" t="s">
        <v>2135</v>
      </c>
      <c r="E31" s="564" t="s">
        <v>2136</v>
      </c>
      <c r="F31" s="564" t="s">
        <v>2155</v>
      </c>
      <c r="G31" s="564">
        <v>2019</v>
      </c>
      <c r="H31" s="398">
        <v>43493</v>
      </c>
      <c r="I31" s="398">
        <v>45319</v>
      </c>
      <c r="J31" s="573" t="s">
        <v>2192</v>
      </c>
    </row>
    <row r="32" spans="1:10">
      <c r="A32" s="586">
        <v>27</v>
      </c>
      <c r="B32" s="565" t="s">
        <v>2143</v>
      </c>
      <c r="C32" s="565" t="s">
        <v>2193</v>
      </c>
      <c r="D32" s="565" t="s">
        <v>2135</v>
      </c>
      <c r="E32" s="565" t="s">
        <v>2136</v>
      </c>
      <c r="F32" s="565" t="s">
        <v>2155</v>
      </c>
      <c r="G32" s="565">
        <v>2019</v>
      </c>
      <c r="H32" s="399">
        <v>43493</v>
      </c>
      <c r="I32" s="399">
        <v>45319</v>
      </c>
      <c r="J32" s="572" t="s">
        <v>2194</v>
      </c>
    </row>
    <row r="33" spans="1:10">
      <c r="A33" s="587">
        <v>28</v>
      </c>
      <c r="B33" s="564" t="s">
        <v>2143</v>
      </c>
      <c r="C33" s="564" t="s">
        <v>2195</v>
      </c>
      <c r="D33" s="564" t="s">
        <v>2135</v>
      </c>
      <c r="E33" s="564" t="s">
        <v>2136</v>
      </c>
      <c r="F33" s="564" t="s">
        <v>2155</v>
      </c>
      <c r="G33" s="564">
        <v>2019</v>
      </c>
      <c r="H33" s="398">
        <v>43493</v>
      </c>
      <c r="I33" s="398">
        <v>45319</v>
      </c>
      <c r="J33" s="573" t="s">
        <v>2192</v>
      </c>
    </row>
    <row r="34" spans="1:10">
      <c r="A34" s="586">
        <v>29</v>
      </c>
      <c r="B34" s="565" t="s">
        <v>2133</v>
      </c>
      <c r="C34" s="565" t="s">
        <v>2196</v>
      </c>
      <c r="D34" s="565" t="s">
        <v>2135</v>
      </c>
      <c r="E34" s="565" t="s">
        <v>2136</v>
      </c>
      <c r="F34" s="565" t="s">
        <v>2155</v>
      </c>
      <c r="G34" s="565">
        <v>2019</v>
      </c>
      <c r="H34" s="399">
        <v>43494</v>
      </c>
      <c r="I34" s="399">
        <v>45319</v>
      </c>
      <c r="J34" s="572" t="s">
        <v>2194</v>
      </c>
    </row>
    <row r="35" spans="1:10">
      <c r="A35" s="587">
        <v>30</v>
      </c>
      <c r="B35" s="564" t="s">
        <v>2197</v>
      </c>
      <c r="C35" s="564" t="s">
        <v>2198</v>
      </c>
      <c r="D35" s="564" t="s">
        <v>2135</v>
      </c>
      <c r="E35" s="564" t="s">
        <v>2141</v>
      </c>
      <c r="F35" s="564" t="s">
        <v>2155</v>
      </c>
      <c r="G35" s="564">
        <v>2019</v>
      </c>
      <c r="H35" s="398">
        <v>43501</v>
      </c>
      <c r="I35" s="398">
        <v>45327</v>
      </c>
      <c r="J35" s="573" t="s">
        <v>2170</v>
      </c>
    </row>
    <row r="36" spans="1:10">
      <c r="A36" s="586">
        <v>31</v>
      </c>
      <c r="B36" s="565" t="s">
        <v>2199</v>
      </c>
      <c r="C36" s="565" t="s">
        <v>2198</v>
      </c>
      <c r="D36" s="565" t="s">
        <v>2135</v>
      </c>
      <c r="E36" s="565" t="s">
        <v>2141</v>
      </c>
      <c r="F36" s="565" t="s">
        <v>2155</v>
      </c>
      <c r="G36" s="565">
        <v>2019</v>
      </c>
      <c r="H36" s="399">
        <v>43501</v>
      </c>
      <c r="I36" s="399">
        <v>45327</v>
      </c>
      <c r="J36" s="572" t="s">
        <v>2200</v>
      </c>
    </row>
    <row r="37" spans="1:10">
      <c r="A37" s="587">
        <v>32</v>
      </c>
      <c r="B37" s="564" t="s">
        <v>2116</v>
      </c>
      <c r="C37" s="564" t="s">
        <v>2201</v>
      </c>
      <c r="D37" s="564" t="s">
        <v>2135</v>
      </c>
      <c r="E37" s="564" t="s">
        <v>2169</v>
      </c>
      <c r="F37" s="564" t="s">
        <v>2155</v>
      </c>
      <c r="G37" s="564">
        <v>2019</v>
      </c>
      <c r="H37" s="398">
        <v>43510</v>
      </c>
      <c r="I37" s="398">
        <v>45336</v>
      </c>
      <c r="J37" s="573" t="s">
        <v>2170</v>
      </c>
    </row>
    <row r="38" spans="1:10">
      <c r="A38" s="586">
        <v>33</v>
      </c>
      <c r="B38" s="565" t="s">
        <v>2202</v>
      </c>
      <c r="C38" s="565" t="s">
        <v>2203</v>
      </c>
      <c r="D38" s="565" t="s">
        <v>2135</v>
      </c>
      <c r="E38" s="565" t="s">
        <v>2169</v>
      </c>
      <c r="F38" s="565" t="s">
        <v>2155</v>
      </c>
      <c r="G38" s="565">
        <v>2019</v>
      </c>
      <c r="H38" s="399">
        <v>43543</v>
      </c>
      <c r="I38" s="399">
        <v>45369</v>
      </c>
      <c r="J38" s="572" t="s">
        <v>2204</v>
      </c>
    </row>
    <row r="39" spans="1:10">
      <c r="A39" s="587">
        <v>34</v>
      </c>
      <c r="B39" s="564" t="s">
        <v>2205</v>
      </c>
      <c r="C39" s="564" t="s">
        <v>2206</v>
      </c>
      <c r="D39" s="564" t="s">
        <v>2135</v>
      </c>
      <c r="E39" s="564" t="s">
        <v>2153</v>
      </c>
      <c r="F39" s="564" t="s">
        <v>2155</v>
      </c>
      <c r="G39" s="564">
        <v>2019</v>
      </c>
      <c r="H39" s="398">
        <v>43543</v>
      </c>
      <c r="I39" s="398">
        <v>45369</v>
      </c>
      <c r="J39" s="573" t="s">
        <v>2150</v>
      </c>
    </row>
    <row r="40" spans="1:10">
      <c r="A40" s="586">
        <v>35</v>
      </c>
      <c r="B40" s="565" t="s">
        <v>2148</v>
      </c>
      <c r="C40" s="565" t="s">
        <v>2207</v>
      </c>
      <c r="D40" s="565" t="s">
        <v>2135</v>
      </c>
      <c r="E40" s="565" t="s">
        <v>2169</v>
      </c>
      <c r="F40" s="565" t="s">
        <v>2155</v>
      </c>
      <c r="G40" s="565">
        <v>2019</v>
      </c>
      <c r="H40" s="399">
        <v>43543</v>
      </c>
      <c r="I40" s="399">
        <v>45369</v>
      </c>
      <c r="J40" s="572" t="s">
        <v>2150</v>
      </c>
    </row>
    <row r="41" spans="1:10">
      <c r="A41" s="587">
        <v>36</v>
      </c>
      <c r="B41" s="564" t="s">
        <v>2208</v>
      </c>
      <c r="C41" s="564" t="s">
        <v>2209</v>
      </c>
      <c r="D41" s="564" t="s">
        <v>2135</v>
      </c>
      <c r="E41" s="564" t="s">
        <v>2136</v>
      </c>
      <c r="F41" s="564" t="s">
        <v>2155</v>
      </c>
      <c r="G41" s="564">
        <v>2019</v>
      </c>
      <c r="H41" s="398">
        <v>43543</v>
      </c>
      <c r="I41" s="398">
        <v>45369</v>
      </c>
      <c r="J41" s="573" t="s">
        <v>2148</v>
      </c>
    </row>
    <row r="42" spans="1:10">
      <c r="A42" s="586">
        <v>37</v>
      </c>
      <c r="B42" s="565" t="s">
        <v>2184</v>
      </c>
      <c r="C42" s="565" t="s">
        <v>2210</v>
      </c>
      <c r="D42" s="565" t="s">
        <v>2135</v>
      </c>
      <c r="E42" s="565" t="s">
        <v>2153</v>
      </c>
      <c r="F42" s="565" t="s">
        <v>2155</v>
      </c>
      <c r="G42" s="565">
        <v>2014</v>
      </c>
      <c r="H42" s="399">
        <v>41808</v>
      </c>
      <c r="I42" s="399">
        <v>45459</v>
      </c>
      <c r="J42" s="572" t="s">
        <v>2150</v>
      </c>
    </row>
    <row r="43" spans="1:10">
      <c r="A43" s="587">
        <v>38</v>
      </c>
      <c r="B43" s="564" t="s">
        <v>2148</v>
      </c>
      <c r="C43" s="564" t="s">
        <v>2211</v>
      </c>
      <c r="D43" s="564" t="s">
        <v>2135</v>
      </c>
      <c r="E43" s="564" t="s">
        <v>2136</v>
      </c>
      <c r="F43" s="564" t="s">
        <v>2155</v>
      </c>
      <c r="G43" s="564">
        <v>2019</v>
      </c>
      <c r="H43" s="398">
        <v>43633</v>
      </c>
      <c r="I43" s="398">
        <v>45459</v>
      </c>
      <c r="J43" s="573" t="s">
        <v>2194</v>
      </c>
    </row>
    <row r="44" spans="1:10">
      <c r="A44" s="586">
        <v>39</v>
      </c>
      <c r="B44" s="565" t="s">
        <v>2133</v>
      </c>
      <c r="C44" s="565" t="s">
        <v>2212</v>
      </c>
      <c r="D44" s="565" t="s">
        <v>2135</v>
      </c>
      <c r="E44" s="565" t="s">
        <v>2136</v>
      </c>
      <c r="F44" s="565" t="s">
        <v>2155</v>
      </c>
      <c r="G44" s="565">
        <v>2019</v>
      </c>
      <c r="H44" s="399">
        <v>43633</v>
      </c>
      <c r="I44" s="399">
        <v>45459</v>
      </c>
      <c r="J44" s="572" t="s">
        <v>2194</v>
      </c>
    </row>
    <row r="45" spans="1:10">
      <c r="A45" s="587">
        <v>40</v>
      </c>
      <c r="B45" s="564" t="s">
        <v>2133</v>
      </c>
      <c r="C45" s="564" t="s">
        <v>2213</v>
      </c>
      <c r="D45" s="564" t="s">
        <v>2135</v>
      </c>
      <c r="E45" s="564" t="s">
        <v>2136</v>
      </c>
      <c r="F45" s="564" t="s">
        <v>2155</v>
      </c>
      <c r="G45" s="564">
        <v>2014</v>
      </c>
      <c r="H45" s="398">
        <v>41816</v>
      </c>
      <c r="I45" s="398">
        <v>45468</v>
      </c>
      <c r="J45" s="573" t="s">
        <v>2142</v>
      </c>
    </row>
    <row r="46" spans="1:10">
      <c r="A46" s="586">
        <v>41</v>
      </c>
      <c r="B46" s="565" t="s">
        <v>2214</v>
      </c>
      <c r="C46" s="565" t="s">
        <v>2215</v>
      </c>
      <c r="D46" s="565" t="s">
        <v>2135</v>
      </c>
      <c r="E46" s="565" t="s">
        <v>2216</v>
      </c>
      <c r="F46" s="565" t="s">
        <v>2155</v>
      </c>
      <c r="G46" s="565">
        <v>2019</v>
      </c>
      <c r="H46" s="399">
        <v>43657</v>
      </c>
      <c r="I46" s="399">
        <v>45483</v>
      </c>
      <c r="J46" s="572" t="s">
        <v>2187</v>
      </c>
    </row>
    <row r="47" spans="1:10">
      <c r="A47" s="587">
        <v>42</v>
      </c>
      <c r="B47" s="564" t="s">
        <v>2133</v>
      </c>
      <c r="C47" s="564" t="s">
        <v>2217</v>
      </c>
      <c r="D47" s="564" t="s">
        <v>2135</v>
      </c>
      <c r="E47" s="564" t="s">
        <v>2136</v>
      </c>
      <c r="F47" s="564" t="s">
        <v>2137</v>
      </c>
      <c r="G47" s="564">
        <v>2019</v>
      </c>
      <c r="H47" s="398">
        <v>43515</v>
      </c>
      <c r="I47" s="398">
        <v>45492</v>
      </c>
      <c r="J47" s="573" t="s">
        <v>2138</v>
      </c>
    </row>
    <row r="48" spans="1:10">
      <c r="A48" s="586">
        <v>43</v>
      </c>
      <c r="B48" s="565" t="s">
        <v>2218</v>
      </c>
      <c r="C48" s="565" t="s">
        <v>2219</v>
      </c>
      <c r="D48" s="565" t="s">
        <v>2135</v>
      </c>
      <c r="E48" s="565" t="s">
        <v>2169</v>
      </c>
      <c r="F48" s="565" t="s">
        <v>2155</v>
      </c>
      <c r="G48" s="565">
        <v>2013</v>
      </c>
      <c r="H48" s="399">
        <v>41499</v>
      </c>
      <c r="I48" s="399">
        <v>45515</v>
      </c>
      <c r="J48" s="572" t="s">
        <v>2187</v>
      </c>
    </row>
    <row r="49" spans="1:10">
      <c r="A49" s="587">
        <v>44</v>
      </c>
      <c r="B49" s="564" t="s">
        <v>2218</v>
      </c>
      <c r="C49" s="564" t="s">
        <v>2220</v>
      </c>
      <c r="D49" s="564" t="s">
        <v>2135</v>
      </c>
      <c r="E49" s="564" t="s">
        <v>2169</v>
      </c>
      <c r="F49" s="564" t="s">
        <v>2155</v>
      </c>
      <c r="G49" s="564">
        <v>2009</v>
      </c>
      <c r="H49" s="398">
        <v>40128</v>
      </c>
      <c r="I49" s="398">
        <v>45533</v>
      </c>
      <c r="J49" s="573" t="s">
        <v>2187</v>
      </c>
    </row>
    <row r="50" spans="1:10">
      <c r="A50" s="586">
        <v>45</v>
      </c>
      <c r="B50" s="565" t="s">
        <v>2221</v>
      </c>
      <c r="C50" s="565" t="s">
        <v>2222</v>
      </c>
      <c r="D50" s="565" t="s">
        <v>2135</v>
      </c>
      <c r="E50" s="565" t="s">
        <v>2169</v>
      </c>
      <c r="F50" s="565" t="s">
        <v>2155</v>
      </c>
      <c r="G50" s="565">
        <v>2009</v>
      </c>
      <c r="H50" s="399">
        <v>40066</v>
      </c>
      <c r="I50" s="399">
        <v>45543</v>
      </c>
      <c r="J50" s="572" t="s">
        <v>2187</v>
      </c>
    </row>
    <row r="51" spans="1:10">
      <c r="A51" s="587">
        <v>46</v>
      </c>
      <c r="B51" s="564" t="s">
        <v>2221</v>
      </c>
      <c r="C51" s="564" t="s">
        <v>2163</v>
      </c>
      <c r="D51" s="564" t="s">
        <v>2135</v>
      </c>
      <c r="E51" s="564" t="s">
        <v>2169</v>
      </c>
      <c r="F51" s="564" t="s">
        <v>2155</v>
      </c>
      <c r="G51" s="564">
        <v>2009</v>
      </c>
      <c r="H51" s="398">
        <v>39986</v>
      </c>
      <c r="I51" s="398">
        <v>45563</v>
      </c>
      <c r="J51" s="573" t="s">
        <v>2187</v>
      </c>
    </row>
    <row r="52" spans="1:10">
      <c r="A52" s="586">
        <v>47</v>
      </c>
      <c r="B52" s="565" t="s">
        <v>2218</v>
      </c>
      <c r="C52" s="565" t="s">
        <v>2223</v>
      </c>
      <c r="D52" s="565" t="s">
        <v>2135</v>
      </c>
      <c r="E52" s="565" t="s">
        <v>2169</v>
      </c>
      <c r="F52" s="565" t="s">
        <v>2155</v>
      </c>
      <c r="G52" s="565">
        <v>2019</v>
      </c>
      <c r="H52" s="399">
        <v>43744</v>
      </c>
      <c r="I52" s="399">
        <v>45570</v>
      </c>
      <c r="J52" s="572" t="s">
        <v>2187</v>
      </c>
    </row>
    <row r="53" spans="1:10">
      <c r="A53" s="587">
        <v>48</v>
      </c>
      <c r="B53" s="564" t="s">
        <v>2143</v>
      </c>
      <c r="C53" s="564" t="s">
        <v>2154</v>
      </c>
      <c r="D53" s="564" t="s">
        <v>2135</v>
      </c>
      <c r="E53" s="564" t="s">
        <v>2136</v>
      </c>
      <c r="F53" s="564" t="s">
        <v>2155</v>
      </c>
      <c r="G53" s="564">
        <v>2019</v>
      </c>
      <c r="H53" s="398">
        <v>43474</v>
      </c>
      <c r="I53" s="398">
        <v>45635</v>
      </c>
      <c r="J53" s="573" t="s">
        <v>2146</v>
      </c>
    </row>
    <row r="54" spans="1:10">
      <c r="A54" s="586">
        <v>49</v>
      </c>
      <c r="B54" s="565" t="s">
        <v>2148</v>
      </c>
      <c r="C54" s="565" t="s">
        <v>2224</v>
      </c>
      <c r="D54" s="565" t="s">
        <v>2135</v>
      </c>
      <c r="E54" s="565" t="s">
        <v>2153</v>
      </c>
      <c r="F54" s="565" t="s">
        <v>2155</v>
      </c>
      <c r="G54" s="565">
        <v>2019</v>
      </c>
      <c r="H54" s="399">
        <v>43825</v>
      </c>
      <c r="I54" s="399">
        <v>45651</v>
      </c>
      <c r="J54" s="572" t="s">
        <v>2150</v>
      </c>
    </row>
    <row r="55" spans="1:10">
      <c r="A55" s="587">
        <v>50</v>
      </c>
      <c r="B55" s="564" t="s">
        <v>2218</v>
      </c>
      <c r="C55" s="564" t="s">
        <v>2225</v>
      </c>
      <c r="D55" s="564" t="s">
        <v>2135</v>
      </c>
      <c r="E55" s="564" t="s">
        <v>2169</v>
      </c>
      <c r="F55" s="564" t="s">
        <v>2155</v>
      </c>
      <c r="G55" s="564">
        <v>1995</v>
      </c>
      <c r="H55" s="398">
        <v>34990</v>
      </c>
      <c r="I55" s="398">
        <v>45670</v>
      </c>
      <c r="J55" s="573" t="s">
        <v>2187</v>
      </c>
    </row>
    <row r="56" spans="1:10">
      <c r="A56" s="586">
        <v>51</v>
      </c>
      <c r="B56" s="565" t="s">
        <v>2143</v>
      </c>
      <c r="C56" s="565" t="s">
        <v>2226</v>
      </c>
      <c r="D56" s="565" t="s">
        <v>2135</v>
      </c>
      <c r="E56" s="565" t="s">
        <v>2136</v>
      </c>
      <c r="F56" s="565" t="s">
        <v>2137</v>
      </c>
      <c r="G56" s="565">
        <v>2015</v>
      </c>
      <c r="H56" s="399">
        <v>42054</v>
      </c>
      <c r="I56" s="399">
        <v>45706</v>
      </c>
      <c r="J56" s="572" t="s">
        <v>2142</v>
      </c>
    </row>
    <row r="57" spans="1:10">
      <c r="A57" s="587">
        <v>52</v>
      </c>
      <c r="B57" s="564" t="s">
        <v>2143</v>
      </c>
      <c r="C57" s="564" t="s">
        <v>2227</v>
      </c>
      <c r="D57" s="564" t="s">
        <v>2135</v>
      </c>
      <c r="E57" s="564" t="s">
        <v>2136</v>
      </c>
      <c r="F57" s="564" t="s">
        <v>2155</v>
      </c>
      <c r="G57" s="564">
        <v>2015</v>
      </c>
      <c r="H57" s="398">
        <v>42054</v>
      </c>
      <c r="I57" s="398">
        <v>45706</v>
      </c>
      <c r="J57" s="573" t="s">
        <v>2142</v>
      </c>
    </row>
    <row r="58" spans="1:10">
      <c r="A58" s="586">
        <v>53</v>
      </c>
      <c r="B58" s="565" t="s">
        <v>2143</v>
      </c>
      <c r="C58" s="565" t="s">
        <v>2222</v>
      </c>
      <c r="D58" s="565" t="s">
        <v>2135</v>
      </c>
      <c r="E58" s="565" t="s">
        <v>2136</v>
      </c>
      <c r="F58" s="565" t="s">
        <v>2155</v>
      </c>
      <c r="G58" s="565">
        <v>2015</v>
      </c>
      <c r="H58" s="399">
        <v>42054</v>
      </c>
      <c r="I58" s="399">
        <v>45706</v>
      </c>
      <c r="J58" s="572" t="s">
        <v>2142</v>
      </c>
    </row>
    <row r="59" spans="1:10">
      <c r="A59" s="587">
        <v>54</v>
      </c>
      <c r="B59" s="564" t="s">
        <v>2133</v>
      </c>
      <c r="C59" s="564" t="s">
        <v>375</v>
      </c>
      <c r="D59" s="564" t="s">
        <v>2135</v>
      </c>
      <c r="E59" s="564" t="s">
        <v>2136</v>
      </c>
      <c r="F59" s="564" t="s">
        <v>2155</v>
      </c>
      <c r="G59" s="564">
        <v>2016</v>
      </c>
      <c r="H59" s="398">
        <v>42478</v>
      </c>
      <c r="I59" s="398">
        <v>45771</v>
      </c>
      <c r="J59" s="573" t="s">
        <v>2142</v>
      </c>
    </row>
    <row r="60" spans="1:10">
      <c r="A60" s="586">
        <v>55</v>
      </c>
      <c r="B60" s="565" t="s">
        <v>2161</v>
      </c>
      <c r="C60" s="565" t="s">
        <v>2228</v>
      </c>
      <c r="D60" s="565" t="s">
        <v>2135</v>
      </c>
      <c r="E60" s="565" t="s">
        <v>2136</v>
      </c>
      <c r="F60" s="565" t="s">
        <v>2155</v>
      </c>
      <c r="G60" s="565">
        <v>2014</v>
      </c>
      <c r="H60" s="399">
        <v>41919</v>
      </c>
      <c r="I60" s="399">
        <v>45788</v>
      </c>
      <c r="J60" s="572" t="s">
        <v>2150</v>
      </c>
    </row>
    <row r="61" spans="1:10">
      <c r="A61" s="587">
        <v>56</v>
      </c>
      <c r="B61" s="564" t="s">
        <v>2229</v>
      </c>
      <c r="C61" s="564" t="s">
        <v>2163</v>
      </c>
      <c r="D61" s="564" t="s">
        <v>2135</v>
      </c>
      <c r="E61" s="564" t="s">
        <v>2169</v>
      </c>
      <c r="F61" s="564" t="s">
        <v>2155</v>
      </c>
      <c r="G61" s="564">
        <v>2009</v>
      </c>
      <c r="H61" s="398">
        <v>39986</v>
      </c>
      <c r="I61" s="398">
        <v>45829</v>
      </c>
      <c r="J61" s="573" t="s">
        <v>2148</v>
      </c>
    </row>
    <row r="62" spans="1:10">
      <c r="A62" s="586">
        <v>57</v>
      </c>
      <c r="B62" s="565" t="s">
        <v>2230</v>
      </c>
      <c r="C62" s="565" t="s">
        <v>2231</v>
      </c>
      <c r="D62" s="565" t="s">
        <v>2135</v>
      </c>
      <c r="E62" s="565" t="s">
        <v>2153</v>
      </c>
      <c r="F62" s="565" t="s">
        <v>2155</v>
      </c>
      <c r="G62" s="565">
        <v>2002</v>
      </c>
      <c r="H62" s="399">
        <v>37427</v>
      </c>
      <c r="I62" s="399">
        <v>45830</v>
      </c>
      <c r="J62" s="572" t="s">
        <v>2158</v>
      </c>
    </row>
    <row r="63" spans="1:10">
      <c r="A63" s="587">
        <v>58</v>
      </c>
      <c r="B63" s="564" t="s">
        <v>2143</v>
      </c>
      <c r="C63" s="564" t="s">
        <v>2232</v>
      </c>
      <c r="D63" s="564" t="s">
        <v>2135</v>
      </c>
      <c r="E63" s="564" t="s">
        <v>2136</v>
      </c>
      <c r="F63" s="564" t="s">
        <v>2155</v>
      </c>
      <c r="G63" s="564">
        <v>2006</v>
      </c>
      <c r="H63" s="398">
        <v>39044</v>
      </c>
      <c r="I63" s="398">
        <v>45928</v>
      </c>
      <c r="J63" s="573" t="s">
        <v>2142</v>
      </c>
    </row>
    <row r="64" spans="1:10">
      <c r="A64" s="586">
        <v>59</v>
      </c>
      <c r="B64" s="565" t="s">
        <v>2233</v>
      </c>
      <c r="C64" s="565" t="s">
        <v>2225</v>
      </c>
      <c r="D64" s="565" t="s">
        <v>2135</v>
      </c>
      <c r="E64" s="565" t="s">
        <v>2234</v>
      </c>
      <c r="F64" s="565" t="s">
        <v>2155</v>
      </c>
      <c r="G64" s="565">
        <v>2020</v>
      </c>
      <c r="H64" s="399">
        <v>44114</v>
      </c>
      <c r="I64" s="399">
        <v>45939</v>
      </c>
      <c r="J64" s="572" t="s">
        <v>2235</v>
      </c>
    </row>
    <row r="65" spans="1:10">
      <c r="A65" s="587">
        <v>60</v>
      </c>
      <c r="B65" s="564" t="s">
        <v>2236</v>
      </c>
      <c r="C65" s="564" t="s">
        <v>2237</v>
      </c>
      <c r="D65" s="564" t="s">
        <v>2135</v>
      </c>
      <c r="E65" s="564" t="s">
        <v>2169</v>
      </c>
      <c r="F65" s="564" t="s">
        <v>2155</v>
      </c>
      <c r="G65" s="564">
        <v>2021</v>
      </c>
      <c r="H65" s="398">
        <v>44225</v>
      </c>
      <c r="I65" s="398">
        <v>46050</v>
      </c>
      <c r="J65" s="573" t="s">
        <v>2170</v>
      </c>
    </row>
    <row r="66" spans="1:10">
      <c r="A66" s="586">
        <v>61</v>
      </c>
      <c r="B66" s="565" t="s">
        <v>2148</v>
      </c>
      <c r="C66" s="565" t="s">
        <v>2238</v>
      </c>
      <c r="D66" s="565" t="s">
        <v>2135</v>
      </c>
      <c r="E66" s="565" t="s">
        <v>2169</v>
      </c>
      <c r="F66" s="565" t="s">
        <v>2155</v>
      </c>
      <c r="G66" s="565">
        <v>2021</v>
      </c>
      <c r="H66" s="399">
        <v>44225</v>
      </c>
      <c r="I66" s="399">
        <v>46050</v>
      </c>
      <c r="J66" s="572" t="s">
        <v>2187</v>
      </c>
    </row>
    <row r="67" spans="1:10">
      <c r="A67" s="587">
        <v>62</v>
      </c>
      <c r="B67" s="564" t="s">
        <v>2161</v>
      </c>
      <c r="C67" s="564" t="s">
        <v>2215</v>
      </c>
      <c r="D67" s="564" t="s">
        <v>2135</v>
      </c>
      <c r="E67" s="564" t="s">
        <v>2136</v>
      </c>
      <c r="F67" s="564" t="s">
        <v>2155</v>
      </c>
      <c r="G67" s="564">
        <v>2016</v>
      </c>
      <c r="H67" s="398">
        <v>42438</v>
      </c>
      <c r="I67" s="398">
        <v>46089</v>
      </c>
      <c r="J67" s="573" t="s">
        <v>2150</v>
      </c>
    </row>
    <row r="68" spans="1:10">
      <c r="A68" s="586">
        <v>63</v>
      </c>
      <c r="B68" s="565" t="s">
        <v>2148</v>
      </c>
      <c r="C68" s="565" t="s">
        <v>2239</v>
      </c>
      <c r="D68" s="565" t="s">
        <v>2135</v>
      </c>
      <c r="E68" s="565" t="s">
        <v>2169</v>
      </c>
      <c r="F68" s="565" t="s">
        <v>2155</v>
      </c>
      <c r="G68" s="565">
        <v>2021</v>
      </c>
      <c r="H68" s="399">
        <v>44270</v>
      </c>
      <c r="I68" s="399">
        <v>46095</v>
      </c>
      <c r="J68" s="572" t="s">
        <v>2170</v>
      </c>
    </row>
    <row r="69" spans="1:10">
      <c r="A69" s="587">
        <v>64</v>
      </c>
      <c r="B69" s="564" t="s">
        <v>2240</v>
      </c>
      <c r="C69" s="564" t="s">
        <v>2241</v>
      </c>
      <c r="D69" s="564" t="s">
        <v>2135</v>
      </c>
      <c r="E69" s="564" t="s">
        <v>2136</v>
      </c>
      <c r="F69" s="564" t="s">
        <v>2155</v>
      </c>
      <c r="G69" s="564">
        <v>2021</v>
      </c>
      <c r="H69" s="398">
        <v>44279</v>
      </c>
      <c r="I69" s="398">
        <v>46104</v>
      </c>
      <c r="J69" s="573" t="s">
        <v>2242</v>
      </c>
    </row>
    <row r="70" spans="1:10">
      <c r="A70" s="586">
        <v>65</v>
      </c>
      <c r="B70" s="565" t="s">
        <v>2243</v>
      </c>
      <c r="C70" s="565" t="s">
        <v>2244</v>
      </c>
      <c r="D70" s="565" t="s">
        <v>2135</v>
      </c>
      <c r="E70" s="565" t="s">
        <v>2136</v>
      </c>
      <c r="F70" s="565" t="s">
        <v>2155</v>
      </c>
      <c r="G70" s="565">
        <v>2016</v>
      </c>
      <c r="H70" s="399">
        <v>42460</v>
      </c>
      <c r="I70" s="399">
        <v>46110</v>
      </c>
      <c r="J70" s="572" t="s">
        <v>2245</v>
      </c>
    </row>
    <row r="71" spans="1:10">
      <c r="A71" s="587">
        <v>66</v>
      </c>
      <c r="B71" s="564" t="s">
        <v>2143</v>
      </c>
      <c r="C71" s="564" t="s">
        <v>2219</v>
      </c>
      <c r="D71" s="564" t="s">
        <v>2135</v>
      </c>
      <c r="E71" s="564" t="s">
        <v>2136</v>
      </c>
      <c r="F71" s="564" t="s">
        <v>2155</v>
      </c>
      <c r="G71" s="564">
        <v>2009</v>
      </c>
      <c r="H71" s="398">
        <v>40032</v>
      </c>
      <c r="I71" s="398">
        <v>46119</v>
      </c>
      <c r="J71" s="573" t="s">
        <v>2138</v>
      </c>
    </row>
    <row r="72" spans="1:10">
      <c r="A72" s="586">
        <v>67</v>
      </c>
      <c r="B72" s="565" t="s">
        <v>2143</v>
      </c>
      <c r="C72" s="565" t="s">
        <v>2219</v>
      </c>
      <c r="D72" s="565" t="s">
        <v>2135</v>
      </c>
      <c r="E72" s="565" t="s">
        <v>2136</v>
      </c>
      <c r="F72" s="565" t="s">
        <v>2155</v>
      </c>
      <c r="G72" s="565">
        <v>1996</v>
      </c>
      <c r="H72" s="399">
        <v>35384</v>
      </c>
      <c r="I72" s="399">
        <v>46121</v>
      </c>
      <c r="J72" s="572" t="s">
        <v>2138</v>
      </c>
    </row>
    <row r="73" spans="1:10">
      <c r="A73" s="587">
        <v>68</v>
      </c>
      <c r="B73" s="564" t="s">
        <v>2246</v>
      </c>
      <c r="C73" s="564" t="s">
        <v>2219</v>
      </c>
      <c r="D73" s="564" t="s">
        <v>2135</v>
      </c>
      <c r="E73" s="564" t="s">
        <v>2169</v>
      </c>
      <c r="F73" s="564" t="s">
        <v>2155</v>
      </c>
      <c r="G73" s="564">
        <v>2008</v>
      </c>
      <c r="H73" s="398">
        <v>39629</v>
      </c>
      <c r="I73" s="398">
        <v>46128</v>
      </c>
      <c r="J73" s="573" t="s">
        <v>2187</v>
      </c>
    </row>
    <row r="74" spans="1:10">
      <c r="A74" s="586">
        <v>69</v>
      </c>
      <c r="B74" s="565" t="s">
        <v>2247</v>
      </c>
      <c r="C74" s="565" t="s">
        <v>338</v>
      </c>
      <c r="D74" s="565" t="s">
        <v>2135</v>
      </c>
      <c r="E74" s="565" t="s">
        <v>2169</v>
      </c>
      <c r="F74" s="565" t="s">
        <v>2155</v>
      </c>
      <c r="G74" s="565">
        <v>2016</v>
      </c>
      <c r="H74" s="399">
        <v>42479</v>
      </c>
      <c r="I74" s="399">
        <v>46130</v>
      </c>
      <c r="J74" s="572" t="s">
        <v>2170</v>
      </c>
    </row>
    <row r="75" spans="1:10">
      <c r="A75" s="587">
        <v>70</v>
      </c>
      <c r="B75" s="564" t="s">
        <v>2148</v>
      </c>
      <c r="C75" s="564" t="s">
        <v>2248</v>
      </c>
      <c r="D75" s="564" t="s">
        <v>2135</v>
      </c>
      <c r="E75" s="564" t="s">
        <v>2249</v>
      </c>
      <c r="F75" s="564" t="s">
        <v>2155</v>
      </c>
      <c r="G75" s="564">
        <v>2021</v>
      </c>
      <c r="H75" s="398">
        <v>44305</v>
      </c>
      <c r="I75" s="398">
        <v>46130</v>
      </c>
      <c r="J75" s="573" t="s">
        <v>2235</v>
      </c>
    </row>
    <row r="76" spans="1:10">
      <c r="A76" s="586">
        <v>71</v>
      </c>
      <c r="B76" s="565" t="s">
        <v>2148</v>
      </c>
      <c r="C76" s="565" t="s">
        <v>2248</v>
      </c>
      <c r="D76" s="565" t="s">
        <v>2135</v>
      </c>
      <c r="E76" s="565" t="s">
        <v>2250</v>
      </c>
      <c r="F76" s="565" t="s">
        <v>2155</v>
      </c>
      <c r="G76" s="565">
        <v>2021</v>
      </c>
      <c r="H76" s="399">
        <v>44315</v>
      </c>
      <c r="I76" s="399">
        <v>46140</v>
      </c>
      <c r="J76" s="572" t="s">
        <v>2251</v>
      </c>
    </row>
    <row r="77" spans="1:10">
      <c r="A77" s="587">
        <v>72</v>
      </c>
      <c r="B77" s="564" t="s">
        <v>2252</v>
      </c>
      <c r="C77" s="564" t="s">
        <v>2163</v>
      </c>
      <c r="D77" s="564" t="s">
        <v>2135</v>
      </c>
      <c r="E77" s="564" t="s">
        <v>2136</v>
      </c>
      <c r="F77" s="564" t="s">
        <v>2155</v>
      </c>
      <c r="G77" s="564">
        <v>2010</v>
      </c>
      <c r="H77" s="398">
        <v>40430</v>
      </c>
      <c r="I77" s="398">
        <v>46154</v>
      </c>
      <c r="J77" s="573" t="s">
        <v>2245</v>
      </c>
    </row>
    <row r="78" spans="1:10">
      <c r="A78" s="586">
        <v>73</v>
      </c>
      <c r="B78" s="565" t="s">
        <v>2253</v>
      </c>
      <c r="C78" s="565" t="s">
        <v>2254</v>
      </c>
      <c r="D78" s="565" t="s">
        <v>2135</v>
      </c>
      <c r="E78" s="565" t="s">
        <v>2255</v>
      </c>
      <c r="F78" s="565" t="s">
        <v>2155</v>
      </c>
      <c r="G78" s="565">
        <v>2017</v>
      </c>
      <c r="H78" s="399">
        <v>42920</v>
      </c>
      <c r="I78" s="399">
        <v>46178</v>
      </c>
      <c r="J78" s="572" t="s">
        <v>2150</v>
      </c>
    </row>
    <row r="79" spans="1:10">
      <c r="A79" s="587">
        <v>74</v>
      </c>
      <c r="B79" s="564" t="s">
        <v>2148</v>
      </c>
      <c r="C79" s="564" t="s">
        <v>2256</v>
      </c>
      <c r="D79" s="564" t="s">
        <v>2135</v>
      </c>
      <c r="E79" s="564" t="s">
        <v>2153</v>
      </c>
      <c r="F79" s="564" t="s">
        <v>2155</v>
      </c>
      <c r="G79" s="564">
        <v>2021</v>
      </c>
      <c r="H79" s="398">
        <v>44357</v>
      </c>
      <c r="I79" s="398">
        <v>46182</v>
      </c>
      <c r="J79" s="573" t="s">
        <v>2257</v>
      </c>
    </row>
    <row r="80" spans="1:10">
      <c r="A80" s="586">
        <v>75</v>
      </c>
      <c r="B80" s="565" t="s">
        <v>2161</v>
      </c>
      <c r="C80" s="565" t="s">
        <v>2258</v>
      </c>
      <c r="D80" s="565" t="s">
        <v>2135</v>
      </c>
      <c r="E80" s="565" t="s">
        <v>2136</v>
      </c>
      <c r="F80" s="565" t="s">
        <v>2155</v>
      </c>
      <c r="G80" s="565">
        <v>2016</v>
      </c>
      <c r="H80" s="399">
        <v>42541</v>
      </c>
      <c r="I80" s="399">
        <v>46192</v>
      </c>
      <c r="J80" s="572" t="s">
        <v>2259</v>
      </c>
    </row>
    <row r="81" spans="1:10">
      <c r="A81" s="587">
        <v>76</v>
      </c>
      <c r="B81" s="564" t="s">
        <v>2205</v>
      </c>
      <c r="C81" s="564" t="s">
        <v>2260</v>
      </c>
      <c r="D81" s="564" t="s">
        <v>2135</v>
      </c>
      <c r="E81" s="564" t="s">
        <v>2153</v>
      </c>
      <c r="F81" s="564" t="s">
        <v>2155</v>
      </c>
      <c r="G81" s="564">
        <v>2007</v>
      </c>
      <c r="H81" s="398">
        <v>39303</v>
      </c>
      <c r="I81" s="398">
        <v>46202</v>
      </c>
      <c r="J81" s="573" t="s">
        <v>2150</v>
      </c>
    </row>
    <row r="82" spans="1:10">
      <c r="A82" s="586">
        <v>77</v>
      </c>
      <c r="B82" s="565" t="s">
        <v>2148</v>
      </c>
      <c r="C82" s="565" t="s">
        <v>2261</v>
      </c>
      <c r="D82" s="565" t="s">
        <v>2135</v>
      </c>
      <c r="E82" s="565" t="s">
        <v>2169</v>
      </c>
      <c r="F82" s="565" t="s">
        <v>2155</v>
      </c>
      <c r="G82" s="565">
        <v>2021</v>
      </c>
      <c r="H82" s="399">
        <v>44379</v>
      </c>
      <c r="I82" s="399">
        <v>46204</v>
      </c>
      <c r="J82" s="572" t="s">
        <v>2170</v>
      </c>
    </row>
    <row r="83" spans="1:10">
      <c r="A83" s="587">
        <v>78</v>
      </c>
      <c r="B83" s="564" t="s">
        <v>2148</v>
      </c>
      <c r="C83" s="564" t="s">
        <v>2215</v>
      </c>
      <c r="D83" s="564" t="s">
        <v>2135</v>
      </c>
      <c r="E83" s="564" t="s">
        <v>2136</v>
      </c>
      <c r="F83" s="564" t="s">
        <v>2155</v>
      </c>
      <c r="G83" s="564">
        <v>2021</v>
      </c>
      <c r="H83" s="398">
        <v>44383</v>
      </c>
      <c r="I83" s="398">
        <v>46208</v>
      </c>
      <c r="J83" s="573" t="s">
        <v>2142</v>
      </c>
    </row>
    <row r="84" spans="1:10">
      <c r="A84" s="586">
        <v>79</v>
      </c>
      <c r="B84" s="565" t="s">
        <v>2148</v>
      </c>
      <c r="C84" s="565" t="s">
        <v>2262</v>
      </c>
      <c r="D84" s="565" t="s">
        <v>2135</v>
      </c>
      <c r="E84" s="565" t="s">
        <v>2263</v>
      </c>
      <c r="F84" s="565" t="s">
        <v>2155</v>
      </c>
      <c r="G84" s="565">
        <v>2021</v>
      </c>
      <c r="H84" s="399">
        <v>44392</v>
      </c>
      <c r="I84" s="399">
        <v>46217</v>
      </c>
      <c r="J84" s="572" t="s">
        <v>2142</v>
      </c>
    </row>
    <row r="85" spans="1:10">
      <c r="A85" s="587">
        <v>80</v>
      </c>
      <c r="B85" s="564" t="s">
        <v>2148</v>
      </c>
      <c r="C85" s="564" t="s">
        <v>2264</v>
      </c>
      <c r="D85" s="564" t="s">
        <v>2135</v>
      </c>
      <c r="E85" s="564" t="s">
        <v>2169</v>
      </c>
      <c r="F85" s="564" t="s">
        <v>2155</v>
      </c>
      <c r="G85" s="564">
        <v>2021</v>
      </c>
      <c r="H85" s="398">
        <v>44405</v>
      </c>
      <c r="I85" s="398">
        <v>46230</v>
      </c>
      <c r="J85" s="573" t="s">
        <v>2170</v>
      </c>
    </row>
    <row r="86" spans="1:10">
      <c r="A86" s="586">
        <v>81</v>
      </c>
      <c r="B86" s="565" t="s">
        <v>2265</v>
      </c>
      <c r="C86" s="565" t="s">
        <v>2266</v>
      </c>
      <c r="D86" s="565" t="s">
        <v>2135</v>
      </c>
      <c r="E86" s="565" t="s">
        <v>2267</v>
      </c>
      <c r="F86" s="565" t="s">
        <v>2155</v>
      </c>
      <c r="G86" s="565">
        <v>2021</v>
      </c>
      <c r="H86" s="399">
        <v>44439</v>
      </c>
      <c r="I86" s="399">
        <v>46264</v>
      </c>
      <c r="J86" s="572" t="s">
        <v>2150</v>
      </c>
    </row>
    <row r="87" spans="1:10">
      <c r="A87" s="587">
        <v>82</v>
      </c>
      <c r="B87" s="564" t="s">
        <v>2148</v>
      </c>
      <c r="C87" s="564" t="s">
        <v>2268</v>
      </c>
      <c r="D87" s="564" t="s">
        <v>2135</v>
      </c>
      <c r="E87" s="564" t="s">
        <v>2169</v>
      </c>
      <c r="F87" s="564" t="s">
        <v>2155</v>
      </c>
      <c r="G87" s="564">
        <v>2021</v>
      </c>
      <c r="H87" s="398">
        <v>44439</v>
      </c>
      <c r="I87" s="398">
        <v>46264</v>
      </c>
      <c r="J87" s="573" t="s">
        <v>2170</v>
      </c>
    </row>
    <row r="88" spans="1:10">
      <c r="A88" s="586">
        <v>83</v>
      </c>
      <c r="B88" s="565" t="s">
        <v>2148</v>
      </c>
      <c r="C88" s="565" t="s">
        <v>2219</v>
      </c>
      <c r="D88" s="565" t="s">
        <v>2135</v>
      </c>
      <c r="E88" s="565" t="s">
        <v>2169</v>
      </c>
      <c r="F88" s="565" t="s">
        <v>2155</v>
      </c>
      <c r="G88" s="565">
        <v>1983</v>
      </c>
      <c r="H88" s="399">
        <v>30466</v>
      </c>
      <c r="I88" s="399">
        <v>46285</v>
      </c>
      <c r="J88" s="572" t="s">
        <v>2187</v>
      </c>
    </row>
    <row r="89" spans="1:10">
      <c r="A89" s="587">
        <v>84</v>
      </c>
      <c r="B89" s="564" t="s">
        <v>2202</v>
      </c>
      <c r="C89" s="564" t="s">
        <v>2269</v>
      </c>
      <c r="D89" s="564" t="s">
        <v>2135</v>
      </c>
      <c r="E89" s="564" t="s">
        <v>2169</v>
      </c>
      <c r="F89" s="564" t="s">
        <v>2155</v>
      </c>
      <c r="G89" s="564">
        <v>2021</v>
      </c>
      <c r="H89" s="398">
        <v>44462</v>
      </c>
      <c r="I89" s="398">
        <v>46287</v>
      </c>
      <c r="J89" s="573" t="s">
        <v>2204</v>
      </c>
    </row>
    <row r="90" spans="1:10">
      <c r="A90" s="586">
        <v>85</v>
      </c>
      <c r="B90" s="565" t="s">
        <v>2148</v>
      </c>
      <c r="C90" s="565" t="s">
        <v>2211</v>
      </c>
      <c r="D90" s="565" t="s">
        <v>2135</v>
      </c>
      <c r="E90" s="565" t="s">
        <v>2136</v>
      </c>
      <c r="F90" s="565" t="s">
        <v>2155</v>
      </c>
      <c r="G90" s="565">
        <v>2021</v>
      </c>
      <c r="H90" s="399">
        <v>44470</v>
      </c>
      <c r="I90" s="399">
        <v>46295</v>
      </c>
      <c r="J90" s="572" t="s">
        <v>2138</v>
      </c>
    </row>
    <row r="91" spans="1:10">
      <c r="A91" s="587">
        <v>86</v>
      </c>
      <c r="B91" s="564" t="s">
        <v>2143</v>
      </c>
      <c r="C91" s="564" t="s">
        <v>2270</v>
      </c>
      <c r="D91" s="564" t="s">
        <v>2135</v>
      </c>
      <c r="E91" s="564" t="s">
        <v>2136</v>
      </c>
      <c r="F91" s="564" t="s">
        <v>2155</v>
      </c>
      <c r="G91" s="564">
        <v>2021</v>
      </c>
      <c r="H91" s="398">
        <v>44476</v>
      </c>
      <c r="I91" s="398">
        <v>46301</v>
      </c>
      <c r="J91" s="573" t="s">
        <v>2138</v>
      </c>
    </row>
    <row r="92" spans="1:10">
      <c r="A92" s="586">
        <v>87</v>
      </c>
      <c r="B92" s="565" t="s">
        <v>2271</v>
      </c>
      <c r="C92" s="565" t="s">
        <v>2219</v>
      </c>
      <c r="D92" s="565" t="s">
        <v>2135</v>
      </c>
      <c r="E92" s="565" t="s">
        <v>2169</v>
      </c>
      <c r="F92" s="565" t="s">
        <v>2155</v>
      </c>
      <c r="G92" s="565">
        <v>2009</v>
      </c>
      <c r="H92" s="399">
        <v>40032</v>
      </c>
      <c r="I92" s="399">
        <v>46339</v>
      </c>
      <c r="J92" s="572" t="s">
        <v>2187</v>
      </c>
    </row>
    <row r="93" spans="1:10">
      <c r="A93" s="587">
        <v>88</v>
      </c>
      <c r="B93" s="564" t="s">
        <v>2272</v>
      </c>
      <c r="C93" s="564" t="s">
        <v>2219</v>
      </c>
      <c r="D93" s="564" t="s">
        <v>2135</v>
      </c>
      <c r="E93" s="564" t="s">
        <v>2169</v>
      </c>
      <c r="F93" s="564" t="s">
        <v>2155</v>
      </c>
      <c r="G93" s="564">
        <v>2016</v>
      </c>
      <c r="H93" s="398">
        <v>42688</v>
      </c>
      <c r="I93" s="398">
        <v>46339</v>
      </c>
      <c r="J93" s="573" t="s">
        <v>2187</v>
      </c>
    </row>
    <row r="94" spans="1:10">
      <c r="A94" s="586">
        <v>89</v>
      </c>
      <c r="B94" s="565" t="s">
        <v>2161</v>
      </c>
      <c r="C94" s="565" t="s">
        <v>2273</v>
      </c>
      <c r="D94" s="565" t="s">
        <v>2135</v>
      </c>
      <c r="E94" s="565" t="s">
        <v>2169</v>
      </c>
      <c r="F94" s="565" t="s">
        <v>2155</v>
      </c>
      <c r="G94" s="565">
        <v>2022</v>
      </c>
      <c r="H94" s="399">
        <v>44572</v>
      </c>
      <c r="I94" s="399">
        <v>46397</v>
      </c>
      <c r="J94" s="572" t="s">
        <v>2150</v>
      </c>
    </row>
    <row r="95" spans="1:10">
      <c r="A95" s="587">
        <v>90</v>
      </c>
      <c r="B95" s="564" t="s">
        <v>2148</v>
      </c>
      <c r="C95" s="564" t="s">
        <v>2274</v>
      </c>
      <c r="D95" s="564" t="s">
        <v>2135</v>
      </c>
      <c r="E95" s="564" t="s">
        <v>2169</v>
      </c>
      <c r="F95" s="564" t="s">
        <v>2155</v>
      </c>
      <c r="G95" s="564">
        <v>2022</v>
      </c>
      <c r="H95" s="398">
        <v>44594</v>
      </c>
      <c r="I95" s="398">
        <v>46419</v>
      </c>
      <c r="J95" s="573" t="s">
        <v>2235</v>
      </c>
    </row>
    <row r="96" spans="1:10">
      <c r="A96" s="586">
        <v>91</v>
      </c>
      <c r="B96" s="565" t="s">
        <v>2143</v>
      </c>
      <c r="C96" s="565" t="s">
        <v>2275</v>
      </c>
      <c r="D96" s="565" t="s">
        <v>2135</v>
      </c>
      <c r="E96" s="565" t="s">
        <v>2136</v>
      </c>
      <c r="F96" s="565" t="s">
        <v>2155</v>
      </c>
      <c r="G96" s="565">
        <v>2022</v>
      </c>
      <c r="H96" s="399">
        <v>44602</v>
      </c>
      <c r="I96" s="399">
        <v>46427</v>
      </c>
      <c r="J96" s="572" t="s">
        <v>2142</v>
      </c>
    </row>
    <row r="97" spans="1:10">
      <c r="A97" s="587">
        <v>92</v>
      </c>
      <c r="B97" s="564" t="s">
        <v>2276</v>
      </c>
      <c r="C97" s="564" t="s">
        <v>2277</v>
      </c>
      <c r="D97" s="564" t="s">
        <v>2135</v>
      </c>
      <c r="E97" s="564" t="s">
        <v>2169</v>
      </c>
      <c r="F97" s="564" t="s">
        <v>2155</v>
      </c>
      <c r="G97" s="564">
        <v>2022</v>
      </c>
      <c r="H97" s="398">
        <v>44612</v>
      </c>
      <c r="I97" s="398">
        <v>46437</v>
      </c>
      <c r="J97" s="573" t="s">
        <v>2170</v>
      </c>
    </row>
    <row r="98" spans="1:10">
      <c r="A98" s="586">
        <v>93</v>
      </c>
      <c r="B98" s="565" t="s">
        <v>2148</v>
      </c>
      <c r="C98" s="565" t="s">
        <v>2215</v>
      </c>
      <c r="D98" s="565" t="s">
        <v>2135</v>
      </c>
      <c r="E98" s="565" t="s">
        <v>2141</v>
      </c>
      <c r="F98" s="565" t="s">
        <v>2155</v>
      </c>
      <c r="G98" s="565">
        <v>2022</v>
      </c>
      <c r="H98" s="399">
        <v>44708</v>
      </c>
      <c r="I98" s="399">
        <v>46533</v>
      </c>
      <c r="J98" s="572" t="s">
        <v>2278</v>
      </c>
    </row>
    <row r="99" spans="1:10">
      <c r="A99" s="587">
        <v>94</v>
      </c>
      <c r="B99" s="564" t="s">
        <v>2133</v>
      </c>
      <c r="C99" s="564" t="s">
        <v>2279</v>
      </c>
      <c r="D99" s="564" t="s">
        <v>2135</v>
      </c>
      <c r="E99" s="564" t="s">
        <v>2136</v>
      </c>
      <c r="F99" s="564" t="s">
        <v>2155</v>
      </c>
      <c r="G99" s="564">
        <v>2017</v>
      </c>
      <c r="H99" s="398">
        <v>42885</v>
      </c>
      <c r="I99" s="398">
        <v>46535</v>
      </c>
      <c r="J99" s="573" t="s">
        <v>2138</v>
      </c>
    </row>
    <row r="100" spans="1:10">
      <c r="A100" s="586">
        <v>95</v>
      </c>
      <c r="B100" s="565" t="s">
        <v>2280</v>
      </c>
      <c r="C100" s="565" t="s">
        <v>2281</v>
      </c>
      <c r="D100" s="565" t="s">
        <v>2135</v>
      </c>
      <c r="E100" s="565" t="s">
        <v>2169</v>
      </c>
      <c r="F100" s="565" t="s">
        <v>2155</v>
      </c>
      <c r="G100" s="565">
        <v>2022</v>
      </c>
      <c r="H100" s="399">
        <v>44747</v>
      </c>
      <c r="I100" s="399">
        <v>46572</v>
      </c>
      <c r="J100" s="572" t="s">
        <v>2170</v>
      </c>
    </row>
    <row r="101" spans="1:10">
      <c r="A101" s="587">
        <v>96</v>
      </c>
      <c r="B101" s="564" t="s">
        <v>2143</v>
      </c>
      <c r="C101" s="564" t="s">
        <v>2282</v>
      </c>
      <c r="D101" s="564" t="s">
        <v>2135</v>
      </c>
      <c r="E101" s="564" t="s">
        <v>2136</v>
      </c>
      <c r="F101" s="564" t="s">
        <v>2155</v>
      </c>
      <c r="G101" s="564">
        <v>2022</v>
      </c>
      <c r="H101" s="398">
        <v>44783</v>
      </c>
      <c r="I101" s="398">
        <v>46608</v>
      </c>
      <c r="J101" s="573" t="s">
        <v>2142</v>
      </c>
    </row>
    <row r="102" spans="1:10">
      <c r="A102" s="586">
        <v>97</v>
      </c>
      <c r="B102" s="565" t="s">
        <v>2197</v>
      </c>
      <c r="C102" s="565" t="s">
        <v>2283</v>
      </c>
      <c r="D102" s="565" t="s">
        <v>2135</v>
      </c>
      <c r="E102" s="565" t="s">
        <v>2169</v>
      </c>
      <c r="F102" s="565" t="s">
        <v>2155</v>
      </c>
      <c r="G102" s="565">
        <v>2022</v>
      </c>
      <c r="H102" s="399">
        <v>44789</v>
      </c>
      <c r="I102" s="399">
        <v>46614</v>
      </c>
      <c r="J102" s="572" t="s">
        <v>2170</v>
      </c>
    </row>
    <row r="103" spans="1:10">
      <c r="A103" s="587">
        <v>98</v>
      </c>
      <c r="B103" s="564" t="s">
        <v>2284</v>
      </c>
      <c r="C103" s="564" t="s">
        <v>2285</v>
      </c>
      <c r="D103" s="564" t="s">
        <v>2135</v>
      </c>
      <c r="E103" s="564" t="s">
        <v>2169</v>
      </c>
      <c r="F103" s="564" t="s">
        <v>2155</v>
      </c>
      <c r="G103" s="564">
        <v>2018</v>
      </c>
      <c r="H103" s="398">
        <v>43307</v>
      </c>
      <c r="I103" s="398">
        <v>46614</v>
      </c>
      <c r="J103" s="573" t="s">
        <v>2187</v>
      </c>
    </row>
    <row r="104" spans="1:10">
      <c r="A104" s="586">
        <v>99</v>
      </c>
      <c r="B104" s="565" t="s">
        <v>2148</v>
      </c>
      <c r="C104" s="565" t="s">
        <v>2286</v>
      </c>
      <c r="D104" s="565" t="s">
        <v>2135</v>
      </c>
      <c r="E104" s="565" t="s">
        <v>2169</v>
      </c>
      <c r="F104" s="565" t="s">
        <v>2155</v>
      </c>
      <c r="G104" s="565">
        <v>2022</v>
      </c>
      <c r="H104" s="399">
        <v>44789</v>
      </c>
      <c r="I104" s="399">
        <v>46614</v>
      </c>
      <c r="J104" s="572" t="s">
        <v>2170</v>
      </c>
    </row>
    <row r="105" spans="1:10">
      <c r="A105" s="587">
        <v>100</v>
      </c>
      <c r="B105" s="564" t="s">
        <v>2148</v>
      </c>
      <c r="C105" s="564" t="s">
        <v>2287</v>
      </c>
      <c r="D105" s="564" t="s">
        <v>2135</v>
      </c>
      <c r="E105" s="564" t="s">
        <v>2169</v>
      </c>
      <c r="F105" s="564" t="s">
        <v>2155</v>
      </c>
      <c r="G105" s="564">
        <v>2022</v>
      </c>
      <c r="H105" s="398">
        <v>44790</v>
      </c>
      <c r="I105" s="398">
        <v>46615</v>
      </c>
      <c r="J105" s="573" t="s">
        <v>2170</v>
      </c>
    </row>
    <row r="106" spans="1:10">
      <c r="A106" s="586">
        <v>101</v>
      </c>
      <c r="B106" s="565" t="s">
        <v>2143</v>
      </c>
      <c r="C106" s="565" t="s">
        <v>2288</v>
      </c>
      <c r="D106" s="565" t="s">
        <v>2135</v>
      </c>
      <c r="E106" s="565" t="s">
        <v>2136</v>
      </c>
      <c r="F106" s="565" t="s">
        <v>2155</v>
      </c>
      <c r="G106" s="565">
        <v>2012</v>
      </c>
      <c r="H106" s="399">
        <v>41143</v>
      </c>
      <c r="I106" s="399">
        <v>46619</v>
      </c>
      <c r="J106" s="572" t="s">
        <v>2138</v>
      </c>
    </row>
    <row r="107" spans="1:10">
      <c r="A107" s="587">
        <v>102</v>
      </c>
      <c r="B107" s="564" t="s">
        <v>2148</v>
      </c>
      <c r="C107" s="564" t="s">
        <v>2289</v>
      </c>
      <c r="D107" s="564" t="s">
        <v>2135</v>
      </c>
      <c r="E107" s="564" t="s">
        <v>2153</v>
      </c>
      <c r="F107" s="564" t="s">
        <v>2155</v>
      </c>
      <c r="G107" s="564">
        <v>2022</v>
      </c>
      <c r="H107" s="398">
        <v>44811</v>
      </c>
      <c r="I107" s="398">
        <v>46636</v>
      </c>
      <c r="J107" s="573" t="s">
        <v>2150</v>
      </c>
    </row>
    <row r="108" spans="1:10">
      <c r="A108" s="586">
        <v>103</v>
      </c>
      <c r="B108" s="565" t="s">
        <v>2161</v>
      </c>
      <c r="C108" s="565" t="s">
        <v>2290</v>
      </c>
      <c r="D108" s="565" t="s">
        <v>2135</v>
      </c>
      <c r="E108" s="565" t="s">
        <v>2169</v>
      </c>
      <c r="F108" s="565" t="s">
        <v>2155</v>
      </c>
      <c r="G108" s="565">
        <v>2018</v>
      </c>
      <c r="H108" s="399">
        <v>43362</v>
      </c>
      <c r="I108" s="399">
        <v>46643</v>
      </c>
      <c r="J108" s="572" t="s">
        <v>2150</v>
      </c>
    </row>
    <row r="109" spans="1:10">
      <c r="A109" s="587">
        <v>104</v>
      </c>
      <c r="B109" s="564" t="s">
        <v>2291</v>
      </c>
      <c r="C109" s="564" t="s">
        <v>2292</v>
      </c>
      <c r="D109" s="564" t="s">
        <v>2135</v>
      </c>
      <c r="E109" s="564" t="s">
        <v>2169</v>
      </c>
      <c r="F109" s="564" t="s">
        <v>2155</v>
      </c>
      <c r="G109" s="564">
        <v>2022</v>
      </c>
      <c r="H109" s="398">
        <v>44862</v>
      </c>
      <c r="I109" s="398">
        <v>46687</v>
      </c>
      <c r="J109" s="573" t="s">
        <v>2204</v>
      </c>
    </row>
    <row r="110" spans="1:10">
      <c r="A110" s="586">
        <v>105</v>
      </c>
      <c r="B110" s="565" t="s">
        <v>2221</v>
      </c>
      <c r="C110" s="565" t="s">
        <v>2163</v>
      </c>
      <c r="D110" s="565" t="s">
        <v>2135</v>
      </c>
      <c r="E110" s="565" t="s">
        <v>2169</v>
      </c>
      <c r="F110" s="565" t="s">
        <v>2155</v>
      </c>
      <c r="G110" s="565">
        <v>2022</v>
      </c>
      <c r="H110" s="399">
        <v>44879</v>
      </c>
      <c r="I110" s="399">
        <v>46704</v>
      </c>
      <c r="J110" s="572" t="s">
        <v>2187</v>
      </c>
    </row>
    <row r="111" spans="1:10">
      <c r="A111" s="587">
        <v>106</v>
      </c>
      <c r="B111" s="564" t="s">
        <v>2148</v>
      </c>
      <c r="C111" s="564" t="s">
        <v>2273</v>
      </c>
      <c r="D111" s="564" t="s">
        <v>2135</v>
      </c>
      <c r="E111" s="564" t="s">
        <v>2169</v>
      </c>
      <c r="F111" s="564" t="s">
        <v>2155</v>
      </c>
      <c r="G111" s="564">
        <v>2022</v>
      </c>
      <c r="H111" s="398">
        <v>44890</v>
      </c>
      <c r="I111" s="398">
        <v>46715</v>
      </c>
      <c r="J111" s="573" t="s">
        <v>2150</v>
      </c>
    </row>
    <row r="112" spans="1:10">
      <c r="A112" s="586">
        <v>107</v>
      </c>
      <c r="B112" s="565" t="s">
        <v>2293</v>
      </c>
      <c r="C112" s="565" t="s">
        <v>2294</v>
      </c>
      <c r="D112" s="565" t="s">
        <v>2135</v>
      </c>
      <c r="E112" s="565" t="s">
        <v>2169</v>
      </c>
      <c r="F112" s="565" t="s">
        <v>2155</v>
      </c>
      <c r="G112" s="565">
        <v>2022</v>
      </c>
      <c r="H112" s="399">
        <v>44904</v>
      </c>
      <c r="I112" s="399">
        <v>46729</v>
      </c>
      <c r="J112" s="572" t="s">
        <v>2170</v>
      </c>
    </row>
    <row r="113" spans="1:10">
      <c r="A113" s="587">
        <v>108</v>
      </c>
      <c r="B113" s="564" t="s">
        <v>2148</v>
      </c>
      <c r="C113" s="564" t="s">
        <v>2295</v>
      </c>
      <c r="D113" s="564" t="s">
        <v>2135</v>
      </c>
      <c r="E113" s="564" t="s">
        <v>2169</v>
      </c>
      <c r="F113" s="564" t="s">
        <v>2155</v>
      </c>
      <c r="G113" s="564">
        <v>2023</v>
      </c>
      <c r="H113" s="398">
        <v>45000</v>
      </c>
      <c r="I113" s="398">
        <v>46826</v>
      </c>
      <c r="J113" s="573" t="s">
        <v>2296</v>
      </c>
    </row>
    <row r="114" spans="1:10">
      <c r="A114" s="586">
        <v>109</v>
      </c>
      <c r="B114" s="565" t="s">
        <v>2148</v>
      </c>
      <c r="C114" s="565" t="s">
        <v>2215</v>
      </c>
      <c r="D114" s="565" t="s">
        <v>2135</v>
      </c>
      <c r="E114" s="565" t="s">
        <v>2216</v>
      </c>
      <c r="F114" s="565" t="s">
        <v>2155</v>
      </c>
      <c r="G114" s="565">
        <v>2023</v>
      </c>
      <c r="H114" s="399">
        <v>45034</v>
      </c>
      <c r="I114" s="399">
        <v>46860</v>
      </c>
      <c r="J114" s="572" t="s">
        <v>2242</v>
      </c>
    </row>
    <row r="115" spans="1:10">
      <c r="A115" s="587">
        <v>110</v>
      </c>
      <c r="B115" s="564" t="s">
        <v>2148</v>
      </c>
      <c r="C115" s="564" t="s">
        <v>2215</v>
      </c>
      <c r="D115" s="564" t="s">
        <v>2135</v>
      </c>
      <c r="E115" s="564" t="s">
        <v>2136</v>
      </c>
      <c r="F115" s="564" t="s">
        <v>2155</v>
      </c>
      <c r="G115" s="564">
        <v>2023</v>
      </c>
      <c r="H115" s="398">
        <v>45034</v>
      </c>
      <c r="I115" s="398">
        <v>46860</v>
      </c>
      <c r="J115" s="573" t="s">
        <v>2148</v>
      </c>
    </row>
    <row r="116" spans="1:10">
      <c r="A116" s="586">
        <v>111</v>
      </c>
      <c r="B116" s="565" t="s">
        <v>2148</v>
      </c>
      <c r="C116" s="565" t="s">
        <v>2215</v>
      </c>
      <c r="D116" s="565" t="s">
        <v>2135</v>
      </c>
      <c r="E116" s="565" t="s">
        <v>2136</v>
      </c>
      <c r="F116" s="565" t="s">
        <v>2155</v>
      </c>
      <c r="G116" s="565">
        <v>2023</v>
      </c>
      <c r="H116" s="399">
        <v>45040</v>
      </c>
      <c r="I116" s="399">
        <v>46866</v>
      </c>
      <c r="J116" s="572" t="s">
        <v>2245</v>
      </c>
    </row>
    <row r="117" spans="1:10">
      <c r="A117" s="587">
        <v>112</v>
      </c>
      <c r="B117" s="564" t="s">
        <v>2148</v>
      </c>
      <c r="C117" s="564" t="s">
        <v>2297</v>
      </c>
      <c r="D117" s="564" t="s">
        <v>2135</v>
      </c>
      <c r="E117" s="564" t="s">
        <v>2153</v>
      </c>
      <c r="F117" s="564" t="s">
        <v>2155</v>
      </c>
      <c r="G117" s="564">
        <v>2023</v>
      </c>
      <c r="H117" s="398">
        <v>45054</v>
      </c>
      <c r="I117" s="398">
        <v>46880</v>
      </c>
      <c r="J117" s="573" t="s">
        <v>2150</v>
      </c>
    </row>
    <row r="118" spans="1:10">
      <c r="A118" s="586">
        <v>113</v>
      </c>
      <c r="B118" s="565" t="s">
        <v>2148</v>
      </c>
      <c r="C118" s="565" t="s">
        <v>2298</v>
      </c>
      <c r="D118" s="565" t="s">
        <v>2135</v>
      </c>
      <c r="E118" s="565" t="s">
        <v>2169</v>
      </c>
      <c r="F118" s="565" t="s">
        <v>2155</v>
      </c>
      <c r="G118" s="565">
        <v>2023</v>
      </c>
      <c r="H118" s="399">
        <v>45065</v>
      </c>
      <c r="I118" s="399">
        <v>46891</v>
      </c>
      <c r="J118" s="572" t="s">
        <v>2299</v>
      </c>
    </row>
    <row r="119" spans="1:10">
      <c r="A119" s="587">
        <v>114</v>
      </c>
      <c r="B119" s="564" t="s">
        <v>2148</v>
      </c>
      <c r="C119" s="564" t="s">
        <v>2300</v>
      </c>
      <c r="D119" s="564" t="s">
        <v>2135</v>
      </c>
      <c r="E119" s="564" t="s">
        <v>2263</v>
      </c>
      <c r="F119" s="564" t="s">
        <v>2155</v>
      </c>
      <c r="G119" s="564">
        <v>2023</v>
      </c>
      <c r="H119" s="398">
        <v>45090</v>
      </c>
      <c r="I119" s="398">
        <v>46916</v>
      </c>
      <c r="J119" s="573" t="s">
        <v>2148</v>
      </c>
    </row>
    <row r="120" spans="1:10">
      <c r="A120" s="586">
        <v>115</v>
      </c>
      <c r="B120" s="565" t="s">
        <v>2148</v>
      </c>
      <c r="C120" s="565" t="s">
        <v>2301</v>
      </c>
      <c r="D120" s="565" t="s">
        <v>2135</v>
      </c>
      <c r="E120" s="565" t="s">
        <v>2136</v>
      </c>
      <c r="F120" s="565" t="s">
        <v>2155</v>
      </c>
      <c r="G120" s="565">
        <v>2023</v>
      </c>
      <c r="H120" s="399">
        <v>45103</v>
      </c>
      <c r="I120" s="399">
        <v>46929</v>
      </c>
      <c r="J120" s="572" t="s">
        <v>2245</v>
      </c>
    </row>
    <row r="121" spans="1:10">
      <c r="A121" s="587">
        <v>116</v>
      </c>
      <c r="B121" s="564" t="s">
        <v>2148</v>
      </c>
      <c r="C121" s="564" t="s">
        <v>2302</v>
      </c>
      <c r="D121" s="564" t="s">
        <v>2135</v>
      </c>
      <c r="E121" s="564" t="s">
        <v>2136</v>
      </c>
      <c r="F121" s="564" t="s">
        <v>2155</v>
      </c>
      <c r="G121" s="564">
        <v>2023</v>
      </c>
      <c r="H121" s="398">
        <v>45104</v>
      </c>
      <c r="I121" s="398">
        <v>46930</v>
      </c>
      <c r="J121" s="573" t="s">
        <v>2303</v>
      </c>
    </row>
    <row r="122" spans="1:10">
      <c r="A122" s="586">
        <v>117</v>
      </c>
      <c r="B122" s="565" t="s">
        <v>2148</v>
      </c>
      <c r="C122" s="565" t="s">
        <v>2219</v>
      </c>
      <c r="D122" s="565" t="s">
        <v>2135</v>
      </c>
      <c r="E122" s="565" t="s">
        <v>2169</v>
      </c>
      <c r="F122" s="565" t="s">
        <v>2155</v>
      </c>
      <c r="G122" s="565">
        <v>2018</v>
      </c>
      <c r="H122" s="399">
        <v>43280</v>
      </c>
      <c r="I122" s="399">
        <v>46931</v>
      </c>
      <c r="J122" s="572" t="s">
        <v>2187</v>
      </c>
    </row>
    <row r="123" spans="1:10">
      <c r="A123" s="587">
        <v>118</v>
      </c>
      <c r="B123" s="564" t="s">
        <v>2148</v>
      </c>
      <c r="C123" s="564" t="s">
        <v>2304</v>
      </c>
      <c r="D123" s="564" t="s">
        <v>2135</v>
      </c>
      <c r="E123" s="564" t="s">
        <v>2136</v>
      </c>
      <c r="F123" s="564" t="s">
        <v>2155</v>
      </c>
      <c r="G123" s="564">
        <v>2018</v>
      </c>
      <c r="H123" s="398">
        <v>43304</v>
      </c>
      <c r="I123" s="398">
        <v>46957</v>
      </c>
      <c r="J123" s="573" t="s">
        <v>2138</v>
      </c>
    </row>
    <row r="124" spans="1:10">
      <c r="A124" s="586">
        <v>119</v>
      </c>
      <c r="B124" s="565" t="s">
        <v>2148</v>
      </c>
      <c r="C124" s="565" t="s">
        <v>2305</v>
      </c>
      <c r="D124" s="565" t="s">
        <v>2135</v>
      </c>
      <c r="E124" s="565" t="s">
        <v>2169</v>
      </c>
      <c r="F124" s="565" t="s">
        <v>2155</v>
      </c>
      <c r="G124" s="565">
        <v>2023</v>
      </c>
      <c r="H124" s="399">
        <v>45169</v>
      </c>
      <c r="I124" s="399">
        <v>46995</v>
      </c>
      <c r="J124" s="572" t="s">
        <v>2150</v>
      </c>
    </row>
    <row r="125" spans="1:10">
      <c r="A125" s="587">
        <v>120</v>
      </c>
      <c r="B125" s="564" t="s">
        <v>2148</v>
      </c>
      <c r="C125" s="564" t="s">
        <v>2273</v>
      </c>
      <c r="D125" s="564" t="s">
        <v>2135</v>
      </c>
      <c r="E125" s="564" t="s">
        <v>2169</v>
      </c>
      <c r="F125" s="564" t="s">
        <v>2155</v>
      </c>
      <c r="G125" s="564">
        <v>2023</v>
      </c>
      <c r="H125" s="398">
        <v>45184</v>
      </c>
      <c r="I125" s="398">
        <v>47010</v>
      </c>
      <c r="J125" s="573" t="s">
        <v>2306</v>
      </c>
    </row>
    <row r="126" spans="1:10">
      <c r="A126" s="586">
        <v>121</v>
      </c>
      <c r="B126" s="565" t="s">
        <v>2148</v>
      </c>
      <c r="C126" s="565" t="s">
        <v>2307</v>
      </c>
      <c r="D126" s="565" t="s">
        <v>2135</v>
      </c>
      <c r="E126" s="565" t="s">
        <v>2169</v>
      </c>
      <c r="F126" s="565" t="s">
        <v>2155</v>
      </c>
      <c r="G126" s="565">
        <v>2023</v>
      </c>
      <c r="H126" s="399">
        <v>45184</v>
      </c>
      <c r="I126" s="399">
        <v>47010</v>
      </c>
      <c r="J126" s="572" t="s">
        <v>2306</v>
      </c>
    </row>
    <row r="127" spans="1:10">
      <c r="A127" s="587">
        <v>122</v>
      </c>
      <c r="B127" s="564" t="s">
        <v>2148</v>
      </c>
      <c r="C127" s="564" t="s">
        <v>2302</v>
      </c>
      <c r="D127" s="564" t="s">
        <v>2135</v>
      </c>
      <c r="E127" s="564" t="s">
        <v>2136</v>
      </c>
      <c r="F127" s="564" t="s">
        <v>2155</v>
      </c>
      <c r="G127" s="564">
        <v>2023</v>
      </c>
      <c r="H127" s="398">
        <v>45196</v>
      </c>
      <c r="I127" s="398">
        <v>47022</v>
      </c>
      <c r="J127" s="573" t="s">
        <v>2142</v>
      </c>
    </row>
    <row r="128" spans="1:10">
      <c r="A128" s="586">
        <v>123</v>
      </c>
      <c r="B128" s="565" t="s">
        <v>2148</v>
      </c>
      <c r="C128" s="565" t="s">
        <v>2264</v>
      </c>
      <c r="D128" s="565" t="s">
        <v>2135</v>
      </c>
      <c r="E128" s="565" t="s">
        <v>2169</v>
      </c>
      <c r="F128" s="565" t="s">
        <v>2155</v>
      </c>
      <c r="G128" s="565">
        <v>2023</v>
      </c>
      <c r="H128" s="399">
        <v>45267</v>
      </c>
      <c r="I128" s="399">
        <v>47093</v>
      </c>
      <c r="J128" s="572" t="s">
        <v>2299</v>
      </c>
    </row>
    <row r="129" spans="1:10">
      <c r="A129" s="587">
        <v>124</v>
      </c>
      <c r="B129" s="564" t="s">
        <v>2308</v>
      </c>
      <c r="C129" s="564" t="s">
        <v>2309</v>
      </c>
      <c r="D129" s="564" t="s">
        <v>2135</v>
      </c>
      <c r="E129" s="564" t="s">
        <v>2169</v>
      </c>
      <c r="F129" s="564" t="s">
        <v>2155</v>
      </c>
      <c r="G129" s="564">
        <v>2023</v>
      </c>
      <c r="H129" s="398">
        <v>45287</v>
      </c>
      <c r="I129" s="398">
        <v>47113</v>
      </c>
      <c r="J129" s="573" t="s">
        <v>2306</v>
      </c>
    </row>
    <row r="130" spans="1:10">
      <c r="A130" s="586">
        <v>125</v>
      </c>
      <c r="B130" s="565" t="s">
        <v>2148</v>
      </c>
      <c r="C130" s="565" t="s">
        <v>2219</v>
      </c>
      <c r="D130" s="565" t="s">
        <v>2135</v>
      </c>
      <c r="E130" s="565" t="s">
        <v>2169</v>
      </c>
      <c r="F130" s="565" t="s">
        <v>2155</v>
      </c>
      <c r="G130" s="565">
        <v>2019</v>
      </c>
      <c r="H130" s="399">
        <v>43493</v>
      </c>
      <c r="I130" s="399">
        <v>47114</v>
      </c>
      <c r="J130" s="572" t="s">
        <v>2187</v>
      </c>
    </row>
    <row r="131" spans="1:10">
      <c r="A131" s="587">
        <v>126</v>
      </c>
      <c r="B131" s="564" t="s">
        <v>2116</v>
      </c>
      <c r="C131" s="564" t="s">
        <v>2219</v>
      </c>
      <c r="D131" s="564" t="s">
        <v>2135</v>
      </c>
      <c r="E131" s="564" t="s">
        <v>2169</v>
      </c>
      <c r="F131" s="564" t="s">
        <v>2155</v>
      </c>
      <c r="G131" s="564">
        <v>2019</v>
      </c>
      <c r="H131" s="398">
        <v>43510</v>
      </c>
      <c r="I131" s="398">
        <v>47162</v>
      </c>
      <c r="J131" s="573" t="s">
        <v>2170</v>
      </c>
    </row>
    <row r="132" spans="1:10">
      <c r="A132" s="586">
        <v>127</v>
      </c>
      <c r="B132" s="565" t="s">
        <v>2310</v>
      </c>
      <c r="C132" s="565" t="s">
        <v>2311</v>
      </c>
      <c r="D132" s="565" t="s">
        <v>2135</v>
      </c>
      <c r="E132" s="565" t="s">
        <v>2153</v>
      </c>
      <c r="F132" s="565" t="s">
        <v>2155</v>
      </c>
      <c r="G132" s="565">
        <v>2013</v>
      </c>
      <c r="H132" s="399">
        <v>41481</v>
      </c>
      <c r="I132" s="399">
        <v>47206</v>
      </c>
      <c r="J132" s="572" t="s">
        <v>2150</v>
      </c>
    </row>
    <row r="133" spans="1:10">
      <c r="A133" s="587">
        <v>128</v>
      </c>
      <c r="B133" s="564" t="s">
        <v>2218</v>
      </c>
      <c r="C133" s="564" t="s">
        <v>2312</v>
      </c>
      <c r="D133" s="564" t="s">
        <v>2135</v>
      </c>
      <c r="E133" s="564" t="s">
        <v>2169</v>
      </c>
      <c r="F133" s="564" t="s">
        <v>2155</v>
      </c>
      <c r="G133" s="564">
        <v>2019</v>
      </c>
      <c r="H133" s="398">
        <v>43742</v>
      </c>
      <c r="I133" s="398">
        <v>47393</v>
      </c>
      <c r="J133" s="573" t="s">
        <v>2187</v>
      </c>
    </row>
    <row r="134" spans="1:10">
      <c r="A134" s="586">
        <v>129</v>
      </c>
      <c r="B134" s="565" t="s">
        <v>2313</v>
      </c>
      <c r="C134" s="565" t="s">
        <v>2314</v>
      </c>
      <c r="D134" s="565" t="s">
        <v>2315</v>
      </c>
      <c r="E134" s="565" t="s">
        <v>2216</v>
      </c>
      <c r="F134" s="565" t="s">
        <v>2137</v>
      </c>
      <c r="G134" s="565">
        <v>2017</v>
      </c>
      <c r="H134" s="399">
        <v>42937</v>
      </c>
      <c r="I134" s="399">
        <v>44076</v>
      </c>
      <c r="J134" s="572" t="s">
        <v>2142</v>
      </c>
    </row>
    <row r="135" spans="1:10">
      <c r="A135" s="587">
        <v>130</v>
      </c>
      <c r="B135" s="564" t="s">
        <v>2316</v>
      </c>
      <c r="C135" s="564" t="s">
        <v>2317</v>
      </c>
      <c r="D135" s="564" t="s">
        <v>2315</v>
      </c>
      <c r="E135" s="564" t="s">
        <v>2249</v>
      </c>
      <c r="F135" s="564" t="s">
        <v>2137</v>
      </c>
      <c r="G135" s="564">
        <v>2019</v>
      </c>
      <c r="H135" s="398">
        <v>43826</v>
      </c>
      <c r="I135" s="398">
        <v>44191</v>
      </c>
      <c r="J135" s="573" t="s">
        <v>2235</v>
      </c>
    </row>
    <row r="136" spans="1:10">
      <c r="A136" s="586">
        <v>131</v>
      </c>
      <c r="B136" s="565" t="s">
        <v>2318</v>
      </c>
      <c r="C136" s="565" t="s">
        <v>2319</v>
      </c>
      <c r="D136" s="565" t="s">
        <v>2315</v>
      </c>
      <c r="E136" s="565" t="s">
        <v>2216</v>
      </c>
      <c r="F136" s="565" t="s">
        <v>2137</v>
      </c>
      <c r="G136" s="565">
        <v>2020</v>
      </c>
      <c r="H136" s="399">
        <v>43859</v>
      </c>
      <c r="I136" s="399">
        <v>44224</v>
      </c>
      <c r="J136" s="572" t="s">
        <v>2150</v>
      </c>
    </row>
    <row r="137" spans="1:10">
      <c r="A137" s="587">
        <v>132</v>
      </c>
      <c r="B137" s="564" t="s">
        <v>2320</v>
      </c>
      <c r="C137" s="564" t="s">
        <v>2321</v>
      </c>
      <c r="D137" s="564" t="s">
        <v>2315</v>
      </c>
      <c r="E137" s="564" t="s">
        <v>2216</v>
      </c>
      <c r="F137" s="564" t="s">
        <v>2137</v>
      </c>
      <c r="G137" s="564">
        <v>2020</v>
      </c>
      <c r="H137" s="398">
        <v>43861</v>
      </c>
      <c r="I137" s="398">
        <v>44226</v>
      </c>
      <c r="J137" s="573" t="s">
        <v>2150</v>
      </c>
    </row>
    <row r="138" spans="1:10">
      <c r="A138" s="586">
        <v>133</v>
      </c>
      <c r="B138" s="565" t="s">
        <v>2322</v>
      </c>
      <c r="C138" s="565" t="s">
        <v>2323</v>
      </c>
      <c r="D138" s="565" t="s">
        <v>2315</v>
      </c>
      <c r="E138" s="565" t="s">
        <v>2324</v>
      </c>
      <c r="F138" s="565" t="s">
        <v>2137</v>
      </c>
      <c r="G138" s="565">
        <v>2017</v>
      </c>
      <c r="H138" s="399">
        <v>42934</v>
      </c>
      <c r="I138" s="399">
        <v>44233</v>
      </c>
      <c r="J138" s="572" t="s">
        <v>2325</v>
      </c>
    </row>
    <row r="139" spans="1:10">
      <c r="A139" s="587">
        <v>134</v>
      </c>
      <c r="B139" s="564" t="s">
        <v>2326</v>
      </c>
      <c r="C139" s="564" t="s">
        <v>2327</v>
      </c>
      <c r="D139" s="564" t="s">
        <v>2315</v>
      </c>
      <c r="E139" s="564" t="s">
        <v>2216</v>
      </c>
      <c r="F139" s="564" t="s">
        <v>2137</v>
      </c>
      <c r="G139" s="564">
        <v>2020</v>
      </c>
      <c r="H139" s="398">
        <v>43881</v>
      </c>
      <c r="I139" s="398">
        <v>44246</v>
      </c>
      <c r="J139" s="573" t="s">
        <v>2142</v>
      </c>
    </row>
    <row r="140" spans="1:10">
      <c r="A140" s="586">
        <v>135</v>
      </c>
      <c r="B140" s="565" t="s">
        <v>2148</v>
      </c>
      <c r="C140" s="565" t="s">
        <v>2328</v>
      </c>
      <c r="D140" s="565" t="s">
        <v>2315</v>
      </c>
      <c r="E140" s="565" t="s">
        <v>2216</v>
      </c>
      <c r="F140" s="565" t="s">
        <v>2137</v>
      </c>
      <c r="G140" s="565">
        <v>2020</v>
      </c>
      <c r="H140" s="399">
        <v>44062</v>
      </c>
      <c r="I140" s="399">
        <v>44426</v>
      </c>
      <c r="J140" s="572" t="s">
        <v>2142</v>
      </c>
    </row>
    <row r="141" spans="1:10">
      <c r="A141" s="587">
        <v>136</v>
      </c>
      <c r="B141" s="564" t="s">
        <v>2329</v>
      </c>
      <c r="C141" s="564" t="s">
        <v>2330</v>
      </c>
      <c r="D141" s="564" t="s">
        <v>2315</v>
      </c>
      <c r="E141" s="564" t="s">
        <v>2324</v>
      </c>
      <c r="F141" s="564" t="s">
        <v>2155</v>
      </c>
      <c r="G141" s="564">
        <v>2021</v>
      </c>
      <c r="H141" s="398">
        <v>44256</v>
      </c>
      <c r="I141" s="398">
        <v>44441</v>
      </c>
      <c r="J141" s="573" t="s">
        <v>2325</v>
      </c>
    </row>
    <row r="142" spans="1:10">
      <c r="A142" s="586">
        <v>137</v>
      </c>
      <c r="B142" s="565" t="s">
        <v>2331</v>
      </c>
      <c r="C142" s="565" t="s">
        <v>2332</v>
      </c>
      <c r="D142" s="565" t="s">
        <v>2315</v>
      </c>
      <c r="E142" s="565" t="s">
        <v>2250</v>
      </c>
      <c r="F142" s="565" t="s">
        <v>2137</v>
      </c>
      <c r="G142" s="565">
        <v>2020</v>
      </c>
      <c r="H142" s="399">
        <v>44185</v>
      </c>
      <c r="I142" s="399">
        <v>44549</v>
      </c>
      <c r="J142" s="572" t="s">
        <v>2148</v>
      </c>
    </row>
    <row r="143" spans="1:10">
      <c r="A143" s="587">
        <v>138</v>
      </c>
      <c r="B143" s="564" t="s">
        <v>2148</v>
      </c>
      <c r="C143" s="564" t="s">
        <v>2333</v>
      </c>
      <c r="D143" s="564" t="s">
        <v>2315</v>
      </c>
      <c r="E143" s="564" t="s">
        <v>2324</v>
      </c>
      <c r="F143" s="564" t="s">
        <v>2155</v>
      </c>
      <c r="G143" s="564">
        <v>2020</v>
      </c>
      <c r="H143" s="398">
        <v>43913</v>
      </c>
      <c r="I143" s="398">
        <v>44642</v>
      </c>
      <c r="J143" s="573" t="s">
        <v>2325</v>
      </c>
    </row>
    <row r="144" spans="1:10">
      <c r="A144" s="586">
        <v>139</v>
      </c>
      <c r="B144" s="565" t="s">
        <v>2148</v>
      </c>
      <c r="C144" s="565" t="s">
        <v>2334</v>
      </c>
      <c r="D144" s="565" t="s">
        <v>2315</v>
      </c>
      <c r="E144" s="565" t="s">
        <v>2324</v>
      </c>
      <c r="F144" s="565" t="s">
        <v>2137</v>
      </c>
      <c r="G144" s="565">
        <v>2021</v>
      </c>
      <c r="H144" s="399">
        <v>44280</v>
      </c>
      <c r="I144" s="399">
        <v>44644</v>
      </c>
      <c r="J144" s="572" t="s">
        <v>2325</v>
      </c>
    </row>
    <row r="145" spans="1:10">
      <c r="A145" s="587">
        <v>140</v>
      </c>
      <c r="B145" s="564" t="s">
        <v>2335</v>
      </c>
      <c r="C145" s="564" t="s">
        <v>2336</v>
      </c>
      <c r="D145" s="564" t="s">
        <v>2315</v>
      </c>
      <c r="E145" s="564" t="s">
        <v>2324</v>
      </c>
      <c r="F145" s="564" t="s">
        <v>2137</v>
      </c>
      <c r="G145" s="564">
        <v>2021</v>
      </c>
      <c r="H145" s="398">
        <v>44300</v>
      </c>
      <c r="I145" s="398">
        <v>44664</v>
      </c>
      <c r="J145" s="573" t="s">
        <v>2337</v>
      </c>
    </row>
    <row r="146" spans="1:10">
      <c r="A146" s="586">
        <v>141</v>
      </c>
      <c r="B146" s="565" t="s">
        <v>2338</v>
      </c>
      <c r="C146" s="565" t="s">
        <v>2339</v>
      </c>
      <c r="D146" s="565" t="s">
        <v>2315</v>
      </c>
      <c r="E146" s="565" t="s">
        <v>2324</v>
      </c>
      <c r="F146" s="565" t="s">
        <v>2155</v>
      </c>
      <c r="G146" s="565">
        <v>2020</v>
      </c>
      <c r="H146" s="399">
        <v>43948</v>
      </c>
      <c r="I146" s="399">
        <v>44678</v>
      </c>
      <c r="J146" s="572" t="s">
        <v>2325</v>
      </c>
    </row>
    <row r="147" spans="1:10">
      <c r="A147" s="587">
        <v>142</v>
      </c>
      <c r="B147" s="564" t="s">
        <v>2148</v>
      </c>
      <c r="C147" s="564" t="s">
        <v>2340</v>
      </c>
      <c r="D147" s="564" t="s">
        <v>2315</v>
      </c>
      <c r="E147" s="564" t="s">
        <v>2324</v>
      </c>
      <c r="F147" s="564" t="s">
        <v>2137</v>
      </c>
      <c r="G147" s="564">
        <v>2021</v>
      </c>
      <c r="H147" s="398">
        <v>44316</v>
      </c>
      <c r="I147" s="398">
        <v>44680</v>
      </c>
      <c r="J147" s="573" t="s">
        <v>2325</v>
      </c>
    </row>
    <row r="148" spans="1:10">
      <c r="A148" s="586">
        <v>143</v>
      </c>
      <c r="B148" s="565" t="s">
        <v>2148</v>
      </c>
      <c r="C148" s="565" t="s">
        <v>2341</v>
      </c>
      <c r="D148" s="565" t="s">
        <v>2315</v>
      </c>
      <c r="E148" s="565" t="s">
        <v>2324</v>
      </c>
      <c r="F148" s="565" t="s">
        <v>2155</v>
      </c>
      <c r="G148" s="565">
        <v>2021</v>
      </c>
      <c r="H148" s="399">
        <v>44337</v>
      </c>
      <c r="I148" s="399">
        <v>44701</v>
      </c>
      <c r="J148" s="572" t="s">
        <v>2342</v>
      </c>
    </row>
    <row r="149" spans="1:10">
      <c r="A149" s="587">
        <v>144</v>
      </c>
      <c r="B149" s="564" t="s">
        <v>2343</v>
      </c>
      <c r="C149" s="564" t="s">
        <v>2344</v>
      </c>
      <c r="D149" s="564" t="s">
        <v>2315</v>
      </c>
      <c r="E149" s="564" t="s">
        <v>2324</v>
      </c>
      <c r="F149" s="564" t="s">
        <v>2137</v>
      </c>
      <c r="G149" s="564">
        <v>2021</v>
      </c>
      <c r="H149" s="398">
        <v>44417</v>
      </c>
      <c r="I149" s="398">
        <v>44781</v>
      </c>
      <c r="J149" s="573" t="s">
        <v>2325</v>
      </c>
    </row>
    <row r="150" spans="1:10">
      <c r="A150" s="586">
        <v>145</v>
      </c>
      <c r="B150" s="565" t="s">
        <v>2345</v>
      </c>
      <c r="C150" s="565" t="s">
        <v>2346</v>
      </c>
      <c r="D150" s="565" t="s">
        <v>2315</v>
      </c>
      <c r="E150" s="565" t="s">
        <v>2216</v>
      </c>
      <c r="F150" s="565" t="s">
        <v>2137</v>
      </c>
      <c r="G150" s="565">
        <v>2021</v>
      </c>
      <c r="H150" s="399">
        <v>44419</v>
      </c>
      <c r="I150" s="399">
        <v>44783</v>
      </c>
      <c r="J150" s="572" t="s">
        <v>2142</v>
      </c>
    </row>
    <row r="151" spans="1:10">
      <c r="A151" s="587">
        <v>146</v>
      </c>
      <c r="B151" s="564" t="s">
        <v>2313</v>
      </c>
      <c r="C151" s="564" t="s">
        <v>2347</v>
      </c>
      <c r="D151" s="564" t="s">
        <v>2315</v>
      </c>
      <c r="E151" s="564" t="s">
        <v>2141</v>
      </c>
      <c r="F151" s="564" t="s">
        <v>2137</v>
      </c>
      <c r="G151" s="564">
        <v>2021</v>
      </c>
      <c r="H151" s="398">
        <v>44441</v>
      </c>
      <c r="I151" s="398">
        <v>44805</v>
      </c>
      <c r="J151" s="573" t="s">
        <v>2142</v>
      </c>
    </row>
    <row r="152" spans="1:10">
      <c r="A152" s="586">
        <v>147</v>
      </c>
      <c r="B152" s="565" t="s">
        <v>2348</v>
      </c>
      <c r="C152" s="565" t="s">
        <v>2349</v>
      </c>
      <c r="D152" s="565" t="s">
        <v>2315</v>
      </c>
      <c r="E152" s="565" t="s">
        <v>2324</v>
      </c>
      <c r="F152" s="565" t="s">
        <v>2137</v>
      </c>
      <c r="G152" s="565">
        <v>2021</v>
      </c>
      <c r="H152" s="399">
        <v>44498</v>
      </c>
      <c r="I152" s="399">
        <v>44862</v>
      </c>
      <c r="J152" s="572" t="s">
        <v>2325</v>
      </c>
    </row>
    <row r="153" spans="1:10">
      <c r="A153" s="587">
        <v>148</v>
      </c>
      <c r="B153" s="564" t="s">
        <v>2350</v>
      </c>
      <c r="C153" s="564" t="s">
        <v>2163</v>
      </c>
      <c r="D153" s="564" t="s">
        <v>2315</v>
      </c>
      <c r="E153" s="564" t="s">
        <v>2324</v>
      </c>
      <c r="F153" s="564" t="s">
        <v>2137</v>
      </c>
      <c r="G153" s="564">
        <v>2022</v>
      </c>
      <c r="H153" s="398">
        <v>44615</v>
      </c>
      <c r="I153" s="398">
        <v>44979</v>
      </c>
      <c r="J153" s="573" t="s">
        <v>2325</v>
      </c>
    </row>
    <row r="154" spans="1:10">
      <c r="A154" s="586">
        <v>149</v>
      </c>
      <c r="B154" s="565" t="s">
        <v>2148</v>
      </c>
      <c r="C154" s="565" t="s">
        <v>2351</v>
      </c>
      <c r="D154" s="565" t="s">
        <v>2315</v>
      </c>
      <c r="E154" s="565" t="s">
        <v>2141</v>
      </c>
      <c r="F154" s="565" t="s">
        <v>2137</v>
      </c>
      <c r="G154" s="565">
        <v>2022</v>
      </c>
      <c r="H154" s="399">
        <v>44628</v>
      </c>
      <c r="I154" s="399">
        <v>44992</v>
      </c>
      <c r="J154" s="572" t="s">
        <v>2352</v>
      </c>
    </row>
    <row r="155" spans="1:10">
      <c r="A155" s="587">
        <v>150</v>
      </c>
      <c r="B155" s="564" t="s">
        <v>2353</v>
      </c>
      <c r="C155" s="564" t="s">
        <v>2354</v>
      </c>
      <c r="D155" s="564" t="s">
        <v>2315</v>
      </c>
      <c r="E155" s="564" t="s">
        <v>2324</v>
      </c>
      <c r="F155" s="564" t="s">
        <v>2137</v>
      </c>
      <c r="G155" s="564">
        <v>2022</v>
      </c>
      <c r="H155" s="398">
        <v>44678</v>
      </c>
      <c r="I155" s="398">
        <v>45042</v>
      </c>
      <c r="J155" s="573" t="s">
        <v>2325</v>
      </c>
    </row>
    <row r="156" spans="1:10">
      <c r="A156" s="586">
        <v>151</v>
      </c>
      <c r="B156" s="565" t="s">
        <v>2355</v>
      </c>
      <c r="C156" s="565" t="s">
        <v>2356</v>
      </c>
      <c r="D156" s="565" t="s">
        <v>2315</v>
      </c>
      <c r="E156" s="565" t="s">
        <v>2216</v>
      </c>
      <c r="F156" s="565" t="s">
        <v>2137</v>
      </c>
      <c r="G156" s="565">
        <v>2022</v>
      </c>
      <c r="H156" s="399">
        <v>44693</v>
      </c>
      <c r="I156" s="399">
        <v>45057</v>
      </c>
      <c r="J156" s="572" t="s">
        <v>2150</v>
      </c>
    </row>
    <row r="157" spans="1:10">
      <c r="A157" s="587">
        <v>152</v>
      </c>
      <c r="B157" s="564" t="s">
        <v>2322</v>
      </c>
      <c r="C157" s="564" t="s">
        <v>2357</v>
      </c>
      <c r="D157" s="564" t="s">
        <v>2315</v>
      </c>
      <c r="E157" s="564" t="s">
        <v>2324</v>
      </c>
      <c r="F157" s="564" t="s">
        <v>2137</v>
      </c>
      <c r="G157" s="564">
        <v>2022</v>
      </c>
      <c r="H157" s="398">
        <v>44729</v>
      </c>
      <c r="I157" s="398">
        <v>45093</v>
      </c>
      <c r="J157" s="573" t="s">
        <v>2325</v>
      </c>
    </row>
    <row r="158" spans="1:10">
      <c r="A158" s="586">
        <v>153</v>
      </c>
      <c r="B158" s="565" t="s">
        <v>2358</v>
      </c>
      <c r="C158" s="565" t="s">
        <v>2359</v>
      </c>
      <c r="D158" s="565" t="s">
        <v>2315</v>
      </c>
      <c r="E158" s="565" t="s">
        <v>2216</v>
      </c>
      <c r="F158" s="565" t="s">
        <v>2155</v>
      </c>
      <c r="G158" s="565">
        <v>2022</v>
      </c>
      <c r="H158" s="399">
        <v>44742</v>
      </c>
      <c r="I158" s="399">
        <v>45106</v>
      </c>
      <c r="J158" s="572" t="s">
        <v>2148</v>
      </c>
    </row>
    <row r="159" spans="1:10">
      <c r="A159" s="587">
        <v>154</v>
      </c>
      <c r="B159" s="564" t="s">
        <v>2148</v>
      </c>
      <c r="C159" s="564" t="s">
        <v>2340</v>
      </c>
      <c r="D159" s="564" t="s">
        <v>2315</v>
      </c>
      <c r="E159" s="564" t="s">
        <v>2324</v>
      </c>
      <c r="F159" s="564" t="s">
        <v>2137</v>
      </c>
      <c r="G159" s="564">
        <v>2022</v>
      </c>
      <c r="H159" s="398">
        <v>44746</v>
      </c>
      <c r="I159" s="398">
        <v>45110</v>
      </c>
      <c r="J159" s="573" t="s">
        <v>2325</v>
      </c>
    </row>
    <row r="160" spans="1:10">
      <c r="A160" s="586">
        <v>155</v>
      </c>
      <c r="B160" s="565" t="s">
        <v>2360</v>
      </c>
      <c r="C160" s="565" t="s">
        <v>2361</v>
      </c>
      <c r="D160" s="565" t="s">
        <v>2315</v>
      </c>
      <c r="E160" s="565" t="s">
        <v>2324</v>
      </c>
      <c r="F160" s="565" t="s">
        <v>2137</v>
      </c>
      <c r="G160" s="565">
        <v>2022</v>
      </c>
      <c r="H160" s="399">
        <v>44750</v>
      </c>
      <c r="I160" s="399">
        <v>45114</v>
      </c>
      <c r="J160" s="572" t="s">
        <v>2192</v>
      </c>
    </row>
    <row r="161" spans="1:10">
      <c r="A161" s="587">
        <v>156</v>
      </c>
      <c r="B161" s="564" t="s">
        <v>2362</v>
      </c>
      <c r="C161" s="564" t="s">
        <v>2363</v>
      </c>
      <c r="D161" s="564" t="s">
        <v>2315</v>
      </c>
      <c r="E161" s="564" t="s">
        <v>2324</v>
      </c>
      <c r="F161" s="564" t="s">
        <v>2155</v>
      </c>
      <c r="G161" s="564">
        <v>2022</v>
      </c>
      <c r="H161" s="398">
        <v>44833</v>
      </c>
      <c r="I161" s="398">
        <v>45197</v>
      </c>
      <c r="J161" s="573" t="s">
        <v>2303</v>
      </c>
    </row>
    <row r="162" spans="1:10">
      <c r="A162" s="586">
        <v>157</v>
      </c>
      <c r="B162" s="565" t="s">
        <v>2364</v>
      </c>
      <c r="C162" s="565" t="s">
        <v>2365</v>
      </c>
      <c r="D162" s="565" t="s">
        <v>2315</v>
      </c>
      <c r="E162" s="565" t="s">
        <v>2324</v>
      </c>
      <c r="F162" s="565" t="s">
        <v>2137</v>
      </c>
      <c r="G162" s="565">
        <v>2022</v>
      </c>
      <c r="H162" s="399">
        <v>44848</v>
      </c>
      <c r="I162" s="399">
        <v>45212</v>
      </c>
      <c r="J162" s="572" t="s">
        <v>2366</v>
      </c>
    </row>
    <row r="163" spans="1:10">
      <c r="A163" s="587">
        <v>158</v>
      </c>
      <c r="B163" s="564" t="s">
        <v>2148</v>
      </c>
      <c r="C163" s="564" t="s">
        <v>2367</v>
      </c>
      <c r="D163" s="564" t="s">
        <v>2315</v>
      </c>
      <c r="E163" s="564" t="s">
        <v>2250</v>
      </c>
      <c r="F163" s="564" t="s">
        <v>2137</v>
      </c>
      <c r="G163" s="564">
        <v>2022</v>
      </c>
      <c r="H163" s="398">
        <v>44861</v>
      </c>
      <c r="I163" s="398">
        <v>45225</v>
      </c>
      <c r="J163" s="573" t="s">
        <v>2170</v>
      </c>
    </row>
    <row r="164" spans="1:10">
      <c r="A164" s="586">
        <v>159</v>
      </c>
      <c r="B164" s="565" t="s">
        <v>2148</v>
      </c>
      <c r="C164" s="565" t="s">
        <v>2368</v>
      </c>
      <c r="D164" s="565" t="s">
        <v>2315</v>
      </c>
      <c r="E164" s="565" t="s">
        <v>2324</v>
      </c>
      <c r="F164" s="565" t="s">
        <v>2155</v>
      </c>
      <c r="G164" s="565">
        <v>2022</v>
      </c>
      <c r="H164" s="399">
        <v>44911</v>
      </c>
      <c r="I164" s="399">
        <v>45275</v>
      </c>
      <c r="J164" s="572" t="s">
        <v>2325</v>
      </c>
    </row>
    <row r="165" spans="1:10">
      <c r="A165" s="587">
        <v>160</v>
      </c>
      <c r="B165" s="564" t="s">
        <v>2313</v>
      </c>
      <c r="C165" s="564" t="s">
        <v>2369</v>
      </c>
      <c r="D165" s="564" t="s">
        <v>2315</v>
      </c>
      <c r="E165" s="564" t="s">
        <v>2216</v>
      </c>
      <c r="F165" s="564" t="s">
        <v>2137</v>
      </c>
      <c r="G165" s="564">
        <v>2022</v>
      </c>
      <c r="H165" s="398">
        <v>44925</v>
      </c>
      <c r="I165" s="398">
        <v>45289</v>
      </c>
      <c r="J165" s="573" t="s">
        <v>2142</v>
      </c>
    </row>
    <row r="166" spans="1:10">
      <c r="A166" s="586">
        <v>161</v>
      </c>
      <c r="B166" s="565" t="s">
        <v>2148</v>
      </c>
      <c r="C166" s="565" t="s">
        <v>2370</v>
      </c>
      <c r="D166" s="565" t="s">
        <v>2315</v>
      </c>
      <c r="E166" s="565" t="s">
        <v>2141</v>
      </c>
      <c r="F166" s="565" t="s">
        <v>2155</v>
      </c>
      <c r="G166" s="565">
        <v>2023</v>
      </c>
      <c r="H166" s="399">
        <v>44930</v>
      </c>
      <c r="I166" s="399">
        <v>45294</v>
      </c>
      <c r="J166" s="572" t="s">
        <v>2158</v>
      </c>
    </row>
    <row r="167" spans="1:10">
      <c r="A167" s="587">
        <v>162</v>
      </c>
      <c r="B167" s="564" t="s">
        <v>2371</v>
      </c>
      <c r="C167" s="564" t="s">
        <v>2372</v>
      </c>
      <c r="D167" s="564" t="s">
        <v>2315</v>
      </c>
      <c r="E167" s="564" t="s">
        <v>2324</v>
      </c>
      <c r="F167" s="564" t="s">
        <v>2155</v>
      </c>
      <c r="G167" s="564">
        <v>2022</v>
      </c>
      <c r="H167" s="398">
        <v>44580</v>
      </c>
      <c r="I167" s="398">
        <v>45309</v>
      </c>
      <c r="J167" s="573" t="s">
        <v>2373</v>
      </c>
    </row>
    <row r="168" spans="1:10">
      <c r="A168" s="586">
        <v>163</v>
      </c>
      <c r="B168" s="565" t="s">
        <v>2374</v>
      </c>
      <c r="C168" s="565" t="s">
        <v>2341</v>
      </c>
      <c r="D168" s="565" t="s">
        <v>2315</v>
      </c>
      <c r="E168" s="565" t="s">
        <v>2324</v>
      </c>
      <c r="F168" s="565" t="s">
        <v>2155</v>
      </c>
      <c r="G168" s="565">
        <v>2022</v>
      </c>
      <c r="H168" s="399">
        <v>44589</v>
      </c>
      <c r="I168" s="399">
        <v>45318</v>
      </c>
      <c r="J168" s="572" t="s">
        <v>2325</v>
      </c>
    </row>
    <row r="169" spans="1:10">
      <c r="A169" s="587">
        <v>164</v>
      </c>
      <c r="B169" s="564" t="s">
        <v>2375</v>
      </c>
      <c r="C169" s="564" t="s">
        <v>2376</v>
      </c>
      <c r="D169" s="564" t="s">
        <v>2315</v>
      </c>
      <c r="E169" s="564" t="s">
        <v>2324</v>
      </c>
      <c r="F169" s="564" t="s">
        <v>2155</v>
      </c>
      <c r="G169" s="564">
        <v>2023</v>
      </c>
      <c r="H169" s="398">
        <v>44957</v>
      </c>
      <c r="I169" s="398">
        <v>45321</v>
      </c>
      <c r="J169" s="573" t="s">
        <v>2190</v>
      </c>
    </row>
    <row r="170" spans="1:10">
      <c r="A170" s="586">
        <v>165</v>
      </c>
      <c r="B170" s="565" t="s">
        <v>2284</v>
      </c>
      <c r="C170" s="565" t="s">
        <v>2377</v>
      </c>
      <c r="D170" s="565" t="s">
        <v>2315</v>
      </c>
      <c r="E170" s="565" t="s">
        <v>2324</v>
      </c>
      <c r="F170" s="565" t="s">
        <v>2137</v>
      </c>
      <c r="G170" s="565">
        <v>2023</v>
      </c>
      <c r="H170" s="399">
        <v>44971</v>
      </c>
      <c r="I170" s="399">
        <v>45335</v>
      </c>
      <c r="J170" s="572" t="s">
        <v>2192</v>
      </c>
    </row>
    <row r="171" spans="1:10">
      <c r="A171" s="587">
        <v>166</v>
      </c>
      <c r="B171" s="564" t="s">
        <v>2378</v>
      </c>
      <c r="C171" s="564" t="s">
        <v>2379</v>
      </c>
      <c r="D171" s="564" t="s">
        <v>2315</v>
      </c>
      <c r="E171" s="564" t="s">
        <v>2324</v>
      </c>
      <c r="F171" s="564" t="s">
        <v>2155</v>
      </c>
      <c r="G171" s="564">
        <v>2023</v>
      </c>
      <c r="H171" s="398">
        <v>44971</v>
      </c>
      <c r="I171" s="398">
        <v>45335</v>
      </c>
      <c r="J171" s="573" t="s">
        <v>2325</v>
      </c>
    </row>
    <row r="172" spans="1:10">
      <c r="A172" s="586">
        <v>167</v>
      </c>
      <c r="B172" s="565" t="s">
        <v>2348</v>
      </c>
      <c r="C172" s="565" t="s">
        <v>2380</v>
      </c>
      <c r="D172" s="565" t="s">
        <v>2315</v>
      </c>
      <c r="E172" s="565" t="s">
        <v>2324</v>
      </c>
      <c r="F172" s="565" t="s">
        <v>2155</v>
      </c>
      <c r="G172" s="565">
        <v>2023</v>
      </c>
      <c r="H172" s="399">
        <v>44973</v>
      </c>
      <c r="I172" s="399">
        <v>45337</v>
      </c>
      <c r="J172" s="572" t="s">
        <v>2325</v>
      </c>
    </row>
    <row r="173" spans="1:10">
      <c r="A173" s="587">
        <v>168</v>
      </c>
      <c r="B173" s="564" t="s">
        <v>2148</v>
      </c>
      <c r="C173" s="564" t="s">
        <v>2381</v>
      </c>
      <c r="D173" s="564" t="s">
        <v>2315</v>
      </c>
      <c r="E173" s="564" t="s">
        <v>2324</v>
      </c>
      <c r="F173" s="564" t="s">
        <v>2155</v>
      </c>
      <c r="G173" s="564">
        <v>2023</v>
      </c>
      <c r="H173" s="398">
        <v>44980</v>
      </c>
      <c r="I173" s="398">
        <v>45344</v>
      </c>
      <c r="J173" s="573" t="s">
        <v>2342</v>
      </c>
    </row>
    <row r="174" spans="1:10">
      <c r="A174" s="586">
        <v>169</v>
      </c>
      <c r="B174" s="565" t="s">
        <v>2326</v>
      </c>
      <c r="C174" s="565" t="s">
        <v>2382</v>
      </c>
      <c r="D174" s="565" t="s">
        <v>2315</v>
      </c>
      <c r="E174" s="565" t="s">
        <v>2324</v>
      </c>
      <c r="F174" s="565" t="s">
        <v>2137</v>
      </c>
      <c r="G174" s="565">
        <v>2023</v>
      </c>
      <c r="H174" s="399">
        <v>44992</v>
      </c>
      <c r="I174" s="399">
        <v>45357</v>
      </c>
      <c r="J174" s="572" t="s">
        <v>2142</v>
      </c>
    </row>
    <row r="175" spans="1:10">
      <c r="A175" s="587">
        <v>170</v>
      </c>
      <c r="B175" s="564" t="s">
        <v>2383</v>
      </c>
      <c r="C175" s="564" t="s">
        <v>2384</v>
      </c>
      <c r="D175" s="564" t="s">
        <v>2315</v>
      </c>
      <c r="E175" s="564" t="s">
        <v>2324</v>
      </c>
      <c r="F175" s="564" t="s">
        <v>2155</v>
      </c>
      <c r="G175" s="564">
        <v>2023</v>
      </c>
      <c r="H175" s="398">
        <v>44994</v>
      </c>
      <c r="I175" s="398">
        <v>45359</v>
      </c>
      <c r="J175" s="573" t="s">
        <v>2385</v>
      </c>
    </row>
    <row r="176" spans="1:10">
      <c r="A176" s="586">
        <v>171</v>
      </c>
      <c r="B176" s="565" t="s">
        <v>2386</v>
      </c>
      <c r="C176" s="565" t="s">
        <v>2384</v>
      </c>
      <c r="D176" s="565" t="s">
        <v>2315</v>
      </c>
      <c r="E176" s="565" t="s">
        <v>2324</v>
      </c>
      <c r="F176" s="565" t="s">
        <v>2155</v>
      </c>
      <c r="G176" s="565">
        <v>2023</v>
      </c>
      <c r="H176" s="399">
        <v>44994</v>
      </c>
      <c r="I176" s="399">
        <v>45359</v>
      </c>
      <c r="J176" s="572" t="s">
        <v>2387</v>
      </c>
    </row>
    <row r="177" spans="1:10">
      <c r="A177" s="587">
        <v>172</v>
      </c>
      <c r="B177" s="564" t="s">
        <v>2388</v>
      </c>
      <c r="C177" s="564" t="s">
        <v>2384</v>
      </c>
      <c r="D177" s="564" t="s">
        <v>2315</v>
      </c>
      <c r="E177" s="564" t="s">
        <v>2324</v>
      </c>
      <c r="F177" s="564" t="s">
        <v>2155</v>
      </c>
      <c r="G177" s="564">
        <v>2023</v>
      </c>
      <c r="H177" s="398">
        <v>44994</v>
      </c>
      <c r="I177" s="398">
        <v>45359</v>
      </c>
      <c r="J177" s="573" t="s">
        <v>2389</v>
      </c>
    </row>
    <row r="178" spans="1:10">
      <c r="A178" s="586">
        <v>173</v>
      </c>
      <c r="B178" s="565" t="s">
        <v>2350</v>
      </c>
      <c r="C178" s="565" t="s">
        <v>2390</v>
      </c>
      <c r="D178" s="565" t="s">
        <v>2315</v>
      </c>
      <c r="E178" s="565" t="s">
        <v>2324</v>
      </c>
      <c r="F178" s="565" t="s">
        <v>2155</v>
      </c>
      <c r="G178" s="565">
        <v>2023</v>
      </c>
      <c r="H178" s="399">
        <v>44994</v>
      </c>
      <c r="I178" s="399">
        <v>45359</v>
      </c>
      <c r="J178" s="572" t="s">
        <v>2325</v>
      </c>
    </row>
    <row r="179" spans="1:10">
      <c r="A179" s="587">
        <v>174</v>
      </c>
      <c r="B179" s="564" t="s">
        <v>2391</v>
      </c>
      <c r="C179" s="564" t="s">
        <v>2392</v>
      </c>
      <c r="D179" s="564" t="s">
        <v>2315</v>
      </c>
      <c r="E179" s="564" t="s">
        <v>2324</v>
      </c>
      <c r="F179" s="564" t="s">
        <v>2155</v>
      </c>
      <c r="G179" s="564">
        <v>2023</v>
      </c>
      <c r="H179" s="398">
        <v>44995</v>
      </c>
      <c r="I179" s="398">
        <v>45360</v>
      </c>
      <c r="J179" s="573" t="s">
        <v>2325</v>
      </c>
    </row>
    <row r="180" spans="1:10">
      <c r="A180" s="586">
        <v>175</v>
      </c>
      <c r="B180" s="565" t="s">
        <v>2393</v>
      </c>
      <c r="C180" s="565" t="s">
        <v>2384</v>
      </c>
      <c r="D180" s="565" t="s">
        <v>2315</v>
      </c>
      <c r="E180" s="565" t="s">
        <v>2324</v>
      </c>
      <c r="F180" s="565" t="s">
        <v>2155</v>
      </c>
      <c r="G180" s="565">
        <v>2023</v>
      </c>
      <c r="H180" s="399">
        <v>45009</v>
      </c>
      <c r="I180" s="399">
        <v>45374</v>
      </c>
      <c r="J180" s="572" t="s">
        <v>2394</v>
      </c>
    </row>
    <row r="181" spans="1:10">
      <c r="A181" s="587">
        <v>176</v>
      </c>
      <c r="B181" s="564" t="s">
        <v>2395</v>
      </c>
      <c r="C181" s="564" t="s">
        <v>2396</v>
      </c>
      <c r="D181" s="564" t="s">
        <v>2315</v>
      </c>
      <c r="E181" s="564" t="s">
        <v>2324</v>
      </c>
      <c r="F181" s="564" t="s">
        <v>2155</v>
      </c>
      <c r="G181" s="564">
        <v>2023</v>
      </c>
      <c r="H181" s="398">
        <v>45016</v>
      </c>
      <c r="I181" s="398">
        <v>45381</v>
      </c>
      <c r="J181" s="573" t="s">
        <v>2325</v>
      </c>
    </row>
    <row r="182" spans="1:10">
      <c r="A182" s="586">
        <v>177</v>
      </c>
      <c r="B182" s="565" t="s">
        <v>2397</v>
      </c>
      <c r="C182" s="565" t="s">
        <v>2398</v>
      </c>
      <c r="D182" s="565" t="s">
        <v>2315</v>
      </c>
      <c r="E182" s="565" t="s">
        <v>2141</v>
      </c>
      <c r="F182" s="565" t="s">
        <v>2137</v>
      </c>
      <c r="G182" s="565">
        <v>2023</v>
      </c>
      <c r="H182" s="399">
        <v>45019</v>
      </c>
      <c r="I182" s="399">
        <v>45384</v>
      </c>
      <c r="J182" s="572" t="s">
        <v>2399</v>
      </c>
    </row>
    <row r="183" spans="1:10">
      <c r="A183" s="587">
        <v>178</v>
      </c>
      <c r="B183" s="564" t="s">
        <v>2165</v>
      </c>
      <c r="C183" s="564" t="s">
        <v>2400</v>
      </c>
      <c r="D183" s="564" t="s">
        <v>2315</v>
      </c>
      <c r="E183" s="564" t="s">
        <v>2216</v>
      </c>
      <c r="F183" s="564" t="s">
        <v>2155</v>
      </c>
      <c r="G183" s="564">
        <v>2023</v>
      </c>
      <c r="H183" s="398">
        <v>45028</v>
      </c>
      <c r="I183" s="398">
        <v>45393</v>
      </c>
      <c r="J183" s="573" t="s">
        <v>2142</v>
      </c>
    </row>
    <row r="184" spans="1:10">
      <c r="A184" s="586">
        <v>179</v>
      </c>
      <c r="B184" s="565" t="s">
        <v>2401</v>
      </c>
      <c r="C184" s="565" t="s">
        <v>2238</v>
      </c>
      <c r="D184" s="565" t="s">
        <v>2315</v>
      </c>
      <c r="E184" s="565" t="s">
        <v>2324</v>
      </c>
      <c r="F184" s="565" t="s">
        <v>2137</v>
      </c>
      <c r="G184" s="565">
        <v>2023</v>
      </c>
      <c r="H184" s="399">
        <v>45030</v>
      </c>
      <c r="I184" s="399">
        <v>45395</v>
      </c>
      <c r="J184" s="572" t="s">
        <v>2325</v>
      </c>
    </row>
    <row r="185" spans="1:10">
      <c r="A185" s="587">
        <v>180</v>
      </c>
      <c r="B185" s="564" t="s">
        <v>2348</v>
      </c>
      <c r="C185" s="564" t="s">
        <v>2402</v>
      </c>
      <c r="D185" s="564" t="s">
        <v>2315</v>
      </c>
      <c r="E185" s="564" t="s">
        <v>2324</v>
      </c>
      <c r="F185" s="564" t="s">
        <v>2137</v>
      </c>
      <c r="G185" s="564">
        <v>2023</v>
      </c>
      <c r="H185" s="398">
        <v>45041</v>
      </c>
      <c r="I185" s="398">
        <v>45406</v>
      </c>
      <c r="J185" s="573" t="s">
        <v>2325</v>
      </c>
    </row>
    <row r="186" spans="1:10">
      <c r="A186" s="586">
        <v>181</v>
      </c>
      <c r="B186" s="565" t="s">
        <v>2403</v>
      </c>
      <c r="C186" s="565" t="s">
        <v>2404</v>
      </c>
      <c r="D186" s="565" t="s">
        <v>2315</v>
      </c>
      <c r="E186" s="565" t="s">
        <v>2324</v>
      </c>
      <c r="F186" s="565" t="s">
        <v>2137</v>
      </c>
      <c r="G186" s="565">
        <v>2023</v>
      </c>
      <c r="H186" s="399">
        <v>45044</v>
      </c>
      <c r="I186" s="399">
        <v>45409</v>
      </c>
      <c r="J186" s="572" t="s">
        <v>2194</v>
      </c>
    </row>
    <row r="187" spans="1:10">
      <c r="A187" s="587">
        <v>182</v>
      </c>
      <c r="B187" s="564" t="s">
        <v>954</v>
      </c>
      <c r="C187" s="564" t="s">
        <v>2405</v>
      </c>
      <c r="D187" s="564" t="s">
        <v>2315</v>
      </c>
      <c r="E187" s="564" t="s">
        <v>2250</v>
      </c>
      <c r="F187" s="564" t="s">
        <v>2155</v>
      </c>
      <c r="G187" s="564">
        <v>2023</v>
      </c>
      <c r="H187" s="398">
        <v>45057</v>
      </c>
      <c r="I187" s="398">
        <v>45422</v>
      </c>
      <c r="J187" s="573" t="s">
        <v>2148</v>
      </c>
    </row>
    <row r="188" spans="1:10">
      <c r="A188" s="586">
        <v>183</v>
      </c>
      <c r="B188" s="565" t="s">
        <v>2406</v>
      </c>
      <c r="C188" s="565" t="s">
        <v>2407</v>
      </c>
      <c r="D188" s="565" t="s">
        <v>2315</v>
      </c>
      <c r="E188" s="565" t="s">
        <v>2324</v>
      </c>
      <c r="F188" s="565" t="s">
        <v>2155</v>
      </c>
      <c r="G188" s="565">
        <v>2023</v>
      </c>
      <c r="H188" s="399">
        <v>45063</v>
      </c>
      <c r="I188" s="399">
        <v>45428</v>
      </c>
      <c r="J188" s="572" t="s">
        <v>2408</v>
      </c>
    </row>
    <row r="189" spans="1:10">
      <c r="A189" s="587">
        <v>184</v>
      </c>
      <c r="B189" s="564" t="s">
        <v>2378</v>
      </c>
      <c r="C189" s="564" t="s">
        <v>2409</v>
      </c>
      <c r="D189" s="564" t="s">
        <v>2315</v>
      </c>
      <c r="E189" s="564" t="s">
        <v>2324</v>
      </c>
      <c r="F189" s="564" t="s">
        <v>2137</v>
      </c>
      <c r="G189" s="564">
        <v>2023</v>
      </c>
      <c r="H189" s="398">
        <v>45063</v>
      </c>
      <c r="I189" s="398">
        <v>45428</v>
      </c>
      <c r="J189" s="573" t="s">
        <v>2325</v>
      </c>
    </row>
    <row r="190" spans="1:10">
      <c r="A190" s="586">
        <v>185</v>
      </c>
      <c r="B190" s="565" t="s">
        <v>2410</v>
      </c>
      <c r="C190" s="565" t="s">
        <v>2411</v>
      </c>
      <c r="D190" s="565" t="s">
        <v>2315</v>
      </c>
      <c r="E190" s="565" t="s">
        <v>2141</v>
      </c>
      <c r="F190" s="565" t="s">
        <v>2137</v>
      </c>
      <c r="G190" s="565">
        <v>2023</v>
      </c>
      <c r="H190" s="399">
        <v>45065</v>
      </c>
      <c r="I190" s="399">
        <v>45430</v>
      </c>
      <c r="J190" s="572" t="s">
        <v>2412</v>
      </c>
    </row>
    <row r="191" spans="1:10">
      <c r="A191" s="587">
        <v>186</v>
      </c>
      <c r="B191" s="564" t="s">
        <v>2413</v>
      </c>
      <c r="C191" s="564" t="s">
        <v>2269</v>
      </c>
      <c r="D191" s="564" t="s">
        <v>2315</v>
      </c>
      <c r="E191" s="564" t="s">
        <v>2216</v>
      </c>
      <c r="F191" s="564" t="s">
        <v>2155</v>
      </c>
      <c r="G191" s="564">
        <v>2023</v>
      </c>
      <c r="H191" s="398">
        <v>45077</v>
      </c>
      <c r="I191" s="398">
        <v>45442</v>
      </c>
      <c r="J191" s="573" t="s">
        <v>2257</v>
      </c>
    </row>
    <row r="192" spans="1:10">
      <c r="A192" s="586">
        <v>187</v>
      </c>
      <c r="B192" s="565" t="s">
        <v>2391</v>
      </c>
      <c r="C192" s="565" t="s">
        <v>2414</v>
      </c>
      <c r="D192" s="565" t="s">
        <v>2315</v>
      </c>
      <c r="E192" s="565" t="s">
        <v>2324</v>
      </c>
      <c r="F192" s="565" t="s">
        <v>2155</v>
      </c>
      <c r="G192" s="565">
        <v>2023</v>
      </c>
      <c r="H192" s="399">
        <v>45089</v>
      </c>
      <c r="I192" s="399">
        <v>45454</v>
      </c>
      <c r="J192" s="572" t="s">
        <v>2325</v>
      </c>
    </row>
    <row r="193" spans="1:10">
      <c r="A193" s="587">
        <v>188</v>
      </c>
      <c r="B193" s="564" t="s">
        <v>2415</v>
      </c>
      <c r="C193" s="564" t="s">
        <v>2416</v>
      </c>
      <c r="D193" s="564" t="s">
        <v>2315</v>
      </c>
      <c r="E193" s="564" t="s">
        <v>2216</v>
      </c>
      <c r="F193" s="564" t="s">
        <v>2155</v>
      </c>
      <c r="G193" s="564">
        <v>2023</v>
      </c>
      <c r="H193" s="398">
        <v>45090</v>
      </c>
      <c r="I193" s="398">
        <v>45455</v>
      </c>
      <c r="J193" s="573" t="s">
        <v>2142</v>
      </c>
    </row>
    <row r="194" spans="1:10">
      <c r="A194" s="586">
        <v>189</v>
      </c>
      <c r="B194" s="565" t="s">
        <v>2313</v>
      </c>
      <c r="C194" s="565" t="s">
        <v>2417</v>
      </c>
      <c r="D194" s="565" t="s">
        <v>2315</v>
      </c>
      <c r="E194" s="565" t="s">
        <v>2216</v>
      </c>
      <c r="F194" s="565" t="s">
        <v>2155</v>
      </c>
      <c r="G194" s="565">
        <v>2023</v>
      </c>
      <c r="H194" s="399">
        <v>45090</v>
      </c>
      <c r="I194" s="399">
        <v>45455</v>
      </c>
      <c r="J194" s="572" t="s">
        <v>2142</v>
      </c>
    </row>
    <row r="195" spans="1:10">
      <c r="A195" s="587">
        <v>190</v>
      </c>
      <c r="B195" s="564" t="s">
        <v>2418</v>
      </c>
      <c r="C195" s="564" t="s">
        <v>2419</v>
      </c>
      <c r="D195" s="564" t="s">
        <v>2315</v>
      </c>
      <c r="E195" s="564" t="s">
        <v>2324</v>
      </c>
      <c r="F195" s="564" t="s">
        <v>2155</v>
      </c>
      <c r="G195" s="564">
        <v>2023</v>
      </c>
      <c r="H195" s="398">
        <v>45092</v>
      </c>
      <c r="I195" s="398">
        <v>45457</v>
      </c>
      <c r="J195" s="573" t="s">
        <v>2420</v>
      </c>
    </row>
    <row r="196" spans="1:10">
      <c r="A196" s="586">
        <v>191</v>
      </c>
      <c r="B196" s="565" t="s">
        <v>2421</v>
      </c>
      <c r="C196" s="565" t="s">
        <v>2422</v>
      </c>
      <c r="D196" s="565" t="s">
        <v>2315</v>
      </c>
      <c r="E196" s="565" t="s">
        <v>2324</v>
      </c>
      <c r="F196" s="565" t="s">
        <v>2155</v>
      </c>
      <c r="G196" s="565">
        <v>2023</v>
      </c>
      <c r="H196" s="399">
        <v>45093</v>
      </c>
      <c r="I196" s="399">
        <v>45458</v>
      </c>
      <c r="J196" s="572" t="s">
        <v>2423</v>
      </c>
    </row>
    <row r="197" spans="1:10">
      <c r="A197" s="587">
        <v>192</v>
      </c>
      <c r="B197" s="564" t="s">
        <v>2424</v>
      </c>
      <c r="C197" s="564" t="s">
        <v>2422</v>
      </c>
      <c r="D197" s="564" t="s">
        <v>2315</v>
      </c>
      <c r="E197" s="564" t="s">
        <v>2324</v>
      </c>
      <c r="F197" s="564" t="s">
        <v>2155</v>
      </c>
      <c r="G197" s="564">
        <v>2023</v>
      </c>
      <c r="H197" s="398">
        <v>45093</v>
      </c>
      <c r="I197" s="398">
        <v>45458</v>
      </c>
      <c r="J197" s="573" t="s">
        <v>2423</v>
      </c>
    </row>
    <row r="198" spans="1:10">
      <c r="A198" s="586">
        <v>193</v>
      </c>
      <c r="B198" s="565" t="s">
        <v>2425</v>
      </c>
      <c r="C198" s="565" t="s">
        <v>2426</v>
      </c>
      <c r="D198" s="565" t="s">
        <v>2315</v>
      </c>
      <c r="E198" s="565" t="s">
        <v>2324</v>
      </c>
      <c r="F198" s="565" t="s">
        <v>2155</v>
      </c>
      <c r="G198" s="565">
        <v>2023</v>
      </c>
      <c r="H198" s="399">
        <v>45099</v>
      </c>
      <c r="I198" s="399">
        <v>45464</v>
      </c>
      <c r="J198" s="572" t="s">
        <v>2192</v>
      </c>
    </row>
    <row r="199" spans="1:10">
      <c r="A199" s="587">
        <v>194</v>
      </c>
      <c r="B199" s="564" t="s">
        <v>2427</v>
      </c>
      <c r="C199" s="564" t="s">
        <v>2428</v>
      </c>
      <c r="D199" s="564" t="s">
        <v>2315</v>
      </c>
      <c r="E199" s="564" t="s">
        <v>2324</v>
      </c>
      <c r="F199" s="564" t="s">
        <v>2155</v>
      </c>
      <c r="G199" s="564">
        <v>2022</v>
      </c>
      <c r="H199" s="398">
        <v>44748</v>
      </c>
      <c r="I199" s="398">
        <v>45478</v>
      </c>
      <c r="J199" s="573" t="s">
        <v>2325</v>
      </c>
    </row>
    <row r="200" spans="1:10">
      <c r="A200" s="586">
        <v>195</v>
      </c>
      <c r="B200" s="565" t="s">
        <v>2378</v>
      </c>
      <c r="C200" s="565" t="s">
        <v>2429</v>
      </c>
      <c r="D200" s="565" t="s">
        <v>2315</v>
      </c>
      <c r="E200" s="565" t="s">
        <v>2324</v>
      </c>
      <c r="F200" s="565" t="s">
        <v>2155</v>
      </c>
      <c r="G200" s="565">
        <v>2023</v>
      </c>
      <c r="H200" s="399">
        <v>45117</v>
      </c>
      <c r="I200" s="399">
        <v>45482</v>
      </c>
      <c r="J200" s="572" t="s">
        <v>2325</v>
      </c>
    </row>
    <row r="201" spans="1:10">
      <c r="A201" s="587">
        <v>196</v>
      </c>
      <c r="B201" s="564" t="s">
        <v>2148</v>
      </c>
      <c r="C201" s="564" t="s">
        <v>2336</v>
      </c>
      <c r="D201" s="564" t="s">
        <v>2315</v>
      </c>
      <c r="E201" s="564" t="s">
        <v>2324</v>
      </c>
      <c r="F201" s="564" t="s">
        <v>2155</v>
      </c>
      <c r="G201" s="564">
        <v>2023</v>
      </c>
      <c r="H201" s="398">
        <v>45142</v>
      </c>
      <c r="I201" s="398">
        <v>45507</v>
      </c>
      <c r="J201" s="573" t="s">
        <v>2420</v>
      </c>
    </row>
    <row r="202" spans="1:10">
      <c r="A202" s="586">
        <v>197</v>
      </c>
      <c r="B202" s="565" t="s">
        <v>2430</v>
      </c>
      <c r="C202" s="565" t="s">
        <v>2431</v>
      </c>
      <c r="D202" s="565" t="s">
        <v>2315</v>
      </c>
      <c r="E202" s="565" t="s">
        <v>2324</v>
      </c>
      <c r="F202" s="565" t="s">
        <v>2155</v>
      </c>
      <c r="G202" s="565">
        <v>2023</v>
      </c>
      <c r="H202" s="399">
        <v>45145</v>
      </c>
      <c r="I202" s="399">
        <v>45510</v>
      </c>
      <c r="J202" s="572" t="s">
        <v>2325</v>
      </c>
    </row>
    <row r="203" spans="1:10">
      <c r="A203" s="587">
        <v>198</v>
      </c>
      <c r="B203" s="564" t="s">
        <v>890</v>
      </c>
      <c r="C203" s="564" t="s">
        <v>2432</v>
      </c>
      <c r="D203" s="564" t="s">
        <v>2315</v>
      </c>
      <c r="E203" s="564" t="s">
        <v>2250</v>
      </c>
      <c r="F203" s="564" t="s">
        <v>2155</v>
      </c>
      <c r="G203" s="564">
        <v>2023</v>
      </c>
      <c r="H203" s="398">
        <v>45152</v>
      </c>
      <c r="I203" s="398">
        <v>45517</v>
      </c>
      <c r="J203" s="573" t="s">
        <v>2251</v>
      </c>
    </row>
    <row r="204" spans="1:10">
      <c r="A204" s="586">
        <v>199</v>
      </c>
      <c r="B204" s="565" t="s">
        <v>2433</v>
      </c>
      <c r="C204" s="565" t="s">
        <v>2434</v>
      </c>
      <c r="D204" s="565" t="s">
        <v>2315</v>
      </c>
      <c r="E204" s="565" t="s">
        <v>2216</v>
      </c>
      <c r="F204" s="565" t="s">
        <v>2155</v>
      </c>
      <c r="G204" s="565">
        <v>2023</v>
      </c>
      <c r="H204" s="399">
        <v>45163</v>
      </c>
      <c r="I204" s="399">
        <v>45528</v>
      </c>
      <c r="J204" s="572" t="s">
        <v>2408</v>
      </c>
    </row>
    <row r="205" spans="1:10">
      <c r="A205" s="587">
        <v>200</v>
      </c>
      <c r="B205" s="564" t="s">
        <v>2435</v>
      </c>
      <c r="C205" s="564" t="s">
        <v>2436</v>
      </c>
      <c r="D205" s="564" t="s">
        <v>2315</v>
      </c>
      <c r="E205" s="564" t="s">
        <v>2324</v>
      </c>
      <c r="F205" s="564" t="s">
        <v>2155</v>
      </c>
      <c r="G205" s="564">
        <v>2023</v>
      </c>
      <c r="H205" s="398">
        <v>45163</v>
      </c>
      <c r="I205" s="398">
        <v>45528</v>
      </c>
      <c r="J205" s="573" t="s">
        <v>2148</v>
      </c>
    </row>
    <row r="206" spans="1:10">
      <c r="A206" s="586">
        <v>201</v>
      </c>
      <c r="B206" s="565" t="s">
        <v>2437</v>
      </c>
      <c r="C206" s="565" t="s">
        <v>2434</v>
      </c>
      <c r="D206" s="565" t="s">
        <v>2315</v>
      </c>
      <c r="E206" s="565" t="s">
        <v>2216</v>
      </c>
      <c r="F206" s="565" t="s">
        <v>2155</v>
      </c>
      <c r="G206" s="565">
        <v>2022</v>
      </c>
      <c r="H206" s="399">
        <v>44804</v>
      </c>
      <c r="I206" s="399">
        <v>45533</v>
      </c>
      <c r="J206" s="572" t="s">
        <v>2408</v>
      </c>
    </row>
    <row r="207" spans="1:10">
      <c r="A207" s="587">
        <v>202</v>
      </c>
      <c r="B207" s="564" t="s">
        <v>2438</v>
      </c>
      <c r="C207" s="564" t="s">
        <v>2417</v>
      </c>
      <c r="D207" s="564" t="s">
        <v>2315</v>
      </c>
      <c r="E207" s="564" t="s">
        <v>2141</v>
      </c>
      <c r="F207" s="564" t="s">
        <v>2155</v>
      </c>
      <c r="G207" s="564">
        <v>2022</v>
      </c>
      <c r="H207" s="398">
        <v>44804</v>
      </c>
      <c r="I207" s="398">
        <v>45534</v>
      </c>
      <c r="J207" s="573" t="s">
        <v>2142</v>
      </c>
    </row>
    <row r="208" spans="1:10">
      <c r="A208" s="586">
        <v>203</v>
      </c>
      <c r="B208" s="565" t="s">
        <v>2439</v>
      </c>
      <c r="C208" s="565" t="s">
        <v>2440</v>
      </c>
      <c r="D208" s="565" t="s">
        <v>2315</v>
      </c>
      <c r="E208" s="565" t="s">
        <v>2324</v>
      </c>
      <c r="F208" s="565" t="s">
        <v>2155</v>
      </c>
      <c r="G208" s="565">
        <v>2023</v>
      </c>
      <c r="H208" s="399">
        <v>45183</v>
      </c>
      <c r="I208" s="399">
        <v>45548</v>
      </c>
      <c r="J208" s="572" t="s">
        <v>2192</v>
      </c>
    </row>
    <row r="209" spans="1:10">
      <c r="A209" s="587">
        <v>204</v>
      </c>
      <c r="B209" s="564" t="s">
        <v>2441</v>
      </c>
      <c r="C209" s="564" t="s">
        <v>2442</v>
      </c>
      <c r="D209" s="564" t="s">
        <v>2315</v>
      </c>
      <c r="E209" s="564" t="s">
        <v>2324</v>
      </c>
      <c r="F209" s="564" t="s">
        <v>2155</v>
      </c>
      <c r="G209" s="564">
        <v>2023</v>
      </c>
      <c r="H209" s="398">
        <v>45185</v>
      </c>
      <c r="I209" s="398">
        <v>45550</v>
      </c>
      <c r="J209" s="573" t="s">
        <v>2192</v>
      </c>
    </row>
    <row r="210" spans="1:10">
      <c r="A210" s="586">
        <v>205</v>
      </c>
      <c r="B210" s="565" t="s">
        <v>2148</v>
      </c>
      <c r="C210" s="565" t="s">
        <v>2443</v>
      </c>
      <c r="D210" s="565" t="s">
        <v>2315</v>
      </c>
      <c r="E210" s="565" t="s">
        <v>2153</v>
      </c>
      <c r="F210" s="565" t="s">
        <v>2155</v>
      </c>
      <c r="G210" s="565">
        <v>2023</v>
      </c>
      <c r="H210" s="399">
        <v>45187</v>
      </c>
      <c r="I210" s="399">
        <v>45552</v>
      </c>
      <c r="J210" s="572" t="s">
        <v>2444</v>
      </c>
    </row>
    <row r="211" spans="1:10">
      <c r="A211" s="587">
        <v>206</v>
      </c>
      <c r="B211" s="564" t="s">
        <v>2445</v>
      </c>
      <c r="C211" s="564" t="s">
        <v>2446</v>
      </c>
      <c r="D211" s="564" t="s">
        <v>2315</v>
      </c>
      <c r="E211" s="564" t="s">
        <v>2216</v>
      </c>
      <c r="F211" s="564" t="s">
        <v>2155</v>
      </c>
      <c r="G211" s="564">
        <v>2023</v>
      </c>
      <c r="H211" s="398">
        <v>45189</v>
      </c>
      <c r="I211" s="398">
        <v>45554</v>
      </c>
      <c r="J211" s="573" t="s">
        <v>2447</v>
      </c>
    </row>
    <row r="212" spans="1:10">
      <c r="A212" s="586">
        <v>207</v>
      </c>
      <c r="B212" s="565" t="s">
        <v>2448</v>
      </c>
      <c r="C212" s="565" t="s">
        <v>2449</v>
      </c>
      <c r="D212" s="565" t="s">
        <v>2315</v>
      </c>
      <c r="E212" s="565" t="s">
        <v>2216</v>
      </c>
      <c r="F212" s="565" t="s">
        <v>2155</v>
      </c>
      <c r="G212" s="565">
        <v>2023</v>
      </c>
      <c r="H212" s="399">
        <v>45209</v>
      </c>
      <c r="I212" s="399">
        <v>45574</v>
      </c>
      <c r="J212" s="572" t="s">
        <v>2142</v>
      </c>
    </row>
    <row r="213" spans="1:10">
      <c r="A213" s="587">
        <v>208</v>
      </c>
      <c r="B213" s="564" t="s">
        <v>2450</v>
      </c>
      <c r="C213" s="564" t="s">
        <v>2451</v>
      </c>
      <c r="D213" s="564" t="s">
        <v>2315</v>
      </c>
      <c r="E213" s="564" t="s">
        <v>2324</v>
      </c>
      <c r="F213" s="564" t="s">
        <v>2155</v>
      </c>
      <c r="G213" s="564">
        <v>2023</v>
      </c>
      <c r="H213" s="398">
        <v>45211</v>
      </c>
      <c r="I213" s="398">
        <v>45576</v>
      </c>
      <c r="J213" s="573" t="s">
        <v>2325</v>
      </c>
    </row>
    <row r="214" spans="1:10">
      <c r="A214" s="586">
        <v>209</v>
      </c>
      <c r="B214" s="565" t="s">
        <v>2148</v>
      </c>
      <c r="C214" s="565" t="s">
        <v>2452</v>
      </c>
      <c r="D214" s="565" t="s">
        <v>2315</v>
      </c>
      <c r="E214" s="565" t="s">
        <v>2141</v>
      </c>
      <c r="F214" s="565" t="s">
        <v>2155</v>
      </c>
      <c r="G214" s="565">
        <v>2023</v>
      </c>
      <c r="H214" s="399">
        <v>45216</v>
      </c>
      <c r="I214" s="399">
        <v>45581</v>
      </c>
      <c r="J214" s="572" t="s">
        <v>2170</v>
      </c>
    </row>
    <row r="215" spans="1:10">
      <c r="A215" s="587">
        <v>210</v>
      </c>
      <c r="B215" s="564" t="s">
        <v>2148</v>
      </c>
      <c r="C215" s="564" t="s">
        <v>2443</v>
      </c>
      <c r="D215" s="564" t="s">
        <v>2315</v>
      </c>
      <c r="E215" s="564" t="s">
        <v>2216</v>
      </c>
      <c r="F215" s="564" t="s">
        <v>2155</v>
      </c>
      <c r="G215" s="564">
        <v>2023</v>
      </c>
      <c r="H215" s="398">
        <v>45216</v>
      </c>
      <c r="I215" s="398">
        <v>45581</v>
      </c>
      <c r="J215" s="573" t="s">
        <v>2257</v>
      </c>
    </row>
    <row r="216" spans="1:10">
      <c r="A216" s="586">
        <v>211</v>
      </c>
      <c r="B216" s="565" t="s">
        <v>2453</v>
      </c>
      <c r="C216" s="565" t="s">
        <v>2400</v>
      </c>
      <c r="D216" s="565" t="s">
        <v>2315</v>
      </c>
      <c r="E216" s="565" t="s">
        <v>2216</v>
      </c>
      <c r="F216" s="565" t="s">
        <v>2137</v>
      </c>
      <c r="G216" s="565">
        <v>2023</v>
      </c>
      <c r="H216" s="399">
        <v>45217</v>
      </c>
      <c r="I216" s="399">
        <v>45582</v>
      </c>
      <c r="J216" s="572" t="s">
        <v>2142</v>
      </c>
    </row>
    <row r="217" spans="1:10">
      <c r="A217" s="587">
        <v>212</v>
      </c>
      <c r="B217" s="564" t="s">
        <v>2454</v>
      </c>
      <c r="C217" s="564" t="s">
        <v>2455</v>
      </c>
      <c r="D217" s="564" t="s">
        <v>2315</v>
      </c>
      <c r="E217" s="564" t="s">
        <v>2141</v>
      </c>
      <c r="F217" s="564" t="s">
        <v>2155</v>
      </c>
      <c r="G217" s="564">
        <v>2023</v>
      </c>
      <c r="H217" s="398">
        <v>45226</v>
      </c>
      <c r="I217" s="398">
        <v>45591</v>
      </c>
      <c r="J217" s="573" t="s">
        <v>2142</v>
      </c>
    </row>
    <row r="218" spans="1:10">
      <c r="A218" s="586">
        <v>213</v>
      </c>
      <c r="B218" s="565" t="s">
        <v>2456</v>
      </c>
      <c r="C218" s="565" t="s">
        <v>2370</v>
      </c>
      <c r="D218" s="565" t="s">
        <v>2315</v>
      </c>
      <c r="E218" s="565" t="s">
        <v>2141</v>
      </c>
      <c r="F218" s="565" t="s">
        <v>2155</v>
      </c>
      <c r="G218" s="565">
        <v>2023</v>
      </c>
      <c r="H218" s="399">
        <v>45230</v>
      </c>
      <c r="I218" s="399">
        <v>45595</v>
      </c>
      <c r="J218" s="572" t="s">
        <v>2235</v>
      </c>
    </row>
    <row r="219" spans="1:10">
      <c r="A219" s="587">
        <v>214</v>
      </c>
      <c r="B219" s="564" t="s">
        <v>2457</v>
      </c>
      <c r="C219" s="564" t="s">
        <v>2458</v>
      </c>
      <c r="D219" s="564" t="s">
        <v>2315</v>
      </c>
      <c r="E219" s="564" t="s">
        <v>2249</v>
      </c>
      <c r="F219" s="564" t="s">
        <v>2155</v>
      </c>
      <c r="G219" s="564">
        <v>2023</v>
      </c>
      <c r="H219" s="398">
        <v>45230</v>
      </c>
      <c r="I219" s="398">
        <v>45595</v>
      </c>
      <c r="J219" s="573" t="s">
        <v>2170</v>
      </c>
    </row>
    <row r="220" spans="1:10">
      <c r="A220" s="586">
        <v>215</v>
      </c>
      <c r="B220" s="565" t="s">
        <v>2459</v>
      </c>
      <c r="C220" s="565" t="s">
        <v>2458</v>
      </c>
      <c r="D220" s="565" t="s">
        <v>2315</v>
      </c>
      <c r="E220" s="565" t="s">
        <v>2141</v>
      </c>
      <c r="F220" s="565" t="s">
        <v>2155</v>
      </c>
      <c r="G220" s="565">
        <v>2023</v>
      </c>
      <c r="H220" s="399">
        <v>45230</v>
      </c>
      <c r="I220" s="399">
        <v>45595</v>
      </c>
      <c r="J220" s="572" t="s">
        <v>2460</v>
      </c>
    </row>
    <row r="221" spans="1:10">
      <c r="A221" s="587">
        <v>216</v>
      </c>
      <c r="B221" s="564" t="s">
        <v>2461</v>
      </c>
      <c r="C221" s="564" t="s">
        <v>2462</v>
      </c>
      <c r="D221" s="564" t="s">
        <v>2315</v>
      </c>
      <c r="E221" s="564" t="s">
        <v>2216</v>
      </c>
      <c r="F221" s="564" t="s">
        <v>2155</v>
      </c>
      <c r="G221" s="564">
        <v>2023</v>
      </c>
      <c r="H221" s="398">
        <v>45236</v>
      </c>
      <c r="I221" s="398">
        <v>45601</v>
      </c>
      <c r="J221" s="573" t="s">
        <v>2142</v>
      </c>
    </row>
    <row r="222" spans="1:10">
      <c r="A222" s="586">
        <v>217</v>
      </c>
      <c r="B222" s="565" t="s">
        <v>2463</v>
      </c>
      <c r="C222" s="565" t="s">
        <v>2464</v>
      </c>
      <c r="D222" s="565" t="s">
        <v>2315</v>
      </c>
      <c r="E222" s="565" t="s">
        <v>2324</v>
      </c>
      <c r="F222" s="565" t="s">
        <v>2155</v>
      </c>
      <c r="G222" s="565">
        <v>2023</v>
      </c>
      <c r="H222" s="399">
        <v>45239</v>
      </c>
      <c r="I222" s="399">
        <v>45604</v>
      </c>
      <c r="J222" s="572" t="s">
        <v>2465</v>
      </c>
    </row>
    <row r="223" spans="1:10">
      <c r="A223" s="587">
        <v>218</v>
      </c>
      <c r="B223" s="564" t="s">
        <v>2466</v>
      </c>
      <c r="C223" s="564" t="s">
        <v>2467</v>
      </c>
      <c r="D223" s="564" t="s">
        <v>2315</v>
      </c>
      <c r="E223" s="564" t="s">
        <v>2249</v>
      </c>
      <c r="F223" s="564" t="s">
        <v>2155</v>
      </c>
      <c r="G223" s="564">
        <v>2023</v>
      </c>
      <c r="H223" s="398">
        <v>45240</v>
      </c>
      <c r="I223" s="398">
        <v>45605</v>
      </c>
      <c r="J223" s="573" t="s">
        <v>2468</v>
      </c>
    </row>
    <row r="224" spans="1:10">
      <c r="A224" s="586">
        <v>219</v>
      </c>
      <c r="B224" s="565" t="s">
        <v>2148</v>
      </c>
      <c r="C224" s="565" t="s">
        <v>2443</v>
      </c>
      <c r="D224" s="565" t="s">
        <v>2315</v>
      </c>
      <c r="E224" s="565" t="s">
        <v>2216</v>
      </c>
      <c r="F224" s="565" t="s">
        <v>2155</v>
      </c>
      <c r="G224" s="565">
        <v>2022</v>
      </c>
      <c r="H224" s="399">
        <v>44875</v>
      </c>
      <c r="I224" s="399">
        <v>45605</v>
      </c>
      <c r="J224" s="572" t="s">
        <v>2257</v>
      </c>
    </row>
    <row r="225" spans="1:10">
      <c r="A225" s="587">
        <v>220</v>
      </c>
      <c r="B225" s="564" t="s">
        <v>2148</v>
      </c>
      <c r="C225" s="564" t="s">
        <v>2443</v>
      </c>
      <c r="D225" s="564" t="s">
        <v>2315</v>
      </c>
      <c r="E225" s="564" t="s">
        <v>2216</v>
      </c>
      <c r="F225" s="564" t="s">
        <v>2155</v>
      </c>
      <c r="G225" s="564">
        <v>2022</v>
      </c>
      <c r="H225" s="398">
        <v>44875</v>
      </c>
      <c r="I225" s="398">
        <v>45605</v>
      </c>
      <c r="J225" s="573" t="s">
        <v>2257</v>
      </c>
    </row>
    <row r="226" spans="1:10">
      <c r="A226" s="586">
        <v>221</v>
      </c>
      <c r="B226" s="565" t="s">
        <v>2148</v>
      </c>
      <c r="C226" s="565" t="s">
        <v>2443</v>
      </c>
      <c r="D226" s="565" t="s">
        <v>2315</v>
      </c>
      <c r="E226" s="565" t="s">
        <v>2216</v>
      </c>
      <c r="F226" s="565" t="s">
        <v>2155</v>
      </c>
      <c r="G226" s="565">
        <v>2022</v>
      </c>
      <c r="H226" s="399">
        <v>44875</v>
      </c>
      <c r="I226" s="399">
        <v>45605</v>
      </c>
      <c r="J226" s="572" t="s">
        <v>2257</v>
      </c>
    </row>
    <row r="227" spans="1:10">
      <c r="A227" s="587">
        <v>222</v>
      </c>
      <c r="B227" s="564" t="s">
        <v>2148</v>
      </c>
      <c r="C227" s="564" t="s">
        <v>2443</v>
      </c>
      <c r="D227" s="564" t="s">
        <v>2315</v>
      </c>
      <c r="E227" s="564" t="s">
        <v>2216</v>
      </c>
      <c r="F227" s="564" t="s">
        <v>2155</v>
      </c>
      <c r="G227" s="564">
        <v>2022</v>
      </c>
      <c r="H227" s="398">
        <v>44875</v>
      </c>
      <c r="I227" s="398">
        <v>45605</v>
      </c>
      <c r="J227" s="573" t="s">
        <v>2257</v>
      </c>
    </row>
    <row r="228" spans="1:10">
      <c r="A228" s="586">
        <v>223</v>
      </c>
      <c r="B228" s="565" t="s">
        <v>2469</v>
      </c>
      <c r="C228" s="565" t="s">
        <v>2470</v>
      </c>
      <c r="D228" s="565" t="s">
        <v>2315</v>
      </c>
      <c r="E228" s="565" t="s">
        <v>2324</v>
      </c>
      <c r="F228" s="565" t="s">
        <v>2155</v>
      </c>
      <c r="G228" s="565">
        <v>2023</v>
      </c>
      <c r="H228" s="399">
        <v>45246</v>
      </c>
      <c r="I228" s="399">
        <v>45611</v>
      </c>
      <c r="J228" s="572" t="s">
        <v>2471</v>
      </c>
    </row>
    <row r="229" spans="1:10">
      <c r="A229" s="587">
        <v>224</v>
      </c>
      <c r="B229" s="564" t="s">
        <v>2472</v>
      </c>
      <c r="C229" s="564" t="s">
        <v>2473</v>
      </c>
      <c r="D229" s="564" t="s">
        <v>2315</v>
      </c>
      <c r="E229" s="564" t="s">
        <v>2324</v>
      </c>
      <c r="F229" s="564" t="s">
        <v>2155</v>
      </c>
      <c r="G229" s="564">
        <v>2023</v>
      </c>
      <c r="H229" s="398">
        <v>45247</v>
      </c>
      <c r="I229" s="398">
        <v>45612</v>
      </c>
      <c r="J229" s="573" t="s">
        <v>2474</v>
      </c>
    </row>
    <row r="230" spans="1:10">
      <c r="A230" s="586">
        <v>225</v>
      </c>
      <c r="B230" s="565" t="s">
        <v>2475</v>
      </c>
      <c r="C230" s="565" t="s">
        <v>2476</v>
      </c>
      <c r="D230" s="565" t="s">
        <v>2315</v>
      </c>
      <c r="E230" s="565" t="s">
        <v>2324</v>
      </c>
      <c r="F230" s="565" t="s">
        <v>2155</v>
      </c>
      <c r="G230" s="565">
        <v>2023</v>
      </c>
      <c r="H230" s="399">
        <v>45251</v>
      </c>
      <c r="I230" s="399">
        <v>45616</v>
      </c>
      <c r="J230" s="572" t="s">
        <v>2477</v>
      </c>
    </row>
    <row r="231" spans="1:10">
      <c r="A231" s="587">
        <v>226</v>
      </c>
      <c r="B231" s="564" t="s">
        <v>2478</v>
      </c>
      <c r="C231" s="564" t="s">
        <v>2368</v>
      </c>
      <c r="D231" s="564" t="s">
        <v>2315</v>
      </c>
      <c r="E231" s="564" t="s">
        <v>2324</v>
      </c>
      <c r="F231" s="564" t="s">
        <v>2155</v>
      </c>
      <c r="G231" s="564">
        <v>2023</v>
      </c>
      <c r="H231" s="398">
        <v>45254</v>
      </c>
      <c r="I231" s="398">
        <v>45619</v>
      </c>
      <c r="J231" s="573" t="s">
        <v>2325</v>
      </c>
    </row>
    <row r="232" spans="1:10">
      <c r="A232" s="586">
        <v>227</v>
      </c>
      <c r="B232" s="565" t="s">
        <v>2479</v>
      </c>
      <c r="C232" s="565" t="s">
        <v>2480</v>
      </c>
      <c r="D232" s="565" t="s">
        <v>2315</v>
      </c>
      <c r="E232" s="565" t="s">
        <v>2216</v>
      </c>
      <c r="F232" s="565" t="s">
        <v>2155</v>
      </c>
      <c r="G232" s="565">
        <v>2023</v>
      </c>
      <c r="H232" s="399">
        <v>45259</v>
      </c>
      <c r="I232" s="399">
        <v>45624</v>
      </c>
      <c r="J232" s="572" t="s">
        <v>2481</v>
      </c>
    </row>
    <row r="233" spans="1:10">
      <c r="A233" s="587">
        <v>228</v>
      </c>
      <c r="B233" s="564" t="s">
        <v>2482</v>
      </c>
      <c r="C233" s="564" t="s">
        <v>2483</v>
      </c>
      <c r="D233" s="564" t="s">
        <v>2315</v>
      </c>
      <c r="E233" s="564" t="s">
        <v>2324</v>
      </c>
      <c r="F233" s="564" t="s">
        <v>2155</v>
      </c>
      <c r="G233" s="564">
        <v>2023</v>
      </c>
      <c r="H233" s="398">
        <v>45267</v>
      </c>
      <c r="I233" s="398">
        <v>45632</v>
      </c>
      <c r="J233" s="573" t="s">
        <v>2325</v>
      </c>
    </row>
    <row r="234" spans="1:10">
      <c r="A234" s="586">
        <v>229</v>
      </c>
      <c r="B234" s="565" t="s">
        <v>2484</v>
      </c>
      <c r="C234" s="565" t="s">
        <v>2485</v>
      </c>
      <c r="D234" s="565" t="s">
        <v>2315</v>
      </c>
      <c r="E234" s="565" t="s">
        <v>2324</v>
      </c>
      <c r="F234" s="565" t="s">
        <v>2155</v>
      </c>
      <c r="G234" s="565">
        <v>2023</v>
      </c>
      <c r="H234" s="399">
        <v>45268</v>
      </c>
      <c r="I234" s="399">
        <v>45633</v>
      </c>
      <c r="J234" s="572" t="s">
        <v>2325</v>
      </c>
    </row>
    <row r="235" spans="1:10">
      <c r="A235" s="587">
        <v>230</v>
      </c>
      <c r="B235" s="564" t="s">
        <v>2486</v>
      </c>
      <c r="C235" s="564" t="s">
        <v>2485</v>
      </c>
      <c r="D235" s="564" t="s">
        <v>2315</v>
      </c>
      <c r="E235" s="564" t="s">
        <v>2324</v>
      </c>
      <c r="F235" s="564" t="s">
        <v>2155</v>
      </c>
      <c r="G235" s="564">
        <v>2023</v>
      </c>
      <c r="H235" s="398">
        <v>45268</v>
      </c>
      <c r="I235" s="398">
        <v>45633</v>
      </c>
      <c r="J235" s="573" t="s">
        <v>2342</v>
      </c>
    </row>
    <row r="236" spans="1:10">
      <c r="A236" s="586">
        <v>231</v>
      </c>
      <c r="B236" s="565" t="s">
        <v>2487</v>
      </c>
      <c r="C236" s="565" t="s">
        <v>2488</v>
      </c>
      <c r="D236" s="565" t="s">
        <v>2315</v>
      </c>
      <c r="E236" s="565" t="s">
        <v>2324</v>
      </c>
      <c r="F236" s="565" t="s">
        <v>2155</v>
      </c>
      <c r="G236" s="565">
        <v>2022</v>
      </c>
      <c r="H236" s="399">
        <v>44908</v>
      </c>
      <c r="I236" s="399">
        <v>45638</v>
      </c>
      <c r="J236" s="572" t="s">
        <v>2387</v>
      </c>
    </row>
    <row r="237" spans="1:10">
      <c r="A237" s="587">
        <v>232</v>
      </c>
      <c r="B237" s="564" t="s">
        <v>2489</v>
      </c>
      <c r="C237" s="564" t="s">
        <v>2429</v>
      </c>
      <c r="D237" s="564" t="s">
        <v>2315</v>
      </c>
      <c r="E237" s="564" t="s">
        <v>2324</v>
      </c>
      <c r="F237" s="564" t="s">
        <v>2155</v>
      </c>
      <c r="G237" s="564">
        <v>2023</v>
      </c>
      <c r="H237" s="398">
        <v>45286</v>
      </c>
      <c r="I237" s="398">
        <v>45651</v>
      </c>
      <c r="J237" s="573" t="s">
        <v>2325</v>
      </c>
    </row>
    <row r="238" spans="1:10">
      <c r="A238" s="586">
        <v>233</v>
      </c>
      <c r="B238" s="565" t="s">
        <v>2490</v>
      </c>
      <c r="C238" s="565" t="s">
        <v>2491</v>
      </c>
      <c r="D238" s="565" t="s">
        <v>2492</v>
      </c>
      <c r="E238" s="565" t="s">
        <v>2324</v>
      </c>
      <c r="F238" s="565" t="s">
        <v>2155</v>
      </c>
      <c r="G238" s="565">
        <v>2021</v>
      </c>
      <c r="H238" s="399">
        <v>44211</v>
      </c>
      <c r="I238" s="399">
        <v>44576</v>
      </c>
      <c r="J238" s="572" t="s">
        <v>2493</v>
      </c>
    </row>
    <row r="239" spans="1:10">
      <c r="A239" s="587">
        <v>234</v>
      </c>
      <c r="B239" s="564" t="s">
        <v>2494</v>
      </c>
      <c r="C239" s="564" t="s">
        <v>2495</v>
      </c>
      <c r="D239" s="564" t="s">
        <v>2492</v>
      </c>
      <c r="E239" s="564" t="s">
        <v>2324</v>
      </c>
      <c r="F239" s="564" t="s">
        <v>2155</v>
      </c>
      <c r="G239" s="564">
        <v>2018</v>
      </c>
      <c r="H239" s="398">
        <v>43273</v>
      </c>
      <c r="I239" s="398">
        <v>45099</v>
      </c>
      <c r="J239" s="573" t="s">
        <v>2496</v>
      </c>
    </row>
    <row r="240" spans="1:10">
      <c r="A240" s="586">
        <v>235</v>
      </c>
      <c r="B240" s="565" t="s">
        <v>2497</v>
      </c>
      <c r="C240" s="565" t="s">
        <v>2498</v>
      </c>
      <c r="D240" s="565" t="s">
        <v>2492</v>
      </c>
      <c r="E240" s="565" t="s">
        <v>2324</v>
      </c>
      <c r="F240" s="565" t="s">
        <v>2155</v>
      </c>
      <c r="G240" s="565">
        <v>2020</v>
      </c>
      <c r="H240" s="399">
        <v>43879</v>
      </c>
      <c r="I240" s="399">
        <v>45706</v>
      </c>
      <c r="J240" s="572" t="s">
        <v>2499</v>
      </c>
    </row>
    <row r="241" spans="1:10">
      <c r="A241" s="587">
        <v>236</v>
      </c>
      <c r="B241" s="564" t="s">
        <v>2148</v>
      </c>
      <c r="C241" s="564" t="s">
        <v>2500</v>
      </c>
      <c r="D241" s="564" t="s">
        <v>2492</v>
      </c>
      <c r="E241" s="564" t="s">
        <v>2324</v>
      </c>
      <c r="F241" s="564" t="s">
        <v>2155</v>
      </c>
      <c r="G241" s="564">
        <v>2021</v>
      </c>
      <c r="H241" s="398">
        <v>44315</v>
      </c>
      <c r="I241" s="398">
        <v>46140</v>
      </c>
      <c r="J241" s="573" t="s">
        <v>2501</v>
      </c>
    </row>
    <row r="242" spans="1:10">
      <c r="A242" s="586">
        <v>237</v>
      </c>
      <c r="B242" s="565" t="s">
        <v>2502</v>
      </c>
      <c r="C242" s="565" t="s">
        <v>2503</v>
      </c>
      <c r="D242" s="565" t="s">
        <v>2504</v>
      </c>
      <c r="E242" s="565" t="s">
        <v>2324</v>
      </c>
      <c r="F242" s="565" t="s">
        <v>2155</v>
      </c>
      <c r="G242" s="565">
        <v>2021</v>
      </c>
      <c r="H242" s="399">
        <v>44217</v>
      </c>
      <c r="I242" s="399">
        <v>44581</v>
      </c>
      <c r="J242" s="572" t="s">
        <v>2505</v>
      </c>
    </row>
    <row r="243" spans="1:10">
      <c r="A243" s="587">
        <v>238</v>
      </c>
      <c r="B243" s="564" t="s">
        <v>2506</v>
      </c>
      <c r="C243" s="564" t="s">
        <v>2507</v>
      </c>
      <c r="D243" s="564" t="s">
        <v>2504</v>
      </c>
      <c r="E243" s="564" t="s">
        <v>2324</v>
      </c>
      <c r="F243" s="564" t="s">
        <v>2155</v>
      </c>
      <c r="G243" s="564">
        <v>2021</v>
      </c>
      <c r="H243" s="398">
        <v>44417</v>
      </c>
      <c r="I243" s="398">
        <v>44781</v>
      </c>
      <c r="J243" s="573" t="s">
        <v>2508</v>
      </c>
    </row>
    <row r="244" spans="1:10">
      <c r="A244" s="586">
        <v>239</v>
      </c>
      <c r="B244" s="565" t="s">
        <v>2509</v>
      </c>
      <c r="C244" s="565" t="s">
        <v>2510</v>
      </c>
      <c r="D244" s="565" t="s">
        <v>2504</v>
      </c>
      <c r="E244" s="565" t="s">
        <v>2324</v>
      </c>
      <c r="F244" s="565" t="s">
        <v>2155</v>
      </c>
      <c r="G244" s="565">
        <v>2023</v>
      </c>
      <c r="H244" s="399">
        <v>45044</v>
      </c>
      <c r="I244" s="399">
        <v>45409</v>
      </c>
      <c r="J244" s="572" t="s">
        <v>2511</v>
      </c>
    </row>
    <row r="245" spans="1:10">
      <c r="A245" s="587">
        <v>240</v>
      </c>
      <c r="B245" s="564" t="s">
        <v>2512</v>
      </c>
      <c r="C245" s="564" t="s">
        <v>2513</v>
      </c>
      <c r="D245" s="564" t="s">
        <v>2504</v>
      </c>
      <c r="E245" s="564" t="s">
        <v>2324</v>
      </c>
      <c r="F245" s="564" t="s">
        <v>2155</v>
      </c>
      <c r="G245" s="564">
        <v>2023</v>
      </c>
      <c r="H245" s="398">
        <v>45145</v>
      </c>
      <c r="I245" s="398">
        <v>45510</v>
      </c>
      <c r="J245" s="573" t="s">
        <v>2148</v>
      </c>
    </row>
    <row r="246" spans="1:10">
      <c r="A246" s="586">
        <v>241</v>
      </c>
      <c r="B246" s="565" t="s">
        <v>2514</v>
      </c>
      <c r="C246" s="565" t="s">
        <v>2515</v>
      </c>
      <c r="D246" s="565" t="s">
        <v>2504</v>
      </c>
      <c r="E246" s="565" t="s">
        <v>2324</v>
      </c>
      <c r="F246" s="565" t="s">
        <v>2155</v>
      </c>
      <c r="G246" s="565">
        <v>2023</v>
      </c>
      <c r="H246" s="399">
        <v>45286</v>
      </c>
      <c r="I246" s="399">
        <v>45651</v>
      </c>
      <c r="J246" s="572" t="s">
        <v>2516</v>
      </c>
    </row>
    <row r="247" spans="1:10">
      <c r="A247" s="587">
        <v>242</v>
      </c>
      <c r="B247" s="564" t="s">
        <v>2517</v>
      </c>
      <c r="C247" s="564" t="s">
        <v>2359</v>
      </c>
      <c r="D247" s="564" t="s">
        <v>2518</v>
      </c>
      <c r="E247" s="564" t="s">
        <v>2519</v>
      </c>
      <c r="F247" s="564" t="s">
        <v>2137</v>
      </c>
      <c r="G247" s="564">
        <v>2016</v>
      </c>
      <c r="H247" s="398">
        <v>42415</v>
      </c>
      <c r="I247" s="398">
        <v>44241</v>
      </c>
      <c r="J247" s="573" t="s">
        <v>2148</v>
      </c>
    </row>
    <row r="248" spans="1:10">
      <c r="A248" s="586">
        <v>243</v>
      </c>
      <c r="B248" s="565" t="s">
        <v>2520</v>
      </c>
      <c r="C248" s="565" t="s">
        <v>2521</v>
      </c>
      <c r="D248" s="565" t="s">
        <v>2518</v>
      </c>
      <c r="E248" s="565" t="s">
        <v>2519</v>
      </c>
      <c r="F248" s="565" t="s">
        <v>2155</v>
      </c>
      <c r="G248" s="565">
        <v>2016</v>
      </c>
      <c r="H248" s="399">
        <v>42466</v>
      </c>
      <c r="I248" s="399">
        <v>44291</v>
      </c>
      <c r="J248" s="572" t="s">
        <v>2148</v>
      </c>
    </row>
    <row r="249" spans="1:10">
      <c r="A249" s="587">
        <v>244</v>
      </c>
      <c r="B249" s="564" t="s">
        <v>2522</v>
      </c>
      <c r="C249" s="564" t="s">
        <v>2523</v>
      </c>
      <c r="D249" s="564" t="s">
        <v>2518</v>
      </c>
      <c r="E249" s="564" t="s">
        <v>2519</v>
      </c>
      <c r="F249" s="564" t="s">
        <v>2155</v>
      </c>
      <c r="G249" s="564">
        <v>2017</v>
      </c>
      <c r="H249" s="398">
        <v>42877</v>
      </c>
      <c r="I249" s="398">
        <v>44702</v>
      </c>
      <c r="J249" s="573" t="s">
        <v>2148</v>
      </c>
    </row>
    <row r="250" spans="1:10">
      <c r="A250" s="586">
        <v>245</v>
      </c>
      <c r="B250" s="565" t="s">
        <v>2520</v>
      </c>
      <c r="C250" s="565" t="s">
        <v>2524</v>
      </c>
      <c r="D250" s="565" t="s">
        <v>2518</v>
      </c>
      <c r="E250" s="565" t="s">
        <v>2519</v>
      </c>
      <c r="F250" s="565" t="s">
        <v>2155</v>
      </c>
      <c r="G250" s="565">
        <v>2017</v>
      </c>
      <c r="H250" s="399">
        <v>42955</v>
      </c>
      <c r="I250" s="399">
        <v>44780</v>
      </c>
      <c r="J250" s="572" t="s">
        <v>2420</v>
      </c>
    </row>
    <row r="251" spans="1:10">
      <c r="A251" s="587">
        <v>246</v>
      </c>
      <c r="B251" s="564" t="s">
        <v>2522</v>
      </c>
      <c r="C251" s="564" t="s">
        <v>2525</v>
      </c>
      <c r="D251" s="564" t="s">
        <v>2518</v>
      </c>
      <c r="E251" s="564" t="s">
        <v>2519</v>
      </c>
      <c r="F251" s="564" t="s">
        <v>2155</v>
      </c>
      <c r="G251" s="564">
        <v>2017</v>
      </c>
      <c r="H251" s="398">
        <v>42956</v>
      </c>
      <c r="I251" s="398">
        <v>44781</v>
      </c>
      <c r="J251" s="573" t="s">
        <v>2148</v>
      </c>
    </row>
    <row r="252" spans="1:10">
      <c r="A252" s="586">
        <v>247</v>
      </c>
      <c r="B252" s="565" t="s">
        <v>2526</v>
      </c>
      <c r="C252" s="565" t="s">
        <v>2527</v>
      </c>
      <c r="D252" s="565" t="s">
        <v>2518</v>
      </c>
      <c r="E252" s="565" t="s">
        <v>2324</v>
      </c>
      <c r="F252" s="565" t="s">
        <v>2155</v>
      </c>
      <c r="G252" s="565">
        <v>2017</v>
      </c>
      <c r="H252" s="399">
        <v>43096</v>
      </c>
      <c r="I252" s="399">
        <v>44921</v>
      </c>
      <c r="J252" s="572" t="s">
        <v>2148</v>
      </c>
    </row>
    <row r="253" spans="1:10">
      <c r="A253" s="587">
        <v>248</v>
      </c>
      <c r="B253" s="564" t="s">
        <v>2517</v>
      </c>
      <c r="C253" s="564" t="s">
        <v>2528</v>
      </c>
      <c r="D253" s="564" t="s">
        <v>2518</v>
      </c>
      <c r="E253" s="564" t="s">
        <v>2519</v>
      </c>
      <c r="F253" s="564" t="s">
        <v>2137</v>
      </c>
      <c r="G253" s="564">
        <v>2018</v>
      </c>
      <c r="H253" s="398">
        <v>43115</v>
      </c>
      <c r="I253" s="398">
        <v>44940</v>
      </c>
      <c r="J253" s="573" t="s">
        <v>2529</v>
      </c>
    </row>
    <row r="254" spans="1:10">
      <c r="A254" s="586">
        <v>249</v>
      </c>
      <c r="B254" s="565" t="s">
        <v>2526</v>
      </c>
      <c r="C254" s="565" t="s">
        <v>2530</v>
      </c>
      <c r="D254" s="565" t="s">
        <v>2518</v>
      </c>
      <c r="E254" s="565" t="s">
        <v>2324</v>
      </c>
      <c r="F254" s="565" t="s">
        <v>2155</v>
      </c>
      <c r="G254" s="565">
        <v>2018</v>
      </c>
      <c r="H254" s="399">
        <v>43179</v>
      </c>
      <c r="I254" s="399">
        <v>45004</v>
      </c>
      <c r="J254" s="572" t="s">
        <v>2529</v>
      </c>
    </row>
    <row r="255" spans="1:10">
      <c r="A255" s="587">
        <v>250</v>
      </c>
      <c r="B255" s="564" t="s">
        <v>2148</v>
      </c>
      <c r="C255" s="564" t="s">
        <v>2530</v>
      </c>
      <c r="D255" s="564" t="s">
        <v>2518</v>
      </c>
      <c r="E255" s="564" t="s">
        <v>2519</v>
      </c>
      <c r="F255" s="564" t="s">
        <v>2155</v>
      </c>
      <c r="G255" s="564">
        <v>2018</v>
      </c>
      <c r="H255" s="398">
        <v>43179</v>
      </c>
      <c r="I255" s="398">
        <v>45004</v>
      </c>
      <c r="J255" s="573" t="s">
        <v>2529</v>
      </c>
    </row>
    <row r="256" spans="1:10">
      <c r="A256" s="586">
        <v>251</v>
      </c>
      <c r="B256" s="565" t="s">
        <v>2148</v>
      </c>
      <c r="C256" s="565" t="s">
        <v>2531</v>
      </c>
      <c r="D256" s="565" t="s">
        <v>2518</v>
      </c>
      <c r="E256" s="565" t="s">
        <v>2519</v>
      </c>
      <c r="F256" s="565" t="s">
        <v>2155</v>
      </c>
      <c r="G256" s="565">
        <v>2018</v>
      </c>
      <c r="H256" s="399">
        <v>43179</v>
      </c>
      <c r="I256" s="399">
        <v>45004</v>
      </c>
      <c r="J256" s="572" t="s">
        <v>2148</v>
      </c>
    </row>
    <row r="257" spans="1:10">
      <c r="A257" s="587">
        <v>252</v>
      </c>
      <c r="B257" s="564" t="s">
        <v>2526</v>
      </c>
      <c r="C257" s="564" t="s">
        <v>2532</v>
      </c>
      <c r="D257" s="564" t="s">
        <v>2518</v>
      </c>
      <c r="E257" s="564" t="s">
        <v>2324</v>
      </c>
      <c r="F257" s="564" t="s">
        <v>2155</v>
      </c>
      <c r="G257" s="564">
        <v>2018</v>
      </c>
      <c r="H257" s="398">
        <v>43207</v>
      </c>
      <c r="I257" s="398">
        <v>45032</v>
      </c>
      <c r="J257" s="573" t="s">
        <v>2529</v>
      </c>
    </row>
    <row r="258" spans="1:10">
      <c r="A258" s="586">
        <v>253</v>
      </c>
      <c r="B258" s="565" t="s">
        <v>2517</v>
      </c>
      <c r="C258" s="565" t="s">
        <v>2533</v>
      </c>
      <c r="D258" s="565" t="s">
        <v>2518</v>
      </c>
      <c r="E258" s="565" t="s">
        <v>2519</v>
      </c>
      <c r="F258" s="565" t="s">
        <v>2137</v>
      </c>
      <c r="G258" s="565">
        <v>2018</v>
      </c>
      <c r="H258" s="399">
        <v>43210</v>
      </c>
      <c r="I258" s="399">
        <v>45035</v>
      </c>
      <c r="J258" s="572" t="s">
        <v>2148</v>
      </c>
    </row>
    <row r="259" spans="1:10">
      <c r="A259" s="587">
        <v>254</v>
      </c>
      <c r="B259" s="564" t="s">
        <v>2526</v>
      </c>
      <c r="C259" s="564" t="s">
        <v>2533</v>
      </c>
      <c r="D259" s="564" t="s">
        <v>2518</v>
      </c>
      <c r="E259" s="564" t="s">
        <v>2324</v>
      </c>
      <c r="F259" s="564" t="s">
        <v>2137</v>
      </c>
      <c r="G259" s="564">
        <v>2018</v>
      </c>
      <c r="H259" s="398">
        <v>43210</v>
      </c>
      <c r="I259" s="398">
        <v>45035</v>
      </c>
      <c r="J259" s="573" t="s">
        <v>2148</v>
      </c>
    </row>
    <row r="260" spans="1:10">
      <c r="A260" s="586">
        <v>255</v>
      </c>
      <c r="B260" s="565" t="s">
        <v>2526</v>
      </c>
      <c r="C260" s="565" t="s">
        <v>2534</v>
      </c>
      <c r="D260" s="565" t="s">
        <v>2518</v>
      </c>
      <c r="E260" s="565" t="s">
        <v>2324</v>
      </c>
      <c r="F260" s="565" t="s">
        <v>2137</v>
      </c>
      <c r="G260" s="565">
        <v>2018</v>
      </c>
      <c r="H260" s="399">
        <v>43210</v>
      </c>
      <c r="I260" s="399">
        <v>45035</v>
      </c>
      <c r="J260" s="572" t="s">
        <v>2148</v>
      </c>
    </row>
    <row r="261" spans="1:10">
      <c r="A261" s="587">
        <v>256</v>
      </c>
      <c r="B261" s="564" t="s">
        <v>2517</v>
      </c>
      <c r="C261" s="564" t="s">
        <v>2534</v>
      </c>
      <c r="D261" s="564" t="s">
        <v>2518</v>
      </c>
      <c r="E261" s="564" t="s">
        <v>2519</v>
      </c>
      <c r="F261" s="564" t="s">
        <v>2155</v>
      </c>
      <c r="G261" s="564">
        <v>2018</v>
      </c>
      <c r="H261" s="398">
        <v>43210</v>
      </c>
      <c r="I261" s="398">
        <v>45035</v>
      </c>
      <c r="J261" s="573" t="s">
        <v>2148</v>
      </c>
    </row>
    <row r="262" spans="1:10">
      <c r="A262" s="586">
        <v>257</v>
      </c>
      <c r="B262" s="565" t="s">
        <v>2517</v>
      </c>
      <c r="C262" s="565" t="s">
        <v>2535</v>
      </c>
      <c r="D262" s="565" t="s">
        <v>2518</v>
      </c>
      <c r="E262" s="565" t="s">
        <v>2519</v>
      </c>
      <c r="F262" s="565" t="s">
        <v>2155</v>
      </c>
      <c r="G262" s="565">
        <v>2018</v>
      </c>
      <c r="H262" s="399">
        <v>43214</v>
      </c>
      <c r="I262" s="399">
        <v>45039</v>
      </c>
      <c r="J262" s="572" t="s">
        <v>2148</v>
      </c>
    </row>
    <row r="263" spans="1:10">
      <c r="A263" s="587">
        <v>258</v>
      </c>
      <c r="B263" s="564" t="s">
        <v>2526</v>
      </c>
      <c r="C263" s="564" t="s">
        <v>2535</v>
      </c>
      <c r="D263" s="564" t="s">
        <v>2518</v>
      </c>
      <c r="E263" s="564" t="s">
        <v>2324</v>
      </c>
      <c r="F263" s="564" t="s">
        <v>2155</v>
      </c>
      <c r="G263" s="564">
        <v>2018</v>
      </c>
      <c r="H263" s="398">
        <v>43214</v>
      </c>
      <c r="I263" s="398">
        <v>45039</v>
      </c>
      <c r="J263" s="573" t="s">
        <v>2148</v>
      </c>
    </row>
    <row r="264" spans="1:10">
      <c r="A264" s="586">
        <v>259</v>
      </c>
      <c r="B264" s="565" t="s">
        <v>2517</v>
      </c>
      <c r="C264" s="565" t="s">
        <v>2292</v>
      </c>
      <c r="D264" s="565" t="s">
        <v>2518</v>
      </c>
      <c r="E264" s="565" t="s">
        <v>2519</v>
      </c>
      <c r="F264" s="565" t="s">
        <v>2137</v>
      </c>
      <c r="G264" s="565">
        <v>2018</v>
      </c>
      <c r="H264" s="399">
        <v>43229</v>
      </c>
      <c r="I264" s="399">
        <v>45054</v>
      </c>
      <c r="J264" s="572" t="s">
        <v>2148</v>
      </c>
    </row>
    <row r="265" spans="1:10">
      <c r="A265" s="587">
        <v>260</v>
      </c>
      <c r="B265" s="564" t="s">
        <v>2526</v>
      </c>
      <c r="C265" s="564" t="s">
        <v>2536</v>
      </c>
      <c r="D265" s="564" t="s">
        <v>2518</v>
      </c>
      <c r="E265" s="564" t="s">
        <v>2324</v>
      </c>
      <c r="F265" s="564" t="s">
        <v>2155</v>
      </c>
      <c r="G265" s="564">
        <v>2018</v>
      </c>
      <c r="H265" s="398">
        <v>43234</v>
      </c>
      <c r="I265" s="398">
        <v>45059</v>
      </c>
      <c r="J265" s="573" t="s">
        <v>2148</v>
      </c>
    </row>
    <row r="266" spans="1:10">
      <c r="A266" s="586">
        <v>261</v>
      </c>
      <c r="B266" s="565" t="s">
        <v>2517</v>
      </c>
      <c r="C266" s="565" t="s">
        <v>2185</v>
      </c>
      <c r="D266" s="565" t="s">
        <v>2518</v>
      </c>
      <c r="E266" s="565" t="s">
        <v>2519</v>
      </c>
      <c r="F266" s="565" t="s">
        <v>2155</v>
      </c>
      <c r="G266" s="565">
        <v>2018</v>
      </c>
      <c r="H266" s="399">
        <v>43263</v>
      </c>
      <c r="I266" s="399">
        <v>45088</v>
      </c>
      <c r="J266" s="572" t="s">
        <v>2148</v>
      </c>
    </row>
    <row r="267" spans="1:10">
      <c r="A267" s="587">
        <v>262</v>
      </c>
      <c r="B267" s="564" t="s">
        <v>2517</v>
      </c>
      <c r="C267" s="564" t="s">
        <v>2537</v>
      </c>
      <c r="D267" s="564" t="s">
        <v>2518</v>
      </c>
      <c r="E267" s="564" t="s">
        <v>2519</v>
      </c>
      <c r="F267" s="564" t="s">
        <v>2155</v>
      </c>
      <c r="G267" s="564">
        <v>2018</v>
      </c>
      <c r="H267" s="398">
        <v>43263</v>
      </c>
      <c r="I267" s="398">
        <v>45088</v>
      </c>
      <c r="J267" s="573" t="s">
        <v>2148</v>
      </c>
    </row>
    <row r="268" spans="1:10">
      <c r="A268" s="586">
        <v>263</v>
      </c>
      <c r="B268" s="565" t="s">
        <v>2520</v>
      </c>
      <c r="C268" s="565" t="s">
        <v>2538</v>
      </c>
      <c r="D268" s="565" t="s">
        <v>2518</v>
      </c>
      <c r="E268" s="565" t="s">
        <v>2519</v>
      </c>
      <c r="F268" s="565" t="s">
        <v>2155</v>
      </c>
      <c r="G268" s="565">
        <v>2018</v>
      </c>
      <c r="H268" s="399">
        <v>43271</v>
      </c>
      <c r="I268" s="399">
        <v>45096</v>
      </c>
      <c r="J268" s="572" t="s">
        <v>2148</v>
      </c>
    </row>
    <row r="269" spans="1:10">
      <c r="A269" s="587">
        <v>264</v>
      </c>
      <c r="B269" s="564" t="s">
        <v>2148</v>
      </c>
      <c r="C269" s="564" t="s">
        <v>2539</v>
      </c>
      <c r="D269" s="564" t="s">
        <v>2518</v>
      </c>
      <c r="E269" s="564" t="s">
        <v>2519</v>
      </c>
      <c r="F269" s="564" t="s">
        <v>2155</v>
      </c>
      <c r="G269" s="564">
        <v>2018</v>
      </c>
      <c r="H269" s="398">
        <v>43283</v>
      </c>
      <c r="I269" s="398">
        <v>45108</v>
      </c>
      <c r="J269" s="573" t="s">
        <v>2148</v>
      </c>
    </row>
    <row r="270" spans="1:10">
      <c r="A270" s="586">
        <v>265</v>
      </c>
      <c r="B270" s="565" t="s">
        <v>2540</v>
      </c>
      <c r="C270" s="565" t="s">
        <v>2541</v>
      </c>
      <c r="D270" s="565" t="s">
        <v>2518</v>
      </c>
      <c r="E270" s="565" t="s">
        <v>2324</v>
      </c>
      <c r="F270" s="565" t="s">
        <v>2155</v>
      </c>
      <c r="G270" s="565">
        <v>2018</v>
      </c>
      <c r="H270" s="399">
        <v>43304</v>
      </c>
      <c r="I270" s="399">
        <v>45129</v>
      </c>
      <c r="J270" s="572" t="s">
        <v>2148</v>
      </c>
    </row>
    <row r="271" spans="1:10">
      <c r="A271" s="587">
        <v>266</v>
      </c>
      <c r="B271" s="564" t="s">
        <v>2148</v>
      </c>
      <c r="C271" s="564" t="s">
        <v>2541</v>
      </c>
      <c r="D271" s="564" t="s">
        <v>2518</v>
      </c>
      <c r="E271" s="564" t="s">
        <v>2519</v>
      </c>
      <c r="F271" s="564" t="s">
        <v>2137</v>
      </c>
      <c r="G271" s="564">
        <v>2018</v>
      </c>
      <c r="H271" s="398">
        <v>43304</v>
      </c>
      <c r="I271" s="398">
        <v>45129</v>
      </c>
      <c r="J271" s="573" t="s">
        <v>2148</v>
      </c>
    </row>
    <row r="272" spans="1:10">
      <c r="A272" s="586">
        <v>267</v>
      </c>
      <c r="B272" s="565" t="s">
        <v>2517</v>
      </c>
      <c r="C272" s="565" t="s">
        <v>2542</v>
      </c>
      <c r="D272" s="565" t="s">
        <v>2518</v>
      </c>
      <c r="E272" s="565" t="s">
        <v>2519</v>
      </c>
      <c r="F272" s="565" t="s">
        <v>2137</v>
      </c>
      <c r="G272" s="565">
        <v>2018</v>
      </c>
      <c r="H272" s="399">
        <v>43307</v>
      </c>
      <c r="I272" s="399">
        <v>45132</v>
      </c>
      <c r="J272" s="572" t="s">
        <v>2148</v>
      </c>
    </row>
    <row r="273" spans="1:10">
      <c r="A273" s="587">
        <v>268</v>
      </c>
      <c r="B273" s="564" t="s">
        <v>2517</v>
      </c>
      <c r="C273" s="564" t="s">
        <v>2543</v>
      </c>
      <c r="D273" s="564" t="s">
        <v>2518</v>
      </c>
      <c r="E273" s="564" t="s">
        <v>2519</v>
      </c>
      <c r="F273" s="564" t="s">
        <v>2155</v>
      </c>
      <c r="G273" s="564">
        <v>2018</v>
      </c>
      <c r="H273" s="398">
        <v>43308</v>
      </c>
      <c r="I273" s="398">
        <v>45133</v>
      </c>
      <c r="J273" s="573" t="s">
        <v>2148</v>
      </c>
    </row>
    <row r="274" spans="1:10">
      <c r="A274" s="586">
        <v>269</v>
      </c>
      <c r="B274" s="565" t="s">
        <v>2517</v>
      </c>
      <c r="C274" s="565" t="s">
        <v>2544</v>
      </c>
      <c r="D274" s="565" t="s">
        <v>2518</v>
      </c>
      <c r="E274" s="565" t="s">
        <v>2519</v>
      </c>
      <c r="F274" s="565" t="s">
        <v>2155</v>
      </c>
      <c r="G274" s="565">
        <v>2018</v>
      </c>
      <c r="H274" s="399">
        <v>43325</v>
      </c>
      <c r="I274" s="399">
        <v>45150</v>
      </c>
      <c r="J274" s="572" t="s">
        <v>2148</v>
      </c>
    </row>
    <row r="275" spans="1:10">
      <c r="A275" s="587">
        <v>270</v>
      </c>
      <c r="B275" s="564" t="s">
        <v>2526</v>
      </c>
      <c r="C275" s="564" t="s">
        <v>2545</v>
      </c>
      <c r="D275" s="564" t="s">
        <v>2518</v>
      </c>
      <c r="E275" s="564" t="s">
        <v>2519</v>
      </c>
      <c r="F275" s="564" t="s">
        <v>2155</v>
      </c>
      <c r="G275" s="564">
        <v>2018</v>
      </c>
      <c r="H275" s="398">
        <v>43362</v>
      </c>
      <c r="I275" s="398">
        <v>45187</v>
      </c>
      <c r="J275" s="573" t="s">
        <v>2148</v>
      </c>
    </row>
    <row r="276" spans="1:10">
      <c r="A276" s="586">
        <v>271</v>
      </c>
      <c r="B276" s="565" t="s">
        <v>2526</v>
      </c>
      <c r="C276" s="565" t="s">
        <v>2546</v>
      </c>
      <c r="D276" s="565" t="s">
        <v>2518</v>
      </c>
      <c r="E276" s="565" t="s">
        <v>2519</v>
      </c>
      <c r="F276" s="565" t="s">
        <v>2155</v>
      </c>
      <c r="G276" s="565">
        <v>2018</v>
      </c>
      <c r="H276" s="399">
        <v>43362</v>
      </c>
      <c r="I276" s="399">
        <v>45187</v>
      </c>
      <c r="J276" s="572" t="s">
        <v>2148</v>
      </c>
    </row>
    <row r="277" spans="1:10">
      <c r="A277" s="587">
        <v>272</v>
      </c>
      <c r="B277" s="564" t="s">
        <v>686</v>
      </c>
      <c r="C277" s="564" t="s">
        <v>2547</v>
      </c>
      <c r="D277" s="564" t="s">
        <v>2518</v>
      </c>
      <c r="E277" s="564" t="s">
        <v>2519</v>
      </c>
      <c r="F277" s="564" t="s">
        <v>2155</v>
      </c>
      <c r="G277" s="564">
        <v>2018</v>
      </c>
      <c r="H277" s="398">
        <v>43370</v>
      </c>
      <c r="I277" s="398">
        <v>45195</v>
      </c>
      <c r="J277" s="573" t="s">
        <v>2148</v>
      </c>
    </row>
    <row r="278" spans="1:10">
      <c r="A278" s="586">
        <v>273</v>
      </c>
      <c r="B278" s="565" t="s">
        <v>2526</v>
      </c>
      <c r="C278" s="565" t="s">
        <v>2548</v>
      </c>
      <c r="D278" s="565" t="s">
        <v>2518</v>
      </c>
      <c r="E278" s="565" t="s">
        <v>2519</v>
      </c>
      <c r="F278" s="565" t="s">
        <v>2155</v>
      </c>
      <c r="G278" s="565">
        <v>2018</v>
      </c>
      <c r="H278" s="399">
        <v>43370</v>
      </c>
      <c r="I278" s="399">
        <v>45195</v>
      </c>
      <c r="J278" s="572" t="s">
        <v>2148</v>
      </c>
    </row>
    <row r="279" spans="1:10">
      <c r="A279" s="587">
        <v>274</v>
      </c>
      <c r="B279" s="564" t="s">
        <v>686</v>
      </c>
      <c r="C279" s="564" t="s">
        <v>2549</v>
      </c>
      <c r="D279" s="564" t="s">
        <v>2518</v>
      </c>
      <c r="E279" s="564" t="s">
        <v>2519</v>
      </c>
      <c r="F279" s="564" t="s">
        <v>2155</v>
      </c>
      <c r="G279" s="564">
        <v>2018</v>
      </c>
      <c r="H279" s="398">
        <v>43390</v>
      </c>
      <c r="I279" s="398">
        <v>45215</v>
      </c>
      <c r="J279" s="573" t="s">
        <v>2148</v>
      </c>
    </row>
    <row r="280" spans="1:10">
      <c r="A280" s="586">
        <v>275</v>
      </c>
      <c r="B280" s="565" t="s">
        <v>2526</v>
      </c>
      <c r="C280" s="565" t="s">
        <v>2550</v>
      </c>
      <c r="D280" s="565" t="s">
        <v>2518</v>
      </c>
      <c r="E280" s="565" t="s">
        <v>2519</v>
      </c>
      <c r="F280" s="565" t="s">
        <v>2155</v>
      </c>
      <c r="G280" s="565">
        <v>2018</v>
      </c>
      <c r="H280" s="399">
        <v>43448</v>
      </c>
      <c r="I280" s="399">
        <v>45273</v>
      </c>
      <c r="J280" s="572" t="s">
        <v>2529</v>
      </c>
    </row>
    <row r="281" spans="1:10">
      <c r="A281" s="587">
        <v>276</v>
      </c>
      <c r="B281" s="564" t="s">
        <v>2526</v>
      </c>
      <c r="C281" s="564" t="s">
        <v>2551</v>
      </c>
      <c r="D281" s="564" t="s">
        <v>2518</v>
      </c>
      <c r="E281" s="564" t="s">
        <v>2324</v>
      </c>
      <c r="F281" s="564" t="s">
        <v>2155</v>
      </c>
      <c r="G281" s="564">
        <v>2019</v>
      </c>
      <c r="H281" s="398">
        <v>43474</v>
      </c>
      <c r="I281" s="398">
        <v>45299</v>
      </c>
      <c r="J281" s="573" t="s">
        <v>2148</v>
      </c>
    </row>
    <row r="282" spans="1:10">
      <c r="A282" s="586">
        <v>277</v>
      </c>
      <c r="B282" s="565" t="s">
        <v>2520</v>
      </c>
      <c r="C282" s="565" t="s">
        <v>2551</v>
      </c>
      <c r="D282" s="565" t="s">
        <v>2518</v>
      </c>
      <c r="E282" s="565" t="s">
        <v>2519</v>
      </c>
      <c r="F282" s="565" t="s">
        <v>2155</v>
      </c>
      <c r="G282" s="565">
        <v>2019</v>
      </c>
      <c r="H282" s="399">
        <v>43474</v>
      </c>
      <c r="I282" s="399">
        <v>45299</v>
      </c>
      <c r="J282" s="572" t="s">
        <v>2148</v>
      </c>
    </row>
    <row r="283" spans="1:10">
      <c r="A283" s="587">
        <v>278</v>
      </c>
      <c r="B283" s="564" t="s">
        <v>2517</v>
      </c>
      <c r="C283" s="564" t="s">
        <v>2536</v>
      </c>
      <c r="D283" s="564" t="s">
        <v>2518</v>
      </c>
      <c r="E283" s="564" t="s">
        <v>2519</v>
      </c>
      <c r="F283" s="564" t="s">
        <v>2155</v>
      </c>
      <c r="G283" s="564">
        <v>2019</v>
      </c>
      <c r="H283" s="398">
        <v>43474</v>
      </c>
      <c r="I283" s="398">
        <v>45299</v>
      </c>
      <c r="J283" s="573" t="s">
        <v>2148</v>
      </c>
    </row>
    <row r="284" spans="1:10">
      <c r="A284" s="586">
        <v>279</v>
      </c>
      <c r="B284" s="565" t="s">
        <v>2526</v>
      </c>
      <c r="C284" s="565" t="s">
        <v>2552</v>
      </c>
      <c r="D284" s="565" t="s">
        <v>2518</v>
      </c>
      <c r="E284" s="565" t="s">
        <v>2519</v>
      </c>
      <c r="F284" s="565" t="s">
        <v>2155</v>
      </c>
      <c r="G284" s="565">
        <v>2019</v>
      </c>
      <c r="H284" s="399">
        <v>43488</v>
      </c>
      <c r="I284" s="399">
        <v>45313</v>
      </c>
      <c r="J284" s="572" t="s">
        <v>2529</v>
      </c>
    </row>
    <row r="285" spans="1:10">
      <c r="A285" s="587">
        <v>280</v>
      </c>
      <c r="B285" s="564" t="s">
        <v>2553</v>
      </c>
      <c r="C285" s="564" t="s">
        <v>2554</v>
      </c>
      <c r="D285" s="564" t="s">
        <v>2518</v>
      </c>
      <c r="E285" s="564" t="s">
        <v>2519</v>
      </c>
      <c r="F285" s="564" t="s">
        <v>2155</v>
      </c>
      <c r="G285" s="564">
        <v>2019</v>
      </c>
      <c r="H285" s="398">
        <v>43515</v>
      </c>
      <c r="I285" s="398">
        <v>45340</v>
      </c>
      <c r="J285" s="573" t="s">
        <v>2148</v>
      </c>
    </row>
    <row r="286" spans="1:10">
      <c r="A286" s="586">
        <v>281</v>
      </c>
      <c r="B286" s="565" t="s">
        <v>2148</v>
      </c>
      <c r="C286" s="565" t="s">
        <v>2555</v>
      </c>
      <c r="D286" s="565" t="s">
        <v>2518</v>
      </c>
      <c r="E286" s="565" t="s">
        <v>2519</v>
      </c>
      <c r="F286" s="565" t="s">
        <v>2155</v>
      </c>
      <c r="G286" s="565">
        <v>2019</v>
      </c>
      <c r="H286" s="399">
        <v>43558</v>
      </c>
      <c r="I286" s="399">
        <v>45384</v>
      </c>
      <c r="J286" s="572" t="s">
        <v>2148</v>
      </c>
    </row>
    <row r="287" spans="1:10">
      <c r="A287" s="587">
        <v>282</v>
      </c>
      <c r="B287" s="564" t="s">
        <v>2517</v>
      </c>
      <c r="C287" s="564" t="s">
        <v>2556</v>
      </c>
      <c r="D287" s="564" t="s">
        <v>2518</v>
      </c>
      <c r="E287" s="564" t="s">
        <v>2519</v>
      </c>
      <c r="F287" s="564" t="s">
        <v>2155</v>
      </c>
      <c r="G287" s="564">
        <v>2019</v>
      </c>
      <c r="H287" s="398">
        <v>43558</v>
      </c>
      <c r="I287" s="398">
        <v>45384</v>
      </c>
      <c r="J287" s="573" t="s">
        <v>2148</v>
      </c>
    </row>
    <row r="288" spans="1:10">
      <c r="A288" s="586">
        <v>283</v>
      </c>
      <c r="B288" s="565" t="s">
        <v>2557</v>
      </c>
      <c r="C288" s="565" t="s">
        <v>2558</v>
      </c>
      <c r="D288" s="565" t="s">
        <v>2518</v>
      </c>
      <c r="E288" s="565" t="s">
        <v>2519</v>
      </c>
      <c r="F288" s="565" t="s">
        <v>2155</v>
      </c>
      <c r="G288" s="565">
        <v>2023</v>
      </c>
      <c r="H288" s="399">
        <v>45194</v>
      </c>
      <c r="I288" s="399">
        <v>45559</v>
      </c>
      <c r="J288" s="572" t="s">
        <v>2420</v>
      </c>
    </row>
    <row r="289" spans="1:10">
      <c r="A289" s="587">
        <v>284</v>
      </c>
      <c r="B289" s="564" t="s">
        <v>686</v>
      </c>
      <c r="C289" s="564" t="s">
        <v>2275</v>
      </c>
      <c r="D289" s="564" t="s">
        <v>2518</v>
      </c>
      <c r="E289" s="564" t="s">
        <v>2519</v>
      </c>
      <c r="F289" s="564" t="s">
        <v>2155</v>
      </c>
      <c r="G289" s="564">
        <v>2019</v>
      </c>
      <c r="H289" s="398">
        <v>43756</v>
      </c>
      <c r="I289" s="398">
        <v>45582</v>
      </c>
      <c r="J289" s="573" t="s">
        <v>2148</v>
      </c>
    </row>
    <row r="290" spans="1:10">
      <c r="A290" s="586">
        <v>285</v>
      </c>
      <c r="B290" s="565" t="s">
        <v>2148</v>
      </c>
      <c r="C290" s="565" t="s">
        <v>2559</v>
      </c>
      <c r="D290" s="565" t="s">
        <v>2518</v>
      </c>
      <c r="E290" s="565" t="s">
        <v>2519</v>
      </c>
      <c r="F290" s="565" t="s">
        <v>2155</v>
      </c>
      <c r="G290" s="565">
        <v>2019</v>
      </c>
      <c r="H290" s="399">
        <v>43798</v>
      </c>
      <c r="I290" s="399">
        <v>45624</v>
      </c>
      <c r="J290" s="572" t="s">
        <v>2529</v>
      </c>
    </row>
    <row r="291" spans="1:10">
      <c r="A291" s="587">
        <v>286</v>
      </c>
      <c r="B291" s="564" t="s">
        <v>686</v>
      </c>
      <c r="C291" s="564" t="s">
        <v>2560</v>
      </c>
      <c r="D291" s="564" t="s">
        <v>2518</v>
      </c>
      <c r="E291" s="564" t="s">
        <v>2519</v>
      </c>
      <c r="F291" s="564" t="s">
        <v>2155</v>
      </c>
      <c r="G291" s="564">
        <v>2019</v>
      </c>
      <c r="H291" s="398">
        <v>43798</v>
      </c>
      <c r="I291" s="398">
        <v>45625</v>
      </c>
      <c r="J291" s="573" t="s">
        <v>2148</v>
      </c>
    </row>
    <row r="292" spans="1:10">
      <c r="A292" s="586">
        <v>287</v>
      </c>
      <c r="B292" s="565" t="s">
        <v>2148</v>
      </c>
      <c r="C292" s="565" t="s">
        <v>2561</v>
      </c>
      <c r="D292" s="565" t="s">
        <v>2518</v>
      </c>
      <c r="E292" s="565" t="s">
        <v>2519</v>
      </c>
      <c r="F292" s="565" t="s">
        <v>2155</v>
      </c>
      <c r="G292" s="565">
        <v>2020</v>
      </c>
      <c r="H292" s="399">
        <v>43854</v>
      </c>
      <c r="I292" s="399">
        <v>45680</v>
      </c>
      <c r="J292" s="572" t="s">
        <v>2529</v>
      </c>
    </row>
    <row r="293" spans="1:10">
      <c r="A293" s="587">
        <v>288</v>
      </c>
      <c r="B293" s="564" t="s">
        <v>686</v>
      </c>
      <c r="C293" s="564" t="s">
        <v>2562</v>
      </c>
      <c r="D293" s="564" t="s">
        <v>2518</v>
      </c>
      <c r="E293" s="564" t="s">
        <v>2519</v>
      </c>
      <c r="F293" s="564" t="s">
        <v>2155</v>
      </c>
      <c r="G293" s="564">
        <v>2020</v>
      </c>
      <c r="H293" s="398">
        <v>43879</v>
      </c>
      <c r="I293" s="398">
        <v>45705</v>
      </c>
      <c r="J293" s="573" t="s">
        <v>2529</v>
      </c>
    </row>
    <row r="294" spans="1:10">
      <c r="A294" s="586">
        <v>289</v>
      </c>
      <c r="B294" s="565" t="s">
        <v>686</v>
      </c>
      <c r="C294" s="565" t="s">
        <v>2563</v>
      </c>
      <c r="D294" s="565" t="s">
        <v>2518</v>
      </c>
      <c r="E294" s="565" t="s">
        <v>2519</v>
      </c>
      <c r="F294" s="565" t="s">
        <v>2155</v>
      </c>
      <c r="G294" s="565">
        <v>2020</v>
      </c>
      <c r="H294" s="399">
        <v>43879</v>
      </c>
      <c r="I294" s="399">
        <v>45705</v>
      </c>
      <c r="J294" s="572" t="s">
        <v>2148</v>
      </c>
    </row>
    <row r="295" spans="1:10">
      <c r="A295" s="587">
        <v>290</v>
      </c>
      <c r="B295" s="564" t="s">
        <v>2148</v>
      </c>
      <c r="C295" s="564" t="s">
        <v>2564</v>
      </c>
      <c r="D295" s="564" t="s">
        <v>2518</v>
      </c>
      <c r="E295" s="564" t="s">
        <v>2519</v>
      </c>
      <c r="F295" s="564" t="s">
        <v>2155</v>
      </c>
      <c r="G295" s="564">
        <v>2020</v>
      </c>
      <c r="H295" s="398">
        <v>44054</v>
      </c>
      <c r="I295" s="398">
        <v>45879</v>
      </c>
      <c r="J295" s="573" t="s">
        <v>2529</v>
      </c>
    </row>
    <row r="296" spans="1:10">
      <c r="A296" s="586">
        <v>291</v>
      </c>
      <c r="B296" s="565" t="s">
        <v>2517</v>
      </c>
      <c r="C296" s="565" t="s">
        <v>2565</v>
      </c>
      <c r="D296" s="565" t="s">
        <v>2518</v>
      </c>
      <c r="E296" s="565" t="s">
        <v>2519</v>
      </c>
      <c r="F296" s="565" t="s">
        <v>2155</v>
      </c>
      <c r="G296" s="565">
        <v>2020</v>
      </c>
      <c r="H296" s="399">
        <v>44116</v>
      </c>
      <c r="I296" s="399">
        <v>45941</v>
      </c>
      <c r="J296" s="572" t="s">
        <v>2148</v>
      </c>
    </row>
    <row r="297" spans="1:10">
      <c r="A297" s="587">
        <v>292</v>
      </c>
      <c r="B297" s="564" t="s">
        <v>686</v>
      </c>
      <c r="C297" s="564" t="s">
        <v>2565</v>
      </c>
      <c r="D297" s="564" t="s">
        <v>2518</v>
      </c>
      <c r="E297" s="564" t="s">
        <v>2519</v>
      </c>
      <c r="F297" s="564" t="s">
        <v>2155</v>
      </c>
      <c r="G297" s="564">
        <v>2020</v>
      </c>
      <c r="H297" s="398">
        <v>44116</v>
      </c>
      <c r="I297" s="398">
        <v>45942</v>
      </c>
      <c r="J297" s="573" t="s">
        <v>2148</v>
      </c>
    </row>
    <row r="298" spans="1:10">
      <c r="A298" s="586">
        <v>293</v>
      </c>
      <c r="B298" s="565" t="s">
        <v>2566</v>
      </c>
      <c r="C298" s="565" t="s">
        <v>2266</v>
      </c>
      <c r="D298" s="565" t="s">
        <v>2518</v>
      </c>
      <c r="E298" s="565" t="s">
        <v>2519</v>
      </c>
      <c r="F298" s="565" t="s">
        <v>2155</v>
      </c>
      <c r="G298" s="565">
        <v>2020</v>
      </c>
      <c r="H298" s="399">
        <v>44172</v>
      </c>
      <c r="I298" s="399">
        <v>45997</v>
      </c>
      <c r="J298" s="572" t="s">
        <v>2529</v>
      </c>
    </row>
    <row r="299" spans="1:10">
      <c r="A299" s="587">
        <v>294</v>
      </c>
      <c r="B299" s="564" t="s">
        <v>2567</v>
      </c>
      <c r="C299" s="564" t="s">
        <v>2568</v>
      </c>
      <c r="D299" s="564" t="s">
        <v>2518</v>
      </c>
      <c r="E299" s="564" t="s">
        <v>2519</v>
      </c>
      <c r="F299" s="564" t="s">
        <v>2155</v>
      </c>
      <c r="G299" s="564">
        <v>2020</v>
      </c>
      <c r="H299" s="398">
        <v>44179</v>
      </c>
      <c r="I299" s="398">
        <v>46004</v>
      </c>
      <c r="J299" s="573" t="s">
        <v>2148</v>
      </c>
    </row>
    <row r="300" spans="1:10">
      <c r="A300" s="586">
        <v>295</v>
      </c>
      <c r="B300" s="565" t="s">
        <v>2148</v>
      </c>
      <c r="C300" s="565" t="s">
        <v>2282</v>
      </c>
      <c r="D300" s="565" t="s">
        <v>2518</v>
      </c>
      <c r="E300" s="565" t="s">
        <v>2519</v>
      </c>
      <c r="F300" s="565" t="s">
        <v>2155</v>
      </c>
      <c r="G300" s="565">
        <v>2021</v>
      </c>
      <c r="H300" s="399">
        <v>44315</v>
      </c>
      <c r="I300" s="399">
        <v>46140</v>
      </c>
      <c r="J300" s="572" t="s">
        <v>2529</v>
      </c>
    </row>
    <row r="301" spans="1:10">
      <c r="A301" s="587">
        <v>296</v>
      </c>
      <c r="B301" s="564" t="s">
        <v>2148</v>
      </c>
      <c r="C301" s="564" t="s">
        <v>2569</v>
      </c>
      <c r="D301" s="564" t="s">
        <v>2518</v>
      </c>
      <c r="E301" s="564" t="s">
        <v>2519</v>
      </c>
      <c r="F301" s="564" t="s">
        <v>2155</v>
      </c>
      <c r="G301" s="564">
        <v>2021</v>
      </c>
      <c r="H301" s="398">
        <v>44326</v>
      </c>
      <c r="I301" s="398">
        <v>46151</v>
      </c>
      <c r="J301" s="573" t="s">
        <v>2529</v>
      </c>
    </row>
    <row r="302" spans="1:10">
      <c r="A302" s="586">
        <v>297</v>
      </c>
      <c r="B302" s="565" t="s">
        <v>2570</v>
      </c>
      <c r="C302" s="565" t="s">
        <v>2571</v>
      </c>
      <c r="D302" s="565" t="s">
        <v>2518</v>
      </c>
      <c r="E302" s="565" t="s">
        <v>2519</v>
      </c>
      <c r="F302" s="565" t="s">
        <v>2155</v>
      </c>
      <c r="G302" s="565">
        <v>2021</v>
      </c>
      <c r="H302" s="399">
        <v>44357</v>
      </c>
      <c r="I302" s="399">
        <v>46182</v>
      </c>
      <c r="J302" s="572" t="s">
        <v>2529</v>
      </c>
    </row>
    <row r="303" spans="1:10">
      <c r="A303" s="587">
        <v>298</v>
      </c>
      <c r="B303" s="564" t="s">
        <v>2148</v>
      </c>
      <c r="C303" s="564" t="s">
        <v>2560</v>
      </c>
      <c r="D303" s="564" t="s">
        <v>2518</v>
      </c>
      <c r="E303" s="564" t="s">
        <v>2324</v>
      </c>
      <c r="F303" s="564" t="s">
        <v>2155</v>
      </c>
      <c r="G303" s="564">
        <v>2021</v>
      </c>
      <c r="H303" s="398">
        <v>44369</v>
      </c>
      <c r="I303" s="398">
        <v>46194</v>
      </c>
      <c r="J303" s="573" t="s">
        <v>2529</v>
      </c>
    </row>
    <row r="304" spans="1:10">
      <c r="A304" s="586">
        <v>299</v>
      </c>
      <c r="B304" s="565" t="s">
        <v>2148</v>
      </c>
      <c r="C304" s="565" t="s">
        <v>2572</v>
      </c>
      <c r="D304" s="565" t="s">
        <v>2518</v>
      </c>
      <c r="E304" s="565" t="s">
        <v>2519</v>
      </c>
      <c r="F304" s="565" t="s">
        <v>2155</v>
      </c>
      <c r="G304" s="565">
        <v>2016</v>
      </c>
      <c r="H304" s="399">
        <v>42635</v>
      </c>
      <c r="I304" s="399">
        <v>46286</v>
      </c>
      <c r="J304" s="572" t="s">
        <v>2529</v>
      </c>
    </row>
    <row r="305" spans="1:10">
      <c r="A305" s="587">
        <v>300</v>
      </c>
      <c r="B305" s="564" t="s">
        <v>2573</v>
      </c>
      <c r="C305" s="564" t="s">
        <v>2574</v>
      </c>
      <c r="D305" s="564" t="s">
        <v>2518</v>
      </c>
      <c r="E305" s="564" t="s">
        <v>2519</v>
      </c>
      <c r="F305" s="564" t="s">
        <v>2155</v>
      </c>
      <c r="G305" s="564">
        <v>2021</v>
      </c>
      <c r="H305" s="398">
        <v>44462</v>
      </c>
      <c r="I305" s="398">
        <v>46287</v>
      </c>
      <c r="J305" s="573" t="s">
        <v>2529</v>
      </c>
    </row>
    <row r="306" spans="1:10">
      <c r="A306" s="586">
        <v>301</v>
      </c>
      <c r="B306" s="565" t="s">
        <v>2566</v>
      </c>
      <c r="C306" s="565" t="s">
        <v>2575</v>
      </c>
      <c r="D306" s="565" t="s">
        <v>2518</v>
      </c>
      <c r="E306" s="565" t="s">
        <v>2519</v>
      </c>
      <c r="F306" s="565" t="s">
        <v>2155</v>
      </c>
      <c r="G306" s="565">
        <v>2021</v>
      </c>
      <c r="H306" s="399">
        <v>44476</v>
      </c>
      <c r="I306" s="399">
        <v>46301</v>
      </c>
      <c r="J306" s="572" t="s">
        <v>2529</v>
      </c>
    </row>
    <row r="307" spans="1:10">
      <c r="A307" s="587">
        <v>302</v>
      </c>
      <c r="B307" s="564" t="s">
        <v>686</v>
      </c>
      <c r="C307" s="564" t="s">
        <v>2576</v>
      </c>
      <c r="D307" s="564" t="s">
        <v>2518</v>
      </c>
      <c r="E307" s="564" t="s">
        <v>2519</v>
      </c>
      <c r="F307" s="564" t="s">
        <v>2155</v>
      </c>
      <c r="G307" s="564">
        <v>2021</v>
      </c>
      <c r="H307" s="398">
        <v>44476</v>
      </c>
      <c r="I307" s="398">
        <v>46301</v>
      </c>
      <c r="J307" s="573" t="s">
        <v>2529</v>
      </c>
    </row>
    <row r="308" spans="1:10">
      <c r="A308" s="586">
        <v>303</v>
      </c>
      <c r="B308" s="565" t="s">
        <v>2148</v>
      </c>
      <c r="C308" s="565" t="s">
        <v>2231</v>
      </c>
      <c r="D308" s="565" t="s">
        <v>2518</v>
      </c>
      <c r="E308" s="565" t="s">
        <v>2519</v>
      </c>
      <c r="F308" s="565" t="s">
        <v>2155</v>
      </c>
      <c r="G308" s="565">
        <v>2021</v>
      </c>
      <c r="H308" s="399">
        <v>44476</v>
      </c>
      <c r="I308" s="399">
        <v>46301</v>
      </c>
      <c r="J308" s="572" t="s">
        <v>2529</v>
      </c>
    </row>
    <row r="309" spans="1:10">
      <c r="A309" s="587">
        <v>304</v>
      </c>
      <c r="B309" s="564" t="s">
        <v>2577</v>
      </c>
      <c r="C309" s="564" t="s">
        <v>2309</v>
      </c>
      <c r="D309" s="564" t="s">
        <v>2518</v>
      </c>
      <c r="E309" s="564" t="s">
        <v>2519</v>
      </c>
      <c r="F309" s="564" t="s">
        <v>2155</v>
      </c>
      <c r="G309" s="564">
        <v>2021</v>
      </c>
      <c r="H309" s="398">
        <v>44481</v>
      </c>
      <c r="I309" s="398">
        <v>46306</v>
      </c>
      <c r="J309" s="573" t="s">
        <v>2529</v>
      </c>
    </row>
    <row r="310" spans="1:10">
      <c r="A310" s="586">
        <v>305</v>
      </c>
      <c r="B310" s="565" t="s">
        <v>686</v>
      </c>
      <c r="C310" s="565" t="s">
        <v>2578</v>
      </c>
      <c r="D310" s="565" t="s">
        <v>2518</v>
      </c>
      <c r="E310" s="565" t="s">
        <v>2519</v>
      </c>
      <c r="F310" s="565" t="s">
        <v>2155</v>
      </c>
      <c r="G310" s="565">
        <v>2021</v>
      </c>
      <c r="H310" s="399">
        <v>44537</v>
      </c>
      <c r="I310" s="399">
        <v>46362</v>
      </c>
      <c r="J310" s="572" t="s">
        <v>2529</v>
      </c>
    </row>
    <row r="311" spans="1:10">
      <c r="A311" s="587">
        <v>306</v>
      </c>
      <c r="B311" s="564" t="s">
        <v>686</v>
      </c>
      <c r="C311" s="564" t="s">
        <v>2405</v>
      </c>
      <c r="D311" s="564" t="s">
        <v>2518</v>
      </c>
      <c r="E311" s="564" t="s">
        <v>2519</v>
      </c>
      <c r="F311" s="564" t="s">
        <v>2155</v>
      </c>
      <c r="G311" s="564">
        <v>2022</v>
      </c>
      <c r="H311" s="398">
        <v>44594</v>
      </c>
      <c r="I311" s="398">
        <v>46419</v>
      </c>
      <c r="J311" s="573" t="s">
        <v>2529</v>
      </c>
    </row>
    <row r="312" spans="1:10">
      <c r="A312" s="586">
        <v>307</v>
      </c>
      <c r="B312" s="565" t="s">
        <v>2566</v>
      </c>
      <c r="C312" s="565" t="s">
        <v>2579</v>
      </c>
      <c r="D312" s="565" t="s">
        <v>2518</v>
      </c>
      <c r="E312" s="565" t="s">
        <v>2519</v>
      </c>
      <c r="F312" s="565" t="s">
        <v>2155</v>
      </c>
      <c r="G312" s="565">
        <v>2022</v>
      </c>
      <c r="H312" s="399">
        <v>44594</v>
      </c>
      <c r="I312" s="399">
        <v>46419</v>
      </c>
      <c r="J312" s="572" t="s">
        <v>2529</v>
      </c>
    </row>
    <row r="313" spans="1:10">
      <c r="A313" s="587">
        <v>308</v>
      </c>
      <c r="B313" s="564" t="s">
        <v>2148</v>
      </c>
      <c r="C313" s="564" t="s">
        <v>2580</v>
      </c>
      <c r="D313" s="564" t="s">
        <v>2518</v>
      </c>
      <c r="E313" s="564" t="s">
        <v>2519</v>
      </c>
      <c r="F313" s="564" t="s">
        <v>2155</v>
      </c>
      <c r="G313" s="564">
        <v>2022</v>
      </c>
      <c r="H313" s="398">
        <v>44594</v>
      </c>
      <c r="I313" s="398">
        <v>46419</v>
      </c>
      <c r="J313" s="573" t="s">
        <v>2529</v>
      </c>
    </row>
    <row r="314" spans="1:10">
      <c r="A314" s="586">
        <v>309</v>
      </c>
      <c r="B314" s="565" t="s">
        <v>2148</v>
      </c>
      <c r="C314" s="565" t="s">
        <v>2341</v>
      </c>
      <c r="D314" s="565" t="s">
        <v>2518</v>
      </c>
      <c r="E314" s="565" t="s">
        <v>2519</v>
      </c>
      <c r="F314" s="565" t="s">
        <v>2155</v>
      </c>
      <c r="G314" s="565">
        <v>2022</v>
      </c>
      <c r="H314" s="399">
        <v>44608</v>
      </c>
      <c r="I314" s="399">
        <v>46433</v>
      </c>
      <c r="J314" s="572" t="s">
        <v>2529</v>
      </c>
    </row>
    <row r="315" spans="1:10">
      <c r="A315" s="587">
        <v>310</v>
      </c>
      <c r="B315" s="564" t="s">
        <v>686</v>
      </c>
      <c r="C315" s="564" t="s">
        <v>2581</v>
      </c>
      <c r="D315" s="564" t="s">
        <v>2518</v>
      </c>
      <c r="E315" s="564" t="s">
        <v>2519</v>
      </c>
      <c r="F315" s="564" t="s">
        <v>2155</v>
      </c>
      <c r="G315" s="564">
        <v>2022</v>
      </c>
      <c r="H315" s="398">
        <v>44614</v>
      </c>
      <c r="I315" s="398">
        <v>46439</v>
      </c>
      <c r="J315" s="573" t="s">
        <v>2420</v>
      </c>
    </row>
    <row r="316" spans="1:10">
      <c r="A316" s="586">
        <v>311</v>
      </c>
      <c r="B316" s="565" t="s">
        <v>686</v>
      </c>
      <c r="C316" s="565" t="s">
        <v>2582</v>
      </c>
      <c r="D316" s="565" t="s">
        <v>2518</v>
      </c>
      <c r="E316" s="565" t="s">
        <v>2519</v>
      </c>
      <c r="F316" s="565" t="s">
        <v>2155</v>
      </c>
      <c r="G316" s="565">
        <v>2022</v>
      </c>
      <c r="H316" s="399">
        <v>44642</v>
      </c>
      <c r="I316" s="399">
        <v>46467</v>
      </c>
      <c r="J316" s="572" t="s">
        <v>2529</v>
      </c>
    </row>
    <row r="317" spans="1:10">
      <c r="A317" s="587">
        <v>312</v>
      </c>
      <c r="B317" s="564" t="s">
        <v>686</v>
      </c>
      <c r="C317" s="564" t="s">
        <v>2583</v>
      </c>
      <c r="D317" s="564" t="s">
        <v>2518</v>
      </c>
      <c r="E317" s="564" t="s">
        <v>2519</v>
      </c>
      <c r="F317" s="564" t="s">
        <v>2155</v>
      </c>
      <c r="G317" s="564">
        <v>2022</v>
      </c>
      <c r="H317" s="398">
        <v>44642</v>
      </c>
      <c r="I317" s="398">
        <v>46467</v>
      </c>
      <c r="J317" s="573" t="s">
        <v>2529</v>
      </c>
    </row>
    <row r="318" spans="1:10">
      <c r="A318" s="586">
        <v>313</v>
      </c>
      <c r="B318" s="565" t="s">
        <v>2148</v>
      </c>
      <c r="C318" s="565" t="s">
        <v>2164</v>
      </c>
      <c r="D318" s="565" t="s">
        <v>2518</v>
      </c>
      <c r="E318" s="565" t="s">
        <v>2519</v>
      </c>
      <c r="F318" s="565" t="s">
        <v>2155</v>
      </c>
      <c r="G318" s="565">
        <v>2022</v>
      </c>
      <c r="H318" s="399">
        <v>44650</v>
      </c>
      <c r="I318" s="399">
        <v>46475</v>
      </c>
      <c r="J318" s="572" t="s">
        <v>2529</v>
      </c>
    </row>
    <row r="319" spans="1:10">
      <c r="A319" s="587">
        <v>314</v>
      </c>
      <c r="B319" s="564" t="s">
        <v>2148</v>
      </c>
      <c r="C319" s="564" t="s">
        <v>2584</v>
      </c>
      <c r="D319" s="564" t="s">
        <v>2518</v>
      </c>
      <c r="E319" s="564" t="s">
        <v>2519</v>
      </c>
      <c r="F319" s="564" t="s">
        <v>2155</v>
      </c>
      <c r="G319" s="564">
        <v>2022</v>
      </c>
      <c r="H319" s="398">
        <v>44659</v>
      </c>
      <c r="I319" s="398">
        <v>46484</v>
      </c>
      <c r="J319" s="573" t="s">
        <v>2529</v>
      </c>
    </row>
    <row r="320" spans="1:10">
      <c r="A320" s="586">
        <v>315</v>
      </c>
      <c r="B320" s="565" t="s">
        <v>2148</v>
      </c>
      <c r="C320" s="565" t="s">
        <v>2585</v>
      </c>
      <c r="D320" s="565" t="s">
        <v>2518</v>
      </c>
      <c r="E320" s="565" t="s">
        <v>2519</v>
      </c>
      <c r="F320" s="565" t="s">
        <v>2155</v>
      </c>
      <c r="G320" s="565">
        <v>2022</v>
      </c>
      <c r="H320" s="399">
        <v>44670</v>
      </c>
      <c r="I320" s="399">
        <v>46495</v>
      </c>
      <c r="J320" s="572" t="s">
        <v>2529</v>
      </c>
    </row>
    <row r="321" spans="1:10">
      <c r="A321" s="587">
        <v>316</v>
      </c>
      <c r="B321" s="564" t="s">
        <v>2148</v>
      </c>
      <c r="C321" s="564" t="s">
        <v>2586</v>
      </c>
      <c r="D321" s="564" t="s">
        <v>2518</v>
      </c>
      <c r="E321" s="564" t="s">
        <v>2519</v>
      </c>
      <c r="F321" s="564" t="s">
        <v>2155</v>
      </c>
      <c r="G321" s="564">
        <v>2022</v>
      </c>
      <c r="H321" s="398">
        <v>44676</v>
      </c>
      <c r="I321" s="398">
        <v>46501</v>
      </c>
      <c r="J321" s="573" t="s">
        <v>2529</v>
      </c>
    </row>
    <row r="322" spans="1:10">
      <c r="A322" s="586">
        <v>317</v>
      </c>
      <c r="B322" s="565" t="s">
        <v>2148</v>
      </c>
      <c r="C322" s="565" t="s">
        <v>2277</v>
      </c>
      <c r="D322" s="565" t="s">
        <v>2518</v>
      </c>
      <c r="E322" s="565" t="s">
        <v>2519</v>
      </c>
      <c r="F322" s="565" t="s">
        <v>2155</v>
      </c>
      <c r="G322" s="565">
        <v>2022</v>
      </c>
      <c r="H322" s="399">
        <v>44704</v>
      </c>
      <c r="I322" s="399">
        <v>46529</v>
      </c>
      <c r="J322" s="572" t="s">
        <v>2529</v>
      </c>
    </row>
    <row r="323" spans="1:10">
      <c r="A323" s="587">
        <v>318</v>
      </c>
      <c r="B323" s="564" t="s">
        <v>2148</v>
      </c>
      <c r="C323" s="564" t="s">
        <v>2587</v>
      </c>
      <c r="D323" s="564" t="s">
        <v>2518</v>
      </c>
      <c r="E323" s="564" t="s">
        <v>2519</v>
      </c>
      <c r="F323" s="564" t="s">
        <v>2155</v>
      </c>
      <c r="G323" s="564">
        <v>2017</v>
      </c>
      <c r="H323" s="398">
        <v>42908</v>
      </c>
      <c r="I323" s="398">
        <v>46558</v>
      </c>
      <c r="J323" s="573" t="s">
        <v>2148</v>
      </c>
    </row>
    <row r="324" spans="1:10">
      <c r="A324" s="586">
        <v>319</v>
      </c>
      <c r="B324" s="565" t="s">
        <v>2148</v>
      </c>
      <c r="C324" s="565" t="s">
        <v>2588</v>
      </c>
      <c r="D324" s="565" t="s">
        <v>2518</v>
      </c>
      <c r="E324" s="565" t="s">
        <v>2519</v>
      </c>
      <c r="F324" s="565" t="s">
        <v>2155</v>
      </c>
      <c r="G324" s="565">
        <v>2022</v>
      </c>
      <c r="H324" s="399">
        <v>44747</v>
      </c>
      <c r="I324" s="399">
        <v>46572</v>
      </c>
      <c r="J324" s="572" t="s">
        <v>2529</v>
      </c>
    </row>
    <row r="325" spans="1:10">
      <c r="A325" s="587">
        <v>320</v>
      </c>
      <c r="B325" s="564" t="s">
        <v>2520</v>
      </c>
      <c r="C325" s="564" t="s">
        <v>2589</v>
      </c>
      <c r="D325" s="564" t="s">
        <v>2518</v>
      </c>
      <c r="E325" s="564" t="s">
        <v>2519</v>
      </c>
      <c r="F325" s="564" t="s">
        <v>2155</v>
      </c>
      <c r="G325" s="564">
        <v>2022</v>
      </c>
      <c r="H325" s="398">
        <v>44762</v>
      </c>
      <c r="I325" s="398">
        <v>46587</v>
      </c>
      <c r="J325" s="573" t="s">
        <v>2148</v>
      </c>
    </row>
    <row r="326" spans="1:10">
      <c r="A326" s="586">
        <v>321</v>
      </c>
      <c r="B326" s="565" t="s">
        <v>2148</v>
      </c>
      <c r="C326" s="565" t="s">
        <v>2590</v>
      </c>
      <c r="D326" s="565" t="s">
        <v>2518</v>
      </c>
      <c r="E326" s="565" t="s">
        <v>2519</v>
      </c>
      <c r="F326" s="565" t="s">
        <v>2155</v>
      </c>
      <c r="G326" s="565">
        <v>2022</v>
      </c>
      <c r="H326" s="399">
        <v>44763</v>
      </c>
      <c r="I326" s="399">
        <v>46588</v>
      </c>
      <c r="J326" s="572" t="s">
        <v>2529</v>
      </c>
    </row>
    <row r="327" spans="1:10">
      <c r="A327" s="587">
        <v>322</v>
      </c>
      <c r="B327" s="564" t="s">
        <v>686</v>
      </c>
      <c r="C327" s="564" t="s">
        <v>2591</v>
      </c>
      <c r="D327" s="564" t="s">
        <v>2518</v>
      </c>
      <c r="E327" s="564" t="s">
        <v>2519</v>
      </c>
      <c r="F327" s="564" t="s">
        <v>2155</v>
      </c>
      <c r="G327" s="564">
        <v>2022</v>
      </c>
      <c r="H327" s="398">
        <v>44763</v>
      </c>
      <c r="I327" s="398">
        <v>46588</v>
      </c>
      <c r="J327" s="573" t="s">
        <v>2420</v>
      </c>
    </row>
    <row r="328" spans="1:10">
      <c r="A328" s="586">
        <v>323</v>
      </c>
      <c r="B328" s="565" t="s">
        <v>2148</v>
      </c>
      <c r="C328" s="565" t="s">
        <v>2592</v>
      </c>
      <c r="D328" s="565" t="s">
        <v>2518</v>
      </c>
      <c r="E328" s="565" t="s">
        <v>2519</v>
      </c>
      <c r="F328" s="565" t="s">
        <v>2155</v>
      </c>
      <c r="G328" s="565">
        <v>2022</v>
      </c>
      <c r="H328" s="399">
        <v>44778</v>
      </c>
      <c r="I328" s="399">
        <v>46603</v>
      </c>
      <c r="J328" s="572" t="s">
        <v>2529</v>
      </c>
    </row>
    <row r="329" spans="1:10">
      <c r="A329" s="587">
        <v>324</v>
      </c>
      <c r="B329" s="564" t="s">
        <v>2148</v>
      </c>
      <c r="C329" s="564" t="s">
        <v>2593</v>
      </c>
      <c r="D329" s="564" t="s">
        <v>2518</v>
      </c>
      <c r="E329" s="564" t="s">
        <v>2519</v>
      </c>
      <c r="F329" s="564" t="s">
        <v>2155</v>
      </c>
      <c r="G329" s="564">
        <v>2022</v>
      </c>
      <c r="H329" s="398">
        <v>44778</v>
      </c>
      <c r="I329" s="398">
        <v>46603</v>
      </c>
      <c r="J329" s="573" t="s">
        <v>2529</v>
      </c>
    </row>
    <row r="330" spans="1:10">
      <c r="A330" s="586">
        <v>325</v>
      </c>
      <c r="B330" s="565" t="s">
        <v>2517</v>
      </c>
      <c r="C330" s="565" t="s">
        <v>2281</v>
      </c>
      <c r="D330" s="565" t="s">
        <v>2518</v>
      </c>
      <c r="E330" s="565" t="s">
        <v>2519</v>
      </c>
      <c r="F330" s="565" t="s">
        <v>2155</v>
      </c>
      <c r="G330" s="565">
        <v>2017</v>
      </c>
      <c r="H330" s="399">
        <v>42955</v>
      </c>
      <c r="I330" s="399">
        <v>46605</v>
      </c>
      <c r="J330" s="572" t="s">
        <v>2148</v>
      </c>
    </row>
    <row r="331" spans="1:10">
      <c r="A331" s="587">
        <v>326</v>
      </c>
      <c r="B331" s="564" t="s">
        <v>2148</v>
      </c>
      <c r="C331" s="564" t="s">
        <v>2594</v>
      </c>
      <c r="D331" s="564" t="s">
        <v>2518</v>
      </c>
      <c r="E331" s="564" t="s">
        <v>2519</v>
      </c>
      <c r="F331" s="564" t="s">
        <v>2155</v>
      </c>
      <c r="G331" s="564">
        <v>2022</v>
      </c>
      <c r="H331" s="398">
        <v>44796</v>
      </c>
      <c r="I331" s="398">
        <v>46621</v>
      </c>
      <c r="J331" s="573" t="s">
        <v>2529</v>
      </c>
    </row>
    <row r="332" spans="1:10">
      <c r="A332" s="586">
        <v>327</v>
      </c>
      <c r="B332" s="565" t="s">
        <v>686</v>
      </c>
      <c r="C332" s="565" t="s">
        <v>2356</v>
      </c>
      <c r="D332" s="565" t="s">
        <v>2518</v>
      </c>
      <c r="E332" s="565" t="s">
        <v>2519</v>
      </c>
      <c r="F332" s="565" t="s">
        <v>2155</v>
      </c>
      <c r="G332" s="565">
        <v>2022</v>
      </c>
      <c r="H332" s="399">
        <v>44811</v>
      </c>
      <c r="I332" s="399">
        <v>46636</v>
      </c>
      <c r="J332" s="572" t="s">
        <v>2420</v>
      </c>
    </row>
    <row r="333" spans="1:10">
      <c r="A333" s="587">
        <v>328</v>
      </c>
      <c r="B333" s="564" t="s">
        <v>686</v>
      </c>
      <c r="C333" s="564" t="s">
        <v>2595</v>
      </c>
      <c r="D333" s="564" t="s">
        <v>2518</v>
      </c>
      <c r="E333" s="564" t="s">
        <v>2519</v>
      </c>
      <c r="F333" s="564" t="s">
        <v>2155</v>
      </c>
      <c r="G333" s="564">
        <v>2022</v>
      </c>
      <c r="H333" s="398">
        <v>44817</v>
      </c>
      <c r="I333" s="398">
        <v>46642</v>
      </c>
      <c r="J333" s="573" t="s">
        <v>2529</v>
      </c>
    </row>
    <row r="334" spans="1:10">
      <c r="A334" s="586">
        <v>329</v>
      </c>
      <c r="B334" s="565" t="s">
        <v>2148</v>
      </c>
      <c r="C334" s="565" t="s">
        <v>2596</v>
      </c>
      <c r="D334" s="565" t="s">
        <v>2518</v>
      </c>
      <c r="E334" s="565" t="s">
        <v>2519</v>
      </c>
      <c r="F334" s="565" t="s">
        <v>2155</v>
      </c>
      <c r="G334" s="565">
        <v>2022</v>
      </c>
      <c r="H334" s="399">
        <v>44868</v>
      </c>
      <c r="I334" s="399">
        <v>46693</v>
      </c>
      <c r="J334" s="572" t="s">
        <v>2529</v>
      </c>
    </row>
    <row r="335" spans="1:10">
      <c r="A335" s="587">
        <v>330</v>
      </c>
      <c r="B335" s="564" t="s">
        <v>2148</v>
      </c>
      <c r="C335" s="564" t="s">
        <v>2597</v>
      </c>
      <c r="D335" s="564" t="s">
        <v>2518</v>
      </c>
      <c r="E335" s="564" t="s">
        <v>2519</v>
      </c>
      <c r="F335" s="564" t="s">
        <v>2155</v>
      </c>
      <c r="G335" s="564">
        <v>2022</v>
      </c>
      <c r="H335" s="398">
        <v>44872</v>
      </c>
      <c r="I335" s="398">
        <v>46697</v>
      </c>
      <c r="J335" s="573" t="s">
        <v>2529</v>
      </c>
    </row>
    <row r="336" spans="1:10">
      <c r="A336" s="586">
        <v>331</v>
      </c>
      <c r="B336" s="565" t="s">
        <v>2148</v>
      </c>
      <c r="C336" s="565" t="s">
        <v>2598</v>
      </c>
      <c r="D336" s="565" t="s">
        <v>2518</v>
      </c>
      <c r="E336" s="565" t="s">
        <v>2519</v>
      </c>
      <c r="F336" s="565" t="s">
        <v>2155</v>
      </c>
      <c r="G336" s="565">
        <v>2022</v>
      </c>
      <c r="H336" s="399">
        <v>44872</v>
      </c>
      <c r="I336" s="399">
        <v>46697</v>
      </c>
      <c r="J336" s="572" t="s">
        <v>2529</v>
      </c>
    </row>
    <row r="337" spans="1:10">
      <c r="A337" s="587">
        <v>332</v>
      </c>
      <c r="B337" s="564" t="s">
        <v>2148</v>
      </c>
      <c r="C337" s="564" t="s">
        <v>2599</v>
      </c>
      <c r="D337" s="564" t="s">
        <v>2518</v>
      </c>
      <c r="E337" s="564" t="s">
        <v>2519</v>
      </c>
      <c r="F337" s="564" t="s">
        <v>2155</v>
      </c>
      <c r="G337" s="564">
        <v>2022</v>
      </c>
      <c r="H337" s="398">
        <v>44873</v>
      </c>
      <c r="I337" s="398">
        <v>46698</v>
      </c>
      <c r="J337" s="573" t="s">
        <v>2529</v>
      </c>
    </row>
    <row r="338" spans="1:10">
      <c r="A338" s="586">
        <v>333</v>
      </c>
      <c r="B338" s="565" t="s">
        <v>686</v>
      </c>
      <c r="C338" s="565" t="s">
        <v>2600</v>
      </c>
      <c r="D338" s="565" t="s">
        <v>2518</v>
      </c>
      <c r="E338" s="565" t="s">
        <v>2519</v>
      </c>
      <c r="F338" s="565" t="s">
        <v>2155</v>
      </c>
      <c r="G338" s="565">
        <v>2022</v>
      </c>
      <c r="H338" s="399">
        <v>44879</v>
      </c>
      <c r="I338" s="399">
        <v>46704</v>
      </c>
      <c r="J338" s="572" t="s">
        <v>2420</v>
      </c>
    </row>
    <row r="339" spans="1:10">
      <c r="A339" s="587">
        <v>334</v>
      </c>
      <c r="B339" s="564" t="s">
        <v>2148</v>
      </c>
      <c r="C339" s="564" t="s">
        <v>2601</v>
      </c>
      <c r="D339" s="564" t="s">
        <v>2518</v>
      </c>
      <c r="E339" s="564" t="s">
        <v>2519</v>
      </c>
      <c r="F339" s="564" t="s">
        <v>2155</v>
      </c>
      <c r="G339" s="564">
        <v>2022</v>
      </c>
      <c r="H339" s="398">
        <v>44879</v>
      </c>
      <c r="I339" s="398">
        <v>46704</v>
      </c>
      <c r="J339" s="573" t="s">
        <v>2529</v>
      </c>
    </row>
    <row r="340" spans="1:10">
      <c r="A340" s="586">
        <v>335</v>
      </c>
      <c r="B340" s="565" t="s">
        <v>2602</v>
      </c>
      <c r="C340" s="565" t="s">
        <v>2603</v>
      </c>
      <c r="D340" s="565" t="s">
        <v>2518</v>
      </c>
      <c r="E340" s="565" t="s">
        <v>2519</v>
      </c>
      <c r="F340" s="565" t="s">
        <v>2155</v>
      </c>
      <c r="G340" s="565">
        <v>2022</v>
      </c>
      <c r="H340" s="399">
        <v>44890</v>
      </c>
      <c r="I340" s="399">
        <v>46715</v>
      </c>
      <c r="J340" s="572" t="s">
        <v>2604</v>
      </c>
    </row>
    <row r="341" spans="1:10">
      <c r="A341" s="587">
        <v>336</v>
      </c>
      <c r="B341" s="564" t="s">
        <v>2148</v>
      </c>
      <c r="C341" s="564" t="s">
        <v>2605</v>
      </c>
      <c r="D341" s="564" t="s">
        <v>2518</v>
      </c>
      <c r="E341" s="564" t="s">
        <v>2519</v>
      </c>
      <c r="F341" s="564" t="s">
        <v>2155</v>
      </c>
      <c r="G341" s="564">
        <v>2022</v>
      </c>
      <c r="H341" s="398">
        <v>44901</v>
      </c>
      <c r="I341" s="398">
        <v>46726</v>
      </c>
      <c r="J341" s="573" t="s">
        <v>2529</v>
      </c>
    </row>
    <row r="342" spans="1:10">
      <c r="A342" s="586">
        <v>337</v>
      </c>
      <c r="B342" s="565" t="s">
        <v>2517</v>
      </c>
      <c r="C342" s="565" t="s">
        <v>2606</v>
      </c>
      <c r="D342" s="565" t="s">
        <v>2518</v>
      </c>
      <c r="E342" s="565" t="s">
        <v>2519</v>
      </c>
      <c r="F342" s="565" t="s">
        <v>2155</v>
      </c>
      <c r="G342" s="565">
        <v>2017</v>
      </c>
      <c r="H342" s="399">
        <v>43083</v>
      </c>
      <c r="I342" s="399">
        <v>46733</v>
      </c>
      <c r="J342" s="572" t="s">
        <v>2529</v>
      </c>
    </row>
    <row r="343" spans="1:10">
      <c r="A343" s="587">
        <v>338</v>
      </c>
      <c r="B343" s="564" t="s">
        <v>2148</v>
      </c>
      <c r="C343" s="564" t="s">
        <v>2607</v>
      </c>
      <c r="D343" s="564" t="s">
        <v>2518</v>
      </c>
      <c r="E343" s="564" t="s">
        <v>2519</v>
      </c>
      <c r="F343" s="564" t="s">
        <v>2155</v>
      </c>
      <c r="G343" s="564">
        <v>2022</v>
      </c>
      <c r="H343" s="398">
        <v>44918</v>
      </c>
      <c r="I343" s="398">
        <v>46743</v>
      </c>
      <c r="J343" s="573" t="s">
        <v>2608</v>
      </c>
    </row>
    <row r="344" spans="1:10">
      <c r="A344" s="586">
        <v>339</v>
      </c>
      <c r="B344" s="565" t="s">
        <v>2148</v>
      </c>
      <c r="C344" s="565" t="s">
        <v>2609</v>
      </c>
      <c r="D344" s="565" t="s">
        <v>2518</v>
      </c>
      <c r="E344" s="565" t="s">
        <v>2519</v>
      </c>
      <c r="F344" s="565" t="s">
        <v>2155</v>
      </c>
      <c r="G344" s="565">
        <v>2022</v>
      </c>
      <c r="H344" s="399">
        <v>44918</v>
      </c>
      <c r="I344" s="399">
        <v>46743</v>
      </c>
      <c r="J344" s="572" t="s">
        <v>2529</v>
      </c>
    </row>
    <row r="345" spans="1:10">
      <c r="A345" s="587">
        <v>340</v>
      </c>
      <c r="B345" s="564" t="s">
        <v>2148</v>
      </c>
      <c r="C345" s="564" t="s">
        <v>2610</v>
      </c>
      <c r="D345" s="564" t="s">
        <v>2518</v>
      </c>
      <c r="E345" s="564" t="s">
        <v>2519</v>
      </c>
      <c r="F345" s="564" t="s">
        <v>2155</v>
      </c>
      <c r="G345" s="564">
        <v>2023</v>
      </c>
      <c r="H345" s="398">
        <v>44930</v>
      </c>
      <c r="I345" s="398">
        <v>46755</v>
      </c>
      <c r="J345" s="573" t="s">
        <v>2529</v>
      </c>
    </row>
    <row r="346" spans="1:10">
      <c r="A346" s="586">
        <v>341</v>
      </c>
      <c r="B346" s="565" t="s">
        <v>2148</v>
      </c>
      <c r="C346" s="565" t="s">
        <v>2611</v>
      </c>
      <c r="D346" s="565" t="s">
        <v>2518</v>
      </c>
      <c r="E346" s="565" t="s">
        <v>2519</v>
      </c>
      <c r="F346" s="565" t="s">
        <v>2155</v>
      </c>
      <c r="G346" s="565">
        <v>2023</v>
      </c>
      <c r="H346" s="399">
        <v>44930</v>
      </c>
      <c r="I346" s="399">
        <v>46755</v>
      </c>
      <c r="J346" s="572" t="s">
        <v>2529</v>
      </c>
    </row>
    <row r="347" spans="1:10">
      <c r="A347" s="587">
        <v>342</v>
      </c>
      <c r="B347" s="564" t="s">
        <v>2148</v>
      </c>
      <c r="C347" s="564" t="s">
        <v>2612</v>
      </c>
      <c r="D347" s="564" t="s">
        <v>2518</v>
      </c>
      <c r="E347" s="564" t="s">
        <v>2519</v>
      </c>
      <c r="F347" s="564" t="s">
        <v>2155</v>
      </c>
      <c r="G347" s="564">
        <v>2023</v>
      </c>
      <c r="H347" s="398">
        <v>44957</v>
      </c>
      <c r="I347" s="398">
        <v>46782</v>
      </c>
      <c r="J347" s="573" t="s">
        <v>2529</v>
      </c>
    </row>
    <row r="348" spans="1:10">
      <c r="A348" s="586">
        <v>343</v>
      </c>
      <c r="B348" s="565" t="s">
        <v>2517</v>
      </c>
      <c r="C348" s="565" t="s">
        <v>2532</v>
      </c>
      <c r="D348" s="565" t="s">
        <v>2518</v>
      </c>
      <c r="E348" s="565" t="s">
        <v>2519</v>
      </c>
      <c r="F348" s="565" t="s">
        <v>2155</v>
      </c>
      <c r="G348" s="565">
        <v>2018</v>
      </c>
      <c r="H348" s="399">
        <v>43207</v>
      </c>
      <c r="I348" s="399">
        <v>46792</v>
      </c>
      <c r="J348" s="572" t="s">
        <v>2529</v>
      </c>
    </row>
    <row r="349" spans="1:10">
      <c r="A349" s="587">
        <v>344</v>
      </c>
      <c r="B349" s="564" t="s">
        <v>2148</v>
      </c>
      <c r="C349" s="564" t="s">
        <v>2613</v>
      </c>
      <c r="D349" s="564" t="s">
        <v>2518</v>
      </c>
      <c r="E349" s="564" t="s">
        <v>2519</v>
      </c>
      <c r="F349" s="564" t="s">
        <v>2155</v>
      </c>
      <c r="G349" s="564">
        <v>2018</v>
      </c>
      <c r="H349" s="398">
        <v>43179</v>
      </c>
      <c r="I349" s="398">
        <v>46830</v>
      </c>
      <c r="J349" s="573" t="s">
        <v>2148</v>
      </c>
    </row>
    <row r="350" spans="1:10">
      <c r="A350" s="586">
        <v>345</v>
      </c>
      <c r="B350" s="565" t="s">
        <v>2517</v>
      </c>
      <c r="C350" s="565" t="s">
        <v>2614</v>
      </c>
      <c r="D350" s="565" t="s">
        <v>2518</v>
      </c>
      <c r="E350" s="565" t="s">
        <v>2519</v>
      </c>
      <c r="F350" s="565" t="s">
        <v>2155</v>
      </c>
      <c r="G350" s="565">
        <v>2018</v>
      </c>
      <c r="H350" s="399">
        <v>43273</v>
      </c>
      <c r="I350" s="399">
        <v>46880</v>
      </c>
      <c r="J350" s="572" t="s">
        <v>2615</v>
      </c>
    </row>
    <row r="351" spans="1:10">
      <c r="A351" s="587">
        <v>346</v>
      </c>
      <c r="B351" s="564" t="s">
        <v>2148</v>
      </c>
      <c r="C351" s="564" t="s">
        <v>2616</v>
      </c>
      <c r="D351" s="564" t="s">
        <v>2518</v>
      </c>
      <c r="E351" s="564" t="s">
        <v>2519</v>
      </c>
      <c r="F351" s="564" t="s">
        <v>2155</v>
      </c>
      <c r="G351" s="564">
        <v>2023</v>
      </c>
      <c r="H351" s="398">
        <v>45055</v>
      </c>
      <c r="I351" s="398">
        <v>46881</v>
      </c>
      <c r="J351" s="573" t="s">
        <v>2529</v>
      </c>
    </row>
    <row r="352" spans="1:10">
      <c r="A352" s="586">
        <v>347</v>
      </c>
      <c r="B352" s="565" t="s">
        <v>2617</v>
      </c>
      <c r="C352" s="565" t="s">
        <v>2618</v>
      </c>
      <c r="D352" s="565" t="s">
        <v>2518</v>
      </c>
      <c r="E352" s="565" t="s">
        <v>2519</v>
      </c>
      <c r="F352" s="565" t="s">
        <v>2155</v>
      </c>
      <c r="G352" s="565">
        <v>2023</v>
      </c>
      <c r="H352" s="399">
        <v>45057</v>
      </c>
      <c r="I352" s="399">
        <v>46883</v>
      </c>
      <c r="J352" s="572" t="s">
        <v>2529</v>
      </c>
    </row>
    <row r="353" spans="1:10">
      <c r="A353" s="587">
        <v>348</v>
      </c>
      <c r="B353" s="564" t="s">
        <v>2148</v>
      </c>
      <c r="C353" s="564" t="s">
        <v>2619</v>
      </c>
      <c r="D353" s="564" t="s">
        <v>2518</v>
      </c>
      <c r="E353" s="564" t="s">
        <v>2519</v>
      </c>
      <c r="F353" s="564" t="s">
        <v>2155</v>
      </c>
      <c r="G353" s="564">
        <v>2018</v>
      </c>
      <c r="H353" s="398">
        <v>43256</v>
      </c>
      <c r="I353" s="398">
        <v>46907</v>
      </c>
      <c r="J353" s="573" t="s">
        <v>2148</v>
      </c>
    </row>
    <row r="354" spans="1:10">
      <c r="A354" s="586">
        <v>349</v>
      </c>
      <c r="B354" s="565" t="s">
        <v>2148</v>
      </c>
      <c r="C354" s="565" t="s">
        <v>2620</v>
      </c>
      <c r="D354" s="565" t="s">
        <v>2518</v>
      </c>
      <c r="E354" s="565" t="s">
        <v>2519</v>
      </c>
      <c r="F354" s="565" t="s">
        <v>2155</v>
      </c>
      <c r="G354" s="565">
        <v>2023</v>
      </c>
      <c r="H354" s="399">
        <v>45090</v>
      </c>
      <c r="I354" s="399">
        <v>46916</v>
      </c>
      <c r="J354" s="572" t="s">
        <v>2420</v>
      </c>
    </row>
    <row r="355" spans="1:10">
      <c r="A355" s="587">
        <v>350</v>
      </c>
      <c r="B355" s="564" t="s">
        <v>2148</v>
      </c>
      <c r="C355" s="564" t="s">
        <v>2621</v>
      </c>
      <c r="D355" s="564" t="s">
        <v>2518</v>
      </c>
      <c r="E355" s="564" t="s">
        <v>2519</v>
      </c>
      <c r="F355" s="564" t="s">
        <v>2155</v>
      </c>
      <c r="G355" s="564">
        <v>2023</v>
      </c>
      <c r="H355" s="398">
        <v>45090</v>
      </c>
      <c r="I355" s="398">
        <v>46916</v>
      </c>
      <c r="J355" s="573" t="s">
        <v>2420</v>
      </c>
    </row>
    <row r="356" spans="1:10">
      <c r="A356" s="586">
        <v>351</v>
      </c>
      <c r="B356" s="565" t="s">
        <v>2148</v>
      </c>
      <c r="C356" s="565" t="s">
        <v>2622</v>
      </c>
      <c r="D356" s="565" t="s">
        <v>2518</v>
      </c>
      <c r="E356" s="565" t="s">
        <v>2519</v>
      </c>
      <c r="F356" s="565" t="s">
        <v>2155</v>
      </c>
      <c r="G356" s="565">
        <v>2023</v>
      </c>
      <c r="H356" s="399">
        <v>45145</v>
      </c>
      <c r="I356" s="399">
        <v>46971</v>
      </c>
      <c r="J356" s="572" t="s">
        <v>2529</v>
      </c>
    </row>
    <row r="357" spans="1:10">
      <c r="A357" s="587">
        <v>352</v>
      </c>
      <c r="B357" s="564" t="s">
        <v>2148</v>
      </c>
      <c r="C357" s="564" t="s">
        <v>2286</v>
      </c>
      <c r="D357" s="564" t="s">
        <v>2518</v>
      </c>
      <c r="E357" s="564" t="s">
        <v>2519</v>
      </c>
      <c r="F357" s="564" t="s">
        <v>2155</v>
      </c>
      <c r="G357" s="564">
        <v>2023</v>
      </c>
      <c r="H357" s="398">
        <v>45145</v>
      </c>
      <c r="I357" s="398">
        <v>46971</v>
      </c>
      <c r="J357" s="573" t="s">
        <v>2529</v>
      </c>
    </row>
    <row r="358" spans="1:10">
      <c r="A358" s="586">
        <v>353</v>
      </c>
      <c r="B358" s="565" t="s">
        <v>2148</v>
      </c>
      <c r="C358" s="565" t="s">
        <v>2623</v>
      </c>
      <c r="D358" s="565" t="s">
        <v>2518</v>
      </c>
      <c r="E358" s="565" t="s">
        <v>2519</v>
      </c>
      <c r="F358" s="565" t="s">
        <v>2155</v>
      </c>
      <c r="G358" s="565">
        <v>2023</v>
      </c>
      <c r="H358" s="399">
        <v>45169</v>
      </c>
      <c r="I358" s="399">
        <v>46995</v>
      </c>
      <c r="J358" s="572" t="s">
        <v>2529</v>
      </c>
    </row>
    <row r="359" spans="1:10">
      <c r="A359" s="587">
        <v>354</v>
      </c>
      <c r="B359" s="564" t="s">
        <v>2557</v>
      </c>
      <c r="C359" s="564" t="s">
        <v>2624</v>
      </c>
      <c r="D359" s="564" t="s">
        <v>2518</v>
      </c>
      <c r="E359" s="564" t="s">
        <v>2519</v>
      </c>
      <c r="F359" s="564" t="s">
        <v>2155</v>
      </c>
      <c r="G359" s="564">
        <v>2023</v>
      </c>
      <c r="H359" s="398">
        <v>45194</v>
      </c>
      <c r="I359" s="398">
        <v>47020</v>
      </c>
      <c r="J359" s="573" t="s">
        <v>2420</v>
      </c>
    </row>
    <row r="360" spans="1:10">
      <c r="A360" s="586">
        <v>355</v>
      </c>
      <c r="B360" s="565" t="s">
        <v>2557</v>
      </c>
      <c r="C360" s="565" t="s">
        <v>2625</v>
      </c>
      <c r="D360" s="565" t="s">
        <v>2518</v>
      </c>
      <c r="E360" s="565" t="s">
        <v>2519</v>
      </c>
      <c r="F360" s="565" t="s">
        <v>2155</v>
      </c>
      <c r="G360" s="565">
        <v>2023</v>
      </c>
      <c r="H360" s="399">
        <v>45195</v>
      </c>
      <c r="I360" s="399">
        <v>47021</v>
      </c>
      <c r="J360" s="572" t="s">
        <v>2420</v>
      </c>
    </row>
    <row r="361" spans="1:10">
      <c r="A361" s="587">
        <v>356</v>
      </c>
      <c r="B361" s="564" t="s">
        <v>2526</v>
      </c>
      <c r="C361" s="564" t="s">
        <v>2626</v>
      </c>
      <c r="D361" s="564" t="s">
        <v>2518</v>
      </c>
      <c r="E361" s="564" t="s">
        <v>2519</v>
      </c>
      <c r="F361" s="564" t="s">
        <v>2155</v>
      </c>
      <c r="G361" s="564">
        <v>2018</v>
      </c>
      <c r="H361" s="398">
        <v>43370</v>
      </c>
      <c r="I361" s="398">
        <v>47022</v>
      </c>
      <c r="J361" s="573" t="s">
        <v>2148</v>
      </c>
    </row>
    <row r="362" spans="1:10">
      <c r="A362" s="586">
        <v>357</v>
      </c>
      <c r="B362" s="565" t="s">
        <v>686</v>
      </c>
      <c r="C362" s="565" t="s">
        <v>2627</v>
      </c>
      <c r="D362" s="565" t="s">
        <v>2518</v>
      </c>
      <c r="E362" s="565" t="s">
        <v>2519</v>
      </c>
      <c r="F362" s="565" t="s">
        <v>2155</v>
      </c>
      <c r="G362" s="565">
        <v>2023</v>
      </c>
      <c r="H362" s="399">
        <v>45202</v>
      </c>
      <c r="I362" s="399">
        <v>47028</v>
      </c>
      <c r="J362" s="572" t="s">
        <v>2420</v>
      </c>
    </row>
    <row r="363" spans="1:10">
      <c r="A363" s="587">
        <v>358</v>
      </c>
      <c r="B363" s="564" t="s">
        <v>686</v>
      </c>
      <c r="C363" s="564" t="s">
        <v>2628</v>
      </c>
      <c r="D363" s="564" t="s">
        <v>2518</v>
      </c>
      <c r="E363" s="564" t="s">
        <v>2519</v>
      </c>
      <c r="F363" s="564" t="s">
        <v>2155</v>
      </c>
      <c r="G363" s="564">
        <v>2023</v>
      </c>
      <c r="H363" s="398">
        <v>45252</v>
      </c>
      <c r="I363" s="398">
        <v>47078</v>
      </c>
      <c r="J363" s="573" t="s">
        <v>2420</v>
      </c>
    </row>
    <row r="364" spans="1:10">
      <c r="A364" s="586">
        <v>359</v>
      </c>
      <c r="B364" s="565" t="s">
        <v>2566</v>
      </c>
      <c r="C364" s="565" t="s">
        <v>2629</v>
      </c>
      <c r="D364" s="565" t="s">
        <v>2518</v>
      </c>
      <c r="E364" s="565" t="s">
        <v>2519</v>
      </c>
      <c r="F364" s="565" t="s">
        <v>2155</v>
      </c>
      <c r="G364" s="565">
        <v>2023</v>
      </c>
      <c r="H364" s="399">
        <v>45259</v>
      </c>
      <c r="I364" s="399">
        <v>47085</v>
      </c>
      <c r="J364" s="572" t="s">
        <v>2529</v>
      </c>
    </row>
    <row r="365" spans="1:10">
      <c r="A365" s="587">
        <v>360</v>
      </c>
      <c r="B365" s="564" t="s">
        <v>2526</v>
      </c>
      <c r="C365" s="564" t="s">
        <v>2630</v>
      </c>
      <c r="D365" s="564" t="s">
        <v>2518</v>
      </c>
      <c r="E365" s="564" t="s">
        <v>2324</v>
      </c>
      <c r="F365" s="564" t="s">
        <v>2155</v>
      </c>
      <c r="G365" s="564">
        <v>2023</v>
      </c>
      <c r="H365" s="398">
        <v>45287</v>
      </c>
      <c r="I365" s="398">
        <v>47113</v>
      </c>
      <c r="J365" s="573" t="s">
        <v>2529</v>
      </c>
    </row>
    <row r="366" spans="1:10">
      <c r="A366" s="586">
        <v>361</v>
      </c>
      <c r="B366" s="565" t="s">
        <v>686</v>
      </c>
      <c r="C366" s="565" t="s">
        <v>2631</v>
      </c>
      <c r="D366" s="565" t="s">
        <v>2518</v>
      </c>
      <c r="E366" s="565" t="s">
        <v>2519</v>
      </c>
      <c r="F366" s="565" t="s">
        <v>2155</v>
      </c>
      <c r="G366" s="565">
        <v>2023</v>
      </c>
      <c r="H366" s="399">
        <v>45287</v>
      </c>
      <c r="I366" s="399">
        <v>47113</v>
      </c>
      <c r="J366" s="572" t="s">
        <v>2420</v>
      </c>
    </row>
    <row r="367" spans="1:10">
      <c r="A367" s="587">
        <v>363</v>
      </c>
      <c r="B367" s="564" t="s">
        <v>2197</v>
      </c>
      <c r="C367" s="564" t="s">
        <v>2632</v>
      </c>
      <c r="D367" s="564" t="s">
        <v>2633</v>
      </c>
      <c r="E367" s="564" t="s">
        <v>2634</v>
      </c>
      <c r="F367" s="564" t="s">
        <v>2137</v>
      </c>
      <c r="G367" s="564">
        <v>2010</v>
      </c>
      <c r="H367" s="398">
        <v>40190</v>
      </c>
      <c r="I367" s="398">
        <v>40920</v>
      </c>
      <c r="J367" s="573" t="s">
        <v>2170</v>
      </c>
    </row>
    <row r="368" spans="1:10">
      <c r="A368" s="586">
        <v>364</v>
      </c>
      <c r="B368" s="565" t="s">
        <v>2635</v>
      </c>
      <c r="C368" s="565" t="s">
        <v>2636</v>
      </c>
      <c r="D368" s="565" t="s">
        <v>2633</v>
      </c>
      <c r="E368" s="565" t="s">
        <v>2634</v>
      </c>
      <c r="F368" s="565" t="s">
        <v>2137</v>
      </c>
      <c r="G368" s="565">
        <v>2011</v>
      </c>
      <c r="H368" s="399">
        <v>40582</v>
      </c>
      <c r="I368" s="399">
        <v>41312</v>
      </c>
      <c r="J368" s="572" t="s">
        <v>2637</v>
      </c>
    </row>
    <row r="369" spans="1:10">
      <c r="A369" s="587">
        <v>365</v>
      </c>
      <c r="B369" s="564" t="s">
        <v>2638</v>
      </c>
      <c r="C369" s="564" t="s">
        <v>2639</v>
      </c>
      <c r="D369" s="564" t="s">
        <v>2633</v>
      </c>
      <c r="E369" s="564" t="s">
        <v>2634</v>
      </c>
      <c r="F369" s="564" t="s">
        <v>2137</v>
      </c>
      <c r="G369" s="564">
        <v>2011</v>
      </c>
      <c r="H369" s="398">
        <v>40667</v>
      </c>
      <c r="I369" s="398">
        <v>41397</v>
      </c>
      <c r="J369" s="573" t="s">
        <v>2178</v>
      </c>
    </row>
    <row r="370" spans="1:10">
      <c r="A370" s="586">
        <v>366</v>
      </c>
      <c r="B370" s="565" t="s">
        <v>2640</v>
      </c>
      <c r="C370" s="565" t="s">
        <v>2641</v>
      </c>
      <c r="D370" s="565" t="s">
        <v>2633</v>
      </c>
      <c r="E370" s="565" t="s">
        <v>2634</v>
      </c>
      <c r="F370" s="565" t="s">
        <v>2137</v>
      </c>
      <c r="G370" s="565">
        <v>2010</v>
      </c>
      <c r="H370" s="399">
        <v>40252</v>
      </c>
      <c r="I370" s="399">
        <v>41712</v>
      </c>
      <c r="J370" s="572" t="s">
        <v>2170</v>
      </c>
    </row>
    <row r="371" spans="1:10">
      <c r="A371" s="587">
        <v>367</v>
      </c>
      <c r="B371" s="564" t="s">
        <v>2642</v>
      </c>
      <c r="C371" s="564" t="s">
        <v>2643</v>
      </c>
      <c r="D371" s="564" t="s">
        <v>2633</v>
      </c>
      <c r="E371" s="564" t="s">
        <v>2634</v>
      </c>
      <c r="F371" s="564" t="s">
        <v>2137</v>
      </c>
      <c r="G371" s="564">
        <v>2006</v>
      </c>
      <c r="H371" s="398">
        <v>39044</v>
      </c>
      <c r="I371" s="398">
        <v>42753</v>
      </c>
      <c r="J371" s="573" t="s">
        <v>2251</v>
      </c>
    </row>
    <row r="372" spans="1:10">
      <c r="A372" s="586">
        <v>368</v>
      </c>
      <c r="B372" s="565" t="s">
        <v>2644</v>
      </c>
      <c r="C372" s="565" t="s">
        <v>2645</v>
      </c>
      <c r="D372" s="565" t="s">
        <v>2633</v>
      </c>
      <c r="E372" s="565" t="s">
        <v>2634</v>
      </c>
      <c r="F372" s="565" t="s">
        <v>2137</v>
      </c>
      <c r="G372" s="565">
        <v>2012</v>
      </c>
      <c r="H372" s="399">
        <v>41089</v>
      </c>
      <c r="I372" s="399">
        <v>42771</v>
      </c>
      <c r="J372" s="572" t="s">
        <v>2251</v>
      </c>
    </row>
    <row r="373" spans="1:10">
      <c r="A373" s="587">
        <v>369</v>
      </c>
      <c r="B373" s="564" t="s">
        <v>2646</v>
      </c>
      <c r="C373" s="564" t="s">
        <v>2647</v>
      </c>
      <c r="D373" s="564" t="s">
        <v>2633</v>
      </c>
      <c r="E373" s="564" t="s">
        <v>2634</v>
      </c>
      <c r="F373" s="564" t="s">
        <v>2137</v>
      </c>
      <c r="G373" s="564">
        <v>2013</v>
      </c>
      <c r="H373" s="398">
        <v>41555</v>
      </c>
      <c r="I373" s="398">
        <v>43021</v>
      </c>
      <c r="J373" s="573" t="s">
        <v>2648</v>
      </c>
    </row>
    <row r="374" spans="1:10">
      <c r="A374" s="586">
        <v>370</v>
      </c>
      <c r="B374" s="565" t="s">
        <v>2649</v>
      </c>
      <c r="C374" s="565" t="s">
        <v>2650</v>
      </c>
      <c r="D374" s="565" t="s">
        <v>2633</v>
      </c>
      <c r="E374" s="565" t="s">
        <v>2634</v>
      </c>
      <c r="F374" s="565" t="s">
        <v>2137</v>
      </c>
      <c r="G374" s="565">
        <v>2014</v>
      </c>
      <c r="H374" s="399">
        <v>41808</v>
      </c>
      <c r="I374" s="399">
        <v>43269</v>
      </c>
      <c r="J374" s="572" t="s">
        <v>2251</v>
      </c>
    </row>
    <row r="375" spans="1:10">
      <c r="A375" s="587">
        <v>371</v>
      </c>
      <c r="B375" s="564" t="s">
        <v>2651</v>
      </c>
      <c r="C375" s="564" t="s">
        <v>2652</v>
      </c>
      <c r="D375" s="564" t="s">
        <v>2633</v>
      </c>
      <c r="E375" s="564" t="s">
        <v>2634</v>
      </c>
      <c r="F375" s="564" t="s">
        <v>2137</v>
      </c>
      <c r="G375" s="564">
        <v>2016</v>
      </c>
      <c r="H375" s="398">
        <v>42537</v>
      </c>
      <c r="I375" s="398">
        <v>43633</v>
      </c>
      <c r="J375" s="573" t="s">
        <v>2170</v>
      </c>
    </row>
    <row r="376" spans="1:10">
      <c r="A376" s="586">
        <v>372</v>
      </c>
      <c r="B376" s="565" t="s">
        <v>2653</v>
      </c>
      <c r="C376" s="565" t="s">
        <v>2654</v>
      </c>
      <c r="D376" s="565" t="s">
        <v>2633</v>
      </c>
      <c r="E376" s="565" t="s">
        <v>2634</v>
      </c>
      <c r="F376" s="565" t="s">
        <v>2137</v>
      </c>
      <c r="G376" s="565">
        <v>2012</v>
      </c>
      <c r="H376" s="399">
        <v>41079</v>
      </c>
      <c r="I376" s="399">
        <v>43634</v>
      </c>
      <c r="J376" s="572" t="s">
        <v>2170</v>
      </c>
    </row>
    <row r="377" spans="1:10">
      <c r="A377" s="587">
        <v>373</v>
      </c>
      <c r="B377" s="564" t="s">
        <v>2655</v>
      </c>
      <c r="C377" s="564" t="s">
        <v>2656</v>
      </c>
      <c r="D377" s="564" t="s">
        <v>2633</v>
      </c>
      <c r="E377" s="564" t="s">
        <v>2634</v>
      </c>
      <c r="F377" s="564" t="s">
        <v>2137</v>
      </c>
      <c r="G377" s="564">
        <v>2017</v>
      </c>
      <c r="H377" s="398">
        <v>42955</v>
      </c>
      <c r="I377" s="398">
        <v>44051</v>
      </c>
      <c r="J377" s="573" t="s">
        <v>2170</v>
      </c>
    </row>
    <row r="378" spans="1:10">
      <c r="A378" s="586">
        <v>374</v>
      </c>
      <c r="B378" s="565" t="s">
        <v>2657</v>
      </c>
      <c r="C378" s="565" t="s">
        <v>2658</v>
      </c>
      <c r="D378" s="565" t="s">
        <v>2633</v>
      </c>
      <c r="E378" s="565" t="s">
        <v>2634</v>
      </c>
      <c r="F378" s="565" t="s">
        <v>2137</v>
      </c>
      <c r="G378" s="565">
        <v>2016</v>
      </c>
      <c r="H378" s="399">
        <v>42662</v>
      </c>
      <c r="I378" s="399">
        <v>44066</v>
      </c>
      <c r="J378" s="572" t="s">
        <v>2170</v>
      </c>
    </row>
    <row r="379" spans="1:10">
      <c r="A379" s="587">
        <v>375</v>
      </c>
      <c r="B379" s="564" t="s">
        <v>2659</v>
      </c>
      <c r="C379" s="564" t="s">
        <v>2660</v>
      </c>
      <c r="D379" s="564" t="s">
        <v>2633</v>
      </c>
      <c r="E379" s="564" t="s">
        <v>2634</v>
      </c>
      <c r="F379" s="564" t="s">
        <v>2137</v>
      </c>
      <c r="G379" s="564">
        <v>2009</v>
      </c>
      <c r="H379" s="398">
        <v>40119</v>
      </c>
      <c r="I379" s="398">
        <v>44136</v>
      </c>
      <c r="J379" s="573" t="s">
        <v>2170</v>
      </c>
    </row>
    <row r="380" spans="1:10">
      <c r="A380" s="586">
        <v>376</v>
      </c>
      <c r="B380" s="565" t="s">
        <v>2661</v>
      </c>
      <c r="C380" s="565" t="s">
        <v>2662</v>
      </c>
      <c r="D380" s="565" t="s">
        <v>2633</v>
      </c>
      <c r="E380" s="565" t="s">
        <v>2634</v>
      </c>
      <c r="F380" s="565" t="s">
        <v>2137</v>
      </c>
      <c r="G380" s="565">
        <v>2018</v>
      </c>
      <c r="H380" s="399">
        <v>43179</v>
      </c>
      <c r="I380" s="399">
        <v>44274</v>
      </c>
      <c r="J380" s="572" t="s">
        <v>2251</v>
      </c>
    </row>
    <row r="381" spans="1:10">
      <c r="A381" s="587">
        <v>377</v>
      </c>
      <c r="B381" s="564" t="s">
        <v>2663</v>
      </c>
      <c r="C381" s="564" t="s">
        <v>2664</v>
      </c>
      <c r="D381" s="564" t="s">
        <v>2633</v>
      </c>
      <c r="E381" s="564" t="s">
        <v>2634</v>
      </c>
      <c r="F381" s="564" t="s">
        <v>2137</v>
      </c>
      <c r="G381" s="564">
        <v>2013</v>
      </c>
      <c r="H381" s="398">
        <v>41439</v>
      </c>
      <c r="I381" s="398">
        <v>44379</v>
      </c>
      <c r="J381" s="573" t="s">
        <v>2648</v>
      </c>
    </row>
    <row r="382" spans="1:10">
      <c r="A382" s="586">
        <v>378</v>
      </c>
      <c r="B382" s="565" t="s">
        <v>2665</v>
      </c>
      <c r="C382" s="565" t="s">
        <v>2666</v>
      </c>
      <c r="D382" s="565" t="s">
        <v>2633</v>
      </c>
      <c r="E382" s="565" t="s">
        <v>2634</v>
      </c>
      <c r="F382" s="565" t="s">
        <v>2137</v>
      </c>
      <c r="G382" s="565">
        <v>2013</v>
      </c>
      <c r="H382" s="399">
        <v>41606</v>
      </c>
      <c r="I382" s="399">
        <v>44379</v>
      </c>
      <c r="J382" s="572" t="s">
        <v>2170</v>
      </c>
    </row>
    <row r="383" spans="1:10">
      <c r="A383" s="587">
        <v>379</v>
      </c>
      <c r="B383" s="564" t="s">
        <v>2667</v>
      </c>
      <c r="C383" s="564" t="s">
        <v>2668</v>
      </c>
      <c r="D383" s="564" t="s">
        <v>2633</v>
      </c>
      <c r="E383" s="564" t="s">
        <v>2634</v>
      </c>
      <c r="F383" s="564" t="s">
        <v>2137</v>
      </c>
      <c r="G383" s="564">
        <v>2010</v>
      </c>
      <c r="H383" s="398">
        <v>40190</v>
      </c>
      <c r="I383" s="398">
        <v>44424</v>
      </c>
      <c r="J383" s="573" t="s">
        <v>2178</v>
      </c>
    </row>
    <row r="384" spans="1:10">
      <c r="A384" s="586">
        <v>380</v>
      </c>
      <c r="B384" s="565" t="s">
        <v>2669</v>
      </c>
      <c r="C384" s="565" t="s">
        <v>2670</v>
      </c>
      <c r="D384" s="565" t="s">
        <v>2633</v>
      </c>
      <c r="E384" s="565" t="s">
        <v>2634</v>
      </c>
      <c r="F384" s="565" t="s">
        <v>2155</v>
      </c>
      <c r="G384" s="565">
        <v>2015</v>
      </c>
      <c r="H384" s="399">
        <v>42153</v>
      </c>
      <c r="I384" s="399">
        <v>44569</v>
      </c>
      <c r="J384" s="572" t="s">
        <v>2648</v>
      </c>
    </row>
    <row r="385" spans="1:10">
      <c r="A385" s="587">
        <v>381</v>
      </c>
      <c r="B385" s="564" t="s">
        <v>2671</v>
      </c>
      <c r="C385" s="564" t="s">
        <v>2292</v>
      </c>
      <c r="D385" s="564" t="s">
        <v>2633</v>
      </c>
      <c r="E385" s="564" t="s">
        <v>2634</v>
      </c>
      <c r="F385" s="564" t="s">
        <v>2155</v>
      </c>
      <c r="G385" s="564">
        <v>2019</v>
      </c>
      <c r="H385" s="398">
        <v>43474</v>
      </c>
      <c r="I385" s="398">
        <v>44570</v>
      </c>
      <c r="J385" s="573" t="s">
        <v>2672</v>
      </c>
    </row>
    <row r="386" spans="1:10">
      <c r="A386" s="586">
        <v>382</v>
      </c>
      <c r="B386" s="565" t="s">
        <v>2673</v>
      </c>
      <c r="C386" s="565" t="s">
        <v>2674</v>
      </c>
      <c r="D386" s="565" t="s">
        <v>2633</v>
      </c>
      <c r="E386" s="565" t="s">
        <v>2634</v>
      </c>
      <c r="F386" s="565" t="s">
        <v>2155</v>
      </c>
      <c r="G386" s="565">
        <v>2019</v>
      </c>
      <c r="H386" s="399">
        <v>43488</v>
      </c>
      <c r="I386" s="399">
        <v>44584</v>
      </c>
      <c r="J386" s="572" t="s">
        <v>2675</v>
      </c>
    </row>
    <row r="387" spans="1:10">
      <c r="A387" s="587">
        <v>383</v>
      </c>
      <c r="B387" s="564" t="s">
        <v>2676</v>
      </c>
      <c r="C387" s="564" t="s">
        <v>397</v>
      </c>
      <c r="D387" s="564" t="s">
        <v>2633</v>
      </c>
      <c r="E387" s="564" t="s">
        <v>2634</v>
      </c>
      <c r="F387" s="564" t="s">
        <v>2137</v>
      </c>
      <c r="G387" s="564">
        <v>2020</v>
      </c>
      <c r="H387" s="398">
        <v>43878</v>
      </c>
      <c r="I387" s="398">
        <v>44953</v>
      </c>
      <c r="J387" s="573" t="s">
        <v>2251</v>
      </c>
    </row>
    <row r="388" spans="1:10">
      <c r="A388" s="586">
        <v>384</v>
      </c>
      <c r="B388" s="565" t="s">
        <v>2677</v>
      </c>
      <c r="C388" s="565" t="s">
        <v>2678</v>
      </c>
      <c r="D388" s="565" t="s">
        <v>2633</v>
      </c>
      <c r="E388" s="565" t="s">
        <v>2634</v>
      </c>
      <c r="F388" s="565" t="s">
        <v>2137</v>
      </c>
      <c r="G388" s="565">
        <v>2020</v>
      </c>
      <c r="H388" s="399">
        <v>43878</v>
      </c>
      <c r="I388" s="399">
        <v>44974</v>
      </c>
      <c r="J388" s="572" t="s">
        <v>2170</v>
      </c>
    </row>
    <row r="389" spans="1:10">
      <c r="A389" s="587">
        <v>385</v>
      </c>
      <c r="B389" s="564" t="s">
        <v>2679</v>
      </c>
      <c r="C389" s="564" t="s">
        <v>2582</v>
      </c>
      <c r="D389" s="564" t="s">
        <v>2633</v>
      </c>
      <c r="E389" s="564" t="s">
        <v>2634</v>
      </c>
      <c r="F389" s="564" t="s">
        <v>2155</v>
      </c>
      <c r="G389" s="564">
        <v>2013</v>
      </c>
      <c r="H389" s="398">
        <v>41576</v>
      </c>
      <c r="I389" s="398">
        <v>45227</v>
      </c>
      <c r="J389" s="573" t="s">
        <v>2251</v>
      </c>
    </row>
    <row r="390" spans="1:10">
      <c r="A390" s="586">
        <v>386</v>
      </c>
      <c r="B390" s="565" t="s">
        <v>2680</v>
      </c>
      <c r="C390" s="565" t="s">
        <v>396</v>
      </c>
      <c r="D390" s="565" t="s">
        <v>2633</v>
      </c>
      <c r="E390" s="565" t="s">
        <v>2634</v>
      </c>
      <c r="F390" s="565" t="s">
        <v>2137</v>
      </c>
      <c r="G390" s="565">
        <v>2021</v>
      </c>
      <c r="H390" s="399">
        <v>44249</v>
      </c>
      <c r="I390" s="399">
        <v>45306</v>
      </c>
      <c r="J390" s="572" t="s">
        <v>2251</v>
      </c>
    </row>
    <row r="391" spans="1:10">
      <c r="A391" s="587">
        <v>387</v>
      </c>
      <c r="B391" s="564" t="s">
        <v>2681</v>
      </c>
      <c r="C391" s="564" t="s">
        <v>331</v>
      </c>
      <c r="D391" s="564" t="s">
        <v>2633</v>
      </c>
      <c r="E391" s="564" t="s">
        <v>2634</v>
      </c>
      <c r="F391" s="564" t="s">
        <v>2155</v>
      </c>
      <c r="G391" s="564">
        <v>2009</v>
      </c>
      <c r="H391" s="398">
        <v>39861</v>
      </c>
      <c r="I391" s="398">
        <v>45353</v>
      </c>
      <c r="J391" s="573" t="s">
        <v>2170</v>
      </c>
    </row>
    <row r="392" spans="1:10">
      <c r="A392" s="586">
        <v>388</v>
      </c>
      <c r="B392" s="565" t="s">
        <v>2682</v>
      </c>
      <c r="C392" s="565" t="s">
        <v>341</v>
      </c>
      <c r="D392" s="565" t="s">
        <v>2633</v>
      </c>
      <c r="E392" s="565" t="s">
        <v>2634</v>
      </c>
      <c r="F392" s="565" t="s">
        <v>2155</v>
      </c>
      <c r="G392" s="565">
        <v>2017</v>
      </c>
      <c r="H392" s="399">
        <v>42872</v>
      </c>
      <c r="I392" s="399">
        <v>45353</v>
      </c>
      <c r="J392" s="572" t="s">
        <v>2648</v>
      </c>
    </row>
    <row r="393" spans="1:10">
      <c r="A393" s="587">
        <v>389</v>
      </c>
      <c r="B393" s="564" t="s">
        <v>2683</v>
      </c>
      <c r="C393" s="564" t="s">
        <v>346</v>
      </c>
      <c r="D393" s="564" t="s">
        <v>2633</v>
      </c>
      <c r="E393" s="564" t="s">
        <v>2634</v>
      </c>
      <c r="F393" s="564" t="s">
        <v>2155</v>
      </c>
      <c r="G393" s="564">
        <v>2010</v>
      </c>
      <c r="H393" s="398">
        <v>40388</v>
      </c>
      <c r="I393" s="398">
        <v>45353</v>
      </c>
      <c r="J393" s="573" t="s">
        <v>2251</v>
      </c>
    </row>
    <row r="394" spans="1:10">
      <c r="A394" s="586">
        <v>390</v>
      </c>
      <c r="B394" s="565" t="s">
        <v>2684</v>
      </c>
      <c r="C394" s="565" t="s">
        <v>2685</v>
      </c>
      <c r="D394" s="565" t="s">
        <v>2633</v>
      </c>
      <c r="E394" s="565" t="s">
        <v>2634</v>
      </c>
      <c r="F394" s="565" t="s">
        <v>2155</v>
      </c>
      <c r="G394" s="565">
        <v>2012</v>
      </c>
      <c r="H394" s="399">
        <v>40920</v>
      </c>
      <c r="I394" s="399">
        <v>45353</v>
      </c>
      <c r="J394" s="572" t="s">
        <v>2170</v>
      </c>
    </row>
    <row r="395" spans="1:10">
      <c r="A395" s="587">
        <v>391</v>
      </c>
      <c r="B395" s="564" t="s">
        <v>2686</v>
      </c>
      <c r="C395" s="564" t="s">
        <v>2687</v>
      </c>
      <c r="D395" s="564" t="s">
        <v>2633</v>
      </c>
      <c r="E395" s="564" t="s">
        <v>2634</v>
      </c>
      <c r="F395" s="564" t="s">
        <v>2137</v>
      </c>
      <c r="G395" s="564">
        <v>2021</v>
      </c>
      <c r="H395" s="398">
        <v>44258</v>
      </c>
      <c r="I395" s="398">
        <v>45353</v>
      </c>
      <c r="J395" s="573" t="s">
        <v>2170</v>
      </c>
    </row>
    <row r="396" spans="1:10">
      <c r="A396" s="586">
        <v>392</v>
      </c>
      <c r="B396" s="565" t="s">
        <v>2688</v>
      </c>
      <c r="C396" s="565" t="s">
        <v>2670</v>
      </c>
      <c r="D396" s="565" t="s">
        <v>2633</v>
      </c>
      <c r="E396" s="565" t="s">
        <v>2634</v>
      </c>
      <c r="F396" s="565" t="s">
        <v>2155</v>
      </c>
      <c r="G396" s="565">
        <v>2016</v>
      </c>
      <c r="H396" s="399">
        <v>42678</v>
      </c>
      <c r="I396" s="399">
        <v>45353</v>
      </c>
      <c r="J396" s="572" t="s">
        <v>2648</v>
      </c>
    </row>
    <row r="397" spans="1:10">
      <c r="A397" s="587">
        <v>393</v>
      </c>
      <c r="B397" s="564" t="s">
        <v>2689</v>
      </c>
      <c r="C397" s="564" t="s">
        <v>379</v>
      </c>
      <c r="D397" s="564" t="s">
        <v>2633</v>
      </c>
      <c r="E397" s="564" t="s">
        <v>2634</v>
      </c>
      <c r="F397" s="564" t="s">
        <v>2155</v>
      </c>
      <c r="G397" s="564">
        <v>2021</v>
      </c>
      <c r="H397" s="398">
        <v>44292</v>
      </c>
      <c r="I397" s="398">
        <v>45387</v>
      </c>
      <c r="J397" s="573" t="s">
        <v>2170</v>
      </c>
    </row>
    <row r="398" spans="1:10">
      <c r="A398" s="586">
        <v>394</v>
      </c>
      <c r="B398" s="565" t="s">
        <v>2690</v>
      </c>
      <c r="C398" s="565" t="s">
        <v>2691</v>
      </c>
      <c r="D398" s="565" t="s">
        <v>2633</v>
      </c>
      <c r="E398" s="565" t="s">
        <v>2634</v>
      </c>
      <c r="F398" s="565" t="s">
        <v>2155</v>
      </c>
      <c r="G398" s="565">
        <v>2018</v>
      </c>
      <c r="H398" s="399">
        <v>43195</v>
      </c>
      <c r="I398" s="399">
        <v>45387</v>
      </c>
      <c r="J398" s="572" t="s">
        <v>2251</v>
      </c>
    </row>
    <row r="399" spans="1:10">
      <c r="A399" s="587">
        <v>395</v>
      </c>
      <c r="B399" s="564" t="s">
        <v>2692</v>
      </c>
      <c r="C399" s="564" t="s">
        <v>510</v>
      </c>
      <c r="D399" s="564" t="s">
        <v>2633</v>
      </c>
      <c r="E399" s="564" t="s">
        <v>2634</v>
      </c>
      <c r="F399" s="564" t="s">
        <v>2155</v>
      </c>
      <c r="G399" s="564">
        <v>2021</v>
      </c>
      <c r="H399" s="398">
        <v>44292</v>
      </c>
      <c r="I399" s="398">
        <v>45387</v>
      </c>
      <c r="J399" s="573" t="s">
        <v>2170</v>
      </c>
    </row>
    <row r="400" spans="1:10">
      <c r="A400" s="586">
        <v>396</v>
      </c>
      <c r="B400" s="565" t="s">
        <v>2693</v>
      </c>
      <c r="C400" s="565" t="s">
        <v>2694</v>
      </c>
      <c r="D400" s="565" t="s">
        <v>2633</v>
      </c>
      <c r="E400" s="565" t="s">
        <v>2634</v>
      </c>
      <c r="F400" s="565" t="s">
        <v>2155</v>
      </c>
      <c r="G400" s="565">
        <v>2018</v>
      </c>
      <c r="H400" s="399">
        <v>43210</v>
      </c>
      <c r="I400" s="399">
        <v>45401</v>
      </c>
      <c r="J400" s="572" t="s">
        <v>2257</v>
      </c>
    </row>
    <row r="401" spans="1:10">
      <c r="A401" s="587">
        <v>397</v>
      </c>
      <c r="B401" s="564" t="s">
        <v>2695</v>
      </c>
      <c r="C401" s="564" t="s">
        <v>2696</v>
      </c>
      <c r="D401" s="564" t="s">
        <v>2633</v>
      </c>
      <c r="E401" s="564" t="s">
        <v>2634</v>
      </c>
      <c r="F401" s="564" t="s">
        <v>2155</v>
      </c>
      <c r="G401" s="564">
        <v>2017</v>
      </c>
      <c r="H401" s="398">
        <v>42885</v>
      </c>
      <c r="I401" s="398">
        <v>45416</v>
      </c>
      <c r="J401" s="573" t="s">
        <v>2257</v>
      </c>
    </row>
    <row r="402" spans="1:10">
      <c r="A402" s="586">
        <v>398</v>
      </c>
      <c r="B402" s="565" t="s">
        <v>2697</v>
      </c>
      <c r="C402" s="565" t="s">
        <v>2698</v>
      </c>
      <c r="D402" s="565" t="s">
        <v>2633</v>
      </c>
      <c r="E402" s="565" t="s">
        <v>2634</v>
      </c>
      <c r="F402" s="565" t="s">
        <v>2155</v>
      </c>
      <c r="G402" s="565">
        <v>2021</v>
      </c>
      <c r="H402" s="399">
        <v>44321</v>
      </c>
      <c r="I402" s="399">
        <v>45416</v>
      </c>
      <c r="J402" s="572" t="s">
        <v>2170</v>
      </c>
    </row>
    <row r="403" spans="1:10">
      <c r="A403" s="587">
        <v>399</v>
      </c>
      <c r="B403" s="564" t="s">
        <v>2699</v>
      </c>
      <c r="C403" s="564" t="s">
        <v>402</v>
      </c>
      <c r="D403" s="564" t="s">
        <v>2633</v>
      </c>
      <c r="E403" s="564" t="s">
        <v>2634</v>
      </c>
      <c r="F403" s="564" t="s">
        <v>2155</v>
      </c>
      <c r="G403" s="564">
        <v>2011</v>
      </c>
      <c r="H403" s="398">
        <v>40862</v>
      </c>
      <c r="I403" s="398">
        <v>45417</v>
      </c>
      <c r="J403" s="573" t="s">
        <v>2170</v>
      </c>
    </row>
    <row r="404" spans="1:10">
      <c r="A404" s="586">
        <v>400</v>
      </c>
      <c r="B404" s="565" t="s">
        <v>2700</v>
      </c>
      <c r="C404" s="565" t="s">
        <v>2701</v>
      </c>
      <c r="D404" s="565" t="s">
        <v>2633</v>
      </c>
      <c r="E404" s="565" t="s">
        <v>2634</v>
      </c>
      <c r="F404" s="565" t="s">
        <v>2155</v>
      </c>
      <c r="G404" s="565">
        <v>2010</v>
      </c>
      <c r="H404" s="399">
        <v>40190</v>
      </c>
      <c r="I404" s="399">
        <v>45421</v>
      </c>
      <c r="J404" s="572" t="s">
        <v>2170</v>
      </c>
    </row>
    <row r="405" spans="1:10">
      <c r="A405" s="587">
        <v>401</v>
      </c>
      <c r="B405" s="564" t="s">
        <v>2702</v>
      </c>
      <c r="C405" s="564" t="s">
        <v>2703</v>
      </c>
      <c r="D405" s="564" t="s">
        <v>2633</v>
      </c>
      <c r="E405" s="564" t="s">
        <v>2704</v>
      </c>
      <c r="F405" s="564" t="s">
        <v>2155</v>
      </c>
      <c r="G405" s="564">
        <v>2018</v>
      </c>
      <c r="H405" s="398">
        <v>43273</v>
      </c>
      <c r="I405" s="398">
        <v>45465</v>
      </c>
      <c r="J405" s="573" t="s">
        <v>2648</v>
      </c>
    </row>
    <row r="406" spans="1:10">
      <c r="A406" s="586">
        <v>402</v>
      </c>
      <c r="B406" s="565" t="s">
        <v>2705</v>
      </c>
      <c r="C406" s="565" t="s">
        <v>337</v>
      </c>
      <c r="D406" s="565" t="s">
        <v>2633</v>
      </c>
      <c r="E406" s="565" t="s">
        <v>2634</v>
      </c>
      <c r="F406" s="565" t="s">
        <v>2155</v>
      </c>
      <c r="G406" s="565">
        <v>2013</v>
      </c>
      <c r="H406" s="399">
        <v>41516</v>
      </c>
      <c r="I406" s="399">
        <v>45479</v>
      </c>
      <c r="J406" s="572" t="s">
        <v>2648</v>
      </c>
    </row>
    <row r="407" spans="1:10">
      <c r="A407" s="587">
        <v>403</v>
      </c>
      <c r="B407" s="564" t="s">
        <v>2148</v>
      </c>
      <c r="C407" s="564" t="s">
        <v>2706</v>
      </c>
      <c r="D407" s="564" t="s">
        <v>2633</v>
      </c>
      <c r="E407" s="564" t="s">
        <v>2634</v>
      </c>
      <c r="F407" s="564" t="s">
        <v>2137</v>
      </c>
      <c r="G407" s="564">
        <v>2021</v>
      </c>
      <c r="H407" s="398">
        <v>44404</v>
      </c>
      <c r="I407" s="398">
        <v>45499</v>
      </c>
      <c r="J407" s="573" t="s">
        <v>2170</v>
      </c>
    </row>
    <row r="408" spans="1:10">
      <c r="A408" s="586">
        <v>404</v>
      </c>
      <c r="B408" s="565" t="s">
        <v>2707</v>
      </c>
      <c r="C408" s="565" t="s">
        <v>2708</v>
      </c>
      <c r="D408" s="565" t="s">
        <v>2633</v>
      </c>
      <c r="E408" s="565" t="s">
        <v>2634</v>
      </c>
      <c r="F408" s="565" t="s">
        <v>2155</v>
      </c>
      <c r="G408" s="565">
        <v>2021</v>
      </c>
      <c r="H408" s="399">
        <v>44413</v>
      </c>
      <c r="I408" s="399">
        <v>45508</v>
      </c>
      <c r="J408" s="572" t="s">
        <v>2178</v>
      </c>
    </row>
    <row r="409" spans="1:10">
      <c r="A409" s="587">
        <v>405</v>
      </c>
      <c r="B409" s="564" t="s">
        <v>2148</v>
      </c>
      <c r="C409" s="564" t="s">
        <v>2709</v>
      </c>
      <c r="D409" s="564" t="s">
        <v>2633</v>
      </c>
      <c r="E409" s="564" t="s">
        <v>2634</v>
      </c>
      <c r="F409" s="564" t="s">
        <v>2155</v>
      </c>
      <c r="G409" s="564">
        <v>2022</v>
      </c>
      <c r="H409" s="398">
        <v>44614</v>
      </c>
      <c r="I409" s="398">
        <v>45709</v>
      </c>
      <c r="J409" s="573" t="s">
        <v>2251</v>
      </c>
    </row>
    <row r="410" spans="1:10">
      <c r="A410" s="586">
        <v>406</v>
      </c>
      <c r="B410" s="565" t="s">
        <v>2710</v>
      </c>
      <c r="C410" s="565" t="s">
        <v>2711</v>
      </c>
      <c r="D410" s="565" t="s">
        <v>2633</v>
      </c>
      <c r="E410" s="565" t="s">
        <v>2634</v>
      </c>
      <c r="F410" s="565" t="s">
        <v>2155</v>
      </c>
      <c r="G410" s="565">
        <v>2022</v>
      </c>
      <c r="H410" s="399">
        <v>44642</v>
      </c>
      <c r="I410" s="399">
        <v>45737</v>
      </c>
      <c r="J410" s="572" t="s">
        <v>2178</v>
      </c>
    </row>
    <row r="411" spans="1:10">
      <c r="A411" s="587">
        <v>407</v>
      </c>
      <c r="B411" s="564" t="s">
        <v>2712</v>
      </c>
      <c r="C411" s="564" t="s">
        <v>2713</v>
      </c>
      <c r="D411" s="564" t="s">
        <v>2633</v>
      </c>
      <c r="E411" s="564" t="s">
        <v>2634</v>
      </c>
      <c r="F411" s="564" t="s">
        <v>2155</v>
      </c>
      <c r="G411" s="564">
        <v>2022</v>
      </c>
      <c r="H411" s="398">
        <v>44704</v>
      </c>
      <c r="I411" s="398">
        <v>45799</v>
      </c>
      <c r="J411" s="573" t="s">
        <v>2170</v>
      </c>
    </row>
    <row r="412" spans="1:10">
      <c r="A412" s="586">
        <v>408</v>
      </c>
      <c r="B412" s="565" t="s">
        <v>2714</v>
      </c>
      <c r="C412" s="565" t="s">
        <v>2715</v>
      </c>
      <c r="D412" s="565" t="s">
        <v>2633</v>
      </c>
      <c r="E412" s="565" t="s">
        <v>2634</v>
      </c>
      <c r="F412" s="565" t="s">
        <v>2155</v>
      </c>
      <c r="G412" s="565">
        <v>2022</v>
      </c>
      <c r="H412" s="399">
        <v>44714</v>
      </c>
      <c r="I412" s="399">
        <v>45809</v>
      </c>
      <c r="J412" s="572" t="s">
        <v>2716</v>
      </c>
    </row>
    <row r="413" spans="1:10">
      <c r="A413" s="587">
        <v>409</v>
      </c>
      <c r="B413" s="564" t="s">
        <v>2717</v>
      </c>
      <c r="C413" s="564" t="s">
        <v>2715</v>
      </c>
      <c r="D413" s="564" t="s">
        <v>2633</v>
      </c>
      <c r="E413" s="564" t="s">
        <v>2634</v>
      </c>
      <c r="F413" s="564" t="s">
        <v>2155</v>
      </c>
      <c r="G413" s="564">
        <v>2022</v>
      </c>
      <c r="H413" s="398">
        <v>44714</v>
      </c>
      <c r="I413" s="398">
        <v>45809</v>
      </c>
      <c r="J413" s="573" t="s">
        <v>2716</v>
      </c>
    </row>
    <row r="414" spans="1:10">
      <c r="A414" s="586">
        <v>410</v>
      </c>
      <c r="B414" s="565" t="s">
        <v>2718</v>
      </c>
      <c r="C414" s="565" t="s">
        <v>2719</v>
      </c>
      <c r="D414" s="565" t="s">
        <v>2633</v>
      </c>
      <c r="E414" s="565" t="s">
        <v>2634</v>
      </c>
      <c r="F414" s="565" t="s">
        <v>2155</v>
      </c>
      <c r="G414" s="565">
        <v>2022</v>
      </c>
      <c r="H414" s="399">
        <v>44719</v>
      </c>
      <c r="I414" s="399">
        <v>45814</v>
      </c>
      <c r="J414" s="572" t="s">
        <v>2170</v>
      </c>
    </row>
    <row r="415" spans="1:10">
      <c r="A415" s="587">
        <v>411</v>
      </c>
      <c r="B415" s="564" t="s">
        <v>2720</v>
      </c>
      <c r="C415" s="564" t="s">
        <v>2721</v>
      </c>
      <c r="D415" s="564" t="s">
        <v>2633</v>
      </c>
      <c r="E415" s="564" t="s">
        <v>2634</v>
      </c>
      <c r="F415" s="564" t="s">
        <v>2155</v>
      </c>
      <c r="G415" s="564">
        <v>2022</v>
      </c>
      <c r="H415" s="398">
        <v>44736</v>
      </c>
      <c r="I415" s="398">
        <v>45831</v>
      </c>
      <c r="J415" s="573" t="s">
        <v>2648</v>
      </c>
    </row>
    <row r="416" spans="1:10">
      <c r="A416" s="586">
        <v>412</v>
      </c>
      <c r="B416" s="565" t="s">
        <v>2722</v>
      </c>
      <c r="C416" s="565" t="s">
        <v>2721</v>
      </c>
      <c r="D416" s="565" t="s">
        <v>2633</v>
      </c>
      <c r="E416" s="565" t="s">
        <v>2634</v>
      </c>
      <c r="F416" s="565" t="s">
        <v>2155</v>
      </c>
      <c r="G416" s="565">
        <v>2022</v>
      </c>
      <c r="H416" s="399">
        <v>44736</v>
      </c>
      <c r="I416" s="399">
        <v>45831</v>
      </c>
      <c r="J416" s="572" t="s">
        <v>2648</v>
      </c>
    </row>
    <row r="417" spans="1:10">
      <c r="A417" s="587">
        <v>413</v>
      </c>
      <c r="B417" s="564" t="s">
        <v>2723</v>
      </c>
      <c r="C417" s="564" t="s">
        <v>2721</v>
      </c>
      <c r="D417" s="564" t="s">
        <v>2633</v>
      </c>
      <c r="E417" s="564" t="s">
        <v>2634</v>
      </c>
      <c r="F417" s="564" t="s">
        <v>2155</v>
      </c>
      <c r="G417" s="564">
        <v>2022</v>
      </c>
      <c r="H417" s="398">
        <v>44736</v>
      </c>
      <c r="I417" s="398">
        <v>45831</v>
      </c>
      <c r="J417" s="573" t="s">
        <v>2648</v>
      </c>
    </row>
    <row r="418" spans="1:10">
      <c r="A418" s="586">
        <v>414</v>
      </c>
      <c r="B418" s="565" t="s">
        <v>2724</v>
      </c>
      <c r="C418" s="565" t="s">
        <v>2698</v>
      </c>
      <c r="D418" s="565" t="s">
        <v>2633</v>
      </c>
      <c r="E418" s="565" t="s">
        <v>2634</v>
      </c>
      <c r="F418" s="565" t="s">
        <v>2155</v>
      </c>
      <c r="G418" s="565">
        <v>2022</v>
      </c>
      <c r="H418" s="399">
        <v>44762</v>
      </c>
      <c r="I418" s="399">
        <v>45857</v>
      </c>
      <c r="J418" s="572" t="s">
        <v>2170</v>
      </c>
    </row>
    <row r="419" spans="1:10">
      <c r="A419" s="587">
        <v>415</v>
      </c>
      <c r="B419" s="564" t="s">
        <v>2725</v>
      </c>
      <c r="C419" s="564" t="s">
        <v>2726</v>
      </c>
      <c r="D419" s="564" t="s">
        <v>2633</v>
      </c>
      <c r="E419" s="564" t="s">
        <v>2634</v>
      </c>
      <c r="F419" s="564" t="s">
        <v>2155</v>
      </c>
      <c r="G419" s="564">
        <v>2022</v>
      </c>
      <c r="H419" s="398">
        <v>44762</v>
      </c>
      <c r="I419" s="398">
        <v>45857</v>
      </c>
      <c r="J419" s="573" t="s">
        <v>2648</v>
      </c>
    </row>
    <row r="420" spans="1:10">
      <c r="A420" s="586">
        <v>416</v>
      </c>
      <c r="B420" s="565" t="s">
        <v>2148</v>
      </c>
      <c r="C420" s="565" t="s">
        <v>2727</v>
      </c>
      <c r="D420" s="565" t="s">
        <v>2633</v>
      </c>
      <c r="E420" s="565" t="s">
        <v>2634</v>
      </c>
      <c r="F420" s="565" t="s">
        <v>2155</v>
      </c>
      <c r="G420" s="565">
        <v>2022</v>
      </c>
      <c r="H420" s="399">
        <v>44796</v>
      </c>
      <c r="I420" s="399">
        <v>45891</v>
      </c>
      <c r="J420" s="572" t="s">
        <v>2637</v>
      </c>
    </row>
    <row r="421" spans="1:10">
      <c r="A421" s="587">
        <v>417</v>
      </c>
      <c r="B421" s="564" t="s">
        <v>2728</v>
      </c>
      <c r="C421" s="564" t="s">
        <v>2605</v>
      </c>
      <c r="D421" s="564" t="s">
        <v>2633</v>
      </c>
      <c r="E421" s="564" t="s">
        <v>2634</v>
      </c>
      <c r="F421" s="564" t="s">
        <v>2155</v>
      </c>
      <c r="G421" s="564">
        <v>2022</v>
      </c>
      <c r="H421" s="398">
        <v>44803</v>
      </c>
      <c r="I421" s="398">
        <v>45898</v>
      </c>
      <c r="J421" s="573" t="s">
        <v>2648</v>
      </c>
    </row>
    <row r="422" spans="1:10">
      <c r="A422" s="586">
        <v>418</v>
      </c>
      <c r="B422" s="565" t="s">
        <v>2729</v>
      </c>
      <c r="C422" s="565" t="s">
        <v>2605</v>
      </c>
      <c r="D422" s="565" t="s">
        <v>2633</v>
      </c>
      <c r="E422" s="565" t="s">
        <v>2634</v>
      </c>
      <c r="F422" s="565" t="s">
        <v>2155</v>
      </c>
      <c r="G422" s="565">
        <v>2022</v>
      </c>
      <c r="H422" s="399">
        <v>44803</v>
      </c>
      <c r="I422" s="399">
        <v>45898</v>
      </c>
      <c r="J422" s="572" t="s">
        <v>2648</v>
      </c>
    </row>
    <row r="423" spans="1:10">
      <c r="A423" s="587">
        <v>419</v>
      </c>
      <c r="B423" s="564" t="s">
        <v>2730</v>
      </c>
      <c r="C423" s="564" t="s">
        <v>2731</v>
      </c>
      <c r="D423" s="564" t="s">
        <v>2633</v>
      </c>
      <c r="E423" s="564" t="s">
        <v>2634</v>
      </c>
      <c r="F423" s="564" t="s">
        <v>2155</v>
      </c>
      <c r="G423" s="564">
        <v>2022</v>
      </c>
      <c r="H423" s="398">
        <v>44890</v>
      </c>
      <c r="I423" s="398">
        <v>45985</v>
      </c>
      <c r="J423" s="573" t="s">
        <v>2648</v>
      </c>
    </row>
    <row r="424" spans="1:10">
      <c r="A424" s="586">
        <v>420</v>
      </c>
      <c r="B424" s="565" t="s">
        <v>2732</v>
      </c>
      <c r="C424" s="565" t="s">
        <v>2731</v>
      </c>
      <c r="D424" s="565" t="s">
        <v>2633</v>
      </c>
      <c r="E424" s="565" t="s">
        <v>2634</v>
      </c>
      <c r="F424" s="565" t="s">
        <v>2155</v>
      </c>
      <c r="G424" s="565">
        <v>2022</v>
      </c>
      <c r="H424" s="399">
        <v>44890</v>
      </c>
      <c r="I424" s="399">
        <v>45985</v>
      </c>
      <c r="J424" s="572" t="s">
        <v>2648</v>
      </c>
    </row>
    <row r="425" spans="1:10">
      <c r="A425" s="587">
        <v>421</v>
      </c>
      <c r="B425" s="564" t="s">
        <v>2148</v>
      </c>
      <c r="C425" s="564" t="s">
        <v>2709</v>
      </c>
      <c r="D425" s="564" t="s">
        <v>2633</v>
      </c>
      <c r="E425" s="564" t="s">
        <v>2634</v>
      </c>
      <c r="F425" s="564" t="s">
        <v>2155</v>
      </c>
      <c r="G425" s="564">
        <v>2022</v>
      </c>
      <c r="H425" s="398">
        <v>44908</v>
      </c>
      <c r="I425" s="398">
        <v>46003</v>
      </c>
      <c r="J425" s="573" t="s">
        <v>2648</v>
      </c>
    </row>
    <row r="426" spans="1:10">
      <c r="A426" s="586">
        <v>422</v>
      </c>
      <c r="B426" s="565" t="s">
        <v>2148</v>
      </c>
      <c r="C426" s="565" t="s">
        <v>2709</v>
      </c>
      <c r="D426" s="565" t="s">
        <v>2633</v>
      </c>
      <c r="E426" s="565" t="s">
        <v>2634</v>
      </c>
      <c r="F426" s="565" t="s">
        <v>2155</v>
      </c>
      <c r="G426" s="565">
        <v>2022</v>
      </c>
      <c r="H426" s="399">
        <v>44908</v>
      </c>
      <c r="I426" s="399">
        <v>46003</v>
      </c>
      <c r="J426" s="572" t="s">
        <v>2648</v>
      </c>
    </row>
    <row r="427" spans="1:10">
      <c r="A427" s="587">
        <v>423</v>
      </c>
      <c r="B427" s="564" t="s">
        <v>2148</v>
      </c>
      <c r="C427" s="564" t="s">
        <v>2709</v>
      </c>
      <c r="D427" s="564" t="s">
        <v>2633</v>
      </c>
      <c r="E427" s="564" t="s">
        <v>2634</v>
      </c>
      <c r="F427" s="564" t="s">
        <v>2155</v>
      </c>
      <c r="G427" s="564">
        <v>2022</v>
      </c>
      <c r="H427" s="398">
        <v>44922</v>
      </c>
      <c r="I427" s="398">
        <v>46017</v>
      </c>
      <c r="J427" s="573" t="s">
        <v>2733</v>
      </c>
    </row>
    <row r="428" spans="1:10">
      <c r="A428" s="586">
        <v>424</v>
      </c>
      <c r="B428" s="565" t="s">
        <v>2734</v>
      </c>
      <c r="C428" s="565" t="s">
        <v>2735</v>
      </c>
      <c r="D428" s="565" t="s">
        <v>2633</v>
      </c>
      <c r="E428" s="565" t="s">
        <v>2634</v>
      </c>
      <c r="F428" s="565" t="s">
        <v>2155</v>
      </c>
      <c r="G428" s="565">
        <v>2023</v>
      </c>
      <c r="H428" s="399">
        <v>44959</v>
      </c>
      <c r="I428" s="399">
        <v>46054</v>
      </c>
      <c r="J428" s="572" t="s">
        <v>2648</v>
      </c>
    </row>
    <row r="429" spans="1:10">
      <c r="A429" s="587">
        <v>425</v>
      </c>
      <c r="B429" s="564" t="s">
        <v>2736</v>
      </c>
      <c r="C429" s="564" t="s">
        <v>2737</v>
      </c>
      <c r="D429" s="564" t="s">
        <v>2633</v>
      </c>
      <c r="E429" s="564" t="s">
        <v>2634</v>
      </c>
      <c r="F429" s="564" t="s">
        <v>2155</v>
      </c>
      <c r="G429" s="564">
        <v>2023</v>
      </c>
      <c r="H429" s="398">
        <v>44991</v>
      </c>
      <c r="I429" s="398">
        <v>46086</v>
      </c>
      <c r="J429" s="573" t="s">
        <v>2648</v>
      </c>
    </row>
    <row r="430" spans="1:10">
      <c r="A430" s="586">
        <v>426</v>
      </c>
      <c r="B430" s="565" t="s">
        <v>2738</v>
      </c>
      <c r="C430" s="565" t="s">
        <v>2737</v>
      </c>
      <c r="D430" s="565" t="s">
        <v>2633</v>
      </c>
      <c r="E430" s="565" t="s">
        <v>2634</v>
      </c>
      <c r="F430" s="565" t="s">
        <v>2155</v>
      </c>
      <c r="G430" s="565">
        <v>2023</v>
      </c>
      <c r="H430" s="399">
        <v>44991</v>
      </c>
      <c r="I430" s="399">
        <v>46086</v>
      </c>
      <c r="J430" s="572" t="s">
        <v>2648</v>
      </c>
    </row>
    <row r="431" spans="1:10">
      <c r="A431" s="587">
        <v>427</v>
      </c>
      <c r="B431" s="564" t="s">
        <v>2739</v>
      </c>
      <c r="C431" s="564" t="s">
        <v>2740</v>
      </c>
      <c r="D431" s="564" t="s">
        <v>2633</v>
      </c>
      <c r="E431" s="564" t="s">
        <v>2634</v>
      </c>
      <c r="F431" s="564" t="s">
        <v>2155</v>
      </c>
      <c r="G431" s="564">
        <v>2023</v>
      </c>
      <c r="H431" s="398">
        <v>45000</v>
      </c>
      <c r="I431" s="398">
        <v>46095</v>
      </c>
      <c r="J431" s="573" t="s">
        <v>2178</v>
      </c>
    </row>
    <row r="432" spans="1:10">
      <c r="A432" s="586">
        <v>428</v>
      </c>
      <c r="B432" s="565" t="s">
        <v>2148</v>
      </c>
      <c r="C432" s="565" t="s">
        <v>2741</v>
      </c>
      <c r="D432" s="565" t="s">
        <v>2633</v>
      </c>
      <c r="E432" s="565" t="s">
        <v>2634</v>
      </c>
      <c r="F432" s="565" t="s">
        <v>2155</v>
      </c>
      <c r="G432" s="565">
        <v>2023</v>
      </c>
      <c r="H432" s="399">
        <v>45000</v>
      </c>
      <c r="I432" s="399">
        <v>46095</v>
      </c>
      <c r="J432" s="572" t="s">
        <v>2648</v>
      </c>
    </row>
    <row r="433" spans="1:10">
      <c r="A433" s="587">
        <v>429</v>
      </c>
      <c r="B433" s="564" t="s">
        <v>2148</v>
      </c>
      <c r="C433" s="564" t="s">
        <v>2742</v>
      </c>
      <c r="D433" s="564" t="s">
        <v>2633</v>
      </c>
      <c r="E433" s="564" t="s">
        <v>2634</v>
      </c>
      <c r="F433" s="564" t="s">
        <v>2155</v>
      </c>
      <c r="G433" s="564">
        <v>2023</v>
      </c>
      <c r="H433" s="398">
        <v>45006</v>
      </c>
      <c r="I433" s="398">
        <v>46101</v>
      </c>
      <c r="J433" s="573" t="s">
        <v>2648</v>
      </c>
    </row>
    <row r="434" spans="1:10">
      <c r="A434" s="586">
        <v>430</v>
      </c>
      <c r="B434" s="565" t="s">
        <v>2743</v>
      </c>
      <c r="C434" s="565" t="s">
        <v>2709</v>
      </c>
      <c r="D434" s="565" t="s">
        <v>2633</v>
      </c>
      <c r="E434" s="565" t="s">
        <v>2634</v>
      </c>
      <c r="F434" s="565" t="s">
        <v>2155</v>
      </c>
      <c r="G434" s="565">
        <v>2023</v>
      </c>
      <c r="H434" s="399">
        <v>45028</v>
      </c>
      <c r="I434" s="399">
        <v>46123</v>
      </c>
      <c r="J434" s="572" t="s">
        <v>2648</v>
      </c>
    </row>
    <row r="435" spans="1:10">
      <c r="A435" s="587">
        <v>431</v>
      </c>
      <c r="B435" s="564" t="s">
        <v>2744</v>
      </c>
      <c r="C435" s="564" t="s">
        <v>2709</v>
      </c>
      <c r="D435" s="564" t="s">
        <v>2633</v>
      </c>
      <c r="E435" s="564" t="s">
        <v>2634</v>
      </c>
      <c r="F435" s="564" t="s">
        <v>2155</v>
      </c>
      <c r="G435" s="564">
        <v>2023</v>
      </c>
      <c r="H435" s="398">
        <v>45028</v>
      </c>
      <c r="I435" s="398">
        <v>46123</v>
      </c>
      <c r="J435" s="573" t="s">
        <v>2733</v>
      </c>
    </row>
    <row r="436" spans="1:10">
      <c r="A436" s="586">
        <v>432</v>
      </c>
      <c r="B436" s="565" t="s">
        <v>2722</v>
      </c>
      <c r="C436" s="565" t="s">
        <v>2709</v>
      </c>
      <c r="D436" s="565" t="s">
        <v>2633</v>
      </c>
      <c r="E436" s="565" t="s">
        <v>2634</v>
      </c>
      <c r="F436" s="565" t="s">
        <v>2155</v>
      </c>
      <c r="G436" s="565">
        <v>2023</v>
      </c>
      <c r="H436" s="399">
        <v>45028</v>
      </c>
      <c r="I436" s="399">
        <v>46123</v>
      </c>
      <c r="J436" s="572" t="s">
        <v>2170</v>
      </c>
    </row>
    <row r="437" spans="1:10">
      <c r="A437" s="587">
        <v>433</v>
      </c>
      <c r="B437" s="564" t="s">
        <v>2720</v>
      </c>
      <c r="C437" s="564" t="s">
        <v>2745</v>
      </c>
      <c r="D437" s="564" t="s">
        <v>2633</v>
      </c>
      <c r="E437" s="564" t="s">
        <v>2634</v>
      </c>
      <c r="F437" s="564" t="s">
        <v>2155</v>
      </c>
      <c r="G437" s="564">
        <v>2023</v>
      </c>
      <c r="H437" s="398">
        <v>45030</v>
      </c>
      <c r="I437" s="398">
        <v>46125</v>
      </c>
      <c r="J437" s="573" t="s">
        <v>2170</v>
      </c>
    </row>
    <row r="438" spans="1:10">
      <c r="A438" s="586">
        <v>434</v>
      </c>
      <c r="B438" s="565" t="s">
        <v>2746</v>
      </c>
      <c r="C438" s="565" t="s">
        <v>2747</v>
      </c>
      <c r="D438" s="565" t="s">
        <v>2633</v>
      </c>
      <c r="E438" s="565" t="s">
        <v>2634</v>
      </c>
      <c r="F438" s="565" t="s">
        <v>2155</v>
      </c>
      <c r="G438" s="565">
        <v>2023</v>
      </c>
      <c r="H438" s="399">
        <v>45041</v>
      </c>
      <c r="I438" s="399">
        <v>46136</v>
      </c>
      <c r="J438" s="572" t="s">
        <v>2748</v>
      </c>
    </row>
    <row r="439" spans="1:10">
      <c r="A439" s="587">
        <v>435</v>
      </c>
      <c r="B439" s="564" t="s">
        <v>2148</v>
      </c>
      <c r="C439" s="564" t="s">
        <v>2749</v>
      </c>
      <c r="D439" s="564" t="s">
        <v>2633</v>
      </c>
      <c r="E439" s="564" t="s">
        <v>2634</v>
      </c>
      <c r="F439" s="564" t="s">
        <v>2155</v>
      </c>
      <c r="G439" s="564">
        <v>2023</v>
      </c>
      <c r="H439" s="398">
        <v>45041</v>
      </c>
      <c r="I439" s="398">
        <v>46136</v>
      </c>
      <c r="J439" s="573" t="s">
        <v>2170</v>
      </c>
    </row>
    <row r="440" spans="1:10">
      <c r="A440" s="586">
        <v>436</v>
      </c>
      <c r="B440" s="565" t="s">
        <v>2750</v>
      </c>
      <c r="C440" s="565" t="s">
        <v>2751</v>
      </c>
      <c r="D440" s="565" t="s">
        <v>2633</v>
      </c>
      <c r="E440" s="565" t="s">
        <v>2634</v>
      </c>
      <c r="F440" s="565" t="s">
        <v>2155</v>
      </c>
      <c r="G440" s="565">
        <v>2023</v>
      </c>
      <c r="H440" s="399">
        <v>45041</v>
      </c>
      <c r="I440" s="399">
        <v>46136</v>
      </c>
      <c r="J440" s="572" t="s">
        <v>2170</v>
      </c>
    </row>
    <row r="441" spans="1:10">
      <c r="A441" s="587">
        <v>437</v>
      </c>
      <c r="B441" s="564" t="s">
        <v>2752</v>
      </c>
      <c r="C441" s="564" t="s">
        <v>2753</v>
      </c>
      <c r="D441" s="564" t="s">
        <v>2633</v>
      </c>
      <c r="E441" s="564" t="s">
        <v>2634</v>
      </c>
      <c r="F441" s="564" t="s">
        <v>2155</v>
      </c>
      <c r="G441" s="564">
        <v>2023</v>
      </c>
      <c r="H441" s="398">
        <v>45041</v>
      </c>
      <c r="I441" s="398">
        <v>46136</v>
      </c>
      <c r="J441" s="573" t="s">
        <v>2178</v>
      </c>
    </row>
    <row r="442" spans="1:10">
      <c r="A442" s="586">
        <v>438</v>
      </c>
      <c r="B442" s="565" t="s">
        <v>2754</v>
      </c>
      <c r="C442" s="565" t="s">
        <v>2735</v>
      </c>
      <c r="D442" s="565" t="s">
        <v>2633</v>
      </c>
      <c r="E442" s="565" t="s">
        <v>2634</v>
      </c>
      <c r="F442" s="565" t="s">
        <v>2155</v>
      </c>
      <c r="G442" s="565">
        <v>2023</v>
      </c>
      <c r="H442" s="399">
        <v>45041</v>
      </c>
      <c r="I442" s="399">
        <v>46136</v>
      </c>
      <c r="J442" s="572" t="s">
        <v>2648</v>
      </c>
    </row>
    <row r="443" spans="1:10">
      <c r="A443" s="587">
        <v>439</v>
      </c>
      <c r="B443" s="564" t="s">
        <v>2148</v>
      </c>
      <c r="C443" s="564" t="s">
        <v>2755</v>
      </c>
      <c r="D443" s="564" t="s">
        <v>2633</v>
      </c>
      <c r="E443" s="564" t="s">
        <v>2634</v>
      </c>
      <c r="F443" s="564" t="s">
        <v>2155</v>
      </c>
      <c r="G443" s="564">
        <v>2023</v>
      </c>
      <c r="H443" s="398">
        <v>45055</v>
      </c>
      <c r="I443" s="398">
        <v>46150</v>
      </c>
      <c r="J443" s="573" t="s">
        <v>2170</v>
      </c>
    </row>
    <row r="444" spans="1:10">
      <c r="A444" s="586">
        <v>440</v>
      </c>
      <c r="B444" s="565" t="s">
        <v>2756</v>
      </c>
      <c r="C444" s="565" t="s">
        <v>2757</v>
      </c>
      <c r="D444" s="565" t="s">
        <v>2633</v>
      </c>
      <c r="E444" s="565" t="s">
        <v>2634</v>
      </c>
      <c r="F444" s="565" t="s">
        <v>2155</v>
      </c>
      <c r="G444" s="565">
        <v>2023</v>
      </c>
      <c r="H444" s="399">
        <v>45070</v>
      </c>
      <c r="I444" s="399">
        <v>46165</v>
      </c>
      <c r="J444" s="572" t="s">
        <v>2178</v>
      </c>
    </row>
    <row r="445" spans="1:10">
      <c r="A445" s="587">
        <v>441</v>
      </c>
      <c r="B445" s="564" t="s">
        <v>2148</v>
      </c>
      <c r="C445" s="564" t="s">
        <v>2758</v>
      </c>
      <c r="D445" s="564" t="s">
        <v>2633</v>
      </c>
      <c r="E445" s="564" t="s">
        <v>2634</v>
      </c>
      <c r="F445" s="564" t="s">
        <v>2155</v>
      </c>
      <c r="G445" s="564">
        <v>2023</v>
      </c>
      <c r="H445" s="398">
        <v>45070</v>
      </c>
      <c r="I445" s="398">
        <v>46165</v>
      </c>
      <c r="J445" s="573" t="s">
        <v>2251</v>
      </c>
    </row>
    <row r="446" spans="1:10">
      <c r="A446" s="586">
        <v>442</v>
      </c>
      <c r="B446" s="565" t="s">
        <v>2148</v>
      </c>
      <c r="C446" s="565" t="s">
        <v>2294</v>
      </c>
      <c r="D446" s="565" t="s">
        <v>2633</v>
      </c>
      <c r="E446" s="565" t="s">
        <v>2634</v>
      </c>
      <c r="F446" s="565" t="s">
        <v>2155</v>
      </c>
      <c r="G446" s="565">
        <v>2023</v>
      </c>
      <c r="H446" s="399">
        <v>45080</v>
      </c>
      <c r="I446" s="399">
        <v>46175</v>
      </c>
      <c r="J446" s="572" t="s">
        <v>2170</v>
      </c>
    </row>
    <row r="447" spans="1:10">
      <c r="A447" s="587">
        <v>443</v>
      </c>
      <c r="B447" s="564" t="s">
        <v>2759</v>
      </c>
      <c r="C447" s="564" t="s">
        <v>2760</v>
      </c>
      <c r="D447" s="564" t="s">
        <v>2633</v>
      </c>
      <c r="E447" s="564" t="s">
        <v>2634</v>
      </c>
      <c r="F447" s="564" t="s">
        <v>2155</v>
      </c>
      <c r="G447" s="564">
        <v>2023</v>
      </c>
      <c r="H447" s="398">
        <v>45083</v>
      </c>
      <c r="I447" s="398">
        <v>46178</v>
      </c>
      <c r="J447" s="573" t="s">
        <v>2648</v>
      </c>
    </row>
    <row r="448" spans="1:10">
      <c r="A448" s="586">
        <v>444</v>
      </c>
      <c r="B448" s="565" t="s">
        <v>2148</v>
      </c>
      <c r="C448" s="565" t="s">
        <v>2761</v>
      </c>
      <c r="D448" s="565" t="s">
        <v>2633</v>
      </c>
      <c r="E448" s="565" t="s">
        <v>2634</v>
      </c>
      <c r="F448" s="565" t="s">
        <v>2155</v>
      </c>
      <c r="G448" s="565">
        <v>2023</v>
      </c>
      <c r="H448" s="399">
        <v>45090</v>
      </c>
      <c r="I448" s="399">
        <v>46185</v>
      </c>
      <c r="J448" s="572" t="s">
        <v>2675</v>
      </c>
    </row>
    <row r="449" spans="1:10">
      <c r="A449" s="587">
        <v>445</v>
      </c>
      <c r="B449" s="564" t="s">
        <v>2723</v>
      </c>
      <c r="C449" s="564" t="s">
        <v>2762</v>
      </c>
      <c r="D449" s="564" t="s">
        <v>2633</v>
      </c>
      <c r="E449" s="564" t="s">
        <v>2634</v>
      </c>
      <c r="F449" s="564" t="s">
        <v>2155</v>
      </c>
      <c r="G449" s="564">
        <v>2023</v>
      </c>
      <c r="H449" s="398">
        <v>45090</v>
      </c>
      <c r="I449" s="398">
        <v>46185</v>
      </c>
      <c r="J449" s="573" t="s">
        <v>2648</v>
      </c>
    </row>
    <row r="450" spans="1:10">
      <c r="A450" s="586">
        <v>446</v>
      </c>
      <c r="B450" s="565" t="s">
        <v>2756</v>
      </c>
      <c r="C450" s="565" t="s">
        <v>2594</v>
      </c>
      <c r="D450" s="565" t="s">
        <v>2633</v>
      </c>
      <c r="E450" s="565" t="s">
        <v>2634</v>
      </c>
      <c r="F450" s="565" t="s">
        <v>2155</v>
      </c>
      <c r="G450" s="565">
        <v>2023</v>
      </c>
      <c r="H450" s="399">
        <v>45097</v>
      </c>
      <c r="I450" s="399">
        <v>46192</v>
      </c>
      <c r="J450" s="572" t="s">
        <v>2716</v>
      </c>
    </row>
    <row r="451" spans="1:10">
      <c r="A451" s="587">
        <v>447</v>
      </c>
      <c r="B451" s="564" t="s">
        <v>2763</v>
      </c>
      <c r="C451" s="564" t="s">
        <v>2764</v>
      </c>
      <c r="D451" s="564" t="s">
        <v>2633</v>
      </c>
      <c r="E451" s="564" t="s">
        <v>2634</v>
      </c>
      <c r="F451" s="564" t="s">
        <v>2155</v>
      </c>
      <c r="G451" s="564">
        <v>2023</v>
      </c>
      <c r="H451" s="398">
        <v>45099</v>
      </c>
      <c r="I451" s="398">
        <v>46194</v>
      </c>
      <c r="J451" s="573" t="s">
        <v>2251</v>
      </c>
    </row>
    <row r="452" spans="1:10">
      <c r="A452" s="586">
        <v>448</v>
      </c>
      <c r="B452" s="565" t="s">
        <v>2765</v>
      </c>
      <c r="C452" s="565" t="s">
        <v>2766</v>
      </c>
      <c r="D452" s="565" t="s">
        <v>2633</v>
      </c>
      <c r="E452" s="565" t="s">
        <v>2634</v>
      </c>
      <c r="F452" s="565" t="s">
        <v>2155</v>
      </c>
      <c r="G452" s="565">
        <v>2023</v>
      </c>
      <c r="H452" s="399">
        <v>45103</v>
      </c>
      <c r="I452" s="399">
        <v>46198</v>
      </c>
      <c r="J452" s="572" t="s">
        <v>2251</v>
      </c>
    </row>
    <row r="453" spans="1:10">
      <c r="A453" s="587">
        <v>449</v>
      </c>
      <c r="B453" s="564" t="s">
        <v>2148</v>
      </c>
      <c r="C453" s="564" t="s">
        <v>2767</v>
      </c>
      <c r="D453" s="564" t="s">
        <v>2633</v>
      </c>
      <c r="E453" s="564" t="s">
        <v>2634</v>
      </c>
      <c r="F453" s="564" t="s">
        <v>2155</v>
      </c>
      <c r="G453" s="564">
        <v>2023</v>
      </c>
      <c r="H453" s="398">
        <v>45103</v>
      </c>
      <c r="I453" s="398">
        <v>46198</v>
      </c>
      <c r="J453" s="573" t="s">
        <v>2251</v>
      </c>
    </row>
    <row r="454" spans="1:10">
      <c r="A454" s="586">
        <v>450</v>
      </c>
      <c r="B454" s="565" t="s">
        <v>2768</v>
      </c>
      <c r="C454" s="565" t="s">
        <v>2769</v>
      </c>
      <c r="D454" s="565" t="s">
        <v>2633</v>
      </c>
      <c r="E454" s="565" t="s">
        <v>2634</v>
      </c>
      <c r="F454" s="565" t="s">
        <v>2155</v>
      </c>
      <c r="G454" s="565">
        <v>2023</v>
      </c>
      <c r="H454" s="399">
        <v>45117</v>
      </c>
      <c r="I454" s="399">
        <v>46212</v>
      </c>
      <c r="J454" s="572" t="s">
        <v>2770</v>
      </c>
    </row>
    <row r="455" spans="1:10">
      <c r="A455" s="587">
        <v>451</v>
      </c>
      <c r="B455" s="564" t="s">
        <v>2771</v>
      </c>
      <c r="C455" s="564" t="s">
        <v>2772</v>
      </c>
      <c r="D455" s="564" t="s">
        <v>2633</v>
      </c>
      <c r="E455" s="564" t="s">
        <v>2634</v>
      </c>
      <c r="F455" s="564" t="s">
        <v>2155</v>
      </c>
      <c r="G455" s="564">
        <v>2023</v>
      </c>
      <c r="H455" s="398">
        <v>45134</v>
      </c>
      <c r="I455" s="398">
        <v>46229</v>
      </c>
      <c r="J455" s="573" t="s">
        <v>2170</v>
      </c>
    </row>
    <row r="456" spans="1:10">
      <c r="A456" s="586">
        <v>452</v>
      </c>
      <c r="B456" s="565" t="s">
        <v>2773</v>
      </c>
      <c r="C456" s="565" t="s">
        <v>2774</v>
      </c>
      <c r="D456" s="565" t="s">
        <v>2633</v>
      </c>
      <c r="E456" s="565" t="s">
        <v>2634</v>
      </c>
      <c r="F456" s="565" t="s">
        <v>2155</v>
      </c>
      <c r="G456" s="565">
        <v>2023</v>
      </c>
      <c r="H456" s="399">
        <v>45189</v>
      </c>
      <c r="I456" s="399">
        <v>46284</v>
      </c>
      <c r="J456" s="572" t="s">
        <v>2251</v>
      </c>
    </row>
    <row r="457" spans="1:10">
      <c r="A457" s="587">
        <v>453</v>
      </c>
      <c r="B457" s="564" t="s">
        <v>2720</v>
      </c>
      <c r="C457" s="564" t="s">
        <v>2775</v>
      </c>
      <c r="D457" s="564" t="s">
        <v>2633</v>
      </c>
      <c r="E457" s="564" t="s">
        <v>2634</v>
      </c>
      <c r="F457" s="564" t="s">
        <v>2155</v>
      </c>
      <c r="G457" s="564">
        <v>2023</v>
      </c>
      <c r="H457" s="398">
        <v>45194</v>
      </c>
      <c r="I457" s="398">
        <v>46289</v>
      </c>
      <c r="J457" s="573" t="s">
        <v>2648</v>
      </c>
    </row>
    <row r="458" spans="1:10">
      <c r="A458" s="586">
        <v>454</v>
      </c>
      <c r="B458" s="565" t="s">
        <v>2776</v>
      </c>
      <c r="C458" s="565" t="s">
        <v>2777</v>
      </c>
      <c r="D458" s="565" t="s">
        <v>2633</v>
      </c>
      <c r="E458" s="565" t="s">
        <v>2634</v>
      </c>
      <c r="F458" s="565" t="s">
        <v>2155</v>
      </c>
      <c r="G458" s="565">
        <v>2023</v>
      </c>
      <c r="H458" s="399">
        <v>45196</v>
      </c>
      <c r="I458" s="399">
        <v>46291</v>
      </c>
      <c r="J458" s="572" t="s">
        <v>2251</v>
      </c>
    </row>
    <row r="459" spans="1:10">
      <c r="A459" s="587">
        <v>455</v>
      </c>
      <c r="B459" s="564" t="s">
        <v>2723</v>
      </c>
      <c r="C459" s="564" t="s">
        <v>2777</v>
      </c>
      <c r="D459" s="564" t="s">
        <v>2633</v>
      </c>
      <c r="E459" s="564" t="s">
        <v>2634</v>
      </c>
      <c r="F459" s="564" t="s">
        <v>2155</v>
      </c>
      <c r="G459" s="564">
        <v>2023</v>
      </c>
      <c r="H459" s="398">
        <v>45196</v>
      </c>
      <c r="I459" s="398">
        <v>46291</v>
      </c>
      <c r="J459" s="573" t="s">
        <v>2251</v>
      </c>
    </row>
    <row r="460" spans="1:10">
      <c r="A460" s="586">
        <v>456</v>
      </c>
      <c r="B460" s="565" t="s">
        <v>2778</v>
      </c>
      <c r="C460" s="565" t="s">
        <v>2779</v>
      </c>
      <c r="D460" s="565" t="s">
        <v>2633</v>
      </c>
      <c r="E460" s="565" t="s">
        <v>2634</v>
      </c>
      <c r="F460" s="565" t="s">
        <v>2155</v>
      </c>
      <c r="G460" s="565">
        <v>2023</v>
      </c>
      <c r="H460" s="399">
        <v>45202</v>
      </c>
      <c r="I460" s="399">
        <v>46297</v>
      </c>
      <c r="J460" s="572" t="s">
        <v>2648</v>
      </c>
    </row>
    <row r="461" spans="1:10">
      <c r="A461" s="587">
        <v>457</v>
      </c>
      <c r="B461" s="564" t="s">
        <v>2780</v>
      </c>
      <c r="C461" s="564" t="s">
        <v>2779</v>
      </c>
      <c r="D461" s="564" t="s">
        <v>2633</v>
      </c>
      <c r="E461" s="564" t="s">
        <v>2634</v>
      </c>
      <c r="F461" s="564" t="s">
        <v>2155</v>
      </c>
      <c r="G461" s="564">
        <v>2023</v>
      </c>
      <c r="H461" s="398">
        <v>45202</v>
      </c>
      <c r="I461" s="398">
        <v>46297</v>
      </c>
      <c r="J461" s="573" t="s">
        <v>2251</v>
      </c>
    </row>
    <row r="462" spans="1:10">
      <c r="A462" s="586">
        <v>458</v>
      </c>
      <c r="B462" s="565" t="s">
        <v>2722</v>
      </c>
      <c r="C462" s="565" t="s">
        <v>2781</v>
      </c>
      <c r="D462" s="565" t="s">
        <v>2633</v>
      </c>
      <c r="E462" s="565" t="s">
        <v>2634</v>
      </c>
      <c r="F462" s="565" t="s">
        <v>2155</v>
      </c>
      <c r="G462" s="565">
        <v>2023</v>
      </c>
      <c r="H462" s="399">
        <v>45230</v>
      </c>
      <c r="I462" s="399">
        <v>46325</v>
      </c>
      <c r="J462" s="572" t="s">
        <v>2782</v>
      </c>
    </row>
    <row r="463" spans="1:10">
      <c r="A463" s="587">
        <v>459</v>
      </c>
      <c r="B463" s="564" t="s">
        <v>2722</v>
      </c>
      <c r="C463" s="564" t="s">
        <v>2783</v>
      </c>
      <c r="D463" s="564" t="s">
        <v>2633</v>
      </c>
      <c r="E463" s="564" t="s">
        <v>2634</v>
      </c>
      <c r="F463" s="564" t="s">
        <v>2155</v>
      </c>
      <c r="G463" s="564">
        <v>2023</v>
      </c>
      <c r="H463" s="398">
        <v>45236</v>
      </c>
      <c r="I463" s="398">
        <v>46331</v>
      </c>
      <c r="J463" s="573" t="s">
        <v>2251</v>
      </c>
    </row>
    <row r="464" spans="1:10">
      <c r="A464" s="586">
        <v>460</v>
      </c>
      <c r="B464" s="565" t="s">
        <v>2148</v>
      </c>
      <c r="C464" s="565" t="s">
        <v>2783</v>
      </c>
      <c r="D464" s="565" t="s">
        <v>2633</v>
      </c>
      <c r="E464" s="565" t="s">
        <v>2634</v>
      </c>
      <c r="F464" s="565" t="s">
        <v>2155</v>
      </c>
      <c r="G464" s="565">
        <v>2023</v>
      </c>
      <c r="H464" s="399">
        <v>45267</v>
      </c>
      <c r="I464" s="399">
        <v>46362</v>
      </c>
      <c r="J464" s="572" t="s">
        <v>2648</v>
      </c>
    </row>
    <row r="465" spans="1:10">
      <c r="A465" s="587">
        <v>461</v>
      </c>
      <c r="B465" s="564" t="s">
        <v>2776</v>
      </c>
      <c r="C465" s="564" t="s">
        <v>2784</v>
      </c>
      <c r="D465" s="564" t="s">
        <v>2633</v>
      </c>
      <c r="E465" s="564" t="s">
        <v>2634</v>
      </c>
      <c r="F465" s="564" t="s">
        <v>2155</v>
      </c>
      <c r="G465" s="564">
        <v>2023</v>
      </c>
      <c r="H465" s="398">
        <v>45275</v>
      </c>
      <c r="I465" s="398">
        <v>46370</v>
      </c>
      <c r="J465" s="573" t="s">
        <v>2648</v>
      </c>
    </row>
    <row r="466" spans="1:10">
      <c r="A466" s="586">
        <v>462</v>
      </c>
      <c r="B466" s="565" t="s">
        <v>2776</v>
      </c>
      <c r="C466" s="565" t="s">
        <v>2785</v>
      </c>
      <c r="D466" s="565" t="s">
        <v>2633</v>
      </c>
      <c r="E466" s="565" t="s">
        <v>2634</v>
      </c>
      <c r="F466" s="565" t="s">
        <v>2155</v>
      </c>
      <c r="G466" s="565">
        <v>2023</v>
      </c>
      <c r="H466" s="399">
        <v>45287</v>
      </c>
      <c r="I466" s="399">
        <v>46382</v>
      </c>
      <c r="J466" s="572" t="s">
        <v>2251</v>
      </c>
    </row>
    <row r="467" spans="1:10">
      <c r="A467" s="587">
        <v>463</v>
      </c>
      <c r="B467" s="564" t="s">
        <v>2148</v>
      </c>
      <c r="C467" s="564" t="s">
        <v>2786</v>
      </c>
      <c r="D467" s="564" t="s">
        <v>2633</v>
      </c>
      <c r="E467" s="564" t="s">
        <v>2634</v>
      </c>
      <c r="F467" s="564" t="s">
        <v>2155</v>
      </c>
      <c r="G467" s="564">
        <v>2023</v>
      </c>
      <c r="H467" s="398">
        <v>45287</v>
      </c>
      <c r="I467" s="398">
        <v>46382</v>
      </c>
      <c r="J467" s="573" t="s">
        <v>2251</v>
      </c>
    </row>
    <row r="468" spans="1:10">
      <c r="A468" s="586">
        <v>464</v>
      </c>
      <c r="B468" s="565" t="s">
        <v>2148</v>
      </c>
      <c r="C468" s="565" t="s">
        <v>2787</v>
      </c>
      <c r="D468" s="565" t="s">
        <v>2633</v>
      </c>
      <c r="E468" s="565" t="s">
        <v>2634</v>
      </c>
      <c r="F468" s="565" t="s">
        <v>2155</v>
      </c>
      <c r="G468" s="565">
        <v>2023</v>
      </c>
      <c r="H468" s="399">
        <v>45289</v>
      </c>
      <c r="I468" s="399">
        <v>46384</v>
      </c>
      <c r="J468" s="572" t="s">
        <v>2648</v>
      </c>
    </row>
    <row r="469" spans="1:10">
      <c r="A469" s="587">
        <v>465</v>
      </c>
      <c r="B469" s="564" t="s">
        <v>2788</v>
      </c>
      <c r="C469" s="564" t="s">
        <v>2789</v>
      </c>
      <c r="D469" s="564" t="s">
        <v>2633</v>
      </c>
      <c r="E469" s="564" t="s">
        <v>2634</v>
      </c>
      <c r="F469" s="564" t="s">
        <v>2137</v>
      </c>
      <c r="G469" s="564">
        <v>2016</v>
      </c>
      <c r="H469" s="398">
        <v>42705</v>
      </c>
      <c r="I469" s="398">
        <v>46390</v>
      </c>
      <c r="J469" s="573" t="s">
        <v>2170</v>
      </c>
    </row>
    <row r="470" spans="1:10">
      <c r="A470" s="586">
        <v>466</v>
      </c>
      <c r="B470" s="565" t="s">
        <v>2790</v>
      </c>
      <c r="C470" s="565" t="s">
        <v>2791</v>
      </c>
      <c r="D470" s="565" t="s">
        <v>2792</v>
      </c>
      <c r="E470" s="565" t="s">
        <v>2793</v>
      </c>
      <c r="F470" s="565" t="s">
        <v>2137</v>
      </c>
      <c r="G470" s="565">
        <v>2012</v>
      </c>
      <c r="H470" s="399">
        <v>40940</v>
      </c>
      <c r="I470" s="399">
        <v>44957</v>
      </c>
      <c r="J470" s="572" t="s">
        <v>2770</v>
      </c>
    </row>
    <row r="471" spans="1:10">
      <c r="A471" s="587">
        <v>467</v>
      </c>
      <c r="B471" s="564" t="s">
        <v>2520</v>
      </c>
      <c r="C471" s="564" t="s">
        <v>2217</v>
      </c>
      <c r="D471" s="564" t="s">
        <v>2792</v>
      </c>
      <c r="E471" s="564" t="s">
        <v>2519</v>
      </c>
      <c r="F471" s="564" t="s">
        <v>2137</v>
      </c>
      <c r="G471" s="564">
        <v>2018</v>
      </c>
      <c r="H471" s="398">
        <v>43283</v>
      </c>
      <c r="I471" s="398">
        <v>45108</v>
      </c>
      <c r="J471" s="573" t="s">
        <v>2420</v>
      </c>
    </row>
    <row r="472" spans="1:10">
      <c r="A472" s="586">
        <v>468</v>
      </c>
      <c r="B472" s="565" t="s">
        <v>2794</v>
      </c>
      <c r="C472" s="565" t="s">
        <v>2795</v>
      </c>
      <c r="D472" s="565" t="s">
        <v>2792</v>
      </c>
      <c r="E472" s="565" t="s">
        <v>2796</v>
      </c>
      <c r="F472" s="565" t="s">
        <v>2137</v>
      </c>
      <c r="G472" s="565">
        <v>2019</v>
      </c>
      <c r="H472" s="399">
        <v>43474</v>
      </c>
      <c r="I472" s="399">
        <v>45300</v>
      </c>
      <c r="J472" s="572" t="s">
        <v>2797</v>
      </c>
    </row>
    <row r="473" spans="1:10">
      <c r="A473" s="587">
        <v>469</v>
      </c>
      <c r="B473" s="564" t="s">
        <v>2798</v>
      </c>
      <c r="C473" s="564" t="s">
        <v>2799</v>
      </c>
      <c r="D473" s="564" t="s">
        <v>2792</v>
      </c>
      <c r="E473" s="564" t="s">
        <v>2634</v>
      </c>
      <c r="F473" s="564" t="s">
        <v>2155</v>
      </c>
      <c r="G473" s="564">
        <v>2019</v>
      </c>
      <c r="H473" s="398">
        <v>43543</v>
      </c>
      <c r="I473" s="398">
        <v>45370</v>
      </c>
      <c r="J473" s="573" t="s">
        <v>2257</v>
      </c>
    </row>
    <row r="474" spans="1:10">
      <c r="A474" s="586">
        <v>470</v>
      </c>
      <c r="B474" s="565" t="s">
        <v>2800</v>
      </c>
      <c r="C474" s="565" t="s">
        <v>2801</v>
      </c>
      <c r="D474" s="565" t="s">
        <v>2792</v>
      </c>
      <c r="E474" s="565" t="s">
        <v>2634</v>
      </c>
      <c r="F474" s="565" t="s">
        <v>2155</v>
      </c>
      <c r="G474" s="565">
        <v>2019</v>
      </c>
      <c r="H474" s="399">
        <v>43668</v>
      </c>
      <c r="I474" s="399">
        <v>45495</v>
      </c>
      <c r="J474" s="572" t="s">
        <v>2637</v>
      </c>
    </row>
    <row r="475" spans="1:10">
      <c r="A475" s="587">
        <v>471</v>
      </c>
      <c r="B475" s="564" t="s">
        <v>2148</v>
      </c>
      <c r="C475" s="564" t="s">
        <v>2802</v>
      </c>
      <c r="D475" s="564" t="s">
        <v>2792</v>
      </c>
      <c r="E475" s="564" t="s">
        <v>2634</v>
      </c>
      <c r="F475" s="564" t="s">
        <v>2155</v>
      </c>
      <c r="G475" s="564">
        <v>2019</v>
      </c>
      <c r="H475" s="398">
        <v>43700</v>
      </c>
      <c r="I475" s="398">
        <v>45526</v>
      </c>
      <c r="J475" s="573" t="s">
        <v>2648</v>
      </c>
    </row>
    <row r="476" spans="1:10">
      <c r="A476" s="586">
        <v>472</v>
      </c>
      <c r="B476" s="565" t="s">
        <v>2803</v>
      </c>
      <c r="C476" s="565" t="s">
        <v>2804</v>
      </c>
      <c r="D476" s="565" t="s">
        <v>2792</v>
      </c>
      <c r="E476" s="565" t="s">
        <v>2177</v>
      </c>
      <c r="F476" s="565" t="s">
        <v>2155</v>
      </c>
      <c r="G476" s="565">
        <v>2009</v>
      </c>
      <c r="H476" s="399">
        <v>40130</v>
      </c>
      <c r="I476" s="399">
        <v>45638</v>
      </c>
      <c r="J476" s="572" t="s">
        <v>2178</v>
      </c>
    </row>
    <row r="477" spans="1:10">
      <c r="A477" s="587">
        <v>473</v>
      </c>
      <c r="B477" s="564" t="s">
        <v>2805</v>
      </c>
      <c r="C477" s="564" t="s">
        <v>523</v>
      </c>
      <c r="D477" s="564" t="s">
        <v>2792</v>
      </c>
      <c r="E477" s="564" t="s">
        <v>2634</v>
      </c>
      <c r="F477" s="564" t="s">
        <v>2155</v>
      </c>
      <c r="G477" s="564">
        <v>2020</v>
      </c>
      <c r="H477" s="398">
        <v>43887</v>
      </c>
      <c r="I477" s="398">
        <v>45713</v>
      </c>
      <c r="J477" s="573" t="s">
        <v>2170</v>
      </c>
    </row>
    <row r="478" spans="1:10">
      <c r="A478" s="586">
        <v>474</v>
      </c>
      <c r="B478" s="565" t="s">
        <v>2806</v>
      </c>
      <c r="C478" s="565" t="s">
        <v>2807</v>
      </c>
      <c r="D478" s="565" t="s">
        <v>2792</v>
      </c>
      <c r="E478" s="565" t="s">
        <v>2634</v>
      </c>
      <c r="F478" s="565" t="s">
        <v>2155</v>
      </c>
      <c r="G478" s="565">
        <v>2021</v>
      </c>
      <c r="H478" s="399">
        <v>44384</v>
      </c>
      <c r="I478" s="399">
        <v>46209</v>
      </c>
      <c r="J478" s="572" t="s">
        <v>2648</v>
      </c>
    </row>
    <row r="479" spans="1:10">
      <c r="A479" s="587">
        <v>475</v>
      </c>
      <c r="B479" s="564" t="s">
        <v>2808</v>
      </c>
      <c r="C479" s="564" t="s">
        <v>2809</v>
      </c>
      <c r="D479" s="564" t="s">
        <v>2792</v>
      </c>
      <c r="E479" s="564" t="s">
        <v>2634</v>
      </c>
      <c r="F479" s="564" t="s">
        <v>2155</v>
      </c>
      <c r="G479" s="564">
        <v>2022</v>
      </c>
      <c r="H479" s="398">
        <v>44572</v>
      </c>
      <c r="I479" s="398">
        <v>46397</v>
      </c>
      <c r="J479" s="573" t="s">
        <v>2251</v>
      </c>
    </row>
    <row r="480" spans="1:10">
      <c r="A480" s="586">
        <v>476</v>
      </c>
      <c r="B480" s="565" t="s">
        <v>2810</v>
      </c>
      <c r="C480" s="565" t="s">
        <v>2811</v>
      </c>
      <c r="D480" s="565" t="s">
        <v>2792</v>
      </c>
      <c r="E480" s="565" t="s">
        <v>2812</v>
      </c>
      <c r="F480" s="565" t="s">
        <v>2155</v>
      </c>
      <c r="G480" s="565">
        <v>2022</v>
      </c>
      <c r="H480" s="399">
        <v>44594</v>
      </c>
      <c r="I480" s="399">
        <v>46419</v>
      </c>
      <c r="J480" s="572" t="s">
        <v>2813</v>
      </c>
    </row>
    <row r="481" spans="1:10">
      <c r="A481" s="587">
        <v>477</v>
      </c>
      <c r="B481" s="564" t="s">
        <v>2148</v>
      </c>
      <c r="C481" s="564" t="s">
        <v>2814</v>
      </c>
      <c r="D481" s="564" t="s">
        <v>2792</v>
      </c>
      <c r="E481" s="564" t="s">
        <v>2634</v>
      </c>
      <c r="F481" s="564" t="s">
        <v>2155</v>
      </c>
      <c r="G481" s="564">
        <v>2022</v>
      </c>
      <c r="H481" s="398">
        <v>44783</v>
      </c>
      <c r="I481" s="398">
        <v>46608</v>
      </c>
      <c r="J481" s="573" t="s">
        <v>2648</v>
      </c>
    </row>
    <row r="482" spans="1:10">
      <c r="A482" s="586">
        <v>478</v>
      </c>
      <c r="B482" s="565" t="s">
        <v>2148</v>
      </c>
      <c r="C482" s="565" t="s">
        <v>2294</v>
      </c>
      <c r="D482" s="565" t="s">
        <v>2792</v>
      </c>
      <c r="E482" s="565" t="s">
        <v>2634</v>
      </c>
      <c r="F482" s="565" t="s">
        <v>2155</v>
      </c>
      <c r="G482" s="565">
        <v>2022</v>
      </c>
      <c r="H482" s="399">
        <v>44789</v>
      </c>
      <c r="I482" s="399">
        <v>46614</v>
      </c>
      <c r="J482" s="572" t="s">
        <v>2257</v>
      </c>
    </row>
    <row r="483" spans="1:10">
      <c r="A483" s="587">
        <v>479</v>
      </c>
      <c r="B483" s="564" t="s">
        <v>2815</v>
      </c>
      <c r="C483" s="564" t="s">
        <v>2816</v>
      </c>
      <c r="D483" s="564" t="s">
        <v>2792</v>
      </c>
      <c r="E483" s="564" t="s">
        <v>2817</v>
      </c>
      <c r="F483" s="564" t="s">
        <v>2155</v>
      </c>
      <c r="G483" s="564">
        <v>2022</v>
      </c>
      <c r="H483" s="398">
        <v>44797</v>
      </c>
      <c r="I483" s="398">
        <v>46622</v>
      </c>
      <c r="J483" s="573" t="s">
        <v>2648</v>
      </c>
    </row>
    <row r="484" spans="1:10">
      <c r="A484" s="586">
        <v>480</v>
      </c>
      <c r="B484" s="565" t="s">
        <v>2148</v>
      </c>
      <c r="C484" s="565" t="s">
        <v>2650</v>
      </c>
      <c r="D484" s="565" t="s">
        <v>2792</v>
      </c>
      <c r="E484" s="565" t="s">
        <v>2634</v>
      </c>
      <c r="F484" s="565" t="s">
        <v>2155</v>
      </c>
      <c r="G484" s="565">
        <v>2022</v>
      </c>
      <c r="H484" s="399">
        <v>44811</v>
      </c>
      <c r="I484" s="399">
        <v>46636</v>
      </c>
      <c r="J484" s="572" t="s">
        <v>2170</v>
      </c>
    </row>
    <row r="485" spans="1:10">
      <c r="A485" s="587">
        <v>481</v>
      </c>
      <c r="B485" s="564" t="s">
        <v>2148</v>
      </c>
      <c r="C485" s="564" t="s">
        <v>2818</v>
      </c>
      <c r="D485" s="564" t="s">
        <v>2792</v>
      </c>
      <c r="E485" s="564" t="s">
        <v>2634</v>
      </c>
      <c r="F485" s="564" t="s">
        <v>2155</v>
      </c>
      <c r="G485" s="564">
        <v>2022</v>
      </c>
      <c r="H485" s="398">
        <v>44820</v>
      </c>
      <c r="I485" s="398">
        <v>46645</v>
      </c>
      <c r="J485" s="573" t="s">
        <v>2170</v>
      </c>
    </row>
    <row r="486" spans="1:10">
      <c r="A486" s="586">
        <v>482</v>
      </c>
      <c r="B486" s="565" t="s">
        <v>2819</v>
      </c>
      <c r="C486" s="565" t="s">
        <v>503</v>
      </c>
      <c r="D486" s="565" t="s">
        <v>2792</v>
      </c>
      <c r="E486" s="565" t="s">
        <v>2634</v>
      </c>
      <c r="F486" s="565" t="s">
        <v>2155</v>
      </c>
      <c r="G486" s="565">
        <v>2012</v>
      </c>
      <c r="H486" s="399">
        <v>40935</v>
      </c>
      <c r="I486" s="399">
        <v>46765</v>
      </c>
      <c r="J486" s="572" t="s">
        <v>2251</v>
      </c>
    </row>
    <row r="487" spans="1:10">
      <c r="A487" s="587">
        <v>483</v>
      </c>
      <c r="B487" s="564" t="s">
        <v>2820</v>
      </c>
      <c r="C487" s="564" t="s">
        <v>2821</v>
      </c>
      <c r="D487" s="564" t="s">
        <v>2792</v>
      </c>
      <c r="E487" s="564" t="s">
        <v>2796</v>
      </c>
      <c r="F487" s="564" t="s">
        <v>2155</v>
      </c>
      <c r="G487" s="564">
        <v>2023</v>
      </c>
      <c r="H487" s="398">
        <v>44977</v>
      </c>
      <c r="I487" s="398">
        <v>46802</v>
      </c>
      <c r="J487" s="573" t="s">
        <v>2822</v>
      </c>
    </row>
    <row r="488" spans="1:10">
      <c r="A488" s="586">
        <v>484</v>
      </c>
      <c r="B488" s="565" t="s">
        <v>2693</v>
      </c>
      <c r="C488" s="565" t="s">
        <v>2823</v>
      </c>
      <c r="D488" s="565" t="s">
        <v>2792</v>
      </c>
      <c r="E488" s="565" t="s">
        <v>2634</v>
      </c>
      <c r="F488" s="565" t="s">
        <v>2155</v>
      </c>
      <c r="G488" s="565">
        <v>2023</v>
      </c>
      <c r="H488" s="399">
        <v>45028</v>
      </c>
      <c r="I488" s="399">
        <v>46854</v>
      </c>
      <c r="J488" s="572" t="s">
        <v>2716</v>
      </c>
    </row>
    <row r="489" spans="1:10">
      <c r="A489" s="587">
        <v>485</v>
      </c>
      <c r="B489" s="564" t="s">
        <v>2824</v>
      </c>
      <c r="C489" s="564" t="s">
        <v>2825</v>
      </c>
      <c r="D489" s="564" t="s">
        <v>2792</v>
      </c>
      <c r="E489" s="564" t="s">
        <v>2634</v>
      </c>
      <c r="F489" s="564" t="s">
        <v>2155</v>
      </c>
      <c r="G489" s="564">
        <v>2023</v>
      </c>
      <c r="H489" s="398">
        <v>45145</v>
      </c>
      <c r="I489" s="398">
        <v>46971</v>
      </c>
      <c r="J489" s="573" t="s">
        <v>2770</v>
      </c>
    </row>
    <row r="490" spans="1:10">
      <c r="A490" s="586">
        <v>486</v>
      </c>
      <c r="B490" s="565" t="s">
        <v>2826</v>
      </c>
      <c r="C490" s="565" t="s">
        <v>2827</v>
      </c>
      <c r="D490" s="565" t="s">
        <v>2792</v>
      </c>
      <c r="E490" s="565" t="s">
        <v>2634</v>
      </c>
      <c r="F490" s="565" t="s">
        <v>2155</v>
      </c>
      <c r="G490" s="565">
        <v>2023</v>
      </c>
      <c r="H490" s="399">
        <v>45224</v>
      </c>
      <c r="I490" s="399">
        <v>47050</v>
      </c>
      <c r="J490" s="572" t="s">
        <v>2675</v>
      </c>
    </row>
    <row r="491" spans="1:10">
      <c r="A491" s="587">
        <v>487</v>
      </c>
      <c r="B491" s="564" t="s">
        <v>2828</v>
      </c>
      <c r="C491" s="564" t="s">
        <v>2827</v>
      </c>
      <c r="D491" s="564" t="s">
        <v>2792</v>
      </c>
      <c r="E491" s="564" t="s">
        <v>2634</v>
      </c>
      <c r="F491" s="564" t="s">
        <v>2155</v>
      </c>
      <c r="G491" s="564">
        <v>2023</v>
      </c>
      <c r="H491" s="398">
        <v>45226</v>
      </c>
      <c r="I491" s="398">
        <v>47052</v>
      </c>
      <c r="J491" s="573" t="s">
        <v>2675</v>
      </c>
    </row>
    <row r="492" spans="1:10">
      <c r="A492" s="586">
        <v>488</v>
      </c>
      <c r="B492" s="565" t="s">
        <v>2148</v>
      </c>
      <c r="C492" s="565" t="s">
        <v>2829</v>
      </c>
      <c r="D492" s="565" t="s">
        <v>2830</v>
      </c>
      <c r="E492" s="565" t="s">
        <v>2634</v>
      </c>
      <c r="F492" s="565" t="s">
        <v>2831</v>
      </c>
      <c r="G492" s="565">
        <v>2023</v>
      </c>
      <c r="H492" s="399">
        <v>45048</v>
      </c>
      <c r="I492" s="399">
        <v>45231</v>
      </c>
      <c r="J492" s="572" t="s">
        <v>2251</v>
      </c>
    </row>
    <row r="493" spans="1:10">
      <c r="A493" s="587">
        <v>489</v>
      </c>
      <c r="B493" s="564" t="s">
        <v>2148</v>
      </c>
      <c r="C493" s="564" t="s">
        <v>2832</v>
      </c>
      <c r="D493" s="564" t="s">
        <v>2830</v>
      </c>
      <c r="E493" s="564" t="s">
        <v>2793</v>
      </c>
      <c r="F493" s="564" t="s">
        <v>2155</v>
      </c>
      <c r="G493" s="564">
        <v>2023</v>
      </c>
      <c r="H493" s="398">
        <v>45230</v>
      </c>
      <c r="I493" s="398">
        <v>45411</v>
      </c>
      <c r="J493" s="573" t="s">
        <v>2204</v>
      </c>
    </row>
    <row r="494" spans="1:10">
      <c r="A494" s="586">
        <v>490</v>
      </c>
      <c r="B494" s="565" t="s">
        <v>2165</v>
      </c>
      <c r="C494" s="565" t="s">
        <v>2215</v>
      </c>
      <c r="D494" s="565" t="s">
        <v>2830</v>
      </c>
      <c r="E494" s="565" t="s">
        <v>2263</v>
      </c>
      <c r="F494" s="565" t="s">
        <v>2155</v>
      </c>
      <c r="G494" s="565">
        <v>2023</v>
      </c>
      <c r="H494" s="399">
        <v>45253</v>
      </c>
      <c r="I494" s="399">
        <v>45434</v>
      </c>
      <c r="J494" s="572" t="s">
        <v>2142</v>
      </c>
    </row>
    <row r="495" spans="1:10">
      <c r="A495" s="587">
        <v>491</v>
      </c>
      <c r="B495" s="564" t="s">
        <v>2148</v>
      </c>
      <c r="C495" s="564" t="s">
        <v>2225</v>
      </c>
      <c r="D495" s="564" t="s">
        <v>2830</v>
      </c>
      <c r="E495" s="564" t="s">
        <v>2169</v>
      </c>
      <c r="F495" s="564" t="s">
        <v>2155</v>
      </c>
      <c r="G495" s="564">
        <v>2023</v>
      </c>
      <c r="H495" s="398">
        <v>45279</v>
      </c>
      <c r="I495" s="398">
        <v>45461</v>
      </c>
      <c r="J495" s="573" t="s">
        <v>2299</v>
      </c>
    </row>
    <row r="496" spans="1:10">
      <c r="A496" s="586">
        <v>492</v>
      </c>
      <c r="B496" s="565" t="s">
        <v>2833</v>
      </c>
      <c r="C496" s="565" t="s">
        <v>2834</v>
      </c>
      <c r="D496" s="565" t="s">
        <v>2830</v>
      </c>
      <c r="E496" s="565" t="s">
        <v>2812</v>
      </c>
      <c r="F496" s="565" t="s">
        <v>2155</v>
      </c>
      <c r="G496" s="565">
        <v>2022</v>
      </c>
      <c r="H496" s="399">
        <v>44784</v>
      </c>
      <c r="I496" s="399">
        <v>45520</v>
      </c>
      <c r="J496" s="572" t="s">
        <v>2835</v>
      </c>
    </row>
    <row r="497" spans="1:10">
      <c r="A497" s="587">
        <v>493</v>
      </c>
      <c r="B497" s="564" t="s">
        <v>2836</v>
      </c>
      <c r="C497" s="564" t="s">
        <v>2834</v>
      </c>
      <c r="D497" s="564" t="s">
        <v>2830</v>
      </c>
      <c r="E497" s="564" t="s">
        <v>2812</v>
      </c>
      <c r="F497" s="564" t="s">
        <v>2155</v>
      </c>
      <c r="G497" s="564">
        <v>2022</v>
      </c>
      <c r="H497" s="398">
        <v>44620</v>
      </c>
      <c r="I497" s="398">
        <v>45520</v>
      </c>
      <c r="J497" s="573" t="s">
        <v>2837</v>
      </c>
    </row>
    <row r="498" spans="1:10">
      <c r="A498" s="586">
        <v>494</v>
      </c>
      <c r="B498" s="565" t="s">
        <v>2148</v>
      </c>
      <c r="C498" s="565" t="s">
        <v>2838</v>
      </c>
      <c r="D498" s="565" t="s">
        <v>2830</v>
      </c>
      <c r="E498" s="565" t="s">
        <v>2634</v>
      </c>
      <c r="F498" s="565" t="s">
        <v>2155</v>
      </c>
      <c r="G498" s="565">
        <v>2023</v>
      </c>
      <c r="H498" s="399">
        <v>45183</v>
      </c>
      <c r="I498" s="399">
        <v>45364</v>
      </c>
      <c r="J498" s="572" t="s">
        <v>2675</v>
      </c>
    </row>
    <row r="499" spans="1:10">
      <c r="A499" s="587">
        <v>495</v>
      </c>
      <c r="B499" s="564" t="s">
        <v>2839</v>
      </c>
      <c r="C499" s="564" t="s">
        <v>2840</v>
      </c>
      <c r="D499" s="564" t="s">
        <v>2841</v>
      </c>
      <c r="E499" s="564" t="s">
        <v>2842</v>
      </c>
      <c r="F499" s="564" t="s">
        <v>2137</v>
      </c>
      <c r="G499" s="564">
        <v>1998</v>
      </c>
      <c r="H499" s="398">
        <v>35807</v>
      </c>
      <c r="I499" s="398">
        <v>44937</v>
      </c>
      <c r="J499" s="573" t="s">
        <v>2242</v>
      </c>
    </row>
    <row r="500" spans="1:10">
      <c r="A500" s="586">
        <v>496</v>
      </c>
      <c r="B500" s="565" t="s">
        <v>2843</v>
      </c>
      <c r="C500" s="565" t="s">
        <v>496</v>
      </c>
      <c r="D500" s="565" t="s">
        <v>2841</v>
      </c>
      <c r="E500" s="565" t="s">
        <v>2844</v>
      </c>
      <c r="F500" s="565" t="s">
        <v>2137</v>
      </c>
      <c r="G500" s="565">
        <v>1988</v>
      </c>
      <c r="H500" s="399">
        <v>32289</v>
      </c>
      <c r="I500" s="399">
        <v>45072</v>
      </c>
      <c r="J500" s="572" t="s">
        <v>2845</v>
      </c>
    </row>
    <row r="501" spans="1:10">
      <c r="A501" s="587">
        <v>497</v>
      </c>
      <c r="B501" s="564" t="s">
        <v>2846</v>
      </c>
      <c r="C501" s="564" t="s">
        <v>416</v>
      </c>
      <c r="D501" s="564" t="s">
        <v>2841</v>
      </c>
      <c r="E501" s="564" t="s">
        <v>2812</v>
      </c>
      <c r="F501" s="564" t="s">
        <v>2155</v>
      </c>
      <c r="G501" s="564">
        <v>1999</v>
      </c>
      <c r="H501" s="398">
        <v>36452</v>
      </c>
      <c r="I501" s="398">
        <v>45583</v>
      </c>
      <c r="J501" s="573" t="s">
        <v>2847</v>
      </c>
    </row>
    <row r="502" spans="1:10">
      <c r="A502" s="586">
        <v>498</v>
      </c>
      <c r="B502" s="565" t="s">
        <v>2848</v>
      </c>
      <c r="C502" s="565" t="s">
        <v>416</v>
      </c>
      <c r="D502" s="565" t="s">
        <v>2841</v>
      </c>
      <c r="E502" s="565" t="s">
        <v>2812</v>
      </c>
      <c r="F502" s="565" t="s">
        <v>2155</v>
      </c>
      <c r="G502" s="565">
        <v>1999</v>
      </c>
      <c r="H502" s="399">
        <v>36452</v>
      </c>
      <c r="I502" s="399">
        <v>45584</v>
      </c>
      <c r="J502" s="572" t="s">
        <v>2849</v>
      </c>
    </row>
    <row r="503" spans="1:10">
      <c r="A503" s="587">
        <v>499</v>
      </c>
      <c r="B503" s="564" t="s">
        <v>2850</v>
      </c>
      <c r="C503" s="564" t="s">
        <v>2851</v>
      </c>
      <c r="D503" s="564" t="s">
        <v>2841</v>
      </c>
      <c r="E503" s="564" t="s">
        <v>2136</v>
      </c>
      <c r="F503" s="564" t="s">
        <v>2155</v>
      </c>
      <c r="G503" s="564">
        <v>2000</v>
      </c>
      <c r="H503" s="398">
        <v>36578</v>
      </c>
      <c r="I503" s="398">
        <v>45709</v>
      </c>
      <c r="J503" s="573" t="s">
        <v>2146</v>
      </c>
    </row>
    <row r="504" spans="1:10">
      <c r="A504" s="586">
        <v>500</v>
      </c>
      <c r="B504" s="565" t="s">
        <v>2852</v>
      </c>
      <c r="C504" s="565" t="s">
        <v>2851</v>
      </c>
      <c r="D504" s="565" t="s">
        <v>2841</v>
      </c>
      <c r="E504" s="565" t="s">
        <v>2141</v>
      </c>
      <c r="F504" s="565" t="s">
        <v>2155</v>
      </c>
      <c r="G504" s="565">
        <v>2009</v>
      </c>
      <c r="H504" s="399">
        <v>40102</v>
      </c>
      <c r="I504" s="399">
        <v>45710</v>
      </c>
      <c r="J504" s="572" t="s">
        <v>2142</v>
      </c>
    </row>
    <row r="505" spans="1:10">
      <c r="A505" s="587">
        <v>501</v>
      </c>
      <c r="B505" s="564" t="s">
        <v>2853</v>
      </c>
      <c r="C505" s="564" t="s">
        <v>2854</v>
      </c>
      <c r="D505" s="564" t="s">
        <v>2841</v>
      </c>
      <c r="E505" s="564" t="s">
        <v>2855</v>
      </c>
      <c r="F505" s="564" t="s">
        <v>2155</v>
      </c>
      <c r="G505" s="564">
        <v>2004</v>
      </c>
      <c r="H505" s="398">
        <v>38139</v>
      </c>
      <c r="I505" s="398">
        <v>46693</v>
      </c>
      <c r="J505" s="573" t="s">
        <v>2675</v>
      </c>
    </row>
    <row r="506" spans="1:10">
      <c r="A506" s="586">
        <v>502</v>
      </c>
      <c r="B506" s="565" t="s">
        <v>2856</v>
      </c>
      <c r="C506" s="565" t="s">
        <v>2857</v>
      </c>
      <c r="D506" s="565" t="s">
        <v>2841</v>
      </c>
      <c r="E506" s="565" t="s">
        <v>2136</v>
      </c>
      <c r="F506" s="565" t="s">
        <v>2155</v>
      </c>
      <c r="G506" s="565">
        <v>2006</v>
      </c>
      <c r="H506" s="399">
        <v>38826</v>
      </c>
      <c r="I506" s="399">
        <v>47956</v>
      </c>
      <c r="J506" s="572" t="s">
        <v>2150</v>
      </c>
    </row>
    <row r="507" spans="1:10">
      <c r="A507" s="587">
        <v>503</v>
      </c>
      <c r="B507" s="564" t="s">
        <v>2858</v>
      </c>
      <c r="C507" s="564" t="s">
        <v>2857</v>
      </c>
      <c r="D507" s="564" t="s">
        <v>2841</v>
      </c>
      <c r="E507" s="564" t="s">
        <v>2136</v>
      </c>
      <c r="F507" s="564" t="s">
        <v>2155</v>
      </c>
      <c r="G507" s="564">
        <v>2006</v>
      </c>
      <c r="H507" s="398">
        <v>38826</v>
      </c>
      <c r="I507" s="398">
        <v>47957</v>
      </c>
      <c r="J507" s="573" t="s">
        <v>2859</v>
      </c>
    </row>
    <row r="508" spans="1:10">
      <c r="A508" s="586">
        <v>504</v>
      </c>
      <c r="B508" s="565" t="s">
        <v>2247</v>
      </c>
      <c r="C508" s="565" t="s">
        <v>2860</v>
      </c>
      <c r="D508" s="565" t="s">
        <v>2841</v>
      </c>
      <c r="E508" s="565" t="s">
        <v>2634</v>
      </c>
      <c r="F508" s="565" t="s">
        <v>2155</v>
      </c>
      <c r="G508" s="565">
        <v>2016</v>
      </c>
      <c r="H508" s="399">
        <v>42565</v>
      </c>
      <c r="I508" s="399">
        <v>48043</v>
      </c>
      <c r="J508" s="572" t="s">
        <v>2170</v>
      </c>
    </row>
    <row r="509" spans="1:10">
      <c r="A509" s="587">
        <v>505</v>
      </c>
      <c r="B509" s="564" t="s">
        <v>2861</v>
      </c>
      <c r="C509" s="564" t="s">
        <v>200</v>
      </c>
      <c r="D509" s="564" t="s">
        <v>2841</v>
      </c>
      <c r="E509" s="564" t="s">
        <v>2796</v>
      </c>
      <c r="F509" s="564" t="s">
        <v>2155</v>
      </c>
      <c r="G509" s="564">
        <v>2007</v>
      </c>
      <c r="H509" s="398">
        <v>39388</v>
      </c>
      <c r="I509" s="398">
        <v>48520</v>
      </c>
      <c r="J509" s="573" t="s">
        <v>2862</v>
      </c>
    </row>
    <row r="510" spans="1:10">
      <c r="A510" s="586">
        <v>506</v>
      </c>
      <c r="B510" s="565" t="s">
        <v>2863</v>
      </c>
      <c r="C510" s="565" t="s">
        <v>2215</v>
      </c>
      <c r="D510" s="565" t="s">
        <v>2841</v>
      </c>
      <c r="E510" s="565" t="s">
        <v>2136</v>
      </c>
      <c r="F510" s="565" t="s">
        <v>2155</v>
      </c>
      <c r="G510" s="565">
        <v>2006</v>
      </c>
      <c r="H510" s="399">
        <v>38826</v>
      </c>
      <c r="I510" s="399">
        <v>48688</v>
      </c>
      <c r="J510" s="572" t="s">
        <v>2138</v>
      </c>
    </row>
    <row r="511" spans="1:10">
      <c r="A511" s="587">
        <v>507</v>
      </c>
      <c r="B511" s="564" t="s">
        <v>2864</v>
      </c>
      <c r="C511" s="564" t="s">
        <v>2865</v>
      </c>
      <c r="D511" s="564" t="s">
        <v>2841</v>
      </c>
      <c r="E511" s="564" t="s">
        <v>2866</v>
      </c>
      <c r="F511" s="564" t="s">
        <v>2155</v>
      </c>
      <c r="G511" s="564">
        <v>2008</v>
      </c>
      <c r="H511" s="398">
        <v>39794</v>
      </c>
      <c r="I511" s="398">
        <v>48924</v>
      </c>
      <c r="J511" s="573" t="s">
        <v>2867</v>
      </c>
    </row>
    <row r="512" spans="1:10">
      <c r="A512" s="586">
        <v>508</v>
      </c>
      <c r="B512" s="565" t="s">
        <v>2148</v>
      </c>
      <c r="C512" s="565" t="s">
        <v>2868</v>
      </c>
      <c r="D512" s="565" t="s">
        <v>2841</v>
      </c>
      <c r="E512" s="565" t="s">
        <v>2812</v>
      </c>
      <c r="F512" s="565" t="s">
        <v>2155</v>
      </c>
      <c r="G512" s="565">
        <v>1959</v>
      </c>
      <c r="H512" s="399">
        <v>21551</v>
      </c>
      <c r="I512" s="399">
        <v>48945</v>
      </c>
      <c r="J512" s="572" t="s">
        <v>2869</v>
      </c>
    </row>
    <row r="513" spans="1:10">
      <c r="A513" s="587">
        <v>509</v>
      </c>
      <c r="B513" s="564" t="s">
        <v>2870</v>
      </c>
      <c r="C513" s="564" t="s">
        <v>524</v>
      </c>
      <c r="D513" s="564" t="s">
        <v>2841</v>
      </c>
      <c r="E513" s="564" t="s">
        <v>2812</v>
      </c>
      <c r="F513" s="564" t="s">
        <v>2155</v>
      </c>
      <c r="G513" s="564">
        <v>2011</v>
      </c>
      <c r="H513" s="398">
        <v>40702</v>
      </c>
      <c r="I513" s="398">
        <v>49834</v>
      </c>
      <c r="J513" s="573" t="s">
        <v>2871</v>
      </c>
    </row>
    <row r="514" spans="1:10">
      <c r="A514" s="586">
        <v>510</v>
      </c>
      <c r="B514" s="565" t="s">
        <v>2872</v>
      </c>
      <c r="C514" s="565" t="s">
        <v>2873</v>
      </c>
      <c r="D514" s="565" t="s">
        <v>2841</v>
      </c>
      <c r="E514" s="565" t="s">
        <v>2634</v>
      </c>
      <c r="F514" s="565" t="s">
        <v>2155</v>
      </c>
      <c r="G514" s="565">
        <v>2005</v>
      </c>
      <c r="H514" s="399">
        <v>38512</v>
      </c>
      <c r="I514" s="399">
        <v>51247</v>
      </c>
      <c r="J514" s="572" t="s">
        <v>2874</v>
      </c>
    </row>
    <row r="515" spans="1:10">
      <c r="A515" s="587">
        <v>511</v>
      </c>
      <c r="B515" s="564" t="s">
        <v>2875</v>
      </c>
      <c r="C515" s="564" t="s">
        <v>2876</v>
      </c>
      <c r="D515" s="564" t="s">
        <v>2841</v>
      </c>
      <c r="E515" s="564" t="s">
        <v>2877</v>
      </c>
      <c r="F515" s="564" t="s">
        <v>2155</v>
      </c>
      <c r="G515" s="564">
        <v>2015</v>
      </c>
      <c r="H515" s="398">
        <v>42263</v>
      </c>
      <c r="I515" s="398">
        <v>51395</v>
      </c>
      <c r="J515" s="573" t="s">
        <v>2878</v>
      </c>
    </row>
    <row r="516" spans="1:10">
      <c r="A516" s="586">
        <v>512</v>
      </c>
      <c r="B516" s="565" t="s">
        <v>2879</v>
      </c>
      <c r="C516" s="565" t="s">
        <v>2840</v>
      </c>
      <c r="D516" s="565" t="s">
        <v>2841</v>
      </c>
      <c r="E516" s="565" t="s">
        <v>2842</v>
      </c>
      <c r="F516" s="565" t="s">
        <v>2155</v>
      </c>
      <c r="G516" s="565">
        <v>1985</v>
      </c>
      <c r="H516" s="399">
        <v>31156</v>
      </c>
      <c r="I516" s="399"/>
      <c r="J516" s="572" t="s">
        <v>2845</v>
      </c>
    </row>
    <row r="517" spans="1:10">
      <c r="A517" s="587">
        <v>513</v>
      </c>
      <c r="B517" s="564" t="s">
        <v>2880</v>
      </c>
      <c r="C517" s="564" t="s">
        <v>2840</v>
      </c>
      <c r="D517" s="564" t="s">
        <v>2841</v>
      </c>
      <c r="E517" s="564" t="s">
        <v>2881</v>
      </c>
      <c r="F517" s="564" t="s">
        <v>2155</v>
      </c>
      <c r="G517" s="564">
        <v>1985</v>
      </c>
      <c r="H517" s="398">
        <v>31156</v>
      </c>
      <c r="I517" s="398"/>
      <c r="J517" s="573" t="s">
        <v>2845</v>
      </c>
    </row>
    <row r="518" spans="1:10">
      <c r="A518" s="586">
        <v>514</v>
      </c>
      <c r="B518" s="565" t="s">
        <v>2882</v>
      </c>
      <c r="C518" s="565" t="s">
        <v>2840</v>
      </c>
      <c r="D518" s="565" t="s">
        <v>2841</v>
      </c>
      <c r="E518" s="565" t="s">
        <v>2881</v>
      </c>
      <c r="F518" s="565" t="s">
        <v>2155</v>
      </c>
      <c r="G518" s="565">
        <v>1985</v>
      </c>
      <c r="H518" s="399">
        <v>31156</v>
      </c>
      <c r="I518" s="399"/>
      <c r="J518" s="572" t="s">
        <v>2158</v>
      </c>
    </row>
    <row r="519" spans="1:10">
      <c r="A519" s="587">
        <v>515</v>
      </c>
      <c r="B519" s="564"/>
      <c r="C519" s="564" t="s">
        <v>2883</v>
      </c>
      <c r="D519" s="564" t="s">
        <v>2841</v>
      </c>
      <c r="E519" s="564" t="s">
        <v>2884</v>
      </c>
      <c r="F519" s="564" t="s">
        <v>2155</v>
      </c>
      <c r="G519" s="564">
        <v>1979</v>
      </c>
      <c r="H519" s="398">
        <v>28864</v>
      </c>
      <c r="I519" s="398">
        <v>56257</v>
      </c>
      <c r="J519" s="573" t="s">
        <v>2885</v>
      </c>
    </row>
    <row r="520" spans="1:10">
      <c r="A520" s="586">
        <v>516</v>
      </c>
      <c r="B520" s="565" t="s">
        <v>2886</v>
      </c>
      <c r="C520" s="565" t="s">
        <v>2495</v>
      </c>
      <c r="D520" s="565" t="s">
        <v>2887</v>
      </c>
      <c r="E520" s="565" t="s">
        <v>2634</v>
      </c>
      <c r="F520" s="565" t="s">
        <v>2155</v>
      </c>
      <c r="G520" s="565">
        <v>2014</v>
      </c>
      <c r="H520" s="399">
        <v>41680</v>
      </c>
      <c r="I520" s="399"/>
      <c r="J520" s="572" t="s">
        <v>2716</v>
      </c>
    </row>
    <row r="521" spans="1:10">
      <c r="A521" s="587">
        <v>517</v>
      </c>
      <c r="B521" s="564" t="s">
        <v>2888</v>
      </c>
      <c r="C521" s="564" t="s">
        <v>2495</v>
      </c>
      <c r="D521" s="564" t="s">
        <v>2887</v>
      </c>
      <c r="E521" s="564" t="s">
        <v>2634</v>
      </c>
      <c r="F521" s="564" t="s">
        <v>2155</v>
      </c>
      <c r="G521" s="564">
        <v>2014</v>
      </c>
      <c r="H521" s="398">
        <v>41680</v>
      </c>
      <c r="I521" s="398"/>
      <c r="J521" s="573" t="s">
        <v>2716</v>
      </c>
    </row>
    <row r="522" spans="1:10">
      <c r="A522" s="586">
        <v>518</v>
      </c>
      <c r="B522" s="565" t="s">
        <v>2889</v>
      </c>
      <c r="C522" s="565" t="s">
        <v>2495</v>
      </c>
      <c r="D522" s="565" t="s">
        <v>2887</v>
      </c>
      <c r="E522" s="565" t="s">
        <v>2634</v>
      </c>
      <c r="F522" s="565" t="s">
        <v>2155</v>
      </c>
      <c r="G522" s="565">
        <v>2014</v>
      </c>
      <c r="H522" s="399">
        <v>41680</v>
      </c>
      <c r="I522" s="399"/>
      <c r="J522" s="572" t="s">
        <v>2890</v>
      </c>
    </row>
    <row r="523" spans="1:10">
      <c r="A523" s="587">
        <v>519</v>
      </c>
      <c r="B523" s="564" t="s">
        <v>2891</v>
      </c>
      <c r="C523" s="564" t="s">
        <v>2495</v>
      </c>
      <c r="D523" s="564" t="s">
        <v>2887</v>
      </c>
      <c r="E523" s="564" t="s">
        <v>2634</v>
      </c>
      <c r="F523" s="564" t="s">
        <v>2155</v>
      </c>
      <c r="G523" s="564">
        <v>2014</v>
      </c>
      <c r="H523" s="398">
        <v>41680</v>
      </c>
      <c r="I523" s="398"/>
      <c r="J523" s="573" t="s">
        <v>2675</v>
      </c>
    </row>
    <row r="524" spans="1:10">
      <c r="A524" s="586">
        <v>520</v>
      </c>
      <c r="B524" s="565" t="s">
        <v>2892</v>
      </c>
      <c r="C524" s="565" t="s">
        <v>2495</v>
      </c>
      <c r="D524" s="565" t="s">
        <v>2887</v>
      </c>
      <c r="E524" s="565" t="s">
        <v>2634</v>
      </c>
      <c r="F524" s="565" t="s">
        <v>2155</v>
      </c>
      <c r="G524" s="565">
        <v>2014</v>
      </c>
      <c r="H524" s="399">
        <v>41680</v>
      </c>
      <c r="I524" s="399"/>
      <c r="J524" s="572" t="s">
        <v>2251</v>
      </c>
    </row>
    <row r="525" spans="1:10">
      <c r="A525" s="587">
        <v>521</v>
      </c>
      <c r="B525" s="564" t="s">
        <v>2893</v>
      </c>
      <c r="C525" s="564" t="s">
        <v>2495</v>
      </c>
      <c r="D525" s="564" t="s">
        <v>2887</v>
      </c>
      <c r="E525" s="564" t="s">
        <v>2634</v>
      </c>
      <c r="F525" s="564" t="s">
        <v>2155</v>
      </c>
      <c r="G525" s="564">
        <v>2014</v>
      </c>
      <c r="H525" s="398">
        <v>41680</v>
      </c>
      <c r="I525" s="398"/>
      <c r="J525" s="573" t="s">
        <v>2170</v>
      </c>
    </row>
    <row r="526" spans="1:10">
      <c r="A526" s="586">
        <v>522</v>
      </c>
      <c r="B526" s="565" t="s">
        <v>2894</v>
      </c>
      <c r="C526" s="565" t="s">
        <v>2495</v>
      </c>
      <c r="D526" s="565" t="s">
        <v>2887</v>
      </c>
      <c r="E526" s="565" t="s">
        <v>2634</v>
      </c>
      <c r="F526" s="565" t="s">
        <v>2155</v>
      </c>
      <c r="G526" s="565">
        <v>2014</v>
      </c>
      <c r="H526" s="399">
        <v>41680</v>
      </c>
      <c r="I526" s="399"/>
      <c r="J526" s="572" t="s">
        <v>2170</v>
      </c>
    </row>
    <row r="527" spans="1:10">
      <c r="A527" s="587">
        <v>523</v>
      </c>
      <c r="B527" s="564" t="s">
        <v>2895</v>
      </c>
      <c r="C527" s="564" t="s">
        <v>2495</v>
      </c>
      <c r="D527" s="564" t="s">
        <v>2887</v>
      </c>
      <c r="E527" s="564" t="s">
        <v>2634</v>
      </c>
      <c r="F527" s="564" t="s">
        <v>2155</v>
      </c>
      <c r="G527" s="564">
        <v>2014</v>
      </c>
      <c r="H527" s="398">
        <v>41680</v>
      </c>
      <c r="I527" s="398"/>
      <c r="J527" s="573" t="s">
        <v>2251</v>
      </c>
    </row>
    <row r="528" spans="1:10">
      <c r="A528" s="586">
        <v>524</v>
      </c>
      <c r="B528" s="565" t="s">
        <v>2896</v>
      </c>
      <c r="C528" s="565" t="s">
        <v>2495</v>
      </c>
      <c r="D528" s="565" t="s">
        <v>2887</v>
      </c>
      <c r="E528" s="565" t="s">
        <v>2634</v>
      </c>
      <c r="F528" s="565" t="s">
        <v>2155</v>
      </c>
      <c r="G528" s="565">
        <v>2014</v>
      </c>
      <c r="H528" s="399">
        <v>41680</v>
      </c>
      <c r="I528" s="399"/>
      <c r="J528" s="572" t="s">
        <v>2251</v>
      </c>
    </row>
    <row r="529" spans="1:10">
      <c r="A529" s="587">
        <v>525</v>
      </c>
      <c r="B529" s="564" t="s">
        <v>2897</v>
      </c>
      <c r="C529" s="564" t="s">
        <v>2495</v>
      </c>
      <c r="D529" s="564" t="s">
        <v>2887</v>
      </c>
      <c r="E529" s="564" t="s">
        <v>2634</v>
      </c>
      <c r="F529" s="564" t="s">
        <v>2155</v>
      </c>
      <c r="G529" s="564">
        <v>2014</v>
      </c>
      <c r="H529" s="398">
        <v>41680</v>
      </c>
      <c r="I529" s="398"/>
      <c r="J529" s="573" t="s">
        <v>2251</v>
      </c>
    </row>
    <row r="530" spans="1:10">
      <c r="A530" s="586">
        <v>526</v>
      </c>
      <c r="B530" s="565" t="s">
        <v>2898</v>
      </c>
      <c r="C530" s="565" t="s">
        <v>2495</v>
      </c>
      <c r="D530" s="565" t="s">
        <v>2887</v>
      </c>
      <c r="E530" s="565" t="s">
        <v>2634</v>
      </c>
      <c r="F530" s="565" t="s">
        <v>2155</v>
      </c>
      <c r="G530" s="565">
        <v>2014</v>
      </c>
      <c r="H530" s="399">
        <v>41680</v>
      </c>
      <c r="I530" s="399"/>
      <c r="J530" s="572" t="s">
        <v>2899</v>
      </c>
    </row>
    <row r="531" spans="1:10">
      <c r="A531" s="587">
        <v>527</v>
      </c>
      <c r="B531" s="564" t="s">
        <v>2900</v>
      </c>
      <c r="C531" s="564" t="s">
        <v>2495</v>
      </c>
      <c r="D531" s="564" t="s">
        <v>2887</v>
      </c>
      <c r="E531" s="564" t="s">
        <v>2634</v>
      </c>
      <c r="F531" s="564" t="s">
        <v>2155</v>
      </c>
      <c r="G531" s="564">
        <v>2014</v>
      </c>
      <c r="H531" s="398">
        <v>41680</v>
      </c>
      <c r="I531" s="398"/>
      <c r="J531" s="573" t="s">
        <v>2733</v>
      </c>
    </row>
    <row r="532" spans="1:10">
      <c r="A532" s="586">
        <v>528</v>
      </c>
      <c r="B532" s="565" t="s">
        <v>2901</v>
      </c>
      <c r="C532" s="565" t="s">
        <v>2495</v>
      </c>
      <c r="D532" s="565" t="s">
        <v>2887</v>
      </c>
      <c r="E532" s="565" t="s">
        <v>2634</v>
      </c>
      <c r="F532" s="565" t="s">
        <v>2155</v>
      </c>
      <c r="G532" s="565">
        <v>2014</v>
      </c>
      <c r="H532" s="399">
        <v>41680</v>
      </c>
      <c r="I532" s="399"/>
      <c r="J532" s="572" t="s">
        <v>2251</v>
      </c>
    </row>
    <row r="533" spans="1:10">
      <c r="A533" s="587">
        <v>529</v>
      </c>
      <c r="B533" s="564" t="s">
        <v>2902</v>
      </c>
      <c r="C533" s="564" t="s">
        <v>2495</v>
      </c>
      <c r="D533" s="564" t="s">
        <v>2887</v>
      </c>
      <c r="E533" s="564" t="s">
        <v>2634</v>
      </c>
      <c r="F533" s="564" t="s">
        <v>2155</v>
      </c>
      <c r="G533" s="564">
        <v>2014</v>
      </c>
      <c r="H533" s="398">
        <v>41680</v>
      </c>
      <c r="I533" s="398"/>
      <c r="J533" s="573" t="s">
        <v>2648</v>
      </c>
    </row>
    <row r="534" spans="1:10">
      <c r="A534" s="586">
        <v>530</v>
      </c>
      <c r="B534" s="565" t="s">
        <v>2903</v>
      </c>
      <c r="C534" s="565" t="s">
        <v>2495</v>
      </c>
      <c r="D534" s="565" t="s">
        <v>2887</v>
      </c>
      <c r="E534" s="565" t="s">
        <v>2634</v>
      </c>
      <c r="F534" s="565" t="s">
        <v>2155</v>
      </c>
      <c r="G534" s="565">
        <v>2014</v>
      </c>
      <c r="H534" s="399">
        <v>41680</v>
      </c>
      <c r="I534" s="399"/>
      <c r="J534" s="572" t="s">
        <v>2648</v>
      </c>
    </row>
    <row r="535" spans="1:10">
      <c r="A535" s="587">
        <v>531</v>
      </c>
      <c r="B535" s="564" t="s">
        <v>2904</v>
      </c>
      <c r="C535" s="564" t="s">
        <v>2495</v>
      </c>
      <c r="D535" s="564" t="s">
        <v>2887</v>
      </c>
      <c r="E535" s="564" t="s">
        <v>2634</v>
      </c>
      <c r="F535" s="564" t="s">
        <v>2155</v>
      </c>
      <c r="G535" s="564">
        <v>2014</v>
      </c>
      <c r="H535" s="398">
        <v>41680</v>
      </c>
      <c r="I535" s="398"/>
      <c r="J535" s="573" t="s">
        <v>2675</v>
      </c>
    </row>
    <row r="536" spans="1:10">
      <c r="A536" s="586">
        <v>532</v>
      </c>
      <c r="B536" s="565" t="s">
        <v>2905</v>
      </c>
      <c r="C536" s="565" t="s">
        <v>2495</v>
      </c>
      <c r="D536" s="565" t="s">
        <v>2887</v>
      </c>
      <c r="E536" s="565" t="s">
        <v>2634</v>
      </c>
      <c r="F536" s="565" t="s">
        <v>2155</v>
      </c>
      <c r="G536" s="565">
        <v>2014</v>
      </c>
      <c r="H536" s="399">
        <v>41680</v>
      </c>
      <c r="I536" s="399"/>
      <c r="J536" s="572" t="s">
        <v>2648</v>
      </c>
    </row>
    <row r="537" spans="1:10">
      <c r="A537" s="587">
        <v>533</v>
      </c>
      <c r="B537" s="564" t="s">
        <v>2906</v>
      </c>
      <c r="C537" s="564" t="s">
        <v>2495</v>
      </c>
      <c r="D537" s="564" t="s">
        <v>2887</v>
      </c>
      <c r="E537" s="564" t="s">
        <v>2634</v>
      </c>
      <c r="F537" s="564" t="s">
        <v>2155</v>
      </c>
      <c r="G537" s="564">
        <v>2014</v>
      </c>
      <c r="H537" s="398">
        <v>41680</v>
      </c>
      <c r="I537" s="398"/>
      <c r="J537" s="573" t="s">
        <v>2675</v>
      </c>
    </row>
    <row r="538" spans="1:10">
      <c r="A538" s="586">
        <v>534</v>
      </c>
      <c r="B538" s="565" t="s">
        <v>2907</v>
      </c>
      <c r="C538" s="565" t="s">
        <v>2495</v>
      </c>
      <c r="D538" s="565" t="s">
        <v>2887</v>
      </c>
      <c r="E538" s="565" t="s">
        <v>2634</v>
      </c>
      <c r="F538" s="565" t="s">
        <v>2155</v>
      </c>
      <c r="G538" s="565">
        <v>2014</v>
      </c>
      <c r="H538" s="399">
        <v>41680</v>
      </c>
      <c r="I538" s="399"/>
      <c r="J538" s="572" t="s">
        <v>2648</v>
      </c>
    </row>
    <row r="539" spans="1:10">
      <c r="A539" s="587">
        <v>535</v>
      </c>
      <c r="B539" s="564" t="s">
        <v>2908</v>
      </c>
      <c r="C539" s="564" t="s">
        <v>2909</v>
      </c>
      <c r="D539" s="564" t="s">
        <v>2910</v>
      </c>
      <c r="E539" s="564" t="s">
        <v>2634</v>
      </c>
      <c r="F539" s="564" t="s">
        <v>2155</v>
      </c>
      <c r="G539" s="564">
        <v>2021</v>
      </c>
      <c r="H539" s="398">
        <v>44228</v>
      </c>
      <c r="I539" s="398">
        <v>46053</v>
      </c>
      <c r="J539" s="573" t="s">
        <v>2251</v>
      </c>
    </row>
    <row r="540" spans="1:10">
      <c r="A540" s="586">
        <v>536</v>
      </c>
      <c r="B540" s="565" t="s">
        <v>2911</v>
      </c>
      <c r="C540" s="565" t="s">
        <v>2912</v>
      </c>
      <c r="D540" s="565" t="s">
        <v>2910</v>
      </c>
      <c r="E540" s="565" t="s">
        <v>2634</v>
      </c>
      <c r="F540" s="565" t="s">
        <v>2155</v>
      </c>
      <c r="G540" s="565">
        <v>2017</v>
      </c>
      <c r="H540" s="399">
        <v>42929</v>
      </c>
      <c r="I540" s="399">
        <v>46579</v>
      </c>
      <c r="J540" s="572" t="s">
        <v>2913</v>
      </c>
    </row>
    <row r="541" spans="1:10">
      <c r="A541" s="587">
        <v>537</v>
      </c>
      <c r="B541" s="564" t="s">
        <v>2914</v>
      </c>
      <c r="C541" s="564" t="s">
        <v>2915</v>
      </c>
      <c r="D541" s="564" t="s">
        <v>2910</v>
      </c>
      <c r="E541" s="564" t="s">
        <v>2812</v>
      </c>
      <c r="F541" s="564" t="s">
        <v>2155</v>
      </c>
      <c r="G541" s="564">
        <v>2018</v>
      </c>
      <c r="H541" s="398">
        <v>43370</v>
      </c>
      <c r="I541" s="398">
        <v>50674</v>
      </c>
      <c r="J541" s="573" t="s">
        <v>2916</v>
      </c>
    </row>
    <row r="542" spans="1:10">
      <c r="A542" s="586">
        <v>538</v>
      </c>
      <c r="B542" s="565" t="s">
        <v>2917</v>
      </c>
      <c r="C542" s="565" t="s">
        <v>2918</v>
      </c>
      <c r="D542" s="565" t="s">
        <v>2910</v>
      </c>
      <c r="E542" s="565" t="s">
        <v>2634</v>
      </c>
      <c r="F542" s="565" t="s">
        <v>2155</v>
      </c>
      <c r="G542" s="565">
        <v>2019</v>
      </c>
      <c r="H542" s="399">
        <v>43815</v>
      </c>
      <c r="I542" s="399">
        <v>51119</v>
      </c>
      <c r="J542" s="572" t="s">
        <v>2637</v>
      </c>
    </row>
    <row r="543" spans="1:10">
      <c r="A543" s="587">
        <v>539</v>
      </c>
      <c r="B543" s="564" t="s">
        <v>2240</v>
      </c>
      <c r="C543" s="564" t="s">
        <v>2919</v>
      </c>
      <c r="D543" s="564" t="s">
        <v>2910</v>
      </c>
      <c r="E543" s="564" t="s">
        <v>2920</v>
      </c>
      <c r="F543" s="564" t="s">
        <v>2155</v>
      </c>
      <c r="G543" s="564">
        <v>2022</v>
      </c>
      <c r="H543" s="398">
        <v>44712</v>
      </c>
      <c r="I543" s="398">
        <v>52016</v>
      </c>
      <c r="J543" s="573" t="s">
        <v>2242</v>
      </c>
    </row>
    <row r="544" spans="1:10">
      <c r="A544" s="586">
        <v>540</v>
      </c>
      <c r="B544" s="565" t="s">
        <v>2921</v>
      </c>
      <c r="C544" s="565" t="s">
        <v>2922</v>
      </c>
      <c r="D544" s="565" t="s">
        <v>2910</v>
      </c>
      <c r="E544" s="565" t="s">
        <v>2812</v>
      </c>
      <c r="F544" s="565" t="s">
        <v>2155</v>
      </c>
      <c r="G544" s="565">
        <v>2019</v>
      </c>
      <c r="H544" s="399">
        <v>43481</v>
      </c>
      <c r="I544" s="399">
        <v>52612</v>
      </c>
      <c r="J544" s="572" t="s">
        <v>2923</v>
      </c>
    </row>
    <row r="545" spans="1:10">
      <c r="A545" s="587">
        <v>541</v>
      </c>
      <c r="B545" s="564" t="s">
        <v>2924</v>
      </c>
      <c r="C545" s="564" t="s">
        <v>2925</v>
      </c>
      <c r="D545" s="564" t="s">
        <v>2926</v>
      </c>
      <c r="E545" s="564" t="s">
        <v>2634</v>
      </c>
      <c r="F545" s="564" t="s">
        <v>2927</v>
      </c>
      <c r="G545" s="564">
        <v>2010</v>
      </c>
      <c r="H545" s="398">
        <v>40319</v>
      </c>
      <c r="I545" s="398">
        <v>43605</v>
      </c>
      <c r="J545" s="573" t="s">
        <v>2928</v>
      </c>
    </row>
    <row r="546" spans="1:10">
      <c r="A546" s="586">
        <v>542</v>
      </c>
      <c r="B546" s="565" t="s">
        <v>2929</v>
      </c>
      <c r="C546" s="565" t="s">
        <v>2930</v>
      </c>
      <c r="D546" s="565" t="s">
        <v>2926</v>
      </c>
      <c r="E546" s="565" t="s">
        <v>2931</v>
      </c>
      <c r="F546" s="565" t="s">
        <v>2137</v>
      </c>
      <c r="G546" s="565">
        <v>2013</v>
      </c>
      <c r="H546" s="399">
        <v>41516</v>
      </c>
      <c r="I546" s="399">
        <v>43705</v>
      </c>
      <c r="J546" s="572" t="s">
        <v>2932</v>
      </c>
    </row>
    <row r="547" spans="1:10">
      <c r="A547" s="587">
        <v>543</v>
      </c>
      <c r="B547" s="564" t="s">
        <v>2933</v>
      </c>
      <c r="C547" s="564" t="s">
        <v>2915</v>
      </c>
      <c r="D547" s="564" t="s">
        <v>2926</v>
      </c>
      <c r="E547" s="564" t="s">
        <v>2812</v>
      </c>
      <c r="F547" s="564" t="s">
        <v>2927</v>
      </c>
      <c r="G547" s="564">
        <v>2011</v>
      </c>
      <c r="H547" s="398">
        <v>40752</v>
      </c>
      <c r="I547" s="398">
        <v>44038</v>
      </c>
      <c r="J547" s="573" t="s">
        <v>2934</v>
      </c>
    </row>
    <row r="548" spans="1:10">
      <c r="A548" s="586">
        <v>544</v>
      </c>
      <c r="B548" s="565" t="s">
        <v>2935</v>
      </c>
      <c r="C548" s="565" t="s">
        <v>2791</v>
      </c>
      <c r="D548" s="565" t="s">
        <v>2926</v>
      </c>
      <c r="E548" s="565" t="s">
        <v>2793</v>
      </c>
      <c r="F548" s="565" t="s">
        <v>2936</v>
      </c>
      <c r="G548" s="565">
        <v>2012</v>
      </c>
      <c r="H548" s="399">
        <v>40918</v>
      </c>
      <c r="I548" s="399">
        <v>44223</v>
      </c>
      <c r="J548" s="572" t="s">
        <v>2770</v>
      </c>
    </row>
    <row r="549" spans="1:10">
      <c r="A549" s="587">
        <v>545</v>
      </c>
      <c r="B549" s="564" t="s">
        <v>2937</v>
      </c>
      <c r="C549" s="564" t="s">
        <v>2922</v>
      </c>
      <c r="D549" s="564" t="s">
        <v>2926</v>
      </c>
      <c r="E549" s="564" t="s">
        <v>2812</v>
      </c>
      <c r="F549" s="564" t="s">
        <v>2938</v>
      </c>
      <c r="G549" s="564">
        <v>2015</v>
      </c>
      <c r="H549" s="398">
        <v>42179</v>
      </c>
      <c r="I549" s="398">
        <v>44370</v>
      </c>
      <c r="J549" s="573" t="s">
        <v>2939</v>
      </c>
    </row>
    <row r="550" spans="1:10">
      <c r="A550" s="586">
        <v>546</v>
      </c>
      <c r="B550" s="565" t="s">
        <v>2940</v>
      </c>
      <c r="C550" s="565" t="s">
        <v>2941</v>
      </c>
      <c r="D550" s="565" t="s">
        <v>2926</v>
      </c>
      <c r="E550" s="565" t="s">
        <v>2634</v>
      </c>
      <c r="F550" s="565" t="s">
        <v>2938</v>
      </c>
      <c r="G550" s="565">
        <v>2012</v>
      </c>
      <c r="H550" s="399">
        <v>40940</v>
      </c>
      <c r="I550" s="399">
        <v>44502</v>
      </c>
      <c r="J550" s="572" t="s">
        <v>2928</v>
      </c>
    </row>
    <row r="551" spans="1:10">
      <c r="A551" s="587">
        <v>547</v>
      </c>
      <c r="B551" s="564" t="s">
        <v>2942</v>
      </c>
      <c r="C551" s="564" t="s">
        <v>2941</v>
      </c>
      <c r="D551" s="564" t="s">
        <v>2926</v>
      </c>
      <c r="E551" s="564" t="s">
        <v>2634</v>
      </c>
      <c r="F551" s="564" t="s">
        <v>2137</v>
      </c>
      <c r="G551" s="564">
        <v>2012</v>
      </c>
      <c r="H551" s="398">
        <v>41051</v>
      </c>
      <c r="I551" s="398">
        <v>44502</v>
      </c>
      <c r="J551" s="573" t="s">
        <v>2170</v>
      </c>
    </row>
    <row r="552" spans="1:10">
      <c r="A552" s="586">
        <v>548</v>
      </c>
      <c r="B552" s="565" t="s">
        <v>2943</v>
      </c>
      <c r="C552" s="565" t="s">
        <v>2173</v>
      </c>
      <c r="D552" s="565" t="s">
        <v>2926</v>
      </c>
      <c r="E552" s="565" t="s">
        <v>2634</v>
      </c>
      <c r="F552" s="565" t="s">
        <v>2938</v>
      </c>
      <c r="G552" s="565">
        <v>2013</v>
      </c>
      <c r="H552" s="399">
        <v>41446</v>
      </c>
      <c r="I552" s="399">
        <v>44506</v>
      </c>
      <c r="J552" s="572" t="s">
        <v>2716</v>
      </c>
    </row>
    <row r="553" spans="1:10">
      <c r="A553" s="587">
        <v>549</v>
      </c>
      <c r="B553" s="564" t="s">
        <v>2944</v>
      </c>
      <c r="C553" s="564" t="s">
        <v>2945</v>
      </c>
      <c r="D553" s="564" t="s">
        <v>2926</v>
      </c>
      <c r="E553" s="564" t="s">
        <v>2946</v>
      </c>
      <c r="F553" s="564" t="s">
        <v>2137</v>
      </c>
      <c r="G553" s="564">
        <v>2018</v>
      </c>
      <c r="H553" s="398">
        <v>43115</v>
      </c>
      <c r="I553" s="398">
        <v>44575</v>
      </c>
      <c r="J553" s="573" t="s">
        <v>2947</v>
      </c>
    </row>
    <row r="554" spans="1:10">
      <c r="A554" s="586">
        <v>550</v>
      </c>
      <c r="B554" s="565" t="s">
        <v>2948</v>
      </c>
      <c r="C554" s="565" t="s">
        <v>2220</v>
      </c>
      <c r="D554" s="565" t="s">
        <v>2926</v>
      </c>
      <c r="E554" s="565" t="s">
        <v>2634</v>
      </c>
      <c r="F554" s="565" t="s">
        <v>2137</v>
      </c>
      <c r="G554" s="565">
        <v>2018</v>
      </c>
      <c r="H554" s="399">
        <v>43179</v>
      </c>
      <c r="I554" s="399">
        <v>44640</v>
      </c>
      <c r="J554" s="572" t="s">
        <v>2913</v>
      </c>
    </row>
    <row r="555" spans="1:10">
      <c r="A555" s="587">
        <v>551</v>
      </c>
      <c r="B555" s="564" t="s">
        <v>2949</v>
      </c>
      <c r="C555" s="564" t="s">
        <v>2950</v>
      </c>
      <c r="D555" s="564" t="s">
        <v>2926</v>
      </c>
      <c r="E555" s="564" t="s">
        <v>2951</v>
      </c>
      <c r="F555" s="564" t="s">
        <v>2137</v>
      </c>
      <c r="G555" s="564">
        <v>2018</v>
      </c>
      <c r="H555" s="398">
        <v>43210</v>
      </c>
      <c r="I555" s="398">
        <v>44671</v>
      </c>
      <c r="J555" s="573" t="s">
        <v>2952</v>
      </c>
    </row>
    <row r="556" spans="1:10">
      <c r="A556" s="586">
        <v>552</v>
      </c>
      <c r="B556" s="565" t="s">
        <v>2953</v>
      </c>
      <c r="C556" s="565" t="s">
        <v>2954</v>
      </c>
      <c r="D556" s="565" t="s">
        <v>2926</v>
      </c>
      <c r="E556" s="565" t="s">
        <v>2955</v>
      </c>
      <c r="F556" s="565" t="s">
        <v>2137</v>
      </c>
      <c r="G556" s="565">
        <v>2018</v>
      </c>
      <c r="H556" s="399">
        <v>43256</v>
      </c>
      <c r="I556" s="399">
        <v>44717</v>
      </c>
      <c r="J556" s="572" t="s">
        <v>2637</v>
      </c>
    </row>
    <row r="557" spans="1:10">
      <c r="A557" s="587">
        <v>553</v>
      </c>
      <c r="B557" s="564" t="s">
        <v>2956</v>
      </c>
      <c r="C557" s="564" t="s">
        <v>2957</v>
      </c>
      <c r="D557" s="564" t="s">
        <v>2926</v>
      </c>
      <c r="E557" s="564" t="s">
        <v>2634</v>
      </c>
      <c r="F557" s="564" t="s">
        <v>2137</v>
      </c>
      <c r="G557" s="564">
        <v>2019</v>
      </c>
      <c r="H557" s="398">
        <v>43500</v>
      </c>
      <c r="I557" s="398">
        <v>44960</v>
      </c>
      <c r="J557" s="573" t="s">
        <v>2748</v>
      </c>
    </row>
    <row r="558" spans="1:10">
      <c r="A558" s="586">
        <v>554</v>
      </c>
      <c r="B558" s="565" t="s">
        <v>2958</v>
      </c>
      <c r="C558" s="565" t="s">
        <v>2816</v>
      </c>
      <c r="D558" s="565" t="s">
        <v>2926</v>
      </c>
      <c r="E558" s="565" t="s">
        <v>2634</v>
      </c>
      <c r="F558" s="565" t="s">
        <v>2137</v>
      </c>
      <c r="G558" s="565">
        <v>2019</v>
      </c>
      <c r="H558" s="399">
        <v>43501</v>
      </c>
      <c r="I558" s="399">
        <v>44962</v>
      </c>
      <c r="J558" s="572" t="s">
        <v>2648</v>
      </c>
    </row>
    <row r="559" spans="1:10">
      <c r="A559" s="587">
        <v>555</v>
      </c>
      <c r="B559" s="564" t="s">
        <v>2959</v>
      </c>
      <c r="C559" s="564" t="s">
        <v>2960</v>
      </c>
      <c r="D559" s="564" t="s">
        <v>2926</v>
      </c>
      <c r="E559" s="564" t="s">
        <v>2634</v>
      </c>
      <c r="F559" s="564" t="s">
        <v>2137</v>
      </c>
      <c r="G559" s="564">
        <v>2019</v>
      </c>
      <c r="H559" s="398">
        <v>43623</v>
      </c>
      <c r="I559" s="398">
        <v>45084</v>
      </c>
      <c r="J559" s="573" t="s">
        <v>2961</v>
      </c>
    </row>
    <row r="560" spans="1:10">
      <c r="A560" s="586">
        <v>556</v>
      </c>
      <c r="B560" s="565" t="s">
        <v>2924</v>
      </c>
      <c r="C560" s="565" t="s">
        <v>2962</v>
      </c>
      <c r="D560" s="565" t="s">
        <v>2926</v>
      </c>
      <c r="E560" s="565" t="s">
        <v>2634</v>
      </c>
      <c r="F560" s="565" t="s">
        <v>2137</v>
      </c>
      <c r="G560" s="565">
        <v>2020</v>
      </c>
      <c r="H560" s="399">
        <v>43886</v>
      </c>
      <c r="I560" s="399">
        <v>45346</v>
      </c>
      <c r="J560" s="572" t="s">
        <v>2928</v>
      </c>
    </row>
    <row r="561" spans="1:10">
      <c r="A561" s="587">
        <v>557</v>
      </c>
      <c r="B561" s="564" t="s">
        <v>2963</v>
      </c>
      <c r="C561" s="564" t="s">
        <v>2964</v>
      </c>
      <c r="D561" s="564" t="s">
        <v>2926</v>
      </c>
      <c r="E561" s="564" t="s">
        <v>2793</v>
      </c>
      <c r="F561" s="564" t="s">
        <v>2137</v>
      </c>
      <c r="G561" s="564">
        <v>2020</v>
      </c>
      <c r="H561" s="398">
        <v>43978</v>
      </c>
      <c r="I561" s="398">
        <v>45438</v>
      </c>
      <c r="J561" s="573" t="s">
        <v>2782</v>
      </c>
    </row>
    <row r="562" spans="1:10">
      <c r="A562" s="586">
        <v>558</v>
      </c>
      <c r="B562" s="565" t="s">
        <v>2965</v>
      </c>
      <c r="C562" s="565" t="s">
        <v>2966</v>
      </c>
      <c r="D562" s="565" t="s">
        <v>2926</v>
      </c>
      <c r="E562" s="565" t="s">
        <v>2812</v>
      </c>
      <c r="F562" s="565" t="s">
        <v>2155</v>
      </c>
      <c r="G562" s="565">
        <v>2015</v>
      </c>
      <c r="H562" s="399">
        <v>42200</v>
      </c>
      <c r="I562" s="399">
        <v>45486</v>
      </c>
      <c r="J562" s="572" t="s">
        <v>2967</v>
      </c>
    </row>
    <row r="563" spans="1:10">
      <c r="A563" s="587">
        <v>559</v>
      </c>
      <c r="B563" s="564" t="s">
        <v>2968</v>
      </c>
      <c r="C563" s="564" t="s">
        <v>2737</v>
      </c>
      <c r="D563" s="564" t="s">
        <v>2926</v>
      </c>
      <c r="E563" s="564" t="s">
        <v>2634</v>
      </c>
      <c r="F563" s="564" t="s">
        <v>2137</v>
      </c>
      <c r="G563" s="564">
        <v>2020</v>
      </c>
      <c r="H563" s="398">
        <v>44028</v>
      </c>
      <c r="I563" s="398">
        <v>45488</v>
      </c>
      <c r="J563" s="573" t="s">
        <v>2648</v>
      </c>
    </row>
    <row r="564" spans="1:10">
      <c r="A564" s="586">
        <v>560</v>
      </c>
      <c r="B564" s="565" t="s">
        <v>2969</v>
      </c>
      <c r="C564" s="565" t="s">
        <v>2970</v>
      </c>
      <c r="D564" s="565" t="s">
        <v>2926</v>
      </c>
      <c r="E564" s="565" t="s">
        <v>2812</v>
      </c>
      <c r="F564" s="565" t="s">
        <v>2155</v>
      </c>
      <c r="G564" s="565">
        <v>2015</v>
      </c>
      <c r="H564" s="399">
        <v>42233</v>
      </c>
      <c r="I564" s="399">
        <v>45520</v>
      </c>
      <c r="J564" s="572" t="s">
        <v>2971</v>
      </c>
    </row>
    <row r="565" spans="1:10">
      <c r="A565" s="587">
        <v>561</v>
      </c>
      <c r="B565" s="564" t="s">
        <v>2972</v>
      </c>
      <c r="C565" s="564" t="s">
        <v>509</v>
      </c>
      <c r="D565" s="564" t="s">
        <v>2926</v>
      </c>
      <c r="E565" s="564" t="s">
        <v>2634</v>
      </c>
      <c r="F565" s="564" t="s">
        <v>2155</v>
      </c>
      <c r="G565" s="564">
        <v>2017</v>
      </c>
      <c r="H565" s="398">
        <v>42969</v>
      </c>
      <c r="I565" s="398">
        <v>45524</v>
      </c>
      <c r="J565" s="573" t="s">
        <v>2748</v>
      </c>
    </row>
    <row r="566" spans="1:10">
      <c r="A566" s="586">
        <v>562</v>
      </c>
      <c r="B566" s="565" t="s">
        <v>2973</v>
      </c>
      <c r="C566" s="565" t="s">
        <v>472</v>
      </c>
      <c r="D566" s="565" t="s">
        <v>2926</v>
      </c>
      <c r="E566" s="565" t="s">
        <v>2955</v>
      </c>
      <c r="F566" s="565" t="s">
        <v>2155</v>
      </c>
      <c r="G566" s="565">
        <v>2020</v>
      </c>
      <c r="H566" s="399">
        <v>44068</v>
      </c>
      <c r="I566" s="399">
        <v>45528</v>
      </c>
      <c r="J566" s="572" t="s">
        <v>2974</v>
      </c>
    </row>
    <row r="567" spans="1:10">
      <c r="A567" s="587">
        <v>563</v>
      </c>
      <c r="B567" s="564" t="s">
        <v>2975</v>
      </c>
      <c r="C567" s="564" t="s">
        <v>316</v>
      </c>
      <c r="D567" s="564" t="s">
        <v>2926</v>
      </c>
      <c r="E567" s="564" t="s">
        <v>2634</v>
      </c>
      <c r="F567" s="564" t="s">
        <v>2155</v>
      </c>
      <c r="G567" s="564">
        <v>2020</v>
      </c>
      <c r="H567" s="398">
        <v>44119</v>
      </c>
      <c r="I567" s="398">
        <v>45579</v>
      </c>
      <c r="J567" s="573" t="s">
        <v>2976</v>
      </c>
    </row>
    <row r="568" spans="1:10">
      <c r="A568" s="586">
        <v>564</v>
      </c>
      <c r="B568" s="565" t="s">
        <v>2977</v>
      </c>
      <c r="C568" s="565" t="s">
        <v>2978</v>
      </c>
      <c r="D568" s="565" t="s">
        <v>2926</v>
      </c>
      <c r="E568" s="565" t="s">
        <v>2812</v>
      </c>
      <c r="F568" s="565" t="s">
        <v>2155</v>
      </c>
      <c r="G568" s="565">
        <v>2020</v>
      </c>
      <c r="H568" s="399">
        <v>44132</v>
      </c>
      <c r="I568" s="399">
        <v>45592</v>
      </c>
      <c r="J568" s="572" t="s">
        <v>2979</v>
      </c>
    </row>
    <row r="569" spans="1:10">
      <c r="A569" s="587">
        <v>565</v>
      </c>
      <c r="B569" s="564" t="s">
        <v>2980</v>
      </c>
      <c r="C569" s="564" t="s">
        <v>2565</v>
      </c>
      <c r="D569" s="564" t="s">
        <v>2926</v>
      </c>
      <c r="E569" s="564" t="s">
        <v>2812</v>
      </c>
      <c r="F569" s="564" t="s">
        <v>2155</v>
      </c>
      <c r="G569" s="564">
        <v>2020</v>
      </c>
      <c r="H569" s="398">
        <v>44132</v>
      </c>
      <c r="I569" s="398">
        <v>45592</v>
      </c>
      <c r="J569" s="573" t="s">
        <v>2981</v>
      </c>
    </row>
    <row r="570" spans="1:10">
      <c r="A570" s="586">
        <v>566</v>
      </c>
      <c r="B570" s="565" t="s">
        <v>2982</v>
      </c>
      <c r="C570" s="565" t="s">
        <v>2983</v>
      </c>
      <c r="D570" s="565" t="s">
        <v>2926</v>
      </c>
      <c r="E570" s="565" t="s">
        <v>2634</v>
      </c>
      <c r="F570" s="565" t="s">
        <v>2155</v>
      </c>
      <c r="G570" s="565">
        <v>2018</v>
      </c>
      <c r="H570" s="399">
        <v>43115</v>
      </c>
      <c r="I570" s="399">
        <v>45671</v>
      </c>
      <c r="J570" s="572" t="s">
        <v>2782</v>
      </c>
    </row>
    <row r="571" spans="1:10">
      <c r="A571" s="587">
        <v>567</v>
      </c>
      <c r="B571" s="564" t="s">
        <v>2984</v>
      </c>
      <c r="C571" s="564" t="s">
        <v>2985</v>
      </c>
      <c r="D571" s="564" t="s">
        <v>2926</v>
      </c>
      <c r="E571" s="564" t="s">
        <v>2812</v>
      </c>
      <c r="F571" s="564" t="s">
        <v>2155</v>
      </c>
      <c r="G571" s="564">
        <v>2016</v>
      </c>
      <c r="H571" s="398">
        <v>42429</v>
      </c>
      <c r="I571" s="398">
        <v>45715</v>
      </c>
      <c r="J571" s="573" t="s">
        <v>2986</v>
      </c>
    </row>
    <row r="572" spans="1:10">
      <c r="A572" s="586">
        <v>568</v>
      </c>
      <c r="B572" s="565" t="s">
        <v>2667</v>
      </c>
      <c r="C572" s="565" t="s">
        <v>2987</v>
      </c>
      <c r="D572" s="565" t="s">
        <v>2926</v>
      </c>
      <c r="E572" s="565" t="s">
        <v>2955</v>
      </c>
      <c r="F572" s="565" t="s">
        <v>2155</v>
      </c>
      <c r="G572" s="565">
        <v>2018</v>
      </c>
      <c r="H572" s="399">
        <v>43179</v>
      </c>
      <c r="I572" s="399">
        <v>45736</v>
      </c>
      <c r="J572" s="572" t="s">
        <v>2170</v>
      </c>
    </row>
    <row r="573" spans="1:10">
      <c r="A573" s="587">
        <v>569</v>
      </c>
      <c r="B573" s="564" t="s">
        <v>2988</v>
      </c>
      <c r="C573" s="564" t="s">
        <v>2989</v>
      </c>
      <c r="D573" s="564" t="s">
        <v>2926</v>
      </c>
      <c r="E573" s="564" t="s">
        <v>2634</v>
      </c>
      <c r="F573" s="564" t="s">
        <v>2155</v>
      </c>
      <c r="G573" s="564">
        <v>2021</v>
      </c>
      <c r="H573" s="398">
        <v>44281</v>
      </c>
      <c r="I573" s="398">
        <v>45741</v>
      </c>
      <c r="J573" s="573" t="s">
        <v>2899</v>
      </c>
    </row>
    <row r="574" spans="1:10">
      <c r="A574" s="586">
        <v>570</v>
      </c>
      <c r="B574" s="565" t="s">
        <v>2990</v>
      </c>
      <c r="C574" s="565" t="s">
        <v>2823</v>
      </c>
      <c r="D574" s="565" t="s">
        <v>2926</v>
      </c>
      <c r="E574" s="565" t="s">
        <v>2634</v>
      </c>
      <c r="F574" s="565" t="s">
        <v>2155</v>
      </c>
      <c r="G574" s="565">
        <v>2021</v>
      </c>
      <c r="H574" s="399">
        <v>44292</v>
      </c>
      <c r="I574" s="399">
        <v>45752</v>
      </c>
      <c r="J574" s="572" t="s">
        <v>2716</v>
      </c>
    </row>
    <row r="575" spans="1:10">
      <c r="A575" s="587">
        <v>571</v>
      </c>
      <c r="B575" s="564" t="s">
        <v>2991</v>
      </c>
      <c r="C575" s="564" t="s">
        <v>2992</v>
      </c>
      <c r="D575" s="564" t="s">
        <v>2926</v>
      </c>
      <c r="E575" s="564" t="s">
        <v>2955</v>
      </c>
      <c r="F575" s="564" t="s">
        <v>2155</v>
      </c>
      <c r="G575" s="564">
        <v>2018</v>
      </c>
      <c r="H575" s="398">
        <v>43210</v>
      </c>
      <c r="I575" s="398">
        <v>45767</v>
      </c>
      <c r="J575" s="573" t="s">
        <v>2976</v>
      </c>
    </row>
    <row r="576" spans="1:10">
      <c r="A576" s="586">
        <v>572</v>
      </c>
      <c r="B576" s="565" t="s">
        <v>2993</v>
      </c>
      <c r="C576" s="565" t="s">
        <v>2816</v>
      </c>
      <c r="D576" s="565" t="s">
        <v>2926</v>
      </c>
      <c r="E576" s="565" t="s">
        <v>2817</v>
      </c>
      <c r="F576" s="565" t="s">
        <v>2155</v>
      </c>
      <c r="G576" s="565">
        <v>2018</v>
      </c>
      <c r="H576" s="399">
        <v>43229</v>
      </c>
      <c r="I576" s="399">
        <v>45785</v>
      </c>
      <c r="J576" s="572" t="s">
        <v>2733</v>
      </c>
    </row>
    <row r="577" spans="1:10">
      <c r="A577" s="587">
        <v>573</v>
      </c>
      <c r="B577" s="564" t="s">
        <v>949</v>
      </c>
      <c r="C577" s="564" t="s">
        <v>2994</v>
      </c>
      <c r="D577" s="564" t="s">
        <v>2926</v>
      </c>
      <c r="E577" s="564" t="s">
        <v>2995</v>
      </c>
      <c r="F577" s="564" t="s">
        <v>2155</v>
      </c>
      <c r="G577" s="564">
        <v>2018</v>
      </c>
      <c r="H577" s="398">
        <v>43256</v>
      </c>
      <c r="I577" s="398">
        <v>45812</v>
      </c>
      <c r="J577" s="573" t="s">
        <v>2899</v>
      </c>
    </row>
    <row r="578" spans="1:10">
      <c r="A578" s="586">
        <v>574</v>
      </c>
      <c r="B578" s="565" t="s">
        <v>890</v>
      </c>
      <c r="C578" s="565" t="s">
        <v>2996</v>
      </c>
      <c r="D578" s="565" t="s">
        <v>2926</v>
      </c>
      <c r="E578" s="565" t="s">
        <v>2997</v>
      </c>
      <c r="F578" s="565" t="s">
        <v>2155</v>
      </c>
      <c r="G578" s="565">
        <v>2018</v>
      </c>
      <c r="H578" s="399">
        <v>43256</v>
      </c>
      <c r="I578" s="399">
        <v>45813</v>
      </c>
      <c r="J578" s="572" t="s">
        <v>2998</v>
      </c>
    </row>
    <row r="579" spans="1:10">
      <c r="A579" s="587">
        <v>575</v>
      </c>
      <c r="B579" s="564" t="s">
        <v>2999</v>
      </c>
      <c r="C579" s="564" t="s">
        <v>3000</v>
      </c>
      <c r="D579" s="564" t="s">
        <v>2926</v>
      </c>
      <c r="E579" s="564" t="s">
        <v>2812</v>
      </c>
      <c r="F579" s="564" t="s">
        <v>2155</v>
      </c>
      <c r="G579" s="564">
        <v>2013</v>
      </c>
      <c r="H579" s="398">
        <v>41465</v>
      </c>
      <c r="I579" s="398">
        <v>45837</v>
      </c>
      <c r="J579" s="573" t="s">
        <v>3001</v>
      </c>
    </row>
    <row r="580" spans="1:10">
      <c r="A580" s="586">
        <v>576</v>
      </c>
      <c r="B580" s="565" t="s">
        <v>3002</v>
      </c>
      <c r="C580" s="565" t="s">
        <v>3003</v>
      </c>
      <c r="D580" s="565" t="s">
        <v>2926</v>
      </c>
      <c r="E580" s="565" t="s">
        <v>2634</v>
      </c>
      <c r="F580" s="565" t="s">
        <v>2155</v>
      </c>
      <c r="G580" s="565">
        <v>2021</v>
      </c>
      <c r="H580" s="399">
        <v>44405</v>
      </c>
      <c r="I580" s="399">
        <v>45865</v>
      </c>
      <c r="J580" s="572" t="s">
        <v>2733</v>
      </c>
    </row>
    <row r="581" spans="1:10">
      <c r="A581" s="587">
        <v>577</v>
      </c>
      <c r="B581" s="564" t="s">
        <v>3004</v>
      </c>
      <c r="C581" s="564" t="s">
        <v>3005</v>
      </c>
      <c r="D581" s="564" t="s">
        <v>2926</v>
      </c>
      <c r="E581" s="564" t="s">
        <v>3006</v>
      </c>
      <c r="F581" s="564" t="s">
        <v>2155</v>
      </c>
      <c r="G581" s="564">
        <v>2021</v>
      </c>
      <c r="H581" s="398">
        <v>44433</v>
      </c>
      <c r="I581" s="398">
        <v>45893</v>
      </c>
      <c r="J581" s="573" t="s">
        <v>3007</v>
      </c>
    </row>
    <row r="582" spans="1:10">
      <c r="A582" s="586">
        <v>578</v>
      </c>
      <c r="B582" s="565" t="s">
        <v>2148</v>
      </c>
      <c r="C582" s="565" t="s">
        <v>3008</v>
      </c>
      <c r="D582" s="565" t="s">
        <v>2926</v>
      </c>
      <c r="E582" s="565" t="s">
        <v>3009</v>
      </c>
      <c r="F582" s="565" t="s">
        <v>2155</v>
      </c>
      <c r="G582" s="565">
        <v>2021</v>
      </c>
      <c r="H582" s="399">
        <v>44476</v>
      </c>
      <c r="I582" s="399">
        <v>45936</v>
      </c>
      <c r="J582" s="572" t="s">
        <v>3010</v>
      </c>
    </row>
    <row r="583" spans="1:10">
      <c r="A583" s="587">
        <v>579</v>
      </c>
      <c r="B583" s="564" t="s">
        <v>3011</v>
      </c>
      <c r="C583" s="564" t="s">
        <v>3012</v>
      </c>
      <c r="D583" s="564" t="s">
        <v>2926</v>
      </c>
      <c r="E583" s="564" t="s">
        <v>2796</v>
      </c>
      <c r="F583" s="564" t="s">
        <v>2155</v>
      </c>
      <c r="G583" s="564">
        <v>2018</v>
      </c>
      <c r="H583" s="398">
        <v>43390</v>
      </c>
      <c r="I583" s="398">
        <v>45946</v>
      </c>
      <c r="J583" s="573" t="s">
        <v>3013</v>
      </c>
    </row>
    <row r="584" spans="1:10">
      <c r="A584" s="586">
        <v>580</v>
      </c>
      <c r="B584" s="565" t="s">
        <v>3014</v>
      </c>
      <c r="C584" s="565" t="s">
        <v>2960</v>
      </c>
      <c r="D584" s="565" t="s">
        <v>2926</v>
      </c>
      <c r="E584" s="565" t="s">
        <v>2634</v>
      </c>
      <c r="F584" s="565" t="s">
        <v>2155</v>
      </c>
      <c r="G584" s="565">
        <v>2018</v>
      </c>
      <c r="H584" s="399">
        <v>43410</v>
      </c>
      <c r="I584" s="399">
        <v>45967</v>
      </c>
      <c r="J584" s="572" t="s">
        <v>2748</v>
      </c>
    </row>
    <row r="585" spans="1:10">
      <c r="A585" s="587">
        <v>581</v>
      </c>
      <c r="B585" s="564" t="s">
        <v>2724</v>
      </c>
      <c r="C585" s="564" t="s">
        <v>3015</v>
      </c>
      <c r="D585" s="564" t="s">
        <v>2926</v>
      </c>
      <c r="E585" s="564" t="s">
        <v>2634</v>
      </c>
      <c r="F585" s="564" t="s">
        <v>2155</v>
      </c>
      <c r="G585" s="564">
        <v>2013</v>
      </c>
      <c r="H585" s="398">
        <v>41599</v>
      </c>
      <c r="I585" s="398">
        <v>45982</v>
      </c>
      <c r="J585" s="573" t="s">
        <v>3016</v>
      </c>
    </row>
    <row r="586" spans="1:10">
      <c r="A586" s="586">
        <v>582</v>
      </c>
      <c r="B586" s="565" t="s">
        <v>3017</v>
      </c>
      <c r="C586" s="565" t="s">
        <v>2290</v>
      </c>
      <c r="D586" s="565" t="s">
        <v>2926</v>
      </c>
      <c r="E586" s="565" t="s">
        <v>2812</v>
      </c>
      <c r="F586" s="565" t="s">
        <v>2155</v>
      </c>
      <c r="G586" s="565">
        <v>2019</v>
      </c>
      <c r="H586" s="399">
        <v>43496</v>
      </c>
      <c r="I586" s="399">
        <v>46053</v>
      </c>
      <c r="J586" s="572" t="s">
        <v>3018</v>
      </c>
    </row>
    <row r="587" spans="1:10">
      <c r="A587" s="587">
        <v>583</v>
      </c>
      <c r="B587" s="564" t="s">
        <v>3019</v>
      </c>
      <c r="C587" s="564" t="s">
        <v>3020</v>
      </c>
      <c r="D587" s="564" t="s">
        <v>2926</v>
      </c>
      <c r="E587" s="564" t="s">
        <v>2634</v>
      </c>
      <c r="F587" s="564" t="s">
        <v>2155</v>
      </c>
      <c r="G587" s="564">
        <v>2019</v>
      </c>
      <c r="H587" s="398">
        <v>43500</v>
      </c>
      <c r="I587" s="398">
        <v>46056</v>
      </c>
      <c r="J587" s="573" t="s">
        <v>2648</v>
      </c>
    </row>
    <row r="588" spans="1:10">
      <c r="A588" s="586">
        <v>584</v>
      </c>
      <c r="B588" s="565" t="s">
        <v>3021</v>
      </c>
      <c r="C588" s="565" t="s">
        <v>2987</v>
      </c>
      <c r="D588" s="565" t="s">
        <v>2926</v>
      </c>
      <c r="E588" s="565" t="s">
        <v>2634</v>
      </c>
      <c r="F588" s="565" t="s">
        <v>2155</v>
      </c>
      <c r="G588" s="565">
        <v>2019</v>
      </c>
      <c r="H588" s="399">
        <v>43501</v>
      </c>
      <c r="I588" s="399">
        <v>46057</v>
      </c>
      <c r="J588" s="572" t="s">
        <v>2890</v>
      </c>
    </row>
    <row r="589" spans="1:10">
      <c r="A589" s="587">
        <v>585</v>
      </c>
      <c r="B589" s="564" t="s">
        <v>3022</v>
      </c>
      <c r="C589" s="564" t="s">
        <v>2547</v>
      </c>
      <c r="D589" s="564" t="s">
        <v>2926</v>
      </c>
      <c r="E589" s="564" t="s">
        <v>2634</v>
      </c>
      <c r="F589" s="564" t="s">
        <v>2155</v>
      </c>
      <c r="G589" s="564">
        <v>2019</v>
      </c>
      <c r="H589" s="398">
        <v>43510</v>
      </c>
      <c r="I589" s="398">
        <v>46066</v>
      </c>
      <c r="J589" s="573" t="s">
        <v>2170</v>
      </c>
    </row>
    <row r="590" spans="1:10">
      <c r="A590" s="586">
        <v>586</v>
      </c>
      <c r="B590" s="565" t="s">
        <v>3023</v>
      </c>
      <c r="C590" s="565" t="s">
        <v>2217</v>
      </c>
      <c r="D590" s="565" t="s">
        <v>2926</v>
      </c>
      <c r="E590" s="565" t="s">
        <v>2153</v>
      </c>
      <c r="F590" s="565" t="s">
        <v>2137</v>
      </c>
      <c r="G590" s="565">
        <v>2016</v>
      </c>
      <c r="H590" s="399">
        <v>42635</v>
      </c>
      <c r="I590" s="399">
        <v>46072</v>
      </c>
      <c r="J590" s="572" t="s">
        <v>3024</v>
      </c>
    </row>
    <row r="591" spans="1:10">
      <c r="A591" s="587">
        <v>587</v>
      </c>
      <c r="B591" s="564" t="s">
        <v>2148</v>
      </c>
      <c r="C591" s="564" t="s">
        <v>3025</v>
      </c>
      <c r="D591" s="564" t="s">
        <v>2926</v>
      </c>
      <c r="E591" s="564" t="s">
        <v>2812</v>
      </c>
      <c r="F591" s="564" t="s">
        <v>2155</v>
      </c>
      <c r="G591" s="564">
        <v>2022</v>
      </c>
      <c r="H591" s="398">
        <v>44615</v>
      </c>
      <c r="I591" s="398">
        <v>46075</v>
      </c>
      <c r="J591" s="573" t="s">
        <v>3026</v>
      </c>
    </row>
    <row r="592" spans="1:10">
      <c r="A592" s="586">
        <v>588</v>
      </c>
      <c r="B592" s="565" t="s">
        <v>3027</v>
      </c>
      <c r="C592" s="565" t="s">
        <v>3028</v>
      </c>
      <c r="D592" s="565" t="s">
        <v>2926</v>
      </c>
      <c r="E592" s="565" t="s">
        <v>2634</v>
      </c>
      <c r="F592" s="565" t="s">
        <v>2155</v>
      </c>
      <c r="G592" s="565">
        <v>2022</v>
      </c>
      <c r="H592" s="399">
        <v>44623</v>
      </c>
      <c r="I592" s="399">
        <v>46083</v>
      </c>
      <c r="J592" s="572" t="s">
        <v>2733</v>
      </c>
    </row>
    <row r="593" spans="1:10">
      <c r="A593" s="587">
        <v>589</v>
      </c>
      <c r="B593" s="564" t="s">
        <v>3029</v>
      </c>
      <c r="C593" s="564" t="s">
        <v>3028</v>
      </c>
      <c r="D593" s="564" t="s">
        <v>2926</v>
      </c>
      <c r="E593" s="564" t="s">
        <v>2634</v>
      </c>
      <c r="F593" s="564" t="s">
        <v>2155</v>
      </c>
      <c r="G593" s="564">
        <v>2022</v>
      </c>
      <c r="H593" s="398">
        <v>44623</v>
      </c>
      <c r="I593" s="398">
        <v>46083</v>
      </c>
      <c r="J593" s="573" t="s">
        <v>3030</v>
      </c>
    </row>
    <row r="594" spans="1:10">
      <c r="A594" s="586">
        <v>590</v>
      </c>
      <c r="B594" s="565" t="s">
        <v>3031</v>
      </c>
      <c r="C594" s="565" t="s">
        <v>3032</v>
      </c>
      <c r="D594" s="565" t="s">
        <v>2926</v>
      </c>
      <c r="E594" s="565" t="s">
        <v>2634</v>
      </c>
      <c r="F594" s="565" t="s">
        <v>2155</v>
      </c>
      <c r="G594" s="565">
        <v>2019</v>
      </c>
      <c r="H594" s="399">
        <v>43543</v>
      </c>
      <c r="I594" s="399">
        <v>46100</v>
      </c>
      <c r="J594" s="572" t="s">
        <v>3033</v>
      </c>
    </row>
    <row r="595" spans="1:10">
      <c r="A595" s="587">
        <v>591</v>
      </c>
      <c r="B595" s="564" t="s">
        <v>3034</v>
      </c>
      <c r="C595" s="564" t="s">
        <v>3035</v>
      </c>
      <c r="D595" s="564" t="s">
        <v>2926</v>
      </c>
      <c r="E595" s="564" t="s">
        <v>2812</v>
      </c>
      <c r="F595" s="564" t="s">
        <v>2155</v>
      </c>
      <c r="G595" s="564">
        <v>2022</v>
      </c>
      <c r="H595" s="398">
        <v>44719</v>
      </c>
      <c r="I595" s="398">
        <v>46179</v>
      </c>
      <c r="J595" s="573" t="s">
        <v>3036</v>
      </c>
    </row>
    <row r="596" spans="1:10">
      <c r="A596" s="586">
        <v>592</v>
      </c>
      <c r="B596" s="565" t="s">
        <v>965</v>
      </c>
      <c r="C596" s="565" t="s">
        <v>3037</v>
      </c>
      <c r="D596" s="565" t="s">
        <v>2926</v>
      </c>
      <c r="E596" s="565" t="s">
        <v>2634</v>
      </c>
      <c r="F596" s="565" t="s">
        <v>2155</v>
      </c>
      <c r="G596" s="565">
        <v>2022</v>
      </c>
      <c r="H596" s="399">
        <v>44719</v>
      </c>
      <c r="I596" s="399">
        <v>46179</v>
      </c>
      <c r="J596" s="572" t="s">
        <v>2976</v>
      </c>
    </row>
    <row r="597" spans="1:10">
      <c r="A597" s="587">
        <v>593</v>
      </c>
      <c r="B597" s="564" t="s">
        <v>3038</v>
      </c>
      <c r="C597" s="564" t="s">
        <v>311</v>
      </c>
      <c r="D597" s="564" t="s">
        <v>2926</v>
      </c>
      <c r="E597" s="564" t="s">
        <v>2634</v>
      </c>
      <c r="F597" s="564" t="s">
        <v>2155</v>
      </c>
      <c r="G597" s="564">
        <v>2015</v>
      </c>
      <c r="H597" s="398">
        <v>42165</v>
      </c>
      <c r="I597" s="398">
        <v>46194</v>
      </c>
      <c r="J597" s="573" t="s">
        <v>2251</v>
      </c>
    </row>
    <row r="598" spans="1:10">
      <c r="A598" s="586">
        <v>594</v>
      </c>
      <c r="B598" s="565" t="s">
        <v>3039</v>
      </c>
      <c r="C598" s="565" t="s">
        <v>3040</v>
      </c>
      <c r="D598" s="565" t="s">
        <v>2926</v>
      </c>
      <c r="E598" s="565" t="s">
        <v>3041</v>
      </c>
      <c r="F598" s="565" t="s">
        <v>2155</v>
      </c>
      <c r="G598" s="565">
        <v>2022</v>
      </c>
      <c r="H598" s="399">
        <v>44747</v>
      </c>
      <c r="I598" s="399">
        <v>46208</v>
      </c>
      <c r="J598" s="572" t="s">
        <v>3042</v>
      </c>
    </row>
    <row r="599" spans="1:10">
      <c r="A599" s="587">
        <v>595</v>
      </c>
      <c r="B599" s="564" t="s">
        <v>3043</v>
      </c>
      <c r="C599" s="564" t="s">
        <v>3044</v>
      </c>
      <c r="D599" s="564" t="s">
        <v>2926</v>
      </c>
      <c r="E599" s="564" t="s">
        <v>2634</v>
      </c>
      <c r="F599" s="564" t="s">
        <v>2155</v>
      </c>
      <c r="G599" s="564">
        <v>2022</v>
      </c>
      <c r="H599" s="398">
        <v>44789</v>
      </c>
      <c r="I599" s="398">
        <v>46249</v>
      </c>
      <c r="J599" s="573" t="s">
        <v>2899</v>
      </c>
    </row>
    <row r="600" spans="1:10">
      <c r="A600" s="586">
        <v>596</v>
      </c>
      <c r="B600" s="565" t="s">
        <v>3045</v>
      </c>
      <c r="C600" s="565" t="s">
        <v>3046</v>
      </c>
      <c r="D600" s="565" t="s">
        <v>2926</v>
      </c>
      <c r="E600" s="565" t="s">
        <v>2634</v>
      </c>
      <c r="F600" s="565" t="s">
        <v>2155</v>
      </c>
      <c r="G600" s="565">
        <v>2022</v>
      </c>
      <c r="H600" s="399">
        <v>44792</v>
      </c>
      <c r="I600" s="399">
        <v>46252</v>
      </c>
      <c r="J600" s="572" t="s">
        <v>3047</v>
      </c>
    </row>
    <row r="601" spans="1:10">
      <c r="A601" s="587">
        <v>597</v>
      </c>
      <c r="B601" s="564" t="s">
        <v>3048</v>
      </c>
      <c r="C601" s="564" t="s">
        <v>2731</v>
      </c>
      <c r="D601" s="564" t="s">
        <v>2926</v>
      </c>
      <c r="E601" s="564" t="s">
        <v>2634</v>
      </c>
      <c r="F601" s="564" t="s">
        <v>2155</v>
      </c>
      <c r="G601" s="564">
        <v>2022</v>
      </c>
      <c r="H601" s="398">
        <v>44879</v>
      </c>
      <c r="I601" s="398">
        <v>46339</v>
      </c>
      <c r="J601" s="573" t="s">
        <v>2648</v>
      </c>
    </row>
    <row r="602" spans="1:10">
      <c r="A602" s="586">
        <v>598</v>
      </c>
      <c r="B602" s="565" t="s">
        <v>3049</v>
      </c>
      <c r="C602" s="565" t="s">
        <v>3050</v>
      </c>
      <c r="D602" s="565" t="s">
        <v>2926</v>
      </c>
      <c r="E602" s="565" t="s">
        <v>2817</v>
      </c>
      <c r="F602" s="565" t="s">
        <v>2155</v>
      </c>
      <c r="G602" s="565">
        <v>2023</v>
      </c>
      <c r="H602" s="399">
        <v>44950</v>
      </c>
      <c r="I602" s="399">
        <v>46410</v>
      </c>
      <c r="J602" s="572" t="s">
        <v>2251</v>
      </c>
    </row>
    <row r="603" spans="1:10">
      <c r="A603" s="587">
        <v>599</v>
      </c>
      <c r="B603" s="564" t="s">
        <v>3051</v>
      </c>
      <c r="C603" s="564" t="s">
        <v>3050</v>
      </c>
      <c r="D603" s="564" t="s">
        <v>2926</v>
      </c>
      <c r="E603" s="564" t="s">
        <v>2817</v>
      </c>
      <c r="F603" s="564" t="s">
        <v>2155</v>
      </c>
      <c r="G603" s="564">
        <v>2023</v>
      </c>
      <c r="H603" s="398">
        <v>44950</v>
      </c>
      <c r="I603" s="398">
        <v>46410</v>
      </c>
      <c r="J603" s="573" t="s">
        <v>3052</v>
      </c>
    </row>
    <row r="604" spans="1:10">
      <c r="A604" s="586">
        <v>600</v>
      </c>
      <c r="B604" s="565" t="s">
        <v>890</v>
      </c>
      <c r="C604" s="565" t="s">
        <v>3053</v>
      </c>
      <c r="D604" s="565" t="s">
        <v>2926</v>
      </c>
      <c r="E604" s="565" t="s">
        <v>2817</v>
      </c>
      <c r="F604" s="565" t="s">
        <v>2155</v>
      </c>
      <c r="G604" s="565">
        <v>2023</v>
      </c>
      <c r="H604" s="399">
        <v>44956</v>
      </c>
      <c r="I604" s="399">
        <v>46416</v>
      </c>
      <c r="J604" s="572" t="s">
        <v>3054</v>
      </c>
    </row>
    <row r="605" spans="1:10">
      <c r="A605" s="587">
        <v>601</v>
      </c>
      <c r="B605" s="564" t="s">
        <v>3055</v>
      </c>
      <c r="C605" s="564" t="s">
        <v>3056</v>
      </c>
      <c r="D605" s="564" t="s">
        <v>2926</v>
      </c>
      <c r="E605" s="564" t="s">
        <v>2812</v>
      </c>
      <c r="F605" s="564" t="s">
        <v>2155</v>
      </c>
      <c r="G605" s="564">
        <v>2023</v>
      </c>
      <c r="H605" s="398">
        <v>44958</v>
      </c>
      <c r="I605" s="398">
        <v>46418</v>
      </c>
      <c r="J605" s="573" t="s">
        <v>3057</v>
      </c>
    </row>
    <row r="606" spans="1:10">
      <c r="A606" s="586">
        <v>602</v>
      </c>
      <c r="B606" s="565" t="s">
        <v>3058</v>
      </c>
      <c r="C606" s="565" t="s">
        <v>3059</v>
      </c>
      <c r="D606" s="565" t="s">
        <v>2926</v>
      </c>
      <c r="E606" s="565" t="s">
        <v>2817</v>
      </c>
      <c r="F606" s="565" t="s">
        <v>2155</v>
      </c>
      <c r="G606" s="565">
        <v>2023</v>
      </c>
      <c r="H606" s="399">
        <v>44959</v>
      </c>
      <c r="I606" s="399">
        <v>46419</v>
      </c>
      <c r="J606" s="572" t="s">
        <v>2733</v>
      </c>
    </row>
    <row r="607" spans="1:10">
      <c r="A607" s="587">
        <v>603</v>
      </c>
      <c r="B607" s="564" t="s">
        <v>3060</v>
      </c>
      <c r="C607" s="564" t="s">
        <v>3061</v>
      </c>
      <c r="D607" s="564" t="s">
        <v>2926</v>
      </c>
      <c r="E607" s="564" t="s">
        <v>2634</v>
      </c>
      <c r="F607" s="564" t="s">
        <v>2155</v>
      </c>
      <c r="G607" s="564">
        <v>2023</v>
      </c>
      <c r="H607" s="398">
        <v>44959</v>
      </c>
      <c r="I607" s="398">
        <v>46419</v>
      </c>
      <c r="J607" s="573" t="s">
        <v>2148</v>
      </c>
    </row>
    <row r="608" spans="1:10">
      <c r="A608" s="586">
        <v>604</v>
      </c>
      <c r="B608" s="565" t="s">
        <v>3062</v>
      </c>
      <c r="C608" s="565" t="s">
        <v>3063</v>
      </c>
      <c r="D608" s="565" t="s">
        <v>2926</v>
      </c>
      <c r="E608" s="565" t="s">
        <v>2634</v>
      </c>
      <c r="F608" s="565" t="s">
        <v>2155</v>
      </c>
      <c r="G608" s="565">
        <v>2020</v>
      </c>
      <c r="H608" s="399">
        <v>43879</v>
      </c>
      <c r="I608" s="399">
        <v>46435</v>
      </c>
      <c r="J608" s="572" t="s">
        <v>2878</v>
      </c>
    </row>
    <row r="609" spans="1:10">
      <c r="A609" s="587">
        <v>605</v>
      </c>
      <c r="B609" s="564" t="s">
        <v>3064</v>
      </c>
      <c r="C609" s="564" t="s">
        <v>3065</v>
      </c>
      <c r="D609" s="564" t="s">
        <v>2926</v>
      </c>
      <c r="E609" s="564" t="s">
        <v>2634</v>
      </c>
      <c r="F609" s="564" t="s">
        <v>2155</v>
      </c>
      <c r="G609" s="564">
        <v>2023</v>
      </c>
      <c r="H609" s="398">
        <v>44977</v>
      </c>
      <c r="I609" s="398">
        <v>46437</v>
      </c>
      <c r="J609" s="573" t="s">
        <v>3066</v>
      </c>
    </row>
    <row r="610" spans="1:10">
      <c r="A610" s="586">
        <v>606</v>
      </c>
      <c r="B610" s="565" t="s">
        <v>3067</v>
      </c>
      <c r="C610" s="565" t="s">
        <v>2726</v>
      </c>
      <c r="D610" s="565" t="s">
        <v>2926</v>
      </c>
      <c r="E610" s="565" t="s">
        <v>2634</v>
      </c>
      <c r="F610" s="565" t="s">
        <v>2155</v>
      </c>
      <c r="G610" s="565">
        <v>2023</v>
      </c>
      <c r="H610" s="399">
        <v>45006</v>
      </c>
      <c r="I610" s="399">
        <v>46466</v>
      </c>
      <c r="J610" s="572" t="s">
        <v>2648</v>
      </c>
    </row>
    <row r="611" spans="1:10">
      <c r="A611" s="587">
        <v>607</v>
      </c>
      <c r="B611" s="564" t="s">
        <v>3068</v>
      </c>
      <c r="C611" s="564" t="s">
        <v>3069</v>
      </c>
      <c r="D611" s="564" t="s">
        <v>2926</v>
      </c>
      <c r="E611" s="564" t="s">
        <v>2817</v>
      </c>
      <c r="F611" s="564" t="s">
        <v>2155</v>
      </c>
      <c r="G611" s="564">
        <v>2023</v>
      </c>
      <c r="H611" s="398">
        <v>45070</v>
      </c>
      <c r="I611" s="398">
        <v>46530</v>
      </c>
      <c r="J611" s="573" t="s">
        <v>3070</v>
      </c>
    </row>
    <row r="612" spans="1:10">
      <c r="A612" s="586">
        <v>608</v>
      </c>
      <c r="B612" s="565" t="s">
        <v>3071</v>
      </c>
      <c r="C612" s="565" t="s">
        <v>3072</v>
      </c>
      <c r="D612" s="565" t="s">
        <v>2926</v>
      </c>
      <c r="E612" s="565" t="s">
        <v>2817</v>
      </c>
      <c r="F612" s="565" t="s">
        <v>2155</v>
      </c>
      <c r="G612" s="565">
        <v>2023</v>
      </c>
      <c r="H612" s="399">
        <v>45070</v>
      </c>
      <c r="I612" s="399">
        <v>46530</v>
      </c>
      <c r="J612" s="572" t="s">
        <v>3073</v>
      </c>
    </row>
    <row r="613" spans="1:10">
      <c r="A613" s="587">
        <v>609</v>
      </c>
      <c r="B613" s="564" t="s">
        <v>3074</v>
      </c>
      <c r="C613" s="564" t="s">
        <v>2827</v>
      </c>
      <c r="D613" s="564" t="s">
        <v>2926</v>
      </c>
      <c r="E613" s="564" t="s">
        <v>2634</v>
      </c>
      <c r="F613" s="564" t="s">
        <v>2155</v>
      </c>
      <c r="G613" s="564">
        <v>2023</v>
      </c>
      <c r="H613" s="398">
        <v>45112</v>
      </c>
      <c r="I613" s="398">
        <v>46572</v>
      </c>
      <c r="J613" s="573" t="s">
        <v>2675</v>
      </c>
    </row>
    <row r="614" spans="1:10">
      <c r="A614" s="586">
        <v>610</v>
      </c>
      <c r="B614" s="565" t="s">
        <v>2148</v>
      </c>
      <c r="C614" s="565" t="s">
        <v>2795</v>
      </c>
      <c r="D614" s="565" t="s">
        <v>2926</v>
      </c>
      <c r="E614" s="565" t="s">
        <v>2796</v>
      </c>
      <c r="F614" s="565" t="s">
        <v>2155</v>
      </c>
      <c r="G614" s="565">
        <v>2023</v>
      </c>
      <c r="H614" s="399">
        <v>45112</v>
      </c>
      <c r="I614" s="399">
        <v>46572</v>
      </c>
      <c r="J614" s="572" t="s">
        <v>2797</v>
      </c>
    </row>
    <row r="615" spans="1:10">
      <c r="A615" s="587">
        <v>611</v>
      </c>
      <c r="B615" s="564" t="s">
        <v>3075</v>
      </c>
      <c r="C615" s="564" t="s">
        <v>3076</v>
      </c>
      <c r="D615" s="564" t="s">
        <v>2926</v>
      </c>
      <c r="E615" s="564" t="s">
        <v>2634</v>
      </c>
      <c r="F615" s="564" t="s">
        <v>2155</v>
      </c>
      <c r="G615" s="564">
        <v>2023</v>
      </c>
      <c r="H615" s="398">
        <v>45113</v>
      </c>
      <c r="I615" s="398">
        <v>46573</v>
      </c>
      <c r="J615" s="573" t="s">
        <v>2890</v>
      </c>
    </row>
    <row r="616" spans="1:10">
      <c r="A616" s="586">
        <v>612</v>
      </c>
      <c r="B616" s="565" t="s">
        <v>3077</v>
      </c>
      <c r="C616" s="565" t="s">
        <v>3078</v>
      </c>
      <c r="D616" s="565" t="s">
        <v>2926</v>
      </c>
      <c r="E616" s="565" t="s">
        <v>2704</v>
      </c>
      <c r="F616" s="565" t="s">
        <v>2155</v>
      </c>
      <c r="G616" s="565">
        <v>2023</v>
      </c>
      <c r="H616" s="399">
        <v>45117</v>
      </c>
      <c r="I616" s="399">
        <v>46577</v>
      </c>
      <c r="J616" s="572" t="s">
        <v>2733</v>
      </c>
    </row>
    <row r="617" spans="1:10">
      <c r="A617" s="587">
        <v>613</v>
      </c>
      <c r="B617" s="564" t="s">
        <v>3079</v>
      </c>
      <c r="C617" s="564" t="s">
        <v>3080</v>
      </c>
      <c r="D617" s="564" t="s">
        <v>2926</v>
      </c>
      <c r="E617" s="564" t="s">
        <v>2634</v>
      </c>
      <c r="F617" s="564" t="s">
        <v>2155</v>
      </c>
      <c r="G617" s="564">
        <v>2023</v>
      </c>
      <c r="H617" s="398">
        <v>45195</v>
      </c>
      <c r="I617" s="398">
        <v>46655</v>
      </c>
      <c r="J617" s="573" t="s">
        <v>2716</v>
      </c>
    </row>
    <row r="618" spans="1:10">
      <c r="A618" s="586">
        <v>614</v>
      </c>
      <c r="B618" s="565" t="s">
        <v>3081</v>
      </c>
      <c r="C618" s="565" t="s">
        <v>3082</v>
      </c>
      <c r="D618" s="565" t="s">
        <v>2926</v>
      </c>
      <c r="E618" s="565" t="s">
        <v>2634</v>
      </c>
      <c r="F618" s="565" t="s">
        <v>2155</v>
      </c>
      <c r="G618" s="565">
        <v>2023</v>
      </c>
      <c r="H618" s="399">
        <v>45195</v>
      </c>
      <c r="I618" s="399">
        <v>46655</v>
      </c>
      <c r="J618" s="572" t="s">
        <v>2961</v>
      </c>
    </row>
    <row r="619" spans="1:10">
      <c r="A619" s="587">
        <v>615</v>
      </c>
      <c r="B619" s="564" t="s">
        <v>3083</v>
      </c>
      <c r="C619" s="564" t="s">
        <v>3084</v>
      </c>
      <c r="D619" s="564" t="s">
        <v>2926</v>
      </c>
      <c r="E619" s="564" t="s">
        <v>2634</v>
      </c>
      <c r="F619" s="564" t="s">
        <v>2155</v>
      </c>
      <c r="G619" s="564">
        <v>2023</v>
      </c>
      <c r="H619" s="398">
        <v>45259</v>
      </c>
      <c r="I619" s="398">
        <v>46719</v>
      </c>
      <c r="J619" s="573" t="s">
        <v>3085</v>
      </c>
    </row>
    <row r="620" spans="1:10">
      <c r="A620" s="586">
        <v>616</v>
      </c>
      <c r="B620" s="565" t="s">
        <v>3086</v>
      </c>
      <c r="C620" s="565" t="s">
        <v>2992</v>
      </c>
      <c r="D620" s="565" t="s">
        <v>2926</v>
      </c>
      <c r="E620" s="565" t="s">
        <v>2634</v>
      </c>
      <c r="F620" s="565" t="s">
        <v>2155</v>
      </c>
      <c r="G620" s="565">
        <v>2023</v>
      </c>
      <c r="H620" s="399">
        <v>45260</v>
      </c>
      <c r="I620" s="399">
        <v>46720</v>
      </c>
      <c r="J620" s="572" t="s">
        <v>2976</v>
      </c>
    </row>
    <row r="621" spans="1:10">
      <c r="A621" s="587">
        <v>617</v>
      </c>
      <c r="B621" s="564" t="s">
        <v>2148</v>
      </c>
      <c r="C621" s="564" t="s">
        <v>3087</v>
      </c>
      <c r="D621" s="564" t="s">
        <v>3088</v>
      </c>
      <c r="E621" s="564" t="s">
        <v>2634</v>
      </c>
      <c r="F621" s="564" t="s">
        <v>2155</v>
      </c>
      <c r="G621" s="564">
        <v>2022</v>
      </c>
      <c r="H621" s="398">
        <v>44735</v>
      </c>
      <c r="I621" s="398">
        <v>48387</v>
      </c>
      <c r="J621" s="573" t="s">
        <v>2890</v>
      </c>
    </row>
    <row r="622" spans="1:10">
      <c r="A622" s="586">
        <v>618</v>
      </c>
      <c r="B622" s="565" t="s">
        <v>2148</v>
      </c>
      <c r="C622" s="565" t="s">
        <v>3087</v>
      </c>
      <c r="D622" s="565" t="s">
        <v>3088</v>
      </c>
      <c r="E622" s="565" t="s">
        <v>3089</v>
      </c>
      <c r="F622" s="565" t="s">
        <v>2155</v>
      </c>
      <c r="G622" s="565">
        <v>2022</v>
      </c>
      <c r="H622" s="399">
        <v>44742</v>
      </c>
      <c r="I622" s="399">
        <v>48394</v>
      </c>
      <c r="J622" s="572" t="s">
        <v>3090</v>
      </c>
    </row>
  </sheetData>
  <autoFilter ref="A5:J622" xr:uid="{00000000-0009-0000-0000-000009000000}"/>
  <hyperlinks>
    <hyperlink ref="A1:C1" location="Sommaire!A1" display="Sommaire!A1"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20"/>
  <dimension ref="A1:D80"/>
  <sheetViews>
    <sheetView showGridLines="0" topLeftCell="A42" workbookViewId="0">
      <selection activeCell="D44" sqref="D44"/>
    </sheetView>
  </sheetViews>
  <sheetFormatPr baseColWidth="10" defaultColWidth="11.33203125" defaultRowHeight="13"/>
  <cols>
    <col min="1" max="1" width="5.1640625" style="6" bestFit="1" customWidth="1"/>
    <col min="2" max="2" width="37.33203125" style="6" bestFit="1" customWidth="1"/>
    <col min="3" max="3" width="36.33203125" style="6" bestFit="1" customWidth="1"/>
    <col min="4" max="4" width="65" style="6" bestFit="1" customWidth="1"/>
    <col min="5" max="16384" width="11.33203125" style="6"/>
  </cols>
  <sheetData>
    <row r="1" spans="1:4" ht="14.5">
      <c r="A1" s="561" t="s">
        <v>140</v>
      </c>
      <c r="B1" s="561"/>
      <c r="C1" s="561"/>
    </row>
    <row r="2" spans="1:4" ht="19">
      <c r="A2" s="166" t="s">
        <v>3091</v>
      </c>
    </row>
    <row r="4" spans="1:4" ht="13.5">
      <c r="A4" s="749" t="s">
        <v>3092</v>
      </c>
      <c r="B4" s="749"/>
      <c r="C4" s="749"/>
      <c r="D4" s="749"/>
    </row>
    <row r="5" spans="1:4" ht="13.5">
      <c r="A5" s="150" t="s">
        <v>143</v>
      </c>
      <c r="B5" s="151" t="s">
        <v>3093</v>
      </c>
      <c r="C5" s="151" t="s">
        <v>3094</v>
      </c>
      <c r="D5" s="151" t="s">
        <v>3095</v>
      </c>
    </row>
    <row r="6" spans="1:4" ht="39">
      <c r="A6" s="152">
        <v>1</v>
      </c>
      <c r="B6" s="153" t="s">
        <v>3096</v>
      </c>
      <c r="C6" s="153" t="s">
        <v>3097</v>
      </c>
      <c r="D6" s="153" t="s">
        <v>3098</v>
      </c>
    </row>
    <row r="7" spans="1:4" ht="52">
      <c r="A7" s="154">
        <v>2</v>
      </c>
      <c r="B7" s="155" t="s">
        <v>3099</v>
      </c>
      <c r="C7" s="155" t="s">
        <v>3097</v>
      </c>
      <c r="D7" s="155" t="s">
        <v>3100</v>
      </c>
    </row>
    <row r="8" spans="1:4" ht="13.5">
      <c r="A8" s="749" t="s">
        <v>3101</v>
      </c>
      <c r="B8" s="749"/>
      <c r="C8" s="749"/>
      <c r="D8" s="749"/>
    </row>
    <row r="9" spans="1:4" ht="13.5">
      <c r="A9" s="150" t="s">
        <v>143</v>
      </c>
      <c r="B9" s="151" t="s">
        <v>3093</v>
      </c>
      <c r="C9" s="151" t="s">
        <v>3094</v>
      </c>
      <c r="D9" s="151" t="s">
        <v>3095</v>
      </c>
    </row>
    <row r="10" spans="1:4" ht="13.5">
      <c r="A10" s="747" t="s">
        <v>3102</v>
      </c>
      <c r="B10" s="747"/>
      <c r="C10" s="747"/>
      <c r="D10" s="747"/>
    </row>
    <row r="11" spans="1:4" ht="169">
      <c r="A11" s="152">
        <v>3</v>
      </c>
      <c r="B11" s="153" t="s">
        <v>3103</v>
      </c>
      <c r="C11" s="153" t="s">
        <v>3104</v>
      </c>
      <c r="D11" s="153" t="s">
        <v>3105</v>
      </c>
    </row>
    <row r="12" spans="1:4" ht="65">
      <c r="A12" s="154">
        <v>4</v>
      </c>
      <c r="B12" s="155" t="s">
        <v>3106</v>
      </c>
      <c r="C12" s="155" t="s">
        <v>3107</v>
      </c>
      <c r="D12" s="155" t="s">
        <v>3108</v>
      </c>
    </row>
    <row r="13" spans="1:4" ht="52">
      <c r="A13" s="152">
        <v>5</v>
      </c>
      <c r="B13" s="153" t="s">
        <v>3109</v>
      </c>
      <c r="C13" s="153" t="s">
        <v>3110</v>
      </c>
      <c r="D13" s="153" t="s">
        <v>3111</v>
      </c>
    </row>
    <row r="14" spans="1:4" ht="65">
      <c r="A14" s="154">
        <v>6</v>
      </c>
      <c r="B14" s="155" t="s">
        <v>3112</v>
      </c>
      <c r="C14" s="155" t="s">
        <v>3107</v>
      </c>
      <c r="D14" s="155" t="s">
        <v>3113</v>
      </c>
    </row>
    <row r="15" spans="1:4" ht="26">
      <c r="A15" s="152">
        <v>7</v>
      </c>
      <c r="B15" s="153" t="s">
        <v>3114</v>
      </c>
      <c r="C15" s="153" t="s">
        <v>3115</v>
      </c>
      <c r="D15" s="153" t="s">
        <v>3116</v>
      </c>
    </row>
    <row r="16" spans="1:4" ht="13.5">
      <c r="A16" s="747" t="s">
        <v>3117</v>
      </c>
      <c r="B16" s="747"/>
      <c r="C16" s="747"/>
      <c r="D16" s="747"/>
    </row>
    <row r="17" spans="1:4" ht="52">
      <c r="A17" s="154">
        <v>8</v>
      </c>
      <c r="B17" s="155" t="s">
        <v>3118</v>
      </c>
      <c r="C17" s="155" t="s">
        <v>3097</v>
      </c>
      <c r="D17" s="155" t="s">
        <v>3119</v>
      </c>
    </row>
    <row r="18" spans="1:4" ht="65">
      <c r="A18" s="152">
        <v>9</v>
      </c>
      <c r="B18" s="153" t="s">
        <v>3120</v>
      </c>
      <c r="C18" s="153" t="s">
        <v>3097</v>
      </c>
      <c r="D18" s="153" t="s">
        <v>3121</v>
      </c>
    </row>
    <row r="19" spans="1:4" ht="78">
      <c r="A19" s="154">
        <v>10</v>
      </c>
      <c r="B19" s="155" t="s">
        <v>3122</v>
      </c>
      <c r="C19" s="155" t="s">
        <v>3097</v>
      </c>
      <c r="D19" s="155" t="s">
        <v>3123</v>
      </c>
    </row>
    <row r="20" spans="1:4" ht="65">
      <c r="A20" s="152">
        <v>11</v>
      </c>
      <c r="B20" s="153" t="s">
        <v>3124</v>
      </c>
      <c r="C20" s="153" t="s">
        <v>3097</v>
      </c>
      <c r="D20" s="153" t="s">
        <v>3125</v>
      </c>
    </row>
    <row r="21" spans="1:4" ht="39">
      <c r="A21" s="154">
        <v>12</v>
      </c>
      <c r="B21" s="155" t="s">
        <v>3126</v>
      </c>
      <c r="C21" s="155" t="s">
        <v>3097</v>
      </c>
      <c r="D21" s="155" t="s">
        <v>3127</v>
      </c>
    </row>
    <row r="22" spans="1:4" ht="78">
      <c r="A22" s="152">
        <v>13</v>
      </c>
      <c r="B22" s="153" t="s">
        <v>3128</v>
      </c>
      <c r="C22" s="153" t="s">
        <v>3129</v>
      </c>
      <c r="D22" s="153" t="s">
        <v>3130</v>
      </c>
    </row>
    <row r="23" spans="1:4" ht="26">
      <c r="A23" s="154">
        <v>14</v>
      </c>
      <c r="B23" s="155" t="s">
        <v>3131</v>
      </c>
      <c r="C23" s="155" t="s">
        <v>3097</v>
      </c>
      <c r="D23" s="155" t="s">
        <v>3132</v>
      </c>
    </row>
    <row r="24" spans="1:4" ht="117">
      <c r="A24" s="152">
        <v>15</v>
      </c>
      <c r="B24" s="153" t="s">
        <v>3133</v>
      </c>
      <c r="C24" s="153" t="s">
        <v>3134</v>
      </c>
      <c r="D24" s="153" t="s">
        <v>3135</v>
      </c>
    </row>
    <row r="25" spans="1:4" ht="65">
      <c r="A25" s="154">
        <v>16</v>
      </c>
      <c r="B25" s="155" t="s">
        <v>3136</v>
      </c>
      <c r="C25" s="155"/>
      <c r="D25" s="155" t="s">
        <v>3137</v>
      </c>
    </row>
    <row r="26" spans="1:4" ht="13.5">
      <c r="A26" s="747" t="s">
        <v>3138</v>
      </c>
      <c r="B26" s="747"/>
      <c r="C26" s="747"/>
      <c r="D26" s="747"/>
    </row>
    <row r="27" spans="1:4" ht="39">
      <c r="A27" s="154">
        <v>17</v>
      </c>
      <c r="B27" s="155" t="s">
        <v>3139</v>
      </c>
      <c r="C27" s="155" t="s">
        <v>3097</v>
      </c>
      <c r="D27" s="155" t="s">
        <v>3140</v>
      </c>
    </row>
    <row r="28" spans="1:4" ht="169">
      <c r="A28" s="152">
        <v>18</v>
      </c>
      <c r="B28" s="153" t="s">
        <v>3141</v>
      </c>
      <c r="C28" s="153" t="s">
        <v>3142</v>
      </c>
      <c r="D28" s="153" t="s">
        <v>3143</v>
      </c>
    </row>
    <row r="29" spans="1:4" ht="156">
      <c r="A29" s="154">
        <v>19</v>
      </c>
      <c r="B29" s="155" t="s">
        <v>3144</v>
      </c>
      <c r="C29" s="155" t="s">
        <v>3145</v>
      </c>
      <c r="D29" s="155" t="s">
        <v>3146</v>
      </c>
    </row>
    <row r="30" spans="1:4" ht="156">
      <c r="A30" s="152">
        <v>20</v>
      </c>
      <c r="B30" s="153" t="s">
        <v>3147</v>
      </c>
      <c r="C30" s="153" t="s">
        <v>3148</v>
      </c>
      <c r="D30" s="153" t="s">
        <v>3149</v>
      </c>
    </row>
    <row r="31" spans="1:4" ht="65">
      <c r="A31" s="154">
        <v>21</v>
      </c>
      <c r="B31" s="155" t="s">
        <v>3150</v>
      </c>
      <c r="C31" s="155" t="s">
        <v>3107</v>
      </c>
      <c r="D31" s="155" t="s">
        <v>3151</v>
      </c>
    </row>
    <row r="32" spans="1:4" ht="65">
      <c r="A32" s="152">
        <v>22</v>
      </c>
      <c r="B32" s="153" t="s">
        <v>3152</v>
      </c>
      <c r="C32" s="153" t="s">
        <v>3153</v>
      </c>
      <c r="D32" s="153" t="s">
        <v>3154</v>
      </c>
    </row>
    <row r="33" spans="1:4" ht="39">
      <c r="A33" s="154">
        <v>23</v>
      </c>
      <c r="B33" s="155" t="s">
        <v>3155</v>
      </c>
      <c r="C33" s="155" t="s">
        <v>3156</v>
      </c>
      <c r="D33" s="155" t="s">
        <v>3157</v>
      </c>
    </row>
    <row r="34" spans="1:4" ht="39">
      <c r="A34" s="152">
        <v>24</v>
      </c>
      <c r="B34" s="153" t="s">
        <v>3158</v>
      </c>
      <c r="C34" s="153" t="s">
        <v>3159</v>
      </c>
      <c r="D34" s="153" t="s">
        <v>3160</v>
      </c>
    </row>
    <row r="35" spans="1:4" ht="52">
      <c r="A35" s="154">
        <v>25</v>
      </c>
      <c r="B35" s="155" t="s">
        <v>3118</v>
      </c>
      <c r="C35" s="155" t="s">
        <v>3161</v>
      </c>
      <c r="D35" s="155" t="s">
        <v>3162</v>
      </c>
    </row>
    <row r="36" spans="1:4" ht="39">
      <c r="A36" s="152">
        <v>26</v>
      </c>
      <c r="B36" s="153" t="s">
        <v>3155</v>
      </c>
      <c r="C36" s="153" t="s">
        <v>3156</v>
      </c>
      <c r="D36" s="153" t="s">
        <v>3157</v>
      </c>
    </row>
    <row r="37" spans="1:4" ht="13.5">
      <c r="A37" s="747" t="s">
        <v>3163</v>
      </c>
      <c r="B37" s="747"/>
      <c r="C37" s="747"/>
      <c r="D37" s="747"/>
    </row>
    <row r="38" spans="1:4" ht="117">
      <c r="A38" s="152">
        <v>27</v>
      </c>
      <c r="B38" s="153" t="s">
        <v>3164</v>
      </c>
      <c r="C38" s="153" t="s">
        <v>3165</v>
      </c>
      <c r="D38" s="153" t="s">
        <v>3166</v>
      </c>
    </row>
    <row r="39" spans="1:4" ht="143">
      <c r="A39" s="154">
        <v>28</v>
      </c>
      <c r="B39" s="155" t="s">
        <v>3167</v>
      </c>
      <c r="C39" s="155" t="s">
        <v>3168</v>
      </c>
      <c r="D39" s="155" t="s">
        <v>3169</v>
      </c>
    </row>
    <row r="40" spans="1:4" ht="39">
      <c r="A40" s="152">
        <v>29</v>
      </c>
      <c r="B40" s="153" t="s">
        <v>3170</v>
      </c>
      <c r="C40" s="153" t="s">
        <v>3171</v>
      </c>
      <c r="D40" s="153" t="s">
        <v>3172</v>
      </c>
    </row>
    <row r="41" spans="1:4" ht="78">
      <c r="A41" s="154">
        <v>30</v>
      </c>
      <c r="B41" s="155" t="s">
        <v>3173</v>
      </c>
      <c r="C41" s="155" t="s">
        <v>3174</v>
      </c>
      <c r="D41" s="155" t="s">
        <v>3175</v>
      </c>
    </row>
    <row r="42" spans="1:4" ht="91">
      <c r="A42" s="152">
        <v>31</v>
      </c>
      <c r="B42" s="153" t="s">
        <v>3176</v>
      </c>
      <c r="C42" s="153" t="s">
        <v>3174</v>
      </c>
      <c r="D42" s="153" t="s">
        <v>3177</v>
      </c>
    </row>
    <row r="43" spans="1:4" ht="26">
      <c r="A43" s="154">
        <v>32</v>
      </c>
      <c r="B43" s="155" t="s">
        <v>3178</v>
      </c>
      <c r="C43" s="155" t="s">
        <v>3179</v>
      </c>
      <c r="D43" s="155" t="s">
        <v>3180</v>
      </c>
    </row>
    <row r="44" spans="1:4" ht="130">
      <c r="A44" s="152">
        <v>33</v>
      </c>
      <c r="B44" s="153" t="s">
        <v>3181</v>
      </c>
      <c r="C44" s="153" t="s">
        <v>3182</v>
      </c>
      <c r="D44" s="153" t="s">
        <v>3183</v>
      </c>
    </row>
    <row r="45" spans="1:4" ht="78">
      <c r="A45" s="154">
        <v>34</v>
      </c>
      <c r="B45" s="155" t="s">
        <v>3184</v>
      </c>
      <c r="C45" s="155" t="s">
        <v>3179</v>
      </c>
      <c r="D45" s="155" t="s">
        <v>3185</v>
      </c>
    </row>
    <row r="46" spans="1:4" ht="26">
      <c r="A46" s="152">
        <v>35</v>
      </c>
      <c r="B46" s="153" t="s">
        <v>3186</v>
      </c>
      <c r="C46" s="153" t="s">
        <v>3187</v>
      </c>
      <c r="D46" s="153" t="s">
        <v>3188</v>
      </c>
    </row>
    <row r="47" spans="1:4" ht="91">
      <c r="A47" s="154">
        <v>36</v>
      </c>
      <c r="B47" s="155" t="s">
        <v>3189</v>
      </c>
      <c r="C47" s="155" t="s">
        <v>3190</v>
      </c>
      <c r="D47" s="155" t="s">
        <v>3191</v>
      </c>
    </row>
    <row r="48" spans="1:4" ht="39">
      <c r="A48" s="152">
        <v>37</v>
      </c>
      <c r="B48" s="153" t="s">
        <v>3192</v>
      </c>
      <c r="C48" s="153" t="s">
        <v>3193</v>
      </c>
      <c r="D48" s="153" t="s">
        <v>3194</v>
      </c>
    </row>
    <row r="49" spans="1:4" ht="65">
      <c r="A49" s="154">
        <v>38</v>
      </c>
      <c r="B49" s="155" t="s">
        <v>3118</v>
      </c>
      <c r="C49" s="155" t="s">
        <v>3107</v>
      </c>
      <c r="D49" s="155" t="s">
        <v>3113</v>
      </c>
    </row>
    <row r="50" spans="1:4" ht="26">
      <c r="A50" s="152">
        <v>39</v>
      </c>
      <c r="B50" s="153" t="s">
        <v>3195</v>
      </c>
      <c r="C50" s="153" t="s">
        <v>3196</v>
      </c>
      <c r="D50" s="153" t="s">
        <v>3197</v>
      </c>
    </row>
    <row r="51" spans="1:4">
      <c r="A51" s="154">
        <v>40</v>
      </c>
      <c r="B51" s="155" t="s">
        <v>3198</v>
      </c>
      <c r="C51" s="155" t="s">
        <v>3199</v>
      </c>
      <c r="D51" s="155" t="s">
        <v>3156</v>
      </c>
    </row>
    <row r="52" spans="1:4" ht="39">
      <c r="A52" s="152">
        <v>41</v>
      </c>
      <c r="B52" s="153" t="s">
        <v>3158</v>
      </c>
      <c r="C52" s="153" t="s">
        <v>3159</v>
      </c>
      <c r="D52" s="153" t="s">
        <v>3160</v>
      </c>
    </row>
    <row r="53" spans="1:4" ht="13.5">
      <c r="A53" s="747" t="s">
        <v>3200</v>
      </c>
      <c r="B53" s="747"/>
      <c r="C53" s="747"/>
      <c r="D53" s="747"/>
    </row>
    <row r="54" spans="1:4" ht="94.5">
      <c r="A54" s="750" t="s">
        <v>3201</v>
      </c>
      <c r="B54" s="751" t="s">
        <v>3202</v>
      </c>
      <c r="C54" s="158" t="s">
        <v>3203</v>
      </c>
      <c r="D54" s="159" t="s">
        <v>3204</v>
      </c>
    </row>
    <row r="55" spans="1:4" ht="52.5">
      <c r="A55" s="750"/>
      <c r="B55" s="751"/>
      <c r="C55" s="160" t="s">
        <v>3205</v>
      </c>
      <c r="D55" s="161" t="s">
        <v>3206</v>
      </c>
    </row>
    <row r="56" spans="1:4" ht="52.5">
      <c r="A56" s="750"/>
      <c r="B56" s="751"/>
      <c r="C56" s="160" t="s">
        <v>3207</v>
      </c>
      <c r="D56" s="161" t="s">
        <v>3208</v>
      </c>
    </row>
    <row r="57" spans="1:4" ht="26.5">
      <c r="A57" s="750"/>
      <c r="B57" s="751"/>
      <c r="C57" s="160" t="s">
        <v>3209</v>
      </c>
      <c r="D57" s="161" t="s">
        <v>3210</v>
      </c>
    </row>
    <row r="58" spans="1:4" ht="52.5">
      <c r="A58" s="750"/>
      <c r="B58" s="751"/>
      <c r="C58" s="752" t="s">
        <v>3211</v>
      </c>
      <c r="D58" s="161" t="s">
        <v>3212</v>
      </c>
    </row>
    <row r="59" spans="1:4" ht="39.5">
      <c r="A59" s="750"/>
      <c r="B59" s="751"/>
      <c r="C59" s="752"/>
      <c r="D59" s="161" t="s">
        <v>3213</v>
      </c>
    </row>
    <row r="60" spans="1:4" ht="26">
      <c r="A60" s="750"/>
      <c r="B60" s="751"/>
      <c r="C60" s="160" t="s">
        <v>3214</v>
      </c>
      <c r="D60" s="160" t="s">
        <v>3215</v>
      </c>
    </row>
    <row r="61" spans="1:4" ht="52.5">
      <c r="A61" s="750"/>
      <c r="B61" s="751"/>
      <c r="C61" s="160"/>
      <c r="D61" s="161" t="s">
        <v>3216</v>
      </c>
    </row>
    <row r="62" spans="1:4" ht="92">
      <c r="A62" s="750"/>
      <c r="B62" s="751"/>
      <c r="C62" s="162" t="s">
        <v>3203</v>
      </c>
      <c r="D62" s="163" t="s">
        <v>3217</v>
      </c>
    </row>
    <row r="63" spans="1:4" ht="39">
      <c r="A63" s="152">
        <v>50</v>
      </c>
      <c r="B63" s="153" t="s">
        <v>3218</v>
      </c>
      <c r="C63" s="153" t="s">
        <v>3219</v>
      </c>
      <c r="D63" s="153" t="s">
        <v>3220</v>
      </c>
    </row>
    <row r="64" spans="1:4" ht="13.5">
      <c r="A64" s="747" t="s">
        <v>3221</v>
      </c>
      <c r="B64" s="747"/>
      <c r="C64" s="747"/>
      <c r="D64" s="747"/>
    </row>
    <row r="65" spans="1:4" ht="39">
      <c r="A65" s="156">
        <v>51</v>
      </c>
      <c r="B65" s="157" t="s">
        <v>3222</v>
      </c>
      <c r="C65" s="157" t="s">
        <v>3223</v>
      </c>
      <c r="D65" s="157" t="s">
        <v>3224</v>
      </c>
    </row>
    <row r="66" spans="1:4" ht="65">
      <c r="A66" s="152">
        <v>52</v>
      </c>
      <c r="B66" s="153" t="s">
        <v>3225</v>
      </c>
      <c r="C66" s="153" t="s">
        <v>3226</v>
      </c>
      <c r="D66" s="153" t="s">
        <v>3227</v>
      </c>
    </row>
    <row r="67" spans="1:4" ht="39">
      <c r="A67" s="156">
        <v>53</v>
      </c>
      <c r="B67" s="157" t="s">
        <v>3228</v>
      </c>
      <c r="C67" s="157" t="s">
        <v>3107</v>
      </c>
      <c r="D67" s="157" t="s">
        <v>3229</v>
      </c>
    </row>
    <row r="68" spans="1:4" ht="13.5">
      <c r="A68" s="747" t="s">
        <v>3230</v>
      </c>
      <c r="B68" s="747"/>
      <c r="C68" s="747"/>
      <c r="D68" s="747"/>
    </row>
    <row r="69" spans="1:4" ht="26">
      <c r="A69" s="152">
        <v>54</v>
      </c>
      <c r="B69" s="153" t="s">
        <v>3231</v>
      </c>
      <c r="C69" s="153" t="s">
        <v>3232</v>
      </c>
      <c r="D69" s="153" t="s">
        <v>3233</v>
      </c>
    </row>
    <row r="70" spans="1:4" ht="39">
      <c r="A70" s="154">
        <v>55</v>
      </c>
      <c r="B70" s="155" t="s">
        <v>3228</v>
      </c>
      <c r="C70" s="155" t="s">
        <v>3107</v>
      </c>
      <c r="D70" s="155" t="s">
        <v>3229</v>
      </c>
    </row>
    <row r="71" spans="1:4" ht="13.5">
      <c r="A71" s="747" t="s">
        <v>3234</v>
      </c>
      <c r="B71" s="747"/>
      <c r="C71" s="747"/>
      <c r="D71" s="747"/>
    </row>
    <row r="72" spans="1:4" ht="26">
      <c r="A72" s="152">
        <v>56</v>
      </c>
      <c r="B72" s="153" t="s">
        <v>3235</v>
      </c>
      <c r="C72" s="153" t="s">
        <v>3236</v>
      </c>
      <c r="D72" s="153" t="s">
        <v>3237</v>
      </c>
    </row>
    <row r="73" spans="1:4" ht="13.5">
      <c r="A73" s="747" t="s">
        <v>3238</v>
      </c>
      <c r="B73" s="747"/>
      <c r="C73" s="747"/>
      <c r="D73" s="747"/>
    </row>
    <row r="74" spans="1:4" ht="26">
      <c r="A74" s="156">
        <v>57</v>
      </c>
      <c r="B74" s="157" t="s">
        <v>3235</v>
      </c>
      <c r="C74" s="157" t="s">
        <v>3239</v>
      </c>
      <c r="D74" s="157" t="s">
        <v>3237</v>
      </c>
    </row>
    <row r="75" spans="1:4" ht="13.5">
      <c r="A75" s="747" t="s">
        <v>3240</v>
      </c>
      <c r="B75" s="747"/>
      <c r="C75" s="747"/>
      <c r="D75" s="747"/>
    </row>
    <row r="76" spans="1:4" ht="39">
      <c r="A76" s="152">
        <v>58</v>
      </c>
      <c r="B76" s="153" t="s">
        <v>3241</v>
      </c>
      <c r="C76" s="153" t="s">
        <v>3156</v>
      </c>
      <c r="D76" s="153" t="s">
        <v>3242</v>
      </c>
    </row>
    <row r="77" spans="1:4" ht="13.5">
      <c r="A77" s="748" t="s">
        <v>3243</v>
      </c>
      <c r="B77" s="748"/>
      <c r="C77" s="748"/>
      <c r="D77" s="748"/>
    </row>
    <row r="78" spans="1:4" ht="13.5">
      <c r="A78" s="150" t="s">
        <v>143</v>
      </c>
      <c r="B78" s="151" t="s">
        <v>3093</v>
      </c>
      <c r="C78" s="164"/>
      <c r="D78" s="151" t="s">
        <v>3095</v>
      </c>
    </row>
    <row r="79" spans="1:4" ht="78">
      <c r="A79" s="154">
        <v>59</v>
      </c>
      <c r="B79" s="155" t="s">
        <v>13</v>
      </c>
      <c r="C79" s="155" t="s">
        <v>3156</v>
      </c>
      <c r="D79" s="155" t="s">
        <v>3244</v>
      </c>
    </row>
    <row r="80" spans="1:4" ht="39">
      <c r="A80" s="152">
        <v>60</v>
      </c>
      <c r="B80" s="153" t="s">
        <v>15</v>
      </c>
      <c r="C80" s="153" t="s">
        <v>3156</v>
      </c>
      <c r="D80" s="153" t="s">
        <v>3245</v>
      </c>
    </row>
  </sheetData>
  <mergeCells count="16">
    <mergeCell ref="A64:D64"/>
    <mergeCell ref="A4:D4"/>
    <mergeCell ref="A8:D8"/>
    <mergeCell ref="A10:D10"/>
    <mergeCell ref="A16:D16"/>
    <mergeCell ref="A26:D26"/>
    <mergeCell ref="A37:D37"/>
    <mergeCell ref="A53:D53"/>
    <mergeCell ref="A54:A62"/>
    <mergeCell ref="B54:B62"/>
    <mergeCell ref="C58:C59"/>
    <mergeCell ref="A68:D68"/>
    <mergeCell ref="A71:D71"/>
    <mergeCell ref="A73:D73"/>
    <mergeCell ref="A75:D75"/>
    <mergeCell ref="A77:D77"/>
  </mergeCells>
  <hyperlinks>
    <hyperlink ref="A1:C1" location="Sommaire!A1" display="Sommaire!A1"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Feuil21"/>
  <dimension ref="A1:F32"/>
  <sheetViews>
    <sheetView showGridLines="0" zoomScaleNormal="100" workbookViewId="0"/>
  </sheetViews>
  <sheetFormatPr baseColWidth="10" defaultColWidth="11.33203125" defaultRowHeight="12"/>
  <cols>
    <col min="1" max="1" width="6.33203125" style="609" customWidth="1"/>
    <col min="2" max="2" width="18.33203125" style="609" customWidth="1"/>
    <col min="3" max="3" width="67" style="609" bestFit="1" customWidth="1"/>
    <col min="4" max="6" width="16.5" style="662" bestFit="1" customWidth="1"/>
    <col min="7" max="16384" width="11.33203125" style="609"/>
  </cols>
  <sheetData>
    <row r="1" spans="1:3" ht="14.5">
      <c r="A1" s="608" t="s">
        <v>140</v>
      </c>
      <c r="B1" s="611"/>
      <c r="C1" s="611"/>
    </row>
    <row r="2" spans="1:3" ht="14.5">
      <c r="B2" s="610" t="s">
        <v>3246</v>
      </c>
    </row>
    <row r="4" spans="1:3">
      <c r="B4" s="612" t="s">
        <v>24</v>
      </c>
      <c r="C4" s="609" t="s">
        <v>183</v>
      </c>
    </row>
    <row r="5" spans="1:3">
      <c r="B5" s="612" t="s">
        <v>26</v>
      </c>
      <c r="C5" s="609" t="s">
        <v>187</v>
      </c>
    </row>
    <row r="6" spans="1:3">
      <c r="B6" s="612" t="s">
        <v>28</v>
      </c>
      <c r="C6" s="609" t="s">
        <v>191</v>
      </c>
    </row>
    <row r="7" spans="1:3">
      <c r="B7" s="612" t="s">
        <v>30</v>
      </c>
      <c r="C7" s="609" t="s">
        <v>195</v>
      </c>
    </row>
    <row r="8" spans="1:3">
      <c r="B8" s="612" t="s">
        <v>32</v>
      </c>
      <c r="C8" s="609" t="s">
        <v>199</v>
      </c>
    </row>
    <row r="9" spans="1:3">
      <c r="B9" s="612" t="s">
        <v>34</v>
      </c>
      <c r="C9" s="609" t="s">
        <v>203</v>
      </c>
    </row>
    <row r="10" spans="1:3">
      <c r="B10" s="612" t="s">
        <v>36</v>
      </c>
      <c r="C10" s="609" t="s">
        <v>206</v>
      </c>
    </row>
    <row r="11" spans="1:3">
      <c r="B11" s="612" t="s">
        <v>38</v>
      </c>
      <c r="C11" s="609" t="s">
        <v>210</v>
      </c>
    </row>
    <row r="12" spans="1:3">
      <c r="B12" s="612" t="s">
        <v>40</v>
      </c>
      <c r="C12" s="609" t="s">
        <v>214</v>
      </c>
    </row>
    <row r="13" spans="1:3">
      <c r="B13" s="612" t="s">
        <v>42</v>
      </c>
      <c r="C13" s="609" t="s">
        <v>219</v>
      </c>
    </row>
    <row r="14" spans="1:3">
      <c r="B14" s="612" t="s">
        <v>44</v>
      </c>
      <c r="C14" s="609" t="s">
        <v>223</v>
      </c>
    </row>
    <row r="15" spans="1:3">
      <c r="B15" s="612" t="s">
        <v>46</v>
      </c>
      <c r="C15" s="609" t="s">
        <v>224</v>
      </c>
    </row>
    <row r="16" spans="1:3">
      <c r="B16" s="612" t="s">
        <v>48</v>
      </c>
      <c r="C16" s="609" t="s">
        <v>228</v>
      </c>
    </row>
    <row r="17" spans="2:3">
      <c r="B17" s="612" t="s">
        <v>50</v>
      </c>
      <c r="C17" s="609" t="s">
        <v>231</v>
      </c>
    </row>
    <row r="18" spans="2:3">
      <c r="B18" s="612" t="s">
        <v>52</v>
      </c>
      <c r="C18" s="609" t="s">
        <v>235</v>
      </c>
    </row>
    <row r="19" spans="2:3">
      <c r="B19" s="612" t="s">
        <v>54</v>
      </c>
      <c r="C19" s="609" t="s">
        <v>239</v>
      </c>
    </row>
    <row r="20" spans="2:3">
      <c r="B20" s="612" t="s">
        <v>56</v>
      </c>
      <c r="C20" s="609" t="s">
        <v>242</v>
      </c>
    </row>
    <row r="21" spans="2:3">
      <c r="B21" s="612" t="s">
        <v>58</v>
      </c>
      <c r="C21" s="609" t="s">
        <v>246</v>
      </c>
    </row>
    <row r="22" spans="2:3">
      <c r="B22" s="612" t="s">
        <v>60</v>
      </c>
      <c r="C22" s="609" t="s">
        <v>250</v>
      </c>
    </row>
    <row r="23" spans="2:3">
      <c r="B23" s="612" t="s">
        <v>62</v>
      </c>
      <c r="C23" s="609" t="s">
        <v>252</v>
      </c>
    </row>
    <row r="24" spans="2:3">
      <c r="B24" s="612" t="s">
        <v>64</v>
      </c>
      <c r="C24" s="609" t="s">
        <v>256</v>
      </c>
    </row>
    <row r="25" spans="2:3">
      <c r="B25" s="612" t="s">
        <v>66</v>
      </c>
      <c r="C25" s="609" t="s">
        <v>260</v>
      </c>
    </row>
    <row r="26" spans="2:3">
      <c r="B26" s="612" t="s">
        <v>68</v>
      </c>
      <c r="C26" s="609" t="s">
        <v>153</v>
      </c>
    </row>
    <row r="27" spans="2:3">
      <c r="B27" s="612" t="s">
        <v>70</v>
      </c>
      <c r="C27" s="609" t="s">
        <v>155</v>
      </c>
    </row>
    <row r="28" spans="2:3">
      <c r="B28" s="612" t="s">
        <v>72</v>
      </c>
      <c r="C28" s="609" t="s">
        <v>159</v>
      </c>
    </row>
    <row r="29" spans="2:3">
      <c r="B29" s="612" t="s">
        <v>74</v>
      </c>
      <c r="C29" s="609" t="s">
        <v>164</v>
      </c>
    </row>
    <row r="30" spans="2:3">
      <c r="B30" s="612" t="s">
        <v>76</v>
      </c>
      <c r="C30" s="609" t="s">
        <v>3247</v>
      </c>
    </row>
    <row r="31" spans="2:3">
      <c r="B31" s="612" t="s">
        <v>78</v>
      </c>
      <c r="C31" s="609" t="s">
        <v>3248</v>
      </c>
    </row>
    <row r="32" spans="2:3">
      <c r="B32" s="612" t="s">
        <v>80</v>
      </c>
      <c r="C32" s="609" t="s">
        <v>591</v>
      </c>
    </row>
  </sheetData>
  <hyperlinks>
    <hyperlink ref="A1:C1" location="Sommaire!A1" display="Sommaire!A1" xr:uid="{00000000-0004-0000-0B00-000000000000}"/>
    <hyperlink ref="B4" location="'11-1'!A1" display="Annexe 11-1" xr:uid="{00000000-0004-0000-0B00-000001000000}"/>
    <hyperlink ref="B5" location="'11-2'!A1" display="Annexe 11-2" xr:uid="{00000000-0004-0000-0B00-000002000000}"/>
    <hyperlink ref="B6" location="'11-3'!A1" display="Annexe 11-3" xr:uid="{00000000-0004-0000-0B00-000003000000}"/>
    <hyperlink ref="B7" location="'11-4'!A1" display="Annexe 11-4" xr:uid="{00000000-0004-0000-0B00-000004000000}"/>
    <hyperlink ref="B8" location="'11-5'!A1" display="Annexe 11-5" xr:uid="{00000000-0004-0000-0B00-000005000000}"/>
    <hyperlink ref="B9" location="'11-6'!A1" display="Annexe 11-6" xr:uid="{00000000-0004-0000-0B00-000006000000}"/>
    <hyperlink ref="B10" location="'11-7'!A1" display="Annexe 11-7" xr:uid="{00000000-0004-0000-0B00-000007000000}"/>
    <hyperlink ref="B11" location="'11-8'!A1" display="Annexe 11-8" xr:uid="{00000000-0004-0000-0B00-000008000000}"/>
    <hyperlink ref="B12" location="'11-9'!A1" display="Annexe 11-9" xr:uid="{00000000-0004-0000-0B00-000009000000}"/>
    <hyperlink ref="B13" location="'11-10'!A1" display="Annexe 11-10" xr:uid="{00000000-0004-0000-0B00-00000A000000}"/>
    <hyperlink ref="B14" location="'11-11'!A1" display="Annexe 11-11" xr:uid="{00000000-0004-0000-0B00-00000B000000}"/>
    <hyperlink ref="B15" location="'11-12'!A1" display="Annexe 11-12" xr:uid="{00000000-0004-0000-0B00-00000C000000}"/>
    <hyperlink ref="B16" location="'11-13'!A1" display="Annexe 11-13" xr:uid="{00000000-0004-0000-0B00-00000D000000}"/>
    <hyperlink ref="B17" location="'11-14'!A1" display="Annexe 11-14" xr:uid="{00000000-0004-0000-0B00-00000E000000}"/>
    <hyperlink ref="B18" location="'11-15'!A1" display="Annexe 11-15" xr:uid="{00000000-0004-0000-0B00-00000F000000}"/>
    <hyperlink ref="B19" location="'11-16'!A1" display="Annexe 11-16" xr:uid="{00000000-0004-0000-0B00-000010000000}"/>
    <hyperlink ref="B20" location="'11-17'!A1" display="Annexe 11-17" xr:uid="{00000000-0004-0000-0B00-000011000000}"/>
    <hyperlink ref="B21" location="'11-18'!A1" display="Annexe 11-18" xr:uid="{00000000-0004-0000-0B00-000012000000}"/>
    <hyperlink ref="B22" location="'11-19'!A1" display="Annexe 11-19" xr:uid="{00000000-0004-0000-0B00-000013000000}"/>
    <hyperlink ref="B23" location="'11-20'!A1" display="Annexe 11-20" xr:uid="{00000000-0004-0000-0B00-000014000000}"/>
    <hyperlink ref="B24" location="'11-21'!A1" display="Annexe 11-21" xr:uid="{00000000-0004-0000-0B00-000015000000}"/>
    <hyperlink ref="B25" location="'11-22'!A1" display="Annexe 11-22" xr:uid="{00000000-0004-0000-0B00-000016000000}"/>
    <hyperlink ref="B26" location="'11-23'!A1" display="Annexe 11-23" xr:uid="{00000000-0004-0000-0B00-000017000000}"/>
    <hyperlink ref="B27" location="'11-24'!A1" display="Annexe 11-24" xr:uid="{00000000-0004-0000-0B00-000018000000}"/>
    <hyperlink ref="B28" location="'11-25'!A1" display="Annexe 11-25" xr:uid="{00000000-0004-0000-0B00-000019000000}"/>
    <hyperlink ref="B29" location="'11-26'!A1" display="Annexe 11-26" xr:uid="{00000000-0004-0000-0B00-00001A000000}"/>
    <hyperlink ref="B30" location="'11-27'!A1" display="Annexe 11-27" xr:uid="{00000000-0004-0000-0B00-00001B000000}"/>
    <hyperlink ref="B31" location="'11-28'!A1" display="Annexe 11-28" xr:uid="{00000000-0004-0000-0B00-00001C000000}"/>
    <hyperlink ref="B32" location="'11-29'!A1" display="Annexe 11-29" xr:uid="{00000000-0004-0000-0B00-00001D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79"/>
  <sheetViews>
    <sheetView showGridLines="0" zoomScaleNormal="100" workbookViewId="0"/>
  </sheetViews>
  <sheetFormatPr baseColWidth="10" defaultColWidth="11.33203125" defaultRowHeight="12"/>
  <cols>
    <col min="1" max="1" width="10.1640625" style="588" bestFit="1" customWidth="1"/>
    <col min="2" max="2" width="19" style="588" bestFit="1" customWidth="1"/>
    <col min="3" max="3" width="54.5" style="605" bestFit="1" customWidth="1"/>
    <col min="4" max="4" width="0.6640625" style="590" customWidth="1"/>
    <col min="5" max="5" width="16.33203125" style="590" bestFit="1" customWidth="1"/>
    <col min="6" max="6" width="10.1640625" style="588" bestFit="1" customWidth="1"/>
    <col min="7" max="7" width="10.6640625" style="590" customWidth="1"/>
    <col min="8" max="8" width="0.6640625" style="590" customWidth="1"/>
    <col min="9" max="9" width="10.6640625" style="590" bestFit="1" customWidth="1"/>
    <col min="10" max="10" width="10.1640625" style="590" bestFit="1" customWidth="1"/>
    <col min="11" max="11" width="10.6640625" style="590" bestFit="1" customWidth="1"/>
    <col min="12" max="12" width="0.6640625" style="590" customWidth="1"/>
    <col min="13" max="13" width="13.83203125" style="590" bestFit="1" customWidth="1"/>
    <col min="14" max="16384" width="11.33203125" style="590"/>
  </cols>
  <sheetData>
    <row r="1" spans="1:13" ht="36">
      <c r="A1" s="661" t="s">
        <v>140</v>
      </c>
      <c r="C1" s="589" t="s">
        <v>3249</v>
      </c>
      <c r="E1" s="591" t="s">
        <v>183</v>
      </c>
      <c r="F1" s="591" t="s">
        <v>3250</v>
      </c>
      <c r="G1" s="592"/>
      <c r="J1" s="592" t="s">
        <v>3251</v>
      </c>
      <c r="K1" s="592">
        <v>2023</v>
      </c>
    </row>
    <row r="2" spans="1:13">
      <c r="C2" s="593"/>
      <c r="F2" s="590"/>
      <c r="I2" s="590" t="s">
        <v>3252</v>
      </c>
      <c r="J2" s="594">
        <v>604.32574999999997</v>
      </c>
    </row>
    <row r="3" spans="1:13">
      <c r="B3" s="753" t="s">
        <v>143</v>
      </c>
      <c r="C3" s="754" t="s">
        <v>3253</v>
      </c>
      <c r="E3" s="755" t="s">
        <v>2084</v>
      </c>
      <c r="F3" s="755"/>
      <c r="G3" s="755"/>
      <c r="I3" s="755" t="s">
        <v>3254</v>
      </c>
      <c r="J3" s="755"/>
      <c r="K3" s="755"/>
      <c r="M3" s="756" t="s">
        <v>3255</v>
      </c>
    </row>
    <row r="4" spans="1:13">
      <c r="B4" s="753"/>
      <c r="C4" s="754"/>
      <c r="E4" s="595" t="s">
        <v>3256</v>
      </c>
      <c r="F4" s="595" t="s">
        <v>3257</v>
      </c>
      <c r="G4" s="595" t="s">
        <v>3258</v>
      </c>
      <c r="I4" s="595" t="s">
        <v>3256</v>
      </c>
      <c r="J4" s="595" t="s">
        <v>3257</v>
      </c>
      <c r="K4" s="595" t="s">
        <v>3258</v>
      </c>
      <c r="M4" s="756"/>
    </row>
    <row r="5" spans="1:13">
      <c r="B5" s="655" t="s">
        <v>3092</v>
      </c>
      <c r="C5" s="656"/>
      <c r="E5" s="657">
        <v>0</v>
      </c>
      <c r="F5" s="657">
        <v>0</v>
      </c>
      <c r="G5" s="657">
        <v>0</v>
      </c>
      <c r="I5" s="657">
        <v>0</v>
      </c>
      <c r="J5" s="657">
        <v>0</v>
      </c>
      <c r="K5" s="657">
        <v>0</v>
      </c>
      <c r="M5" s="657">
        <v>0</v>
      </c>
    </row>
    <row r="6" spans="1:13">
      <c r="B6" s="596">
        <v>1</v>
      </c>
      <c r="C6" s="597" t="s">
        <v>3259</v>
      </c>
      <c r="E6" s="598"/>
      <c r="F6" s="598">
        <v>0</v>
      </c>
      <c r="G6" s="598">
        <v>0</v>
      </c>
      <c r="I6" s="598"/>
      <c r="J6" s="598">
        <v>0</v>
      </c>
      <c r="K6" s="598">
        <v>0</v>
      </c>
      <c r="M6" s="598">
        <v>0</v>
      </c>
    </row>
    <row r="7" spans="1:13">
      <c r="B7" s="588">
        <v>2</v>
      </c>
      <c r="C7" s="599" t="s">
        <v>3260</v>
      </c>
      <c r="E7" s="600"/>
      <c r="F7" s="600">
        <v>0</v>
      </c>
      <c r="G7" s="600">
        <v>0</v>
      </c>
      <c r="I7" s="600"/>
      <c r="J7" s="600">
        <v>0</v>
      </c>
      <c r="K7" s="600">
        <v>0</v>
      </c>
      <c r="M7" s="600">
        <v>0</v>
      </c>
    </row>
    <row r="8" spans="1:13">
      <c r="B8" s="655" t="s">
        <v>3101</v>
      </c>
      <c r="C8" s="656"/>
      <c r="E8" s="657">
        <v>15119056</v>
      </c>
      <c r="F8" s="657">
        <v>5000000</v>
      </c>
      <c r="G8" s="657">
        <v>20119056</v>
      </c>
      <c r="I8" s="657">
        <v>29437106</v>
      </c>
      <c r="J8" s="657">
        <v>0</v>
      </c>
      <c r="K8" s="657">
        <v>29437106</v>
      </c>
      <c r="M8" s="657">
        <v>-9318050</v>
      </c>
    </row>
    <row r="9" spans="1:13">
      <c r="B9" s="601"/>
      <c r="C9" s="602" t="s">
        <v>1244</v>
      </c>
      <c r="E9" s="658">
        <v>0</v>
      </c>
      <c r="F9" s="658">
        <v>0</v>
      </c>
      <c r="G9" s="658">
        <v>0</v>
      </c>
      <c r="I9" s="658">
        <v>0</v>
      </c>
      <c r="J9" s="658">
        <v>0</v>
      </c>
      <c r="K9" s="658">
        <v>0</v>
      </c>
      <c r="M9" s="658">
        <v>0</v>
      </c>
    </row>
    <row r="10" spans="1:13">
      <c r="A10" s="603">
        <v>3</v>
      </c>
      <c r="B10" s="596">
        <v>3</v>
      </c>
      <c r="C10" s="597" t="s">
        <v>3261</v>
      </c>
      <c r="E10" s="659"/>
      <c r="F10" s="659">
        <v>0</v>
      </c>
      <c r="G10" s="659">
        <v>0</v>
      </c>
      <c r="I10" s="659"/>
      <c r="J10" s="659">
        <v>0</v>
      </c>
      <c r="K10" s="659">
        <v>0</v>
      </c>
      <c r="M10" s="659">
        <v>0</v>
      </c>
    </row>
    <row r="11" spans="1:13">
      <c r="A11" s="603">
        <v>4</v>
      </c>
      <c r="B11" s="588">
        <v>4</v>
      </c>
      <c r="C11" s="599" t="s">
        <v>3106</v>
      </c>
      <c r="E11" s="660"/>
      <c r="F11" s="660">
        <v>0</v>
      </c>
      <c r="G11" s="660">
        <v>0</v>
      </c>
      <c r="I11" s="660"/>
      <c r="J11" s="660">
        <v>0</v>
      </c>
      <c r="K11" s="660">
        <v>0</v>
      </c>
      <c r="M11" s="660">
        <v>0</v>
      </c>
    </row>
    <row r="12" spans="1:13">
      <c r="A12" s="603">
        <v>5</v>
      </c>
      <c r="B12" s="596">
        <v>5</v>
      </c>
      <c r="C12" s="597" t="s">
        <v>3262</v>
      </c>
      <c r="E12" s="659"/>
      <c r="F12" s="659">
        <v>0</v>
      </c>
      <c r="G12" s="659">
        <v>0</v>
      </c>
      <c r="I12" s="659"/>
      <c r="J12" s="659">
        <v>0</v>
      </c>
      <c r="K12" s="659">
        <v>0</v>
      </c>
      <c r="M12" s="659">
        <v>0</v>
      </c>
    </row>
    <row r="13" spans="1:13">
      <c r="A13" s="603">
        <v>6</v>
      </c>
      <c r="B13" s="588">
        <v>6</v>
      </c>
      <c r="C13" s="599" t="s">
        <v>3263</v>
      </c>
      <c r="E13" s="660"/>
      <c r="F13" s="660">
        <v>0</v>
      </c>
      <c r="G13" s="660">
        <v>0</v>
      </c>
      <c r="I13" s="660"/>
      <c r="J13" s="660">
        <v>0</v>
      </c>
      <c r="K13" s="660">
        <v>0</v>
      </c>
      <c r="M13" s="660">
        <v>0</v>
      </c>
    </row>
    <row r="14" spans="1:13">
      <c r="A14" s="603">
        <v>7</v>
      </c>
      <c r="B14" s="596">
        <v>7</v>
      </c>
      <c r="C14" s="597" t="s">
        <v>3114</v>
      </c>
      <c r="E14" s="659"/>
      <c r="F14" s="659">
        <v>0</v>
      </c>
      <c r="G14" s="659">
        <v>0</v>
      </c>
      <c r="I14" s="659"/>
      <c r="J14" s="659">
        <v>0</v>
      </c>
      <c r="K14" s="659">
        <v>0</v>
      </c>
      <c r="M14" s="659">
        <v>0</v>
      </c>
    </row>
    <row r="15" spans="1:13">
      <c r="A15" s="603">
        <v>0</v>
      </c>
      <c r="B15" s="601"/>
      <c r="C15" s="602" t="s">
        <v>1253</v>
      </c>
      <c r="E15" s="658">
        <v>0</v>
      </c>
      <c r="F15" s="658">
        <v>0</v>
      </c>
      <c r="G15" s="658">
        <v>0</v>
      </c>
      <c r="I15" s="658">
        <v>0</v>
      </c>
      <c r="J15" s="658">
        <v>0</v>
      </c>
      <c r="K15" s="658">
        <v>0</v>
      </c>
      <c r="M15" s="658">
        <v>0</v>
      </c>
    </row>
    <row r="16" spans="1:13">
      <c r="A16" s="603">
        <v>8</v>
      </c>
      <c r="B16" s="588">
        <v>8</v>
      </c>
      <c r="C16" s="599" t="s">
        <v>3264</v>
      </c>
      <c r="E16" s="660"/>
      <c r="F16" s="660">
        <v>0</v>
      </c>
      <c r="G16" s="660">
        <v>0</v>
      </c>
      <c r="I16" s="660"/>
      <c r="J16" s="660">
        <v>0</v>
      </c>
      <c r="K16" s="660">
        <v>0</v>
      </c>
      <c r="M16" s="660">
        <v>0</v>
      </c>
    </row>
    <row r="17" spans="1:13">
      <c r="A17" s="603">
        <v>9</v>
      </c>
      <c r="B17" s="596">
        <v>9</v>
      </c>
      <c r="C17" s="597" t="s">
        <v>3265</v>
      </c>
      <c r="E17" s="659"/>
      <c r="F17" s="659">
        <v>0</v>
      </c>
      <c r="G17" s="659">
        <v>0</v>
      </c>
      <c r="I17" s="659"/>
      <c r="J17" s="659">
        <v>0</v>
      </c>
      <c r="K17" s="659">
        <v>0</v>
      </c>
      <c r="M17" s="659">
        <v>0</v>
      </c>
    </row>
    <row r="18" spans="1:13">
      <c r="A18" s="603"/>
      <c r="B18" s="588">
        <v>10</v>
      </c>
      <c r="C18" s="599" t="s">
        <v>3122</v>
      </c>
      <c r="E18" s="660"/>
      <c r="F18" s="660">
        <v>0</v>
      </c>
      <c r="G18" s="660">
        <v>0</v>
      </c>
      <c r="I18" s="660"/>
      <c r="J18" s="660">
        <v>0</v>
      </c>
      <c r="K18" s="660">
        <v>0</v>
      </c>
      <c r="M18" s="660">
        <v>0</v>
      </c>
    </row>
    <row r="19" spans="1:13">
      <c r="A19" s="603">
        <v>11</v>
      </c>
      <c r="B19" s="596">
        <v>11</v>
      </c>
      <c r="C19" s="597" t="s">
        <v>3124</v>
      </c>
      <c r="E19" s="659"/>
      <c r="F19" s="659">
        <v>0</v>
      </c>
      <c r="G19" s="659">
        <v>0</v>
      </c>
      <c r="I19" s="659"/>
      <c r="J19" s="659">
        <v>0</v>
      </c>
      <c r="K19" s="659">
        <v>0</v>
      </c>
      <c r="M19" s="659">
        <v>0</v>
      </c>
    </row>
    <row r="20" spans="1:13">
      <c r="A20" s="603">
        <v>12</v>
      </c>
      <c r="B20" s="588">
        <v>12</v>
      </c>
      <c r="C20" s="599" t="s">
        <v>3266</v>
      </c>
      <c r="E20" s="660"/>
      <c r="F20" s="660">
        <v>0</v>
      </c>
      <c r="G20" s="660">
        <v>0</v>
      </c>
      <c r="I20" s="660"/>
      <c r="J20" s="660">
        <v>0</v>
      </c>
      <c r="K20" s="660">
        <v>0</v>
      </c>
      <c r="M20" s="660">
        <v>0</v>
      </c>
    </row>
    <row r="21" spans="1:13">
      <c r="A21" s="603">
        <v>13</v>
      </c>
      <c r="B21" s="596">
        <v>13</v>
      </c>
      <c r="C21" s="597" t="s">
        <v>3267</v>
      </c>
      <c r="E21" s="659"/>
      <c r="F21" s="659">
        <v>0</v>
      </c>
      <c r="G21" s="659">
        <v>0</v>
      </c>
      <c r="I21" s="659"/>
      <c r="J21" s="659">
        <v>0</v>
      </c>
      <c r="K21" s="659">
        <v>0</v>
      </c>
      <c r="M21" s="659">
        <v>0</v>
      </c>
    </row>
    <row r="22" spans="1:13">
      <c r="A22" s="603">
        <v>14</v>
      </c>
      <c r="B22" s="588">
        <v>14</v>
      </c>
      <c r="C22" s="599" t="s">
        <v>3268</v>
      </c>
      <c r="E22" s="660"/>
      <c r="F22" s="660">
        <v>0</v>
      </c>
      <c r="G22" s="660">
        <v>0</v>
      </c>
      <c r="I22" s="660"/>
      <c r="J22" s="660">
        <v>0</v>
      </c>
      <c r="K22" s="660">
        <v>0</v>
      </c>
      <c r="M22" s="660">
        <v>0</v>
      </c>
    </row>
    <row r="23" spans="1:13">
      <c r="A23" s="603">
        <v>15</v>
      </c>
      <c r="B23" s="596">
        <v>15</v>
      </c>
      <c r="C23" s="597" t="s">
        <v>3133</v>
      </c>
      <c r="E23" s="659"/>
      <c r="F23" s="659">
        <v>0</v>
      </c>
      <c r="G23" s="659">
        <v>0</v>
      </c>
      <c r="I23" s="659"/>
      <c r="J23" s="659">
        <v>0</v>
      </c>
      <c r="K23" s="659">
        <v>0</v>
      </c>
      <c r="M23" s="659">
        <v>0</v>
      </c>
    </row>
    <row r="24" spans="1:13">
      <c r="A24" s="603">
        <v>16</v>
      </c>
      <c r="B24" s="588">
        <v>16</v>
      </c>
      <c r="C24" s="599" t="s">
        <v>3136</v>
      </c>
      <c r="E24" s="660"/>
      <c r="F24" s="660">
        <v>0</v>
      </c>
      <c r="G24" s="660">
        <v>0</v>
      </c>
      <c r="I24" s="660"/>
      <c r="J24" s="660">
        <v>0</v>
      </c>
      <c r="K24" s="660">
        <v>0</v>
      </c>
      <c r="M24" s="660">
        <v>0</v>
      </c>
    </row>
    <row r="25" spans="1:13">
      <c r="A25" s="603">
        <v>0</v>
      </c>
      <c r="B25" s="601"/>
      <c r="C25" s="602" t="s">
        <v>3269</v>
      </c>
      <c r="E25" s="658">
        <v>0</v>
      </c>
      <c r="F25" s="658">
        <v>0</v>
      </c>
      <c r="G25" s="658">
        <v>0</v>
      </c>
      <c r="I25" s="658">
        <v>0</v>
      </c>
      <c r="J25" s="658">
        <v>0</v>
      </c>
      <c r="K25" s="658">
        <v>0</v>
      </c>
      <c r="M25" s="658">
        <v>0</v>
      </c>
    </row>
    <row r="26" spans="1:13">
      <c r="A26" s="603">
        <v>17</v>
      </c>
      <c r="B26" s="596">
        <v>17</v>
      </c>
      <c r="C26" s="597" t="s">
        <v>3270</v>
      </c>
      <c r="E26" s="659"/>
      <c r="F26" s="659">
        <v>0</v>
      </c>
      <c r="G26" s="659">
        <v>0</v>
      </c>
      <c r="I26" s="659"/>
      <c r="J26" s="659">
        <v>0</v>
      </c>
      <c r="K26" s="659">
        <v>0</v>
      </c>
      <c r="M26" s="659">
        <v>0</v>
      </c>
    </row>
    <row r="27" spans="1:13">
      <c r="A27" s="603">
        <v>18</v>
      </c>
      <c r="B27" s="588">
        <v>18</v>
      </c>
      <c r="C27" s="599" t="s">
        <v>3141</v>
      </c>
      <c r="E27" s="660"/>
      <c r="F27" s="660">
        <v>0</v>
      </c>
      <c r="G27" s="660">
        <v>0</v>
      </c>
      <c r="I27" s="660"/>
      <c r="J27" s="660">
        <v>0</v>
      </c>
      <c r="K27" s="660">
        <v>0</v>
      </c>
      <c r="M27" s="660">
        <v>0</v>
      </c>
    </row>
    <row r="28" spans="1:13">
      <c r="A28" s="603">
        <v>19</v>
      </c>
      <c r="B28" s="596">
        <v>19</v>
      </c>
      <c r="C28" s="597" t="s">
        <v>3144</v>
      </c>
      <c r="E28" s="659"/>
      <c r="F28" s="659">
        <v>0</v>
      </c>
      <c r="G28" s="659">
        <v>0</v>
      </c>
      <c r="I28" s="659"/>
      <c r="J28" s="659">
        <v>0</v>
      </c>
      <c r="K28" s="659">
        <v>0</v>
      </c>
      <c r="M28" s="659">
        <v>0</v>
      </c>
    </row>
    <row r="29" spans="1:13">
      <c r="A29" s="603">
        <v>20</v>
      </c>
      <c r="B29" s="588">
        <v>20</v>
      </c>
      <c r="C29" s="599" t="s">
        <v>3147</v>
      </c>
      <c r="E29" s="660"/>
      <c r="F29" s="660">
        <v>0</v>
      </c>
      <c r="G29" s="660">
        <v>0</v>
      </c>
      <c r="I29" s="660"/>
      <c r="J29" s="660">
        <v>0</v>
      </c>
      <c r="K29" s="660">
        <v>0</v>
      </c>
      <c r="M29" s="660">
        <v>0</v>
      </c>
    </row>
    <row r="30" spans="1:13">
      <c r="A30" s="603">
        <v>21</v>
      </c>
      <c r="B30" s="596">
        <v>21</v>
      </c>
      <c r="C30" s="597" t="s">
        <v>3271</v>
      </c>
      <c r="E30" s="659"/>
      <c r="F30" s="659">
        <v>0</v>
      </c>
      <c r="G30" s="659">
        <v>0</v>
      </c>
      <c r="I30" s="659"/>
      <c r="J30" s="659">
        <v>0</v>
      </c>
      <c r="K30" s="659">
        <v>0</v>
      </c>
      <c r="M30" s="659">
        <v>0</v>
      </c>
    </row>
    <row r="31" spans="1:13">
      <c r="A31" s="603">
        <v>22</v>
      </c>
      <c r="B31" s="588">
        <v>22</v>
      </c>
      <c r="C31" s="599" t="s">
        <v>3272</v>
      </c>
      <c r="E31" s="660"/>
      <c r="F31" s="660">
        <v>0</v>
      </c>
      <c r="G31" s="660">
        <v>0</v>
      </c>
      <c r="I31" s="660"/>
      <c r="J31" s="660">
        <v>0</v>
      </c>
      <c r="K31" s="660">
        <v>0</v>
      </c>
      <c r="M31" s="660">
        <v>0</v>
      </c>
    </row>
    <row r="32" spans="1:13">
      <c r="A32" s="603">
        <v>23</v>
      </c>
      <c r="B32" s="596">
        <v>23</v>
      </c>
      <c r="C32" s="597" t="s">
        <v>3273</v>
      </c>
      <c r="E32" s="659"/>
      <c r="F32" s="659">
        <v>0</v>
      </c>
      <c r="G32" s="659">
        <v>0</v>
      </c>
      <c r="I32" s="659"/>
      <c r="J32" s="659">
        <v>0</v>
      </c>
      <c r="K32" s="659">
        <v>0</v>
      </c>
      <c r="M32" s="659">
        <v>0</v>
      </c>
    </row>
    <row r="33" spans="1:13">
      <c r="A33" s="603">
        <v>24</v>
      </c>
      <c r="B33" s="588">
        <v>24</v>
      </c>
      <c r="C33" s="599" t="s">
        <v>3158</v>
      </c>
      <c r="E33" s="660"/>
      <c r="F33" s="660">
        <v>0</v>
      </c>
      <c r="G33" s="660">
        <v>0</v>
      </c>
      <c r="I33" s="660"/>
      <c r="J33" s="660">
        <v>0</v>
      </c>
      <c r="K33" s="660">
        <v>0</v>
      </c>
      <c r="M33" s="660">
        <v>0</v>
      </c>
    </row>
    <row r="34" spans="1:13" s="604" customFormat="1">
      <c r="A34" s="603">
        <v>25</v>
      </c>
      <c r="B34" s="596">
        <v>25</v>
      </c>
      <c r="C34" s="597" t="s">
        <v>3274</v>
      </c>
      <c r="D34" s="590"/>
      <c r="E34" s="659"/>
      <c r="F34" s="659">
        <v>0</v>
      </c>
      <c r="G34" s="659">
        <v>0</v>
      </c>
      <c r="H34" s="590"/>
      <c r="I34" s="659"/>
      <c r="J34" s="659">
        <v>0</v>
      </c>
      <c r="K34" s="659">
        <v>0</v>
      </c>
      <c r="L34" s="590"/>
      <c r="M34" s="659">
        <v>0</v>
      </c>
    </row>
    <row r="35" spans="1:13">
      <c r="A35" s="603">
        <v>26</v>
      </c>
      <c r="B35" s="588">
        <v>26</v>
      </c>
      <c r="C35" s="599" t="s">
        <v>3275</v>
      </c>
      <c r="E35" s="660"/>
      <c r="F35" s="660">
        <v>0</v>
      </c>
      <c r="G35" s="660">
        <v>0</v>
      </c>
      <c r="I35" s="660"/>
      <c r="J35" s="660">
        <v>0</v>
      </c>
      <c r="K35" s="660">
        <v>0</v>
      </c>
      <c r="M35" s="660">
        <v>0</v>
      </c>
    </row>
    <row r="36" spans="1:13">
      <c r="A36" s="603">
        <v>0</v>
      </c>
      <c r="B36" s="601"/>
      <c r="C36" s="602" t="s">
        <v>3276</v>
      </c>
      <c r="E36" s="658">
        <v>0</v>
      </c>
      <c r="F36" s="658">
        <v>5000000</v>
      </c>
      <c r="G36" s="658">
        <v>5000000</v>
      </c>
      <c r="I36" s="658">
        <v>27327383</v>
      </c>
      <c r="J36" s="658">
        <v>0</v>
      </c>
      <c r="K36" s="658">
        <v>27327383</v>
      </c>
      <c r="M36" s="658">
        <v>-22327383</v>
      </c>
    </row>
    <row r="37" spans="1:13">
      <c r="A37" s="603">
        <v>27</v>
      </c>
      <c r="B37" s="596">
        <v>27</v>
      </c>
      <c r="C37" s="597" t="s">
        <v>3164</v>
      </c>
      <c r="E37" s="659"/>
      <c r="F37" s="659">
        <v>0</v>
      </c>
      <c r="G37" s="659">
        <v>0</v>
      </c>
      <c r="I37" s="659"/>
      <c r="J37" s="659">
        <v>0</v>
      </c>
      <c r="K37" s="659">
        <v>0</v>
      </c>
      <c r="M37" s="659">
        <v>0</v>
      </c>
    </row>
    <row r="38" spans="1:13">
      <c r="A38" s="603">
        <v>28</v>
      </c>
      <c r="B38" s="588">
        <v>28</v>
      </c>
      <c r="C38" s="599" t="s">
        <v>3167</v>
      </c>
      <c r="E38" s="660"/>
      <c r="F38" s="660">
        <v>5000000</v>
      </c>
      <c r="G38" s="660">
        <v>5000000</v>
      </c>
      <c r="I38" s="660">
        <v>27041065</v>
      </c>
      <c r="J38" s="660">
        <v>0</v>
      </c>
      <c r="K38" s="660">
        <v>27041065</v>
      </c>
      <c r="M38" s="660">
        <v>-22041065</v>
      </c>
    </row>
    <row r="39" spans="1:13">
      <c r="A39" s="603">
        <v>29</v>
      </c>
      <c r="B39" s="596">
        <v>29</v>
      </c>
      <c r="C39" s="597" t="s">
        <v>3170</v>
      </c>
      <c r="E39" s="659"/>
      <c r="F39" s="659">
        <v>0</v>
      </c>
      <c r="G39" s="659">
        <v>0</v>
      </c>
      <c r="I39" s="659"/>
      <c r="J39" s="659">
        <v>0</v>
      </c>
      <c r="K39" s="659">
        <v>0</v>
      </c>
      <c r="M39" s="659">
        <v>0</v>
      </c>
    </row>
    <row r="40" spans="1:13">
      <c r="A40" s="603">
        <v>30</v>
      </c>
      <c r="B40" s="588">
        <v>30</v>
      </c>
      <c r="C40" s="599" t="s">
        <v>3173</v>
      </c>
      <c r="E40" s="660"/>
      <c r="F40" s="660">
        <v>0</v>
      </c>
      <c r="G40" s="660">
        <v>0</v>
      </c>
      <c r="I40" s="660"/>
      <c r="J40" s="660">
        <v>0</v>
      </c>
      <c r="K40" s="660">
        <v>0</v>
      </c>
      <c r="M40" s="660">
        <v>0</v>
      </c>
    </row>
    <row r="41" spans="1:13">
      <c r="A41" s="603">
        <v>31</v>
      </c>
      <c r="B41" s="596">
        <v>31</v>
      </c>
      <c r="C41" s="597" t="s">
        <v>3176</v>
      </c>
      <c r="E41" s="659"/>
      <c r="F41" s="659">
        <v>0</v>
      </c>
      <c r="G41" s="659">
        <v>0</v>
      </c>
      <c r="I41" s="659"/>
      <c r="J41" s="659">
        <v>0</v>
      </c>
      <c r="K41" s="659">
        <v>0</v>
      </c>
      <c r="M41" s="659">
        <v>0</v>
      </c>
    </row>
    <row r="42" spans="1:13">
      <c r="A42" s="603">
        <v>32</v>
      </c>
      <c r="B42" s="588">
        <v>32</v>
      </c>
      <c r="C42" s="599" t="s">
        <v>3178</v>
      </c>
      <c r="E42" s="660"/>
      <c r="F42" s="660">
        <v>0</v>
      </c>
      <c r="G42" s="660">
        <v>0</v>
      </c>
      <c r="I42" s="660"/>
      <c r="J42" s="660">
        <v>0</v>
      </c>
      <c r="K42" s="660">
        <v>0</v>
      </c>
      <c r="M42" s="660">
        <v>0</v>
      </c>
    </row>
    <row r="43" spans="1:13">
      <c r="A43" s="603">
        <v>33</v>
      </c>
      <c r="B43" s="596">
        <v>33</v>
      </c>
      <c r="C43" s="597" t="s">
        <v>3181</v>
      </c>
      <c r="E43" s="659"/>
      <c r="F43" s="659">
        <v>0</v>
      </c>
      <c r="G43" s="659">
        <v>0</v>
      </c>
      <c r="I43" s="659"/>
      <c r="J43" s="659">
        <v>0</v>
      </c>
      <c r="K43" s="659">
        <v>0</v>
      </c>
      <c r="M43" s="659">
        <v>0</v>
      </c>
    </row>
    <row r="44" spans="1:13">
      <c r="A44" s="603">
        <v>34</v>
      </c>
      <c r="B44" s="588">
        <v>34</v>
      </c>
      <c r="C44" s="599" t="s">
        <v>3184</v>
      </c>
      <c r="E44" s="660"/>
      <c r="F44" s="660">
        <v>0</v>
      </c>
      <c r="G44" s="660">
        <v>0</v>
      </c>
      <c r="I44" s="660">
        <v>286318</v>
      </c>
      <c r="J44" s="660">
        <v>0</v>
      </c>
      <c r="K44" s="660">
        <v>286318</v>
      </c>
      <c r="M44" s="660">
        <v>-286318</v>
      </c>
    </row>
    <row r="45" spans="1:13">
      <c r="A45" s="603">
        <v>35</v>
      </c>
      <c r="B45" s="596">
        <v>35</v>
      </c>
      <c r="C45" s="597" t="s">
        <v>3186</v>
      </c>
      <c r="E45" s="659"/>
      <c r="F45" s="659">
        <v>0</v>
      </c>
      <c r="G45" s="659">
        <v>0</v>
      </c>
      <c r="I45" s="659"/>
      <c r="J45" s="659">
        <v>0</v>
      </c>
      <c r="K45" s="659">
        <v>0</v>
      </c>
      <c r="M45" s="659">
        <v>0</v>
      </c>
    </row>
    <row r="46" spans="1:13">
      <c r="A46" s="603">
        <v>36</v>
      </c>
      <c r="B46" s="588">
        <v>36</v>
      </c>
      <c r="C46" s="599" t="s">
        <v>3189</v>
      </c>
      <c r="E46" s="660"/>
      <c r="F46" s="660">
        <v>0</v>
      </c>
      <c r="G46" s="660">
        <v>0</v>
      </c>
      <c r="I46" s="660"/>
      <c r="J46" s="660">
        <v>0</v>
      </c>
      <c r="K46" s="660">
        <v>0</v>
      </c>
      <c r="M46" s="660">
        <v>0</v>
      </c>
    </row>
    <row r="47" spans="1:13">
      <c r="A47" s="603">
        <v>37</v>
      </c>
      <c r="B47" s="596">
        <v>37</v>
      </c>
      <c r="C47" s="597" t="s">
        <v>3277</v>
      </c>
      <c r="E47" s="659"/>
      <c r="F47" s="659">
        <v>0</v>
      </c>
      <c r="G47" s="659">
        <v>0</v>
      </c>
      <c r="I47" s="659"/>
      <c r="J47" s="659">
        <v>0</v>
      </c>
      <c r="K47" s="659">
        <v>0</v>
      </c>
      <c r="M47" s="659">
        <v>0</v>
      </c>
    </row>
    <row r="48" spans="1:13">
      <c r="A48" s="603">
        <v>38</v>
      </c>
      <c r="B48" s="588">
        <v>38</v>
      </c>
      <c r="C48" s="599" t="s">
        <v>3278</v>
      </c>
      <c r="E48" s="660"/>
      <c r="F48" s="660">
        <v>0</v>
      </c>
      <c r="G48" s="660">
        <v>0</v>
      </c>
      <c r="I48" s="660"/>
      <c r="J48" s="660">
        <v>0</v>
      </c>
      <c r="K48" s="660">
        <v>0</v>
      </c>
      <c r="M48" s="660">
        <v>0</v>
      </c>
    </row>
    <row r="49" spans="1:13">
      <c r="A49" s="603">
        <v>39</v>
      </c>
      <c r="B49" s="596">
        <v>39</v>
      </c>
      <c r="C49" s="597" t="s">
        <v>3195</v>
      </c>
      <c r="E49" s="659"/>
      <c r="F49" s="659">
        <v>0</v>
      </c>
      <c r="G49" s="659">
        <v>0</v>
      </c>
      <c r="I49" s="659"/>
      <c r="J49" s="659">
        <v>0</v>
      </c>
      <c r="K49" s="659">
        <v>0</v>
      </c>
      <c r="M49" s="659">
        <v>0</v>
      </c>
    </row>
    <row r="50" spans="1:13">
      <c r="A50" s="603">
        <v>40</v>
      </c>
      <c r="B50" s="588">
        <v>40</v>
      </c>
      <c r="C50" s="599" t="s">
        <v>3198</v>
      </c>
      <c r="E50" s="660"/>
      <c r="F50" s="660">
        <v>0</v>
      </c>
      <c r="G50" s="660">
        <v>0</v>
      </c>
      <c r="I50" s="660"/>
      <c r="J50" s="660">
        <v>0</v>
      </c>
      <c r="K50" s="660">
        <v>0</v>
      </c>
      <c r="M50" s="660">
        <v>0</v>
      </c>
    </row>
    <row r="51" spans="1:13">
      <c r="A51" s="603">
        <v>41</v>
      </c>
      <c r="B51" s="596">
        <v>41</v>
      </c>
      <c r="C51" s="597" t="s">
        <v>3279</v>
      </c>
      <c r="E51" s="659"/>
      <c r="F51" s="659">
        <v>0</v>
      </c>
      <c r="G51" s="659">
        <v>0</v>
      </c>
      <c r="I51" s="659"/>
      <c r="J51" s="659">
        <v>0</v>
      </c>
      <c r="K51" s="659">
        <v>0</v>
      </c>
      <c r="M51" s="659">
        <v>0</v>
      </c>
    </row>
    <row r="52" spans="1:13">
      <c r="A52" s="603"/>
      <c r="B52" s="588">
        <v>42</v>
      </c>
      <c r="C52" s="599" t="s">
        <v>3280</v>
      </c>
      <c r="E52" s="660"/>
      <c r="F52" s="660">
        <v>0</v>
      </c>
      <c r="G52" s="660">
        <v>0</v>
      </c>
      <c r="I52" s="660"/>
      <c r="J52" s="660">
        <v>0</v>
      </c>
      <c r="K52" s="660">
        <v>0</v>
      </c>
      <c r="M52" s="660">
        <v>0</v>
      </c>
    </row>
    <row r="53" spans="1:13">
      <c r="A53" s="603">
        <v>0</v>
      </c>
      <c r="B53" s="601"/>
      <c r="C53" s="602" t="s">
        <v>3281</v>
      </c>
      <c r="E53" s="658">
        <v>0</v>
      </c>
      <c r="F53" s="658">
        <v>0</v>
      </c>
      <c r="G53" s="658">
        <v>0</v>
      </c>
      <c r="I53" s="658">
        <v>0</v>
      </c>
      <c r="J53" s="658">
        <v>0</v>
      </c>
      <c r="K53" s="658">
        <v>0</v>
      </c>
      <c r="M53" s="658">
        <v>0</v>
      </c>
    </row>
    <row r="54" spans="1:13">
      <c r="A54" s="603">
        <v>43</v>
      </c>
      <c r="B54" s="596">
        <v>43</v>
      </c>
      <c r="C54" s="597" t="s">
        <v>3282</v>
      </c>
      <c r="E54" s="659"/>
      <c r="F54" s="659">
        <v>0</v>
      </c>
      <c r="G54" s="659">
        <v>0</v>
      </c>
      <c r="I54" s="659"/>
      <c r="J54" s="659">
        <v>0</v>
      </c>
      <c r="K54" s="659">
        <v>0</v>
      </c>
      <c r="M54" s="659">
        <v>0</v>
      </c>
    </row>
    <row r="55" spans="1:13">
      <c r="A55" s="603">
        <v>44</v>
      </c>
      <c r="B55" s="588">
        <v>44</v>
      </c>
      <c r="C55" s="599" t="s">
        <v>3283</v>
      </c>
      <c r="E55" s="660"/>
      <c r="F55" s="660">
        <v>0</v>
      </c>
      <c r="G55" s="660">
        <v>0</v>
      </c>
      <c r="I55" s="660"/>
      <c r="J55" s="660">
        <v>0</v>
      </c>
      <c r="K55" s="660">
        <v>0</v>
      </c>
      <c r="M55" s="660">
        <v>0</v>
      </c>
    </row>
    <row r="56" spans="1:13">
      <c r="A56" s="603"/>
      <c r="B56" s="596">
        <v>45</v>
      </c>
      <c r="C56" s="597" t="s">
        <v>3284</v>
      </c>
      <c r="E56" s="659"/>
      <c r="F56" s="659">
        <v>0</v>
      </c>
      <c r="G56" s="659">
        <v>0</v>
      </c>
      <c r="I56" s="659"/>
      <c r="J56" s="659">
        <v>0</v>
      </c>
      <c r="K56" s="659">
        <v>0</v>
      </c>
      <c r="M56" s="659">
        <v>0</v>
      </c>
    </row>
    <row r="57" spans="1:13">
      <c r="A57" s="603"/>
      <c r="B57" s="588">
        <v>46</v>
      </c>
      <c r="C57" s="599" t="s">
        <v>3285</v>
      </c>
      <c r="E57" s="660"/>
      <c r="F57" s="660">
        <v>0</v>
      </c>
      <c r="G57" s="660">
        <v>0</v>
      </c>
      <c r="I57" s="660"/>
      <c r="J57" s="660">
        <v>0</v>
      </c>
      <c r="K57" s="660">
        <v>0</v>
      </c>
      <c r="M57" s="660">
        <v>0</v>
      </c>
    </row>
    <row r="58" spans="1:13">
      <c r="A58" s="603"/>
      <c r="B58" s="596">
        <v>47</v>
      </c>
      <c r="C58" s="597" t="s">
        <v>3286</v>
      </c>
      <c r="E58" s="659"/>
      <c r="F58" s="659">
        <v>0</v>
      </c>
      <c r="G58" s="659">
        <v>0</v>
      </c>
      <c r="I58" s="659"/>
      <c r="J58" s="659">
        <v>0</v>
      </c>
      <c r="K58" s="659">
        <v>0</v>
      </c>
      <c r="M58" s="659">
        <v>0</v>
      </c>
    </row>
    <row r="59" spans="1:13">
      <c r="A59" s="603"/>
      <c r="B59" s="588">
        <v>48</v>
      </c>
      <c r="C59" s="599" t="s">
        <v>3287</v>
      </c>
      <c r="E59" s="660"/>
      <c r="F59" s="660">
        <v>0</v>
      </c>
      <c r="G59" s="660">
        <v>0</v>
      </c>
      <c r="I59" s="660"/>
      <c r="J59" s="660">
        <v>0</v>
      </c>
      <c r="K59" s="660">
        <v>0</v>
      </c>
      <c r="M59" s="660">
        <v>0</v>
      </c>
    </row>
    <row r="60" spans="1:13">
      <c r="A60" s="603"/>
      <c r="B60" s="596">
        <v>49</v>
      </c>
      <c r="C60" s="597" t="s">
        <v>3288</v>
      </c>
      <c r="E60" s="659"/>
      <c r="F60" s="659">
        <v>0</v>
      </c>
      <c r="G60" s="659">
        <v>0</v>
      </c>
      <c r="I60" s="659"/>
      <c r="J60" s="659">
        <v>0</v>
      </c>
      <c r="K60" s="659">
        <v>0</v>
      </c>
      <c r="M60" s="659">
        <v>0</v>
      </c>
    </row>
    <row r="61" spans="1:13">
      <c r="A61" s="603"/>
      <c r="B61" s="588">
        <v>50</v>
      </c>
      <c r="C61" s="599" t="s">
        <v>3289</v>
      </c>
      <c r="E61" s="660"/>
      <c r="F61" s="660">
        <v>0</v>
      </c>
      <c r="G61" s="660">
        <v>0</v>
      </c>
      <c r="I61" s="660"/>
      <c r="J61" s="660">
        <v>0</v>
      </c>
      <c r="K61" s="660">
        <v>0</v>
      </c>
      <c r="M61" s="660">
        <v>0</v>
      </c>
    </row>
    <row r="62" spans="1:13">
      <c r="A62" s="603"/>
      <c r="B62" s="596">
        <v>51</v>
      </c>
      <c r="C62" s="597" t="s">
        <v>3218</v>
      </c>
      <c r="E62" s="659"/>
      <c r="F62" s="659">
        <v>0</v>
      </c>
      <c r="G62" s="659">
        <v>0</v>
      </c>
      <c r="I62" s="659"/>
      <c r="J62" s="659">
        <v>0</v>
      </c>
      <c r="K62" s="659">
        <v>0</v>
      </c>
      <c r="M62" s="659">
        <v>0</v>
      </c>
    </row>
    <row r="63" spans="1:13">
      <c r="A63" s="603">
        <v>0</v>
      </c>
      <c r="B63" s="601"/>
      <c r="C63" s="602" t="s">
        <v>3290</v>
      </c>
      <c r="E63" s="658">
        <v>0</v>
      </c>
      <c r="F63" s="658">
        <v>0</v>
      </c>
      <c r="G63" s="658">
        <v>0</v>
      </c>
      <c r="I63" s="658">
        <v>0</v>
      </c>
      <c r="J63" s="658">
        <v>0</v>
      </c>
      <c r="K63" s="658">
        <v>0</v>
      </c>
      <c r="M63" s="658">
        <v>0</v>
      </c>
    </row>
    <row r="64" spans="1:13">
      <c r="A64" s="603">
        <v>52</v>
      </c>
      <c r="B64" s="588">
        <v>52</v>
      </c>
      <c r="C64" s="599" t="s">
        <v>3222</v>
      </c>
      <c r="E64" s="660"/>
      <c r="F64" s="660">
        <v>0</v>
      </c>
      <c r="G64" s="660">
        <v>0</v>
      </c>
      <c r="I64" s="660"/>
      <c r="J64" s="660">
        <v>0</v>
      </c>
      <c r="K64" s="660">
        <v>0</v>
      </c>
      <c r="M64" s="660">
        <v>0</v>
      </c>
    </row>
    <row r="65" spans="1:13">
      <c r="A65" s="603">
        <v>53</v>
      </c>
      <c r="B65" s="596">
        <v>53</v>
      </c>
      <c r="C65" s="597" t="s">
        <v>3225</v>
      </c>
      <c r="E65" s="659"/>
      <c r="F65" s="659">
        <v>0</v>
      </c>
      <c r="G65" s="659">
        <v>0</v>
      </c>
      <c r="I65" s="659"/>
      <c r="J65" s="659">
        <v>0</v>
      </c>
      <c r="K65" s="659">
        <v>0</v>
      </c>
      <c r="M65" s="659">
        <v>0</v>
      </c>
    </row>
    <row r="66" spans="1:13">
      <c r="A66" s="603">
        <v>54</v>
      </c>
      <c r="B66" s="588">
        <v>54</v>
      </c>
      <c r="C66" s="599" t="s">
        <v>3291</v>
      </c>
      <c r="E66" s="660"/>
      <c r="F66" s="660">
        <v>0</v>
      </c>
      <c r="G66" s="660">
        <v>0</v>
      </c>
      <c r="I66" s="660"/>
      <c r="J66" s="660">
        <v>0</v>
      </c>
      <c r="K66" s="660">
        <v>0</v>
      </c>
      <c r="M66" s="660">
        <v>0</v>
      </c>
    </row>
    <row r="67" spans="1:13">
      <c r="A67" s="603"/>
      <c r="B67" s="601"/>
      <c r="C67" s="602" t="s">
        <v>3292</v>
      </c>
      <c r="E67" s="658">
        <v>0</v>
      </c>
      <c r="F67" s="658">
        <v>0</v>
      </c>
      <c r="G67" s="658">
        <v>0</v>
      </c>
      <c r="I67" s="658">
        <v>0</v>
      </c>
      <c r="J67" s="658">
        <v>0</v>
      </c>
      <c r="K67" s="658">
        <v>0</v>
      </c>
      <c r="M67" s="658">
        <v>0</v>
      </c>
    </row>
    <row r="68" spans="1:13">
      <c r="A68" s="603"/>
      <c r="B68" s="596">
        <v>55</v>
      </c>
      <c r="C68" s="597" t="s">
        <v>3231</v>
      </c>
      <c r="E68" s="659"/>
      <c r="F68" s="659">
        <v>0</v>
      </c>
      <c r="G68" s="659">
        <v>0</v>
      </c>
      <c r="I68" s="659"/>
      <c r="J68" s="659">
        <v>0</v>
      </c>
      <c r="K68" s="659">
        <v>0</v>
      </c>
      <c r="M68" s="659">
        <v>0</v>
      </c>
    </row>
    <row r="69" spans="1:13">
      <c r="A69" s="603"/>
      <c r="B69" s="588">
        <v>56</v>
      </c>
      <c r="C69" s="599" t="s">
        <v>3293</v>
      </c>
      <c r="E69" s="660"/>
      <c r="F69" s="660">
        <v>0</v>
      </c>
      <c r="G69" s="660">
        <v>0</v>
      </c>
      <c r="I69" s="660"/>
      <c r="J69" s="660">
        <v>0</v>
      </c>
      <c r="K69" s="660">
        <v>0</v>
      </c>
      <c r="M69" s="660">
        <v>0</v>
      </c>
    </row>
    <row r="70" spans="1:13">
      <c r="A70" s="603">
        <v>0</v>
      </c>
      <c r="B70" s="601"/>
      <c r="C70" s="602" t="s">
        <v>340</v>
      </c>
      <c r="E70" s="658">
        <v>0</v>
      </c>
      <c r="F70" s="658">
        <v>0</v>
      </c>
      <c r="G70" s="658">
        <v>0</v>
      </c>
      <c r="I70" s="658">
        <v>0</v>
      </c>
      <c r="J70" s="658">
        <v>0</v>
      </c>
      <c r="K70" s="658">
        <v>0</v>
      </c>
      <c r="M70" s="658">
        <v>0</v>
      </c>
    </row>
    <row r="71" spans="1:13">
      <c r="A71" s="603">
        <v>57</v>
      </c>
      <c r="B71" s="596">
        <v>57</v>
      </c>
      <c r="C71" s="597" t="s">
        <v>3294</v>
      </c>
      <c r="E71" s="659"/>
      <c r="F71" s="659">
        <v>0</v>
      </c>
      <c r="G71" s="659">
        <v>0</v>
      </c>
      <c r="I71" s="659"/>
      <c r="J71" s="659">
        <v>0</v>
      </c>
      <c r="K71" s="659">
        <v>0</v>
      </c>
      <c r="M71" s="659">
        <v>0</v>
      </c>
    </row>
    <row r="72" spans="1:13">
      <c r="A72" s="603">
        <v>0</v>
      </c>
      <c r="B72" s="601"/>
      <c r="C72" s="602" t="s">
        <v>3295</v>
      </c>
      <c r="E72" s="658">
        <v>15119056</v>
      </c>
      <c r="F72" s="658">
        <v>0</v>
      </c>
      <c r="G72" s="658">
        <v>15119056</v>
      </c>
      <c r="I72" s="658">
        <v>2109723</v>
      </c>
      <c r="J72" s="658">
        <v>0</v>
      </c>
      <c r="K72" s="658">
        <v>2109723</v>
      </c>
      <c r="M72" s="658">
        <v>13009333</v>
      </c>
    </row>
    <row r="73" spans="1:13">
      <c r="A73" s="603">
        <v>58</v>
      </c>
      <c r="B73" s="588">
        <v>58</v>
      </c>
      <c r="C73" s="599" t="s">
        <v>3296</v>
      </c>
      <c r="E73" s="660">
        <v>15119056</v>
      </c>
      <c r="F73" s="660">
        <v>0</v>
      </c>
      <c r="G73" s="660">
        <v>15119056</v>
      </c>
      <c r="I73" s="660">
        <v>2109723</v>
      </c>
      <c r="J73" s="660">
        <v>0</v>
      </c>
      <c r="K73" s="660">
        <v>2109723</v>
      </c>
      <c r="M73" s="660">
        <v>13009333</v>
      </c>
    </row>
    <row r="74" spans="1:13">
      <c r="A74" s="603"/>
      <c r="B74" s="601"/>
      <c r="C74" s="602" t="s">
        <v>3297</v>
      </c>
      <c r="E74" s="658">
        <v>0</v>
      </c>
      <c r="F74" s="658">
        <v>0</v>
      </c>
      <c r="G74" s="658">
        <v>0</v>
      </c>
      <c r="I74" s="658">
        <v>0</v>
      </c>
      <c r="J74" s="658">
        <v>0</v>
      </c>
      <c r="K74" s="658">
        <v>0</v>
      </c>
      <c r="M74" s="658">
        <v>0</v>
      </c>
    </row>
    <row r="75" spans="1:13">
      <c r="A75" s="603"/>
      <c r="B75" s="588">
        <v>59</v>
      </c>
      <c r="C75" s="599" t="s">
        <v>3298</v>
      </c>
      <c r="E75" s="660"/>
      <c r="F75" s="660">
        <v>0</v>
      </c>
      <c r="G75" s="660">
        <v>0</v>
      </c>
      <c r="I75" s="660"/>
      <c r="J75" s="660">
        <v>0</v>
      </c>
      <c r="K75" s="660">
        <v>0</v>
      </c>
      <c r="M75" s="660"/>
    </row>
    <row r="76" spans="1:13">
      <c r="A76" s="603"/>
      <c r="B76" s="601"/>
      <c r="C76" s="602" t="s">
        <v>3299</v>
      </c>
      <c r="E76" s="658">
        <v>0</v>
      </c>
      <c r="F76" s="658">
        <v>0</v>
      </c>
      <c r="G76" s="658">
        <v>0</v>
      </c>
      <c r="I76" s="658">
        <v>0</v>
      </c>
      <c r="J76" s="658">
        <v>0</v>
      </c>
      <c r="K76" s="658">
        <v>0</v>
      </c>
      <c r="M76" s="658">
        <v>0</v>
      </c>
    </row>
    <row r="77" spans="1:13">
      <c r="A77" s="603"/>
      <c r="B77" s="588">
        <v>60</v>
      </c>
      <c r="C77" s="599" t="s">
        <v>3300</v>
      </c>
      <c r="E77" s="660"/>
      <c r="F77" s="660">
        <v>0</v>
      </c>
      <c r="G77" s="660">
        <v>0</v>
      </c>
      <c r="I77" s="660"/>
      <c r="J77" s="660">
        <v>0</v>
      </c>
      <c r="K77" s="660">
        <v>0</v>
      </c>
      <c r="M77" s="660"/>
    </row>
    <row r="78" spans="1:13">
      <c r="A78" s="603"/>
      <c r="B78" s="601"/>
      <c r="C78" s="602" t="s">
        <v>3301</v>
      </c>
      <c r="E78" s="658">
        <v>0</v>
      </c>
      <c r="F78" s="658">
        <v>0</v>
      </c>
      <c r="G78" s="658">
        <v>0</v>
      </c>
      <c r="I78" s="658">
        <v>0</v>
      </c>
      <c r="J78" s="658">
        <v>0</v>
      </c>
      <c r="K78" s="658">
        <v>0</v>
      </c>
      <c r="M78" s="658">
        <v>0</v>
      </c>
    </row>
    <row r="79" spans="1:13">
      <c r="A79" s="603"/>
      <c r="B79" s="596">
        <v>61</v>
      </c>
      <c r="C79" s="597" t="s">
        <v>3302</v>
      </c>
      <c r="E79" s="659"/>
      <c r="F79" s="659"/>
      <c r="G79" s="659"/>
      <c r="I79" s="659"/>
      <c r="J79" s="659"/>
      <c r="K79" s="659"/>
      <c r="M79" s="659"/>
    </row>
  </sheetData>
  <mergeCells count="5">
    <mergeCell ref="B3:B4"/>
    <mergeCell ref="C3:C4"/>
    <mergeCell ref="E3:G3"/>
    <mergeCell ref="I3:K3"/>
    <mergeCell ref="M3:M4"/>
  </mergeCells>
  <hyperlinks>
    <hyperlink ref="A1" location="Sommaire!A1" display="Sommaire!A1" xr:uid="{00000000-0004-0000-0C00-000000000000}"/>
  </hyperlinks>
  <pageMargins left="0.7" right="0.7" top="0.75" bottom="0.75" header="0.3" footer="0.3"/>
  <pageSetup paperSize="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79"/>
  <sheetViews>
    <sheetView showGridLines="0" zoomScaleNormal="100" zoomScaleSheetLayoutView="100" workbookViewId="0">
      <selection activeCell="B1" sqref="B1"/>
    </sheetView>
  </sheetViews>
  <sheetFormatPr baseColWidth="10" defaultColWidth="11.33203125" defaultRowHeight="12"/>
  <cols>
    <col min="1" max="1" width="10.1640625" style="588" bestFit="1" customWidth="1"/>
    <col min="2" max="2" width="19" style="588" bestFit="1" customWidth="1"/>
    <col min="3" max="3" width="54.5" style="605" bestFit="1" customWidth="1"/>
    <col min="4" max="4" width="0.6640625" style="590" customWidth="1"/>
    <col min="5" max="5" width="14.5" style="590" bestFit="1" customWidth="1"/>
    <col min="6" max="6" width="11.5" style="588" bestFit="1" customWidth="1"/>
    <col min="7" max="7" width="13.6640625" style="590" bestFit="1" customWidth="1"/>
    <col min="8" max="8" width="0.6640625" style="590" customWidth="1"/>
    <col min="9" max="9" width="13.6640625" style="590" bestFit="1" customWidth="1"/>
    <col min="10" max="10" width="12.83203125" style="590" bestFit="1" customWidth="1"/>
    <col min="11" max="11" width="13.6640625" style="590" bestFit="1" customWidth="1"/>
    <col min="12" max="12" width="0.6640625" style="590" customWidth="1"/>
    <col min="13" max="13" width="13.83203125" style="590" bestFit="1" customWidth="1"/>
    <col min="14" max="16384" width="11.33203125" style="590"/>
  </cols>
  <sheetData>
    <row r="1" spans="1:13" ht="36">
      <c r="A1" s="661" t="s">
        <v>140</v>
      </c>
      <c r="C1" s="589" t="s">
        <v>3249</v>
      </c>
      <c r="E1" s="591" t="s">
        <v>187</v>
      </c>
      <c r="F1" s="591" t="s">
        <v>3303</v>
      </c>
      <c r="G1" s="592"/>
      <c r="J1" s="592" t="s">
        <v>3251</v>
      </c>
      <c r="K1" s="592">
        <v>2023</v>
      </c>
    </row>
    <row r="2" spans="1:13">
      <c r="C2" s="593"/>
      <c r="F2" s="590"/>
      <c r="I2" s="590" t="s">
        <v>3252</v>
      </c>
      <c r="J2" s="594">
        <v>604.32574999999997</v>
      </c>
    </row>
    <row r="3" spans="1:13">
      <c r="B3" s="753" t="s">
        <v>143</v>
      </c>
      <c r="C3" s="754" t="s">
        <v>3253</v>
      </c>
      <c r="E3" s="755" t="s">
        <v>2084</v>
      </c>
      <c r="F3" s="755"/>
      <c r="G3" s="755"/>
      <c r="I3" s="755" t="s">
        <v>3254</v>
      </c>
      <c r="J3" s="755"/>
      <c r="K3" s="755"/>
      <c r="M3" s="756" t="s">
        <v>3255</v>
      </c>
    </row>
    <row r="4" spans="1:13">
      <c r="B4" s="753"/>
      <c r="C4" s="754"/>
      <c r="E4" s="595" t="s">
        <v>3256</v>
      </c>
      <c r="F4" s="595" t="s">
        <v>3257</v>
      </c>
      <c r="G4" s="595" t="s">
        <v>3258</v>
      </c>
      <c r="I4" s="595" t="s">
        <v>3256</v>
      </c>
      <c r="J4" s="595" t="s">
        <v>3257</v>
      </c>
      <c r="K4" s="595" t="s">
        <v>3258</v>
      </c>
      <c r="M4" s="756"/>
    </row>
    <row r="5" spans="1:13">
      <c r="B5" s="655" t="s">
        <v>3092</v>
      </c>
      <c r="C5" s="656"/>
      <c r="E5" s="657">
        <v>0</v>
      </c>
      <c r="F5" s="657">
        <v>0</v>
      </c>
      <c r="G5" s="657">
        <v>0</v>
      </c>
      <c r="I5" s="657">
        <v>0</v>
      </c>
      <c r="J5" s="657">
        <v>0</v>
      </c>
      <c r="K5" s="657">
        <v>0</v>
      </c>
      <c r="M5" s="657">
        <v>0</v>
      </c>
    </row>
    <row r="6" spans="1:13">
      <c r="B6" s="596">
        <v>1</v>
      </c>
      <c r="C6" s="597" t="s">
        <v>3259</v>
      </c>
      <c r="E6" s="598"/>
      <c r="F6" s="598">
        <v>0</v>
      </c>
      <c r="G6" s="598">
        <v>0</v>
      </c>
      <c r="I6" s="598"/>
      <c r="J6" s="598">
        <v>0</v>
      </c>
      <c r="K6" s="598">
        <v>0</v>
      </c>
      <c r="M6" s="598">
        <v>0</v>
      </c>
    </row>
    <row r="7" spans="1:13">
      <c r="B7" s="588">
        <v>2</v>
      </c>
      <c r="C7" s="599" t="s">
        <v>3260</v>
      </c>
      <c r="E7" s="600"/>
      <c r="F7" s="600">
        <v>0</v>
      </c>
      <c r="G7" s="600">
        <v>0</v>
      </c>
      <c r="I7" s="600"/>
      <c r="J7" s="600">
        <v>0</v>
      </c>
      <c r="K7" s="600">
        <v>0</v>
      </c>
      <c r="M7" s="600">
        <v>0</v>
      </c>
    </row>
    <row r="8" spans="1:13">
      <c r="B8" s="655" t="s">
        <v>3101</v>
      </c>
      <c r="C8" s="656"/>
      <c r="E8" s="657">
        <v>47658514460</v>
      </c>
      <c r="F8" s="657">
        <v>-349152006</v>
      </c>
      <c r="G8" s="657">
        <v>47309362454</v>
      </c>
      <c r="I8" s="657">
        <v>41549608158</v>
      </c>
      <c r="J8" s="657">
        <v>4640736545</v>
      </c>
      <c r="K8" s="657">
        <v>46190344703</v>
      </c>
      <c r="M8" s="657">
        <v>1119017751</v>
      </c>
    </row>
    <row r="9" spans="1:13">
      <c r="B9" s="601"/>
      <c r="C9" s="602" t="s">
        <v>1244</v>
      </c>
      <c r="E9" s="658">
        <v>62669847</v>
      </c>
      <c r="F9" s="658">
        <v>0</v>
      </c>
      <c r="G9" s="658">
        <v>62669847</v>
      </c>
      <c r="I9" s="658">
        <v>0</v>
      </c>
      <c r="J9" s="658">
        <v>62669847</v>
      </c>
      <c r="K9" s="658">
        <v>62669847</v>
      </c>
      <c r="M9" s="658">
        <v>0</v>
      </c>
    </row>
    <row r="10" spans="1:13">
      <c r="A10" s="603">
        <v>3</v>
      </c>
      <c r="B10" s="596">
        <v>3</v>
      </c>
      <c r="C10" s="597" t="s">
        <v>3261</v>
      </c>
      <c r="E10" s="659">
        <v>13687877</v>
      </c>
      <c r="F10" s="659">
        <v>0</v>
      </c>
      <c r="G10" s="659">
        <v>13687877</v>
      </c>
      <c r="I10" s="659"/>
      <c r="J10" s="659">
        <v>13687877</v>
      </c>
      <c r="K10" s="659">
        <v>13687877</v>
      </c>
      <c r="M10" s="659">
        <v>0</v>
      </c>
    </row>
    <row r="11" spans="1:13">
      <c r="A11" s="603">
        <v>4</v>
      </c>
      <c r="B11" s="588">
        <v>4</v>
      </c>
      <c r="C11" s="599" t="s">
        <v>3106</v>
      </c>
      <c r="E11" s="660"/>
      <c r="F11" s="660">
        <v>0</v>
      </c>
      <c r="G11" s="660">
        <v>0</v>
      </c>
      <c r="I11" s="660"/>
      <c r="J11" s="660">
        <v>0</v>
      </c>
      <c r="K11" s="660">
        <v>0</v>
      </c>
      <c r="M11" s="660">
        <v>0</v>
      </c>
    </row>
    <row r="12" spans="1:13">
      <c r="A12" s="603">
        <v>5</v>
      </c>
      <c r="B12" s="596">
        <v>5</v>
      </c>
      <c r="C12" s="597" t="s">
        <v>3262</v>
      </c>
      <c r="E12" s="659">
        <v>7500000</v>
      </c>
      <c r="F12" s="659">
        <v>0</v>
      </c>
      <c r="G12" s="659">
        <v>7500000</v>
      </c>
      <c r="I12" s="659"/>
      <c r="J12" s="659">
        <v>7500000</v>
      </c>
      <c r="K12" s="659">
        <v>7500000</v>
      </c>
      <c r="M12" s="659">
        <v>0</v>
      </c>
    </row>
    <row r="13" spans="1:13">
      <c r="A13" s="603">
        <v>6</v>
      </c>
      <c r="B13" s="588">
        <v>6</v>
      </c>
      <c r="C13" s="599" t="s">
        <v>3263</v>
      </c>
      <c r="E13" s="660"/>
      <c r="F13" s="660">
        <v>0</v>
      </c>
      <c r="G13" s="660">
        <v>0</v>
      </c>
      <c r="I13" s="660"/>
      <c r="J13" s="660">
        <v>0</v>
      </c>
      <c r="K13" s="660">
        <v>0</v>
      </c>
      <c r="M13" s="660">
        <v>0</v>
      </c>
    </row>
    <row r="14" spans="1:13">
      <c r="A14" s="603">
        <v>7</v>
      </c>
      <c r="B14" s="596">
        <v>7</v>
      </c>
      <c r="C14" s="597" t="s">
        <v>3114</v>
      </c>
      <c r="E14" s="659">
        <v>41481970</v>
      </c>
      <c r="F14" s="659">
        <v>0</v>
      </c>
      <c r="G14" s="659">
        <v>41481970</v>
      </c>
      <c r="I14" s="659"/>
      <c r="J14" s="659">
        <v>41481970</v>
      </c>
      <c r="K14" s="659">
        <v>41481970</v>
      </c>
      <c r="M14" s="659">
        <v>0</v>
      </c>
    </row>
    <row r="15" spans="1:13">
      <c r="A15" s="603">
        <v>0</v>
      </c>
      <c r="B15" s="601"/>
      <c r="C15" s="602" t="s">
        <v>1253</v>
      </c>
      <c r="E15" s="658">
        <v>0</v>
      </c>
      <c r="F15" s="658">
        <v>0</v>
      </c>
      <c r="G15" s="658">
        <v>0</v>
      </c>
      <c r="I15" s="658">
        <v>0</v>
      </c>
      <c r="J15" s="658">
        <v>0</v>
      </c>
      <c r="K15" s="658">
        <v>0</v>
      </c>
      <c r="M15" s="658">
        <v>0</v>
      </c>
    </row>
    <row r="16" spans="1:13">
      <c r="A16" s="603">
        <v>8</v>
      </c>
      <c r="B16" s="588">
        <v>8</v>
      </c>
      <c r="C16" s="599" t="s">
        <v>3264</v>
      </c>
      <c r="E16" s="660"/>
      <c r="F16" s="660">
        <v>0</v>
      </c>
      <c r="G16" s="660">
        <v>0</v>
      </c>
      <c r="I16" s="660"/>
      <c r="J16" s="660">
        <v>0</v>
      </c>
      <c r="K16" s="660">
        <v>0</v>
      </c>
      <c r="M16" s="660">
        <v>0</v>
      </c>
    </row>
    <row r="17" spans="1:13">
      <c r="A17" s="603">
        <v>9</v>
      </c>
      <c r="B17" s="596">
        <v>9</v>
      </c>
      <c r="C17" s="597" t="s">
        <v>3265</v>
      </c>
      <c r="E17" s="659"/>
      <c r="F17" s="659">
        <v>0</v>
      </c>
      <c r="G17" s="659">
        <v>0</v>
      </c>
      <c r="I17" s="659"/>
      <c r="J17" s="659">
        <v>0</v>
      </c>
      <c r="K17" s="659">
        <v>0</v>
      </c>
      <c r="M17" s="659">
        <v>0</v>
      </c>
    </row>
    <row r="18" spans="1:13">
      <c r="A18" s="603"/>
      <c r="B18" s="588">
        <v>10</v>
      </c>
      <c r="C18" s="599" t="s">
        <v>3122</v>
      </c>
      <c r="E18" s="660"/>
      <c r="F18" s="660">
        <v>0</v>
      </c>
      <c r="G18" s="660">
        <v>0</v>
      </c>
      <c r="I18" s="660"/>
      <c r="J18" s="660">
        <v>0</v>
      </c>
      <c r="K18" s="660">
        <v>0</v>
      </c>
      <c r="M18" s="660">
        <v>0</v>
      </c>
    </row>
    <row r="19" spans="1:13">
      <c r="A19" s="603">
        <v>11</v>
      </c>
      <c r="B19" s="596">
        <v>11</v>
      </c>
      <c r="C19" s="597" t="s">
        <v>3124</v>
      </c>
      <c r="E19" s="659"/>
      <c r="F19" s="659">
        <v>0</v>
      </c>
      <c r="G19" s="659">
        <v>0</v>
      </c>
      <c r="I19" s="659"/>
      <c r="J19" s="659">
        <v>0</v>
      </c>
      <c r="K19" s="659">
        <v>0</v>
      </c>
      <c r="M19" s="659">
        <v>0</v>
      </c>
    </row>
    <row r="20" spans="1:13">
      <c r="A20" s="603">
        <v>12</v>
      </c>
      <c r="B20" s="588">
        <v>12</v>
      </c>
      <c r="C20" s="599" t="s">
        <v>3266</v>
      </c>
      <c r="E20" s="660"/>
      <c r="F20" s="660">
        <v>0</v>
      </c>
      <c r="G20" s="660">
        <v>0</v>
      </c>
      <c r="I20" s="660"/>
      <c r="J20" s="660">
        <v>0</v>
      </c>
      <c r="K20" s="660">
        <v>0</v>
      </c>
      <c r="M20" s="660">
        <v>0</v>
      </c>
    </row>
    <row r="21" spans="1:13">
      <c r="A21" s="603">
        <v>13</v>
      </c>
      <c r="B21" s="596">
        <v>13</v>
      </c>
      <c r="C21" s="597" t="s">
        <v>3267</v>
      </c>
      <c r="E21" s="659"/>
      <c r="F21" s="659">
        <v>0</v>
      </c>
      <c r="G21" s="659">
        <v>0</v>
      </c>
      <c r="I21" s="659"/>
      <c r="J21" s="659">
        <v>0</v>
      </c>
      <c r="K21" s="659">
        <v>0</v>
      </c>
      <c r="M21" s="659">
        <v>0</v>
      </c>
    </row>
    <row r="22" spans="1:13">
      <c r="A22" s="603">
        <v>14</v>
      </c>
      <c r="B22" s="588">
        <v>14</v>
      </c>
      <c r="C22" s="599" t="s">
        <v>3268</v>
      </c>
      <c r="E22" s="660"/>
      <c r="F22" s="660">
        <v>0</v>
      </c>
      <c r="G22" s="660">
        <v>0</v>
      </c>
      <c r="I22" s="660"/>
      <c r="J22" s="660">
        <v>0</v>
      </c>
      <c r="K22" s="660">
        <v>0</v>
      </c>
      <c r="M22" s="660">
        <v>0</v>
      </c>
    </row>
    <row r="23" spans="1:13">
      <c r="A23" s="603">
        <v>15</v>
      </c>
      <c r="B23" s="596">
        <v>15</v>
      </c>
      <c r="C23" s="597" t="s">
        <v>3133</v>
      </c>
      <c r="E23" s="659"/>
      <c r="F23" s="659">
        <v>0</v>
      </c>
      <c r="G23" s="659">
        <v>0</v>
      </c>
      <c r="I23" s="659"/>
      <c r="J23" s="659">
        <v>0</v>
      </c>
      <c r="K23" s="659">
        <v>0</v>
      </c>
      <c r="M23" s="659">
        <v>0</v>
      </c>
    </row>
    <row r="24" spans="1:13">
      <c r="A24" s="603">
        <v>16</v>
      </c>
      <c r="B24" s="588">
        <v>16</v>
      </c>
      <c r="C24" s="599" t="s">
        <v>3136</v>
      </c>
      <c r="E24" s="660"/>
      <c r="F24" s="660">
        <v>0</v>
      </c>
      <c r="G24" s="660">
        <v>0</v>
      </c>
      <c r="I24" s="660"/>
      <c r="J24" s="660">
        <v>0</v>
      </c>
      <c r="K24" s="660">
        <v>0</v>
      </c>
      <c r="M24" s="660">
        <v>0</v>
      </c>
    </row>
    <row r="25" spans="1:13">
      <c r="A25" s="603">
        <v>0</v>
      </c>
      <c r="B25" s="601"/>
      <c r="C25" s="602" t="s">
        <v>3269</v>
      </c>
      <c r="E25" s="658">
        <v>1572500000</v>
      </c>
      <c r="F25" s="658">
        <v>-2500000</v>
      </c>
      <c r="G25" s="658">
        <v>1570000000</v>
      </c>
      <c r="I25" s="658">
        <v>1550000000</v>
      </c>
      <c r="J25" s="658">
        <v>0</v>
      </c>
      <c r="K25" s="658">
        <v>1550000000</v>
      </c>
      <c r="M25" s="658">
        <v>20000000</v>
      </c>
    </row>
    <row r="26" spans="1:13">
      <c r="A26" s="603">
        <v>17</v>
      </c>
      <c r="B26" s="596">
        <v>17</v>
      </c>
      <c r="C26" s="597" t="s">
        <v>3270</v>
      </c>
      <c r="E26" s="659"/>
      <c r="F26" s="659">
        <v>0</v>
      </c>
      <c r="G26" s="659">
        <v>0</v>
      </c>
      <c r="I26" s="659"/>
      <c r="J26" s="659">
        <v>0</v>
      </c>
      <c r="K26" s="659">
        <v>0</v>
      </c>
      <c r="M26" s="659">
        <v>0</v>
      </c>
    </row>
    <row r="27" spans="1:13">
      <c r="A27" s="603">
        <v>18</v>
      </c>
      <c r="B27" s="588">
        <v>18</v>
      </c>
      <c r="C27" s="599" t="s">
        <v>3141</v>
      </c>
      <c r="E27" s="660"/>
      <c r="F27" s="660">
        <v>0</v>
      </c>
      <c r="G27" s="660">
        <v>0</v>
      </c>
      <c r="I27" s="660"/>
      <c r="J27" s="660">
        <v>0</v>
      </c>
      <c r="K27" s="660">
        <v>0</v>
      </c>
      <c r="M27" s="660">
        <v>0</v>
      </c>
    </row>
    <row r="28" spans="1:13">
      <c r="A28" s="603">
        <v>19</v>
      </c>
      <c r="B28" s="596">
        <v>19</v>
      </c>
      <c r="C28" s="597" t="s">
        <v>3144</v>
      </c>
      <c r="E28" s="659"/>
      <c r="F28" s="659">
        <v>0</v>
      </c>
      <c r="G28" s="659">
        <v>0</v>
      </c>
      <c r="I28" s="659"/>
      <c r="J28" s="659">
        <v>0</v>
      </c>
      <c r="K28" s="659">
        <v>0</v>
      </c>
      <c r="M28" s="659">
        <v>0</v>
      </c>
    </row>
    <row r="29" spans="1:13">
      <c r="A29" s="603">
        <v>20</v>
      </c>
      <c r="B29" s="588">
        <v>20</v>
      </c>
      <c r="C29" s="599" t="s">
        <v>3147</v>
      </c>
      <c r="E29" s="660"/>
      <c r="F29" s="660">
        <v>0</v>
      </c>
      <c r="G29" s="660">
        <v>0</v>
      </c>
      <c r="I29" s="660"/>
      <c r="J29" s="660">
        <v>0</v>
      </c>
      <c r="K29" s="660">
        <v>0</v>
      </c>
      <c r="M29" s="660">
        <v>0</v>
      </c>
    </row>
    <row r="30" spans="1:13">
      <c r="A30" s="603">
        <v>21</v>
      </c>
      <c r="B30" s="596">
        <v>21</v>
      </c>
      <c r="C30" s="597" t="s">
        <v>3271</v>
      </c>
      <c r="E30" s="659">
        <v>22500000</v>
      </c>
      <c r="F30" s="659">
        <v>-2500000</v>
      </c>
      <c r="G30" s="659">
        <v>20000000</v>
      </c>
      <c r="I30" s="659"/>
      <c r="J30" s="659">
        <v>0</v>
      </c>
      <c r="K30" s="659">
        <v>0</v>
      </c>
      <c r="M30" s="659">
        <v>20000000</v>
      </c>
    </row>
    <row r="31" spans="1:13">
      <c r="A31" s="603">
        <v>22</v>
      </c>
      <c r="B31" s="588">
        <v>22</v>
      </c>
      <c r="C31" s="599" t="s">
        <v>3272</v>
      </c>
      <c r="E31" s="660"/>
      <c r="F31" s="660">
        <v>0</v>
      </c>
      <c r="G31" s="660">
        <v>0</v>
      </c>
      <c r="I31" s="660"/>
      <c r="J31" s="660">
        <v>0</v>
      </c>
      <c r="K31" s="660">
        <v>0</v>
      </c>
      <c r="M31" s="660">
        <v>0</v>
      </c>
    </row>
    <row r="32" spans="1:13">
      <c r="A32" s="603">
        <v>23</v>
      </c>
      <c r="B32" s="596">
        <v>23</v>
      </c>
      <c r="C32" s="597" t="s">
        <v>3273</v>
      </c>
      <c r="E32" s="659"/>
      <c r="F32" s="659">
        <v>0</v>
      </c>
      <c r="G32" s="659">
        <v>0</v>
      </c>
      <c r="I32" s="659"/>
      <c r="J32" s="659">
        <v>0</v>
      </c>
      <c r="K32" s="659">
        <v>0</v>
      </c>
      <c r="M32" s="659">
        <v>0</v>
      </c>
    </row>
    <row r="33" spans="1:13">
      <c r="A33" s="603">
        <v>24</v>
      </c>
      <c r="B33" s="588">
        <v>24</v>
      </c>
      <c r="C33" s="599" t="s">
        <v>3158</v>
      </c>
      <c r="E33" s="660"/>
      <c r="F33" s="660">
        <v>0</v>
      </c>
      <c r="G33" s="660">
        <v>0</v>
      </c>
      <c r="I33" s="660"/>
      <c r="J33" s="660">
        <v>0</v>
      </c>
      <c r="K33" s="660">
        <v>0</v>
      </c>
      <c r="M33" s="660">
        <v>0</v>
      </c>
    </row>
    <row r="34" spans="1:13" s="604" customFormat="1">
      <c r="A34" s="603">
        <v>25</v>
      </c>
      <c r="B34" s="596">
        <v>25</v>
      </c>
      <c r="C34" s="597" t="s">
        <v>3274</v>
      </c>
      <c r="D34" s="590"/>
      <c r="E34" s="659"/>
      <c r="F34" s="659">
        <v>0</v>
      </c>
      <c r="G34" s="659">
        <v>0</v>
      </c>
      <c r="H34" s="590"/>
      <c r="I34" s="659"/>
      <c r="J34" s="659">
        <v>0</v>
      </c>
      <c r="K34" s="659">
        <v>0</v>
      </c>
      <c r="L34" s="590"/>
      <c r="M34" s="659">
        <v>0</v>
      </c>
    </row>
    <row r="35" spans="1:13">
      <c r="A35" s="603">
        <v>26</v>
      </c>
      <c r="B35" s="588">
        <v>26</v>
      </c>
      <c r="C35" s="599" t="s">
        <v>3275</v>
      </c>
      <c r="E35" s="660">
        <v>1550000000</v>
      </c>
      <c r="F35" s="660">
        <v>0</v>
      </c>
      <c r="G35" s="660">
        <v>1550000000</v>
      </c>
      <c r="I35" s="660">
        <v>1550000000</v>
      </c>
      <c r="J35" s="660">
        <v>0</v>
      </c>
      <c r="K35" s="660">
        <v>1550000000</v>
      </c>
      <c r="M35" s="660">
        <v>0</v>
      </c>
    </row>
    <row r="36" spans="1:13">
      <c r="A36" s="603">
        <v>0</v>
      </c>
      <c r="B36" s="601"/>
      <c r="C36" s="602" t="s">
        <v>3276</v>
      </c>
      <c r="E36" s="658">
        <v>39706513977</v>
      </c>
      <c r="F36" s="658">
        <v>0</v>
      </c>
      <c r="G36" s="658">
        <v>39706513977</v>
      </c>
      <c r="I36" s="658">
        <v>34962594076</v>
      </c>
      <c r="J36" s="658">
        <v>4568666298</v>
      </c>
      <c r="K36" s="658">
        <v>39531260374</v>
      </c>
      <c r="M36" s="658">
        <v>175253603</v>
      </c>
    </row>
    <row r="37" spans="1:13">
      <c r="A37" s="603">
        <v>27</v>
      </c>
      <c r="B37" s="596">
        <v>27</v>
      </c>
      <c r="C37" s="597" t="s">
        <v>3164</v>
      </c>
      <c r="E37" s="659">
        <v>22076752300</v>
      </c>
      <c r="F37" s="659">
        <v>0</v>
      </c>
      <c r="G37" s="659">
        <v>22076752300</v>
      </c>
      <c r="I37" s="659">
        <v>17508086002</v>
      </c>
      <c r="J37" s="659">
        <v>4568666298</v>
      </c>
      <c r="K37" s="659">
        <v>22076752300</v>
      </c>
      <c r="M37" s="659">
        <v>0</v>
      </c>
    </row>
    <row r="38" spans="1:13">
      <c r="A38" s="603">
        <v>28</v>
      </c>
      <c r="B38" s="588">
        <v>28</v>
      </c>
      <c r="C38" s="599" t="s">
        <v>3167</v>
      </c>
      <c r="E38" s="660">
        <v>2235319034</v>
      </c>
      <c r="F38" s="660">
        <v>0</v>
      </c>
      <c r="G38" s="660">
        <v>2235319034</v>
      </c>
      <c r="I38" s="660">
        <v>2235319034</v>
      </c>
      <c r="J38" s="660">
        <v>0</v>
      </c>
      <c r="K38" s="660">
        <v>2235319034</v>
      </c>
      <c r="M38" s="660">
        <v>0</v>
      </c>
    </row>
    <row r="39" spans="1:13">
      <c r="A39" s="603">
        <v>29</v>
      </c>
      <c r="B39" s="596">
        <v>29</v>
      </c>
      <c r="C39" s="597" t="s">
        <v>3170</v>
      </c>
      <c r="E39" s="659"/>
      <c r="F39" s="659">
        <v>0</v>
      </c>
      <c r="G39" s="659">
        <v>0</v>
      </c>
      <c r="I39" s="659"/>
      <c r="J39" s="659">
        <v>0</v>
      </c>
      <c r="K39" s="659">
        <v>0</v>
      </c>
      <c r="M39" s="659">
        <v>0</v>
      </c>
    </row>
    <row r="40" spans="1:13">
      <c r="A40" s="603">
        <v>30</v>
      </c>
      <c r="B40" s="588">
        <v>30</v>
      </c>
      <c r="C40" s="599" t="s">
        <v>3173</v>
      </c>
      <c r="E40" s="660"/>
      <c r="F40" s="660">
        <v>0</v>
      </c>
      <c r="G40" s="660">
        <v>0</v>
      </c>
      <c r="I40" s="660"/>
      <c r="J40" s="660">
        <v>0</v>
      </c>
      <c r="K40" s="660">
        <v>0</v>
      </c>
      <c r="M40" s="660">
        <v>0</v>
      </c>
    </row>
    <row r="41" spans="1:13">
      <c r="A41" s="603">
        <v>31</v>
      </c>
      <c r="B41" s="596">
        <v>31</v>
      </c>
      <c r="C41" s="597" t="s">
        <v>3176</v>
      </c>
      <c r="E41" s="659"/>
      <c r="F41" s="659">
        <v>0</v>
      </c>
      <c r="G41" s="659">
        <v>0</v>
      </c>
      <c r="I41" s="659"/>
      <c r="J41" s="659">
        <v>0</v>
      </c>
      <c r="K41" s="659">
        <v>0</v>
      </c>
      <c r="M41" s="659">
        <v>0</v>
      </c>
    </row>
    <row r="42" spans="1:13">
      <c r="A42" s="603">
        <v>32</v>
      </c>
      <c r="B42" s="588">
        <v>32</v>
      </c>
      <c r="C42" s="599" t="s">
        <v>3178</v>
      </c>
      <c r="E42" s="660"/>
      <c r="F42" s="660">
        <v>0</v>
      </c>
      <c r="G42" s="660">
        <v>0</v>
      </c>
      <c r="I42" s="660"/>
      <c r="J42" s="660">
        <v>0</v>
      </c>
      <c r="K42" s="660">
        <v>0</v>
      </c>
      <c r="M42" s="660">
        <v>0</v>
      </c>
    </row>
    <row r="43" spans="1:13">
      <c r="A43" s="603">
        <v>33</v>
      </c>
      <c r="B43" s="596">
        <v>33</v>
      </c>
      <c r="C43" s="597" t="s">
        <v>3181</v>
      </c>
      <c r="E43" s="659"/>
      <c r="F43" s="659">
        <v>0</v>
      </c>
      <c r="G43" s="659">
        <v>0</v>
      </c>
      <c r="I43" s="659"/>
      <c r="J43" s="659">
        <v>0</v>
      </c>
      <c r="K43" s="659">
        <v>0</v>
      </c>
      <c r="M43" s="659">
        <v>0</v>
      </c>
    </row>
    <row r="44" spans="1:13">
      <c r="A44" s="603">
        <v>34</v>
      </c>
      <c r="B44" s="588">
        <v>34</v>
      </c>
      <c r="C44" s="599" t="s">
        <v>3184</v>
      </c>
      <c r="E44" s="660">
        <v>67424050</v>
      </c>
      <c r="F44" s="660">
        <v>0</v>
      </c>
      <c r="G44" s="660">
        <v>67424050</v>
      </c>
      <c r="I44" s="660">
        <v>67424050</v>
      </c>
      <c r="J44" s="660">
        <v>0</v>
      </c>
      <c r="K44" s="660">
        <v>67424050</v>
      </c>
      <c r="M44" s="660">
        <v>0</v>
      </c>
    </row>
    <row r="45" spans="1:13">
      <c r="A45" s="603">
        <v>35</v>
      </c>
      <c r="B45" s="596">
        <v>35</v>
      </c>
      <c r="C45" s="597" t="s">
        <v>3186</v>
      </c>
      <c r="E45" s="659">
        <v>175253603</v>
      </c>
      <c r="F45" s="659">
        <v>0</v>
      </c>
      <c r="G45" s="659">
        <v>175253603</v>
      </c>
      <c r="I45" s="659"/>
      <c r="J45" s="659">
        <v>0</v>
      </c>
      <c r="K45" s="659">
        <v>0</v>
      </c>
      <c r="M45" s="659">
        <v>175253603</v>
      </c>
    </row>
    <row r="46" spans="1:13">
      <c r="A46" s="603">
        <v>36</v>
      </c>
      <c r="B46" s="588">
        <v>36</v>
      </c>
      <c r="C46" s="599" t="s">
        <v>3189</v>
      </c>
      <c r="E46" s="660"/>
      <c r="F46" s="660">
        <v>0</v>
      </c>
      <c r="G46" s="660">
        <v>0</v>
      </c>
      <c r="I46" s="660"/>
      <c r="J46" s="660">
        <v>0</v>
      </c>
      <c r="K46" s="660">
        <v>0</v>
      </c>
      <c r="M46" s="660">
        <v>0</v>
      </c>
    </row>
    <row r="47" spans="1:13">
      <c r="A47" s="603">
        <v>37</v>
      </c>
      <c r="B47" s="596">
        <v>37</v>
      </c>
      <c r="C47" s="597" t="s">
        <v>3277</v>
      </c>
      <c r="E47" s="659"/>
      <c r="F47" s="659">
        <v>0</v>
      </c>
      <c r="G47" s="659">
        <v>0</v>
      </c>
      <c r="I47" s="659"/>
      <c r="J47" s="659">
        <v>0</v>
      </c>
      <c r="K47" s="659">
        <v>0</v>
      </c>
      <c r="M47" s="659">
        <v>0</v>
      </c>
    </row>
    <row r="48" spans="1:13">
      <c r="A48" s="603">
        <v>38</v>
      </c>
      <c r="B48" s="588">
        <v>38</v>
      </c>
      <c r="C48" s="599" t="s">
        <v>3278</v>
      </c>
      <c r="E48" s="660"/>
      <c r="F48" s="660">
        <v>0</v>
      </c>
      <c r="G48" s="660">
        <v>0</v>
      </c>
      <c r="I48" s="660"/>
      <c r="J48" s="660">
        <v>0</v>
      </c>
      <c r="K48" s="660">
        <v>0</v>
      </c>
      <c r="M48" s="660">
        <v>0</v>
      </c>
    </row>
    <row r="49" spans="1:13">
      <c r="A49" s="603">
        <v>39</v>
      </c>
      <c r="B49" s="596">
        <v>39</v>
      </c>
      <c r="C49" s="597" t="s">
        <v>3195</v>
      </c>
      <c r="E49" s="659"/>
      <c r="F49" s="659">
        <v>0</v>
      </c>
      <c r="G49" s="659">
        <v>0</v>
      </c>
      <c r="I49" s="659"/>
      <c r="J49" s="659">
        <v>0</v>
      </c>
      <c r="K49" s="659">
        <v>0</v>
      </c>
      <c r="M49" s="659">
        <v>0</v>
      </c>
    </row>
    <row r="50" spans="1:13">
      <c r="A50" s="603">
        <v>40</v>
      </c>
      <c r="B50" s="588">
        <v>40</v>
      </c>
      <c r="C50" s="599" t="s">
        <v>3198</v>
      </c>
      <c r="E50" s="660">
        <v>9091058994</v>
      </c>
      <c r="F50" s="660">
        <v>0</v>
      </c>
      <c r="G50" s="660">
        <v>9091058994</v>
      </c>
      <c r="I50" s="660">
        <v>9091058994</v>
      </c>
      <c r="J50" s="660">
        <v>0</v>
      </c>
      <c r="K50" s="660">
        <v>9091058994</v>
      </c>
      <c r="M50" s="660">
        <v>0</v>
      </c>
    </row>
    <row r="51" spans="1:13">
      <c r="A51" s="603">
        <v>41</v>
      </c>
      <c r="B51" s="596">
        <v>41</v>
      </c>
      <c r="C51" s="597" t="s">
        <v>3279</v>
      </c>
      <c r="E51" s="659"/>
      <c r="F51" s="659">
        <v>0</v>
      </c>
      <c r="G51" s="659">
        <v>0</v>
      </c>
      <c r="I51" s="659"/>
      <c r="J51" s="659">
        <v>0</v>
      </c>
      <c r="K51" s="659">
        <v>0</v>
      </c>
      <c r="M51" s="659">
        <v>0</v>
      </c>
    </row>
    <row r="52" spans="1:13">
      <c r="A52" s="603"/>
      <c r="B52" s="588">
        <v>42</v>
      </c>
      <c r="C52" s="599" t="s">
        <v>3280</v>
      </c>
      <c r="E52" s="660">
        <v>6060705996</v>
      </c>
      <c r="F52" s="660">
        <v>0</v>
      </c>
      <c r="G52" s="660">
        <v>6060705996</v>
      </c>
      <c r="I52" s="660">
        <v>6060705996</v>
      </c>
      <c r="J52" s="660">
        <v>0</v>
      </c>
      <c r="K52" s="660">
        <v>6060705996</v>
      </c>
      <c r="M52" s="660">
        <v>0</v>
      </c>
    </row>
    <row r="53" spans="1:13">
      <c r="A53" s="603">
        <v>0</v>
      </c>
      <c r="B53" s="601"/>
      <c r="C53" s="602" t="s">
        <v>3281</v>
      </c>
      <c r="E53" s="658">
        <v>5868987721</v>
      </c>
      <c r="F53" s="658">
        <v>-346652006</v>
      </c>
      <c r="G53" s="658">
        <v>5522335715</v>
      </c>
      <c r="I53" s="658">
        <v>4591839202</v>
      </c>
      <c r="J53" s="658">
        <v>0</v>
      </c>
      <c r="K53" s="658">
        <v>4591839202</v>
      </c>
      <c r="M53" s="658">
        <v>930496513</v>
      </c>
    </row>
    <row r="54" spans="1:13">
      <c r="A54" s="603">
        <v>43</v>
      </c>
      <c r="B54" s="596">
        <v>43</v>
      </c>
      <c r="C54" s="597" t="s">
        <v>3282</v>
      </c>
      <c r="E54" s="659"/>
      <c r="F54" s="659">
        <v>0</v>
      </c>
      <c r="G54" s="659">
        <v>0</v>
      </c>
      <c r="I54" s="659">
        <v>2443704430</v>
      </c>
      <c r="J54" s="659">
        <v>0</v>
      </c>
      <c r="K54" s="659">
        <v>2443704430</v>
      </c>
      <c r="M54" s="659">
        <v>-2443704430</v>
      </c>
    </row>
    <row r="55" spans="1:13">
      <c r="A55" s="603">
        <v>44</v>
      </c>
      <c r="B55" s="588">
        <v>44</v>
      </c>
      <c r="C55" s="599" t="s">
        <v>3283</v>
      </c>
      <c r="E55" s="660"/>
      <c r="F55" s="660">
        <v>0</v>
      </c>
      <c r="G55" s="660">
        <v>0</v>
      </c>
      <c r="I55" s="660">
        <v>211690571</v>
      </c>
      <c r="J55" s="660">
        <v>0</v>
      </c>
      <c r="K55" s="660">
        <v>211690571</v>
      </c>
      <c r="M55" s="660">
        <v>-211690571</v>
      </c>
    </row>
    <row r="56" spans="1:13">
      <c r="A56" s="603"/>
      <c r="B56" s="596">
        <v>45</v>
      </c>
      <c r="C56" s="597" t="s">
        <v>3284</v>
      </c>
      <c r="E56" s="659"/>
      <c r="F56" s="659">
        <v>0</v>
      </c>
      <c r="G56" s="659">
        <v>0</v>
      </c>
      <c r="I56" s="659">
        <v>264613205</v>
      </c>
      <c r="J56" s="659">
        <v>0</v>
      </c>
      <c r="K56" s="659">
        <v>264613205</v>
      </c>
      <c r="M56" s="659">
        <v>-264613205</v>
      </c>
    </row>
    <row r="57" spans="1:13">
      <c r="A57" s="603"/>
      <c r="B57" s="588">
        <v>46</v>
      </c>
      <c r="C57" s="599" t="s">
        <v>3285</v>
      </c>
      <c r="E57" s="660">
        <v>5868987721</v>
      </c>
      <c r="F57" s="660">
        <v>-346652006</v>
      </c>
      <c r="G57" s="660">
        <v>5522335715</v>
      </c>
      <c r="I57" s="660">
        <v>1248574846</v>
      </c>
      <c r="J57" s="660">
        <v>0</v>
      </c>
      <c r="K57" s="660">
        <v>1248574846</v>
      </c>
      <c r="M57" s="660">
        <v>4273760869</v>
      </c>
    </row>
    <row r="58" spans="1:13">
      <c r="A58" s="603"/>
      <c r="B58" s="596">
        <v>47</v>
      </c>
      <c r="C58" s="597" t="s">
        <v>3286</v>
      </c>
      <c r="E58" s="659"/>
      <c r="F58" s="659">
        <v>0</v>
      </c>
      <c r="G58" s="659">
        <v>0</v>
      </c>
      <c r="I58" s="659">
        <v>132306595</v>
      </c>
      <c r="J58" s="659">
        <v>0</v>
      </c>
      <c r="K58" s="659">
        <v>132306595</v>
      </c>
      <c r="M58" s="659">
        <v>-132306595</v>
      </c>
    </row>
    <row r="59" spans="1:13">
      <c r="A59" s="603"/>
      <c r="B59" s="588">
        <v>48</v>
      </c>
      <c r="C59" s="599" t="s">
        <v>3287</v>
      </c>
      <c r="E59" s="660"/>
      <c r="F59" s="660">
        <v>0</v>
      </c>
      <c r="G59" s="660">
        <v>0</v>
      </c>
      <c r="I59" s="660">
        <v>48677357</v>
      </c>
      <c r="J59" s="660">
        <v>0</v>
      </c>
      <c r="K59" s="660">
        <v>48677357</v>
      </c>
      <c r="M59" s="660">
        <v>-48677357</v>
      </c>
    </row>
    <row r="60" spans="1:13">
      <c r="A60" s="603"/>
      <c r="B60" s="596">
        <v>49</v>
      </c>
      <c r="C60" s="597" t="s">
        <v>3288</v>
      </c>
      <c r="E60" s="659"/>
      <c r="F60" s="659">
        <v>0</v>
      </c>
      <c r="G60" s="659">
        <v>0</v>
      </c>
      <c r="I60" s="659"/>
      <c r="J60" s="659">
        <v>0</v>
      </c>
      <c r="K60" s="659">
        <v>0</v>
      </c>
      <c r="M60" s="659">
        <v>0</v>
      </c>
    </row>
    <row r="61" spans="1:13">
      <c r="A61" s="603"/>
      <c r="B61" s="588">
        <v>50</v>
      </c>
      <c r="C61" s="599" t="s">
        <v>3289</v>
      </c>
      <c r="E61" s="660"/>
      <c r="F61" s="660">
        <v>0</v>
      </c>
      <c r="G61" s="660">
        <v>0</v>
      </c>
      <c r="I61" s="660">
        <v>242272198</v>
      </c>
      <c r="J61" s="660">
        <v>0</v>
      </c>
      <c r="K61" s="660">
        <v>242272198</v>
      </c>
      <c r="M61" s="660">
        <v>-242272198</v>
      </c>
    </row>
    <row r="62" spans="1:13">
      <c r="A62" s="603"/>
      <c r="B62" s="596">
        <v>51</v>
      </c>
      <c r="C62" s="597" t="s">
        <v>3218</v>
      </c>
      <c r="E62" s="659"/>
      <c r="F62" s="659">
        <v>0</v>
      </c>
      <c r="G62" s="659">
        <v>0</v>
      </c>
      <c r="I62" s="659"/>
      <c r="J62" s="659">
        <v>0</v>
      </c>
      <c r="K62" s="659">
        <v>0</v>
      </c>
      <c r="M62" s="659">
        <v>0</v>
      </c>
    </row>
    <row r="63" spans="1:13">
      <c r="A63" s="603">
        <v>0</v>
      </c>
      <c r="B63" s="601"/>
      <c r="C63" s="602" t="s">
        <v>3290</v>
      </c>
      <c r="E63" s="658">
        <v>9413652</v>
      </c>
      <c r="F63" s="658">
        <v>0</v>
      </c>
      <c r="G63" s="658">
        <v>9413652</v>
      </c>
      <c r="I63" s="658">
        <v>9413650</v>
      </c>
      <c r="J63" s="658">
        <v>0</v>
      </c>
      <c r="K63" s="658">
        <v>9413650</v>
      </c>
      <c r="M63" s="658">
        <v>2</v>
      </c>
    </row>
    <row r="64" spans="1:13">
      <c r="A64" s="603">
        <v>52</v>
      </c>
      <c r="B64" s="588">
        <v>52</v>
      </c>
      <c r="C64" s="599" t="s">
        <v>3222</v>
      </c>
      <c r="E64" s="660"/>
      <c r="F64" s="660">
        <v>9413652</v>
      </c>
      <c r="G64" s="660">
        <v>9413652</v>
      </c>
      <c r="I64" s="660">
        <v>9413650</v>
      </c>
      <c r="J64" s="660">
        <v>0</v>
      </c>
      <c r="K64" s="660">
        <v>9413650</v>
      </c>
      <c r="M64" s="660">
        <v>2</v>
      </c>
    </row>
    <row r="65" spans="1:13">
      <c r="A65" s="603">
        <v>53</v>
      </c>
      <c r="B65" s="596">
        <v>53</v>
      </c>
      <c r="C65" s="597" t="s">
        <v>3225</v>
      </c>
      <c r="E65" s="659">
        <v>9413652</v>
      </c>
      <c r="F65" s="659">
        <v>-9413652</v>
      </c>
      <c r="G65" s="659">
        <v>0</v>
      </c>
      <c r="I65" s="659"/>
      <c r="J65" s="659">
        <v>0</v>
      </c>
      <c r="K65" s="659">
        <v>0</v>
      </c>
      <c r="M65" s="659">
        <v>0</v>
      </c>
    </row>
    <row r="66" spans="1:13">
      <c r="A66" s="603">
        <v>54</v>
      </c>
      <c r="B66" s="588">
        <v>54</v>
      </c>
      <c r="C66" s="599" t="s">
        <v>3291</v>
      </c>
      <c r="E66" s="660"/>
      <c r="F66" s="660">
        <v>0</v>
      </c>
      <c r="G66" s="660">
        <v>0</v>
      </c>
      <c r="I66" s="660"/>
      <c r="J66" s="660">
        <v>0</v>
      </c>
      <c r="K66" s="660">
        <v>0</v>
      </c>
      <c r="M66" s="660">
        <v>0</v>
      </c>
    </row>
    <row r="67" spans="1:13">
      <c r="A67" s="603"/>
      <c r="B67" s="601"/>
      <c r="C67" s="602" t="s">
        <v>3292</v>
      </c>
      <c r="E67" s="658">
        <v>0</v>
      </c>
      <c r="F67" s="658">
        <v>0</v>
      </c>
      <c r="G67" s="658">
        <v>0</v>
      </c>
      <c r="I67" s="658">
        <v>0</v>
      </c>
      <c r="J67" s="658">
        <v>0</v>
      </c>
      <c r="K67" s="658">
        <v>0</v>
      </c>
      <c r="M67" s="658">
        <v>0</v>
      </c>
    </row>
    <row r="68" spans="1:13">
      <c r="A68" s="603"/>
      <c r="B68" s="596">
        <v>55</v>
      </c>
      <c r="C68" s="597" t="s">
        <v>3231</v>
      </c>
      <c r="E68" s="659"/>
      <c r="F68" s="659">
        <v>0</v>
      </c>
      <c r="G68" s="659">
        <v>0</v>
      </c>
      <c r="I68" s="659"/>
      <c r="J68" s="659">
        <v>0</v>
      </c>
      <c r="K68" s="659">
        <v>0</v>
      </c>
      <c r="M68" s="659">
        <v>0</v>
      </c>
    </row>
    <row r="69" spans="1:13">
      <c r="A69" s="603"/>
      <c r="B69" s="588">
        <v>56</v>
      </c>
      <c r="C69" s="599" t="s">
        <v>3293</v>
      </c>
      <c r="E69" s="660"/>
      <c r="F69" s="660">
        <v>0</v>
      </c>
      <c r="G69" s="660">
        <v>0</v>
      </c>
      <c r="I69" s="660"/>
      <c r="J69" s="660">
        <v>0</v>
      </c>
      <c r="K69" s="660">
        <v>0</v>
      </c>
      <c r="M69" s="660">
        <v>0</v>
      </c>
    </row>
    <row r="70" spans="1:13">
      <c r="A70" s="603">
        <v>0</v>
      </c>
      <c r="B70" s="601"/>
      <c r="C70" s="602" t="s">
        <v>340</v>
      </c>
      <c r="E70" s="658">
        <v>33081623</v>
      </c>
      <c r="F70" s="658">
        <v>0</v>
      </c>
      <c r="G70" s="658">
        <v>33081623</v>
      </c>
      <c r="I70" s="658">
        <v>32407623</v>
      </c>
      <c r="J70" s="658">
        <v>674000</v>
      </c>
      <c r="K70" s="658">
        <v>33081623</v>
      </c>
      <c r="M70" s="658">
        <v>0</v>
      </c>
    </row>
    <row r="71" spans="1:13">
      <c r="A71" s="603">
        <v>57</v>
      </c>
      <c r="B71" s="596">
        <v>57</v>
      </c>
      <c r="C71" s="597" t="s">
        <v>3294</v>
      </c>
      <c r="E71" s="659">
        <v>33081623</v>
      </c>
      <c r="F71" s="659">
        <v>0</v>
      </c>
      <c r="G71" s="659">
        <v>33081623</v>
      </c>
      <c r="I71" s="659">
        <v>32407623</v>
      </c>
      <c r="J71" s="659">
        <v>674000</v>
      </c>
      <c r="K71" s="659">
        <v>33081623</v>
      </c>
      <c r="M71" s="659">
        <v>0</v>
      </c>
    </row>
    <row r="72" spans="1:13">
      <c r="A72" s="603">
        <v>0</v>
      </c>
      <c r="B72" s="601"/>
      <c r="C72" s="602" t="s">
        <v>3295</v>
      </c>
      <c r="E72" s="658">
        <v>361808640</v>
      </c>
      <c r="F72" s="658">
        <v>0</v>
      </c>
      <c r="G72" s="658">
        <v>361808640</v>
      </c>
      <c r="I72" s="658">
        <v>353082240</v>
      </c>
      <c r="J72" s="658">
        <v>8726400</v>
      </c>
      <c r="K72" s="658">
        <v>361808640</v>
      </c>
      <c r="M72" s="658">
        <v>0</v>
      </c>
    </row>
    <row r="73" spans="1:13">
      <c r="A73" s="603">
        <v>58</v>
      </c>
      <c r="B73" s="588">
        <v>58</v>
      </c>
      <c r="C73" s="599" t="s">
        <v>3296</v>
      </c>
      <c r="E73" s="660">
        <v>361808640</v>
      </c>
      <c r="F73" s="660">
        <v>0</v>
      </c>
      <c r="G73" s="660">
        <v>361808640</v>
      </c>
      <c r="I73" s="660">
        <v>353082240</v>
      </c>
      <c r="J73" s="660">
        <v>8726400</v>
      </c>
      <c r="K73" s="660">
        <v>361808640</v>
      </c>
      <c r="M73" s="660">
        <v>0</v>
      </c>
    </row>
    <row r="74" spans="1:13">
      <c r="A74" s="603"/>
      <c r="B74" s="601"/>
      <c r="C74" s="602" t="s">
        <v>3297</v>
      </c>
      <c r="E74" s="658">
        <v>0</v>
      </c>
      <c r="F74" s="658">
        <v>0</v>
      </c>
      <c r="G74" s="658">
        <v>0</v>
      </c>
      <c r="I74" s="658">
        <v>0</v>
      </c>
      <c r="J74" s="658">
        <v>0</v>
      </c>
      <c r="K74" s="658">
        <v>0</v>
      </c>
      <c r="M74" s="658">
        <v>0</v>
      </c>
    </row>
    <row r="75" spans="1:13">
      <c r="A75" s="603"/>
      <c r="B75" s="588">
        <v>59</v>
      </c>
      <c r="C75" s="599" t="s">
        <v>3298</v>
      </c>
      <c r="E75" s="660"/>
      <c r="F75" s="660">
        <v>0</v>
      </c>
      <c r="G75" s="660">
        <v>0</v>
      </c>
      <c r="I75" s="660"/>
      <c r="J75" s="660">
        <v>0</v>
      </c>
      <c r="K75" s="660">
        <v>0</v>
      </c>
      <c r="M75" s="660"/>
    </row>
    <row r="76" spans="1:13">
      <c r="A76" s="603"/>
      <c r="B76" s="601"/>
      <c r="C76" s="602" t="s">
        <v>3299</v>
      </c>
      <c r="E76" s="658">
        <v>0</v>
      </c>
      <c r="F76" s="658">
        <v>0</v>
      </c>
      <c r="G76" s="658">
        <v>0</v>
      </c>
      <c r="I76" s="658">
        <v>0</v>
      </c>
      <c r="J76" s="658">
        <v>0</v>
      </c>
      <c r="K76" s="658">
        <v>0</v>
      </c>
      <c r="M76" s="658">
        <v>0</v>
      </c>
    </row>
    <row r="77" spans="1:13">
      <c r="A77" s="603"/>
      <c r="B77" s="588">
        <v>60</v>
      </c>
      <c r="C77" s="599" t="s">
        <v>3300</v>
      </c>
      <c r="E77" s="660"/>
      <c r="F77" s="660">
        <v>0</v>
      </c>
      <c r="G77" s="660">
        <v>0</v>
      </c>
      <c r="I77" s="660"/>
      <c r="J77" s="660">
        <v>0</v>
      </c>
      <c r="K77" s="660">
        <v>0</v>
      </c>
      <c r="M77" s="660"/>
    </row>
    <row r="78" spans="1:13">
      <c r="A78" s="603"/>
      <c r="B78" s="601"/>
      <c r="C78" s="602" t="s">
        <v>3301</v>
      </c>
      <c r="E78" s="658">
        <v>43539000</v>
      </c>
      <c r="F78" s="658">
        <v>0</v>
      </c>
      <c r="G78" s="658">
        <v>43539000</v>
      </c>
      <c r="I78" s="658">
        <v>50271367</v>
      </c>
      <c r="J78" s="658">
        <v>0</v>
      </c>
      <c r="K78" s="658">
        <v>50271367</v>
      </c>
      <c r="M78" s="658">
        <v>-6732367</v>
      </c>
    </row>
    <row r="79" spans="1:13">
      <c r="A79" s="603"/>
      <c r="B79" s="596">
        <v>61</v>
      </c>
      <c r="C79" s="597" t="s">
        <v>3302</v>
      </c>
      <c r="E79" s="659"/>
      <c r="F79" s="659"/>
      <c r="G79" s="659"/>
      <c r="I79" s="659"/>
      <c r="J79" s="659"/>
      <c r="K79" s="659"/>
      <c r="M79" s="659"/>
    </row>
  </sheetData>
  <mergeCells count="5">
    <mergeCell ref="B3:B4"/>
    <mergeCell ref="C3:C4"/>
    <mergeCell ref="E3:G3"/>
    <mergeCell ref="I3:K3"/>
    <mergeCell ref="M3:M4"/>
  </mergeCells>
  <hyperlinks>
    <hyperlink ref="A1" location="Sommaire!A1" display="Sommaire!A1" xr:uid="{00000000-0004-0000-0D00-000000000000}"/>
  </hyperlinks>
  <pageMargins left="0.7" right="0.7" top="0.75" bottom="0.75" header="0.3" footer="0.3"/>
  <pageSetup paperSize="9" scale="67" orientation="landscape" r:id="rId1"/>
  <rowBreaks count="1" manualBreakCount="1">
    <brk id="51"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79"/>
  <sheetViews>
    <sheetView showGridLines="0" zoomScaleNormal="100" workbookViewId="0">
      <selection activeCell="B1" sqref="B1"/>
    </sheetView>
  </sheetViews>
  <sheetFormatPr baseColWidth="10" defaultColWidth="11.33203125" defaultRowHeight="12"/>
  <cols>
    <col min="1" max="1" width="10.1640625" style="588" bestFit="1" customWidth="1"/>
    <col min="2" max="2" width="19" style="588" bestFit="1" customWidth="1"/>
    <col min="3" max="3" width="54.5" style="605" bestFit="1" customWidth="1"/>
    <col min="4" max="4" width="0.6640625" style="590" customWidth="1"/>
    <col min="5" max="5" width="13.6640625" style="590" bestFit="1" customWidth="1"/>
    <col min="6" max="6" width="12.83203125" style="588" bestFit="1" customWidth="1"/>
    <col min="7" max="7" width="13.6640625" style="590" bestFit="1" customWidth="1"/>
    <col min="8" max="8" width="0.6640625" style="590" customWidth="1"/>
    <col min="9" max="11" width="13.6640625" style="590" bestFit="1" customWidth="1"/>
    <col min="12" max="12" width="0.6640625" style="590" customWidth="1"/>
    <col min="13" max="13" width="13.83203125" style="590" bestFit="1" customWidth="1"/>
    <col min="14" max="16384" width="11.33203125" style="590"/>
  </cols>
  <sheetData>
    <row r="1" spans="1:13" ht="24">
      <c r="A1" s="661" t="s">
        <v>140</v>
      </c>
      <c r="C1" s="589" t="s">
        <v>3249</v>
      </c>
      <c r="E1" s="591" t="s">
        <v>191</v>
      </c>
      <c r="F1" s="591" t="s">
        <v>3304</v>
      </c>
      <c r="G1" s="592"/>
      <c r="J1" s="592" t="s">
        <v>3251</v>
      </c>
      <c r="K1" s="592">
        <v>2023</v>
      </c>
    </row>
    <row r="2" spans="1:13">
      <c r="C2" s="593"/>
      <c r="F2" s="590"/>
      <c r="I2" s="590" t="s">
        <v>3252</v>
      </c>
      <c r="J2" s="594">
        <v>604.32574999999997</v>
      </c>
    </row>
    <row r="3" spans="1:13">
      <c r="B3" s="753" t="s">
        <v>143</v>
      </c>
      <c r="C3" s="754" t="s">
        <v>3253</v>
      </c>
      <c r="E3" s="755" t="s">
        <v>2084</v>
      </c>
      <c r="F3" s="755"/>
      <c r="G3" s="755"/>
      <c r="I3" s="755" t="s">
        <v>3254</v>
      </c>
      <c r="J3" s="755"/>
      <c r="K3" s="755"/>
      <c r="M3" s="756" t="s">
        <v>3255</v>
      </c>
    </row>
    <row r="4" spans="1:13">
      <c r="B4" s="753"/>
      <c r="C4" s="754"/>
      <c r="E4" s="595" t="s">
        <v>3256</v>
      </c>
      <c r="F4" s="595" t="s">
        <v>3257</v>
      </c>
      <c r="G4" s="595" t="s">
        <v>3258</v>
      </c>
      <c r="I4" s="595" t="s">
        <v>3256</v>
      </c>
      <c r="J4" s="595" t="s">
        <v>3257</v>
      </c>
      <c r="K4" s="595" t="s">
        <v>3258</v>
      </c>
      <c r="M4" s="756"/>
    </row>
    <row r="5" spans="1:13">
      <c r="B5" s="655" t="s">
        <v>3092</v>
      </c>
      <c r="C5" s="656"/>
      <c r="E5" s="657">
        <v>0</v>
      </c>
      <c r="F5" s="657">
        <v>0</v>
      </c>
      <c r="G5" s="657">
        <v>0</v>
      </c>
      <c r="I5" s="657">
        <v>0</v>
      </c>
      <c r="J5" s="657">
        <v>0</v>
      </c>
      <c r="K5" s="657">
        <v>0</v>
      </c>
      <c r="M5" s="657">
        <v>0</v>
      </c>
    </row>
    <row r="6" spans="1:13">
      <c r="B6" s="596">
        <v>1</v>
      </c>
      <c r="C6" s="597" t="s">
        <v>3259</v>
      </c>
      <c r="E6" s="598"/>
      <c r="F6" s="598">
        <v>0</v>
      </c>
      <c r="G6" s="598">
        <v>0</v>
      </c>
      <c r="I6" s="598"/>
      <c r="J6" s="598">
        <v>0</v>
      </c>
      <c r="K6" s="598">
        <v>0</v>
      </c>
      <c r="M6" s="598">
        <v>0</v>
      </c>
    </row>
    <row r="7" spans="1:13">
      <c r="B7" s="588">
        <v>2</v>
      </c>
      <c r="C7" s="599" t="s">
        <v>3260</v>
      </c>
      <c r="E7" s="600"/>
      <c r="F7" s="600">
        <v>0</v>
      </c>
      <c r="G7" s="600">
        <v>0</v>
      </c>
      <c r="I7" s="600"/>
      <c r="J7" s="600">
        <v>0</v>
      </c>
      <c r="K7" s="600">
        <v>0</v>
      </c>
      <c r="M7" s="600">
        <v>0</v>
      </c>
    </row>
    <row r="8" spans="1:13">
      <c r="B8" s="655" t="s">
        <v>3101</v>
      </c>
      <c r="C8" s="656"/>
      <c r="E8" s="657">
        <v>130645483028.20999</v>
      </c>
      <c r="F8" s="657">
        <v>-7335068646.88978</v>
      </c>
      <c r="G8" s="657">
        <v>123310414381.32021</v>
      </c>
      <c r="I8" s="657">
        <v>86118718254</v>
      </c>
      <c r="J8" s="657">
        <v>39481762261.209999</v>
      </c>
      <c r="K8" s="657">
        <v>125600480515.20999</v>
      </c>
      <c r="M8" s="657">
        <v>-2290066133.88978</v>
      </c>
    </row>
    <row r="9" spans="1:13">
      <c r="B9" s="601"/>
      <c r="C9" s="602" t="s">
        <v>1244</v>
      </c>
      <c r="E9" s="658">
        <v>18455147244.209999</v>
      </c>
      <c r="F9" s="658">
        <v>264346000</v>
      </c>
      <c r="G9" s="658">
        <v>18719493244.209999</v>
      </c>
      <c r="I9" s="658">
        <v>12647127249</v>
      </c>
      <c r="J9" s="658">
        <v>6072365995.21</v>
      </c>
      <c r="K9" s="658">
        <v>18719493244.209999</v>
      </c>
      <c r="M9" s="658">
        <v>0</v>
      </c>
    </row>
    <row r="10" spans="1:13">
      <c r="A10" s="603">
        <v>3</v>
      </c>
      <c r="B10" s="596">
        <v>3</v>
      </c>
      <c r="C10" s="597" t="s">
        <v>3261</v>
      </c>
      <c r="E10" s="659">
        <v>17979113589</v>
      </c>
      <c r="F10" s="659">
        <v>4266000</v>
      </c>
      <c r="G10" s="659">
        <v>17983379589</v>
      </c>
      <c r="I10" s="659">
        <v>12387047249</v>
      </c>
      <c r="J10" s="659">
        <v>5596332340</v>
      </c>
      <c r="K10" s="659">
        <v>17983379589</v>
      </c>
      <c r="M10" s="659">
        <v>0</v>
      </c>
    </row>
    <row r="11" spans="1:13">
      <c r="A11" s="603">
        <v>4</v>
      </c>
      <c r="B11" s="588">
        <v>4</v>
      </c>
      <c r="C11" s="599" t="s">
        <v>3106</v>
      </c>
      <c r="E11" s="660">
        <v>394603655.20999998</v>
      </c>
      <c r="F11" s="660">
        <v>0</v>
      </c>
      <c r="G11" s="660">
        <v>394603655.20999998</v>
      </c>
      <c r="I11" s="660"/>
      <c r="J11" s="660">
        <v>394603655.20999998</v>
      </c>
      <c r="K11" s="660">
        <v>394603655.20999998</v>
      </c>
      <c r="M11" s="660">
        <v>0</v>
      </c>
    </row>
    <row r="12" spans="1:13">
      <c r="A12" s="603">
        <v>5</v>
      </c>
      <c r="B12" s="596">
        <v>5</v>
      </c>
      <c r="C12" s="597" t="s">
        <v>3262</v>
      </c>
      <c r="E12" s="659"/>
      <c r="F12" s="659">
        <v>2000000</v>
      </c>
      <c r="G12" s="659">
        <v>2000000</v>
      </c>
      <c r="I12" s="659">
        <v>2000000</v>
      </c>
      <c r="J12" s="659">
        <v>0</v>
      </c>
      <c r="K12" s="659">
        <v>2000000</v>
      </c>
      <c r="M12" s="659">
        <v>0</v>
      </c>
    </row>
    <row r="13" spans="1:13">
      <c r="A13" s="603">
        <v>6</v>
      </c>
      <c r="B13" s="588">
        <v>6</v>
      </c>
      <c r="C13" s="599" t="s">
        <v>3263</v>
      </c>
      <c r="E13" s="660"/>
      <c r="F13" s="660">
        <v>0</v>
      </c>
      <c r="G13" s="660">
        <v>0</v>
      </c>
      <c r="I13" s="660"/>
      <c r="J13" s="660">
        <v>0</v>
      </c>
      <c r="K13" s="660">
        <v>0</v>
      </c>
      <c r="M13" s="660">
        <v>0</v>
      </c>
    </row>
    <row r="14" spans="1:13">
      <c r="A14" s="603">
        <v>7</v>
      </c>
      <c r="B14" s="596">
        <v>7</v>
      </c>
      <c r="C14" s="597" t="s">
        <v>3114</v>
      </c>
      <c r="E14" s="659">
        <v>81430000</v>
      </c>
      <c r="F14" s="659">
        <v>258080000</v>
      </c>
      <c r="G14" s="659">
        <v>339510000</v>
      </c>
      <c r="I14" s="659">
        <v>258080000</v>
      </c>
      <c r="J14" s="659">
        <v>81430000</v>
      </c>
      <c r="K14" s="659">
        <v>339510000</v>
      </c>
      <c r="M14" s="659">
        <v>0</v>
      </c>
    </row>
    <row r="15" spans="1:13">
      <c r="A15" s="603">
        <v>0</v>
      </c>
      <c r="B15" s="601"/>
      <c r="C15" s="602" t="s">
        <v>1253</v>
      </c>
      <c r="E15" s="658">
        <v>0</v>
      </c>
      <c r="F15" s="658">
        <v>0</v>
      </c>
      <c r="G15" s="658">
        <v>0</v>
      </c>
      <c r="I15" s="658">
        <v>0</v>
      </c>
      <c r="J15" s="658">
        <v>0</v>
      </c>
      <c r="K15" s="658">
        <v>0</v>
      </c>
      <c r="M15" s="658">
        <v>0</v>
      </c>
    </row>
    <row r="16" spans="1:13">
      <c r="A16" s="603">
        <v>8</v>
      </c>
      <c r="B16" s="588">
        <v>8</v>
      </c>
      <c r="C16" s="599" t="s">
        <v>3264</v>
      </c>
      <c r="E16" s="660"/>
      <c r="F16" s="660">
        <v>0</v>
      </c>
      <c r="G16" s="660">
        <v>0</v>
      </c>
      <c r="I16" s="660"/>
      <c r="J16" s="660">
        <v>0</v>
      </c>
      <c r="K16" s="660">
        <v>0</v>
      </c>
      <c r="M16" s="660">
        <v>0</v>
      </c>
    </row>
    <row r="17" spans="1:13">
      <c r="A17" s="603">
        <v>9</v>
      </c>
      <c r="B17" s="596">
        <v>9</v>
      </c>
      <c r="C17" s="597" t="s">
        <v>3265</v>
      </c>
      <c r="E17" s="659"/>
      <c r="F17" s="659">
        <v>0</v>
      </c>
      <c r="G17" s="659">
        <v>0</v>
      </c>
      <c r="I17" s="659"/>
      <c r="J17" s="659">
        <v>0</v>
      </c>
      <c r="K17" s="659">
        <v>0</v>
      </c>
      <c r="M17" s="659">
        <v>0</v>
      </c>
    </row>
    <row r="18" spans="1:13">
      <c r="A18" s="603"/>
      <c r="B18" s="588">
        <v>10</v>
      </c>
      <c r="C18" s="599" t="s">
        <v>3122</v>
      </c>
      <c r="E18" s="660"/>
      <c r="F18" s="660">
        <v>0</v>
      </c>
      <c r="G18" s="660">
        <v>0</v>
      </c>
      <c r="I18" s="660"/>
      <c r="J18" s="660">
        <v>0</v>
      </c>
      <c r="K18" s="660">
        <v>0</v>
      </c>
      <c r="M18" s="660">
        <v>0</v>
      </c>
    </row>
    <row r="19" spans="1:13">
      <c r="A19" s="603">
        <v>11</v>
      </c>
      <c r="B19" s="596">
        <v>11</v>
      </c>
      <c r="C19" s="597" t="s">
        <v>3124</v>
      </c>
      <c r="E19" s="659"/>
      <c r="F19" s="659">
        <v>0</v>
      </c>
      <c r="G19" s="659">
        <v>0</v>
      </c>
      <c r="I19" s="659"/>
      <c r="J19" s="659">
        <v>0</v>
      </c>
      <c r="K19" s="659">
        <v>0</v>
      </c>
      <c r="M19" s="659">
        <v>0</v>
      </c>
    </row>
    <row r="20" spans="1:13">
      <c r="A20" s="603">
        <v>12</v>
      </c>
      <c r="B20" s="588">
        <v>12</v>
      </c>
      <c r="C20" s="599" t="s">
        <v>3266</v>
      </c>
      <c r="E20" s="660"/>
      <c r="F20" s="660">
        <v>0</v>
      </c>
      <c r="G20" s="660">
        <v>0</v>
      </c>
      <c r="I20" s="660"/>
      <c r="J20" s="660">
        <v>0</v>
      </c>
      <c r="K20" s="660">
        <v>0</v>
      </c>
      <c r="M20" s="660">
        <v>0</v>
      </c>
    </row>
    <row r="21" spans="1:13">
      <c r="A21" s="603">
        <v>13</v>
      </c>
      <c r="B21" s="596">
        <v>13</v>
      </c>
      <c r="C21" s="597" t="s">
        <v>3267</v>
      </c>
      <c r="E21" s="659"/>
      <c r="F21" s="659">
        <v>0</v>
      </c>
      <c r="G21" s="659">
        <v>0</v>
      </c>
      <c r="I21" s="659"/>
      <c r="J21" s="659">
        <v>0</v>
      </c>
      <c r="K21" s="659">
        <v>0</v>
      </c>
      <c r="M21" s="659">
        <v>0</v>
      </c>
    </row>
    <row r="22" spans="1:13">
      <c r="A22" s="603">
        <v>14</v>
      </c>
      <c r="B22" s="588">
        <v>14</v>
      </c>
      <c r="C22" s="599" t="s">
        <v>3268</v>
      </c>
      <c r="E22" s="660"/>
      <c r="F22" s="660">
        <v>0</v>
      </c>
      <c r="G22" s="660">
        <v>0</v>
      </c>
      <c r="I22" s="660"/>
      <c r="J22" s="660">
        <v>0</v>
      </c>
      <c r="K22" s="660">
        <v>0</v>
      </c>
      <c r="M22" s="660">
        <v>0</v>
      </c>
    </row>
    <row r="23" spans="1:13">
      <c r="A23" s="603">
        <v>15</v>
      </c>
      <c r="B23" s="596">
        <v>15</v>
      </c>
      <c r="C23" s="597" t="s">
        <v>3133</v>
      </c>
      <c r="E23" s="659"/>
      <c r="F23" s="659">
        <v>0</v>
      </c>
      <c r="G23" s="659">
        <v>0</v>
      </c>
      <c r="I23" s="659"/>
      <c r="J23" s="659">
        <v>0</v>
      </c>
      <c r="K23" s="659">
        <v>0</v>
      </c>
      <c r="M23" s="659">
        <v>0</v>
      </c>
    </row>
    <row r="24" spans="1:13">
      <c r="A24" s="603">
        <v>16</v>
      </c>
      <c r="B24" s="588">
        <v>16</v>
      </c>
      <c r="C24" s="599" t="s">
        <v>3136</v>
      </c>
      <c r="E24" s="660"/>
      <c r="F24" s="660">
        <v>0</v>
      </c>
      <c r="G24" s="660">
        <v>0</v>
      </c>
      <c r="I24" s="660"/>
      <c r="J24" s="660">
        <v>0</v>
      </c>
      <c r="K24" s="660">
        <v>0</v>
      </c>
      <c r="M24" s="660">
        <v>0</v>
      </c>
    </row>
    <row r="25" spans="1:13">
      <c r="A25" s="603">
        <v>0</v>
      </c>
      <c r="B25" s="601"/>
      <c r="C25" s="602" t="s">
        <v>3269</v>
      </c>
      <c r="E25" s="658">
        <v>4480619866</v>
      </c>
      <c r="F25" s="658">
        <v>0</v>
      </c>
      <c r="G25" s="658">
        <v>4480619866</v>
      </c>
      <c r="I25" s="658">
        <v>0</v>
      </c>
      <c r="J25" s="658">
        <v>4480619866</v>
      </c>
      <c r="K25" s="658">
        <v>4480619866</v>
      </c>
      <c r="M25" s="658">
        <v>0</v>
      </c>
    </row>
    <row r="26" spans="1:13">
      <c r="A26" s="603">
        <v>17</v>
      </c>
      <c r="B26" s="596">
        <v>17</v>
      </c>
      <c r="C26" s="597" t="s">
        <v>3270</v>
      </c>
      <c r="E26" s="659"/>
      <c r="F26" s="659">
        <v>0</v>
      </c>
      <c r="G26" s="659">
        <v>0</v>
      </c>
      <c r="I26" s="659"/>
      <c r="J26" s="659">
        <v>0</v>
      </c>
      <c r="K26" s="659">
        <v>0</v>
      </c>
      <c r="M26" s="659">
        <v>0</v>
      </c>
    </row>
    <row r="27" spans="1:13">
      <c r="A27" s="603">
        <v>18</v>
      </c>
      <c r="B27" s="588">
        <v>18</v>
      </c>
      <c r="C27" s="599" t="s">
        <v>3141</v>
      </c>
      <c r="E27" s="660">
        <v>700210162</v>
      </c>
      <c r="F27" s="660">
        <v>0</v>
      </c>
      <c r="G27" s="660">
        <v>700210162</v>
      </c>
      <c r="I27" s="660"/>
      <c r="J27" s="660">
        <v>700210162</v>
      </c>
      <c r="K27" s="660">
        <v>700210162</v>
      </c>
      <c r="M27" s="660">
        <v>0</v>
      </c>
    </row>
    <row r="28" spans="1:13">
      <c r="A28" s="603">
        <v>19</v>
      </c>
      <c r="B28" s="596">
        <v>19</v>
      </c>
      <c r="C28" s="597" t="s">
        <v>3144</v>
      </c>
      <c r="E28" s="659"/>
      <c r="F28" s="659">
        <v>0</v>
      </c>
      <c r="G28" s="659">
        <v>0</v>
      </c>
      <c r="I28" s="659"/>
      <c r="J28" s="659">
        <v>0</v>
      </c>
      <c r="K28" s="659">
        <v>0</v>
      </c>
      <c r="M28" s="659">
        <v>0</v>
      </c>
    </row>
    <row r="29" spans="1:13">
      <c r="A29" s="603">
        <v>20</v>
      </c>
      <c r="B29" s="588">
        <v>20</v>
      </c>
      <c r="C29" s="599" t="s">
        <v>3147</v>
      </c>
      <c r="E29" s="660"/>
      <c r="F29" s="660">
        <v>0</v>
      </c>
      <c r="G29" s="660">
        <v>0</v>
      </c>
      <c r="I29" s="660"/>
      <c r="J29" s="660">
        <v>0</v>
      </c>
      <c r="K29" s="660">
        <v>0</v>
      </c>
      <c r="M29" s="660">
        <v>0</v>
      </c>
    </row>
    <row r="30" spans="1:13">
      <c r="A30" s="603">
        <v>21</v>
      </c>
      <c r="B30" s="596">
        <v>21</v>
      </c>
      <c r="C30" s="597" t="s">
        <v>3271</v>
      </c>
      <c r="E30" s="659"/>
      <c r="F30" s="659">
        <v>0</v>
      </c>
      <c r="G30" s="659">
        <v>0</v>
      </c>
      <c r="I30" s="659"/>
      <c r="J30" s="659">
        <v>0</v>
      </c>
      <c r="K30" s="659">
        <v>0</v>
      </c>
      <c r="M30" s="659">
        <v>0</v>
      </c>
    </row>
    <row r="31" spans="1:13">
      <c r="A31" s="603">
        <v>22</v>
      </c>
      <c r="B31" s="588">
        <v>22</v>
      </c>
      <c r="C31" s="599" t="s">
        <v>3272</v>
      </c>
      <c r="E31" s="660"/>
      <c r="F31" s="660">
        <v>0</v>
      </c>
      <c r="G31" s="660">
        <v>0</v>
      </c>
      <c r="I31" s="660"/>
      <c r="J31" s="660">
        <v>0</v>
      </c>
      <c r="K31" s="660">
        <v>0</v>
      </c>
      <c r="M31" s="660">
        <v>0</v>
      </c>
    </row>
    <row r="32" spans="1:13">
      <c r="A32" s="603">
        <v>23</v>
      </c>
      <c r="B32" s="596">
        <v>23</v>
      </c>
      <c r="C32" s="597" t="s">
        <v>3273</v>
      </c>
      <c r="E32" s="659">
        <v>3780409704</v>
      </c>
      <c r="F32" s="659">
        <v>0</v>
      </c>
      <c r="G32" s="659">
        <v>3780409704</v>
      </c>
      <c r="I32" s="659"/>
      <c r="J32" s="659">
        <v>3780409704</v>
      </c>
      <c r="K32" s="659">
        <v>3780409704</v>
      </c>
      <c r="M32" s="659">
        <v>0</v>
      </c>
    </row>
    <row r="33" spans="1:13">
      <c r="A33" s="603">
        <v>24</v>
      </c>
      <c r="B33" s="588">
        <v>24</v>
      </c>
      <c r="C33" s="599" t="s">
        <v>3158</v>
      </c>
      <c r="E33" s="660"/>
      <c r="F33" s="660">
        <v>0</v>
      </c>
      <c r="G33" s="660">
        <v>0</v>
      </c>
      <c r="I33" s="660"/>
      <c r="J33" s="660">
        <v>0</v>
      </c>
      <c r="K33" s="660">
        <v>0</v>
      </c>
      <c r="M33" s="660">
        <v>0</v>
      </c>
    </row>
    <row r="34" spans="1:13" s="604" customFormat="1">
      <c r="A34" s="603">
        <v>25</v>
      </c>
      <c r="B34" s="596">
        <v>25</v>
      </c>
      <c r="C34" s="597" t="s">
        <v>3274</v>
      </c>
      <c r="D34" s="590"/>
      <c r="E34" s="659"/>
      <c r="F34" s="659">
        <v>0</v>
      </c>
      <c r="G34" s="659">
        <v>0</v>
      </c>
      <c r="H34" s="590"/>
      <c r="I34" s="659"/>
      <c r="J34" s="659">
        <v>0</v>
      </c>
      <c r="K34" s="659">
        <v>0</v>
      </c>
      <c r="L34" s="590"/>
      <c r="M34" s="659">
        <v>0</v>
      </c>
    </row>
    <row r="35" spans="1:13">
      <c r="A35" s="603">
        <v>26</v>
      </c>
      <c r="B35" s="588">
        <v>26</v>
      </c>
      <c r="C35" s="599" t="s">
        <v>3275</v>
      </c>
      <c r="E35" s="660"/>
      <c r="F35" s="660">
        <v>0</v>
      </c>
      <c r="G35" s="660">
        <v>0</v>
      </c>
      <c r="I35" s="660"/>
      <c r="J35" s="660">
        <v>0</v>
      </c>
      <c r="K35" s="660">
        <v>0</v>
      </c>
      <c r="M35" s="660">
        <v>0</v>
      </c>
    </row>
    <row r="36" spans="1:13">
      <c r="A36" s="603">
        <v>0</v>
      </c>
      <c r="B36" s="601"/>
      <c r="C36" s="602" t="s">
        <v>3276</v>
      </c>
      <c r="E36" s="658">
        <v>83767655978</v>
      </c>
      <c r="F36" s="658">
        <v>0</v>
      </c>
      <c r="G36" s="658">
        <v>83767655978</v>
      </c>
      <c r="I36" s="658">
        <v>56097000945</v>
      </c>
      <c r="J36" s="658">
        <v>27572695879</v>
      </c>
      <c r="K36" s="658">
        <v>83669696824</v>
      </c>
      <c r="M36" s="658">
        <v>97959154</v>
      </c>
    </row>
    <row r="37" spans="1:13">
      <c r="A37" s="603">
        <v>27</v>
      </c>
      <c r="B37" s="596">
        <v>27</v>
      </c>
      <c r="C37" s="597" t="s">
        <v>3164</v>
      </c>
      <c r="E37" s="659">
        <v>4604076450</v>
      </c>
      <c r="F37" s="659">
        <v>0</v>
      </c>
      <c r="G37" s="659">
        <v>4604076450</v>
      </c>
      <c r="I37" s="659">
        <v>3552753938</v>
      </c>
      <c r="J37" s="659">
        <v>0</v>
      </c>
      <c r="K37" s="659">
        <v>3552753938</v>
      </c>
      <c r="M37" s="659">
        <v>1051322512</v>
      </c>
    </row>
    <row r="38" spans="1:13">
      <c r="A38" s="603">
        <v>28</v>
      </c>
      <c r="B38" s="588">
        <v>28</v>
      </c>
      <c r="C38" s="599" t="s">
        <v>3167</v>
      </c>
      <c r="E38" s="660">
        <v>6406939856</v>
      </c>
      <c r="F38" s="660">
        <v>0</v>
      </c>
      <c r="G38" s="660">
        <v>6406939856</v>
      </c>
      <c r="I38" s="660">
        <v>6547939856</v>
      </c>
      <c r="J38" s="660">
        <v>0</v>
      </c>
      <c r="K38" s="660">
        <v>6547939856</v>
      </c>
      <c r="M38" s="660">
        <v>-141000000</v>
      </c>
    </row>
    <row r="39" spans="1:13">
      <c r="A39" s="603">
        <v>29</v>
      </c>
      <c r="B39" s="596">
        <v>29</v>
      </c>
      <c r="C39" s="597" t="s">
        <v>3170</v>
      </c>
      <c r="E39" s="659">
        <v>14165870891</v>
      </c>
      <c r="F39" s="659">
        <v>0</v>
      </c>
      <c r="G39" s="659">
        <v>14165870891</v>
      </c>
      <c r="I39" s="659"/>
      <c r="J39" s="659">
        <v>14165870891</v>
      </c>
      <c r="K39" s="659">
        <v>14165870891</v>
      </c>
      <c r="M39" s="659">
        <v>0</v>
      </c>
    </row>
    <row r="40" spans="1:13">
      <c r="A40" s="603">
        <v>30</v>
      </c>
      <c r="B40" s="588">
        <v>30</v>
      </c>
      <c r="C40" s="599" t="s">
        <v>3173</v>
      </c>
      <c r="E40" s="660">
        <v>56031664385</v>
      </c>
      <c r="F40" s="660">
        <v>0</v>
      </c>
      <c r="G40" s="660">
        <v>56031664385</v>
      </c>
      <c r="I40" s="660">
        <v>42628648916</v>
      </c>
      <c r="J40" s="660">
        <v>13403015469</v>
      </c>
      <c r="K40" s="660">
        <v>56031664385</v>
      </c>
      <c r="M40" s="660">
        <v>0</v>
      </c>
    </row>
    <row r="41" spans="1:13">
      <c r="A41" s="603">
        <v>31</v>
      </c>
      <c r="B41" s="596">
        <v>31</v>
      </c>
      <c r="C41" s="597" t="s">
        <v>3176</v>
      </c>
      <c r="E41" s="659"/>
      <c r="F41" s="659">
        <v>0</v>
      </c>
      <c r="G41" s="659">
        <v>0</v>
      </c>
      <c r="I41" s="659"/>
      <c r="J41" s="659">
        <v>0</v>
      </c>
      <c r="K41" s="659">
        <v>0</v>
      </c>
      <c r="M41" s="659">
        <v>0</v>
      </c>
    </row>
    <row r="42" spans="1:13">
      <c r="A42" s="603">
        <v>32</v>
      </c>
      <c r="B42" s="588">
        <v>32</v>
      </c>
      <c r="C42" s="599" t="s">
        <v>3178</v>
      </c>
      <c r="E42" s="660">
        <v>2416973413</v>
      </c>
      <c r="F42" s="660">
        <v>0</v>
      </c>
      <c r="G42" s="660">
        <v>2416973413</v>
      </c>
      <c r="I42" s="660">
        <v>2416973413</v>
      </c>
      <c r="J42" s="660">
        <v>0</v>
      </c>
      <c r="K42" s="660">
        <v>2416973413</v>
      </c>
      <c r="M42" s="660">
        <v>0</v>
      </c>
    </row>
    <row r="43" spans="1:13">
      <c r="A43" s="603">
        <v>33</v>
      </c>
      <c r="B43" s="596">
        <v>33</v>
      </c>
      <c r="C43" s="597" t="s">
        <v>3181</v>
      </c>
      <c r="E43" s="659"/>
      <c r="F43" s="659">
        <v>0</v>
      </c>
      <c r="G43" s="659">
        <v>0</v>
      </c>
      <c r="I43" s="659"/>
      <c r="J43" s="659">
        <v>0</v>
      </c>
      <c r="K43" s="659">
        <v>0</v>
      </c>
      <c r="M43" s="659">
        <v>0</v>
      </c>
    </row>
    <row r="44" spans="1:13">
      <c r="A44" s="603">
        <v>34</v>
      </c>
      <c r="B44" s="588">
        <v>34</v>
      </c>
      <c r="C44" s="599" t="s">
        <v>3184</v>
      </c>
      <c r="E44" s="660">
        <v>39714678</v>
      </c>
      <c r="F44" s="660">
        <v>0</v>
      </c>
      <c r="G44" s="660">
        <v>39714678</v>
      </c>
      <c r="I44" s="660">
        <v>355809766</v>
      </c>
      <c r="J44" s="660">
        <v>0</v>
      </c>
      <c r="K44" s="660">
        <v>355809766</v>
      </c>
      <c r="M44" s="660">
        <v>-316095088</v>
      </c>
    </row>
    <row r="45" spans="1:13">
      <c r="A45" s="603">
        <v>35</v>
      </c>
      <c r="B45" s="596">
        <v>35</v>
      </c>
      <c r="C45" s="597" t="s">
        <v>3186</v>
      </c>
      <c r="E45" s="659"/>
      <c r="F45" s="659">
        <v>0</v>
      </c>
      <c r="G45" s="659">
        <v>0</v>
      </c>
      <c r="I45" s="659"/>
      <c r="J45" s="659">
        <v>0</v>
      </c>
      <c r="K45" s="659">
        <v>0</v>
      </c>
      <c r="M45" s="659">
        <v>0</v>
      </c>
    </row>
    <row r="46" spans="1:13">
      <c r="A46" s="603">
        <v>36</v>
      </c>
      <c r="B46" s="588">
        <v>36</v>
      </c>
      <c r="C46" s="599" t="s">
        <v>3189</v>
      </c>
      <c r="E46" s="660"/>
      <c r="F46" s="660">
        <v>0</v>
      </c>
      <c r="G46" s="660">
        <v>0</v>
      </c>
      <c r="I46" s="660"/>
      <c r="J46" s="660">
        <v>0</v>
      </c>
      <c r="K46" s="660">
        <v>0</v>
      </c>
      <c r="M46" s="660">
        <v>0</v>
      </c>
    </row>
    <row r="47" spans="1:13">
      <c r="A47" s="603">
        <v>37</v>
      </c>
      <c r="B47" s="596">
        <v>37</v>
      </c>
      <c r="C47" s="597" t="s">
        <v>3277</v>
      </c>
      <c r="E47" s="659"/>
      <c r="F47" s="659">
        <v>0</v>
      </c>
      <c r="G47" s="659">
        <v>0</v>
      </c>
      <c r="I47" s="659"/>
      <c r="J47" s="659">
        <v>0</v>
      </c>
      <c r="K47" s="659">
        <v>0</v>
      </c>
      <c r="M47" s="659">
        <v>0</v>
      </c>
    </row>
    <row r="48" spans="1:13">
      <c r="A48" s="603">
        <v>38</v>
      </c>
      <c r="B48" s="588">
        <v>38</v>
      </c>
      <c r="C48" s="599" t="s">
        <v>3278</v>
      </c>
      <c r="E48" s="660"/>
      <c r="F48" s="660">
        <v>0</v>
      </c>
      <c r="G48" s="660">
        <v>0</v>
      </c>
      <c r="I48" s="660"/>
      <c r="J48" s="660">
        <v>0</v>
      </c>
      <c r="K48" s="660">
        <v>0</v>
      </c>
      <c r="M48" s="660">
        <v>0</v>
      </c>
    </row>
    <row r="49" spans="1:13">
      <c r="A49" s="603">
        <v>39</v>
      </c>
      <c r="B49" s="596">
        <v>39</v>
      </c>
      <c r="C49" s="597" t="s">
        <v>3195</v>
      </c>
      <c r="E49" s="659">
        <v>102416305</v>
      </c>
      <c r="F49" s="659">
        <v>0</v>
      </c>
      <c r="G49" s="659">
        <v>102416305</v>
      </c>
      <c r="I49" s="659">
        <v>594875056</v>
      </c>
      <c r="J49" s="659">
        <v>3809519</v>
      </c>
      <c r="K49" s="659">
        <v>598684575</v>
      </c>
      <c r="M49" s="659">
        <v>-496268270</v>
      </c>
    </row>
    <row r="50" spans="1:13">
      <c r="A50" s="603">
        <v>40</v>
      </c>
      <c r="B50" s="588">
        <v>40</v>
      </c>
      <c r="C50" s="599" t="s">
        <v>3198</v>
      </c>
      <c r="E50" s="660"/>
      <c r="F50" s="660">
        <v>0</v>
      </c>
      <c r="G50" s="660">
        <v>0</v>
      </c>
      <c r="I50" s="660"/>
      <c r="J50" s="660">
        <v>0</v>
      </c>
      <c r="K50" s="660">
        <v>0</v>
      </c>
      <c r="M50" s="660">
        <v>0</v>
      </c>
    </row>
    <row r="51" spans="1:13">
      <c r="A51" s="603">
        <v>41</v>
      </c>
      <c r="B51" s="596">
        <v>41</v>
      </c>
      <c r="C51" s="597" t="s">
        <v>3279</v>
      </c>
      <c r="E51" s="659"/>
      <c r="F51" s="659">
        <v>0</v>
      </c>
      <c r="G51" s="659">
        <v>0</v>
      </c>
      <c r="I51" s="659"/>
      <c r="J51" s="659">
        <v>0</v>
      </c>
      <c r="K51" s="659">
        <v>0</v>
      </c>
      <c r="M51" s="659">
        <v>0</v>
      </c>
    </row>
    <row r="52" spans="1:13">
      <c r="A52" s="603"/>
      <c r="B52" s="588">
        <v>42</v>
      </c>
      <c r="C52" s="599" t="s">
        <v>3280</v>
      </c>
      <c r="E52" s="660"/>
      <c r="F52" s="660">
        <v>0</v>
      </c>
      <c r="G52" s="660">
        <v>0</v>
      </c>
      <c r="I52" s="660"/>
      <c r="J52" s="660">
        <v>0</v>
      </c>
      <c r="K52" s="660">
        <v>0</v>
      </c>
      <c r="M52" s="660">
        <v>0</v>
      </c>
    </row>
    <row r="53" spans="1:13">
      <c r="A53" s="603">
        <v>0</v>
      </c>
      <c r="B53" s="601"/>
      <c r="C53" s="602" t="s">
        <v>3281</v>
      </c>
      <c r="E53" s="658">
        <v>20706289337</v>
      </c>
      <c r="F53" s="658">
        <v>-6959374646.88978</v>
      </c>
      <c r="G53" s="658">
        <v>13746914690.11022</v>
      </c>
      <c r="I53" s="658">
        <v>14790586394</v>
      </c>
      <c r="J53" s="658">
        <v>1356080521</v>
      </c>
      <c r="K53" s="658">
        <v>16146666915</v>
      </c>
      <c r="M53" s="658">
        <v>-2399752224.88978</v>
      </c>
    </row>
    <row r="54" spans="1:13">
      <c r="A54" s="603">
        <v>43</v>
      </c>
      <c r="B54" s="596">
        <v>43</v>
      </c>
      <c r="C54" s="597" t="s">
        <v>3282</v>
      </c>
      <c r="E54" s="659"/>
      <c r="F54" s="659">
        <v>0</v>
      </c>
      <c r="G54" s="659">
        <v>0</v>
      </c>
      <c r="I54" s="659"/>
      <c r="J54" s="659">
        <v>0</v>
      </c>
      <c r="K54" s="659">
        <v>0</v>
      </c>
      <c r="M54" s="659">
        <v>0</v>
      </c>
    </row>
    <row r="55" spans="1:13">
      <c r="A55" s="603">
        <v>44</v>
      </c>
      <c r="B55" s="588">
        <v>44</v>
      </c>
      <c r="C55" s="599" t="s">
        <v>3283</v>
      </c>
      <c r="E55" s="660"/>
      <c r="F55" s="660">
        <v>0</v>
      </c>
      <c r="G55" s="660">
        <v>0</v>
      </c>
      <c r="I55" s="660"/>
      <c r="J55" s="660">
        <v>0</v>
      </c>
      <c r="K55" s="660">
        <v>0</v>
      </c>
      <c r="M55" s="660">
        <v>0</v>
      </c>
    </row>
    <row r="56" spans="1:13">
      <c r="A56" s="603"/>
      <c r="B56" s="596">
        <v>45</v>
      </c>
      <c r="C56" s="597" t="s">
        <v>3284</v>
      </c>
      <c r="E56" s="659"/>
      <c r="F56" s="659">
        <v>0</v>
      </c>
      <c r="G56" s="659">
        <v>0</v>
      </c>
      <c r="I56" s="659"/>
      <c r="J56" s="659">
        <v>0</v>
      </c>
      <c r="K56" s="659">
        <v>0</v>
      </c>
      <c r="M56" s="659">
        <v>0</v>
      </c>
    </row>
    <row r="57" spans="1:13">
      <c r="A57" s="603"/>
      <c r="B57" s="588">
        <v>46</v>
      </c>
      <c r="C57" s="599" t="s">
        <v>3285</v>
      </c>
      <c r="E57" s="660">
        <v>19350208816</v>
      </c>
      <c r="F57" s="660">
        <v>-6959374646.88978</v>
      </c>
      <c r="G57" s="660">
        <v>12390834169.11022</v>
      </c>
      <c r="I57" s="660">
        <v>14790586394</v>
      </c>
      <c r="J57" s="660">
        <v>0</v>
      </c>
      <c r="K57" s="660">
        <v>14790586394</v>
      </c>
      <c r="M57" s="660">
        <v>-2399752224.88978</v>
      </c>
    </row>
    <row r="58" spans="1:13">
      <c r="A58" s="603"/>
      <c r="B58" s="596">
        <v>47</v>
      </c>
      <c r="C58" s="597" t="s">
        <v>3286</v>
      </c>
      <c r="E58" s="659"/>
      <c r="F58" s="659">
        <v>0</v>
      </c>
      <c r="G58" s="659">
        <v>0</v>
      </c>
      <c r="I58" s="659"/>
      <c r="J58" s="659">
        <v>0</v>
      </c>
      <c r="K58" s="659">
        <v>0</v>
      </c>
      <c r="M58" s="659">
        <v>0</v>
      </c>
    </row>
    <row r="59" spans="1:13">
      <c r="A59" s="603"/>
      <c r="B59" s="588">
        <v>48</v>
      </c>
      <c r="C59" s="599" t="s">
        <v>3287</v>
      </c>
      <c r="E59" s="660"/>
      <c r="F59" s="660">
        <v>0</v>
      </c>
      <c r="G59" s="660">
        <v>0</v>
      </c>
      <c r="I59" s="660"/>
      <c r="J59" s="660">
        <v>0</v>
      </c>
      <c r="K59" s="660">
        <v>0</v>
      </c>
      <c r="M59" s="660">
        <v>0</v>
      </c>
    </row>
    <row r="60" spans="1:13">
      <c r="A60" s="603"/>
      <c r="B60" s="596">
        <v>49</v>
      </c>
      <c r="C60" s="597" t="s">
        <v>3288</v>
      </c>
      <c r="E60" s="659"/>
      <c r="F60" s="659">
        <v>0</v>
      </c>
      <c r="G60" s="659">
        <v>0</v>
      </c>
      <c r="I60" s="659"/>
      <c r="J60" s="659">
        <v>0</v>
      </c>
      <c r="K60" s="659">
        <v>0</v>
      </c>
      <c r="M60" s="659">
        <v>0</v>
      </c>
    </row>
    <row r="61" spans="1:13">
      <c r="A61" s="603"/>
      <c r="B61" s="588">
        <v>50</v>
      </c>
      <c r="C61" s="599" t="s">
        <v>3289</v>
      </c>
      <c r="E61" s="660"/>
      <c r="F61" s="660">
        <v>0</v>
      </c>
      <c r="G61" s="660">
        <v>0</v>
      </c>
      <c r="I61" s="660"/>
      <c r="J61" s="660">
        <v>0</v>
      </c>
      <c r="K61" s="660">
        <v>0</v>
      </c>
      <c r="M61" s="660">
        <v>0</v>
      </c>
    </row>
    <row r="62" spans="1:13">
      <c r="A62" s="603"/>
      <c r="B62" s="596">
        <v>51</v>
      </c>
      <c r="C62" s="597" t="s">
        <v>3218</v>
      </c>
      <c r="E62" s="659">
        <v>1356080521</v>
      </c>
      <c r="F62" s="659">
        <v>0</v>
      </c>
      <c r="G62" s="659">
        <v>1356080521</v>
      </c>
      <c r="I62" s="659"/>
      <c r="J62" s="659">
        <v>1356080521</v>
      </c>
      <c r="K62" s="659">
        <v>1356080521</v>
      </c>
      <c r="M62" s="659">
        <v>0</v>
      </c>
    </row>
    <row r="63" spans="1:13">
      <c r="A63" s="603">
        <v>0</v>
      </c>
      <c r="B63" s="601"/>
      <c r="C63" s="602" t="s">
        <v>3290</v>
      </c>
      <c r="E63" s="658">
        <v>1200349100</v>
      </c>
      <c r="F63" s="658">
        <v>0</v>
      </c>
      <c r="G63" s="658">
        <v>1200349100</v>
      </c>
      <c r="I63" s="658">
        <v>1200349100</v>
      </c>
      <c r="J63" s="658">
        <v>0</v>
      </c>
      <c r="K63" s="658">
        <v>1200349100</v>
      </c>
      <c r="M63" s="658">
        <v>0</v>
      </c>
    </row>
    <row r="64" spans="1:13">
      <c r="A64" s="603">
        <v>52</v>
      </c>
      <c r="B64" s="588">
        <v>52</v>
      </c>
      <c r="C64" s="599" t="s">
        <v>3222</v>
      </c>
      <c r="E64" s="660">
        <v>1200349100</v>
      </c>
      <c r="F64" s="660">
        <v>0</v>
      </c>
      <c r="G64" s="660">
        <v>1200349100</v>
      </c>
      <c r="I64" s="660">
        <v>1200349100</v>
      </c>
      <c r="J64" s="660">
        <v>0</v>
      </c>
      <c r="K64" s="660">
        <v>1200349100</v>
      </c>
      <c r="M64" s="660">
        <v>0</v>
      </c>
    </row>
    <row r="65" spans="1:13">
      <c r="A65" s="603">
        <v>53</v>
      </c>
      <c r="B65" s="596">
        <v>53</v>
      </c>
      <c r="C65" s="597" t="s">
        <v>3225</v>
      </c>
      <c r="E65" s="659"/>
      <c r="F65" s="659">
        <v>0</v>
      </c>
      <c r="G65" s="659">
        <v>0</v>
      </c>
      <c r="I65" s="659"/>
      <c r="J65" s="659">
        <v>0</v>
      </c>
      <c r="K65" s="659">
        <v>0</v>
      </c>
      <c r="M65" s="659">
        <v>0</v>
      </c>
    </row>
    <row r="66" spans="1:13">
      <c r="A66" s="603">
        <v>54</v>
      </c>
      <c r="B66" s="588">
        <v>54</v>
      </c>
      <c r="C66" s="599" t="s">
        <v>3291</v>
      </c>
      <c r="E66" s="660"/>
      <c r="F66" s="660">
        <v>0</v>
      </c>
      <c r="G66" s="660">
        <v>0</v>
      </c>
      <c r="I66" s="660"/>
      <c r="J66" s="660">
        <v>0</v>
      </c>
      <c r="K66" s="660">
        <v>0</v>
      </c>
      <c r="M66" s="660">
        <v>0</v>
      </c>
    </row>
    <row r="67" spans="1:13">
      <c r="A67" s="603"/>
      <c r="B67" s="601"/>
      <c r="C67" s="602" t="s">
        <v>3292</v>
      </c>
      <c r="E67" s="658">
        <v>275334251</v>
      </c>
      <c r="F67" s="658">
        <v>0</v>
      </c>
      <c r="G67" s="658">
        <v>275334251</v>
      </c>
      <c r="I67" s="658">
        <v>278981251</v>
      </c>
      <c r="J67" s="658">
        <v>0</v>
      </c>
      <c r="K67" s="658">
        <v>278981251</v>
      </c>
      <c r="M67" s="658">
        <v>-3647000</v>
      </c>
    </row>
    <row r="68" spans="1:13">
      <c r="A68" s="603"/>
      <c r="B68" s="596">
        <v>55</v>
      </c>
      <c r="C68" s="597" t="s">
        <v>3231</v>
      </c>
      <c r="E68" s="659"/>
      <c r="F68" s="659">
        <v>0</v>
      </c>
      <c r="G68" s="659">
        <v>0</v>
      </c>
      <c r="I68" s="659"/>
      <c r="J68" s="659">
        <v>0</v>
      </c>
      <c r="K68" s="659">
        <v>0</v>
      </c>
      <c r="M68" s="659">
        <v>0</v>
      </c>
    </row>
    <row r="69" spans="1:13">
      <c r="A69" s="603"/>
      <c r="B69" s="588">
        <v>56</v>
      </c>
      <c r="C69" s="599" t="s">
        <v>3293</v>
      </c>
      <c r="E69" s="660">
        <v>275334251</v>
      </c>
      <c r="F69" s="660">
        <v>0</v>
      </c>
      <c r="G69" s="660">
        <v>275334251</v>
      </c>
      <c r="I69" s="660">
        <v>278981251</v>
      </c>
      <c r="J69" s="660">
        <v>0</v>
      </c>
      <c r="K69" s="660">
        <v>278981251</v>
      </c>
      <c r="M69" s="660">
        <v>-3647000</v>
      </c>
    </row>
    <row r="70" spans="1:13">
      <c r="A70" s="603">
        <v>0</v>
      </c>
      <c r="B70" s="601"/>
      <c r="C70" s="602" t="s">
        <v>340</v>
      </c>
      <c r="E70" s="658">
        <v>101160360</v>
      </c>
      <c r="F70" s="658">
        <v>0</v>
      </c>
      <c r="G70" s="658">
        <v>101160360</v>
      </c>
      <c r="I70" s="658">
        <v>101160360</v>
      </c>
      <c r="J70" s="658">
        <v>0</v>
      </c>
      <c r="K70" s="658">
        <v>101160360</v>
      </c>
      <c r="M70" s="658">
        <v>0</v>
      </c>
    </row>
    <row r="71" spans="1:13">
      <c r="A71" s="603">
        <v>57</v>
      </c>
      <c r="B71" s="596">
        <v>57</v>
      </c>
      <c r="C71" s="597" t="s">
        <v>3294</v>
      </c>
      <c r="E71" s="659">
        <v>101160360</v>
      </c>
      <c r="F71" s="659">
        <v>0</v>
      </c>
      <c r="G71" s="659">
        <v>101160360</v>
      </c>
      <c r="I71" s="659">
        <v>101160360</v>
      </c>
      <c r="J71" s="659">
        <v>0</v>
      </c>
      <c r="K71" s="659">
        <v>101160360</v>
      </c>
      <c r="M71" s="659">
        <v>0</v>
      </c>
    </row>
    <row r="72" spans="1:13">
      <c r="A72" s="603">
        <v>0</v>
      </c>
      <c r="B72" s="601"/>
      <c r="C72" s="602" t="s">
        <v>3295</v>
      </c>
      <c r="E72" s="658">
        <v>982516892</v>
      </c>
      <c r="F72" s="658">
        <v>0</v>
      </c>
      <c r="G72" s="658">
        <v>982516892</v>
      </c>
      <c r="I72" s="658">
        <v>982516892</v>
      </c>
      <c r="J72" s="658">
        <v>0</v>
      </c>
      <c r="K72" s="658">
        <v>982516892</v>
      </c>
      <c r="M72" s="658">
        <v>0</v>
      </c>
    </row>
    <row r="73" spans="1:13">
      <c r="A73" s="603">
        <v>58</v>
      </c>
      <c r="B73" s="588">
        <v>58</v>
      </c>
      <c r="C73" s="599" t="s">
        <v>3296</v>
      </c>
      <c r="E73" s="660">
        <v>982516892</v>
      </c>
      <c r="F73" s="660">
        <v>0</v>
      </c>
      <c r="G73" s="660">
        <v>982516892</v>
      </c>
      <c r="I73" s="660">
        <v>982516892</v>
      </c>
      <c r="J73" s="660">
        <v>0</v>
      </c>
      <c r="K73" s="660">
        <v>982516892</v>
      </c>
      <c r="M73" s="660">
        <v>0</v>
      </c>
    </row>
    <row r="74" spans="1:13">
      <c r="A74" s="603"/>
      <c r="B74" s="601"/>
      <c r="C74" s="602" t="s">
        <v>3297</v>
      </c>
      <c r="E74" s="658">
        <v>0</v>
      </c>
      <c r="F74" s="658">
        <v>0</v>
      </c>
      <c r="G74" s="658">
        <v>0</v>
      </c>
      <c r="I74" s="658">
        <v>0</v>
      </c>
      <c r="J74" s="658">
        <v>0</v>
      </c>
      <c r="K74" s="658">
        <v>0</v>
      </c>
      <c r="M74" s="658">
        <v>0</v>
      </c>
    </row>
    <row r="75" spans="1:13">
      <c r="A75" s="603"/>
      <c r="B75" s="588">
        <v>59</v>
      </c>
      <c r="C75" s="599" t="s">
        <v>3298</v>
      </c>
      <c r="E75" s="660"/>
      <c r="F75" s="660">
        <v>0</v>
      </c>
      <c r="G75" s="660">
        <v>0</v>
      </c>
      <c r="I75" s="660"/>
      <c r="J75" s="660">
        <v>0</v>
      </c>
      <c r="K75" s="660">
        <v>0</v>
      </c>
      <c r="M75" s="660"/>
    </row>
    <row r="76" spans="1:13">
      <c r="A76" s="603"/>
      <c r="B76" s="601"/>
      <c r="C76" s="602" t="s">
        <v>3299</v>
      </c>
      <c r="E76" s="658">
        <v>0</v>
      </c>
      <c r="F76" s="658">
        <v>0</v>
      </c>
      <c r="G76" s="658">
        <v>0</v>
      </c>
      <c r="I76" s="658">
        <v>0</v>
      </c>
      <c r="J76" s="658">
        <v>0</v>
      </c>
      <c r="K76" s="658">
        <v>0</v>
      </c>
      <c r="M76" s="658">
        <v>0</v>
      </c>
    </row>
    <row r="77" spans="1:13">
      <c r="A77" s="603"/>
      <c r="B77" s="588">
        <v>60</v>
      </c>
      <c r="C77" s="599" t="s">
        <v>3300</v>
      </c>
      <c r="E77" s="660"/>
      <c r="F77" s="660">
        <v>0</v>
      </c>
      <c r="G77" s="660">
        <v>0</v>
      </c>
      <c r="I77" s="660"/>
      <c r="J77" s="660">
        <v>0</v>
      </c>
      <c r="K77" s="660">
        <v>0</v>
      </c>
      <c r="M77" s="660"/>
    </row>
    <row r="78" spans="1:13">
      <c r="A78" s="603"/>
      <c r="B78" s="601"/>
      <c r="C78" s="602" t="s">
        <v>3301</v>
      </c>
      <c r="E78" s="658">
        <v>676410000</v>
      </c>
      <c r="F78" s="658">
        <v>-640040000</v>
      </c>
      <c r="G78" s="658">
        <v>36370000</v>
      </c>
      <c r="I78" s="658">
        <v>20996063</v>
      </c>
      <c r="J78" s="658">
        <v>0</v>
      </c>
      <c r="K78" s="658">
        <v>20996063</v>
      </c>
      <c r="M78" s="658">
        <v>15373937</v>
      </c>
    </row>
    <row r="79" spans="1:13">
      <c r="A79" s="603"/>
      <c r="B79" s="596">
        <v>61</v>
      </c>
      <c r="C79" s="597" t="s">
        <v>3302</v>
      </c>
      <c r="E79" s="659"/>
      <c r="F79" s="659"/>
      <c r="G79" s="659"/>
      <c r="I79" s="659"/>
      <c r="J79" s="659"/>
      <c r="K79" s="659"/>
      <c r="M79" s="659"/>
    </row>
  </sheetData>
  <mergeCells count="5">
    <mergeCell ref="B3:B4"/>
    <mergeCell ref="C3:C4"/>
    <mergeCell ref="E3:G3"/>
    <mergeCell ref="I3:K3"/>
    <mergeCell ref="M3:M4"/>
  </mergeCells>
  <hyperlinks>
    <hyperlink ref="A1" location="Sommaire!A1" display="Sommaire!A1" xr:uid="{00000000-0004-0000-0E00-000000000000}"/>
  </hyperlinks>
  <pageMargins left="0.7" right="0.7" top="0.75" bottom="0.75" header="0.3" footer="0.3"/>
  <pageSetup paperSize="9"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M79"/>
  <sheetViews>
    <sheetView showGridLines="0" zoomScaleNormal="100" workbookViewId="0">
      <selection activeCell="B1" sqref="B1"/>
    </sheetView>
  </sheetViews>
  <sheetFormatPr baseColWidth="10" defaultColWidth="11.33203125" defaultRowHeight="12"/>
  <cols>
    <col min="1" max="1" width="10.1640625" style="588" bestFit="1" customWidth="1"/>
    <col min="2" max="2" width="19" style="588" bestFit="1" customWidth="1"/>
    <col min="3" max="3" width="54.5" style="605" bestFit="1" customWidth="1"/>
    <col min="4" max="4" width="0.6640625" style="590" customWidth="1"/>
    <col min="5" max="5" width="13.6640625" style="590" bestFit="1" customWidth="1"/>
    <col min="6" max="6" width="10.1640625" style="588" bestFit="1" customWidth="1"/>
    <col min="7" max="7" width="13.6640625" style="590" bestFit="1" customWidth="1"/>
    <col min="8" max="8" width="0.6640625" style="590" customWidth="1"/>
    <col min="9" max="9" width="13.6640625" style="590" bestFit="1" customWidth="1"/>
    <col min="10" max="10" width="10.1640625" style="590" bestFit="1" customWidth="1"/>
    <col min="11" max="11" width="13.6640625" style="590" bestFit="1" customWidth="1"/>
    <col min="12" max="12" width="0.6640625" style="590" customWidth="1"/>
    <col min="13" max="13" width="13.83203125" style="590" bestFit="1" customWidth="1"/>
    <col min="14" max="16384" width="11.33203125" style="590"/>
  </cols>
  <sheetData>
    <row r="1" spans="1:13" ht="24">
      <c r="A1" s="661" t="s">
        <v>140</v>
      </c>
      <c r="C1" s="589" t="s">
        <v>3249</v>
      </c>
      <c r="E1" s="591" t="s">
        <v>195</v>
      </c>
      <c r="F1" s="591" t="s">
        <v>3305</v>
      </c>
      <c r="G1" s="592"/>
      <c r="J1" s="592" t="s">
        <v>3251</v>
      </c>
      <c r="K1" s="592">
        <v>2023</v>
      </c>
    </row>
    <row r="2" spans="1:13">
      <c r="C2" s="593"/>
      <c r="F2" s="590"/>
      <c r="I2" s="590" t="s">
        <v>3252</v>
      </c>
      <c r="J2" s="594">
        <v>604.32574999999997</v>
      </c>
    </row>
    <row r="3" spans="1:13">
      <c r="B3" s="753" t="s">
        <v>143</v>
      </c>
      <c r="C3" s="754" t="s">
        <v>3253</v>
      </c>
      <c r="E3" s="755" t="s">
        <v>2084</v>
      </c>
      <c r="F3" s="755"/>
      <c r="G3" s="755"/>
      <c r="I3" s="755" t="s">
        <v>3254</v>
      </c>
      <c r="J3" s="755"/>
      <c r="K3" s="755"/>
      <c r="M3" s="756" t="s">
        <v>3255</v>
      </c>
    </row>
    <row r="4" spans="1:13">
      <c r="B4" s="753"/>
      <c r="C4" s="754"/>
      <c r="E4" s="595" t="s">
        <v>3256</v>
      </c>
      <c r="F4" s="595" t="s">
        <v>3257</v>
      </c>
      <c r="G4" s="595" t="s">
        <v>3258</v>
      </c>
      <c r="I4" s="595" t="s">
        <v>3256</v>
      </c>
      <c r="J4" s="595" t="s">
        <v>3257</v>
      </c>
      <c r="K4" s="595" t="s">
        <v>3258</v>
      </c>
      <c r="M4" s="756"/>
    </row>
    <row r="5" spans="1:13">
      <c r="B5" s="655" t="s">
        <v>3092</v>
      </c>
      <c r="C5" s="656"/>
      <c r="E5" s="657">
        <v>0</v>
      </c>
      <c r="F5" s="657">
        <v>0</v>
      </c>
      <c r="G5" s="657">
        <v>0</v>
      </c>
      <c r="I5" s="657">
        <v>0</v>
      </c>
      <c r="J5" s="657">
        <v>0</v>
      </c>
      <c r="K5" s="657">
        <v>0</v>
      </c>
      <c r="M5" s="657">
        <v>0</v>
      </c>
    </row>
    <row r="6" spans="1:13">
      <c r="B6" s="596">
        <v>1</v>
      </c>
      <c r="C6" s="597" t="s">
        <v>3259</v>
      </c>
      <c r="E6" s="598"/>
      <c r="F6" s="598">
        <v>0</v>
      </c>
      <c r="G6" s="598">
        <v>0</v>
      </c>
      <c r="I6" s="598"/>
      <c r="J6" s="598">
        <v>0</v>
      </c>
      <c r="K6" s="598">
        <v>0</v>
      </c>
      <c r="M6" s="598">
        <v>0</v>
      </c>
    </row>
    <row r="7" spans="1:13">
      <c r="B7" s="588">
        <v>2</v>
      </c>
      <c r="C7" s="599" t="s">
        <v>3260</v>
      </c>
      <c r="E7" s="600"/>
      <c r="F7" s="600">
        <v>0</v>
      </c>
      <c r="G7" s="600">
        <v>0</v>
      </c>
      <c r="I7" s="600"/>
      <c r="J7" s="600">
        <v>0</v>
      </c>
      <c r="K7" s="600">
        <v>0</v>
      </c>
      <c r="M7" s="600">
        <v>0</v>
      </c>
    </row>
    <row r="8" spans="1:13">
      <c r="B8" s="655" t="s">
        <v>3101</v>
      </c>
      <c r="C8" s="656"/>
      <c r="E8" s="657">
        <v>45016868980</v>
      </c>
      <c r="F8" s="657">
        <v>0</v>
      </c>
      <c r="G8" s="657">
        <v>45016868980</v>
      </c>
      <c r="I8" s="657">
        <v>44277452397</v>
      </c>
      <c r="J8" s="657">
        <v>0</v>
      </c>
      <c r="K8" s="657">
        <v>44277452397</v>
      </c>
      <c r="M8" s="657">
        <v>739416583</v>
      </c>
    </row>
    <row r="9" spans="1:13">
      <c r="B9" s="601"/>
      <c r="C9" s="602" t="s">
        <v>1244</v>
      </c>
      <c r="E9" s="658">
        <v>0</v>
      </c>
      <c r="F9" s="658">
        <v>0</v>
      </c>
      <c r="G9" s="658">
        <v>0</v>
      </c>
      <c r="I9" s="658">
        <v>0</v>
      </c>
      <c r="J9" s="658">
        <v>0</v>
      </c>
      <c r="K9" s="658">
        <v>0</v>
      </c>
      <c r="M9" s="658">
        <v>0</v>
      </c>
    </row>
    <row r="10" spans="1:13">
      <c r="A10" s="603">
        <v>3</v>
      </c>
      <c r="B10" s="596">
        <v>3</v>
      </c>
      <c r="C10" s="597" t="s">
        <v>3261</v>
      </c>
      <c r="E10" s="659"/>
      <c r="F10" s="659">
        <v>0</v>
      </c>
      <c r="G10" s="659">
        <v>0</v>
      </c>
      <c r="I10" s="659"/>
      <c r="J10" s="659">
        <v>0</v>
      </c>
      <c r="K10" s="659">
        <v>0</v>
      </c>
      <c r="M10" s="659">
        <v>0</v>
      </c>
    </row>
    <row r="11" spans="1:13">
      <c r="A11" s="603">
        <v>4</v>
      </c>
      <c r="B11" s="588">
        <v>4</v>
      </c>
      <c r="C11" s="599" t="s">
        <v>3106</v>
      </c>
      <c r="E11" s="660"/>
      <c r="F11" s="660">
        <v>0</v>
      </c>
      <c r="G11" s="660">
        <v>0</v>
      </c>
      <c r="I11" s="660"/>
      <c r="J11" s="660">
        <v>0</v>
      </c>
      <c r="K11" s="660">
        <v>0</v>
      </c>
      <c r="M11" s="660">
        <v>0</v>
      </c>
    </row>
    <row r="12" spans="1:13">
      <c r="A12" s="603">
        <v>5</v>
      </c>
      <c r="B12" s="596">
        <v>5</v>
      </c>
      <c r="C12" s="597" t="s">
        <v>3262</v>
      </c>
      <c r="E12" s="659"/>
      <c r="F12" s="659">
        <v>0</v>
      </c>
      <c r="G12" s="659">
        <v>0</v>
      </c>
      <c r="I12" s="659"/>
      <c r="J12" s="659">
        <v>0</v>
      </c>
      <c r="K12" s="659">
        <v>0</v>
      </c>
      <c r="M12" s="659">
        <v>0</v>
      </c>
    </row>
    <row r="13" spans="1:13">
      <c r="A13" s="603">
        <v>6</v>
      </c>
      <c r="B13" s="588">
        <v>6</v>
      </c>
      <c r="C13" s="599" t="s">
        <v>3263</v>
      </c>
      <c r="E13" s="660"/>
      <c r="F13" s="660">
        <v>0</v>
      </c>
      <c r="G13" s="660">
        <v>0</v>
      </c>
      <c r="I13" s="660"/>
      <c r="J13" s="660">
        <v>0</v>
      </c>
      <c r="K13" s="660">
        <v>0</v>
      </c>
      <c r="M13" s="660">
        <v>0</v>
      </c>
    </row>
    <row r="14" spans="1:13">
      <c r="A14" s="603">
        <v>7</v>
      </c>
      <c r="B14" s="596">
        <v>7</v>
      </c>
      <c r="C14" s="597" t="s">
        <v>3114</v>
      </c>
      <c r="E14" s="659"/>
      <c r="F14" s="659">
        <v>0</v>
      </c>
      <c r="G14" s="659">
        <v>0</v>
      </c>
      <c r="I14" s="659"/>
      <c r="J14" s="659">
        <v>0</v>
      </c>
      <c r="K14" s="659">
        <v>0</v>
      </c>
      <c r="M14" s="659">
        <v>0</v>
      </c>
    </row>
    <row r="15" spans="1:13">
      <c r="A15" s="603">
        <v>0</v>
      </c>
      <c r="B15" s="601"/>
      <c r="C15" s="602" t="s">
        <v>1253</v>
      </c>
      <c r="E15" s="658">
        <v>0</v>
      </c>
      <c r="F15" s="658">
        <v>0</v>
      </c>
      <c r="G15" s="658">
        <v>0</v>
      </c>
      <c r="I15" s="658">
        <v>0</v>
      </c>
      <c r="J15" s="658">
        <v>0</v>
      </c>
      <c r="K15" s="658">
        <v>0</v>
      </c>
      <c r="M15" s="658">
        <v>0</v>
      </c>
    </row>
    <row r="16" spans="1:13">
      <c r="A16" s="603">
        <v>8</v>
      </c>
      <c r="B16" s="588">
        <v>8</v>
      </c>
      <c r="C16" s="599" t="s">
        <v>3264</v>
      </c>
      <c r="E16" s="660"/>
      <c r="F16" s="660">
        <v>0</v>
      </c>
      <c r="G16" s="660">
        <v>0</v>
      </c>
      <c r="I16" s="660"/>
      <c r="J16" s="660">
        <v>0</v>
      </c>
      <c r="K16" s="660">
        <v>0</v>
      </c>
      <c r="M16" s="660">
        <v>0</v>
      </c>
    </row>
    <row r="17" spans="1:13">
      <c r="A17" s="603">
        <v>9</v>
      </c>
      <c r="B17" s="596">
        <v>9</v>
      </c>
      <c r="C17" s="597" t="s">
        <v>3265</v>
      </c>
      <c r="E17" s="659"/>
      <c r="F17" s="659">
        <v>0</v>
      </c>
      <c r="G17" s="659">
        <v>0</v>
      </c>
      <c r="I17" s="659"/>
      <c r="J17" s="659">
        <v>0</v>
      </c>
      <c r="K17" s="659">
        <v>0</v>
      </c>
      <c r="M17" s="659">
        <v>0</v>
      </c>
    </row>
    <row r="18" spans="1:13">
      <c r="A18" s="603"/>
      <c r="B18" s="588">
        <v>10</v>
      </c>
      <c r="C18" s="599" t="s">
        <v>3122</v>
      </c>
      <c r="E18" s="660"/>
      <c r="F18" s="660">
        <v>0</v>
      </c>
      <c r="G18" s="660">
        <v>0</v>
      </c>
      <c r="I18" s="660"/>
      <c r="J18" s="660">
        <v>0</v>
      </c>
      <c r="K18" s="660">
        <v>0</v>
      </c>
      <c r="M18" s="660">
        <v>0</v>
      </c>
    </row>
    <row r="19" spans="1:13">
      <c r="A19" s="603">
        <v>11</v>
      </c>
      <c r="B19" s="596">
        <v>11</v>
      </c>
      <c r="C19" s="597" t="s">
        <v>3124</v>
      </c>
      <c r="E19" s="659"/>
      <c r="F19" s="659">
        <v>0</v>
      </c>
      <c r="G19" s="659">
        <v>0</v>
      </c>
      <c r="I19" s="659"/>
      <c r="J19" s="659">
        <v>0</v>
      </c>
      <c r="K19" s="659">
        <v>0</v>
      </c>
      <c r="M19" s="659">
        <v>0</v>
      </c>
    </row>
    <row r="20" spans="1:13">
      <c r="A20" s="603">
        <v>12</v>
      </c>
      <c r="B20" s="588">
        <v>12</v>
      </c>
      <c r="C20" s="599" t="s">
        <v>3266</v>
      </c>
      <c r="E20" s="660"/>
      <c r="F20" s="660">
        <v>0</v>
      </c>
      <c r="G20" s="660">
        <v>0</v>
      </c>
      <c r="I20" s="660"/>
      <c r="J20" s="660">
        <v>0</v>
      </c>
      <c r="K20" s="660">
        <v>0</v>
      </c>
      <c r="M20" s="660">
        <v>0</v>
      </c>
    </row>
    <row r="21" spans="1:13">
      <c r="A21" s="603">
        <v>13</v>
      </c>
      <c r="B21" s="596">
        <v>13</v>
      </c>
      <c r="C21" s="597" t="s">
        <v>3267</v>
      </c>
      <c r="E21" s="659"/>
      <c r="F21" s="659">
        <v>0</v>
      </c>
      <c r="G21" s="659">
        <v>0</v>
      </c>
      <c r="I21" s="659"/>
      <c r="J21" s="659">
        <v>0</v>
      </c>
      <c r="K21" s="659">
        <v>0</v>
      </c>
      <c r="M21" s="659">
        <v>0</v>
      </c>
    </row>
    <row r="22" spans="1:13">
      <c r="A22" s="603">
        <v>14</v>
      </c>
      <c r="B22" s="588">
        <v>14</v>
      </c>
      <c r="C22" s="599" t="s">
        <v>3268</v>
      </c>
      <c r="E22" s="660"/>
      <c r="F22" s="660">
        <v>0</v>
      </c>
      <c r="G22" s="660">
        <v>0</v>
      </c>
      <c r="I22" s="660"/>
      <c r="J22" s="660">
        <v>0</v>
      </c>
      <c r="K22" s="660">
        <v>0</v>
      </c>
      <c r="M22" s="660">
        <v>0</v>
      </c>
    </row>
    <row r="23" spans="1:13">
      <c r="A23" s="603">
        <v>15</v>
      </c>
      <c r="B23" s="596">
        <v>15</v>
      </c>
      <c r="C23" s="597" t="s">
        <v>3133</v>
      </c>
      <c r="E23" s="659"/>
      <c r="F23" s="659">
        <v>0</v>
      </c>
      <c r="G23" s="659">
        <v>0</v>
      </c>
      <c r="I23" s="659"/>
      <c r="J23" s="659">
        <v>0</v>
      </c>
      <c r="K23" s="659">
        <v>0</v>
      </c>
      <c r="M23" s="659">
        <v>0</v>
      </c>
    </row>
    <row r="24" spans="1:13">
      <c r="A24" s="603">
        <v>16</v>
      </c>
      <c r="B24" s="588">
        <v>16</v>
      </c>
      <c r="C24" s="599" t="s">
        <v>3136</v>
      </c>
      <c r="E24" s="660"/>
      <c r="F24" s="660">
        <v>0</v>
      </c>
      <c r="G24" s="660">
        <v>0</v>
      </c>
      <c r="I24" s="660"/>
      <c r="J24" s="660">
        <v>0</v>
      </c>
      <c r="K24" s="660">
        <v>0</v>
      </c>
      <c r="M24" s="660">
        <v>0</v>
      </c>
    </row>
    <row r="25" spans="1:13">
      <c r="A25" s="603">
        <v>0</v>
      </c>
      <c r="B25" s="601"/>
      <c r="C25" s="602" t="s">
        <v>3269</v>
      </c>
      <c r="E25" s="658">
        <v>0</v>
      </c>
      <c r="F25" s="658">
        <v>0</v>
      </c>
      <c r="G25" s="658">
        <v>0</v>
      </c>
      <c r="I25" s="658">
        <v>0</v>
      </c>
      <c r="J25" s="658">
        <v>0</v>
      </c>
      <c r="K25" s="658">
        <v>0</v>
      </c>
      <c r="M25" s="658">
        <v>0</v>
      </c>
    </row>
    <row r="26" spans="1:13">
      <c r="A26" s="603">
        <v>17</v>
      </c>
      <c r="B26" s="596">
        <v>17</v>
      </c>
      <c r="C26" s="597" t="s">
        <v>3270</v>
      </c>
      <c r="E26" s="659"/>
      <c r="F26" s="659">
        <v>0</v>
      </c>
      <c r="G26" s="659">
        <v>0</v>
      </c>
      <c r="I26" s="659"/>
      <c r="J26" s="659">
        <v>0</v>
      </c>
      <c r="K26" s="659">
        <v>0</v>
      </c>
      <c r="M26" s="659">
        <v>0</v>
      </c>
    </row>
    <row r="27" spans="1:13">
      <c r="A27" s="603">
        <v>18</v>
      </c>
      <c r="B27" s="588">
        <v>18</v>
      </c>
      <c r="C27" s="599" t="s">
        <v>3141</v>
      </c>
      <c r="E27" s="660"/>
      <c r="F27" s="660">
        <v>0</v>
      </c>
      <c r="G27" s="660">
        <v>0</v>
      </c>
      <c r="I27" s="660"/>
      <c r="J27" s="660">
        <v>0</v>
      </c>
      <c r="K27" s="660">
        <v>0</v>
      </c>
      <c r="M27" s="660">
        <v>0</v>
      </c>
    </row>
    <row r="28" spans="1:13">
      <c r="A28" s="603">
        <v>19</v>
      </c>
      <c r="B28" s="596">
        <v>19</v>
      </c>
      <c r="C28" s="597" t="s">
        <v>3144</v>
      </c>
      <c r="E28" s="659"/>
      <c r="F28" s="659">
        <v>0</v>
      </c>
      <c r="G28" s="659">
        <v>0</v>
      </c>
      <c r="I28" s="659"/>
      <c r="J28" s="659">
        <v>0</v>
      </c>
      <c r="K28" s="659">
        <v>0</v>
      </c>
      <c r="M28" s="659">
        <v>0</v>
      </c>
    </row>
    <row r="29" spans="1:13">
      <c r="A29" s="603">
        <v>20</v>
      </c>
      <c r="B29" s="588">
        <v>20</v>
      </c>
      <c r="C29" s="599" t="s">
        <v>3147</v>
      </c>
      <c r="E29" s="660"/>
      <c r="F29" s="660">
        <v>0</v>
      </c>
      <c r="G29" s="660">
        <v>0</v>
      </c>
      <c r="I29" s="660"/>
      <c r="J29" s="660">
        <v>0</v>
      </c>
      <c r="K29" s="660">
        <v>0</v>
      </c>
      <c r="M29" s="660">
        <v>0</v>
      </c>
    </row>
    <row r="30" spans="1:13">
      <c r="A30" s="603">
        <v>21</v>
      </c>
      <c r="B30" s="596">
        <v>21</v>
      </c>
      <c r="C30" s="597" t="s">
        <v>3271</v>
      </c>
      <c r="E30" s="659"/>
      <c r="F30" s="659">
        <v>0</v>
      </c>
      <c r="G30" s="659">
        <v>0</v>
      </c>
      <c r="I30" s="659"/>
      <c r="J30" s="659">
        <v>0</v>
      </c>
      <c r="K30" s="659">
        <v>0</v>
      </c>
      <c r="M30" s="659">
        <v>0</v>
      </c>
    </row>
    <row r="31" spans="1:13">
      <c r="A31" s="603">
        <v>22</v>
      </c>
      <c r="B31" s="588">
        <v>22</v>
      </c>
      <c r="C31" s="599" t="s">
        <v>3272</v>
      </c>
      <c r="E31" s="660"/>
      <c r="F31" s="660">
        <v>0</v>
      </c>
      <c r="G31" s="660">
        <v>0</v>
      </c>
      <c r="I31" s="660"/>
      <c r="J31" s="660">
        <v>0</v>
      </c>
      <c r="K31" s="660">
        <v>0</v>
      </c>
      <c r="M31" s="660">
        <v>0</v>
      </c>
    </row>
    <row r="32" spans="1:13">
      <c r="A32" s="603">
        <v>23</v>
      </c>
      <c r="B32" s="596">
        <v>23</v>
      </c>
      <c r="C32" s="597" t="s">
        <v>3273</v>
      </c>
      <c r="E32" s="659"/>
      <c r="F32" s="659">
        <v>0</v>
      </c>
      <c r="G32" s="659">
        <v>0</v>
      </c>
      <c r="I32" s="659"/>
      <c r="J32" s="659">
        <v>0</v>
      </c>
      <c r="K32" s="659">
        <v>0</v>
      </c>
      <c r="M32" s="659">
        <v>0</v>
      </c>
    </row>
    <row r="33" spans="1:13">
      <c r="A33" s="603">
        <v>24</v>
      </c>
      <c r="B33" s="588">
        <v>24</v>
      </c>
      <c r="C33" s="599" t="s">
        <v>3158</v>
      </c>
      <c r="E33" s="660"/>
      <c r="F33" s="660">
        <v>0</v>
      </c>
      <c r="G33" s="660">
        <v>0</v>
      </c>
      <c r="I33" s="660"/>
      <c r="J33" s="660">
        <v>0</v>
      </c>
      <c r="K33" s="660">
        <v>0</v>
      </c>
      <c r="M33" s="660">
        <v>0</v>
      </c>
    </row>
    <row r="34" spans="1:13" s="604" customFormat="1">
      <c r="A34" s="603">
        <v>25</v>
      </c>
      <c r="B34" s="596">
        <v>25</v>
      </c>
      <c r="C34" s="597" t="s">
        <v>3274</v>
      </c>
      <c r="D34" s="590"/>
      <c r="E34" s="659"/>
      <c r="F34" s="659">
        <v>0</v>
      </c>
      <c r="G34" s="659">
        <v>0</v>
      </c>
      <c r="H34" s="590"/>
      <c r="I34" s="659"/>
      <c r="J34" s="659">
        <v>0</v>
      </c>
      <c r="K34" s="659">
        <v>0</v>
      </c>
      <c r="L34" s="590"/>
      <c r="M34" s="659">
        <v>0</v>
      </c>
    </row>
    <row r="35" spans="1:13">
      <c r="A35" s="603">
        <v>26</v>
      </c>
      <c r="B35" s="588">
        <v>26</v>
      </c>
      <c r="C35" s="599" t="s">
        <v>3275</v>
      </c>
      <c r="E35" s="660"/>
      <c r="F35" s="660">
        <v>0</v>
      </c>
      <c r="G35" s="660">
        <v>0</v>
      </c>
      <c r="I35" s="660"/>
      <c r="J35" s="660">
        <v>0</v>
      </c>
      <c r="K35" s="660">
        <v>0</v>
      </c>
      <c r="M35" s="660">
        <v>0</v>
      </c>
    </row>
    <row r="36" spans="1:13">
      <c r="A36" s="603">
        <v>0</v>
      </c>
      <c r="B36" s="601"/>
      <c r="C36" s="602" t="s">
        <v>3276</v>
      </c>
      <c r="E36" s="658">
        <v>37393163725</v>
      </c>
      <c r="F36" s="658">
        <v>0</v>
      </c>
      <c r="G36" s="658">
        <v>37393163725</v>
      </c>
      <c r="I36" s="658">
        <v>37375646035</v>
      </c>
      <c r="J36" s="658">
        <v>0</v>
      </c>
      <c r="K36" s="658">
        <v>37375646035</v>
      </c>
      <c r="M36" s="658">
        <v>17517690</v>
      </c>
    </row>
    <row r="37" spans="1:13">
      <c r="A37" s="603">
        <v>27</v>
      </c>
      <c r="B37" s="596">
        <v>27</v>
      </c>
      <c r="C37" s="597" t="s">
        <v>3164</v>
      </c>
      <c r="E37" s="659">
        <v>19497616234</v>
      </c>
      <c r="F37" s="659">
        <v>0</v>
      </c>
      <c r="G37" s="659">
        <v>19497616234</v>
      </c>
      <c r="I37" s="659">
        <v>19497616234</v>
      </c>
      <c r="J37" s="659">
        <v>0</v>
      </c>
      <c r="K37" s="659">
        <v>19497616234</v>
      </c>
      <c r="M37" s="659">
        <v>0</v>
      </c>
    </row>
    <row r="38" spans="1:13">
      <c r="A38" s="603">
        <v>28</v>
      </c>
      <c r="B38" s="588">
        <v>28</v>
      </c>
      <c r="C38" s="599" t="s">
        <v>3167</v>
      </c>
      <c r="E38" s="660">
        <v>2180321830</v>
      </c>
      <c r="F38" s="660">
        <v>0</v>
      </c>
      <c r="G38" s="660">
        <v>2180321830</v>
      </c>
      <c r="I38" s="660">
        <v>2180321830</v>
      </c>
      <c r="J38" s="660">
        <v>0</v>
      </c>
      <c r="K38" s="660">
        <v>2180321830</v>
      </c>
      <c r="M38" s="660">
        <v>0</v>
      </c>
    </row>
    <row r="39" spans="1:13">
      <c r="A39" s="603">
        <v>29</v>
      </c>
      <c r="B39" s="596">
        <v>29</v>
      </c>
      <c r="C39" s="597" t="s">
        <v>3170</v>
      </c>
      <c r="E39" s="659">
        <v>2500000000</v>
      </c>
      <c r="F39" s="659">
        <v>0</v>
      </c>
      <c r="G39" s="659">
        <v>2500000000</v>
      </c>
      <c r="I39" s="659">
        <v>2500000000</v>
      </c>
      <c r="J39" s="659">
        <v>0</v>
      </c>
      <c r="K39" s="659">
        <v>2500000000</v>
      </c>
      <c r="M39" s="659">
        <v>0</v>
      </c>
    </row>
    <row r="40" spans="1:13">
      <c r="A40" s="603">
        <v>30</v>
      </c>
      <c r="B40" s="588">
        <v>30</v>
      </c>
      <c r="C40" s="599" t="s">
        <v>3173</v>
      </c>
      <c r="E40" s="660"/>
      <c r="F40" s="660">
        <v>0</v>
      </c>
      <c r="G40" s="660">
        <v>0</v>
      </c>
      <c r="I40" s="660"/>
      <c r="J40" s="660">
        <v>0</v>
      </c>
      <c r="K40" s="660">
        <v>0</v>
      </c>
      <c r="M40" s="660">
        <v>0</v>
      </c>
    </row>
    <row r="41" spans="1:13">
      <c r="A41" s="603">
        <v>31</v>
      </c>
      <c r="B41" s="596">
        <v>31</v>
      </c>
      <c r="C41" s="597" t="s">
        <v>3176</v>
      </c>
      <c r="E41" s="659"/>
      <c r="F41" s="659">
        <v>0</v>
      </c>
      <c r="G41" s="659">
        <v>0</v>
      </c>
      <c r="I41" s="659"/>
      <c r="J41" s="659">
        <v>0</v>
      </c>
      <c r="K41" s="659">
        <v>0</v>
      </c>
      <c r="M41" s="659">
        <v>0</v>
      </c>
    </row>
    <row r="42" spans="1:13">
      <c r="A42" s="603">
        <v>32</v>
      </c>
      <c r="B42" s="588">
        <v>32</v>
      </c>
      <c r="C42" s="599" t="s">
        <v>3178</v>
      </c>
      <c r="E42" s="660"/>
      <c r="F42" s="660">
        <v>0</v>
      </c>
      <c r="G42" s="660">
        <v>0</v>
      </c>
      <c r="I42" s="660"/>
      <c r="J42" s="660">
        <v>0</v>
      </c>
      <c r="K42" s="660">
        <v>0</v>
      </c>
      <c r="M42" s="660">
        <v>0</v>
      </c>
    </row>
    <row r="43" spans="1:13">
      <c r="A43" s="603">
        <v>33</v>
      </c>
      <c r="B43" s="596">
        <v>33</v>
      </c>
      <c r="C43" s="597" t="s">
        <v>3181</v>
      </c>
      <c r="E43" s="659"/>
      <c r="F43" s="659">
        <v>0</v>
      </c>
      <c r="G43" s="659">
        <v>0</v>
      </c>
      <c r="I43" s="659"/>
      <c r="J43" s="659">
        <v>0</v>
      </c>
      <c r="K43" s="659">
        <v>0</v>
      </c>
      <c r="M43" s="659">
        <v>0</v>
      </c>
    </row>
    <row r="44" spans="1:13">
      <c r="A44" s="603">
        <v>34</v>
      </c>
      <c r="B44" s="588">
        <v>34</v>
      </c>
      <c r="C44" s="599" t="s">
        <v>3184</v>
      </c>
      <c r="E44" s="660">
        <v>5724671</v>
      </c>
      <c r="F44" s="660">
        <v>0</v>
      </c>
      <c r="G44" s="660">
        <v>5724671</v>
      </c>
      <c r="I44" s="660">
        <v>5724671</v>
      </c>
      <c r="J44" s="660">
        <v>0</v>
      </c>
      <c r="K44" s="660">
        <v>5724671</v>
      </c>
      <c r="M44" s="660">
        <v>0</v>
      </c>
    </row>
    <row r="45" spans="1:13">
      <c r="A45" s="603">
        <v>35</v>
      </c>
      <c r="B45" s="596">
        <v>35</v>
      </c>
      <c r="C45" s="597" t="s">
        <v>3186</v>
      </c>
      <c r="E45" s="659"/>
      <c r="F45" s="659">
        <v>0</v>
      </c>
      <c r="G45" s="659">
        <v>0</v>
      </c>
      <c r="I45" s="659"/>
      <c r="J45" s="659">
        <v>0</v>
      </c>
      <c r="K45" s="659">
        <v>0</v>
      </c>
      <c r="M45" s="659">
        <v>0</v>
      </c>
    </row>
    <row r="46" spans="1:13">
      <c r="A46" s="603">
        <v>36</v>
      </c>
      <c r="B46" s="588">
        <v>36</v>
      </c>
      <c r="C46" s="599" t="s">
        <v>3189</v>
      </c>
      <c r="E46" s="660"/>
      <c r="F46" s="660">
        <v>0</v>
      </c>
      <c r="G46" s="660">
        <v>0</v>
      </c>
      <c r="I46" s="660"/>
      <c r="J46" s="660">
        <v>0</v>
      </c>
      <c r="K46" s="660">
        <v>0</v>
      </c>
      <c r="M46" s="660">
        <v>0</v>
      </c>
    </row>
    <row r="47" spans="1:13">
      <c r="A47" s="603">
        <v>37</v>
      </c>
      <c r="B47" s="596">
        <v>37</v>
      </c>
      <c r="C47" s="597" t="s">
        <v>3277</v>
      </c>
      <c r="E47" s="659"/>
      <c r="F47" s="659">
        <v>0</v>
      </c>
      <c r="G47" s="659">
        <v>0</v>
      </c>
      <c r="I47" s="659"/>
      <c r="J47" s="659">
        <v>0</v>
      </c>
      <c r="K47" s="659">
        <v>0</v>
      </c>
      <c r="M47" s="659">
        <v>0</v>
      </c>
    </row>
    <row r="48" spans="1:13">
      <c r="A48" s="603">
        <v>38</v>
      </c>
      <c r="B48" s="588">
        <v>38</v>
      </c>
      <c r="C48" s="599" t="s">
        <v>3278</v>
      </c>
      <c r="E48" s="660"/>
      <c r="F48" s="660">
        <v>0</v>
      </c>
      <c r="G48" s="660">
        <v>0</v>
      </c>
      <c r="I48" s="660"/>
      <c r="J48" s="660">
        <v>0</v>
      </c>
      <c r="K48" s="660">
        <v>0</v>
      </c>
      <c r="M48" s="660">
        <v>0</v>
      </c>
    </row>
    <row r="49" spans="1:13">
      <c r="A49" s="603">
        <v>39</v>
      </c>
      <c r="B49" s="596">
        <v>39</v>
      </c>
      <c r="C49" s="597" t="s">
        <v>3195</v>
      </c>
      <c r="E49" s="659">
        <v>17517690</v>
      </c>
      <c r="F49" s="659">
        <v>0</v>
      </c>
      <c r="G49" s="659">
        <v>17517690</v>
      </c>
      <c r="I49" s="659"/>
      <c r="J49" s="659">
        <v>0</v>
      </c>
      <c r="K49" s="659">
        <v>0</v>
      </c>
      <c r="M49" s="659">
        <v>17517690</v>
      </c>
    </row>
    <row r="50" spans="1:13">
      <c r="A50" s="603">
        <v>40</v>
      </c>
      <c r="B50" s="588">
        <v>40</v>
      </c>
      <c r="C50" s="599" t="s">
        <v>3198</v>
      </c>
      <c r="E50" s="660">
        <v>7915189980</v>
      </c>
      <c r="F50" s="660">
        <v>0</v>
      </c>
      <c r="G50" s="660">
        <v>7915189980</v>
      </c>
      <c r="I50" s="660">
        <v>7915189980</v>
      </c>
      <c r="J50" s="660">
        <v>0</v>
      </c>
      <c r="K50" s="660">
        <v>7915189980</v>
      </c>
      <c r="M50" s="660">
        <v>0</v>
      </c>
    </row>
    <row r="51" spans="1:13">
      <c r="A51" s="603">
        <v>41</v>
      </c>
      <c r="B51" s="596">
        <v>41</v>
      </c>
      <c r="C51" s="597" t="s">
        <v>3279</v>
      </c>
      <c r="E51" s="659"/>
      <c r="F51" s="659">
        <v>0</v>
      </c>
      <c r="G51" s="659">
        <v>0</v>
      </c>
      <c r="I51" s="659"/>
      <c r="J51" s="659">
        <v>0</v>
      </c>
      <c r="K51" s="659">
        <v>0</v>
      </c>
      <c r="M51" s="659">
        <v>0</v>
      </c>
    </row>
    <row r="52" spans="1:13">
      <c r="A52" s="603"/>
      <c r="B52" s="588">
        <v>42</v>
      </c>
      <c r="C52" s="599" t="s">
        <v>3280</v>
      </c>
      <c r="E52" s="660">
        <v>5276793320</v>
      </c>
      <c r="F52" s="660">
        <v>0</v>
      </c>
      <c r="G52" s="660">
        <v>5276793320</v>
      </c>
      <c r="I52" s="660">
        <v>5276793320</v>
      </c>
      <c r="J52" s="660">
        <v>0</v>
      </c>
      <c r="K52" s="660">
        <v>5276793320</v>
      </c>
      <c r="M52" s="660">
        <v>0</v>
      </c>
    </row>
    <row r="53" spans="1:13">
      <c r="A53" s="603">
        <v>0</v>
      </c>
      <c r="B53" s="601"/>
      <c r="C53" s="602" t="s">
        <v>3281</v>
      </c>
      <c r="E53" s="658">
        <v>6833568239</v>
      </c>
      <c r="F53" s="658">
        <v>0</v>
      </c>
      <c r="G53" s="658">
        <v>6833568239</v>
      </c>
      <c r="I53" s="658">
        <v>6110366523</v>
      </c>
      <c r="J53" s="658">
        <v>0</v>
      </c>
      <c r="K53" s="658">
        <v>6110366523</v>
      </c>
      <c r="M53" s="658">
        <v>723201716</v>
      </c>
    </row>
    <row r="54" spans="1:13">
      <c r="A54" s="603">
        <v>43</v>
      </c>
      <c r="B54" s="596">
        <v>43</v>
      </c>
      <c r="C54" s="597" t="s">
        <v>3282</v>
      </c>
      <c r="E54" s="659"/>
      <c r="F54" s="659">
        <v>0</v>
      </c>
      <c r="G54" s="659">
        <v>0</v>
      </c>
      <c r="I54" s="659">
        <v>2909591931</v>
      </c>
      <c r="J54" s="659">
        <v>0</v>
      </c>
      <c r="K54" s="659">
        <v>2909591931</v>
      </c>
      <c r="M54" s="659">
        <v>-2909591931</v>
      </c>
    </row>
    <row r="55" spans="1:13">
      <c r="A55" s="603">
        <v>44</v>
      </c>
      <c r="B55" s="588">
        <v>44</v>
      </c>
      <c r="C55" s="599" t="s">
        <v>3283</v>
      </c>
      <c r="E55" s="660"/>
      <c r="F55" s="660">
        <v>0</v>
      </c>
      <c r="G55" s="660">
        <v>0</v>
      </c>
      <c r="I55" s="660">
        <v>103848099</v>
      </c>
      <c r="J55" s="660">
        <v>0</v>
      </c>
      <c r="K55" s="660">
        <v>103848099</v>
      </c>
      <c r="M55" s="660">
        <v>-103848099</v>
      </c>
    </row>
    <row r="56" spans="1:13">
      <c r="A56" s="603"/>
      <c r="B56" s="596">
        <v>45</v>
      </c>
      <c r="C56" s="597" t="s">
        <v>3284</v>
      </c>
      <c r="E56" s="659"/>
      <c r="F56" s="659">
        <v>0</v>
      </c>
      <c r="G56" s="659">
        <v>0</v>
      </c>
      <c r="I56" s="659">
        <v>129810126</v>
      </c>
      <c r="J56" s="659">
        <v>0</v>
      </c>
      <c r="K56" s="659">
        <v>129810126</v>
      </c>
      <c r="M56" s="659">
        <v>-129810126</v>
      </c>
    </row>
    <row r="57" spans="1:13">
      <c r="A57" s="603"/>
      <c r="B57" s="588">
        <v>46</v>
      </c>
      <c r="C57" s="599" t="s">
        <v>3285</v>
      </c>
      <c r="E57" s="660">
        <v>6833568239</v>
      </c>
      <c r="F57" s="660">
        <v>0</v>
      </c>
      <c r="G57" s="660">
        <v>6833568239</v>
      </c>
      <c r="I57" s="660">
        <v>2588342042</v>
      </c>
      <c r="J57" s="660">
        <v>0</v>
      </c>
      <c r="K57" s="660">
        <v>2588342042</v>
      </c>
      <c r="M57" s="660">
        <v>4245226197</v>
      </c>
    </row>
    <row r="58" spans="1:13">
      <c r="A58" s="603"/>
      <c r="B58" s="596">
        <v>47</v>
      </c>
      <c r="C58" s="597" t="s">
        <v>3286</v>
      </c>
      <c r="E58" s="659"/>
      <c r="F58" s="659">
        <v>0</v>
      </c>
      <c r="G58" s="659">
        <v>0</v>
      </c>
      <c r="I58" s="659">
        <v>64905068</v>
      </c>
      <c r="J58" s="659">
        <v>0</v>
      </c>
      <c r="K58" s="659">
        <v>64905068</v>
      </c>
      <c r="M58" s="659">
        <v>-64905068</v>
      </c>
    </row>
    <row r="59" spans="1:13">
      <c r="A59" s="603"/>
      <c r="B59" s="588">
        <v>48</v>
      </c>
      <c r="C59" s="599" t="s">
        <v>3287</v>
      </c>
      <c r="E59" s="660"/>
      <c r="F59" s="660">
        <v>0</v>
      </c>
      <c r="G59" s="660">
        <v>0</v>
      </c>
      <c r="I59" s="660">
        <v>53642499</v>
      </c>
      <c r="J59" s="660">
        <v>0</v>
      </c>
      <c r="K59" s="660">
        <v>53642499</v>
      </c>
      <c r="M59" s="660">
        <v>-53642499</v>
      </c>
    </row>
    <row r="60" spans="1:13">
      <c r="A60" s="603"/>
      <c r="B60" s="596">
        <v>49</v>
      </c>
      <c r="C60" s="597" t="s">
        <v>3288</v>
      </c>
      <c r="E60" s="659"/>
      <c r="F60" s="659">
        <v>0</v>
      </c>
      <c r="G60" s="659">
        <v>0</v>
      </c>
      <c r="I60" s="659">
        <v>1147208</v>
      </c>
      <c r="J60" s="659">
        <v>0</v>
      </c>
      <c r="K60" s="659">
        <v>1147208</v>
      </c>
      <c r="M60" s="659">
        <v>-1147208</v>
      </c>
    </row>
    <row r="61" spans="1:13">
      <c r="A61" s="603"/>
      <c r="B61" s="588">
        <v>50</v>
      </c>
      <c r="C61" s="599" t="s">
        <v>3289</v>
      </c>
      <c r="E61" s="660"/>
      <c r="F61" s="660">
        <v>0</v>
      </c>
      <c r="G61" s="660">
        <v>0</v>
      </c>
      <c r="I61" s="660">
        <v>259079550</v>
      </c>
      <c r="J61" s="660">
        <v>0</v>
      </c>
      <c r="K61" s="660">
        <v>259079550</v>
      </c>
      <c r="M61" s="660">
        <v>-259079550</v>
      </c>
    </row>
    <row r="62" spans="1:13">
      <c r="A62" s="603"/>
      <c r="B62" s="596">
        <v>51</v>
      </c>
      <c r="C62" s="597" t="s">
        <v>3218</v>
      </c>
      <c r="E62" s="659"/>
      <c r="F62" s="659">
        <v>0</v>
      </c>
      <c r="G62" s="659">
        <v>0</v>
      </c>
      <c r="I62" s="659"/>
      <c r="J62" s="659">
        <v>0</v>
      </c>
      <c r="K62" s="659">
        <v>0</v>
      </c>
      <c r="M62" s="659">
        <v>0</v>
      </c>
    </row>
    <row r="63" spans="1:13">
      <c r="A63" s="603">
        <v>0</v>
      </c>
      <c r="B63" s="601"/>
      <c r="C63" s="602" t="s">
        <v>3290</v>
      </c>
      <c r="E63" s="658">
        <v>0</v>
      </c>
      <c r="F63" s="658">
        <v>0</v>
      </c>
      <c r="G63" s="658">
        <v>0</v>
      </c>
      <c r="I63" s="658">
        <v>0</v>
      </c>
      <c r="J63" s="658">
        <v>0</v>
      </c>
      <c r="K63" s="658">
        <v>0</v>
      </c>
      <c r="M63" s="658">
        <v>0</v>
      </c>
    </row>
    <row r="64" spans="1:13">
      <c r="A64" s="603">
        <v>52</v>
      </c>
      <c r="B64" s="588">
        <v>52</v>
      </c>
      <c r="C64" s="599" t="s">
        <v>3222</v>
      </c>
      <c r="E64" s="660"/>
      <c r="F64" s="660">
        <v>0</v>
      </c>
      <c r="G64" s="660">
        <v>0</v>
      </c>
      <c r="I64" s="660"/>
      <c r="J64" s="660">
        <v>0</v>
      </c>
      <c r="K64" s="660">
        <v>0</v>
      </c>
      <c r="M64" s="660">
        <v>0</v>
      </c>
    </row>
    <row r="65" spans="1:13">
      <c r="A65" s="603">
        <v>53</v>
      </c>
      <c r="B65" s="596">
        <v>53</v>
      </c>
      <c r="C65" s="597" t="s">
        <v>3225</v>
      </c>
      <c r="E65" s="659"/>
      <c r="F65" s="659">
        <v>0</v>
      </c>
      <c r="G65" s="659">
        <v>0</v>
      </c>
      <c r="I65" s="659"/>
      <c r="J65" s="659">
        <v>0</v>
      </c>
      <c r="K65" s="659">
        <v>0</v>
      </c>
      <c r="M65" s="659">
        <v>0</v>
      </c>
    </row>
    <row r="66" spans="1:13">
      <c r="A66" s="603">
        <v>54</v>
      </c>
      <c r="B66" s="588">
        <v>54</v>
      </c>
      <c r="C66" s="599" t="s">
        <v>3291</v>
      </c>
      <c r="E66" s="660"/>
      <c r="F66" s="660">
        <v>0</v>
      </c>
      <c r="G66" s="660">
        <v>0</v>
      </c>
      <c r="I66" s="660"/>
      <c r="J66" s="660">
        <v>0</v>
      </c>
      <c r="K66" s="660">
        <v>0</v>
      </c>
      <c r="M66" s="660">
        <v>0</v>
      </c>
    </row>
    <row r="67" spans="1:13">
      <c r="A67" s="603"/>
      <c r="B67" s="601"/>
      <c r="C67" s="602" t="s">
        <v>3292</v>
      </c>
      <c r="E67" s="658">
        <v>0</v>
      </c>
      <c r="F67" s="658">
        <v>0</v>
      </c>
      <c r="G67" s="658">
        <v>0</v>
      </c>
      <c r="I67" s="658">
        <v>0</v>
      </c>
      <c r="J67" s="658">
        <v>0</v>
      </c>
      <c r="K67" s="658">
        <v>0</v>
      </c>
      <c r="M67" s="658">
        <v>0</v>
      </c>
    </row>
    <row r="68" spans="1:13">
      <c r="A68" s="603"/>
      <c r="B68" s="596">
        <v>55</v>
      </c>
      <c r="C68" s="597" t="s">
        <v>3231</v>
      </c>
      <c r="E68" s="659"/>
      <c r="F68" s="659">
        <v>0</v>
      </c>
      <c r="G68" s="659">
        <v>0</v>
      </c>
      <c r="I68" s="659"/>
      <c r="J68" s="659">
        <v>0</v>
      </c>
      <c r="K68" s="659">
        <v>0</v>
      </c>
      <c r="M68" s="659">
        <v>0</v>
      </c>
    </row>
    <row r="69" spans="1:13">
      <c r="A69" s="603"/>
      <c r="B69" s="588">
        <v>56</v>
      </c>
      <c r="C69" s="599" t="s">
        <v>3293</v>
      </c>
      <c r="E69" s="660"/>
      <c r="F69" s="660">
        <v>0</v>
      </c>
      <c r="G69" s="660">
        <v>0</v>
      </c>
      <c r="I69" s="660"/>
      <c r="J69" s="660">
        <v>0</v>
      </c>
      <c r="K69" s="660">
        <v>0</v>
      </c>
      <c r="M69" s="660">
        <v>0</v>
      </c>
    </row>
    <row r="70" spans="1:13">
      <c r="A70" s="603">
        <v>0</v>
      </c>
      <c r="B70" s="601"/>
      <c r="C70" s="602" t="s">
        <v>340</v>
      </c>
      <c r="E70" s="658">
        <v>135841850</v>
      </c>
      <c r="F70" s="658">
        <v>0</v>
      </c>
      <c r="G70" s="658">
        <v>135841850</v>
      </c>
      <c r="I70" s="658">
        <v>135841850</v>
      </c>
      <c r="J70" s="658">
        <v>0</v>
      </c>
      <c r="K70" s="658">
        <v>135841850</v>
      </c>
      <c r="M70" s="658">
        <v>0</v>
      </c>
    </row>
    <row r="71" spans="1:13">
      <c r="A71" s="603">
        <v>57</v>
      </c>
      <c r="B71" s="596">
        <v>57</v>
      </c>
      <c r="C71" s="597" t="s">
        <v>3294</v>
      </c>
      <c r="E71" s="659">
        <v>135841850</v>
      </c>
      <c r="F71" s="659">
        <v>0</v>
      </c>
      <c r="G71" s="659">
        <v>135841850</v>
      </c>
      <c r="I71" s="659">
        <v>135841850</v>
      </c>
      <c r="J71" s="659">
        <v>0</v>
      </c>
      <c r="K71" s="659">
        <v>135841850</v>
      </c>
      <c r="M71" s="659">
        <v>0</v>
      </c>
    </row>
    <row r="72" spans="1:13">
      <c r="A72" s="603">
        <v>0</v>
      </c>
      <c r="B72" s="601"/>
      <c r="C72" s="602" t="s">
        <v>3295</v>
      </c>
      <c r="E72" s="658">
        <v>654295166</v>
      </c>
      <c r="F72" s="658">
        <v>0</v>
      </c>
      <c r="G72" s="658">
        <v>654295166</v>
      </c>
      <c r="I72" s="658">
        <v>654295166</v>
      </c>
      <c r="J72" s="658">
        <v>0</v>
      </c>
      <c r="K72" s="658">
        <v>654295166</v>
      </c>
      <c r="M72" s="658">
        <v>0</v>
      </c>
    </row>
    <row r="73" spans="1:13">
      <c r="A73" s="603">
        <v>58</v>
      </c>
      <c r="B73" s="588">
        <v>58</v>
      </c>
      <c r="C73" s="599" t="s">
        <v>3296</v>
      </c>
      <c r="E73" s="660">
        <v>654295166</v>
      </c>
      <c r="F73" s="660">
        <v>0</v>
      </c>
      <c r="G73" s="660">
        <v>654295166</v>
      </c>
      <c r="I73" s="660">
        <v>654295166</v>
      </c>
      <c r="J73" s="660">
        <v>0</v>
      </c>
      <c r="K73" s="660">
        <v>654295166</v>
      </c>
      <c r="M73" s="660">
        <v>0</v>
      </c>
    </row>
    <row r="74" spans="1:13">
      <c r="A74" s="603"/>
      <c r="B74" s="601"/>
      <c r="C74" s="602" t="s">
        <v>3297</v>
      </c>
      <c r="E74" s="658">
        <v>0</v>
      </c>
      <c r="F74" s="658">
        <v>0</v>
      </c>
      <c r="G74" s="658">
        <v>0</v>
      </c>
      <c r="I74" s="658">
        <v>0</v>
      </c>
      <c r="J74" s="658">
        <v>0</v>
      </c>
      <c r="K74" s="658">
        <v>0</v>
      </c>
      <c r="M74" s="658">
        <v>0</v>
      </c>
    </row>
    <row r="75" spans="1:13">
      <c r="A75" s="603"/>
      <c r="B75" s="588">
        <v>59</v>
      </c>
      <c r="C75" s="599" t="s">
        <v>3298</v>
      </c>
      <c r="E75" s="660"/>
      <c r="F75" s="660">
        <v>0</v>
      </c>
      <c r="G75" s="660">
        <v>0</v>
      </c>
      <c r="I75" s="660"/>
      <c r="J75" s="660">
        <v>0</v>
      </c>
      <c r="K75" s="660">
        <v>0</v>
      </c>
      <c r="M75" s="660"/>
    </row>
    <row r="76" spans="1:13">
      <c r="A76" s="603"/>
      <c r="B76" s="601"/>
      <c r="C76" s="602" t="s">
        <v>3299</v>
      </c>
      <c r="E76" s="658">
        <v>0</v>
      </c>
      <c r="F76" s="658">
        <v>0</v>
      </c>
      <c r="G76" s="658">
        <v>0</v>
      </c>
      <c r="I76" s="658">
        <v>0</v>
      </c>
      <c r="J76" s="658">
        <v>0</v>
      </c>
      <c r="K76" s="658">
        <v>0</v>
      </c>
      <c r="M76" s="658">
        <v>0</v>
      </c>
    </row>
    <row r="77" spans="1:13">
      <c r="A77" s="603"/>
      <c r="B77" s="588">
        <v>60</v>
      </c>
      <c r="C77" s="599" t="s">
        <v>3300</v>
      </c>
      <c r="E77" s="660"/>
      <c r="F77" s="660">
        <v>0</v>
      </c>
      <c r="G77" s="660">
        <v>0</v>
      </c>
      <c r="I77" s="660"/>
      <c r="J77" s="660">
        <v>0</v>
      </c>
      <c r="K77" s="660">
        <v>0</v>
      </c>
      <c r="M77" s="660"/>
    </row>
    <row r="78" spans="1:13">
      <c r="A78" s="603"/>
      <c r="B78" s="601"/>
      <c r="C78" s="602" t="s">
        <v>3301</v>
      </c>
      <c r="E78" s="658">
        <v>0</v>
      </c>
      <c r="F78" s="658">
        <v>0</v>
      </c>
      <c r="G78" s="658">
        <v>0</v>
      </c>
      <c r="I78" s="658">
        <v>1302823</v>
      </c>
      <c r="J78" s="658">
        <v>0</v>
      </c>
      <c r="K78" s="658">
        <v>1302823</v>
      </c>
      <c r="M78" s="658">
        <v>-1302823</v>
      </c>
    </row>
    <row r="79" spans="1:13">
      <c r="A79" s="603"/>
      <c r="B79" s="596">
        <v>61</v>
      </c>
      <c r="C79" s="597" t="s">
        <v>3302</v>
      </c>
      <c r="E79" s="659"/>
      <c r="F79" s="659"/>
      <c r="G79" s="659"/>
      <c r="I79" s="659"/>
      <c r="J79" s="659"/>
      <c r="K79" s="659"/>
      <c r="M79" s="659"/>
    </row>
  </sheetData>
  <mergeCells count="5">
    <mergeCell ref="B3:B4"/>
    <mergeCell ref="C3:C4"/>
    <mergeCell ref="E3:G3"/>
    <mergeCell ref="I3:K3"/>
    <mergeCell ref="M3:M4"/>
  </mergeCells>
  <hyperlinks>
    <hyperlink ref="A1" location="Sommaire!A1" display="Sommaire!A1" xr:uid="{00000000-0004-0000-0F00-000000000000}"/>
  </hyperlinks>
  <pageMargins left="0.7" right="0.7" top="0.75" bottom="0.75" header="0.3" footer="0.3"/>
  <pageSetup paperSize="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79"/>
  <sheetViews>
    <sheetView showGridLines="0" zoomScaleNormal="100" workbookViewId="0">
      <selection activeCell="B1" sqref="B1"/>
    </sheetView>
  </sheetViews>
  <sheetFormatPr baseColWidth="10" defaultColWidth="11.33203125" defaultRowHeight="12"/>
  <cols>
    <col min="1" max="1" width="10.1640625" style="588" bestFit="1" customWidth="1"/>
    <col min="2" max="2" width="19" style="588" bestFit="1" customWidth="1"/>
    <col min="3" max="3" width="54.5" style="605" bestFit="1" customWidth="1"/>
    <col min="4" max="4" width="0.6640625" style="590" customWidth="1"/>
    <col min="5" max="5" width="13.6640625" style="590" bestFit="1" customWidth="1"/>
    <col min="6" max="6" width="12.83203125" style="588" bestFit="1" customWidth="1"/>
    <col min="7" max="7" width="13.6640625" style="590" bestFit="1" customWidth="1"/>
    <col min="8" max="8" width="0.6640625" style="590" customWidth="1"/>
    <col min="9" max="9" width="13.6640625" style="590" bestFit="1" customWidth="1"/>
    <col min="10" max="10" width="12.83203125" style="590" bestFit="1" customWidth="1"/>
    <col min="11" max="11" width="13.6640625" style="590" bestFit="1" customWidth="1"/>
    <col min="12" max="12" width="0.6640625" style="590" customWidth="1"/>
    <col min="13" max="13" width="13.83203125" style="590" bestFit="1" customWidth="1"/>
    <col min="14" max="16384" width="11.33203125" style="590"/>
  </cols>
  <sheetData>
    <row r="1" spans="1:13" ht="24">
      <c r="A1" s="661" t="s">
        <v>140</v>
      </c>
      <c r="C1" s="589" t="s">
        <v>3249</v>
      </c>
      <c r="E1" s="591" t="s">
        <v>199</v>
      </c>
      <c r="F1" s="591" t="s">
        <v>3306</v>
      </c>
      <c r="G1" s="592"/>
      <c r="J1" s="592" t="s">
        <v>3251</v>
      </c>
      <c r="K1" s="592">
        <v>2023</v>
      </c>
    </row>
    <row r="2" spans="1:13">
      <c r="C2" s="593"/>
      <c r="F2" s="590"/>
      <c r="I2" s="590" t="s">
        <v>3252</v>
      </c>
      <c r="J2" s="594">
        <v>604.32574999999997</v>
      </c>
    </row>
    <row r="3" spans="1:13">
      <c r="B3" s="753" t="s">
        <v>143</v>
      </c>
      <c r="C3" s="754" t="s">
        <v>3253</v>
      </c>
      <c r="E3" s="755" t="s">
        <v>2084</v>
      </c>
      <c r="F3" s="755"/>
      <c r="G3" s="755"/>
      <c r="I3" s="755" t="s">
        <v>3254</v>
      </c>
      <c r="J3" s="755"/>
      <c r="K3" s="755"/>
      <c r="M3" s="756" t="s">
        <v>3255</v>
      </c>
    </row>
    <row r="4" spans="1:13">
      <c r="B4" s="753"/>
      <c r="C4" s="754"/>
      <c r="E4" s="595" t="s">
        <v>3256</v>
      </c>
      <c r="F4" s="595" t="s">
        <v>3257</v>
      </c>
      <c r="G4" s="595" t="s">
        <v>3258</v>
      </c>
      <c r="I4" s="595" t="s">
        <v>3256</v>
      </c>
      <c r="J4" s="595" t="s">
        <v>3257</v>
      </c>
      <c r="K4" s="595" t="s">
        <v>3258</v>
      </c>
      <c r="M4" s="756"/>
    </row>
    <row r="5" spans="1:13">
      <c r="B5" s="655" t="s">
        <v>3092</v>
      </c>
      <c r="C5" s="656"/>
      <c r="E5" s="657">
        <v>0</v>
      </c>
      <c r="F5" s="657">
        <v>0</v>
      </c>
      <c r="G5" s="657">
        <v>0</v>
      </c>
      <c r="I5" s="657">
        <v>0</v>
      </c>
      <c r="J5" s="657">
        <v>0</v>
      </c>
      <c r="K5" s="657">
        <v>0</v>
      </c>
      <c r="M5" s="657">
        <v>0</v>
      </c>
    </row>
    <row r="6" spans="1:13">
      <c r="B6" s="596">
        <v>1</v>
      </c>
      <c r="C6" s="597" t="s">
        <v>3259</v>
      </c>
      <c r="E6" s="598"/>
      <c r="F6" s="598">
        <v>0</v>
      </c>
      <c r="G6" s="598">
        <v>0</v>
      </c>
      <c r="I6" s="598"/>
      <c r="J6" s="598">
        <v>0</v>
      </c>
      <c r="K6" s="598">
        <v>0</v>
      </c>
      <c r="M6" s="598">
        <v>0</v>
      </c>
    </row>
    <row r="7" spans="1:13">
      <c r="B7" s="588">
        <v>2</v>
      </c>
      <c r="C7" s="599" t="s">
        <v>3260</v>
      </c>
      <c r="E7" s="600"/>
      <c r="F7" s="600">
        <v>0</v>
      </c>
      <c r="G7" s="600">
        <v>0</v>
      </c>
      <c r="I7" s="600"/>
      <c r="J7" s="600">
        <v>0</v>
      </c>
      <c r="K7" s="600">
        <v>0</v>
      </c>
      <c r="M7" s="600">
        <v>0</v>
      </c>
    </row>
    <row r="8" spans="1:13">
      <c r="B8" s="655" t="s">
        <v>3101</v>
      </c>
      <c r="C8" s="656"/>
      <c r="E8" s="657">
        <v>26720780235</v>
      </c>
      <c r="F8" s="657">
        <v>298194295</v>
      </c>
      <c r="G8" s="657">
        <v>27018974530</v>
      </c>
      <c r="I8" s="657">
        <v>26244026720</v>
      </c>
      <c r="J8" s="657">
        <v>1243815826</v>
      </c>
      <c r="K8" s="657">
        <v>27487842546</v>
      </c>
      <c r="M8" s="657">
        <v>-468868016</v>
      </c>
    </row>
    <row r="9" spans="1:13">
      <c r="B9" s="601"/>
      <c r="C9" s="602" t="s">
        <v>1244</v>
      </c>
      <c r="E9" s="658">
        <v>10284246013</v>
      </c>
      <c r="F9" s="658">
        <v>5957227301</v>
      </c>
      <c r="G9" s="658">
        <v>16241473314</v>
      </c>
      <c r="I9" s="658">
        <v>16210660921</v>
      </c>
      <c r="J9" s="658">
        <v>30812393</v>
      </c>
      <c r="K9" s="658">
        <v>16241473314</v>
      </c>
      <c r="M9" s="658">
        <v>0</v>
      </c>
    </row>
    <row r="10" spans="1:13">
      <c r="A10" s="603">
        <v>3</v>
      </c>
      <c r="B10" s="596">
        <v>3</v>
      </c>
      <c r="C10" s="597" t="s">
        <v>3261</v>
      </c>
      <c r="E10" s="659">
        <v>10253433620</v>
      </c>
      <c r="F10" s="659">
        <v>5957227301</v>
      </c>
      <c r="G10" s="659">
        <v>16210660921</v>
      </c>
      <c r="I10" s="659">
        <v>16210660921</v>
      </c>
      <c r="J10" s="659">
        <v>0</v>
      </c>
      <c r="K10" s="659">
        <v>16210660921</v>
      </c>
      <c r="M10" s="659">
        <v>0</v>
      </c>
    </row>
    <row r="11" spans="1:13">
      <c r="A11" s="603">
        <v>4</v>
      </c>
      <c r="B11" s="588">
        <v>4</v>
      </c>
      <c r="C11" s="599" t="s">
        <v>3106</v>
      </c>
      <c r="E11" s="660">
        <v>30812393</v>
      </c>
      <c r="F11" s="660">
        <v>0</v>
      </c>
      <c r="G11" s="660">
        <v>30812393</v>
      </c>
      <c r="I11" s="660"/>
      <c r="J11" s="660">
        <v>30812393</v>
      </c>
      <c r="K11" s="660">
        <v>30812393</v>
      </c>
      <c r="M11" s="660">
        <v>0</v>
      </c>
    </row>
    <row r="12" spans="1:13">
      <c r="A12" s="603">
        <v>5</v>
      </c>
      <c r="B12" s="596">
        <v>5</v>
      </c>
      <c r="C12" s="597" t="s">
        <v>3262</v>
      </c>
      <c r="E12" s="659"/>
      <c r="F12" s="659">
        <v>0</v>
      </c>
      <c r="G12" s="659">
        <v>0</v>
      </c>
      <c r="I12" s="659"/>
      <c r="J12" s="659">
        <v>0</v>
      </c>
      <c r="K12" s="659">
        <v>0</v>
      </c>
      <c r="M12" s="659">
        <v>0</v>
      </c>
    </row>
    <row r="13" spans="1:13">
      <c r="A13" s="603">
        <v>6</v>
      </c>
      <c r="B13" s="588">
        <v>6</v>
      </c>
      <c r="C13" s="599" t="s">
        <v>3263</v>
      </c>
      <c r="E13" s="660"/>
      <c r="F13" s="660">
        <v>0</v>
      </c>
      <c r="G13" s="660">
        <v>0</v>
      </c>
      <c r="I13" s="660"/>
      <c r="J13" s="660">
        <v>0</v>
      </c>
      <c r="K13" s="660">
        <v>0</v>
      </c>
      <c r="M13" s="660">
        <v>0</v>
      </c>
    </row>
    <row r="14" spans="1:13">
      <c r="A14" s="603">
        <v>7</v>
      </c>
      <c r="B14" s="596">
        <v>7</v>
      </c>
      <c r="C14" s="597" t="s">
        <v>3114</v>
      </c>
      <c r="E14" s="659"/>
      <c r="F14" s="659">
        <v>0</v>
      </c>
      <c r="G14" s="659">
        <v>0</v>
      </c>
      <c r="I14" s="659"/>
      <c r="J14" s="659">
        <v>0</v>
      </c>
      <c r="K14" s="659">
        <v>0</v>
      </c>
      <c r="M14" s="659">
        <v>0</v>
      </c>
    </row>
    <row r="15" spans="1:13">
      <c r="A15" s="603">
        <v>0</v>
      </c>
      <c r="B15" s="601"/>
      <c r="C15" s="602" t="s">
        <v>1253</v>
      </c>
      <c r="E15" s="658">
        <v>0</v>
      </c>
      <c r="F15" s="658">
        <v>0</v>
      </c>
      <c r="G15" s="658">
        <v>0</v>
      </c>
      <c r="I15" s="658">
        <v>0</v>
      </c>
      <c r="J15" s="658">
        <v>0</v>
      </c>
      <c r="K15" s="658">
        <v>0</v>
      </c>
      <c r="M15" s="658">
        <v>0</v>
      </c>
    </row>
    <row r="16" spans="1:13">
      <c r="A16" s="603">
        <v>8</v>
      </c>
      <c r="B16" s="588">
        <v>8</v>
      </c>
      <c r="C16" s="599" t="s">
        <v>3264</v>
      </c>
      <c r="E16" s="660"/>
      <c r="F16" s="660">
        <v>0</v>
      </c>
      <c r="G16" s="660">
        <v>0</v>
      </c>
      <c r="I16" s="660"/>
      <c r="J16" s="660">
        <v>0</v>
      </c>
      <c r="K16" s="660">
        <v>0</v>
      </c>
      <c r="M16" s="660">
        <v>0</v>
      </c>
    </row>
    <row r="17" spans="1:13">
      <c r="A17" s="603">
        <v>9</v>
      </c>
      <c r="B17" s="596">
        <v>9</v>
      </c>
      <c r="C17" s="597" t="s">
        <v>3265</v>
      </c>
      <c r="E17" s="659"/>
      <c r="F17" s="659">
        <v>0</v>
      </c>
      <c r="G17" s="659">
        <v>0</v>
      </c>
      <c r="I17" s="659"/>
      <c r="J17" s="659">
        <v>0</v>
      </c>
      <c r="K17" s="659">
        <v>0</v>
      </c>
      <c r="M17" s="659">
        <v>0</v>
      </c>
    </row>
    <row r="18" spans="1:13">
      <c r="A18" s="603"/>
      <c r="B18" s="588">
        <v>10</v>
      </c>
      <c r="C18" s="599" t="s">
        <v>3122</v>
      </c>
      <c r="E18" s="660"/>
      <c r="F18" s="660">
        <v>0</v>
      </c>
      <c r="G18" s="660">
        <v>0</v>
      </c>
      <c r="I18" s="660"/>
      <c r="J18" s="660">
        <v>0</v>
      </c>
      <c r="K18" s="660">
        <v>0</v>
      </c>
      <c r="M18" s="660">
        <v>0</v>
      </c>
    </row>
    <row r="19" spans="1:13">
      <c r="A19" s="603">
        <v>11</v>
      </c>
      <c r="B19" s="596">
        <v>11</v>
      </c>
      <c r="C19" s="597" t="s">
        <v>3124</v>
      </c>
      <c r="E19" s="659"/>
      <c r="F19" s="659">
        <v>0</v>
      </c>
      <c r="G19" s="659">
        <v>0</v>
      </c>
      <c r="I19" s="659"/>
      <c r="J19" s="659">
        <v>0</v>
      </c>
      <c r="K19" s="659">
        <v>0</v>
      </c>
      <c r="M19" s="659">
        <v>0</v>
      </c>
    </row>
    <row r="20" spans="1:13">
      <c r="A20" s="603">
        <v>12</v>
      </c>
      <c r="B20" s="588">
        <v>12</v>
      </c>
      <c r="C20" s="599" t="s">
        <v>3266</v>
      </c>
      <c r="E20" s="660"/>
      <c r="F20" s="660">
        <v>0</v>
      </c>
      <c r="G20" s="660">
        <v>0</v>
      </c>
      <c r="I20" s="660"/>
      <c r="J20" s="660">
        <v>0</v>
      </c>
      <c r="K20" s="660">
        <v>0</v>
      </c>
      <c r="M20" s="660">
        <v>0</v>
      </c>
    </row>
    <row r="21" spans="1:13">
      <c r="A21" s="603">
        <v>13</v>
      </c>
      <c r="B21" s="596">
        <v>13</v>
      </c>
      <c r="C21" s="597" t="s">
        <v>3267</v>
      </c>
      <c r="E21" s="659"/>
      <c r="F21" s="659">
        <v>0</v>
      </c>
      <c r="G21" s="659">
        <v>0</v>
      </c>
      <c r="I21" s="659"/>
      <c r="J21" s="659">
        <v>0</v>
      </c>
      <c r="K21" s="659">
        <v>0</v>
      </c>
      <c r="M21" s="659">
        <v>0</v>
      </c>
    </row>
    <row r="22" spans="1:13">
      <c r="A22" s="603">
        <v>14</v>
      </c>
      <c r="B22" s="588">
        <v>14</v>
      </c>
      <c r="C22" s="599" t="s">
        <v>3268</v>
      </c>
      <c r="E22" s="660"/>
      <c r="F22" s="660">
        <v>0</v>
      </c>
      <c r="G22" s="660">
        <v>0</v>
      </c>
      <c r="I22" s="660"/>
      <c r="J22" s="660">
        <v>0</v>
      </c>
      <c r="K22" s="660">
        <v>0</v>
      </c>
      <c r="M22" s="660">
        <v>0</v>
      </c>
    </row>
    <row r="23" spans="1:13">
      <c r="A23" s="603">
        <v>15</v>
      </c>
      <c r="B23" s="596">
        <v>15</v>
      </c>
      <c r="C23" s="597" t="s">
        <v>3133</v>
      </c>
      <c r="E23" s="659"/>
      <c r="F23" s="659">
        <v>0</v>
      </c>
      <c r="G23" s="659">
        <v>0</v>
      </c>
      <c r="I23" s="659"/>
      <c r="J23" s="659">
        <v>0</v>
      </c>
      <c r="K23" s="659">
        <v>0</v>
      </c>
      <c r="M23" s="659">
        <v>0</v>
      </c>
    </row>
    <row r="24" spans="1:13">
      <c r="A24" s="603">
        <v>16</v>
      </c>
      <c r="B24" s="588">
        <v>16</v>
      </c>
      <c r="C24" s="599" t="s">
        <v>3136</v>
      </c>
      <c r="E24" s="660"/>
      <c r="F24" s="660">
        <v>0</v>
      </c>
      <c r="G24" s="660">
        <v>0</v>
      </c>
      <c r="I24" s="660"/>
      <c r="J24" s="660">
        <v>0</v>
      </c>
      <c r="K24" s="660">
        <v>0</v>
      </c>
      <c r="M24" s="660">
        <v>0</v>
      </c>
    </row>
    <row r="25" spans="1:13">
      <c r="A25" s="603">
        <v>0</v>
      </c>
      <c r="B25" s="601"/>
      <c r="C25" s="602" t="s">
        <v>3269</v>
      </c>
      <c r="E25" s="658">
        <v>5957227301</v>
      </c>
      <c r="F25" s="658">
        <v>-5957227301</v>
      </c>
      <c r="G25" s="658">
        <v>0</v>
      </c>
      <c r="I25" s="658">
        <v>0</v>
      </c>
      <c r="J25" s="658">
        <v>0</v>
      </c>
      <c r="K25" s="658">
        <v>0</v>
      </c>
      <c r="M25" s="658">
        <v>0</v>
      </c>
    </row>
    <row r="26" spans="1:13">
      <c r="A26" s="603">
        <v>17</v>
      </c>
      <c r="B26" s="596">
        <v>17</v>
      </c>
      <c r="C26" s="597" t="s">
        <v>3270</v>
      </c>
      <c r="E26" s="659">
        <v>5957227301</v>
      </c>
      <c r="F26" s="659">
        <v>-5957227301</v>
      </c>
      <c r="G26" s="659">
        <v>0</v>
      </c>
      <c r="I26" s="659"/>
      <c r="J26" s="659">
        <v>0</v>
      </c>
      <c r="K26" s="659">
        <v>0</v>
      </c>
      <c r="M26" s="659">
        <v>0</v>
      </c>
    </row>
    <row r="27" spans="1:13">
      <c r="A27" s="603">
        <v>18</v>
      </c>
      <c r="B27" s="588">
        <v>18</v>
      </c>
      <c r="C27" s="599" t="s">
        <v>3141</v>
      </c>
      <c r="E27" s="660"/>
      <c r="F27" s="660">
        <v>0</v>
      </c>
      <c r="G27" s="660">
        <v>0</v>
      </c>
      <c r="I27" s="660"/>
      <c r="J27" s="660">
        <v>0</v>
      </c>
      <c r="K27" s="660">
        <v>0</v>
      </c>
      <c r="M27" s="660">
        <v>0</v>
      </c>
    </row>
    <row r="28" spans="1:13">
      <c r="A28" s="603">
        <v>19</v>
      </c>
      <c r="B28" s="596">
        <v>19</v>
      </c>
      <c r="C28" s="597" t="s">
        <v>3144</v>
      </c>
      <c r="E28" s="659"/>
      <c r="F28" s="659">
        <v>0</v>
      </c>
      <c r="G28" s="659">
        <v>0</v>
      </c>
      <c r="I28" s="659"/>
      <c r="J28" s="659">
        <v>0</v>
      </c>
      <c r="K28" s="659">
        <v>0</v>
      </c>
      <c r="M28" s="659">
        <v>0</v>
      </c>
    </row>
    <row r="29" spans="1:13">
      <c r="A29" s="603">
        <v>20</v>
      </c>
      <c r="B29" s="588">
        <v>20</v>
      </c>
      <c r="C29" s="599" t="s">
        <v>3147</v>
      </c>
      <c r="E29" s="660"/>
      <c r="F29" s="660">
        <v>0</v>
      </c>
      <c r="G29" s="660">
        <v>0</v>
      </c>
      <c r="I29" s="660"/>
      <c r="J29" s="660">
        <v>0</v>
      </c>
      <c r="K29" s="660">
        <v>0</v>
      </c>
      <c r="M29" s="660">
        <v>0</v>
      </c>
    </row>
    <row r="30" spans="1:13">
      <c r="A30" s="603">
        <v>21</v>
      </c>
      <c r="B30" s="596">
        <v>21</v>
      </c>
      <c r="C30" s="597" t="s">
        <v>3271</v>
      </c>
      <c r="E30" s="659"/>
      <c r="F30" s="659">
        <v>0</v>
      </c>
      <c r="G30" s="659">
        <v>0</v>
      </c>
      <c r="I30" s="659"/>
      <c r="J30" s="659">
        <v>0</v>
      </c>
      <c r="K30" s="659">
        <v>0</v>
      </c>
      <c r="M30" s="659">
        <v>0</v>
      </c>
    </row>
    <row r="31" spans="1:13">
      <c r="A31" s="603">
        <v>22</v>
      </c>
      <c r="B31" s="588">
        <v>22</v>
      </c>
      <c r="C31" s="599" t="s">
        <v>3272</v>
      </c>
      <c r="E31" s="660"/>
      <c r="F31" s="660">
        <v>0</v>
      </c>
      <c r="G31" s="660">
        <v>0</v>
      </c>
      <c r="I31" s="660"/>
      <c r="J31" s="660">
        <v>0</v>
      </c>
      <c r="K31" s="660">
        <v>0</v>
      </c>
      <c r="M31" s="660">
        <v>0</v>
      </c>
    </row>
    <row r="32" spans="1:13">
      <c r="A32" s="603">
        <v>23</v>
      </c>
      <c r="B32" s="596">
        <v>23</v>
      </c>
      <c r="C32" s="597" t="s">
        <v>3273</v>
      </c>
      <c r="E32" s="659"/>
      <c r="F32" s="659">
        <v>0</v>
      </c>
      <c r="G32" s="659">
        <v>0</v>
      </c>
      <c r="I32" s="659"/>
      <c r="J32" s="659">
        <v>0</v>
      </c>
      <c r="K32" s="659">
        <v>0</v>
      </c>
      <c r="M32" s="659">
        <v>0</v>
      </c>
    </row>
    <row r="33" spans="1:13">
      <c r="A33" s="603">
        <v>24</v>
      </c>
      <c r="B33" s="588">
        <v>24</v>
      </c>
      <c r="C33" s="599" t="s">
        <v>3158</v>
      </c>
      <c r="E33" s="660"/>
      <c r="F33" s="660">
        <v>0</v>
      </c>
      <c r="G33" s="660">
        <v>0</v>
      </c>
      <c r="I33" s="660"/>
      <c r="J33" s="660">
        <v>0</v>
      </c>
      <c r="K33" s="660">
        <v>0</v>
      </c>
      <c r="M33" s="660">
        <v>0</v>
      </c>
    </row>
    <row r="34" spans="1:13" s="604" customFormat="1">
      <c r="A34" s="603">
        <v>25</v>
      </c>
      <c r="B34" s="596">
        <v>25</v>
      </c>
      <c r="C34" s="597" t="s">
        <v>3274</v>
      </c>
      <c r="D34" s="590"/>
      <c r="E34" s="659"/>
      <c r="F34" s="659">
        <v>0</v>
      </c>
      <c r="G34" s="659">
        <v>0</v>
      </c>
      <c r="H34" s="590"/>
      <c r="I34" s="659"/>
      <c r="J34" s="659">
        <v>0</v>
      </c>
      <c r="K34" s="659">
        <v>0</v>
      </c>
      <c r="L34" s="590"/>
      <c r="M34" s="659">
        <v>0</v>
      </c>
    </row>
    <row r="35" spans="1:13">
      <c r="A35" s="603">
        <v>26</v>
      </c>
      <c r="B35" s="588">
        <v>26</v>
      </c>
      <c r="C35" s="599" t="s">
        <v>3275</v>
      </c>
      <c r="E35" s="660"/>
      <c r="F35" s="660">
        <v>0</v>
      </c>
      <c r="G35" s="660">
        <v>0</v>
      </c>
      <c r="I35" s="660"/>
      <c r="J35" s="660">
        <v>0</v>
      </c>
      <c r="K35" s="660">
        <v>0</v>
      </c>
      <c r="M35" s="660">
        <v>0</v>
      </c>
    </row>
    <row r="36" spans="1:13">
      <c r="A36" s="603">
        <v>0</v>
      </c>
      <c r="B36" s="601"/>
      <c r="C36" s="602" t="s">
        <v>3276</v>
      </c>
      <c r="E36" s="658">
        <v>8159920846</v>
      </c>
      <c r="F36" s="658">
        <v>0</v>
      </c>
      <c r="G36" s="658">
        <v>8159920846</v>
      </c>
      <c r="I36" s="658">
        <v>8750679491</v>
      </c>
      <c r="J36" s="658">
        <v>2303433</v>
      </c>
      <c r="K36" s="658">
        <v>8752982924</v>
      </c>
      <c r="M36" s="658">
        <v>-593062078</v>
      </c>
    </row>
    <row r="37" spans="1:13">
      <c r="A37" s="603">
        <v>27</v>
      </c>
      <c r="B37" s="596">
        <v>27</v>
      </c>
      <c r="C37" s="597" t="s">
        <v>3164</v>
      </c>
      <c r="E37" s="659">
        <v>2133855</v>
      </c>
      <c r="F37" s="659">
        <v>0</v>
      </c>
      <c r="G37" s="659">
        <v>2133855</v>
      </c>
      <c r="I37" s="659">
        <v>2319499</v>
      </c>
      <c r="J37" s="659">
        <v>0</v>
      </c>
      <c r="K37" s="659">
        <v>2319499</v>
      </c>
      <c r="M37" s="659">
        <v>-185644</v>
      </c>
    </row>
    <row r="38" spans="1:13">
      <c r="A38" s="603">
        <v>28</v>
      </c>
      <c r="B38" s="588">
        <v>28</v>
      </c>
      <c r="C38" s="599" t="s">
        <v>3167</v>
      </c>
      <c r="E38" s="660">
        <v>7199527729</v>
      </c>
      <c r="F38" s="660">
        <v>0</v>
      </c>
      <c r="G38" s="660">
        <v>7199527729</v>
      </c>
      <c r="I38" s="660">
        <v>7725926756</v>
      </c>
      <c r="J38" s="660">
        <v>0</v>
      </c>
      <c r="K38" s="660">
        <v>7725926756</v>
      </c>
      <c r="M38" s="660">
        <v>-526399027</v>
      </c>
    </row>
    <row r="39" spans="1:13">
      <c r="A39" s="603">
        <v>29</v>
      </c>
      <c r="B39" s="596">
        <v>29</v>
      </c>
      <c r="C39" s="597" t="s">
        <v>3170</v>
      </c>
      <c r="E39" s="659"/>
      <c r="F39" s="659">
        <v>0</v>
      </c>
      <c r="G39" s="659">
        <v>0</v>
      </c>
      <c r="I39" s="659"/>
      <c r="J39" s="659">
        <v>0</v>
      </c>
      <c r="K39" s="659">
        <v>0</v>
      </c>
      <c r="M39" s="659">
        <v>0</v>
      </c>
    </row>
    <row r="40" spans="1:13">
      <c r="A40" s="603">
        <v>30</v>
      </c>
      <c r="B40" s="588">
        <v>30</v>
      </c>
      <c r="C40" s="599" t="s">
        <v>3173</v>
      </c>
      <c r="E40" s="660"/>
      <c r="F40" s="660">
        <v>0</v>
      </c>
      <c r="G40" s="660">
        <v>0</v>
      </c>
      <c r="I40" s="660"/>
      <c r="J40" s="660">
        <v>0</v>
      </c>
      <c r="K40" s="660">
        <v>0</v>
      </c>
      <c r="M40" s="660">
        <v>0</v>
      </c>
    </row>
    <row r="41" spans="1:13">
      <c r="A41" s="603">
        <v>31</v>
      </c>
      <c r="B41" s="596">
        <v>31</v>
      </c>
      <c r="C41" s="597" t="s">
        <v>3176</v>
      </c>
      <c r="E41" s="659"/>
      <c r="F41" s="659">
        <v>0</v>
      </c>
      <c r="G41" s="659">
        <v>0</v>
      </c>
      <c r="I41" s="659"/>
      <c r="J41" s="659">
        <v>0</v>
      </c>
      <c r="K41" s="659">
        <v>0</v>
      </c>
      <c r="M41" s="659">
        <v>0</v>
      </c>
    </row>
    <row r="42" spans="1:13">
      <c r="A42" s="603">
        <v>32</v>
      </c>
      <c r="B42" s="588">
        <v>32</v>
      </c>
      <c r="C42" s="599" t="s">
        <v>3178</v>
      </c>
      <c r="E42" s="660">
        <v>820398293</v>
      </c>
      <c r="F42" s="660">
        <v>0</v>
      </c>
      <c r="G42" s="660">
        <v>820398293</v>
      </c>
      <c r="I42" s="660">
        <v>885169843</v>
      </c>
      <c r="J42" s="660">
        <v>0</v>
      </c>
      <c r="K42" s="660">
        <v>885169843</v>
      </c>
      <c r="M42" s="660">
        <v>-64771550</v>
      </c>
    </row>
    <row r="43" spans="1:13">
      <c r="A43" s="603">
        <v>33</v>
      </c>
      <c r="B43" s="596">
        <v>33</v>
      </c>
      <c r="C43" s="597" t="s">
        <v>3181</v>
      </c>
      <c r="E43" s="659"/>
      <c r="F43" s="659">
        <v>0</v>
      </c>
      <c r="G43" s="659">
        <v>0</v>
      </c>
      <c r="I43" s="659"/>
      <c r="J43" s="659">
        <v>0</v>
      </c>
      <c r="K43" s="659">
        <v>0</v>
      </c>
      <c r="M43" s="659">
        <v>0</v>
      </c>
    </row>
    <row r="44" spans="1:13">
      <c r="A44" s="603">
        <v>34</v>
      </c>
      <c r="B44" s="588">
        <v>34</v>
      </c>
      <c r="C44" s="599" t="s">
        <v>3184</v>
      </c>
      <c r="E44" s="660">
        <v>57773049</v>
      </c>
      <c r="F44" s="660">
        <v>0</v>
      </c>
      <c r="G44" s="660">
        <v>57773049</v>
      </c>
      <c r="I44" s="660">
        <v>62671673</v>
      </c>
      <c r="J44" s="660">
        <v>0</v>
      </c>
      <c r="K44" s="660">
        <v>62671673</v>
      </c>
      <c r="M44" s="660">
        <v>-4898624</v>
      </c>
    </row>
    <row r="45" spans="1:13">
      <c r="A45" s="603">
        <v>35</v>
      </c>
      <c r="B45" s="596">
        <v>35</v>
      </c>
      <c r="C45" s="597" t="s">
        <v>3186</v>
      </c>
      <c r="E45" s="659"/>
      <c r="F45" s="659">
        <v>0</v>
      </c>
      <c r="G45" s="659">
        <v>0</v>
      </c>
      <c r="I45" s="659"/>
      <c r="J45" s="659">
        <v>0</v>
      </c>
      <c r="K45" s="659">
        <v>0</v>
      </c>
      <c r="M45" s="659">
        <v>0</v>
      </c>
    </row>
    <row r="46" spans="1:13">
      <c r="A46" s="603">
        <v>36</v>
      </c>
      <c r="B46" s="588">
        <v>36</v>
      </c>
      <c r="C46" s="599" t="s">
        <v>3189</v>
      </c>
      <c r="E46" s="660"/>
      <c r="F46" s="660">
        <v>0</v>
      </c>
      <c r="G46" s="660">
        <v>0</v>
      </c>
      <c r="I46" s="660"/>
      <c r="J46" s="660">
        <v>0</v>
      </c>
      <c r="K46" s="660">
        <v>0</v>
      </c>
      <c r="M46" s="660">
        <v>0</v>
      </c>
    </row>
    <row r="47" spans="1:13">
      <c r="A47" s="603">
        <v>37</v>
      </c>
      <c r="B47" s="596">
        <v>37</v>
      </c>
      <c r="C47" s="597" t="s">
        <v>3277</v>
      </c>
      <c r="E47" s="659"/>
      <c r="F47" s="659">
        <v>0</v>
      </c>
      <c r="G47" s="659">
        <v>0</v>
      </c>
      <c r="I47" s="659"/>
      <c r="J47" s="659">
        <v>0</v>
      </c>
      <c r="K47" s="659">
        <v>0</v>
      </c>
      <c r="M47" s="659">
        <v>0</v>
      </c>
    </row>
    <row r="48" spans="1:13">
      <c r="A48" s="603">
        <v>38</v>
      </c>
      <c r="B48" s="588">
        <v>38</v>
      </c>
      <c r="C48" s="599" t="s">
        <v>3278</v>
      </c>
      <c r="E48" s="660"/>
      <c r="F48" s="660">
        <v>0</v>
      </c>
      <c r="G48" s="660">
        <v>0</v>
      </c>
      <c r="I48" s="660"/>
      <c r="J48" s="660">
        <v>0</v>
      </c>
      <c r="K48" s="660">
        <v>0</v>
      </c>
      <c r="M48" s="660">
        <v>0</v>
      </c>
    </row>
    <row r="49" spans="1:13">
      <c r="A49" s="603">
        <v>39</v>
      </c>
      <c r="B49" s="596">
        <v>39</v>
      </c>
      <c r="C49" s="597" t="s">
        <v>3195</v>
      </c>
      <c r="E49" s="659">
        <v>80087920</v>
      </c>
      <c r="F49" s="659">
        <v>0</v>
      </c>
      <c r="G49" s="659">
        <v>80087920</v>
      </c>
      <c r="I49" s="659">
        <v>74591720</v>
      </c>
      <c r="J49" s="659">
        <v>2303433</v>
      </c>
      <c r="K49" s="659">
        <v>76895153</v>
      </c>
      <c r="M49" s="659">
        <v>3192767</v>
      </c>
    </row>
    <row r="50" spans="1:13">
      <c r="A50" s="603">
        <v>40</v>
      </c>
      <c r="B50" s="588">
        <v>40</v>
      </c>
      <c r="C50" s="599" t="s">
        <v>3198</v>
      </c>
      <c r="E50" s="660"/>
      <c r="F50" s="660">
        <v>0</v>
      </c>
      <c r="G50" s="660">
        <v>0</v>
      </c>
      <c r="I50" s="660"/>
      <c r="J50" s="660">
        <v>0</v>
      </c>
      <c r="K50" s="660">
        <v>0</v>
      </c>
      <c r="M50" s="660">
        <v>0</v>
      </c>
    </row>
    <row r="51" spans="1:13">
      <c r="A51" s="603">
        <v>41</v>
      </c>
      <c r="B51" s="596">
        <v>41</v>
      </c>
      <c r="C51" s="597" t="s">
        <v>3279</v>
      </c>
      <c r="E51" s="659"/>
      <c r="F51" s="659">
        <v>0</v>
      </c>
      <c r="G51" s="659">
        <v>0</v>
      </c>
      <c r="I51" s="659"/>
      <c r="J51" s="659">
        <v>0</v>
      </c>
      <c r="K51" s="659">
        <v>0</v>
      </c>
      <c r="M51" s="659">
        <v>0</v>
      </c>
    </row>
    <row r="52" spans="1:13">
      <c r="A52" s="603"/>
      <c r="B52" s="588">
        <v>42</v>
      </c>
      <c r="C52" s="599" t="s">
        <v>3280</v>
      </c>
      <c r="E52" s="660"/>
      <c r="F52" s="660">
        <v>0</v>
      </c>
      <c r="G52" s="660">
        <v>0</v>
      </c>
      <c r="I52" s="660"/>
      <c r="J52" s="660">
        <v>0</v>
      </c>
      <c r="K52" s="660">
        <v>0</v>
      </c>
      <c r="M52" s="660">
        <v>0</v>
      </c>
    </row>
    <row r="53" spans="1:13">
      <c r="A53" s="603">
        <v>0</v>
      </c>
      <c r="B53" s="601"/>
      <c r="C53" s="602" t="s">
        <v>3281</v>
      </c>
      <c r="E53" s="658">
        <v>1339342495</v>
      </c>
      <c r="F53" s="658">
        <v>36596426</v>
      </c>
      <c r="G53" s="658">
        <v>1375938921</v>
      </c>
      <c r="I53" s="658">
        <v>275945664</v>
      </c>
      <c r="J53" s="658">
        <v>1100000000</v>
      </c>
      <c r="K53" s="658">
        <v>1375945664</v>
      </c>
      <c r="M53" s="658">
        <v>-6743</v>
      </c>
    </row>
    <row r="54" spans="1:13">
      <c r="A54" s="603">
        <v>43</v>
      </c>
      <c r="B54" s="596">
        <v>43</v>
      </c>
      <c r="C54" s="597" t="s">
        <v>3282</v>
      </c>
      <c r="E54" s="659"/>
      <c r="F54" s="659">
        <v>5842116</v>
      </c>
      <c r="G54" s="659">
        <v>5842116</v>
      </c>
      <c r="I54" s="659">
        <v>5842116</v>
      </c>
      <c r="J54" s="659">
        <v>0</v>
      </c>
      <c r="K54" s="659">
        <v>5842116</v>
      </c>
      <c r="M54" s="659">
        <v>0</v>
      </c>
    </row>
    <row r="55" spans="1:13">
      <c r="A55" s="603">
        <v>44</v>
      </c>
      <c r="B55" s="588">
        <v>44</v>
      </c>
      <c r="C55" s="599" t="s">
        <v>3283</v>
      </c>
      <c r="E55" s="660">
        <v>81704770</v>
      </c>
      <c r="F55" s="660">
        <v>11180379</v>
      </c>
      <c r="G55" s="660">
        <v>92885149</v>
      </c>
      <c r="I55" s="660">
        <v>92885149</v>
      </c>
      <c r="J55" s="660">
        <v>0</v>
      </c>
      <c r="K55" s="660">
        <v>92885149</v>
      </c>
      <c r="M55" s="660">
        <v>0</v>
      </c>
    </row>
    <row r="56" spans="1:13">
      <c r="A56" s="603"/>
      <c r="B56" s="596">
        <v>45</v>
      </c>
      <c r="C56" s="597" t="s">
        <v>3284</v>
      </c>
      <c r="E56" s="659"/>
      <c r="F56" s="659">
        <v>115862531</v>
      </c>
      <c r="G56" s="659">
        <v>115862531</v>
      </c>
      <c r="I56" s="659">
        <v>115862531</v>
      </c>
      <c r="J56" s="659">
        <v>0</v>
      </c>
      <c r="K56" s="659">
        <v>115862531</v>
      </c>
      <c r="M56" s="659">
        <v>0</v>
      </c>
    </row>
    <row r="57" spans="1:13">
      <c r="A57" s="603"/>
      <c r="B57" s="588">
        <v>46</v>
      </c>
      <c r="C57" s="599" t="s">
        <v>3285</v>
      </c>
      <c r="E57" s="660">
        <v>106872270</v>
      </c>
      <c r="F57" s="660">
        <v>-104182545</v>
      </c>
      <c r="G57" s="660">
        <v>2689725</v>
      </c>
      <c r="I57" s="660">
        <v>2689725</v>
      </c>
      <c r="J57" s="660">
        <v>0</v>
      </c>
      <c r="K57" s="660">
        <v>2689725</v>
      </c>
      <c r="M57" s="660">
        <v>0</v>
      </c>
    </row>
    <row r="58" spans="1:13">
      <c r="A58" s="603"/>
      <c r="B58" s="596">
        <v>47</v>
      </c>
      <c r="C58" s="597" t="s">
        <v>3286</v>
      </c>
      <c r="E58" s="659">
        <v>50765455</v>
      </c>
      <c r="F58" s="659">
        <v>7165876</v>
      </c>
      <c r="G58" s="659">
        <v>57931331</v>
      </c>
      <c r="I58" s="659">
        <v>57931331</v>
      </c>
      <c r="J58" s="659">
        <v>0</v>
      </c>
      <c r="K58" s="659">
        <v>57931331</v>
      </c>
      <c r="M58" s="659">
        <v>0</v>
      </c>
    </row>
    <row r="59" spans="1:13">
      <c r="A59" s="603"/>
      <c r="B59" s="588">
        <v>48</v>
      </c>
      <c r="C59" s="599" t="s">
        <v>3287</v>
      </c>
      <c r="E59" s="660"/>
      <c r="F59" s="660">
        <v>100888</v>
      </c>
      <c r="G59" s="660">
        <v>100888</v>
      </c>
      <c r="I59" s="660">
        <v>100888</v>
      </c>
      <c r="J59" s="660">
        <v>0</v>
      </c>
      <c r="K59" s="660">
        <v>100888</v>
      </c>
      <c r="M59" s="660">
        <v>0</v>
      </c>
    </row>
    <row r="60" spans="1:13">
      <c r="A60" s="603"/>
      <c r="B60" s="596">
        <v>49</v>
      </c>
      <c r="C60" s="597" t="s">
        <v>3288</v>
      </c>
      <c r="E60" s="659"/>
      <c r="F60" s="659">
        <v>0</v>
      </c>
      <c r="G60" s="659">
        <v>0</v>
      </c>
      <c r="I60" s="659"/>
      <c r="J60" s="659">
        <v>0</v>
      </c>
      <c r="K60" s="659">
        <v>0</v>
      </c>
      <c r="M60" s="659">
        <v>0</v>
      </c>
    </row>
    <row r="61" spans="1:13">
      <c r="A61" s="603"/>
      <c r="B61" s="588">
        <v>50</v>
      </c>
      <c r="C61" s="599" t="s">
        <v>3289</v>
      </c>
      <c r="E61" s="660"/>
      <c r="F61" s="660">
        <v>627181</v>
      </c>
      <c r="G61" s="660">
        <v>627181</v>
      </c>
      <c r="I61" s="660">
        <v>627181</v>
      </c>
      <c r="J61" s="660">
        <v>0</v>
      </c>
      <c r="K61" s="660">
        <v>627181</v>
      </c>
      <c r="M61" s="660">
        <v>0</v>
      </c>
    </row>
    <row r="62" spans="1:13">
      <c r="A62" s="603"/>
      <c r="B62" s="596">
        <v>51</v>
      </c>
      <c r="C62" s="597" t="s">
        <v>3218</v>
      </c>
      <c r="E62" s="659">
        <v>1100000000</v>
      </c>
      <c r="F62" s="659">
        <v>0</v>
      </c>
      <c r="G62" s="659">
        <v>1100000000</v>
      </c>
      <c r="I62" s="659">
        <v>6743</v>
      </c>
      <c r="J62" s="659">
        <v>1100000000</v>
      </c>
      <c r="K62" s="659">
        <v>1100006743</v>
      </c>
      <c r="M62" s="659">
        <v>-6743</v>
      </c>
    </row>
    <row r="63" spans="1:13">
      <c r="A63" s="603">
        <v>0</v>
      </c>
      <c r="B63" s="601"/>
      <c r="C63" s="602" t="s">
        <v>3290</v>
      </c>
      <c r="E63" s="658">
        <v>81900000</v>
      </c>
      <c r="F63" s="658">
        <v>0</v>
      </c>
      <c r="G63" s="658">
        <v>81900000</v>
      </c>
      <c r="I63" s="658">
        <v>0</v>
      </c>
      <c r="J63" s="658">
        <v>81900000</v>
      </c>
      <c r="K63" s="658">
        <v>81900000</v>
      </c>
      <c r="M63" s="658">
        <v>0</v>
      </c>
    </row>
    <row r="64" spans="1:13">
      <c r="A64" s="603">
        <v>52</v>
      </c>
      <c r="B64" s="588">
        <v>52</v>
      </c>
      <c r="C64" s="599" t="s">
        <v>3222</v>
      </c>
      <c r="E64" s="660"/>
      <c r="F64" s="660">
        <v>0</v>
      </c>
      <c r="G64" s="660">
        <v>0</v>
      </c>
      <c r="I64" s="660"/>
      <c r="J64" s="660">
        <v>0</v>
      </c>
      <c r="K64" s="660">
        <v>0</v>
      </c>
      <c r="M64" s="660">
        <v>0</v>
      </c>
    </row>
    <row r="65" spans="1:13">
      <c r="A65" s="603">
        <v>53</v>
      </c>
      <c r="B65" s="596">
        <v>53</v>
      </c>
      <c r="C65" s="597" t="s">
        <v>3225</v>
      </c>
      <c r="E65" s="659"/>
      <c r="F65" s="659">
        <v>0</v>
      </c>
      <c r="G65" s="659">
        <v>0</v>
      </c>
      <c r="I65" s="659"/>
      <c r="J65" s="659">
        <v>0</v>
      </c>
      <c r="K65" s="659">
        <v>0</v>
      </c>
      <c r="M65" s="659">
        <v>0</v>
      </c>
    </row>
    <row r="66" spans="1:13">
      <c r="A66" s="603">
        <v>54</v>
      </c>
      <c r="B66" s="588">
        <v>54</v>
      </c>
      <c r="C66" s="599" t="s">
        <v>3291</v>
      </c>
      <c r="E66" s="660">
        <v>81900000</v>
      </c>
      <c r="F66" s="660">
        <v>0</v>
      </c>
      <c r="G66" s="660">
        <v>81900000</v>
      </c>
      <c r="I66" s="660"/>
      <c r="J66" s="660">
        <v>81900000</v>
      </c>
      <c r="K66" s="660">
        <v>81900000</v>
      </c>
      <c r="M66" s="660">
        <v>0</v>
      </c>
    </row>
    <row r="67" spans="1:13">
      <c r="A67" s="603"/>
      <c r="B67" s="601"/>
      <c r="C67" s="602" t="s">
        <v>3292</v>
      </c>
      <c r="E67" s="658">
        <v>28850000</v>
      </c>
      <c r="F67" s="658">
        <v>0</v>
      </c>
      <c r="G67" s="658">
        <v>28850000</v>
      </c>
      <c r="I67" s="658">
        <v>0</v>
      </c>
      <c r="J67" s="658">
        <v>28800000</v>
      </c>
      <c r="K67" s="658">
        <v>28800000</v>
      </c>
      <c r="M67" s="658">
        <v>50000</v>
      </c>
    </row>
    <row r="68" spans="1:13">
      <c r="A68" s="603"/>
      <c r="B68" s="596">
        <v>55</v>
      </c>
      <c r="C68" s="597" t="s">
        <v>3231</v>
      </c>
      <c r="E68" s="659">
        <v>2300000</v>
      </c>
      <c r="F68" s="659">
        <v>0</v>
      </c>
      <c r="G68" s="659">
        <v>2300000</v>
      </c>
      <c r="I68" s="659"/>
      <c r="J68" s="659">
        <v>2300000</v>
      </c>
      <c r="K68" s="659">
        <v>2300000</v>
      </c>
      <c r="M68" s="659">
        <v>0</v>
      </c>
    </row>
    <row r="69" spans="1:13">
      <c r="A69" s="603"/>
      <c r="B69" s="588">
        <v>56</v>
      </c>
      <c r="C69" s="599" t="s">
        <v>3293</v>
      </c>
      <c r="E69" s="660">
        <v>26550000</v>
      </c>
      <c r="F69" s="660">
        <v>0</v>
      </c>
      <c r="G69" s="660">
        <v>26550000</v>
      </c>
      <c r="I69" s="660"/>
      <c r="J69" s="660">
        <v>26500000</v>
      </c>
      <c r="K69" s="660">
        <v>26500000</v>
      </c>
      <c r="M69" s="660">
        <v>50000</v>
      </c>
    </row>
    <row r="70" spans="1:13">
      <c r="A70" s="603">
        <v>0</v>
      </c>
      <c r="B70" s="601"/>
      <c r="C70" s="602" t="s">
        <v>340</v>
      </c>
      <c r="E70" s="658">
        <v>79130378</v>
      </c>
      <c r="F70" s="658">
        <v>28391972</v>
      </c>
      <c r="G70" s="658">
        <v>107522350</v>
      </c>
      <c r="I70" s="658">
        <v>107502310</v>
      </c>
      <c r="J70" s="658">
        <v>0</v>
      </c>
      <c r="K70" s="658">
        <v>107502310</v>
      </c>
      <c r="M70" s="658">
        <v>20040</v>
      </c>
    </row>
    <row r="71" spans="1:13">
      <c r="A71" s="603">
        <v>57</v>
      </c>
      <c r="B71" s="596">
        <v>57</v>
      </c>
      <c r="C71" s="597" t="s">
        <v>3294</v>
      </c>
      <c r="E71" s="659">
        <v>79130378</v>
      </c>
      <c r="F71" s="659">
        <v>28391972</v>
      </c>
      <c r="G71" s="659">
        <v>107522350</v>
      </c>
      <c r="I71" s="659">
        <v>107502310</v>
      </c>
      <c r="J71" s="659">
        <v>0</v>
      </c>
      <c r="K71" s="659">
        <v>107502310</v>
      </c>
      <c r="M71" s="659">
        <v>20040</v>
      </c>
    </row>
    <row r="72" spans="1:13">
      <c r="A72" s="603">
        <v>0</v>
      </c>
      <c r="B72" s="601"/>
      <c r="C72" s="602" t="s">
        <v>3295</v>
      </c>
      <c r="E72" s="658">
        <v>666032437</v>
      </c>
      <c r="F72" s="658">
        <v>233205897</v>
      </c>
      <c r="G72" s="658">
        <v>899238334</v>
      </c>
      <c r="I72" s="658">
        <v>899238334</v>
      </c>
      <c r="J72" s="658">
        <v>0</v>
      </c>
      <c r="K72" s="658">
        <v>899238334</v>
      </c>
      <c r="M72" s="658">
        <v>0</v>
      </c>
    </row>
    <row r="73" spans="1:13">
      <c r="A73" s="603">
        <v>58</v>
      </c>
      <c r="B73" s="588">
        <v>58</v>
      </c>
      <c r="C73" s="599" t="s">
        <v>3296</v>
      </c>
      <c r="E73" s="660">
        <v>666032437</v>
      </c>
      <c r="F73" s="660">
        <v>233205897</v>
      </c>
      <c r="G73" s="660">
        <v>899238334</v>
      </c>
      <c r="I73" s="660">
        <v>899238334</v>
      </c>
      <c r="J73" s="660">
        <v>0</v>
      </c>
      <c r="K73" s="660">
        <v>899238334</v>
      </c>
      <c r="M73" s="660">
        <v>0</v>
      </c>
    </row>
    <row r="74" spans="1:13">
      <c r="A74" s="603"/>
      <c r="B74" s="601"/>
      <c r="C74" s="602" t="s">
        <v>3297</v>
      </c>
      <c r="E74" s="658">
        <v>0</v>
      </c>
      <c r="F74" s="658">
        <v>0</v>
      </c>
      <c r="G74" s="658">
        <v>0</v>
      </c>
      <c r="I74" s="658">
        <v>0</v>
      </c>
      <c r="J74" s="658">
        <v>0</v>
      </c>
      <c r="K74" s="658">
        <v>0</v>
      </c>
      <c r="M74" s="658">
        <v>0</v>
      </c>
    </row>
    <row r="75" spans="1:13">
      <c r="A75" s="603"/>
      <c r="B75" s="588">
        <v>59</v>
      </c>
      <c r="C75" s="599" t="s">
        <v>3298</v>
      </c>
      <c r="E75" s="660"/>
      <c r="F75" s="660">
        <v>0</v>
      </c>
      <c r="G75" s="660">
        <v>0</v>
      </c>
      <c r="I75" s="660"/>
      <c r="J75" s="660">
        <v>0</v>
      </c>
      <c r="K75" s="660">
        <v>0</v>
      </c>
      <c r="M75" s="660"/>
    </row>
    <row r="76" spans="1:13">
      <c r="A76" s="603"/>
      <c r="B76" s="601"/>
      <c r="C76" s="602" t="s">
        <v>3299</v>
      </c>
      <c r="E76" s="658">
        <v>0</v>
      </c>
      <c r="F76" s="658">
        <v>0</v>
      </c>
      <c r="G76" s="658">
        <v>0</v>
      </c>
      <c r="I76" s="658">
        <v>0</v>
      </c>
      <c r="J76" s="658">
        <v>0</v>
      </c>
      <c r="K76" s="658">
        <v>0</v>
      </c>
      <c r="M76" s="658">
        <v>0</v>
      </c>
    </row>
    <row r="77" spans="1:13">
      <c r="A77" s="603"/>
      <c r="B77" s="588">
        <v>60</v>
      </c>
      <c r="C77" s="599" t="s">
        <v>3300</v>
      </c>
      <c r="E77" s="660"/>
      <c r="F77" s="660">
        <v>0</v>
      </c>
      <c r="G77" s="660">
        <v>0</v>
      </c>
      <c r="I77" s="660"/>
      <c r="J77" s="660">
        <v>0</v>
      </c>
      <c r="K77" s="660">
        <v>0</v>
      </c>
      <c r="M77" s="660"/>
    </row>
    <row r="78" spans="1:13">
      <c r="A78" s="603"/>
      <c r="B78" s="601"/>
      <c r="C78" s="602" t="s">
        <v>3301</v>
      </c>
      <c r="E78" s="658">
        <v>124130765</v>
      </c>
      <c r="F78" s="658">
        <v>0</v>
      </c>
      <c r="G78" s="658">
        <v>124130765</v>
      </c>
      <c r="I78" s="658">
        <v>0</v>
      </c>
      <c r="J78" s="658">
        <v>0</v>
      </c>
      <c r="K78" s="658">
        <v>0</v>
      </c>
      <c r="M78" s="658">
        <v>124130765</v>
      </c>
    </row>
    <row r="79" spans="1:13">
      <c r="A79" s="603"/>
      <c r="B79" s="596">
        <v>61</v>
      </c>
      <c r="C79" s="597" t="s">
        <v>3302</v>
      </c>
      <c r="E79" s="659"/>
      <c r="F79" s="659"/>
      <c r="G79" s="659"/>
      <c r="I79" s="659"/>
      <c r="J79" s="659"/>
      <c r="K79" s="659"/>
      <c r="M79" s="659"/>
    </row>
  </sheetData>
  <mergeCells count="5">
    <mergeCell ref="B3:B4"/>
    <mergeCell ref="C3:C4"/>
    <mergeCell ref="E3:G3"/>
    <mergeCell ref="I3:K3"/>
    <mergeCell ref="M3:M4"/>
  </mergeCells>
  <hyperlinks>
    <hyperlink ref="A1" location="Sommaire!A1" display="Sommaire!A1" xr:uid="{00000000-0004-0000-1000-000000000000}"/>
  </hyperlinks>
  <pageMargins left="0.7" right="0.7" top="0.75" bottom="0.75" header="0.3" footer="0.3"/>
  <pageSetup paperSize="9"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M79"/>
  <sheetViews>
    <sheetView showGridLines="0" zoomScaleNormal="100" workbookViewId="0">
      <selection activeCell="B1" sqref="B1"/>
    </sheetView>
  </sheetViews>
  <sheetFormatPr baseColWidth="10" defaultColWidth="11.33203125" defaultRowHeight="12"/>
  <cols>
    <col min="1" max="1" width="10.1640625" style="588" bestFit="1" customWidth="1"/>
    <col min="2" max="2" width="19" style="588" bestFit="1" customWidth="1"/>
    <col min="3" max="3" width="54.5" style="605" bestFit="1" customWidth="1"/>
    <col min="4" max="4" width="0.6640625" style="590" customWidth="1"/>
    <col min="5" max="5" width="15.6640625" style="590" bestFit="1" customWidth="1"/>
    <col min="6" max="6" width="10.6640625" style="588" bestFit="1" customWidth="1"/>
    <col min="7" max="7" width="11.5" style="590" bestFit="1" customWidth="1"/>
    <col min="8" max="8" width="0.6640625" style="590" customWidth="1"/>
    <col min="9" max="9" width="11.5" style="590" bestFit="1" customWidth="1"/>
    <col min="10" max="10" width="10.1640625" style="590" bestFit="1" customWidth="1"/>
    <col min="11" max="11" width="11.5" style="590" bestFit="1" customWidth="1"/>
    <col min="12" max="12" width="0.6640625" style="590" customWidth="1"/>
    <col min="13" max="13" width="13.83203125" style="590" bestFit="1" customWidth="1"/>
    <col min="14" max="16384" width="11.33203125" style="590"/>
  </cols>
  <sheetData>
    <row r="1" spans="1:13" ht="36">
      <c r="A1" s="661" t="s">
        <v>140</v>
      </c>
      <c r="C1" s="589" t="s">
        <v>3249</v>
      </c>
      <c r="E1" s="591" t="s">
        <v>203</v>
      </c>
      <c r="F1" s="591" t="s">
        <v>3307</v>
      </c>
      <c r="G1" s="592"/>
      <c r="J1" s="592" t="s">
        <v>3251</v>
      </c>
      <c r="K1" s="592">
        <v>2023</v>
      </c>
    </row>
    <row r="2" spans="1:13">
      <c r="C2" s="593"/>
      <c r="F2" s="590"/>
      <c r="I2" s="590" t="s">
        <v>3252</v>
      </c>
      <c r="J2" s="594">
        <v>604.32574999999997</v>
      </c>
    </row>
    <row r="3" spans="1:13">
      <c r="B3" s="753" t="s">
        <v>143</v>
      </c>
      <c r="C3" s="754" t="s">
        <v>3253</v>
      </c>
      <c r="E3" s="755" t="s">
        <v>2084</v>
      </c>
      <c r="F3" s="755"/>
      <c r="G3" s="755"/>
      <c r="I3" s="755" t="s">
        <v>3254</v>
      </c>
      <c r="J3" s="755"/>
      <c r="K3" s="755"/>
      <c r="M3" s="756" t="s">
        <v>3255</v>
      </c>
    </row>
    <row r="4" spans="1:13">
      <c r="B4" s="753"/>
      <c r="C4" s="754"/>
      <c r="E4" s="595" t="s">
        <v>3256</v>
      </c>
      <c r="F4" s="595" t="s">
        <v>3257</v>
      </c>
      <c r="G4" s="595" t="s">
        <v>3258</v>
      </c>
      <c r="I4" s="595" t="s">
        <v>3256</v>
      </c>
      <c r="J4" s="595" t="s">
        <v>3257</v>
      </c>
      <c r="K4" s="595" t="s">
        <v>3258</v>
      </c>
      <c r="M4" s="756"/>
    </row>
    <row r="5" spans="1:13">
      <c r="B5" s="655" t="s">
        <v>3092</v>
      </c>
      <c r="C5" s="656"/>
      <c r="E5" s="657">
        <v>0</v>
      </c>
      <c r="F5" s="657">
        <v>0</v>
      </c>
      <c r="G5" s="657">
        <v>0</v>
      </c>
      <c r="I5" s="657">
        <v>0</v>
      </c>
      <c r="J5" s="657">
        <v>0</v>
      </c>
      <c r="K5" s="657">
        <v>0</v>
      </c>
      <c r="M5" s="657">
        <v>0</v>
      </c>
    </row>
    <row r="6" spans="1:13">
      <c r="B6" s="596">
        <v>1</v>
      </c>
      <c r="C6" s="597" t="s">
        <v>3259</v>
      </c>
      <c r="E6" s="598"/>
      <c r="F6" s="598">
        <v>0</v>
      </c>
      <c r="G6" s="598">
        <v>0</v>
      </c>
      <c r="I6" s="598"/>
      <c r="J6" s="598">
        <v>0</v>
      </c>
      <c r="K6" s="598">
        <v>0</v>
      </c>
      <c r="M6" s="598">
        <v>0</v>
      </c>
    </row>
    <row r="7" spans="1:13">
      <c r="B7" s="588">
        <v>2</v>
      </c>
      <c r="C7" s="599" t="s">
        <v>3260</v>
      </c>
      <c r="E7" s="600"/>
      <c r="F7" s="600">
        <v>0</v>
      </c>
      <c r="G7" s="600">
        <v>0</v>
      </c>
      <c r="I7" s="600"/>
      <c r="J7" s="600">
        <v>0</v>
      </c>
      <c r="K7" s="600">
        <v>0</v>
      </c>
      <c r="M7" s="600">
        <v>0</v>
      </c>
    </row>
    <row r="8" spans="1:13">
      <c r="B8" s="655" t="s">
        <v>3101</v>
      </c>
      <c r="C8" s="656"/>
      <c r="E8" s="657">
        <v>454942652</v>
      </c>
      <c r="F8" s="657">
        <v>133939388</v>
      </c>
      <c r="G8" s="657">
        <v>588882040</v>
      </c>
      <c r="I8" s="657">
        <v>451039875</v>
      </c>
      <c r="J8" s="657">
        <v>-4947092</v>
      </c>
      <c r="K8" s="657">
        <v>446092783</v>
      </c>
      <c r="M8" s="657">
        <v>142789257</v>
      </c>
    </row>
    <row r="9" spans="1:13">
      <c r="B9" s="601"/>
      <c r="C9" s="602" t="s">
        <v>1244</v>
      </c>
      <c r="E9" s="658">
        <v>0</v>
      </c>
      <c r="F9" s="658">
        <v>85932626</v>
      </c>
      <c r="G9" s="658">
        <v>85932626</v>
      </c>
      <c r="I9" s="658">
        <v>85995026</v>
      </c>
      <c r="J9" s="658">
        <v>0</v>
      </c>
      <c r="K9" s="658">
        <v>85995026</v>
      </c>
      <c r="M9" s="658">
        <v>-62400</v>
      </c>
    </row>
    <row r="10" spans="1:13">
      <c r="A10" s="603">
        <v>3</v>
      </c>
      <c r="B10" s="596">
        <v>3</v>
      </c>
      <c r="C10" s="597" t="s">
        <v>3261</v>
      </c>
      <c r="E10" s="659"/>
      <c r="F10" s="659">
        <v>62491626</v>
      </c>
      <c r="G10" s="659">
        <v>62491626</v>
      </c>
      <c r="I10" s="659">
        <v>62491626</v>
      </c>
      <c r="J10" s="659">
        <v>0</v>
      </c>
      <c r="K10" s="659">
        <v>62491626</v>
      </c>
      <c r="M10" s="659">
        <v>0</v>
      </c>
    </row>
    <row r="11" spans="1:13">
      <c r="A11" s="603">
        <v>4</v>
      </c>
      <c r="B11" s="588">
        <v>4</v>
      </c>
      <c r="C11" s="599" t="s">
        <v>3106</v>
      </c>
      <c r="E11" s="660"/>
      <c r="F11" s="660">
        <v>0</v>
      </c>
      <c r="G11" s="660">
        <v>0</v>
      </c>
      <c r="I11" s="660"/>
      <c r="J11" s="660">
        <v>0</v>
      </c>
      <c r="K11" s="660">
        <v>0</v>
      </c>
      <c r="M11" s="660">
        <v>0</v>
      </c>
    </row>
    <row r="12" spans="1:13">
      <c r="A12" s="603">
        <v>5</v>
      </c>
      <c r="B12" s="596">
        <v>5</v>
      </c>
      <c r="C12" s="597" t="s">
        <v>3262</v>
      </c>
      <c r="E12" s="659"/>
      <c r="F12" s="659">
        <v>23441000</v>
      </c>
      <c r="G12" s="659">
        <v>23441000</v>
      </c>
      <c r="I12" s="659">
        <v>23441000</v>
      </c>
      <c r="J12" s="659">
        <v>0</v>
      </c>
      <c r="K12" s="659">
        <v>23441000</v>
      </c>
      <c r="M12" s="659">
        <v>0</v>
      </c>
    </row>
    <row r="13" spans="1:13">
      <c r="A13" s="603">
        <v>6</v>
      </c>
      <c r="B13" s="588">
        <v>6</v>
      </c>
      <c r="C13" s="599" t="s">
        <v>3263</v>
      </c>
      <c r="E13" s="660"/>
      <c r="F13" s="660">
        <v>0</v>
      </c>
      <c r="G13" s="660">
        <v>0</v>
      </c>
      <c r="I13" s="660"/>
      <c r="J13" s="660">
        <v>0</v>
      </c>
      <c r="K13" s="660">
        <v>0</v>
      </c>
      <c r="M13" s="660">
        <v>0</v>
      </c>
    </row>
    <row r="14" spans="1:13">
      <c r="A14" s="603">
        <v>7</v>
      </c>
      <c r="B14" s="596">
        <v>7</v>
      </c>
      <c r="C14" s="597" t="s">
        <v>3114</v>
      </c>
      <c r="E14" s="659"/>
      <c r="F14" s="659">
        <v>0</v>
      </c>
      <c r="G14" s="659">
        <v>0</v>
      </c>
      <c r="I14" s="659">
        <v>62400</v>
      </c>
      <c r="J14" s="659">
        <v>0</v>
      </c>
      <c r="K14" s="659">
        <v>62400</v>
      </c>
      <c r="M14" s="659">
        <v>-62400</v>
      </c>
    </row>
    <row r="15" spans="1:13">
      <c r="A15" s="603">
        <v>0</v>
      </c>
      <c r="B15" s="601"/>
      <c r="C15" s="602" t="s">
        <v>1253</v>
      </c>
      <c r="E15" s="658">
        <v>0</v>
      </c>
      <c r="F15" s="658">
        <v>0</v>
      </c>
      <c r="G15" s="658">
        <v>0</v>
      </c>
      <c r="I15" s="658">
        <v>0</v>
      </c>
      <c r="J15" s="658">
        <v>0</v>
      </c>
      <c r="K15" s="658">
        <v>0</v>
      </c>
      <c r="M15" s="658">
        <v>0</v>
      </c>
    </row>
    <row r="16" spans="1:13">
      <c r="A16" s="603">
        <v>8</v>
      </c>
      <c r="B16" s="588">
        <v>8</v>
      </c>
      <c r="C16" s="599" t="s">
        <v>3264</v>
      </c>
      <c r="E16" s="660"/>
      <c r="F16" s="660">
        <v>0</v>
      </c>
      <c r="G16" s="660">
        <v>0</v>
      </c>
      <c r="I16" s="660"/>
      <c r="J16" s="660">
        <v>0</v>
      </c>
      <c r="K16" s="660">
        <v>0</v>
      </c>
      <c r="M16" s="660">
        <v>0</v>
      </c>
    </row>
    <row r="17" spans="1:13">
      <c r="A17" s="603">
        <v>9</v>
      </c>
      <c r="B17" s="596">
        <v>9</v>
      </c>
      <c r="C17" s="597" t="s">
        <v>3265</v>
      </c>
      <c r="E17" s="659"/>
      <c r="F17" s="659">
        <v>0</v>
      </c>
      <c r="G17" s="659">
        <v>0</v>
      </c>
      <c r="I17" s="659"/>
      <c r="J17" s="659">
        <v>0</v>
      </c>
      <c r="K17" s="659">
        <v>0</v>
      </c>
      <c r="M17" s="659">
        <v>0</v>
      </c>
    </row>
    <row r="18" spans="1:13">
      <c r="A18" s="603">
        <v>10</v>
      </c>
      <c r="B18" s="588">
        <v>10</v>
      </c>
      <c r="C18" s="599" t="s">
        <v>3122</v>
      </c>
      <c r="E18" s="660"/>
      <c r="F18" s="660">
        <v>0</v>
      </c>
      <c r="G18" s="660">
        <v>0</v>
      </c>
      <c r="I18" s="660"/>
      <c r="J18" s="660">
        <v>0</v>
      </c>
      <c r="K18" s="660">
        <v>0</v>
      </c>
      <c r="M18" s="660">
        <v>0</v>
      </c>
    </row>
    <row r="19" spans="1:13">
      <c r="A19" s="603">
        <v>11</v>
      </c>
      <c r="B19" s="596">
        <v>11</v>
      </c>
      <c r="C19" s="597" t="s">
        <v>3124</v>
      </c>
      <c r="E19" s="659"/>
      <c r="F19" s="659">
        <v>0</v>
      </c>
      <c r="G19" s="659">
        <v>0</v>
      </c>
      <c r="I19" s="659"/>
      <c r="J19" s="659">
        <v>0</v>
      </c>
      <c r="K19" s="659">
        <v>0</v>
      </c>
      <c r="M19" s="659">
        <v>0</v>
      </c>
    </row>
    <row r="20" spans="1:13">
      <c r="A20" s="603">
        <v>12</v>
      </c>
      <c r="B20" s="588">
        <v>12</v>
      </c>
      <c r="C20" s="599" t="s">
        <v>3266</v>
      </c>
      <c r="E20" s="660"/>
      <c r="F20" s="660">
        <v>0</v>
      </c>
      <c r="G20" s="660">
        <v>0</v>
      </c>
      <c r="I20" s="660"/>
      <c r="J20" s="660">
        <v>0</v>
      </c>
      <c r="K20" s="660">
        <v>0</v>
      </c>
      <c r="M20" s="660">
        <v>0</v>
      </c>
    </row>
    <row r="21" spans="1:13">
      <c r="A21" s="603">
        <v>13</v>
      </c>
      <c r="B21" s="596">
        <v>13</v>
      </c>
      <c r="C21" s="597" t="s">
        <v>3267</v>
      </c>
      <c r="E21" s="659"/>
      <c r="F21" s="659">
        <v>0</v>
      </c>
      <c r="G21" s="659">
        <v>0</v>
      </c>
      <c r="I21" s="659"/>
      <c r="J21" s="659">
        <v>0</v>
      </c>
      <c r="K21" s="659">
        <v>0</v>
      </c>
      <c r="M21" s="659">
        <v>0</v>
      </c>
    </row>
    <row r="22" spans="1:13">
      <c r="A22" s="603">
        <v>14</v>
      </c>
      <c r="B22" s="588">
        <v>14</v>
      </c>
      <c r="C22" s="599" t="s">
        <v>3268</v>
      </c>
      <c r="E22" s="660"/>
      <c r="F22" s="660">
        <v>0</v>
      </c>
      <c r="G22" s="660">
        <v>0</v>
      </c>
      <c r="I22" s="660"/>
      <c r="J22" s="660">
        <v>0</v>
      </c>
      <c r="K22" s="660">
        <v>0</v>
      </c>
      <c r="M22" s="660">
        <v>0</v>
      </c>
    </row>
    <row r="23" spans="1:13">
      <c r="A23" s="603">
        <v>15</v>
      </c>
      <c r="B23" s="596">
        <v>15</v>
      </c>
      <c r="C23" s="597" t="s">
        <v>3133</v>
      </c>
      <c r="E23" s="659"/>
      <c r="F23" s="659">
        <v>0</v>
      </c>
      <c r="G23" s="659">
        <v>0</v>
      </c>
      <c r="I23" s="659"/>
      <c r="J23" s="659">
        <v>0</v>
      </c>
      <c r="K23" s="659">
        <v>0</v>
      </c>
      <c r="M23" s="659">
        <v>0</v>
      </c>
    </row>
    <row r="24" spans="1:13">
      <c r="A24" s="603">
        <v>16</v>
      </c>
      <c r="B24" s="588">
        <v>16</v>
      </c>
      <c r="C24" s="599" t="s">
        <v>3136</v>
      </c>
      <c r="E24" s="660"/>
      <c r="F24" s="660">
        <v>0</v>
      </c>
      <c r="G24" s="660">
        <v>0</v>
      </c>
      <c r="I24" s="660"/>
      <c r="J24" s="660">
        <v>0</v>
      </c>
      <c r="K24" s="660">
        <v>0</v>
      </c>
      <c r="M24" s="660">
        <v>0</v>
      </c>
    </row>
    <row r="25" spans="1:13">
      <c r="A25" s="603">
        <v>0</v>
      </c>
      <c r="B25" s="601"/>
      <c r="C25" s="602" t="s">
        <v>3269</v>
      </c>
      <c r="E25" s="658">
        <v>0</v>
      </c>
      <c r="F25" s="658">
        <v>0</v>
      </c>
      <c r="G25" s="658">
        <v>0</v>
      </c>
      <c r="I25" s="658">
        <v>0</v>
      </c>
      <c r="J25" s="658">
        <v>0</v>
      </c>
      <c r="K25" s="658">
        <v>0</v>
      </c>
      <c r="M25" s="658">
        <v>0</v>
      </c>
    </row>
    <row r="26" spans="1:13">
      <c r="A26" s="603">
        <v>17</v>
      </c>
      <c r="B26" s="596">
        <v>17</v>
      </c>
      <c r="C26" s="597" t="s">
        <v>3270</v>
      </c>
      <c r="E26" s="659"/>
      <c r="F26" s="659">
        <v>0</v>
      </c>
      <c r="G26" s="659">
        <v>0</v>
      </c>
      <c r="I26" s="659"/>
      <c r="J26" s="659">
        <v>0</v>
      </c>
      <c r="K26" s="659">
        <v>0</v>
      </c>
      <c r="M26" s="659">
        <v>0</v>
      </c>
    </row>
    <row r="27" spans="1:13">
      <c r="A27" s="603">
        <v>18</v>
      </c>
      <c r="B27" s="588">
        <v>18</v>
      </c>
      <c r="C27" s="599" t="s">
        <v>3141</v>
      </c>
      <c r="E27" s="660"/>
      <c r="F27" s="660">
        <v>0</v>
      </c>
      <c r="G27" s="660">
        <v>0</v>
      </c>
      <c r="I27" s="660"/>
      <c r="J27" s="660">
        <v>0</v>
      </c>
      <c r="K27" s="660">
        <v>0</v>
      </c>
      <c r="M27" s="660">
        <v>0</v>
      </c>
    </row>
    <row r="28" spans="1:13">
      <c r="A28" s="603">
        <v>19</v>
      </c>
      <c r="B28" s="596">
        <v>19</v>
      </c>
      <c r="C28" s="597" t="s">
        <v>3144</v>
      </c>
      <c r="E28" s="659"/>
      <c r="F28" s="659">
        <v>0</v>
      </c>
      <c r="G28" s="659">
        <v>0</v>
      </c>
      <c r="I28" s="659"/>
      <c r="J28" s="659">
        <v>0</v>
      </c>
      <c r="K28" s="659">
        <v>0</v>
      </c>
      <c r="M28" s="659">
        <v>0</v>
      </c>
    </row>
    <row r="29" spans="1:13">
      <c r="A29" s="603">
        <v>20</v>
      </c>
      <c r="B29" s="588">
        <v>20</v>
      </c>
      <c r="C29" s="599" t="s">
        <v>3147</v>
      </c>
      <c r="E29" s="660"/>
      <c r="F29" s="660">
        <v>0</v>
      </c>
      <c r="G29" s="660">
        <v>0</v>
      </c>
      <c r="I29" s="660"/>
      <c r="J29" s="660">
        <v>0</v>
      </c>
      <c r="K29" s="660">
        <v>0</v>
      </c>
      <c r="M29" s="660">
        <v>0</v>
      </c>
    </row>
    <row r="30" spans="1:13">
      <c r="A30" s="603">
        <v>21</v>
      </c>
      <c r="B30" s="596">
        <v>21</v>
      </c>
      <c r="C30" s="597" t="s">
        <v>3271</v>
      </c>
      <c r="E30" s="659"/>
      <c r="F30" s="659">
        <v>0</v>
      </c>
      <c r="G30" s="659">
        <v>0</v>
      </c>
      <c r="I30" s="659"/>
      <c r="J30" s="659">
        <v>0</v>
      </c>
      <c r="K30" s="659">
        <v>0</v>
      </c>
      <c r="M30" s="659">
        <v>0</v>
      </c>
    </row>
    <row r="31" spans="1:13">
      <c r="A31" s="603">
        <v>22</v>
      </c>
      <c r="B31" s="588">
        <v>22</v>
      </c>
      <c r="C31" s="599" t="s">
        <v>3272</v>
      </c>
      <c r="E31" s="660"/>
      <c r="F31" s="660">
        <v>0</v>
      </c>
      <c r="G31" s="660">
        <v>0</v>
      </c>
      <c r="I31" s="660"/>
      <c r="J31" s="660">
        <v>0</v>
      </c>
      <c r="K31" s="660">
        <v>0</v>
      </c>
      <c r="M31" s="660">
        <v>0</v>
      </c>
    </row>
    <row r="32" spans="1:13">
      <c r="A32" s="603">
        <v>23</v>
      </c>
      <c r="B32" s="596">
        <v>23</v>
      </c>
      <c r="C32" s="597" t="s">
        <v>3273</v>
      </c>
      <c r="E32" s="659"/>
      <c r="F32" s="659">
        <v>0</v>
      </c>
      <c r="G32" s="659">
        <v>0</v>
      </c>
      <c r="I32" s="659"/>
      <c r="J32" s="659">
        <v>0</v>
      </c>
      <c r="K32" s="659">
        <v>0</v>
      </c>
      <c r="M32" s="659">
        <v>0</v>
      </c>
    </row>
    <row r="33" spans="1:13">
      <c r="A33" s="603">
        <v>24</v>
      </c>
      <c r="B33" s="588">
        <v>24</v>
      </c>
      <c r="C33" s="599" t="s">
        <v>3158</v>
      </c>
      <c r="E33" s="660"/>
      <c r="F33" s="660">
        <v>0</v>
      </c>
      <c r="G33" s="660">
        <v>0</v>
      </c>
      <c r="I33" s="660"/>
      <c r="J33" s="660">
        <v>0</v>
      </c>
      <c r="K33" s="660">
        <v>0</v>
      </c>
      <c r="M33" s="660">
        <v>0</v>
      </c>
    </row>
    <row r="34" spans="1:13" s="604" customFormat="1">
      <c r="A34" s="603">
        <v>25</v>
      </c>
      <c r="B34" s="596">
        <v>25</v>
      </c>
      <c r="C34" s="597" t="s">
        <v>3274</v>
      </c>
      <c r="D34" s="590"/>
      <c r="E34" s="659"/>
      <c r="F34" s="659">
        <v>0</v>
      </c>
      <c r="G34" s="659">
        <v>0</v>
      </c>
      <c r="H34" s="590"/>
      <c r="I34" s="659"/>
      <c r="J34" s="659">
        <v>0</v>
      </c>
      <c r="K34" s="659">
        <v>0</v>
      </c>
      <c r="L34" s="590"/>
      <c r="M34" s="659">
        <v>0</v>
      </c>
    </row>
    <row r="35" spans="1:13">
      <c r="A35" s="603">
        <v>26</v>
      </c>
      <c r="B35" s="588">
        <v>26</v>
      </c>
      <c r="C35" s="599" t="s">
        <v>3275</v>
      </c>
      <c r="E35" s="660"/>
      <c r="F35" s="660">
        <v>0</v>
      </c>
      <c r="G35" s="660">
        <v>0</v>
      </c>
      <c r="I35" s="660"/>
      <c r="J35" s="660">
        <v>0</v>
      </c>
      <c r="K35" s="660">
        <v>0</v>
      </c>
      <c r="M35" s="660">
        <v>0</v>
      </c>
    </row>
    <row r="36" spans="1:13">
      <c r="A36" s="603">
        <v>0</v>
      </c>
      <c r="B36" s="601"/>
      <c r="C36" s="602" t="s">
        <v>3276</v>
      </c>
      <c r="E36" s="658">
        <v>454942652</v>
      </c>
      <c r="F36" s="658">
        <v>0</v>
      </c>
      <c r="G36" s="658">
        <v>454942652</v>
      </c>
      <c r="I36" s="658">
        <v>312090995</v>
      </c>
      <c r="J36" s="658">
        <v>0</v>
      </c>
      <c r="K36" s="658">
        <v>312090995</v>
      </c>
      <c r="M36" s="658">
        <v>142851657</v>
      </c>
    </row>
    <row r="37" spans="1:13">
      <c r="A37" s="603">
        <v>27</v>
      </c>
      <c r="B37" s="596">
        <v>27</v>
      </c>
      <c r="C37" s="597" t="s">
        <v>3164</v>
      </c>
      <c r="E37" s="659">
        <v>48000106</v>
      </c>
      <c r="F37" s="659">
        <v>0</v>
      </c>
      <c r="G37" s="659">
        <v>48000106</v>
      </c>
      <c r="I37" s="659">
        <v>48000106</v>
      </c>
      <c r="J37" s="659">
        <v>0</v>
      </c>
      <c r="K37" s="659">
        <v>48000106</v>
      </c>
      <c r="M37" s="659">
        <v>0</v>
      </c>
    </row>
    <row r="38" spans="1:13">
      <c r="A38" s="603">
        <v>28</v>
      </c>
      <c r="B38" s="588">
        <v>28</v>
      </c>
      <c r="C38" s="599" t="s">
        <v>3167</v>
      </c>
      <c r="E38" s="660">
        <v>127118903</v>
      </c>
      <c r="F38" s="660">
        <v>0</v>
      </c>
      <c r="G38" s="660">
        <v>127118903</v>
      </c>
      <c r="I38" s="660">
        <v>127118903</v>
      </c>
      <c r="J38" s="660">
        <v>0</v>
      </c>
      <c r="K38" s="660">
        <v>127118903</v>
      </c>
      <c r="M38" s="660">
        <v>0</v>
      </c>
    </row>
    <row r="39" spans="1:13">
      <c r="A39" s="603">
        <v>29</v>
      </c>
      <c r="B39" s="596">
        <v>29</v>
      </c>
      <c r="C39" s="597" t="s">
        <v>3170</v>
      </c>
      <c r="E39" s="659"/>
      <c r="F39" s="659">
        <v>0</v>
      </c>
      <c r="G39" s="659">
        <v>0</v>
      </c>
      <c r="I39" s="659"/>
      <c r="J39" s="659">
        <v>0</v>
      </c>
      <c r="K39" s="659">
        <v>0</v>
      </c>
      <c r="M39" s="659">
        <v>0</v>
      </c>
    </row>
    <row r="40" spans="1:13">
      <c r="A40" s="603">
        <v>30</v>
      </c>
      <c r="B40" s="588">
        <v>30</v>
      </c>
      <c r="C40" s="599" t="s">
        <v>3173</v>
      </c>
      <c r="E40" s="660">
        <v>270816904</v>
      </c>
      <c r="F40" s="660">
        <v>0</v>
      </c>
      <c r="G40" s="660">
        <v>270816904</v>
      </c>
      <c r="I40" s="660">
        <v>127965247</v>
      </c>
      <c r="J40" s="660">
        <v>0</v>
      </c>
      <c r="K40" s="660">
        <v>127965247</v>
      </c>
      <c r="M40" s="660">
        <v>142851657</v>
      </c>
    </row>
    <row r="41" spans="1:13">
      <c r="A41" s="603">
        <v>31</v>
      </c>
      <c r="B41" s="596">
        <v>31</v>
      </c>
      <c r="C41" s="597" t="s">
        <v>3176</v>
      </c>
      <c r="E41" s="659"/>
      <c r="F41" s="659">
        <v>0</v>
      </c>
      <c r="G41" s="659">
        <v>0</v>
      </c>
      <c r="I41" s="659"/>
      <c r="J41" s="659">
        <v>0</v>
      </c>
      <c r="K41" s="659">
        <v>0</v>
      </c>
      <c r="M41" s="659">
        <v>0</v>
      </c>
    </row>
    <row r="42" spans="1:13">
      <c r="A42" s="603">
        <v>32</v>
      </c>
      <c r="B42" s="588">
        <v>32</v>
      </c>
      <c r="C42" s="599" t="s">
        <v>3178</v>
      </c>
      <c r="E42" s="660"/>
      <c r="F42" s="660">
        <v>0</v>
      </c>
      <c r="G42" s="660">
        <v>0</v>
      </c>
      <c r="I42" s="660"/>
      <c r="J42" s="660">
        <v>0</v>
      </c>
      <c r="K42" s="660">
        <v>0</v>
      </c>
      <c r="M42" s="660">
        <v>0</v>
      </c>
    </row>
    <row r="43" spans="1:13">
      <c r="A43" s="603">
        <v>33</v>
      </c>
      <c r="B43" s="596">
        <v>33</v>
      </c>
      <c r="C43" s="597" t="s">
        <v>3181</v>
      </c>
      <c r="E43" s="659"/>
      <c r="F43" s="659">
        <v>0</v>
      </c>
      <c r="G43" s="659">
        <v>0</v>
      </c>
      <c r="I43" s="659"/>
      <c r="J43" s="659">
        <v>0</v>
      </c>
      <c r="K43" s="659">
        <v>0</v>
      </c>
      <c r="M43" s="659">
        <v>0</v>
      </c>
    </row>
    <row r="44" spans="1:13">
      <c r="A44" s="603">
        <v>34</v>
      </c>
      <c r="B44" s="588">
        <v>34</v>
      </c>
      <c r="C44" s="599" t="s">
        <v>3184</v>
      </c>
      <c r="E44" s="660">
        <v>9006739</v>
      </c>
      <c r="F44" s="660">
        <v>0</v>
      </c>
      <c r="G44" s="660">
        <v>9006739</v>
      </c>
      <c r="I44" s="660">
        <v>9006739</v>
      </c>
      <c r="J44" s="660">
        <v>0</v>
      </c>
      <c r="K44" s="660">
        <v>9006739</v>
      </c>
      <c r="M44" s="660">
        <v>0</v>
      </c>
    </row>
    <row r="45" spans="1:13">
      <c r="A45" s="603">
        <v>35</v>
      </c>
      <c r="B45" s="596">
        <v>35</v>
      </c>
      <c r="C45" s="597" t="s">
        <v>3186</v>
      </c>
      <c r="E45" s="659"/>
      <c r="F45" s="659">
        <v>0</v>
      </c>
      <c r="G45" s="659">
        <v>0</v>
      </c>
      <c r="I45" s="659"/>
      <c r="J45" s="659">
        <v>0</v>
      </c>
      <c r="K45" s="659">
        <v>0</v>
      </c>
      <c r="M45" s="659">
        <v>0</v>
      </c>
    </row>
    <row r="46" spans="1:13">
      <c r="A46" s="603">
        <v>36</v>
      </c>
      <c r="B46" s="588">
        <v>36</v>
      </c>
      <c r="C46" s="599" t="s">
        <v>3189</v>
      </c>
      <c r="E46" s="660"/>
      <c r="F46" s="660">
        <v>0</v>
      </c>
      <c r="G46" s="660">
        <v>0</v>
      </c>
      <c r="I46" s="660"/>
      <c r="J46" s="660">
        <v>0</v>
      </c>
      <c r="K46" s="660">
        <v>0</v>
      </c>
      <c r="M46" s="660">
        <v>0</v>
      </c>
    </row>
    <row r="47" spans="1:13">
      <c r="A47" s="603">
        <v>37</v>
      </c>
      <c r="B47" s="596">
        <v>37</v>
      </c>
      <c r="C47" s="597" t="s">
        <v>3277</v>
      </c>
      <c r="E47" s="659"/>
      <c r="F47" s="659">
        <v>0</v>
      </c>
      <c r="G47" s="659">
        <v>0</v>
      </c>
      <c r="I47" s="659"/>
      <c r="J47" s="659">
        <v>0</v>
      </c>
      <c r="K47" s="659">
        <v>0</v>
      </c>
      <c r="M47" s="659">
        <v>0</v>
      </c>
    </row>
    <row r="48" spans="1:13">
      <c r="A48" s="603">
        <v>38</v>
      </c>
      <c r="B48" s="588">
        <v>38</v>
      </c>
      <c r="C48" s="599" t="s">
        <v>3278</v>
      </c>
      <c r="E48" s="660"/>
      <c r="F48" s="660">
        <v>0</v>
      </c>
      <c r="G48" s="660">
        <v>0</v>
      </c>
      <c r="I48" s="660"/>
      <c r="J48" s="660">
        <v>0</v>
      </c>
      <c r="K48" s="660">
        <v>0</v>
      </c>
      <c r="M48" s="660">
        <v>0</v>
      </c>
    </row>
    <row r="49" spans="1:13">
      <c r="A49" s="603">
        <v>39</v>
      </c>
      <c r="B49" s="596">
        <v>39</v>
      </c>
      <c r="C49" s="597" t="s">
        <v>3195</v>
      </c>
      <c r="E49" s="659"/>
      <c r="F49" s="659">
        <v>0</v>
      </c>
      <c r="G49" s="659">
        <v>0</v>
      </c>
      <c r="I49" s="659"/>
      <c r="J49" s="659">
        <v>0</v>
      </c>
      <c r="K49" s="659">
        <v>0</v>
      </c>
      <c r="M49" s="659">
        <v>0</v>
      </c>
    </row>
    <row r="50" spans="1:13">
      <c r="A50" s="603">
        <v>40</v>
      </c>
      <c r="B50" s="588">
        <v>40</v>
      </c>
      <c r="C50" s="599" t="s">
        <v>3198</v>
      </c>
      <c r="E50" s="660"/>
      <c r="F50" s="660">
        <v>0</v>
      </c>
      <c r="G50" s="660">
        <v>0</v>
      </c>
      <c r="I50" s="660"/>
      <c r="J50" s="660">
        <v>0</v>
      </c>
      <c r="K50" s="660">
        <v>0</v>
      </c>
      <c r="M50" s="660">
        <v>0</v>
      </c>
    </row>
    <row r="51" spans="1:13">
      <c r="A51" s="603">
        <v>41</v>
      </c>
      <c r="B51" s="596">
        <v>41</v>
      </c>
      <c r="C51" s="597" t="s">
        <v>3279</v>
      </c>
      <c r="E51" s="659"/>
      <c r="F51" s="659">
        <v>0</v>
      </c>
      <c r="G51" s="659">
        <v>0</v>
      </c>
      <c r="I51" s="659"/>
      <c r="J51" s="659">
        <v>0</v>
      </c>
      <c r="K51" s="659">
        <v>0</v>
      </c>
      <c r="M51" s="659">
        <v>0</v>
      </c>
    </row>
    <row r="52" spans="1:13">
      <c r="A52" s="603">
        <v>42</v>
      </c>
      <c r="B52" s="588">
        <v>42</v>
      </c>
      <c r="C52" s="599" t="s">
        <v>3280</v>
      </c>
      <c r="E52" s="660"/>
      <c r="F52" s="660">
        <v>0</v>
      </c>
      <c r="G52" s="660">
        <v>0</v>
      </c>
      <c r="I52" s="660"/>
      <c r="J52" s="660">
        <v>0</v>
      </c>
      <c r="K52" s="660">
        <v>0</v>
      </c>
      <c r="M52" s="660">
        <v>0</v>
      </c>
    </row>
    <row r="53" spans="1:13">
      <c r="A53" s="603">
        <v>0</v>
      </c>
      <c r="B53" s="601"/>
      <c r="C53" s="602" t="s">
        <v>3281</v>
      </c>
      <c r="E53" s="658">
        <v>0</v>
      </c>
      <c r="F53" s="658">
        <v>0</v>
      </c>
      <c r="G53" s="658">
        <v>0</v>
      </c>
      <c r="I53" s="658">
        <v>0</v>
      </c>
      <c r="J53" s="658">
        <v>0</v>
      </c>
      <c r="K53" s="658">
        <v>0</v>
      </c>
      <c r="M53" s="658">
        <v>0</v>
      </c>
    </row>
    <row r="54" spans="1:13">
      <c r="A54" s="603">
        <v>43</v>
      </c>
      <c r="B54" s="596">
        <v>43</v>
      </c>
      <c r="C54" s="597" t="s">
        <v>3282</v>
      </c>
      <c r="E54" s="659"/>
      <c r="F54" s="659">
        <v>0</v>
      </c>
      <c r="G54" s="659">
        <v>0</v>
      </c>
      <c r="I54" s="659"/>
      <c r="J54" s="659">
        <v>0</v>
      </c>
      <c r="K54" s="659">
        <v>0</v>
      </c>
      <c r="M54" s="659">
        <v>0</v>
      </c>
    </row>
    <row r="55" spans="1:13">
      <c r="A55" s="603">
        <v>44</v>
      </c>
      <c r="B55" s="588">
        <v>44</v>
      </c>
      <c r="C55" s="599" t="s">
        <v>3283</v>
      </c>
      <c r="E55" s="660"/>
      <c r="F55" s="660">
        <v>0</v>
      </c>
      <c r="G55" s="660">
        <v>0</v>
      </c>
      <c r="I55" s="660"/>
      <c r="J55" s="660">
        <v>0</v>
      </c>
      <c r="K55" s="660">
        <v>0</v>
      </c>
      <c r="M55" s="660">
        <v>0</v>
      </c>
    </row>
    <row r="56" spans="1:13">
      <c r="A56" s="603"/>
      <c r="B56" s="596">
        <v>45</v>
      </c>
      <c r="C56" s="597" t="s">
        <v>3284</v>
      </c>
      <c r="E56" s="659"/>
      <c r="F56" s="659">
        <v>0</v>
      </c>
      <c r="G56" s="659">
        <v>0</v>
      </c>
      <c r="I56" s="659"/>
      <c r="J56" s="659">
        <v>0</v>
      </c>
      <c r="K56" s="659">
        <v>0</v>
      </c>
      <c r="M56" s="659">
        <v>0</v>
      </c>
    </row>
    <row r="57" spans="1:13">
      <c r="A57" s="603"/>
      <c r="B57" s="588">
        <v>46</v>
      </c>
      <c r="C57" s="599" t="s">
        <v>3285</v>
      </c>
      <c r="E57" s="660"/>
      <c r="F57" s="660">
        <v>0</v>
      </c>
      <c r="G57" s="660">
        <v>0</v>
      </c>
      <c r="I57" s="660"/>
      <c r="J57" s="660">
        <v>0</v>
      </c>
      <c r="K57" s="660">
        <v>0</v>
      </c>
      <c r="M57" s="660">
        <v>0</v>
      </c>
    </row>
    <row r="58" spans="1:13">
      <c r="A58" s="603"/>
      <c r="B58" s="596">
        <v>47</v>
      </c>
      <c r="C58" s="597" t="s">
        <v>3286</v>
      </c>
      <c r="E58" s="659"/>
      <c r="F58" s="659">
        <v>0</v>
      </c>
      <c r="G58" s="659">
        <v>0</v>
      </c>
      <c r="I58" s="659"/>
      <c r="J58" s="659">
        <v>0</v>
      </c>
      <c r="K58" s="659">
        <v>0</v>
      </c>
      <c r="M58" s="659">
        <v>0</v>
      </c>
    </row>
    <row r="59" spans="1:13">
      <c r="A59" s="603"/>
      <c r="B59" s="588">
        <v>48</v>
      </c>
      <c r="C59" s="599" t="s">
        <v>3287</v>
      </c>
      <c r="E59" s="660"/>
      <c r="F59" s="660">
        <v>0</v>
      </c>
      <c r="G59" s="660">
        <v>0</v>
      </c>
      <c r="I59" s="660"/>
      <c r="J59" s="660">
        <v>0</v>
      </c>
      <c r="K59" s="660">
        <v>0</v>
      </c>
      <c r="M59" s="660">
        <v>0</v>
      </c>
    </row>
    <row r="60" spans="1:13">
      <c r="A60" s="603"/>
      <c r="B60" s="596">
        <v>49</v>
      </c>
      <c r="C60" s="597" t="s">
        <v>3288</v>
      </c>
      <c r="E60" s="659"/>
      <c r="F60" s="659">
        <v>0</v>
      </c>
      <c r="G60" s="659">
        <v>0</v>
      </c>
      <c r="I60" s="659"/>
      <c r="J60" s="659">
        <v>0</v>
      </c>
      <c r="K60" s="659">
        <v>0</v>
      </c>
      <c r="M60" s="659">
        <v>0</v>
      </c>
    </row>
    <row r="61" spans="1:13">
      <c r="A61" s="603"/>
      <c r="B61" s="588">
        <v>50</v>
      </c>
      <c r="C61" s="599" t="s">
        <v>3289</v>
      </c>
      <c r="E61" s="660"/>
      <c r="F61" s="660">
        <v>0</v>
      </c>
      <c r="G61" s="660">
        <v>0</v>
      </c>
      <c r="I61" s="660"/>
      <c r="J61" s="660">
        <v>0</v>
      </c>
      <c r="K61" s="660">
        <v>0</v>
      </c>
      <c r="M61" s="660">
        <v>0</v>
      </c>
    </row>
    <row r="62" spans="1:13">
      <c r="A62" s="603"/>
      <c r="B62" s="596">
        <v>51</v>
      </c>
      <c r="C62" s="597" t="s">
        <v>3218</v>
      </c>
      <c r="E62" s="659"/>
      <c r="F62" s="659">
        <v>0</v>
      </c>
      <c r="G62" s="659">
        <v>0</v>
      </c>
      <c r="I62" s="659"/>
      <c r="J62" s="659">
        <v>0</v>
      </c>
      <c r="K62" s="659">
        <v>0</v>
      </c>
      <c r="M62" s="659">
        <v>0</v>
      </c>
    </row>
    <row r="63" spans="1:13">
      <c r="A63" s="603">
        <v>0</v>
      </c>
      <c r="B63" s="601"/>
      <c r="C63" s="602" t="s">
        <v>3290</v>
      </c>
      <c r="E63" s="658">
        <v>0</v>
      </c>
      <c r="F63" s="658">
        <v>1352475</v>
      </c>
      <c r="G63" s="658">
        <v>1352475</v>
      </c>
      <c r="I63" s="658">
        <v>1352475</v>
      </c>
      <c r="J63" s="658">
        <v>0</v>
      </c>
      <c r="K63" s="658">
        <v>1352475</v>
      </c>
      <c r="M63" s="658">
        <v>0</v>
      </c>
    </row>
    <row r="64" spans="1:13">
      <c r="A64" s="603">
        <v>52</v>
      </c>
      <c r="B64" s="588">
        <v>52</v>
      </c>
      <c r="C64" s="599" t="s">
        <v>3222</v>
      </c>
      <c r="E64" s="660"/>
      <c r="F64" s="660">
        <v>1352475</v>
      </c>
      <c r="G64" s="660">
        <v>1352475</v>
      </c>
      <c r="I64" s="660">
        <v>1352475</v>
      </c>
      <c r="J64" s="660">
        <v>0</v>
      </c>
      <c r="K64" s="660">
        <v>1352475</v>
      </c>
      <c r="M64" s="660">
        <v>0</v>
      </c>
    </row>
    <row r="65" spans="1:13">
      <c r="A65" s="603">
        <v>53</v>
      </c>
      <c r="B65" s="596">
        <v>53</v>
      </c>
      <c r="C65" s="597" t="s">
        <v>3225</v>
      </c>
      <c r="E65" s="659"/>
      <c r="F65" s="659">
        <v>0</v>
      </c>
      <c r="G65" s="659">
        <v>0</v>
      </c>
      <c r="I65" s="659"/>
      <c r="J65" s="659">
        <v>0</v>
      </c>
      <c r="K65" s="659">
        <v>0</v>
      </c>
      <c r="M65" s="659">
        <v>0</v>
      </c>
    </row>
    <row r="66" spans="1:13">
      <c r="A66" s="603">
        <v>54</v>
      </c>
      <c r="B66" s="588">
        <v>54</v>
      </c>
      <c r="C66" s="599" t="s">
        <v>3291</v>
      </c>
      <c r="E66" s="660"/>
      <c r="F66" s="660">
        <v>0</v>
      </c>
      <c r="G66" s="660">
        <v>0</v>
      </c>
      <c r="I66" s="660"/>
      <c r="J66" s="660">
        <v>0</v>
      </c>
      <c r="K66" s="660">
        <v>0</v>
      </c>
      <c r="M66" s="660">
        <v>0</v>
      </c>
    </row>
    <row r="67" spans="1:13">
      <c r="A67" s="603"/>
      <c r="B67" s="601"/>
      <c r="C67" s="602" t="s">
        <v>3292</v>
      </c>
      <c r="E67" s="658">
        <v>0</v>
      </c>
      <c r="F67" s="658">
        <v>0</v>
      </c>
      <c r="G67" s="658">
        <v>0</v>
      </c>
      <c r="I67" s="658">
        <v>0</v>
      </c>
      <c r="J67" s="658">
        <v>0</v>
      </c>
      <c r="K67" s="658">
        <v>0</v>
      </c>
      <c r="M67" s="658">
        <v>0</v>
      </c>
    </row>
    <row r="68" spans="1:13">
      <c r="A68" s="603"/>
      <c r="B68" s="596">
        <v>55</v>
      </c>
      <c r="C68" s="597" t="s">
        <v>3231</v>
      </c>
      <c r="E68" s="659"/>
      <c r="F68" s="659">
        <v>0</v>
      </c>
      <c r="G68" s="659">
        <v>0</v>
      </c>
      <c r="I68" s="659"/>
      <c r="J68" s="659">
        <v>0</v>
      </c>
      <c r="K68" s="659">
        <v>0</v>
      </c>
      <c r="M68" s="659">
        <v>0</v>
      </c>
    </row>
    <row r="69" spans="1:13">
      <c r="A69" s="603"/>
      <c r="B69" s="588">
        <v>56</v>
      </c>
      <c r="C69" s="599" t="s">
        <v>3293</v>
      </c>
      <c r="E69" s="660"/>
      <c r="F69" s="660">
        <v>0</v>
      </c>
      <c r="G69" s="660">
        <v>0</v>
      </c>
      <c r="I69" s="660"/>
      <c r="J69" s="660">
        <v>0</v>
      </c>
      <c r="K69" s="660">
        <v>0</v>
      </c>
      <c r="M69" s="660">
        <v>0</v>
      </c>
    </row>
    <row r="70" spans="1:13">
      <c r="A70" s="603">
        <v>0</v>
      </c>
      <c r="B70" s="601"/>
      <c r="C70" s="602" t="s">
        <v>340</v>
      </c>
      <c r="E70" s="658">
        <v>0</v>
      </c>
      <c r="F70" s="658">
        <v>6035734</v>
      </c>
      <c r="G70" s="658">
        <v>6035734</v>
      </c>
      <c r="I70" s="658">
        <v>10982826</v>
      </c>
      <c r="J70" s="658">
        <v>-4947092</v>
      </c>
      <c r="K70" s="658">
        <v>6035734</v>
      </c>
      <c r="M70" s="658">
        <v>0</v>
      </c>
    </row>
    <row r="71" spans="1:13">
      <c r="A71" s="603">
        <v>57</v>
      </c>
      <c r="B71" s="596">
        <v>57</v>
      </c>
      <c r="C71" s="597" t="s">
        <v>3294</v>
      </c>
      <c r="E71" s="659"/>
      <c r="F71" s="659">
        <v>6035734</v>
      </c>
      <c r="G71" s="659">
        <v>6035734</v>
      </c>
      <c r="I71" s="659">
        <v>10982826</v>
      </c>
      <c r="J71" s="659">
        <v>-4947092</v>
      </c>
      <c r="K71" s="659">
        <v>6035734</v>
      </c>
      <c r="M71" s="659">
        <v>0</v>
      </c>
    </row>
    <row r="72" spans="1:13">
      <c r="A72" s="603">
        <v>0</v>
      </c>
      <c r="B72" s="601"/>
      <c r="C72" s="602" t="s">
        <v>3295</v>
      </c>
      <c r="E72" s="658">
        <v>0</v>
      </c>
      <c r="F72" s="658">
        <v>40618553</v>
      </c>
      <c r="G72" s="658">
        <v>40618553</v>
      </c>
      <c r="I72" s="658">
        <v>40618553</v>
      </c>
      <c r="J72" s="658">
        <v>0</v>
      </c>
      <c r="K72" s="658">
        <v>40618553</v>
      </c>
      <c r="M72" s="658">
        <v>0</v>
      </c>
    </row>
    <row r="73" spans="1:13">
      <c r="A73" s="603">
        <v>58</v>
      </c>
      <c r="B73" s="588">
        <v>58</v>
      </c>
      <c r="C73" s="599" t="s">
        <v>3296</v>
      </c>
      <c r="E73" s="660"/>
      <c r="F73" s="660">
        <v>40618553</v>
      </c>
      <c r="G73" s="660">
        <v>40618553</v>
      </c>
      <c r="I73" s="660">
        <v>40618553</v>
      </c>
      <c r="J73" s="660">
        <v>0</v>
      </c>
      <c r="K73" s="660">
        <v>40618553</v>
      </c>
      <c r="M73" s="660">
        <v>0</v>
      </c>
    </row>
    <row r="74" spans="1:13">
      <c r="A74" s="603"/>
      <c r="B74" s="601"/>
      <c r="C74" s="602" t="s">
        <v>3297</v>
      </c>
      <c r="E74" s="658">
        <v>0</v>
      </c>
      <c r="F74" s="658">
        <v>0</v>
      </c>
      <c r="G74" s="658">
        <v>0</v>
      </c>
      <c r="I74" s="658">
        <v>0</v>
      </c>
      <c r="J74" s="658">
        <v>0</v>
      </c>
      <c r="K74" s="658">
        <v>0</v>
      </c>
      <c r="M74" s="658">
        <v>0</v>
      </c>
    </row>
    <row r="75" spans="1:13">
      <c r="A75" s="603"/>
      <c r="B75" s="588">
        <v>59</v>
      </c>
      <c r="C75" s="599" t="s">
        <v>3298</v>
      </c>
      <c r="E75" s="660"/>
      <c r="F75" s="660">
        <v>0</v>
      </c>
      <c r="G75" s="660">
        <v>0</v>
      </c>
      <c r="I75" s="660"/>
      <c r="J75" s="660">
        <v>0</v>
      </c>
      <c r="K75" s="660">
        <v>0</v>
      </c>
      <c r="M75" s="660"/>
    </row>
    <row r="76" spans="1:13">
      <c r="A76" s="603"/>
      <c r="B76" s="601"/>
      <c r="C76" s="602" t="s">
        <v>3299</v>
      </c>
      <c r="E76" s="658">
        <v>0</v>
      </c>
      <c r="F76" s="658">
        <v>0</v>
      </c>
      <c r="G76" s="658">
        <v>0</v>
      </c>
      <c r="I76" s="658">
        <v>0</v>
      </c>
      <c r="J76" s="658">
        <v>0</v>
      </c>
      <c r="K76" s="658">
        <v>0</v>
      </c>
      <c r="M76" s="658">
        <v>0</v>
      </c>
    </row>
    <row r="77" spans="1:13">
      <c r="A77" s="603"/>
      <c r="B77" s="588">
        <v>60</v>
      </c>
      <c r="C77" s="599" t="s">
        <v>3300</v>
      </c>
      <c r="E77" s="660"/>
      <c r="F77" s="660">
        <v>0</v>
      </c>
      <c r="G77" s="660">
        <v>0</v>
      </c>
      <c r="I77" s="660"/>
      <c r="J77" s="660">
        <v>0</v>
      </c>
      <c r="K77" s="660">
        <v>0</v>
      </c>
      <c r="M77" s="660"/>
    </row>
    <row r="78" spans="1:13">
      <c r="A78" s="603"/>
      <c r="B78" s="601"/>
      <c r="C78" s="602" t="s">
        <v>3301</v>
      </c>
      <c r="E78" s="658">
        <v>0</v>
      </c>
      <c r="F78" s="658">
        <v>0</v>
      </c>
      <c r="G78" s="658">
        <v>0</v>
      </c>
      <c r="I78" s="658">
        <v>0</v>
      </c>
      <c r="J78" s="658">
        <v>0</v>
      </c>
      <c r="K78" s="658">
        <v>0</v>
      </c>
      <c r="M78" s="658">
        <v>0</v>
      </c>
    </row>
    <row r="79" spans="1:13">
      <c r="A79" s="603"/>
      <c r="B79" s="596">
        <v>61</v>
      </c>
      <c r="C79" s="597" t="s">
        <v>3302</v>
      </c>
      <c r="E79" s="659"/>
      <c r="F79" s="659"/>
      <c r="G79" s="659"/>
      <c r="I79" s="659"/>
      <c r="J79" s="659"/>
      <c r="K79" s="659"/>
      <c r="M79" s="659"/>
    </row>
  </sheetData>
  <mergeCells count="5">
    <mergeCell ref="B3:B4"/>
    <mergeCell ref="C3:C4"/>
    <mergeCell ref="E3:G3"/>
    <mergeCell ref="I3:K3"/>
    <mergeCell ref="M3:M4"/>
  </mergeCells>
  <hyperlinks>
    <hyperlink ref="A1" location="Sommaire!A1" display="Sommaire!A1" xr:uid="{00000000-0004-0000-1100-000000000000}"/>
  </hyperlinks>
  <pageMargins left="0.7" right="0.7" top="0.75" bottom="0.75" header="0.3" footer="0.3"/>
  <pageSetup paperSize="9"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M79"/>
  <sheetViews>
    <sheetView showGridLines="0" zoomScaleNormal="100" workbookViewId="0">
      <selection activeCell="B1" sqref="B1"/>
    </sheetView>
  </sheetViews>
  <sheetFormatPr baseColWidth="10" defaultColWidth="11.33203125" defaultRowHeight="12"/>
  <cols>
    <col min="1" max="1" width="10.1640625" style="588" bestFit="1" customWidth="1"/>
    <col min="2" max="2" width="19" style="588" bestFit="1" customWidth="1"/>
    <col min="3" max="3" width="54.5" style="605" bestFit="1" customWidth="1"/>
    <col min="4" max="4" width="0.6640625" style="590" customWidth="1"/>
    <col min="5" max="5" width="13.6640625" style="590" bestFit="1" customWidth="1"/>
    <col min="6" max="6" width="10.1640625" style="588" bestFit="1" customWidth="1"/>
    <col min="7" max="7" width="13.6640625" style="590" bestFit="1" customWidth="1"/>
    <col min="8" max="8" width="0.6640625" style="590" customWidth="1"/>
    <col min="9" max="9" width="12.83203125" style="590" bestFit="1" customWidth="1"/>
    <col min="10" max="11" width="13.6640625" style="590" bestFit="1" customWidth="1"/>
    <col min="12" max="12" width="0.6640625" style="590" customWidth="1"/>
    <col min="13" max="13" width="13.83203125" style="590" bestFit="1" customWidth="1"/>
    <col min="14" max="16384" width="11.33203125" style="590"/>
  </cols>
  <sheetData>
    <row r="1" spans="1:13" ht="24">
      <c r="A1" s="661" t="s">
        <v>140</v>
      </c>
      <c r="C1" s="589" t="s">
        <v>3249</v>
      </c>
      <c r="E1" s="591" t="s">
        <v>206</v>
      </c>
      <c r="F1" s="591" t="s">
        <v>3308</v>
      </c>
      <c r="G1" s="592"/>
      <c r="J1" s="592" t="s">
        <v>3251</v>
      </c>
      <c r="K1" s="592">
        <v>2023</v>
      </c>
    </row>
    <row r="2" spans="1:13">
      <c r="C2" s="593"/>
      <c r="F2" s="590"/>
      <c r="I2" s="590" t="s">
        <v>3252</v>
      </c>
      <c r="J2" s="594">
        <v>604.32574999999997</v>
      </c>
    </row>
    <row r="3" spans="1:13">
      <c r="B3" s="753" t="s">
        <v>143</v>
      </c>
      <c r="C3" s="754" t="s">
        <v>3253</v>
      </c>
      <c r="E3" s="755" t="s">
        <v>2084</v>
      </c>
      <c r="F3" s="755"/>
      <c r="G3" s="755"/>
      <c r="I3" s="755" t="s">
        <v>3254</v>
      </c>
      <c r="J3" s="755"/>
      <c r="K3" s="755"/>
      <c r="M3" s="756" t="s">
        <v>3255</v>
      </c>
    </row>
    <row r="4" spans="1:13">
      <c r="B4" s="753"/>
      <c r="C4" s="754"/>
      <c r="E4" s="595" t="s">
        <v>3256</v>
      </c>
      <c r="F4" s="595" t="s">
        <v>3257</v>
      </c>
      <c r="G4" s="595" t="s">
        <v>3258</v>
      </c>
      <c r="I4" s="595" t="s">
        <v>3256</v>
      </c>
      <c r="J4" s="595" t="s">
        <v>3257</v>
      </c>
      <c r="K4" s="595" t="s">
        <v>3258</v>
      </c>
      <c r="M4" s="756"/>
    </row>
    <row r="5" spans="1:13">
      <c r="B5" s="655" t="s">
        <v>3092</v>
      </c>
      <c r="C5" s="656"/>
      <c r="E5" s="657">
        <v>0</v>
      </c>
      <c r="F5" s="657">
        <v>0</v>
      </c>
      <c r="G5" s="657">
        <v>0</v>
      </c>
      <c r="I5" s="657">
        <v>0</v>
      </c>
      <c r="J5" s="657">
        <v>0</v>
      </c>
      <c r="K5" s="657">
        <v>0</v>
      </c>
      <c r="M5" s="657">
        <v>0</v>
      </c>
    </row>
    <row r="6" spans="1:13">
      <c r="B6" s="596">
        <v>1</v>
      </c>
      <c r="C6" s="597" t="s">
        <v>3259</v>
      </c>
      <c r="E6" s="598"/>
      <c r="F6" s="598">
        <v>0</v>
      </c>
      <c r="G6" s="598">
        <v>0</v>
      </c>
      <c r="I6" s="598"/>
      <c r="J6" s="598">
        <v>0</v>
      </c>
      <c r="K6" s="598">
        <v>0</v>
      </c>
      <c r="M6" s="598">
        <v>0</v>
      </c>
    </row>
    <row r="7" spans="1:13">
      <c r="B7" s="588">
        <v>2</v>
      </c>
      <c r="C7" s="599" t="s">
        <v>3260</v>
      </c>
      <c r="E7" s="600"/>
      <c r="F7" s="600">
        <v>0</v>
      </c>
      <c r="G7" s="600">
        <v>0</v>
      </c>
      <c r="I7" s="600"/>
      <c r="J7" s="600">
        <v>0</v>
      </c>
      <c r="K7" s="600">
        <v>0</v>
      </c>
      <c r="M7" s="600">
        <v>0</v>
      </c>
    </row>
    <row r="8" spans="1:13">
      <c r="B8" s="655" t="s">
        <v>3101</v>
      </c>
      <c r="C8" s="656"/>
      <c r="E8" s="657">
        <v>31717790603</v>
      </c>
      <c r="F8" s="657">
        <v>0</v>
      </c>
      <c r="G8" s="657">
        <v>31717790603</v>
      </c>
      <c r="I8" s="657">
        <v>5075221912</v>
      </c>
      <c r="J8" s="657">
        <v>26534050911</v>
      </c>
      <c r="K8" s="657">
        <v>31609272823</v>
      </c>
      <c r="M8" s="657">
        <v>108517780</v>
      </c>
    </row>
    <row r="9" spans="1:13">
      <c r="B9" s="601"/>
      <c r="C9" s="602" t="s">
        <v>1244</v>
      </c>
      <c r="E9" s="658">
        <v>1300000000</v>
      </c>
      <c r="F9" s="658">
        <v>0</v>
      </c>
      <c r="G9" s="658">
        <v>1300000000</v>
      </c>
      <c r="I9" s="658">
        <v>0</v>
      </c>
      <c r="J9" s="658">
        <v>1300000000</v>
      </c>
      <c r="K9" s="658">
        <v>1300000000</v>
      </c>
      <c r="M9" s="658">
        <v>0</v>
      </c>
    </row>
    <row r="10" spans="1:13">
      <c r="A10" s="603">
        <v>3</v>
      </c>
      <c r="B10" s="596">
        <v>3</v>
      </c>
      <c r="C10" s="597" t="s">
        <v>3261</v>
      </c>
      <c r="E10" s="659">
        <v>1300000000</v>
      </c>
      <c r="F10" s="659">
        <v>0</v>
      </c>
      <c r="G10" s="659">
        <v>1300000000</v>
      </c>
      <c r="I10" s="659"/>
      <c r="J10" s="659">
        <v>1300000000</v>
      </c>
      <c r="K10" s="659">
        <v>1300000000</v>
      </c>
      <c r="M10" s="659">
        <v>0</v>
      </c>
    </row>
    <row r="11" spans="1:13">
      <c r="A11" s="603">
        <v>4</v>
      </c>
      <c r="B11" s="588">
        <v>4</v>
      </c>
      <c r="C11" s="599" t="s">
        <v>3106</v>
      </c>
      <c r="E11" s="660"/>
      <c r="F11" s="660">
        <v>0</v>
      </c>
      <c r="G11" s="660">
        <v>0</v>
      </c>
      <c r="I11" s="660"/>
      <c r="J11" s="660">
        <v>0</v>
      </c>
      <c r="K11" s="660">
        <v>0</v>
      </c>
      <c r="M11" s="660">
        <v>0</v>
      </c>
    </row>
    <row r="12" spans="1:13">
      <c r="A12" s="603">
        <v>5</v>
      </c>
      <c r="B12" s="596">
        <v>5</v>
      </c>
      <c r="C12" s="597" t="s">
        <v>3262</v>
      </c>
      <c r="E12" s="659"/>
      <c r="F12" s="659">
        <v>0</v>
      </c>
      <c r="G12" s="659">
        <v>0</v>
      </c>
      <c r="I12" s="659"/>
      <c r="J12" s="659">
        <v>0</v>
      </c>
      <c r="K12" s="659">
        <v>0</v>
      </c>
      <c r="M12" s="659">
        <v>0</v>
      </c>
    </row>
    <row r="13" spans="1:13">
      <c r="A13" s="603">
        <v>6</v>
      </c>
      <c r="B13" s="588">
        <v>6</v>
      </c>
      <c r="C13" s="599" t="s">
        <v>3263</v>
      </c>
      <c r="E13" s="660"/>
      <c r="F13" s="660">
        <v>0</v>
      </c>
      <c r="G13" s="660">
        <v>0</v>
      </c>
      <c r="I13" s="660"/>
      <c r="J13" s="660">
        <v>0</v>
      </c>
      <c r="K13" s="660">
        <v>0</v>
      </c>
      <c r="M13" s="660">
        <v>0</v>
      </c>
    </row>
    <row r="14" spans="1:13">
      <c r="A14" s="603">
        <v>7</v>
      </c>
      <c r="B14" s="596">
        <v>7</v>
      </c>
      <c r="C14" s="597" t="s">
        <v>3114</v>
      </c>
      <c r="E14" s="659"/>
      <c r="F14" s="659">
        <v>0</v>
      </c>
      <c r="G14" s="659">
        <v>0</v>
      </c>
      <c r="I14" s="659"/>
      <c r="J14" s="659">
        <v>0</v>
      </c>
      <c r="K14" s="659">
        <v>0</v>
      </c>
      <c r="M14" s="659">
        <v>0</v>
      </c>
    </row>
    <row r="15" spans="1:13">
      <c r="A15" s="603">
        <v>0</v>
      </c>
      <c r="B15" s="601"/>
      <c r="C15" s="602" t="s">
        <v>1253</v>
      </c>
      <c r="E15" s="658">
        <v>0</v>
      </c>
      <c r="F15" s="658">
        <v>0</v>
      </c>
      <c r="G15" s="658">
        <v>0</v>
      </c>
      <c r="I15" s="658">
        <v>0</v>
      </c>
      <c r="J15" s="658">
        <v>0</v>
      </c>
      <c r="K15" s="658">
        <v>0</v>
      </c>
      <c r="M15" s="658">
        <v>0</v>
      </c>
    </row>
    <row r="16" spans="1:13">
      <c r="A16" s="603">
        <v>8</v>
      </c>
      <c r="B16" s="588">
        <v>8</v>
      </c>
      <c r="C16" s="599" t="s">
        <v>3264</v>
      </c>
      <c r="E16" s="660"/>
      <c r="F16" s="660">
        <v>0</v>
      </c>
      <c r="G16" s="660">
        <v>0</v>
      </c>
      <c r="I16" s="660"/>
      <c r="J16" s="660">
        <v>0</v>
      </c>
      <c r="K16" s="660">
        <v>0</v>
      </c>
      <c r="M16" s="660">
        <v>0</v>
      </c>
    </row>
    <row r="17" spans="1:13">
      <c r="A17" s="603">
        <v>9</v>
      </c>
      <c r="B17" s="596">
        <v>9</v>
      </c>
      <c r="C17" s="597" t="s">
        <v>3265</v>
      </c>
      <c r="E17" s="659"/>
      <c r="F17" s="659">
        <v>0</v>
      </c>
      <c r="G17" s="659">
        <v>0</v>
      </c>
      <c r="I17" s="659"/>
      <c r="J17" s="659">
        <v>0</v>
      </c>
      <c r="K17" s="659">
        <v>0</v>
      </c>
      <c r="M17" s="659">
        <v>0</v>
      </c>
    </row>
    <row r="18" spans="1:13">
      <c r="A18" s="603"/>
      <c r="B18" s="588">
        <v>10</v>
      </c>
      <c r="C18" s="599" t="s">
        <v>3122</v>
      </c>
      <c r="E18" s="660"/>
      <c r="F18" s="660">
        <v>0</v>
      </c>
      <c r="G18" s="660">
        <v>0</v>
      </c>
      <c r="I18" s="660"/>
      <c r="J18" s="660">
        <v>0</v>
      </c>
      <c r="K18" s="660">
        <v>0</v>
      </c>
      <c r="M18" s="660">
        <v>0</v>
      </c>
    </row>
    <row r="19" spans="1:13">
      <c r="A19" s="603">
        <v>11</v>
      </c>
      <c r="B19" s="596">
        <v>11</v>
      </c>
      <c r="C19" s="597" t="s">
        <v>3124</v>
      </c>
      <c r="E19" s="659"/>
      <c r="F19" s="659">
        <v>0</v>
      </c>
      <c r="G19" s="659">
        <v>0</v>
      </c>
      <c r="I19" s="659"/>
      <c r="J19" s="659">
        <v>0</v>
      </c>
      <c r="K19" s="659">
        <v>0</v>
      </c>
      <c r="M19" s="659">
        <v>0</v>
      </c>
    </row>
    <row r="20" spans="1:13">
      <c r="A20" s="603">
        <v>12</v>
      </c>
      <c r="B20" s="588">
        <v>12</v>
      </c>
      <c r="C20" s="599" t="s">
        <v>3266</v>
      </c>
      <c r="E20" s="660"/>
      <c r="F20" s="660">
        <v>0</v>
      </c>
      <c r="G20" s="660">
        <v>0</v>
      </c>
      <c r="I20" s="660"/>
      <c r="J20" s="660">
        <v>0</v>
      </c>
      <c r="K20" s="660">
        <v>0</v>
      </c>
      <c r="M20" s="660">
        <v>0</v>
      </c>
    </row>
    <row r="21" spans="1:13">
      <c r="A21" s="603">
        <v>13</v>
      </c>
      <c r="B21" s="596">
        <v>13</v>
      </c>
      <c r="C21" s="597" t="s">
        <v>3267</v>
      </c>
      <c r="E21" s="659"/>
      <c r="F21" s="659">
        <v>0</v>
      </c>
      <c r="G21" s="659">
        <v>0</v>
      </c>
      <c r="I21" s="659"/>
      <c r="J21" s="659">
        <v>0</v>
      </c>
      <c r="K21" s="659">
        <v>0</v>
      </c>
      <c r="M21" s="659">
        <v>0</v>
      </c>
    </row>
    <row r="22" spans="1:13">
      <c r="A22" s="603">
        <v>14</v>
      </c>
      <c r="B22" s="588">
        <v>14</v>
      </c>
      <c r="C22" s="599" t="s">
        <v>3268</v>
      </c>
      <c r="E22" s="660"/>
      <c r="F22" s="660">
        <v>0</v>
      </c>
      <c r="G22" s="660">
        <v>0</v>
      </c>
      <c r="I22" s="660"/>
      <c r="J22" s="660">
        <v>0</v>
      </c>
      <c r="K22" s="660">
        <v>0</v>
      </c>
      <c r="M22" s="660">
        <v>0</v>
      </c>
    </row>
    <row r="23" spans="1:13">
      <c r="A23" s="603">
        <v>15</v>
      </c>
      <c r="B23" s="596">
        <v>15</v>
      </c>
      <c r="C23" s="597" t="s">
        <v>3133</v>
      </c>
      <c r="E23" s="659"/>
      <c r="F23" s="659">
        <v>0</v>
      </c>
      <c r="G23" s="659">
        <v>0</v>
      </c>
      <c r="I23" s="659"/>
      <c r="J23" s="659">
        <v>0</v>
      </c>
      <c r="K23" s="659">
        <v>0</v>
      </c>
      <c r="M23" s="659">
        <v>0</v>
      </c>
    </row>
    <row r="24" spans="1:13">
      <c r="A24" s="603">
        <v>16</v>
      </c>
      <c r="B24" s="588">
        <v>16</v>
      </c>
      <c r="C24" s="599" t="s">
        <v>3136</v>
      </c>
      <c r="E24" s="660"/>
      <c r="F24" s="660">
        <v>0</v>
      </c>
      <c r="G24" s="660">
        <v>0</v>
      </c>
      <c r="I24" s="660"/>
      <c r="J24" s="660">
        <v>0</v>
      </c>
      <c r="K24" s="660">
        <v>0</v>
      </c>
      <c r="M24" s="660">
        <v>0</v>
      </c>
    </row>
    <row r="25" spans="1:13">
      <c r="A25" s="603">
        <v>0</v>
      </c>
      <c r="B25" s="601"/>
      <c r="C25" s="602" t="s">
        <v>3269</v>
      </c>
      <c r="E25" s="658">
        <v>25199997325</v>
      </c>
      <c r="F25" s="658">
        <v>0</v>
      </c>
      <c r="G25" s="658">
        <v>25199997325</v>
      </c>
      <c r="I25" s="658">
        <v>0</v>
      </c>
      <c r="J25" s="658">
        <v>25199997325</v>
      </c>
      <c r="K25" s="658">
        <v>25199997325</v>
      </c>
      <c r="M25" s="658">
        <v>0</v>
      </c>
    </row>
    <row r="26" spans="1:13">
      <c r="A26" s="603">
        <v>17</v>
      </c>
      <c r="B26" s="596">
        <v>17</v>
      </c>
      <c r="C26" s="597" t="s">
        <v>3270</v>
      </c>
      <c r="E26" s="659"/>
      <c r="F26" s="659">
        <v>0</v>
      </c>
      <c r="G26" s="659">
        <v>0</v>
      </c>
      <c r="I26" s="659"/>
      <c r="J26" s="659">
        <v>0</v>
      </c>
      <c r="K26" s="659">
        <v>0</v>
      </c>
      <c r="M26" s="659">
        <v>0</v>
      </c>
    </row>
    <row r="27" spans="1:13">
      <c r="A27" s="603">
        <v>18</v>
      </c>
      <c r="B27" s="588">
        <v>18</v>
      </c>
      <c r="C27" s="599" t="s">
        <v>3141</v>
      </c>
      <c r="E27" s="660"/>
      <c r="F27" s="660">
        <v>0</v>
      </c>
      <c r="G27" s="660">
        <v>0</v>
      </c>
      <c r="I27" s="660"/>
      <c r="J27" s="660">
        <v>0</v>
      </c>
      <c r="K27" s="660">
        <v>0</v>
      </c>
      <c r="M27" s="660">
        <v>0</v>
      </c>
    </row>
    <row r="28" spans="1:13">
      <c r="A28" s="603">
        <v>19</v>
      </c>
      <c r="B28" s="596">
        <v>19</v>
      </c>
      <c r="C28" s="597" t="s">
        <v>3144</v>
      </c>
      <c r="E28" s="659"/>
      <c r="F28" s="659">
        <v>0</v>
      </c>
      <c r="G28" s="659">
        <v>0</v>
      </c>
      <c r="I28" s="659"/>
      <c r="J28" s="659">
        <v>0</v>
      </c>
      <c r="K28" s="659">
        <v>0</v>
      </c>
      <c r="M28" s="659">
        <v>0</v>
      </c>
    </row>
    <row r="29" spans="1:13">
      <c r="A29" s="603">
        <v>20</v>
      </c>
      <c r="B29" s="588">
        <v>20</v>
      </c>
      <c r="C29" s="599" t="s">
        <v>3147</v>
      </c>
      <c r="E29" s="660"/>
      <c r="F29" s="660">
        <v>0</v>
      </c>
      <c r="G29" s="660">
        <v>0</v>
      </c>
      <c r="I29" s="660"/>
      <c r="J29" s="660">
        <v>0</v>
      </c>
      <c r="K29" s="660">
        <v>0</v>
      </c>
      <c r="M29" s="660">
        <v>0</v>
      </c>
    </row>
    <row r="30" spans="1:13">
      <c r="A30" s="603">
        <v>21</v>
      </c>
      <c r="B30" s="596">
        <v>21</v>
      </c>
      <c r="C30" s="597" t="s">
        <v>3271</v>
      </c>
      <c r="E30" s="659"/>
      <c r="F30" s="659">
        <v>0</v>
      </c>
      <c r="G30" s="659">
        <v>0</v>
      </c>
      <c r="I30" s="659"/>
      <c r="J30" s="659">
        <v>0</v>
      </c>
      <c r="K30" s="659">
        <v>0</v>
      </c>
      <c r="M30" s="659">
        <v>0</v>
      </c>
    </row>
    <row r="31" spans="1:13">
      <c r="A31" s="603">
        <v>22</v>
      </c>
      <c r="B31" s="588">
        <v>22</v>
      </c>
      <c r="C31" s="599" t="s">
        <v>3272</v>
      </c>
      <c r="E31" s="660"/>
      <c r="F31" s="660">
        <v>0</v>
      </c>
      <c r="G31" s="660">
        <v>0</v>
      </c>
      <c r="I31" s="660"/>
      <c r="J31" s="660">
        <v>0</v>
      </c>
      <c r="K31" s="660">
        <v>0</v>
      </c>
      <c r="M31" s="660">
        <v>0</v>
      </c>
    </row>
    <row r="32" spans="1:13">
      <c r="A32" s="603">
        <v>23</v>
      </c>
      <c r="B32" s="596">
        <v>23</v>
      </c>
      <c r="C32" s="597" t="s">
        <v>3273</v>
      </c>
      <c r="E32" s="659">
        <v>25199997325</v>
      </c>
      <c r="F32" s="659">
        <v>0</v>
      </c>
      <c r="G32" s="659">
        <v>25199997325</v>
      </c>
      <c r="I32" s="659"/>
      <c r="J32" s="659">
        <v>25199997325</v>
      </c>
      <c r="K32" s="659">
        <v>25199997325</v>
      </c>
      <c r="M32" s="659">
        <v>0</v>
      </c>
    </row>
    <row r="33" spans="1:13">
      <c r="A33" s="603">
        <v>24</v>
      </c>
      <c r="B33" s="588">
        <v>24</v>
      </c>
      <c r="C33" s="599" t="s">
        <v>3158</v>
      </c>
      <c r="E33" s="660"/>
      <c r="F33" s="660">
        <v>0</v>
      </c>
      <c r="G33" s="660">
        <v>0</v>
      </c>
      <c r="I33" s="660"/>
      <c r="J33" s="660">
        <v>0</v>
      </c>
      <c r="K33" s="660">
        <v>0</v>
      </c>
      <c r="M33" s="660">
        <v>0</v>
      </c>
    </row>
    <row r="34" spans="1:13" s="604" customFormat="1">
      <c r="A34" s="603">
        <v>25</v>
      </c>
      <c r="B34" s="596">
        <v>25</v>
      </c>
      <c r="C34" s="597" t="s">
        <v>3274</v>
      </c>
      <c r="D34" s="590"/>
      <c r="E34" s="659"/>
      <c r="F34" s="659">
        <v>0</v>
      </c>
      <c r="G34" s="659">
        <v>0</v>
      </c>
      <c r="H34" s="590"/>
      <c r="I34" s="659"/>
      <c r="J34" s="659">
        <v>0</v>
      </c>
      <c r="K34" s="659">
        <v>0</v>
      </c>
      <c r="L34" s="590"/>
      <c r="M34" s="659">
        <v>0</v>
      </c>
    </row>
    <row r="35" spans="1:13">
      <c r="A35" s="603">
        <v>26</v>
      </c>
      <c r="B35" s="588">
        <v>26</v>
      </c>
      <c r="C35" s="599" t="s">
        <v>3275</v>
      </c>
      <c r="E35" s="660"/>
      <c r="F35" s="660">
        <v>0</v>
      </c>
      <c r="G35" s="660">
        <v>0</v>
      </c>
      <c r="I35" s="660"/>
      <c r="J35" s="660">
        <v>0</v>
      </c>
      <c r="K35" s="660">
        <v>0</v>
      </c>
      <c r="M35" s="660">
        <v>0</v>
      </c>
    </row>
    <row r="36" spans="1:13">
      <c r="A36" s="603">
        <v>0</v>
      </c>
      <c r="B36" s="601"/>
      <c r="C36" s="602" t="s">
        <v>3276</v>
      </c>
      <c r="E36" s="658">
        <v>3759707183</v>
      </c>
      <c r="F36" s="658">
        <v>0</v>
      </c>
      <c r="G36" s="658">
        <v>3759707183</v>
      </c>
      <c r="I36" s="658">
        <v>3711071879</v>
      </c>
      <c r="J36" s="658">
        <v>34053586</v>
      </c>
      <c r="K36" s="658">
        <v>3745125465</v>
      </c>
      <c r="M36" s="658">
        <v>14581718</v>
      </c>
    </row>
    <row r="37" spans="1:13">
      <c r="A37" s="603">
        <v>27</v>
      </c>
      <c r="B37" s="596">
        <v>27</v>
      </c>
      <c r="C37" s="597" t="s">
        <v>3164</v>
      </c>
      <c r="E37" s="659">
        <v>150574137</v>
      </c>
      <c r="F37" s="659">
        <v>0</v>
      </c>
      <c r="G37" s="659">
        <v>150574137</v>
      </c>
      <c r="I37" s="659">
        <v>150574137</v>
      </c>
      <c r="J37" s="659">
        <v>0</v>
      </c>
      <c r="K37" s="659">
        <v>150574137</v>
      </c>
      <c r="M37" s="659">
        <v>0</v>
      </c>
    </row>
    <row r="38" spans="1:13">
      <c r="A38" s="603">
        <v>28</v>
      </c>
      <c r="B38" s="588">
        <v>28</v>
      </c>
      <c r="C38" s="599" t="s">
        <v>3167</v>
      </c>
      <c r="E38" s="660">
        <v>3463294030</v>
      </c>
      <c r="F38" s="660">
        <v>0</v>
      </c>
      <c r="G38" s="660">
        <v>3463294030</v>
      </c>
      <c r="I38" s="660">
        <v>3481620904</v>
      </c>
      <c r="J38" s="660">
        <v>0</v>
      </c>
      <c r="K38" s="660">
        <v>3481620904</v>
      </c>
      <c r="M38" s="660">
        <v>-18326874</v>
      </c>
    </row>
    <row r="39" spans="1:13">
      <c r="A39" s="603">
        <v>29</v>
      </c>
      <c r="B39" s="596">
        <v>29</v>
      </c>
      <c r="C39" s="597" t="s">
        <v>3170</v>
      </c>
      <c r="E39" s="659">
        <v>32908592</v>
      </c>
      <c r="F39" s="659">
        <v>0</v>
      </c>
      <c r="G39" s="659">
        <v>32908592</v>
      </c>
      <c r="I39" s="659"/>
      <c r="J39" s="659">
        <v>0</v>
      </c>
      <c r="K39" s="659">
        <v>0</v>
      </c>
      <c r="M39" s="659">
        <v>32908592</v>
      </c>
    </row>
    <row r="40" spans="1:13">
      <c r="A40" s="603">
        <v>30</v>
      </c>
      <c r="B40" s="588">
        <v>30</v>
      </c>
      <c r="C40" s="599" t="s">
        <v>3173</v>
      </c>
      <c r="E40" s="660"/>
      <c r="F40" s="660">
        <v>0</v>
      </c>
      <c r="G40" s="660">
        <v>0</v>
      </c>
      <c r="I40" s="660"/>
      <c r="J40" s="660">
        <v>0</v>
      </c>
      <c r="K40" s="660">
        <v>0</v>
      </c>
      <c r="M40" s="660">
        <v>0</v>
      </c>
    </row>
    <row r="41" spans="1:13">
      <c r="A41" s="603">
        <v>31</v>
      </c>
      <c r="B41" s="596">
        <v>31</v>
      </c>
      <c r="C41" s="597" t="s">
        <v>3176</v>
      </c>
      <c r="E41" s="659"/>
      <c r="F41" s="659">
        <v>0</v>
      </c>
      <c r="G41" s="659">
        <v>0</v>
      </c>
      <c r="I41" s="659"/>
      <c r="J41" s="659">
        <v>0</v>
      </c>
      <c r="K41" s="659">
        <v>0</v>
      </c>
      <c r="M41" s="659">
        <v>0</v>
      </c>
    </row>
    <row r="42" spans="1:13">
      <c r="A42" s="603">
        <v>32</v>
      </c>
      <c r="B42" s="588">
        <v>32</v>
      </c>
      <c r="C42" s="599" t="s">
        <v>3178</v>
      </c>
      <c r="E42" s="660"/>
      <c r="F42" s="660">
        <v>0</v>
      </c>
      <c r="G42" s="660">
        <v>0</v>
      </c>
      <c r="I42" s="660"/>
      <c r="J42" s="660">
        <v>0</v>
      </c>
      <c r="K42" s="660">
        <v>0</v>
      </c>
      <c r="M42" s="660">
        <v>0</v>
      </c>
    </row>
    <row r="43" spans="1:13">
      <c r="A43" s="603">
        <v>33</v>
      </c>
      <c r="B43" s="596">
        <v>33</v>
      </c>
      <c r="C43" s="597" t="s">
        <v>3181</v>
      </c>
      <c r="E43" s="659"/>
      <c r="F43" s="659">
        <v>0</v>
      </c>
      <c r="G43" s="659">
        <v>0</v>
      </c>
      <c r="I43" s="659"/>
      <c r="J43" s="659">
        <v>0</v>
      </c>
      <c r="K43" s="659">
        <v>0</v>
      </c>
      <c r="M43" s="659">
        <v>0</v>
      </c>
    </row>
    <row r="44" spans="1:13">
      <c r="A44" s="603">
        <v>34</v>
      </c>
      <c r="B44" s="588">
        <v>34</v>
      </c>
      <c r="C44" s="599" t="s">
        <v>3184</v>
      </c>
      <c r="E44" s="660">
        <v>78876838</v>
      </c>
      <c r="F44" s="660">
        <v>0</v>
      </c>
      <c r="G44" s="660">
        <v>78876838</v>
      </c>
      <c r="I44" s="660">
        <v>78876838</v>
      </c>
      <c r="J44" s="660">
        <v>0</v>
      </c>
      <c r="K44" s="660">
        <v>78876838</v>
      </c>
      <c r="M44" s="660">
        <v>0</v>
      </c>
    </row>
    <row r="45" spans="1:13">
      <c r="A45" s="603">
        <v>35</v>
      </c>
      <c r="B45" s="596">
        <v>35</v>
      </c>
      <c r="C45" s="597" t="s">
        <v>3186</v>
      </c>
      <c r="E45" s="659"/>
      <c r="F45" s="659">
        <v>0</v>
      </c>
      <c r="G45" s="659">
        <v>0</v>
      </c>
      <c r="I45" s="659"/>
      <c r="J45" s="659">
        <v>0</v>
      </c>
      <c r="K45" s="659">
        <v>0</v>
      </c>
      <c r="M45" s="659">
        <v>0</v>
      </c>
    </row>
    <row r="46" spans="1:13">
      <c r="A46" s="603">
        <v>36</v>
      </c>
      <c r="B46" s="588">
        <v>36</v>
      </c>
      <c r="C46" s="599" t="s">
        <v>3189</v>
      </c>
      <c r="E46" s="660"/>
      <c r="F46" s="660">
        <v>0</v>
      </c>
      <c r="G46" s="660">
        <v>0</v>
      </c>
      <c r="I46" s="660"/>
      <c r="J46" s="660">
        <v>0</v>
      </c>
      <c r="K46" s="660">
        <v>0</v>
      </c>
      <c r="M46" s="660">
        <v>0</v>
      </c>
    </row>
    <row r="47" spans="1:13">
      <c r="A47" s="603">
        <v>37</v>
      </c>
      <c r="B47" s="596">
        <v>37</v>
      </c>
      <c r="C47" s="597" t="s">
        <v>3277</v>
      </c>
      <c r="E47" s="659"/>
      <c r="F47" s="659">
        <v>0</v>
      </c>
      <c r="G47" s="659">
        <v>0</v>
      </c>
      <c r="I47" s="659"/>
      <c r="J47" s="659">
        <v>0</v>
      </c>
      <c r="K47" s="659">
        <v>0</v>
      </c>
      <c r="M47" s="659">
        <v>0</v>
      </c>
    </row>
    <row r="48" spans="1:13">
      <c r="A48" s="603">
        <v>38</v>
      </c>
      <c r="B48" s="588">
        <v>38</v>
      </c>
      <c r="C48" s="599" t="s">
        <v>3278</v>
      </c>
      <c r="E48" s="660">
        <v>34053586</v>
      </c>
      <c r="F48" s="660">
        <v>0</v>
      </c>
      <c r="G48" s="660">
        <v>34053586</v>
      </c>
      <c r="I48" s="660"/>
      <c r="J48" s="660">
        <v>34053586</v>
      </c>
      <c r="K48" s="660">
        <v>34053586</v>
      </c>
      <c r="M48" s="660">
        <v>0</v>
      </c>
    </row>
    <row r="49" spans="1:13">
      <c r="A49" s="603">
        <v>39</v>
      </c>
      <c r="B49" s="596">
        <v>39</v>
      </c>
      <c r="C49" s="597" t="s">
        <v>3195</v>
      </c>
      <c r="E49" s="659"/>
      <c r="F49" s="659">
        <v>0</v>
      </c>
      <c r="G49" s="659">
        <v>0</v>
      </c>
      <c r="I49" s="659"/>
      <c r="J49" s="659">
        <v>0</v>
      </c>
      <c r="K49" s="659">
        <v>0</v>
      </c>
      <c r="M49" s="659">
        <v>0</v>
      </c>
    </row>
    <row r="50" spans="1:13">
      <c r="A50" s="603">
        <v>40</v>
      </c>
      <c r="B50" s="588">
        <v>40</v>
      </c>
      <c r="C50" s="599" t="s">
        <v>3198</v>
      </c>
      <c r="E50" s="660"/>
      <c r="F50" s="660">
        <v>0</v>
      </c>
      <c r="G50" s="660">
        <v>0</v>
      </c>
      <c r="I50" s="660"/>
      <c r="J50" s="660">
        <v>0</v>
      </c>
      <c r="K50" s="660">
        <v>0</v>
      </c>
      <c r="M50" s="660">
        <v>0</v>
      </c>
    </row>
    <row r="51" spans="1:13">
      <c r="A51" s="603">
        <v>41</v>
      </c>
      <c r="B51" s="596">
        <v>41</v>
      </c>
      <c r="C51" s="597" t="s">
        <v>3279</v>
      </c>
      <c r="E51" s="659"/>
      <c r="F51" s="659">
        <v>0</v>
      </c>
      <c r="G51" s="659">
        <v>0</v>
      </c>
      <c r="I51" s="659"/>
      <c r="J51" s="659">
        <v>0</v>
      </c>
      <c r="K51" s="659">
        <v>0</v>
      </c>
      <c r="M51" s="659">
        <v>0</v>
      </c>
    </row>
    <row r="52" spans="1:13">
      <c r="A52" s="603"/>
      <c r="B52" s="588">
        <v>42</v>
      </c>
      <c r="C52" s="599" t="s">
        <v>3280</v>
      </c>
      <c r="E52" s="660"/>
      <c r="F52" s="660">
        <v>0</v>
      </c>
      <c r="G52" s="660">
        <v>0</v>
      </c>
      <c r="I52" s="660"/>
      <c r="J52" s="660">
        <v>0</v>
      </c>
      <c r="K52" s="660">
        <v>0</v>
      </c>
      <c r="M52" s="660">
        <v>0</v>
      </c>
    </row>
    <row r="53" spans="1:13">
      <c r="A53" s="603">
        <v>0</v>
      </c>
      <c r="B53" s="601"/>
      <c r="C53" s="602" t="s">
        <v>3281</v>
      </c>
      <c r="E53" s="658">
        <v>13500000</v>
      </c>
      <c r="F53" s="658">
        <v>0</v>
      </c>
      <c r="G53" s="658">
        <v>13500000</v>
      </c>
      <c r="I53" s="658">
        <v>61375</v>
      </c>
      <c r="J53" s="658">
        <v>0</v>
      </c>
      <c r="K53" s="658">
        <v>61375</v>
      </c>
      <c r="M53" s="658">
        <v>13438625</v>
      </c>
    </row>
    <row r="54" spans="1:13">
      <c r="A54" s="603">
        <v>43</v>
      </c>
      <c r="B54" s="596">
        <v>43</v>
      </c>
      <c r="C54" s="597" t="s">
        <v>3282</v>
      </c>
      <c r="E54" s="659"/>
      <c r="F54" s="659">
        <v>0</v>
      </c>
      <c r="G54" s="659">
        <v>0</v>
      </c>
      <c r="I54" s="659"/>
      <c r="J54" s="659">
        <v>0</v>
      </c>
      <c r="K54" s="659">
        <v>0</v>
      </c>
      <c r="M54" s="659">
        <v>0</v>
      </c>
    </row>
    <row r="55" spans="1:13">
      <c r="A55" s="603">
        <v>44</v>
      </c>
      <c r="B55" s="588">
        <v>44</v>
      </c>
      <c r="C55" s="599" t="s">
        <v>3283</v>
      </c>
      <c r="E55" s="660"/>
      <c r="F55" s="660">
        <v>0</v>
      </c>
      <c r="G55" s="660">
        <v>0</v>
      </c>
      <c r="I55" s="660"/>
      <c r="J55" s="660">
        <v>0</v>
      </c>
      <c r="K55" s="660">
        <v>0</v>
      </c>
      <c r="M55" s="660">
        <v>0</v>
      </c>
    </row>
    <row r="56" spans="1:13">
      <c r="A56" s="603"/>
      <c r="B56" s="596">
        <v>45</v>
      </c>
      <c r="C56" s="597" t="s">
        <v>3284</v>
      </c>
      <c r="E56" s="659"/>
      <c r="F56" s="659">
        <v>0</v>
      </c>
      <c r="G56" s="659">
        <v>0</v>
      </c>
      <c r="I56" s="659">
        <v>61375</v>
      </c>
      <c r="J56" s="659">
        <v>0</v>
      </c>
      <c r="K56" s="659">
        <v>61375</v>
      </c>
      <c r="M56" s="659">
        <v>-61375</v>
      </c>
    </row>
    <row r="57" spans="1:13">
      <c r="A57" s="603"/>
      <c r="B57" s="588">
        <v>46</v>
      </c>
      <c r="C57" s="599" t="s">
        <v>3285</v>
      </c>
      <c r="E57" s="660"/>
      <c r="F57" s="660">
        <v>0</v>
      </c>
      <c r="G57" s="660">
        <v>0</v>
      </c>
      <c r="I57" s="660"/>
      <c r="J57" s="660">
        <v>0</v>
      </c>
      <c r="K57" s="660">
        <v>0</v>
      </c>
      <c r="M57" s="660">
        <v>0</v>
      </c>
    </row>
    <row r="58" spans="1:13">
      <c r="A58" s="603"/>
      <c r="B58" s="596">
        <v>47</v>
      </c>
      <c r="C58" s="597" t="s">
        <v>3286</v>
      </c>
      <c r="E58" s="659"/>
      <c r="F58" s="659">
        <v>0</v>
      </c>
      <c r="G58" s="659">
        <v>0</v>
      </c>
      <c r="I58" s="659"/>
      <c r="J58" s="659">
        <v>0</v>
      </c>
      <c r="K58" s="659">
        <v>0</v>
      </c>
      <c r="M58" s="659">
        <v>0</v>
      </c>
    </row>
    <row r="59" spans="1:13">
      <c r="A59" s="603"/>
      <c r="B59" s="588">
        <v>48</v>
      </c>
      <c r="C59" s="599" t="s">
        <v>3287</v>
      </c>
      <c r="E59" s="660"/>
      <c r="F59" s="660">
        <v>0</v>
      </c>
      <c r="G59" s="660">
        <v>0</v>
      </c>
      <c r="I59" s="660"/>
      <c r="J59" s="660">
        <v>0</v>
      </c>
      <c r="K59" s="660">
        <v>0</v>
      </c>
      <c r="M59" s="660">
        <v>0</v>
      </c>
    </row>
    <row r="60" spans="1:13">
      <c r="A60" s="603"/>
      <c r="B60" s="596">
        <v>49</v>
      </c>
      <c r="C60" s="597" t="s">
        <v>3288</v>
      </c>
      <c r="E60" s="659"/>
      <c r="F60" s="659">
        <v>0</v>
      </c>
      <c r="G60" s="659">
        <v>0</v>
      </c>
      <c r="I60" s="659"/>
      <c r="J60" s="659">
        <v>0</v>
      </c>
      <c r="K60" s="659">
        <v>0</v>
      </c>
      <c r="M60" s="659">
        <v>0</v>
      </c>
    </row>
    <row r="61" spans="1:13">
      <c r="A61" s="603"/>
      <c r="B61" s="588">
        <v>50</v>
      </c>
      <c r="C61" s="599" t="s">
        <v>3289</v>
      </c>
      <c r="E61" s="660"/>
      <c r="F61" s="660">
        <v>0</v>
      </c>
      <c r="G61" s="660">
        <v>0</v>
      </c>
      <c r="I61" s="660"/>
      <c r="J61" s="660">
        <v>0</v>
      </c>
      <c r="K61" s="660">
        <v>0</v>
      </c>
      <c r="M61" s="660">
        <v>0</v>
      </c>
    </row>
    <row r="62" spans="1:13">
      <c r="A62" s="603"/>
      <c r="B62" s="596">
        <v>51</v>
      </c>
      <c r="C62" s="597" t="s">
        <v>3218</v>
      </c>
      <c r="E62" s="659">
        <v>13500000</v>
      </c>
      <c r="F62" s="659">
        <v>0</v>
      </c>
      <c r="G62" s="659">
        <v>13500000</v>
      </c>
      <c r="I62" s="659"/>
      <c r="J62" s="659">
        <v>0</v>
      </c>
      <c r="K62" s="659">
        <v>0</v>
      </c>
      <c r="M62" s="659">
        <v>13500000</v>
      </c>
    </row>
    <row r="63" spans="1:13">
      <c r="A63" s="603">
        <v>0</v>
      </c>
      <c r="B63" s="601"/>
      <c r="C63" s="602" t="s">
        <v>3290</v>
      </c>
      <c r="E63" s="658">
        <v>0</v>
      </c>
      <c r="F63" s="658">
        <v>0</v>
      </c>
      <c r="G63" s="658">
        <v>0</v>
      </c>
      <c r="I63" s="658">
        <v>0</v>
      </c>
      <c r="J63" s="658">
        <v>0</v>
      </c>
      <c r="K63" s="658">
        <v>0</v>
      </c>
      <c r="M63" s="658">
        <v>0</v>
      </c>
    </row>
    <row r="64" spans="1:13">
      <c r="A64" s="603">
        <v>52</v>
      </c>
      <c r="B64" s="588">
        <v>52</v>
      </c>
      <c r="C64" s="599" t="s">
        <v>3222</v>
      </c>
      <c r="E64" s="660"/>
      <c r="F64" s="660">
        <v>0</v>
      </c>
      <c r="G64" s="660">
        <v>0</v>
      </c>
      <c r="I64" s="660"/>
      <c r="J64" s="660">
        <v>0</v>
      </c>
      <c r="K64" s="660">
        <v>0</v>
      </c>
      <c r="M64" s="660">
        <v>0</v>
      </c>
    </row>
    <row r="65" spans="1:13">
      <c r="A65" s="603">
        <v>53</v>
      </c>
      <c r="B65" s="596">
        <v>53</v>
      </c>
      <c r="C65" s="597" t="s">
        <v>3225</v>
      </c>
      <c r="E65" s="659"/>
      <c r="F65" s="659">
        <v>0</v>
      </c>
      <c r="G65" s="659">
        <v>0</v>
      </c>
      <c r="I65" s="659"/>
      <c r="J65" s="659">
        <v>0</v>
      </c>
      <c r="K65" s="659">
        <v>0</v>
      </c>
      <c r="M65" s="659">
        <v>0</v>
      </c>
    </row>
    <row r="66" spans="1:13">
      <c r="A66" s="603">
        <v>54</v>
      </c>
      <c r="B66" s="588">
        <v>54</v>
      </c>
      <c r="C66" s="599" t="s">
        <v>3291</v>
      </c>
      <c r="E66" s="660"/>
      <c r="F66" s="660">
        <v>0</v>
      </c>
      <c r="G66" s="660">
        <v>0</v>
      </c>
      <c r="I66" s="660"/>
      <c r="J66" s="660">
        <v>0</v>
      </c>
      <c r="K66" s="660">
        <v>0</v>
      </c>
      <c r="M66" s="660">
        <v>0</v>
      </c>
    </row>
    <row r="67" spans="1:13">
      <c r="A67" s="603"/>
      <c r="B67" s="601"/>
      <c r="C67" s="602" t="s">
        <v>3292</v>
      </c>
      <c r="E67" s="658">
        <v>0</v>
      </c>
      <c r="F67" s="658">
        <v>0</v>
      </c>
      <c r="G67" s="658">
        <v>0</v>
      </c>
      <c r="I67" s="658">
        <v>0</v>
      </c>
      <c r="J67" s="658">
        <v>0</v>
      </c>
      <c r="K67" s="658">
        <v>0</v>
      </c>
      <c r="M67" s="658">
        <v>0</v>
      </c>
    </row>
    <row r="68" spans="1:13">
      <c r="A68" s="603"/>
      <c r="B68" s="596">
        <v>55</v>
      </c>
      <c r="C68" s="597" t="s">
        <v>3231</v>
      </c>
      <c r="E68" s="659"/>
      <c r="F68" s="659">
        <v>0</v>
      </c>
      <c r="G68" s="659">
        <v>0</v>
      </c>
      <c r="I68" s="659"/>
      <c r="J68" s="659">
        <v>0</v>
      </c>
      <c r="K68" s="659">
        <v>0</v>
      </c>
      <c r="M68" s="659">
        <v>0</v>
      </c>
    </row>
    <row r="69" spans="1:13">
      <c r="A69" s="603"/>
      <c r="B69" s="588">
        <v>56</v>
      </c>
      <c r="C69" s="599" t="s">
        <v>3293</v>
      </c>
      <c r="E69" s="660"/>
      <c r="F69" s="660">
        <v>0</v>
      </c>
      <c r="G69" s="660">
        <v>0</v>
      </c>
      <c r="I69" s="660"/>
      <c r="J69" s="660">
        <v>0</v>
      </c>
      <c r="K69" s="660">
        <v>0</v>
      </c>
      <c r="M69" s="660">
        <v>0</v>
      </c>
    </row>
    <row r="70" spans="1:13">
      <c r="A70" s="603">
        <v>0</v>
      </c>
      <c r="B70" s="601"/>
      <c r="C70" s="602" t="s">
        <v>340</v>
      </c>
      <c r="E70" s="658">
        <v>402290773</v>
      </c>
      <c r="F70" s="658">
        <v>0</v>
      </c>
      <c r="G70" s="658">
        <v>402290773</v>
      </c>
      <c r="I70" s="658">
        <v>334407444</v>
      </c>
      <c r="J70" s="658">
        <v>0</v>
      </c>
      <c r="K70" s="658">
        <v>334407444</v>
      </c>
      <c r="M70" s="658">
        <v>67883329</v>
      </c>
    </row>
    <row r="71" spans="1:13">
      <c r="A71" s="603">
        <v>57</v>
      </c>
      <c r="B71" s="596">
        <v>57</v>
      </c>
      <c r="C71" s="597" t="s">
        <v>3294</v>
      </c>
      <c r="E71" s="659">
        <v>402290773</v>
      </c>
      <c r="F71" s="659">
        <v>0</v>
      </c>
      <c r="G71" s="659">
        <v>402290773</v>
      </c>
      <c r="I71" s="659">
        <v>334407444</v>
      </c>
      <c r="J71" s="659">
        <v>0</v>
      </c>
      <c r="K71" s="659">
        <v>334407444</v>
      </c>
      <c r="M71" s="659">
        <v>67883329</v>
      </c>
    </row>
    <row r="72" spans="1:13">
      <c r="A72" s="603">
        <v>0</v>
      </c>
      <c r="B72" s="601"/>
      <c r="C72" s="602" t="s">
        <v>3295</v>
      </c>
      <c r="E72" s="658">
        <v>1042295322</v>
      </c>
      <c r="F72" s="658">
        <v>0</v>
      </c>
      <c r="G72" s="658">
        <v>1042295322</v>
      </c>
      <c r="I72" s="658">
        <v>1029681214</v>
      </c>
      <c r="J72" s="658">
        <v>0</v>
      </c>
      <c r="K72" s="658">
        <v>1029681214</v>
      </c>
      <c r="M72" s="658">
        <v>12614108</v>
      </c>
    </row>
    <row r="73" spans="1:13">
      <c r="A73" s="603">
        <v>58</v>
      </c>
      <c r="B73" s="588">
        <v>58</v>
      </c>
      <c r="C73" s="599" t="s">
        <v>3296</v>
      </c>
      <c r="E73" s="660">
        <v>1042295322</v>
      </c>
      <c r="F73" s="660">
        <v>0</v>
      </c>
      <c r="G73" s="660">
        <v>1042295322</v>
      </c>
      <c r="I73" s="660">
        <v>1029681214</v>
      </c>
      <c r="J73" s="660">
        <v>0</v>
      </c>
      <c r="K73" s="660">
        <v>1029681214</v>
      </c>
      <c r="M73" s="660">
        <v>12614108</v>
      </c>
    </row>
    <row r="74" spans="1:13">
      <c r="A74" s="603"/>
      <c r="B74" s="601"/>
      <c r="C74" s="602" t="s">
        <v>3297</v>
      </c>
      <c r="E74" s="658">
        <v>0</v>
      </c>
      <c r="F74" s="658">
        <v>0</v>
      </c>
      <c r="G74" s="658">
        <v>0</v>
      </c>
      <c r="I74" s="658">
        <v>0</v>
      </c>
      <c r="J74" s="658">
        <v>0</v>
      </c>
      <c r="K74" s="658">
        <v>0</v>
      </c>
      <c r="M74" s="658">
        <v>0</v>
      </c>
    </row>
    <row r="75" spans="1:13">
      <c r="A75" s="603"/>
      <c r="B75" s="588">
        <v>59</v>
      </c>
      <c r="C75" s="599" t="s">
        <v>3298</v>
      </c>
      <c r="E75" s="660"/>
      <c r="F75" s="660">
        <v>0</v>
      </c>
      <c r="G75" s="660">
        <v>0</v>
      </c>
      <c r="I75" s="660"/>
      <c r="J75" s="660">
        <v>0</v>
      </c>
      <c r="K75" s="660">
        <v>0</v>
      </c>
      <c r="M75" s="660"/>
    </row>
    <row r="76" spans="1:13">
      <c r="A76" s="603"/>
      <c r="B76" s="601"/>
      <c r="C76" s="602" t="s">
        <v>3299</v>
      </c>
      <c r="E76" s="658">
        <v>0</v>
      </c>
      <c r="F76" s="658">
        <v>0</v>
      </c>
      <c r="G76" s="658">
        <v>0</v>
      </c>
      <c r="I76" s="658">
        <v>0</v>
      </c>
      <c r="J76" s="658">
        <v>0</v>
      </c>
      <c r="K76" s="658">
        <v>0</v>
      </c>
      <c r="M76" s="658">
        <v>0</v>
      </c>
    </row>
    <row r="77" spans="1:13">
      <c r="A77" s="603"/>
      <c r="B77" s="588">
        <v>60</v>
      </c>
      <c r="C77" s="599" t="s">
        <v>3300</v>
      </c>
      <c r="E77" s="660"/>
      <c r="F77" s="660">
        <v>0</v>
      </c>
      <c r="G77" s="660">
        <v>0</v>
      </c>
      <c r="I77" s="660"/>
      <c r="J77" s="660">
        <v>0</v>
      </c>
      <c r="K77" s="660">
        <v>0</v>
      </c>
      <c r="M77" s="660"/>
    </row>
    <row r="78" spans="1:13">
      <c r="A78" s="603"/>
      <c r="B78" s="601"/>
      <c r="C78" s="602" t="s">
        <v>3301</v>
      </c>
      <c r="E78" s="658">
        <v>0</v>
      </c>
      <c r="F78" s="658">
        <v>0</v>
      </c>
      <c r="G78" s="658">
        <v>0</v>
      </c>
      <c r="I78" s="658">
        <v>0</v>
      </c>
      <c r="J78" s="658">
        <v>0</v>
      </c>
      <c r="K78" s="658">
        <v>0</v>
      </c>
      <c r="M78" s="658">
        <v>0</v>
      </c>
    </row>
    <row r="79" spans="1:13">
      <c r="A79" s="603"/>
      <c r="B79" s="596">
        <v>61</v>
      </c>
      <c r="C79" s="597" t="s">
        <v>3302</v>
      </c>
      <c r="E79" s="659"/>
      <c r="F79" s="659"/>
      <c r="G79" s="659"/>
      <c r="I79" s="659"/>
      <c r="J79" s="659"/>
      <c r="K79" s="659"/>
      <c r="M79" s="659"/>
    </row>
  </sheetData>
  <mergeCells count="5">
    <mergeCell ref="B3:B4"/>
    <mergeCell ref="C3:C4"/>
    <mergeCell ref="E3:G3"/>
    <mergeCell ref="I3:K3"/>
    <mergeCell ref="M3:M4"/>
  </mergeCells>
  <hyperlinks>
    <hyperlink ref="A1" location="Sommaire!A1" display="Sommaire!A1" xr:uid="{00000000-0004-0000-1200-000000000000}"/>
  </hyperlinks>
  <pageMargins left="0.7" right="0.7" top="0.75" bottom="0.75" header="0.3" footer="0.3"/>
  <pageSetup paperSize="9"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M79"/>
  <sheetViews>
    <sheetView showGridLines="0" zoomScaleNormal="100" workbookViewId="0">
      <selection activeCell="B1" sqref="B1"/>
    </sheetView>
  </sheetViews>
  <sheetFormatPr baseColWidth="10" defaultColWidth="11.33203125" defaultRowHeight="12"/>
  <cols>
    <col min="1" max="1" width="10.1640625" style="588" bestFit="1" customWidth="1"/>
    <col min="2" max="2" width="19" style="588" bestFit="1" customWidth="1"/>
    <col min="3" max="3" width="54.5" style="605" bestFit="1" customWidth="1"/>
    <col min="4" max="4" width="0.6640625" style="590" customWidth="1"/>
    <col min="5" max="5" width="14.5" style="590" bestFit="1" customWidth="1"/>
    <col min="6" max="6" width="13.6640625" style="588" bestFit="1" customWidth="1"/>
    <col min="7" max="7" width="13.5" style="590" bestFit="1" customWidth="1"/>
    <col min="8" max="8" width="0.6640625" style="590" customWidth="1"/>
    <col min="9" max="9" width="13.5" style="590" bestFit="1" customWidth="1"/>
    <col min="10" max="10" width="10.1640625" style="590" bestFit="1" customWidth="1"/>
    <col min="11" max="11" width="13.5" style="590" bestFit="1" customWidth="1"/>
    <col min="12" max="12" width="0.6640625" style="590" customWidth="1"/>
    <col min="13" max="13" width="13.83203125" style="590" bestFit="1" customWidth="1"/>
    <col min="14" max="16384" width="11.33203125" style="590"/>
  </cols>
  <sheetData>
    <row r="1" spans="1:13" ht="36">
      <c r="A1" s="661" t="s">
        <v>140</v>
      </c>
      <c r="C1" s="589" t="s">
        <v>3249</v>
      </c>
      <c r="E1" s="591" t="s">
        <v>210</v>
      </c>
      <c r="F1" s="591" t="s">
        <v>3309</v>
      </c>
      <c r="G1" s="592"/>
      <c r="J1" s="592" t="s">
        <v>3251</v>
      </c>
      <c r="K1" s="592">
        <v>2023</v>
      </c>
    </row>
    <row r="2" spans="1:13">
      <c r="C2" s="593"/>
      <c r="F2" s="590"/>
      <c r="I2" s="590" t="s">
        <v>3252</v>
      </c>
      <c r="J2" s="594">
        <v>604.32574999999997</v>
      </c>
    </row>
    <row r="3" spans="1:13">
      <c r="B3" s="753" t="s">
        <v>143</v>
      </c>
      <c r="C3" s="754" t="s">
        <v>3253</v>
      </c>
      <c r="E3" s="755" t="s">
        <v>2084</v>
      </c>
      <c r="F3" s="755"/>
      <c r="G3" s="755"/>
      <c r="I3" s="755" t="s">
        <v>3254</v>
      </c>
      <c r="J3" s="755"/>
      <c r="K3" s="755"/>
      <c r="M3" s="756" t="s">
        <v>3255</v>
      </c>
    </row>
    <row r="4" spans="1:13">
      <c r="B4" s="753"/>
      <c r="C4" s="754"/>
      <c r="E4" s="595" t="s">
        <v>3256</v>
      </c>
      <c r="F4" s="595" t="s">
        <v>3257</v>
      </c>
      <c r="G4" s="595" t="s">
        <v>3258</v>
      </c>
      <c r="I4" s="595" t="s">
        <v>3256</v>
      </c>
      <c r="J4" s="595" t="s">
        <v>3257</v>
      </c>
      <c r="K4" s="595" t="s">
        <v>3258</v>
      </c>
      <c r="M4" s="756"/>
    </row>
    <row r="5" spans="1:13">
      <c r="B5" s="655" t="s">
        <v>3092</v>
      </c>
      <c r="C5" s="656"/>
      <c r="E5" s="657">
        <v>0</v>
      </c>
      <c r="F5" s="657">
        <v>0</v>
      </c>
      <c r="G5" s="657">
        <v>0</v>
      </c>
      <c r="I5" s="657">
        <v>0</v>
      </c>
      <c r="J5" s="657">
        <v>0</v>
      </c>
      <c r="K5" s="657">
        <v>0</v>
      </c>
      <c r="M5" s="657">
        <v>0</v>
      </c>
    </row>
    <row r="6" spans="1:13">
      <c r="B6" s="596">
        <v>1</v>
      </c>
      <c r="C6" s="597" t="s">
        <v>3259</v>
      </c>
      <c r="E6" s="598"/>
      <c r="F6" s="598">
        <v>0</v>
      </c>
      <c r="G6" s="598">
        <v>0</v>
      </c>
      <c r="I6" s="598"/>
      <c r="J6" s="598">
        <v>0</v>
      </c>
      <c r="K6" s="598">
        <v>0</v>
      </c>
      <c r="M6" s="598">
        <v>0</v>
      </c>
    </row>
    <row r="7" spans="1:13">
      <c r="B7" s="588">
        <v>2</v>
      </c>
      <c r="C7" s="599" t="s">
        <v>3260</v>
      </c>
      <c r="E7" s="600"/>
      <c r="F7" s="600">
        <v>0</v>
      </c>
      <c r="G7" s="600">
        <v>0</v>
      </c>
      <c r="I7" s="600"/>
      <c r="J7" s="600">
        <v>0</v>
      </c>
      <c r="K7" s="600">
        <v>0</v>
      </c>
      <c r="M7" s="600">
        <v>0</v>
      </c>
    </row>
    <row r="8" spans="1:13">
      <c r="B8" s="655" t="s">
        <v>3101</v>
      </c>
      <c r="C8" s="656"/>
      <c r="E8" s="657">
        <v>49150647963</v>
      </c>
      <c r="F8" s="657">
        <v>-27988203142</v>
      </c>
      <c r="G8" s="657">
        <v>21162444821</v>
      </c>
      <c r="I8" s="657">
        <v>22033610637</v>
      </c>
      <c r="J8" s="657">
        <v>0</v>
      </c>
      <c r="K8" s="657">
        <v>22033610637</v>
      </c>
      <c r="M8" s="657">
        <v>-871165816</v>
      </c>
    </row>
    <row r="9" spans="1:13">
      <c r="B9" s="601"/>
      <c r="C9" s="602" t="s">
        <v>1244</v>
      </c>
      <c r="E9" s="658">
        <v>0</v>
      </c>
      <c r="F9" s="658">
        <v>0</v>
      </c>
      <c r="G9" s="658">
        <v>0</v>
      </c>
      <c r="I9" s="658">
        <v>0</v>
      </c>
      <c r="J9" s="658">
        <v>0</v>
      </c>
      <c r="K9" s="658">
        <v>0</v>
      </c>
      <c r="M9" s="658">
        <v>0</v>
      </c>
    </row>
    <row r="10" spans="1:13">
      <c r="A10" s="603">
        <v>3</v>
      </c>
      <c r="B10" s="596">
        <v>3</v>
      </c>
      <c r="C10" s="597" t="s">
        <v>3261</v>
      </c>
      <c r="E10" s="659"/>
      <c r="F10" s="659">
        <v>0</v>
      </c>
      <c r="G10" s="659">
        <v>0</v>
      </c>
      <c r="I10" s="659"/>
      <c r="J10" s="659">
        <v>0</v>
      </c>
      <c r="K10" s="659">
        <v>0</v>
      </c>
      <c r="M10" s="659">
        <v>0</v>
      </c>
    </row>
    <row r="11" spans="1:13">
      <c r="A11" s="603">
        <v>4</v>
      </c>
      <c r="B11" s="588">
        <v>4</v>
      </c>
      <c r="C11" s="599" t="s">
        <v>3106</v>
      </c>
      <c r="E11" s="660"/>
      <c r="F11" s="660">
        <v>0</v>
      </c>
      <c r="G11" s="660">
        <v>0</v>
      </c>
      <c r="I11" s="660"/>
      <c r="J11" s="660">
        <v>0</v>
      </c>
      <c r="K11" s="660">
        <v>0</v>
      </c>
      <c r="M11" s="660">
        <v>0</v>
      </c>
    </row>
    <row r="12" spans="1:13">
      <c r="A12" s="603">
        <v>5</v>
      </c>
      <c r="B12" s="596">
        <v>5</v>
      </c>
      <c r="C12" s="597" t="s">
        <v>3262</v>
      </c>
      <c r="E12" s="659"/>
      <c r="F12" s="659">
        <v>0</v>
      </c>
      <c r="G12" s="659">
        <v>0</v>
      </c>
      <c r="I12" s="659"/>
      <c r="J12" s="659">
        <v>0</v>
      </c>
      <c r="K12" s="659">
        <v>0</v>
      </c>
      <c r="M12" s="659">
        <v>0</v>
      </c>
    </row>
    <row r="13" spans="1:13">
      <c r="A13" s="603">
        <v>6</v>
      </c>
      <c r="B13" s="588">
        <v>6</v>
      </c>
      <c r="C13" s="599" t="s">
        <v>3263</v>
      </c>
      <c r="E13" s="660"/>
      <c r="F13" s="660">
        <v>0</v>
      </c>
      <c r="G13" s="660">
        <v>0</v>
      </c>
      <c r="I13" s="660"/>
      <c r="J13" s="660">
        <v>0</v>
      </c>
      <c r="K13" s="660">
        <v>0</v>
      </c>
      <c r="M13" s="660">
        <v>0</v>
      </c>
    </row>
    <row r="14" spans="1:13">
      <c r="A14" s="603">
        <v>7</v>
      </c>
      <c r="B14" s="596">
        <v>7</v>
      </c>
      <c r="C14" s="597" t="s">
        <v>3114</v>
      </c>
      <c r="E14" s="659"/>
      <c r="F14" s="659">
        <v>0</v>
      </c>
      <c r="G14" s="659">
        <v>0</v>
      </c>
      <c r="I14" s="659"/>
      <c r="J14" s="659">
        <v>0</v>
      </c>
      <c r="K14" s="659">
        <v>0</v>
      </c>
      <c r="M14" s="659">
        <v>0</v>
      </c>
    </row>
    <row r="15" spans="1:13">
      <c r="A15" s="603">
        <v>0</v>
      </c>
      <c r="B15" s="601"/>
      <c r="C15" s="602" t="s">
        <v>1253</v>
      </c>
      <c r="E15" s="658">
        <v>0</v>
      </c>
      <c r="F15" s="658">
        <v>0</v>
      </c>
      <c r="G15" s="658">
        <v>0</v>
      </c>
      <c r="I15" s="658">
        <v>0</v>
      </c>
      <c r="J15" s="658">
        <v>0</v>
      </c>
      <c r="K15" s="658">
        <v>0</v>
      </c>
      <c r="M15" s="658">
        <v>0</v>
      </c>
    </row>
    <row r="16" spans="1:13">
      <c r="A16" s="603">
        <v>8</v>
      </c>
      <c r="B16" s="588">
        <v>8</v>
      </c>
      <c r="C16" s="599" t="s">
        <v>3264</v>
      </c>
      <c r="E16" s="660"/>
      <c r="F16" s="660">
        <v>0</v>
      </c>
      <c r="G16" s="660">
        <v>0</v>
      </c>
      <c r="I16" s="660"/>
      <c r="J16" s="660">
        <v>0</v>
      </c>
      <c r="K16" s="660">
        <v>0</v>
      </c>
      <c r="M16" s="660">
        <v>0</v>
      </c>
    </row>
    <row r="17" spans="1:13">
      <c r="A17" s="603">
        <v>9</v>
      </c>
      <c r="B17" s="596">
        <v>9</v>
      </c>
      <c r="C17" s="597" t="s">
        <v>3265</v>
      </c>
      <c r="E17" s="659"/>
      <c r="F17" s="659">
        <v>0</v>
      </c>
      <c r="G17" s="659">
        <v>0</v>
      </c>
      <c r="I17" s="659"/>
      <c r="J17" s="659">
        <v>0</v>
      </c>
      <c r="K17" s="659">
        <v>0</v>
      </c>
      <c r="M17" s="659">
        <v>0</v>
      </c>
    </row>
    <row r="18" spans="1:13">
      <c r="A18" s="603"/>
      <c r="B18" s="588">
        <v>10</v>
      </c>
      <c r="C18" s="599" t="s">
        <v>3122</v>
      </c>
      <c r="E18" s="660"/>
      <c r="F18" s="660">
        <v>0</v>
      </c>
      <c r="G18" s="660">
        <v>0</v>
      </c>
      <c r="I18" s="660"/>
      <c r="J18" s="660">
        <v>0</v>
      </c>
      <c r="K18" s="660">
        <v>0</v>
      </c>
      <c r="M18" s="660">
        <v>0</v>
      </c>
    </row>
    <row r="19" spans="1:13">
      <c r="A19" s="603">
        <v>11</v>
      </c>
      <c r="B19" s="596">
        <v>11</v>
      </c>
      <c r="C19" s="597" t="s">
        <v>3124</v>
      </c>
      <c r="E19" s="659"/>
      <c r="F19" s="659">
        <v>0</v>
      </c>
      <c r="G19" s="659">
        <v>0</v>
      </c>
      <c r="I19" s="659"/>
      <c r="J19" s="659">
        <v>0</v>
      </c>
      <c r="K19" s="659">
        <v>0</v>
      </c>
      <c r="M19" s="659">
        <v>0</v>
      </c>
    </row>
    <row r="20" spans="1:13">
      <c r="A20" s="603">
        <v>12</v>
      </c>
      <c r="B20" s="588">
        <v>12</v>
      </c>
      <c r="C20" s="599" t="s">
        <v>3266</v>
      </c>
      <c r="E20" s="660"/>
      <c r="F20" s="660">
        <v>0</v>
      </c>
      <c r="G20" s="660">
        <v>0</v>
      </c>
      <c r="I20" s="660"/>
      <c r="J20" s="660">
        <v>0</v>
      </c>
      <c r="K20" s="660">
        <v>0</v>
      </c>
      <c r="M20" s="660">
        <v>0</v>
      </c>
    </row>
    <row r="21" spans="1:13">
      <c r="A21" s="603">
        <v>13</v>
      </c>
      <c r="B21" s="596">
        <v>13</v>
      </c>
      <c r="C21" s="597" t="s">
        <v>3267</v>
      </c>
      <c r="E21" s="659"/>
      <c r="F21" s="659">
        <v>0</v>
      </c>
      <c r="G21" s="659">
        <v>0</v>
      </c>
      <c r="I21" s="659"/>
      <c r="J21" s="659">
        <v>0</v>
      </c>
      <c r="K21" s="659">
        <v>0</v>
      </c>
      <c r="M21" s="659">
        <v>0</v>
      </c>
    </row>
    <row r="22" spans="1:13">
      <c r="A22" s="603">
        <v>14</v>
      </c>
      <c r="B22" s="588">
        <v>14</v>
      </c>
      <c r="C22" s="599" t="s">
        <v>3268</v>
      </c>
      <c r="E22" s="660"/>
      <c r="F22" s="660">
        <v>0</v>
      </c>
      <c r="G22" s="660">
        <v>0</v>
      </c>
      <c r="I22" s="660"/>
      <c r="J22" s="660">
        <v>0</v>
      </c>
      <c r="K22" s="660">
        <v>0</v>
      </c>
      <c r="M22" s="660">
        <v>0</v>
      </c>
    </row>
    <row r="23" spans="1:13">
      <c r="A23" s="603">
        <v>15</v>
      </c>
      <c r="B23" s="596">
        <v>15</v>
      </c>
      <c r="C23" s="597" t="s">
        <v>3133</v>
      </c>
      <c r="E23" s="659"/>
      <c r="F23" s="659">
        <v>0</v>
      </c>
      <c r="G23" s="659">
        <v>0</v>
      </c>
      <c r="I23" s="659"/>
      <c r="J23" s="659">
        <v>0</v>
      </c>
      <c r="K23" s="659">
        <v>0</v>
      </c>
      <c r="M23" s="659">
        <v>0</v>
      </c>
    </row>
    <row r="24" spans="1:13">
      <c r="A24" s="603">
        <v>16</v>
      </c>
      <c r="B24" s="588">
        <v>16</v>
      </c>
      <c r="C24" s="599" t="s">
        <v>3136</v>
      </c>
      <c r="E24" s="660"/>
      <c r="F24" s="660">
        <v>0</v>
      </c>
      <c r="G24" s="660">
        <v>0</v>
      </c>
      <c r="I24" s="660"/>
      <c r="J24" s="660">
        <v>0</v>
      </c>
      <c r="K24" s="660">
        <v>0</v>
      </c>
      <c r="M24" s="660">
        <v>0</v>
      </c>
    </row>
    <row r="25" spans="1:13">
      <c r="A25" s="603">
        <v>0</v>
      </c>
      <c r="B25" s="601"/>
      <c r="C25" s="602" t="s">
        <v>3269</v>
      </c>
      <c r="E25" s="658">
        <v>0</v>
      </c>
      <c r="F25" s="658">
        <v>0</v>
      </c>
      <c r="G25" s="658">
        <v>0</v>
      </c>
      <c r="I25" s="658">
        <v>0</v>
      </c>
      <c r="J25" s="658">
        <v>0</v>
      </c>
      <c r="K25" s="658">
        <v>0</v>
      </c>
      <c r="M25" s="658">
        <v>0</v>
      </c>
    </row>
    <row r="26" spans="1:13">
      <c r="A26" s="603">
        <v>17</v>
      </c>
      <c r="B26" s="596">
        <v>17</v>
      </c>
      <c r="C26" s="597" t="s">
        <v>3270</v>
      </c>
      <c r="E26" s="659"/>
      <c r="F26" s="659">
        <v>0</v>
      </c>
      <c r="G26" s="659">
        <v>0</v>
      </c>
      <c r="I26" s="659"/>
      <c r="J26" s="659">
        <v>0</v>
      </c>
      <c r="K26" s="659">
        <v>0</v>
      </c>
      <c r="M26" s="659">
        <v>0</v>
      </c>
    </row>
    <row r="27" spans="1:13">
      <c r="A27" s="603">
        <v>18</v>
      </c>
      <c r="B27" s="588">
        <v>18</v>
      </c>
      <c r="C27" s="599" t="s">
        <v>3141</v>
      </c>
      <c r="E27" s="660"/>
      <c r="F27" s="660">
        <v>0</v>
      </c>
      <c r="G27" s="660">
        <v>0</v>
      </c>
      <c r="I27" s="660"/>
      <c r="J27" s="660">
        <v>0</v>
      </c>
      <c r="K27" s="660">
        <v>0</v>
      </c>
      <c r="M27" s="660">
        <v>0</v>
      </c>
    </row>
    <row r="28" spans="1:13">
      <c r="A28" s="603">
        <v>19</v>
      </c>
      <c r="B28" s="596">
        <v>19</v>
      </c>
      <c r="C28" s="597" t="s">
        <v>3144</v>
      </c>
      <c r="E28" s="659"/>
      <c r="F28" s="659">
        <v>0</v>
      </c>
      <c r="G28" s="659">
        <v>0</v>
      </c>
      <c r="I28" s="659"/>
      <c r="J28" s="659">
        <v>0</v>
      </c>
      <c r="K28" s="659">
        <v>0</v>
      </c>
      <c r="M28" s="659">
        <v>0</v>
      </c>
    </row>
    <row r="29" spans="1:13">
      <c r="A29" s="603">
        <v>20</v>
      </c>
      <c r="B29" s="588">
        <v>20</v>
      </c>
      <c r="C29" s="599" t="s">
        <v>3147</v>
      </c>
      <c r="E29" s="660"/>
      <c r="F29" s="660">
        <v>0</v>
      </c>
      <c r="G29" s="660">
        <v>0</v>
      </c>
      <c r="I29" s="660"/>
      <c r="J29" s="660">
        <v>0</v>
      </c>
      <c r="K29" s="660">
        <v>0</v>
      </c>
      <c r="M29" s="660">
        <v>0</v>
      </c>
    </row>
    <row r="30" spans="1:13">
      <c r="A30" s="603">
        <v>21</v>
      </c>
      <c r="B30" s="596">
        <v>21</v>
      </c>
      <c r="C30" s="597" t="s">
        <v>3271</v>
      </c>
      <c r="E30" s="659"/>
      <c r="F30" s="659">
        <v>0</v>
      </c>
      <c r="G30" s="659">
        <v>0</v>
      </c>
      <c r="I30" s="659"/>
      <c r="J30" s="659">
        <v>0</v>
      </c>
      <c r="K30" s="659">
        <v>0</v>
      </c>
      <c r="M30" s="659">
        <v>0</v>
      </c>
    </row>
    <row r="31" spans="1:13">
      <c r="A31" s="603">
        <v>22</v>
      </c>
      <c r="B31" s="588">
        <v>22</v>
      </c>
      <c r="C31" s="599" t="s">
        <v>3272</v>
      </c>
      <c r="E31" s="660"/>
      <c r="F31" s="660">
        <v>0</v>
      </c>
      <c r="G31" s="660">
        <v>0</v>
      </c>
      <c r="I31" s="660"/>
      <c r="J31" s="660">
        <v>0</v>
      </c>
      <c r="K31" s="660">
        <v>0</v>
      </c>
      <c r="M31" s="660">
        <v>0</v>
      </c>
    </row>
    <row r="32" spans="1:13">
      <c r="A32" s="603">
        <v>23</v>
      </c>
      <c r="B32" s="596">
        <v>23</v>
      </c>
      <c r="C32" s="597" t="s">
        <v>3273</v>
      </c>
      <c r="E32" s="659"/>
      <c r="F32" s="659">
        <v>0</v>
      </c>
      <c r="G32" s="659">
        <v>0</v>
      </c>
      <c r="I32" s="659"/>
      <c r="J32" s="659">
        <v>0</v>
      </c>
      <c r="K32" s="659">
        <v>0</v>
      </c>
      <c r="M32" s="659">
        <v>0</v>
      </c>
    </row>
    <row r="33" spans="1:13">
      <c r="A33" s="603">
        <v>24</v>
      </c>
      <c r="B33" s="588">
        <v>24</v>
      </c>
      <c r="C33" s="599" t="s">
        <v>3158</v>
      </c>
      <c r="E33" s="660"/>
      <c r="F33" s="660">
        <v>0</v>
      </c>
      <c r="G33" s="660">
        <v>0</v>
      </c>
      <c r="I33" s="660"/>
      <c r="J33" s="660">
        <v>0</v>
      </c>
      <c r="K33" s="660">
        <v>0</v>
      </c>
      <c r="M33" s="660">
        <v>0</v>
      </c>
    </row>
    <row r="34" spans="1:13" s="604" customFormat="1">
      <c r="A34" s="603">
        <v>25</v>
      </c>
      <c r="B34" s="596">
        <v>25</v>
      </c>
      <c r="C34" s="597" t="s">
        <v>3274</v>
      </c>
      <c r="D34" s="590"/>
      <c r="E34" s="659"/>
      <c r="F34" s="659">
        <v>0</v>
      </c>
      <c r="G34" s="659">
        <v>0</v>
      </c>
      <c r="H34" s="590"/>
      <c r="I34" s="659"/>
      <c r="J34" s="659">
        <v>0</v>
      </c>
      <c r="K34" s="659">
        <v>0</v>
      </c>
      <c r="L34" s="590"/>
      <c r="M34" s="659">
        <v>0</v>
      </c>
    </row>
    <row r="35" spans="1:13">
      <c r="A35" s="603">
        <v>26</v>
      </c>
      <c r="B35" s="588">
        <v>26</v>
      </c>
      <c r="C35" s="599" t="s">
        <v>3275</v>
      </c>
      <c r="E35" s="660"/>
      <c r="F35" s="660">
        <v>0</v>
      </c>
      <c r="G35" s="660">
        <v>0</v>
      </c>
      <c r="I35" s="660"/>
      <c r="J35" s="660">
        <v>0</v>
      </c>
      <c r="K35" s="660">
        <v>0</v>
      </c>
      <c r="M35" s="660">
        <v>0</v>
      </c>
    </row>
    <row r="36" spans="1:13">
      <c r="A36" s="603">
        <v>0</v>
      </c>
      <c r="B36" s="601"/>
      <c r="C36" s="602" t="s">
        <v>3276</v>
      </c>
      <c r="E36" s="658">
        <v>11662769542</v>
      </c>
      <c r="F36" s="658">
        <v>-11015950</v>
      </c>
      <c r="G36" s="658">
        <v>11651753592</v>
      </c>
      <c r="I36" s="658">
        <v>12485768900</v>
      </c>
      <c r="J36" s="658">
        <v>0</v>
      </c>
      <c r="K36" s="658">
        <v>12485768900</v>
      </c>
      <c r="M36" s="658">
        <v>-834015308</v>
      </c>
    </row>
    <row r="37" spans="1:13">
      <c r="A37" s="603">
        <v>27</v>
      </c>
      <c r="B37" s="596">
        <v>27</v>
      </c>
      <c r="C37" s="597" t="s">
        <v>3164</v>
      </c>
      <c r="E37" s="659">
        <v>3875011671</v>
      </c>
      <c r="F37" s="659">
        <v>-10725664</v>
      </c>
      <c r="G37" s="659">
        <v>3864286007</v>
      </c>
      <c r="I37" s="659">
        <v>4698301315</v>
      </c>
      <c r="J37" s="659">
        <v>0</v>
      </c>
      <c r="K37" s="659">
        <v>4698301315</v>
      </c>
      <c r="M37" s="659">
        <v>-834015308</v>
      </c>
    </row>
    <row r="38" spans="1:13">
      <c r="A38" s="603">
        <v>28</v>
      </c>
      <c r="B38" s="588">
        <v>28</v>
      </c>
      <c r="C38" s="599" t="s">
        <v>3167</v>
      </c>
      <c r="E38" s="660">
        <v>1209754908</v>
      </c>
      <c r="F38" s="660">
        <v>9090820</v>
      </c>
      <c r="G38" s="660">
        <v>1218845728</v>
      </c>
      <c r="I38" s="660">
        <v>1218845728</v>
      </c>
      <c r="J38" s="660">
        <v>0</v>
      </c>
      <c r="K38" s="660">
        <v>1218845728</v>
      </c>
      <c r="M38" s="660">
        <v>0</v>
      </c>
    </row>
    <row r="39" spans="1:13">
      <c r="A39" s="603">
        <v>29</v>
      </c>
      <c r="B39" s="596">
        <v>29</v>
      </c>
      <c r="C39" s="597" t="s">
        <v>3170</v>
      </c>
      <c r="E39" s="659"/>
      <c r="F39" s="659">
        <v>0</v>
      </c>
      <c r="G39" s="659">
        <v>0</v>
      </c>
      <c r="I39" s="659"/>
      <c r="J39" s="659">
        <v>0</v>
      </c>
      <c r="K39" s="659">
        <v>0</v>
      </c>
      <c r="M39" s="659">
        <v>0</v>
      </c>
    </row>
    <row r="40" spans="1:13">
      <c r="A40" s="603">
        <v>30</v>
      </c>
      <c r="B40" s="588">
        <v>30</v>
      </c>
      <c r="C40" s="599" t="s">
        <v>3173</v>
      </c>
      <c r="E40" s="660"/>
      <c r="F40" s="660">
        <v>0</v>
      </c>
      <c r="G40" s="660">
        <v>0</v>
      </c>
      <c r="I40" s="660"/>
      <c r="J40" s="660">
        <v>0</v>
      </c>
      <c r="K40" s="660">
        <v>0</v>
      </c>
      <c r="M40" s="660">
        <v>0</v>
      </c>
    </row>
    <row r="41" spans="1:13">
      <c r="A41" s="603">
        <v>31</v>
      </c>
      <c r="B41" s="596">
        <v>31</v>
      </c>
      <c r="C41" s="597" t="s">
        <v>3176</v>
      </c>
      <c r="E41" s="659"/>
      <c r="F41" s="659">
        <v>0</v>
      </c>
      <c r="G41" s="659">
        <v>0</v>
      </c>
      <c r="I41" s="659"/>
      <c r="J41" s="659">
        <v>0</v>
      </c>
      <c r="K41" s="659">
        <v>0</v>
      </c>
      <c r="M41" s="659">
        <v>0</v>
      </c>
    </row>
    <row r="42" spans="1:13">
      <c r="A42" s="603">
        <v>32</v>
      </c>
      <c r="B42" s="588">
        <v>32</v>
      </c>
      <c r="C42" s="599" t="s">
        <v>3178</v>
      </c>
      <c r="E42" s="660">
        <v>88005659</v>
      </c>
      <c r="F42" s="660">
        <v>-9381106</v>
      </c>
      <c r="G42" s="660">
        <v>78624553</v>
      </c>
      <c r="I42" s="660">
        <v>78624553</v>
      </c>
      <c r="J42" s="660">
        <v>0</v>
      </c>
      <c r="K42" s="660">
        <v>78624553</v>
      </c>
      <c r="M42" s="660">
        <v>0</v>
      </c>
    </row>
    <row r="43" spans="1:13">
      <c r="A43" s="603">
        <v>33</v>
      </c>
      <c r="B43" s="596">
        <v>33</v>
      </c>
      <c r="C43" s="597" t="s">
        <v>3181</v>
      </c>
      <c r="E43" s="659"/>
      <c r="F43" s="659">
        <v>0</v>
      </c>
      <c r="G43" s="659">
        <v>0</v>
      </c>
      <c r="I43" s="659"/>
      <c r="J43" s="659">
        <v>0</v>
      </c>
      <c r="K43" s="659">
        <v>0</v>
      </c>
      <c r="M43" s="659">
        <v>0</v>
      </c>
    </row>
    <row r="44" spans="1:13">
      <c r="A44" s="603">
        <v>34</v>
      </c>
      <c r="B44" s="588">
        <v>34</v>
      </c>
      <c r="C44" s="599" t="s">
        <v>3184</v>
      </c>
      <c r="E44" s="660">
        <v>3568844</v>
      </c>
      <c r="F44" s="660">
        <v>0</v>
      </c>
      <c r="G44" s="660">
        <v>3568844</v>
      </c>
      <c r="I44" s="660">
        <v>3568844</v>
      </c>
      <c r="J44" s="660">
        <v>0</v>
      </c>
      <c r="K44" s="660">
        <v>3568844</v>
      </c>
      <c r="M44" s="660">
        <v>0</v>
      </c>
    </row>
    <row r="45" spans="1:13">
      <c r="A45" s="603">
        <v>35</v>
      </c>
      <c r="B45" s="596">
        <v>35</v>
      </c>
      <c r="C45" s="597" t="s">
        <v>3186</v>
      </c>
      <c r="E45" s="659"/>
      <c r="F45" s="659">
        <v>0</v>
      </c>
      <c r="G45" s="659">
        <v>0</v>
      </c>
      <c r="I45" s="659"/>
      <c r="J45" s="659">
        <v>0</v>
      </c>
      <c r="K45" s="659">
        <v>0</v>
      </c>
      <c r="M45" s="659">
        <v>0</v>
      </c>
    </row>
    <row r="46" spans="1:13">
      <c r="A46" s="603">
        <v>36</v>
      </c>
      <c r="B46" s="588">
        <v>36</v>
      </c>
      <c r="C46" s="599" t="s">
        <v>3189</v>
      </c>
      <c r="E46" s="660"/>
      <c r="F46" s="660">
        <v>0</v>
      </c>
      <c r="G46" s="660">
        <v>0</v>
      </c>
      <c r="I46" s="660"/>
      <c r="J46" s="660">
        <v>0</v>
      </c>
      <c r="K46" s="660">
        <v>0</v>
      </c>
      <c r="M46" s="660">
        <v>0</v>
      </c>
    </row>
    <row r="47" spans="1:13">
      <c r="A47" s="603">
        <v>37</v>
      </c>
      <c r="B47" s="596">
        <v>37</v>
      </c>
      <c r="C47" s="597" t="s">
        <v>3277</v>
      </c>
      <c r="E47" s="659"/>
      <c r="F47" s="659">
        <v>0</v>
      </c>
      <c r="G47" s="659">
        <v>0</v>
      </c>
      <c r="I47" s="659"/>
      <c r="J47" s="659">
        <v>0</v>
      </c>
      <c r="K47" s="659">
        <v>0</v>
      </c>
      <c r="M47" s="659">
        <v>0</v>
      </c>
    </row>
    <row r="48" spans="1:13">
      <c r="A48" s="603">
        <v>38</v>
      </c>
      <c r="B48" s="588">
        <v>38</v>
      </c>
      <c r="C48" s="599" t="s">
        <v>3278</v>
      </c>
      <c r="E48" s="660"/>
      <c r="F48" s="660">
        <v>0</v>
      </c>
      <c r="G48" s="660">
        <v>0</v>
      </c>
      <c r="I48" s="660"/>
      <c r="J48" s="660">
        <v>0</v>
      </c>
      <c r="K48" s="660">
        <v>0</v>
      </c>
      <c r="M48" s="660">
        <v>0</v>
      </c>
    </row>
    <row r="49" spans="1:13">
      <c r="A49" s="603">
        <v>39</v>
      </c>
      <c r="B49" s="596">
        <v>39</v>
      </c>
      <c r="C49" s="597" t="s">
        <v>3195</v>
      </c>
      <c r="E49" s="659">
        <v>24831760</v>
      </c>
      <c r="F49" s="659">
        <v>0</v>
      </c>
      <c r="G49" s="659">
        <v>24831760</v>
      </c>
      <c r="I49" s="659">
        <v>24831760</v>
      </c>
      <c r="J49" s="659">
        <v>0</v>
      </c>
      <c r="K49" s="659">
        <v>24831760</v>
      </c>
      <c r="M49" s="659">
        <v>0</v>
      </c>
    </row>
    <row r="50" spans="1:13">
      <c r="A50" s="603">
        <v>40</v>
      </c>
      <c r="B50" s="588">
        <v>40</v>
      </c>
      <c r="C50" s="599" t="s">
        <v>3198</v>
      </c>
      <c r="E50" s="660">
        <v>3876958020</v>
      </c>
      <c r="F50" s="660">
        <v>0</v>
      </c>
      <c r="G50" s="660">
        <v>3876958020</v>
      </c>
      <c r="I50" s="660">
        <v>3876958020</v>
      </c>
      <c r="J50" s="660">
        <v>0</v>
      </c>
      <c r="K50" s="660">
        <v>3876958020</v>
      </c>
      <c r="M50" s="660">
        <v>0</v>
      </c>
    </row>
    <row r="51" spans="1:13">
      <c r="A51" s="603">
        <v>41</v>
      </c>
      <c r="B51" s="596">
        <v>41</v>
      </c>
      <c r="C51" s="597" t="s">
        <v>3279</v>
      </c>
      <c r="E51" s="659"/>
      <c r="F51" s="659">
        <v>0</v>
      </c>
      <c r="G51" s="659">
        <v>0</v>
      </c>
      <c r="I51" s="659"/>
      <c r="J51" s="659">
        <v>0</v>
      </c>
      <c r="K51" s="659">
        <v>0</v>
      </c>
      <c r="M51" s="659">
        <v>0</v>
      </c>
    </row>
    <row r="52" spans="1:13">
      <c r="A52" s="603"/>
      <c r="B52" s="588">
        <v>42</v>
      </c>
      <c r="C52" s="599" t="s">
        <v>3280</v>
      </c>
      <c r="E52" s="660">
        <v>2584638680</v>
      </c>
      <c r="F52" s="660">
        <v>0</v>
      </c>
      <c r="G52" s="660">
        <v>2584638680</v>
      </c>
      <c r="I52" s="660">
        <v>2584638680</v>
      </c>
      <c r="J52" s="660">
        <v>0</v>
      </c>
      <c r="K52" s="660">
        <v>2584638680</v>
      </c>
      <c r="M52" s="660">
        <v>0</v>
      </c>
    </row>
    <row r="53" spans="1:13">
      <c r="A53" s="603">
        <v>0</v>
      </c>
      <c r="B53" s="601"/>
      <c r="C53" s="602" t="s">
        <v>3281</v>
      </c>
      <c r="E53" s="658">
        <v>37153165171</v>
      </c>
      <c r="F53" s="658">
        <v>-28057547203</v>
      </c>
      <c r="G53" s="658">
        <v>9095617968</v>
      </c>
      <c r="I53" s="658">
        <v>9095617968</v>
      </c>
      <c r="J53" s="658">
        <v>0</v>
      </c>
      <c r="K53" s="658">
        <v>9095617968</v>
      </c>
      <c r="M53" s="658">
        <v>0</v>
      </c>
    </row>
    <row r="54" spans="1:13">
      <c r="A54" s="603">
        <v>43</v>
      </c>
      <c r="B54" s="596">
        <v>43</v>
      </c>
      <c r="C54" s="597" t="s">
        <v>3282</v>
      </c>
      <c r="E54" s="659"/>
      <c r="F54" s="659">
        <v>0</v>
      </c>
      <c r="G54" s="659">
        <v>0</v>
      </c>
      <c r="I54" s="659">
        <v>6039630134</v>
      </c>
      <c r="J54" s="659">
        <v>0</v>
      </c>
      <c r="K54" s="659">
        <v>6039630134</v>
      </c>
      <c r="M54" s="659">
        <v>-6039630134</v>
      </c>
    </row>
    <row r="55" spans="1:13">
      <c r="A55" s="603">
        <v>44</v>
      </c>
      <c r="B55" s="588">
        <v>44</v>
      </c>
      <c r="C55" s="599" t="s">
        <v>3283</v>
      </c>
      <c r="E55" s="660"/>
      <c r="F55" s="660">
        <v>0</v>
      </c>
      <c r="G55" s="660">
        <v>0</v>
      </c>
      <c r="I55" s="660">
        <v>248501213</v>
      </c>
      <c r="J55" s="660">
        <v>0</v>
      </c>
      <c r="K55" s="660">
        <v>248501213</v>
      </c>
      <c r="M55" s="660">
        <v>-248501213</v>
      </c>
    </row>
    <row r="56" spans="1:13">
      <c r="A56" s="603"/>
      <c r="B56" s="596">
        <v>45</v>
      </c>
      <c r="C56" s="597" t="s">
        <v>3284</v>
      </c>
      <c r="E56" s="659"/>
      <c r="F56" s="659">
        <v>0</v>
      </c>
      <c r="G56" s="659">
        <v>0</v>
      </c>
      <c r="I56" s="659">
        <v>310626507</v>
      </c>
      <c r="J56" s="659">
        <v>0</v>
      </c>
      <c r="K56" s="659">
        <v>310626507</v>
      </c>
      <c r="M56" s="659">
        <v>-310626507</v>
      </c>
    </row>
    <row r="57" spans="1:13">
      <c r="A57" s="603"/>
      <c r="B57" s="588">
        <v>46</v>
      </c>
      <c r="C57" s="599" t="s">
        <v>3285</v>
      </c>
      <c r="E57" s="660">
        <v>37153165171</v>
      </c>
      <c r="F57" s="660">
        <v>-28057547203</v>
      </c>
      <c r="G57" s="660">
        <v>9095617968</v>
      </c>
      <c r="I57" s="660">
        <v>2220874093</v>
      </c>
      <c r="J57" s="660">
        <v>0</v>
      </c>
      <c r="K57" s="660">
        <v>2220874093</v>
      </c>
      <c r="M57" s="660">
        <v>6874743875</v>
      </c>
    </row>
    <row r="58" spans="1:13">
      <c r="A58" s="603"/>
      <c r="B58" s="596">
        <v>47</v>
      </c>
      <c r="C58" s="597" t="s">
        <v>3286</v>
      </c>
      <c r="E58" s="659"/>
      <c r="F58" s="659">
        <v>0</v>
      </c>
      <c r="G58" s="659">
        <v>0</v>
      </c>
      <c r="I58" s="659">
        <v>155313251</v>
      </c>
      <c r="J58" s="659">
        <v>0</v>
      </c>
      <c r="K58" s="659">
        <v>155313251</v>
      </c>
      <c r="M58" s="659">
        <v>-155313251</v>
      </c>
    </row>
    <row r="59" spans="1:13">
      <c r="A59" s="603"/>
      <c r="B59" s="588">
        <v>48</v>
      </c>
      <c r="C59" s="599" t="s">
        <v>3287</v>
      </c>
      <c r="E59" s="660"/>
      <c r="F59" s="660">
        <v>0</v>
      </c>
      <c r="G59" s="660">
        <v>0</v>
      </c>
      <c r="I59" s="660">
        <v>120181222</v>
      </c>
      <c r="J59" s="660">
        <v>0</v>
      </c>
      <c r="K59" s="660">
        <v>120181222</v>
      </c>
      <c r="M59" s="660">
        <v>-120181222</v>
      </c>
    </row>
    <row r="60" spans="1:13">
      <c r="A60" s="603"/>
      <c r="B60" s="596">
        <v>49</v>
      </c>
      <c r="C60" s="597" t="s">
        <v>3288</v>
      </c>
      <c r="E60" s="659"/>
      <c r="F60" s="659">
        <v>0</v>
      </c>
      <c r="G60" s="659">
        <v>0</v>
      </c>
      <c r="I60" s="659">
        <v>147496</v>
      </c>
      <c r="J60" s="659">
        <v>0</v>
      </c>
      <c r="K60" s="659">
        <v>147496</v>
      </c>
      <c r="M60" s="659">
        <v>-147496</v>
      </c>
    </row>
    <row r="61" spans="1:13">
      <c r="A61" s="603"/>
      <c r="B61" s="588">
        <v>50</v>
      </c>
      <c r="C61" s="599" t="s">
        <v>3289</v>
      </c>
      <c r="E61" s="660"/>
      <c r="F61" s="660">
        <v>0</v>
      </c>
      <c r="G61" s="660">
        <v>0</v>
      </c>
      <c r="I61" s="660">
        <v>344052</v>
      </c>
      <c r="J61" s="660">
        <v>0</v>
      </c>
      <c r="K61" s="660">
        <v>344052</v>
      </c>
      <c r="M61" s="660">
        <v>-344052</v>
      </c>
    </row>
    <row r="62" spans="1:13">
      <c r="A62" s="603"/>
      <c r="B62" s="596">
        <v>51</v>
      </c>
      <c r="C62" s="597" t="s">
        <v>3218</v>
      </c>
      <c r="E62" s="659"/>
      <c r="F62" s="659">
        <v>0</v>
      </c>
      <c r="G62" s="659">
        <v>0</v>
      </c>
      <c r="I62" s="659"/>
      <c r="J62" s="659">
        <v>0</v>
      </c>
      <c r="K62" s="659">
        <v>0</v>
      </c>
      <c r="M62" s="659">
        <v>0</v>
      </c>
    </row>
    <row r="63" spans="1:13">
      <c r="A63" s="603">
        <v>0</v>
      </c>
      <c r="B63" s="601"/>
      <c r="C63" s="602" t="s">
        <v>3290</v>
      </c>
      <c r="E63" s="658">
        <v>0</v>
      </c>
      <c r="F63" s="658">
        <v>0</v>
      </c>
      <c r="G63" s="658">
        <v>0</v>
      </c>
      <c r="I63" s="658">
        <v>0</v>
      </c>
      <c r="J63" s="658">
        <v>0</v>
      </c>
      <c r="K63" s="658">
        <v>0</v>
      </c>
      <c r="M63" s="658">
        <v>0</v>
      </c>
    </row>
    <row r="64" spans="1:13">
      <c r="A64" s="603">
        <v>52</v>
      </c>
      <c r="B64" s="588">
        <v>52</v>
      </c>
      <c r="C64" s="599" t="s">
        <v>3222</v>
      </c>
      <c r="E64" s="660"/>
      <c r="F64" s="660">
        <v>0</v>
      </c>
      <c r="G64" s="660">
        <v>0</v>
      </c>
      <c r="I64" s="660"/>
      <c r="J64" s="660">
        <v>0</v>
      </c>
      <c r="K64" s="660">
        <v>0</v>
      </c>
      <c r="M64" s="660">
        <v>0</v>
      </c>
    </row>
    <row r="65" spans="1:13">
      <c r="A65" s="603">
        <v>53</v>
      </c>
      <c r="B65" s="596">
        <v>53</v>
      </c>
      <c r="C65" s="597" t="s">
        <v>3225</v>
      </c>
      <c r="E65" s="659"/>
      <c r="F65" s="659">
        <v>0</v>
      </c>
      <c r="G65" s="659">
        <v>0</v>
      </c>
      <c r="I65" s="659"/>
      <c r="J65" s="659">
        <v>0</v>
      </c>
      <c r="K65" s="659">
        <v>0</v>
      </c>
      <c r="M65" s="659">
        <v>0</v>
      </c>
    </row>
    <row r="66" spans="1:13">
      <c r="A66" s="603">
        <v>54</v>
      </c>
      <c r="B66" s="588">
        <v>54</v>
      </c>
      <c r="C66" s="599" t="s">
        <v>3291</v>
      </c>
      <c r="E66" s="660"/>
      <c r="F66" s="660">
        <v>0</v>
      </c>
      <c r="G66" s="660">
        <v>0</v>
      </c>
      <c r="I66" s="660"/>
      <c r="J66" s="660">
        <v>0</v>
      </c>
      <c r="K66" s="660">
        <v>0</v>
      </c>
      <c r="M66" s="660">
        <v>0</v>
      </c>
    </row>
    <row r="67" spans="1:13">
      <c r="A67" s="603"/>
      <c r="B67" s="601"/>
      <c r="C67" s="602" t="s">
        <v>3292</v>
      </c>
      <c r="E67" s="658">
        <v>0</v>
      </c>
      <c r="F67" s="658">
        <v>0</v>
      </c>
      <c r="G67" s="658">
        <v>0</v>
      </c>
      <c r="I67" s="658">
        <v>0</v>
      </c>
      <c r="J67" s="658">
        <v>0</v>
      </c>
      <c r="K67" s="658">
        <v>0</v>
      </c>
      <c r="M67" s="658">
        <v>0</v>
      </c>
    </row>
    <row r="68" spans="1:13">
      <c r="A68" s="603"/>
      <c r="B68" s="596">
        <v>55</v>
      </c>
      <c r="C68" s="597" t="s">
        <v>3231</v>
      </c>
      <c r="E68" s="659"/>
      <c r="F68" s="659">
        <v>0</v>
      </c>
      <c r="G68" s="659">
        <v>0</v>
      </c>
      <c r="I68" s="659"/>
      <c r="J68" s="659">
        <v>0</v>
      </c>
      <c r="K68" s="659">
        <v>0</v>
      </c>
      <c r="M68" s="659">
        <v>0</v>
      </c>
    </row>
    <row r="69" spans="1:13">
      <c r="A69" s="603"/>
      <c r="B69" s="588">
        <v>56</v>
      </c>
      <c r="C69" s="599" t="s">
        <v>3293</v>
      </c>
      <c r="E69" s="660"/>
      <c r="F69" s="660">
        <v>0</v>
      </c>
      <c r="G69" s="660">
        <v>0</v>
      </c>
      <c r="I69" s="660"/>
      <c r="J69" s="660">
        <v>0</v>
      </c>
      <c r="K69" s="660">
        <v>0</v>
      </c>
      <c r="M69" s="660">
        <v>0</v>
      </c>
    </row>
    <row r="70" spans="1:13">
      <c r="A70" s="603">
        <v>0</v>
      </c>
      <c r="B70" s="601"/>
      <c r="C70" s="602" t="s">
        <v>340</v>
      </c>
      <c r="E70" s="658">
        <v>35902440</v>
      </c>
      <c r="F70" s="658">
        <v>8437932</v>
      </c>
      <c r="G70" s="658">
        <v>44340372</v>
      </c>
      <c r="I70" s="658">
        <v>47274913</v>
      </c>
      <c r="J70" s="658">
        <v>0</v>
      </c>
      <c r="K70" s="658">
        <v>47274913</v>
      </c>
      <c r="M70" s="658">
        <v>-2934541</v>
      </c>
    </row>
    <row r="71" spans="1:13">
      <c r="A71" s="603">
        <v>57</v>
      </c>
      <c r="B71" s="596">
        <v>57</v>
      </c>
      <c r="C71" s="597" t="s">
        <v>3294</v>
      </c>
      <c r="E71" s="659">
        <v>35902440</v>
      </c>
      <c r="F71" s="659">
        <v>8437932</v>
      </c>
      <c r="G71" s="659">
        <v>44340372</v>
      </c>
      <c r="I71" s="659">
        <v>47274913</v>
      </c>
      <c r="J71" s="659">
        <v>0</v>
      </c>
      <c r="K71" s="659">
        <v>47274913</v>
      </c>
      <c r="M71" s="659">
        <v>-2934541</v>
      </c>
    </row>
    <row r="72" spans="1:13">
      <c r="A72" s="603">
        <v>0</v>
      </c>
      <c r="B72" s="601"/>
      <c r="C72" s="602" t="s">
        <v>3295</v>
      </c>
      <c r="E72" s="658">
        <v>298810810</v>
      </c>
      <c r="F72" s="658">
        <v>71922079</v>
      </c>
      <c r="G72" s="658">
        <v>370732889</v>
      </c>
      <c r="I72" s="658">
        <v>394667236</v>
      </c>
      <c r="J72" s="658">
        <v>0</v>
      </c>
      <c r="K72" s="658">
        <v>394667236</v>
      </c>
      <c r="M72" s="658">
        <v>-23934347</v>
      </c>
    </row>
    <row r="73" spans="1:13">
      <c r="A73" s="603">
        <v>58</v>
      </c>
      <c r="B73" s="588">
        <v>58</v>
      </c>
      <c r="C73" s="599" t="s">
        <v>3296</v>
      </c>
      <c r="E73" s="660">
        <v>298810810</v>
      </c>
      <c r="F73" s="660">
        <v>71922079</v>
      </c>
      <c r="G73" s="660">
        <v>370732889</v>
      </c>
      <c r="I73" s="660">
        <v>394667236</v>
      </c>
      <c r="J73" s="660">
        <v>0</v>
      </c>
      <c r="K73" s="660">
        <v>394667236</v>
      </c>
      <c r="M73" s="660">
        <v>-23934347</v>
      </c>
    </row>
    <row r="74" spans="1:13">
      <c r="A74" s="603"/>
      <c r="B74" s="601"/>
      <c r="C74" s="602" t="s">
        <v>3297</v>
      </c>
      <c r="E74" s="658">
        <v>0</v>
      </c>
      <c r="F74" s="658">
        <v>0</v>
      </c>
      <c r="G74" s="658">
        <v>0</v>
      </c>
      <c r="I74" s="658">
        <v>0</v>
      </c>
      <c r="J74" s="658">
        <v>0</v>
      </c>
      <c r="K74" s="658">
        <v>0</v>
      </c>
      <c r="M74" s="658">
        <v>0</v>
      </c>
    </row>
    <row r="75" spans="1:13">
      <c r="A75" s="603"/>
      <c r="B75" s="588">
        <v>59</v>
      </c>
      <c r="C75" s="599" t="s">
        <v>3298</v>
      </c>
      <c r="E75" s="660"/>
      <c r="F75" s="660">
        <v>0</v>
      </c>
      <c r="G75" s="660">
        <v>0</v>
      </c>
      <c r="I75" s="660"/>
      <c r="J75" s="660">
        <v>0</v>
      </c>
      <c r="K75" s="660">
        <v>0</v>
      </c>
      <c r="M75" s="660"/>
    </row>
    <row r="76" spans="1:13">
      <c r="A76" s="603"/>
      <c r="B76" s="601"/>
      <c r="C76" s="602" t="s">
        <v>3299</v>
      </c>
      <c r="E76" s="658">
        <v>0</v>
      </c>
      <c r="F76" s="658">
        <v>0</v>
      </c>
      <c r="G76" s="658">
        <v>0</v>
      </c>
      <c r="I76" s="658">
        <v>0</v>
      </c>
      <c r="J76" s="658">
        <v>0</v>
      </c>
      <c r="K76" s="658">
        <v>0</v>
      </c>
      <c r="M76" s="658">
        <v>0</v>
      </c>
    </row>
    <row r="77" spans="1:13">
      <c r="A77" s="603"/>
      <c r="B77" s="588">
        <v>60</v>
      </c>
      <c r="C77" s="599" t="s">
        <v>3300</v>
      </c>
      <c r="E77" s="660"/>
      <c r="F77" s="660">
        <v>0</v>
      </c>
      <c r="G77" s="660">
        <v>0</v>
      </c>
      <c r="I77" s="660"/>
      <c r="J77" s="660">
        <v>0</v>
      </c>
      <c r="K77" s="660">
        <v>0</v>
      </c>
      <c r="M77" s="660"/>
    </row>
    <row r="78" spans="1:13">
      <c r="A78" s="603"/>
      <c r="B78" s="601"/>
      <c r="C78" s="602" t="s">
        <v>3301</v>
      </c>
      <c r="E78" s="658">
        <v>0</v>
      </c>
      <c r="F78" s="658">
        <v>0</v>
      </c>
      <c r="G78" s="658">
        <v>0</v>
      </c>
      <c r="I78" s="658">
        <v>10281620</v>
      </c>
      <c r="J78" s="658">
        <v>0</v>
      </c>
      <c r="K78" s="658">
        <v>10281620</v>
      </c>
      <c r="M78" s="658">
        <v>-10281620</v>
      </c>
    </row>
    <row r="79" spans="1:13">
      <c r="A79" s="603"/>
      <c r="B79" s="596">
        <v>61</v>
      </c>
      <c r="C79" s="597" t="s">
        <v>3302</v>
      </c>
      <c r="E79" s="659"/>
      <c r="F79" s="659"/>
      <c r="G79" s="659"/>
      <c r="I79" s="659"/>
      <c r="J79" s="659"/>
      <c r="K79" s="659"/>
      <c r="M79" s="659"/>
    </row>
  </sheetData>
  <mergeCells count="5">
    <mergeCell ref="B3:B4"/>
    <mergeCell ref="C3:C4"/>
    <mergeCell ref="E3:G3"/>
    <mergeCell ref="I3:K3"/>
    <mergeCell ref="M3:M4"/>
  </mergeCells>
  <hyperlinks>
    <hyperlink ref="A1" location="Sommaire!A1" display="Sommaire!A1" xr:uid="{00000000-0004-0000-1300-000000000000}"/>
  </hyperlinks>
  <pageMargins left="0.7" right="0.7" top="0.75" bottom="0.75" header="0.3" footer="0.3"/>
  <pageSetup paperSize="9"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M79"/>
  <sheetViews>
    <sheetView showGridLines="0" zoomScaleNormal="100" workbookViewId="0">
      <selection activeCell="B1" sqref="B1"/>
    </sheetView>
  </sheetViews>
  <sheetFormatPr baseColWidth="10" defaultColWidth="11.33203125" defaultRowHeight="12"/>
  <cols>
    <col min="1" max="1" width="10.1640625" style="588" bestFit="1" customWidth="1"/>
    <col min="2" max="2" width="19" style="588" bestFit="1" customWidth="1"/>
    <col min="3" max="3" width="54.5" style="605" bestFit="1" customWidth="1"/>
    <col min="4" max="4" width="0.6640625" style="590" customWidth="1"/>
    <col min="5" max="5" width="12.83203125" style="590" bestFit="1" customWidth="1"/>
    <col min="6" max="6" width="10.6640625" style="588" bestFit="1" customWidth="1"/>
    <col min="7" max="7" width="12.83203125" style="590" bestFit="1" customWidth="1"/>
    <col min="8" max="8" width="0.6640625" style="590" customWidth="1"/>
    <col min="9" max="11" width="12.83203125" style="590" bestFit="1" customWidth="1"/>
    <col min="12" max="12" width="0.6640625" style="590" customWidth="1"/>
    <col min="13" max="13" width="13.83203125" style="590" bestFit="1" customWidth="1"/>
    <col min="14" max="16384" width="11.33203125" style="590"/>
  </cols>
  <sheetData>
    <row r="1" spans="1:13" ht="24">
      <c r="A1" s="661" t="s">
        <v>140</v>
      </c>
      <c r="C1" s="606" t="s">
        <v>3249</v>
      </c>
      <c r="E1" s="606" t="s">
        <v>214</v>
      </c>
      <c r="F1" s="606" t="s">
        <v>216</v>
      </c>
      <c r="G1" s="592"/>
      <c r="J1" s="592" t="s">
        <v>3251</v>
      </c>
      <c r="K1" s="592">
        <v>2023</v>
      </c>
    </row>
    <row r="2" spans="1:13">
      <c r="C2" s="593"/>
      <c r="F2" s="590"/>
      <c r="I2" s="590" t="s">
        <v>3252</v>
      </c>
      <c r="J2" s="594">
        <v>604.32574999999997</v>
      </c>
    </row>
    <row r="3" spans="1:13">
      <c r="B3" s="753" t="s">
        <v>143</v>
      </c>
      <c r="C3" s="754" t="s">
        <v>3253</v>
      </c>
      <c r="E3" s="755" t="s">
        <v>2084</v>
      </c>
      <c r="F3" s="755"/>
      <c r="G3" s="755"/>
      <c r="I3" s="755" t="s">
        <v>3254</v>
      </c>
      <c r="J3" s="755"/>
      <c r="K3" s="755"/>
      <c r="M3" s="756" t="s">
        <v>3255</v>
      </c>
    </row>
    <row r="4" spans="1:13">
      <c r="B4" s="753"/>
      <c r="C4" s="754"/>
      <c r="E4" s="595" t="s">
        <v>3256</v>
      </c>
      <c r="F4" s="595" t="s">
        <v>3257</v>
      </c>
      <c r="G4" s="595" t="s">
        <v>3258</v>
      </c>
      <c r="I4" s="595" t="s">
        <v>3256</v>
      </c>
      <c r="J4" s="595" t="s">
        <v>3257</v>
      </c>
      <c r="K4" s="595" t="s">
        <v>3258</v>
      </c>
      <c r="M4" s="756"/>
    </row>
    <row r="5" spans="1:13">
      <c r="B5" s="655" t="s">
        <v>3092</v>
      </c>
      <c r="C5" s="656"/>
      <c r="E5" s="657">
        <v>0</v>
      </c>
      <c r="F5" s="657">
        <v>0</v>
      </c>
      <c r="G5" s="657">
        <v>0</v>
      </c>
      <c r="I5" s="657">
        <v>0</v>
      </c>
      <c r="J5" s="657">
        <v>0</v>
      </c>
      <c r="K5" s="657">
        <v>0</v>
      </c>
      <c r="M5" s="657">
        <v>0</v>
      </c>
    </row>
    <row r="6" spans="1:13">
      <c r="B6" s="596">
        <v>1</v>
      </c>
      <c r="C6" s="597" t="s">
        <v>3259</v>
      </c>
      <c r="E6" s="598"/>
      <c r="F6" s="598">
        <v>0</v>
      </c>
      <c r="G6" s="598">
        <v>0</v>
      </c>
      <c r="I6" s="598"/>
      <c r="J6" s="598">
        <v>0</v>
      </c>
      <c r="K6" s="598">
        <v>0</v>
      </c>
      <c r="M6" s="598">
        <v>0</v>
      </c>
    </row>
    <row r="7" spans="1:13">
      <c r="B7" s="588">
        <v>2</v>
      </c>
      <c r="C7" s="599" t="s">
        <v>3260</v>
      </c>
      <c r="E7" s="600"/>
      <c r="F7" s="600">
        <v>0</v>
      </c>
      <c r="G7" s="600">
        <v>0</v>
      </c>
      <c r="I7" s="600"/>
      <c r="J7" s="600">
        <v>0</v>
      </c>
      <c r="K7" s="600">
        <v>0</v>
      </c>
      <c r="M7" s="600">
        <v>0</v>
      </c>
    </row>
    <row r="8" spans="1:13">
      <c r="B8" s="655" t="s">
        <v>3101</v>
      </c>
      <c r="C8" s="656"/>
      <c r="E8" s="657">
        <v>14582445438</v>
      </c>
      <c r="F8" s="657">
        <v>8263479</v>
      </c>
      <c r="G8" s="657">
        <v>14590708917</v>
      </c>
      <c r="I8" s="657">
        <v>10095654875</v>
      </c>
      <c r="J8" s="657">
        <v>4485254001</v>
      </c>
      <c r="K8" s="657">
        <v>14580908876</v>
      </c>
      <c r="M8" s="657">
        <v>9800041</v>
      </c>
    </row>
    <row r="9" spans="1:13">
      <c r="B9" s="601"/>
      <c r="C9" s="602" t="s">
        <v>1244</v>
      </c>
      <c r="E9" s="658">
        <v>7768536527</v>
      </c>
      <c r="F9" s="658">
        <v>0</v>
      </c>
      <c r="G9" s="658">
        <v>7768536527</v>
      </c>
      <c r="I9" s="658">
        <v>5372262526</v>
      </c>
      <c r="J9" s="658">
        <v>2396274001</v>
      </c>
      <c r="K9" s="658">
        <v>7768536527</v>
      </c>
      <c r="M9" s="658">
        <v>0</v>
      </c>
    </row>
    <row r="10" spans="1:13">
      <c r="A10" s="603">
        <v>3</v>
      </c>
      <c r="B10" s="596">
        <v>3</v>
      </c>
      <c r="C10" s="597" t="s">
        <v>3261</v>
      </c>
      <c r="E10" s="659">
        <v>7008278087</v>
      </c>
      <c r="F10" s="659">
        <v>0</v>
      </c>
      <c r="G10" s="659">
        <v>7008278087</v>
      </c>
      <c r="I10" s="659">
        <v>5372262526</v>
      </c>
      <c r="J10" s="659">
        <v>1636015561</v>
      </c>
      <c r="K10" s="659">
        <v>7008278087</v>
      </c>
      <c r="M10" s="659">
        <v>0</v>
      </c>
    </row>
    <row r="11" spans="1:13">
      <c r="A11" s="603">
        <v>4</v>
      </c>
      <c r="B11" s="588">
        <v>4</v>
      </c>
      <c r="C11" s="599" t="s">
        <v>3106</v>
      </c>
      <c r="E11" s="660">
        <v>760258440</v>
      </c>
      <c r="F11" s="660">
        <v>0</v>
      </c>
      <c r="G11" s="660">
        <v>760258440</v>
      </c>
      <c r="I11" s="660"/>
      <c r="J11" s="660">
        <v>760258440</v>
      </c>
      <c r="K11" s="660">
        <v>760258440</v>
      </c>
      <c r="M11" s="660">
        <v>0</v>
      </c>
    </row>
    <row r="12" spans="1:13">
      <c r="A12" s="603">
        <v>5</v>
      </c>
      <c r="B12" s="596">
        <v>5</v>
      </c>
      <c r="C12" s="597" t="s">
        <v>3262</v>
      </c>
      <c r="E12" s="659"/>
      <c r="F12" s="659">
        <v>0</v>
      </c>
      <c r="G12" s="659">
        <v>0</v>
      </c>
      <c r="I12" s="659"/>
      <c r="J12" s="659">
        <v>0</v>
      </c>
      <c r="K12" s="659">
        <v>0</v>
      </c>
      <c r="M12" s="659">
        <v>0</v>
      </c>
    </row>
    <row r="13" spans="1:13">
      <c r="A13" s="603">
        <v>6</v>
      </c>
      <c r="B13" s="588">
        <v>6</v>
      </c>
      <c r="C13" s="599" t="s">
        <v>3263</v>
      </c>
      <c r="E13" s="660"/>
      <c r="F13" s="660">
        <v>0</v>
      </c>
      <c r="G13" s="660">
        <v>0</v>
      </c>
      <c r="I13" s="660"/>
      <c r="J13" s="660">
        <v>0</v>
      </c>
      <c r="K13" s="660">
        <v>0</v>
      </c>
      <c r="M13" s="660">
        <v>0</v>
      </c>
    </row>
    <row r="14" spans="1:13">
      <c r="A14" s="603">
        <v>7</v>
      </c>
      <c r="B14" s="596">
        <v>7</v>
      </c>
      <c r="C14" s="597" t="s">
        <v>3114</v>
      </c>
      <c r="E14" s="659"/>
      <c r="F14" s="659">
        <v>0</v>
      </c>
      <c r="G14" s="659">
        <v>0</v>
      </c>
      <c r="I14" s="659"/>
      <c r="J14" s="659">
        <v>0</v>
      </c>
      <c r="K14" s="659">
        <v>0</v>
      </c>
      <c r="M14" s="659">
        <v>0</v>
      </c>
    </row>
    <row r="15" spans="1:13">
      <c r="A15" s="603">
        <v>0</v>
      </c>
      <c r="B15" s="601"/>
      <c r="C15" s="602" t="s">
        <v>1253</v>
      </c>
      <c r="E15" s="658">
        <v>0</v>
      </c>
      <c r="F15" s="658">
        <v>0</v>
      </c>
      <c r="G15" s="658">
        <v>0</v>
      </c>
      <c r="I15" s="658">
        <v>0</v>
      </c>
      <c r="J15" s="658">
        <v>0</v>
      </c>
      <c r="K15" s="658">
        <v>0</v>
      </c>
      <c r="M15" s="658">
        <v>0</v>
      </c>
    </row>
    <row r="16" spans="1:13">
      <c r="A16" s="603">
        <v>8</v>
      </c>
      <c r="B16" s="588">
        <v>8</v>
      </c>
      <c r="C16" s="599" t="s">
        <v>3264</v>
      </c>
      <c r="E16" s="660"/>
      <c r="F16" s="660">
        <v>0</v>
      </c>
      <c r="G16" s="660">
        <v>0</v>
      </c>
      <c r="I16" s="660"/>
      <c r="J16" s="660">
        <v>0</v>
      </c>
      <c r="K16" s="660">
        <v>0</v>
      </c>
      <c r="M16" s="660">
        <v>0</v>
      </c>
    </row>
    <row r="17" spans="1:13">
      <c r="A17" s="603">
        <v>9</v>
      </c>
      <c r="B17" s="596">
        <v>9</v>
      </c>
      <c r="C17" s="597" t="s">
        <v>3265</v>
      </c>
      <c r="E17" s="659"/>
      <c r="F17" s="659">
        <v>0</v>
      </c>
      <c r="G17" s="659">
        <v>0</v>
      </c>
      <c r="I17" s="659"/>
      <c r="J17" s="659">
        <v>0</v>
      </c>
      <c r="K17" s="659">
        <v>0</v>
      </c>
      <c r="M17" s="659">
        <v>0</v>
      </c>
    </row>
    <row r="18" spans="1:13">
      <c r="A18" s="603"/>
      <c r="B18" s="588">
        <v>10</v>
      </c>
      <c r="C18" s="599" t="s">
        <v>3122</v>
      </c>
      <c r="E18" s="660"/>
      <c r="F18" s="660">
        <v>0</v>
      </c>
      <c r="G18" s="660">
        <v>0</v>
      </c>
      <c r="I18" s="660"/>
      <c r="J18" s="660">
        <v>0</v>
      </c>
      <c r="K18" s="660">
        <v>0</v>
      </c>
      <c r="M18" s="660">
        <v>0</v>
      </c>
    </row>
    <row r="19" spans="1:13">
      <c r="A19" s="603">
        <v>11</v>
      </c>
      <c r="B19" s="596">
        <v>11</v>
      </c>
      <c r="C19" s="597" t="s">
        <v>3124</v>
      </c>
      <c r="E19" s="659"/>
      <c r="F19" s="659">
        <v>0</v>
      </c>
      <c r="G19" s="659">
        <v>0</v>
      </c>
      <c r="I19" s="659"/>
      <c r="J19" s="659">
        <v>0</v>
      </c>
      <c r="K19" s="659">
        <v>0</v>
      </c>
      <c r="M19" s="659">
        <v>0</v>
      </c>
    </row>
    <row r="20" spans="1:13">
      <c r="A20" s="603">
        <v>12</v>
      </c>
      <c r="B20" s="588">
        <v>12</v>
      </c>
      <c r="C20" s="599" t="s">
        <v>3266</v>
      </c>
      <c r="E20" s="660"/>
      <c r="F20" s="660">
        <v>0</v>
      </c>
      <c r="G20" s="660">
        <v>0</v>
      </c>
      <c r="I20" s="660"/>
      <c r="J20" s="660">
        <v>0</v>
      </c>
      <c r="K20" s="660">
        <v>0</v>
      </c>
      <c r="M20" s="660">
        <v>0</v>
      </c>
    </row>
    <row r="21" spans="1:13">
      <c r="A21" s="603">
        <v>13</v>
      </c>
      <c r="B21" s="596">
        <v>13</v>
      </c>
      <c r="C21" s="597" t="s">
        <v>3267</v>
      </c>
      <c r="E21" s="659"/>
      <c r="F21" s="659">
        <v>0</v>
      </c>
      <c r="G21" s="659">
        <v>0</v>
      </c>
      <c r="I21" s="659"/>
      <c r="J21" s="659">
        <v>0</v>
      </c>
      <c r="K21" s="659">
        <v>0</v>
      </c>
      <c r="M21" s="659">
        <v>0</v>
      </c>
    </row>
    <row r="22" spans="1:13">
      <c r="A22" s="603">
        <v>14</v>
      </c>
      <c r="B22" s="588">
        <v>14</v>
      </c>
      <c r="C22" s="599" t="s">
        <v>3268</v>
      </c>
      <c r="E22" s="660"/>
      <c r="F22" s="660">
        <v>0</v>
      </c>
      <c r="G22" s="660">
        <v>0</v>
      </c>
      <c r="I22" s="660"/>
      <c r="J22" s="660">
        <v>0</v>
      </c>
      <c r="K22" s="660">
        <v>0</v>
      </c>
      <c r="M22" s="660">
        <v>0</v>
      </c>
    </row>
    <row r="23" spans="1:13">
      <c r="A23" s="603">
        <v>15</v>
      </c>
      <c r="B23" s="596">
        <v>15</v>
      </c>
      <c r="C23" s="597" t="s">
        <v>3133</v>
      </c>
      <c r="E23" s="659"/>
      <c r="F23" s="659">
        <v>0</v>
      </c>
      <c r="G23" s="659">
        <v>0</v>
      </c>
      <c r="I23" s="659"/>
      <c r="J23" s="659">
        <v>0</v>
      </c>
      <c r="K23" s="659">
        <v>0</v>
      </c>
      <c r="M23" s="659">
        <v>0</v>
      </c>
    </row>
    <row r="24" spans="1:13">
      <c r="A24" s="603">
        <v>16</v>
      </c>
      <c r="B24" s="588">
        <v>16</v>
      </c>
      <c r="C24" s="599" t="s">
        <v>3136</v>
      </c>
      <c r="E24" s="660"/>
      <c r="F24" s="660">
        <v>0</v>
      </c>
      <c r="G24" s="660">
        <v>0</v>
      </c>
      <c r="I24" s="660"/>
      <c r="J24" s="660">
        <v>0</v>
      </c>
      <c r="K24" s="660">
        <v>0</v>
      </c>
      <c r="M24" s="660">
        <v>0</v>
      </c>
    </row>
    <row r="25" spans="1:13">
      <c r="A25" s="603">
        <v>0</v>
      </c>
      <c r="B25" s="601"/>
      <c r="C25" s="602" t="s">
        <v>3269</v>
      </c>
      <c r="E25" s="658">
        <v>872000000</v>
      </c>
      <c r="F25" s="658">
        <v>0</v>
      </c>
      <c r="G25" s="658">
        <v>872000000</v>
      </c>
      <c r="I25" s="658">
        <v>0</v>
      </c>
      <c r="J25" s="658">
        <v>872000000</v>
      </c>
      <c r="K25" s="658">
        <v>872000000</v>
      </c>
      <c r="M25" s="658">
        <v>0</v>
      </c>
    </row>
    <row r="26" spans="1:13">
      <c r="A26" s="603">
        <v>17</v>
      </c>
      <c r="B26" s="596">
        <v>17</v>
      </c>
      <c r="C26" s="597" t="s">
        <v>3270</v>
      </c>
      <c r="E26" s="659"/>
      <c r="F26" s="659">
        <v>0</v>
      </c>
      <c r="G26" s="659">
        <v>0</v>
      </c>
      <c r="I26" s="659"/>
      <c r="J26" s="659">
        <v>0</v>
      </c>
      <c r="K26" s="659">
        <v>0</v>
      </c>
      <c r="M26" s="659">
        <v>0</v>
      </c>
    </row>
    <row r="27" spans="1:13">
      <c r="A27" s="603">
        <v>18</v>
      </c>
      <c r="B27" s="588">
        <v>18</v>
      </c>
      <c r="C27" s="599" t="s">
        <v>3141</v>
      </c>
      <c r="E27" s="660"/>
      <c r="F27" s="660">
        <v>0</v>
      </c>
      <c r="G27" s="660">
        <v>0</v>
      </c>
      <c r="I27" s="660"/>
      <c r="J27" s="660">
        <v>0</v>
      </c>
      <c r="K27" s="660">
        <v>0</v>
      </c>
      <c r="M27" s="660">
        <v>0</v>
      </c>
    </row>
    <row r="28" spans="1:13">
      <c r="A28" s="603">
        <v>19</v>
      </c>
      <c r="B28" s="596">
        <v>19</v>
      </c>
      <c r="C28" s="597" t="s">
        <v>3144</v>
      </c>
      <c r="E28" s="659"/>
      <c r="F28" s="659">
        <v>0</v>
      </c>
      <c r="G28" s="659">
        <v>0</v>
      </c>
      <c r="I28" s="659"/>
      <c r="J28" s="659">
        <v>0</v>
      </c>
      <c r="K28" s="659">
        <v>0</v>
      </c>
      <c r="M28" s="659">
        <v>0</v>
      </c>
    </row>
    <row r="29" spans="1:13">
      <c r="A29" s="603">
        <v>20</v>
      </c>
      <c r="B29" s="588">
        <v>20</v>
      </c>
      <c r="C29" s="599" t="s">
        <v>3147</v>
      </c>
      <c r="E29" s="660"/>
      <c r="F29" s="660">
        <v>0</v>
      </c>
      <c r="G29" s="660">
        <v>0</v>
      </c>
      <c r="I29" s="660"/>
      <c r="J29" s="660">
        <v>0</v>
      </c>
      <c r="K29" s="660">
        <v>0</v>
      </c>
      <c r="M29" s="660">
        <v>0</v>
      </c>
    </row>
    <row r="30" spans="1:13">
      <c r="A30" s="603">
        <v>21</v>
      </c>
      <c r="B30" s="596">
        <v>21</v>
      </c>
      <c r="C30" s="597" t="s">
        <v>3271</v>
      </c>
      <c r="E30" s="659"/>
      <c r="F30" s="659">
        <v>0</v>
      </c>
      <c r="G30" s="659">
        <v>0</v>
      </c>
      <c r="I30" s="659"/>
      <c r="J30" s="659">
        <v>0</v>
      </c>
      <c r="K30" s="659">
        <v>0</v>
      </c>
      <c r="M30" s="659">
        <v>0</v>
      </c>
    </row>
    <row r="31" spans="1:13">
      <c r="A31" s="603">
        <v>22</v>
      </c>
      <c r="B31" s="588">
        <v>22</v>
      </c>
      <c r="C31" s="599" t="s">
        <v>3272</v>
      </c>
      <c r="E31" s="660"/>
      <c r="F31" s="660">
        <v>0</v>
      </c>
      <c r="G31" s="660">
        <v>0</v>
      </c>
      <c r="I31" s="660"/>
      <c r="J31" s="660">
        <v>0</v>
      </c>
      <c r="K31" s="660">
        <v>0</v>
      </c>
      <c r="M31" s="660">
        <v>0</v>
      </c>
    </row>
    <row r="32" spans="1:13">
      <c r="A32" s="603">
        <v>23</v>
      </c>
      <c r="B32" s="596">
        <v>23</v>
      </c>
      <c r="C32" s="597" t="s">
        <v>3273</v>
      </c>
      <c r="E32" s="659">
        <v>872000000</v>
      </c>
      <c r="F32" s="659">
        <v>0</v>
      </c>
      <c r="G32" s="659">
        <v>872000000</v>
      </c>
      <c r="I32" s="659"/>
      <c r="J32" s="659">
        <v>872000000</v>
      </c>
      <c r="K32" s="659">
        <v>872000000</v>
      </c>
      <c r="M32" s="659">
        <v>0</v>
      </c>
    </row>
    <row r="33" spans="1:13">
      <c r="A33" s="603">
        <v>24</v>
      </c>
      <c r="B33" s="588">
        <v>24</v>
      </c>
      <c r="C33" s="599" t="s">
        <v>3158</v>
      </c>
      <c r="E33" s="660"/>
      <c r="F33" s="660">
        <v>0</v>
      </c>
      <c r="G33" s="660">
        <v>0</v>
      </c>
      <c r="I33" s="660"/>
      <c r="J33" s="660">
        <v>0</v>
      </c>
      <c r="K33" s="660">
        <v>0</v>
      </c>
      <c r="M33" s="660">
        <v>0</v>
      </c>
    </row>
    <row r="34" spans="1:13" s="604" customFormat="1">
      <c r="A34" s="603">
        <v>25</v>
      </c>
      <c r="B34" s="596">
        <v>25</v>
      </c>
      <c r="C34" s="597" t="s">
        <v>3274</v>
      </c>
      <c r="D34" s="590"/>
      <c r="E34" s="659"/>
      <c r="F34" s="659">
        <v>0</v>
      </c>
      <c r="G34" s="659">
        <v>0</v>
      </c>
      <c r="H34" s="590"/>
      <c r="I34" s="659"/>
      <c r="J34" s="659">
        <v>0</v>
      </c>
      <c r="K34" s="659">
        <v>0</v>
      </c>
      <c r="L34" s="590"/>
      <c r="M34" s="659">
        <v>0</v>
      </c>
    </row>
    <row r="35" spans="1:13">
      <c r="A35" s="603">
        <v>26</v>
      </c>
      <c r="B35" s="588">
        <v>26</v>
      </c>
      <c r="C35" s="599" t="s">
        <v>3275</v>
      </c>
      <c r="E35" s="660"/>
      <c r="F35" s="660">
        <v>0</v>
      </c>
      <c r="G35" s="660">
        <v>0</v>
      </c>
      <c r="I35" s="660"/>
      <c r="J35" s="660">
        <v>0</v>
      </c>
      <c r="K35" s="660">
        <v>0</v>
      </c>
      <c r="M35" s="660">
        <v>0</v>
      </c>
    </row>
    <row r="36" spans="1:13">
      <c r="A36" s="603">
        <v>0</v>
      </c>
      <c r="B36" s="601"/>
      <c r="C36" s="602" t="s">
        <v>3276</v>
      </c>
      <c r="E36" s="658">
        <v>5489497080</v>
      </c>
      <c r="F36" s="658">
        <v>0</v>
      </c>
      <c r="G36" s="658">
        <v>5489497080</v>
      </c>
      <c r="I36" s="658">
        <v>4271633271</v>
      </c>
      <c r="J36" s="658">
        <v>1216980000</v>
      </c>
      <c r="K36" s="658">
        <v>5488613271</v>
      </c>
      <c r="M36" s="658">
        <v>883809</v>
      </c>
    </row>
    <row r="37" spans="1:13">
      <c r="A37" s="603">
        <v>27</v>
      </c>
      <c r="B37" s="596">
        <v>27</v>
      </c>
      <c r="C37" s="597" t="s">
        <v>3164</v>
      </c>
      <c r="E37" s="659"/>
      <c r="F37" s="659">
        <v>0</v>
      </c>
      <c r="G37" s="659">
        <v>0</v>
      </c>
      <c r="I37" s="659"/>
      <c r="J37" s="659">
        <v>0</v>
      </c>
      <c r="K37" s="659">
        <v>0</v>
      </c>
      <c r="M37" s="659">
        <v>0</v>
      </c>
    </row>
    <row r="38" spans="1:13">
      <c r="A38" s="603">
        <v>28</v>
      </c>
      <c r="B38" s="588">
        <v>28</v>
      </c>
      <c r="C38" s="599" t="s">
        <v>3167</v>
      </c>
      <c r="E38" s="660">
        <v>2855678236</v>
      </c>
      <c r="F38" s="660">
        <v>0</v>
      </c>
      <c r="G38" s="660">
        <v>2855678236</v>
      </c>
      <c r="I38" s="660">
        <v>2855678236</v>
      </c>
      <c r="J38" s="660">
        <v>0</v>
      </c>
      <c r="K38" s="660">
        <v>2855678236</v>
      </c>
      <c r="M38" s="660">
        <v>0</v>
      </c>
    </row>
    <row r="39" spans="1:13">
      <c r="A39" s="603">
        <v>29</v>
      </c>
      <c r="B39" s="596">
        <v>29</v>
      </c>
      <c r="C39" s="597" t="s">
        <v>3170</v>
      </c>
      <c r="E39" s="659"/>
      <c r="F39" s="659">
        <v>0</v>
      </c>
      <c r="G39" s="659">
        <v>0</v>
      </c>
      <c r="I39" s="659"/>
      <c r="J39" s="659">
        <v>0</v>
      </c>
      <c r="K39" s="659">
        <v>0</v>
      </c>
      <c r="M39" s="659">
        <v>0</v>
      </c>
    </row>
    <row r="40" spans="1:13">
      <c r="A40" s="603">
        <v>30</v>
      </c>
      <c r="B40" s="588">
        <v>30</v>
      </c>
      <c r="C40" s="599" t="s">
        <v>3173</v>
      </c>
      <c r="E40" s="660">
        <v>2417260000</v>
      </c>
      <c r="F40" s="660">
        <v>0</v>
      </c>
      <c r="G40" s="660">
        <v>2417260000</v>
      </c>
      <c r="I40" s="660">
        <v>1200280000</v>
      </c>
      <c r="J40" s="660">
        <v>1216980000</v>
      </c>
      <c r="K40" s="660">
        <v>2417260000</v>
      </c>
      <c r="M40" s="660">
        <v>0</v>
      </c>
    </row>
    <row r="41" spans="1:13">
      <c r="A41" s="603">
        <v>31</v>
      </c>
      <c r="B41" s="596">
        <v>31</v>
      </c>
      <c r="C41" s="597" t="s">
        <v>3176</v>
      </c>
      <c r="E41" s="659"/>
      <c r="F41" s="659">
        <v>0</v>
      </c>
      <c r="G41" s="659">
        <v>0</v>
      </c>
      <c r="I41" s="659"/>
      <c r="J41" s="659">
        <v>0</v>
      </c>
      <c r="K41" s="659">
        <v>0</v>
      </c>
      <c r="M41" s="659">
        <v>0</v>
      </c>
    </row>
    <row r="42" spans="1:13">
      <c r="A42" s="603">
        <v>32</v>
      </c>
      <c r="B42" s="588">
        <v>32</v>
      </c>
      <c r="C42" s="599" t="s">
        <v>3178</v>
      </c>
      <c r="E42" s="660">
        <v>207284341</v>
      </c>
      <c r="F42" s="660">
        <v>0</v>
      </c>
      <c r="G42" s="660">
        <v>207284341</v>
      </c>
      <c r="I42" s="660">
        <v>207284343</v>
      </c>
      <c r="J42" s="660">
        <v>0</v>
      </c>
      <c r="K42" s="660">
        <v>207284343</v>
      </c>
      <c r="M42" s="660">
        <v>-2</v>
      </c>
    </row>
    <row r="43" spans="1:13">
      <c r="A43" s="603">
        <v>33</v>
      </c>
      <c r="B43" s="596">
        <v>33</v>
      </c>
      <c r="C43" s="597" t="s">
        <v>3181</v>
      </c>
      <c r="E43" s="659"/>
      <c r="F43" s="659">
        <v>0</v>
      </c>
      <c r="G43" s="659">
        <v>0</v>
      </c>
      <c r="I43" s="659"/>
      <c r="J43" s="659">
        <v>0</v>
      </c>
      <c r="K43" s="659">
        <v>0</v>
      </c>
      <c r="M43" s="659">
        <v>0</v>
      </c>
    </row>
    <row r="44" spans="1:13">
      <c r="A44" s="603">
        <v>34</v>
      </c>
      <c r="B44" s="588">
        <v>34</v>
      </c>
      <c r="C44" s="599" t="s">
        <v>3184</v>
      </c>
      <c r="E44" s="660">
        <v>5898351</v>
      </c>
      <c r="F44" s="660">
        <v>0</v>
      </c>
      <c r="G44" s="660">
        <v>5898351</v>
      </c>
      <c r="I44" s="660">
        <v>5898351</v>
      </c>
      <c r="J44" s="660">
        <v>0</v>
      </c>
      <c r="K44" s="660">
        <v>5898351</v>
      </c>
      <c r="M44" s="660">
        <v>0</v>
      </c>
    </row>
    <row r="45" spans="1:13">
      <c r="A45" s="603">
        <v>35</v>
      </c>
      <c r="B45" s="596">
        <v>35</v>
      </c>
      <c r="C45" s="597" t="s">
        <v>3186</v>
      </c>
      <c r="E45" s="659"/>
      <c r="F45" s="659">
        <v>0</v>
      </c>
      <c r="G45" s="659">
        <v>0</v>
      </c>
      <c r="I45" s="659"/>
      <c r="J45" s="659">
        <v>0</v>
      </c>
      <c r="K45" s="659">
        <v>0</v>
      </c>
      <c r="M45" s="659">
        <v>0</v>
      </c>
    </row>
    <row r="46" spans="1:13">
      <c r="A46" s="603">
        <v>36</v>
      </c>
      <c r="B46" s="588">
        <v>36</v>
      </c>
      <c r="C46" s="599" t="s">
        <v>3189</v>
      </c>
      <c r="E46" s="660"/>
      <c r="F46" s="660">
        <v>0</v>
      </c>
      <c r="G46" s="660">
        <v>0</v>
      </c>
      <c r="I46" s="660"/>
      <c r="J46" s="660">
        <v>0</v>
      </c>
      <c r="K46" s="660">
        <v>0</v>
      </c>
      <c r="M46" s="660">
        <v>0</v>
      </c>
    </row>
    <row r="47" spans="1:13">
      <c r="A47" s="603">
        <v>37</v>
      </c>
      <c r="B47" s="596">
        <v>37</v>
      </c>
      <c r="C47" s="597" t="s">
        <v>3277</v>
      </c>
      <c r="E47" s="659"/>
      <c r="F47" s="659">
        <v>0</v>
      </c>
      <c r="G47" s="659">
        <v>0</v>
      </c>
      <c r="I47" s="659"/>
      <c r="J47" s="659">
        <v>0</v>
      </c>
      <c r="K47" s="659">
        <v>0</v>
      </c>
      <c r="M47" s="659">
        <v>0</v>
      </c>
    </row>
    <row r="48" spans="1:13">
      <c r="A48" s="603">
        <v>38</v>
      </c>
      <c r="B48" s="588">
        <v>38</v>
      </c>
      <c r="C48" s="599" t="s">
        <v>3278</v>
      </c>
      <c r="E48" s="660"/>
      <c r="F48" s="660">
        <v>0</v>
      </c>
      <c r="G48" s="660">
        <v>0</v>
      </c>
      <c r="I48" s="660"/>
      <c r="J48" s="660">
        <v>0</v>
      </c>
      <c r="K48" s="660">
        <v>0</v>
      </c>
      <c r="M48" s="660">
        <v>0</v>
      </c>
    </row>
    <row r="49" spans="1:13">
      <c r="A49" s="603">
        <v>39</v>
      </c>
      <c r="B49" s="596">
        <v>39</v>
      </c>
      <c r="C49" s="597" t="s">
        <v>3195</v>
      </c>
      <c r="E49" s="659">
        <v>3376152</v>
      </c>
      <c r="F49" s="659">
        <v>0</v>
      </c>
      <c r="G49" s="659">
        <v>3376152</v>
      </c>
      <c r="I49" s="659">
        <v>2492341</v>
      </c>
      <c r="J49" s="659">
        <v>0</v>
      </c>
      <c r="K49" s="659">
        <v>2492341</v>
      </c>
      <c r="M49" s="659">
        <v>883811</v>
      </c>
    </row>
    <row r="50" spans="1:13">
      <c r="A50" s="603">
        <v>40</v>
      </c>
      <c r="B50" s="588">
        <v>40</v>
      </c>
      <c r="C50" s="599" t="s">
        <v>3198</v>
      </c>
      <c r="E50" s="660"/>
      <c r="F50" s="660">
        <v>0</v>
      </c>
      <c r="G50" s="660">
        <v>0</v>
      </c>
      <c r="I50" s="660"/>
      <c r="J50" s="660">
        <v>0</v>
      </c>
      <c r="K50" s="660">
        <v>0</v>
      </c>
      <c r="M50" s="660">
        <v>0</v>
      </c>
    </row>
    <row r="51" spans="1:13">
      <c r="A51" s="603">
        <v>41</v>
      </c>
      <c r="B51" s="596">
        <v>41</v>
      </c>
      <c r="C51" s="597" t="s">
        <v>3279</v>
      </c>
      <c r="E51" s="659"/>
      <c r="F51" s="659">
        <v>0</v>
      </c>
      <c r="G51" s="659">
        <v>0</v>
      </c>
      <c r="I51" s="659"/>
      <c r="J51" s="659">
        <v>0</v>
      </c>
      <c r="K51" s="659">
        <v>0</v>
      </c>
      <c r="M51" s="659">
        <v>0</v>
      </c>
    </row>
    <row r="52" spans="1:13">
      <c r="A52" s="603"/>
      <c r="B52" s="588">
        <v>42</v>
      </c>
      <c r="C52" s="599" t="s">
        <v>3280</v>
      </c>
      <c r="E52" s="660"/>
      <c r="F52" s="660">
        <v>0</v>
      </c>
      <c r="G52" s="660">
        <v>0</v>
      </c>
      <c r="I52" s="660"/>
      <c r="J52" s="660">
        <v>0</v>
      </c>
      <c r="K52" s="660">
        <v>0</v>
      </c>
      <c r="M52" s="660">
        <v>0</v>
      </c>
    </row>
    <row r="53" spans="1:13">
      <c r="A53" s="603">
        <v>0</v>
      </c>
      <c r="B53" s="601"/>
      <c r="C53" s="602" t="s">
        <v>3281</v>
      </c>
      <c r="E53" s="658">
        <v>189113951</v>
      </c>
      <c r="F53" s="658">
        <v>0</v>
      </c>
      <c r="G53" s="658">
        <v>189113951</v>
      </c>
      <c r="I53" s="658">
        <v>179387867</v>
      </c>
      <c r="J53" s="658">
        <v>0</v>
      </c>
      <c r="K53" s="658">
        <v>179387867</v>
      </c>
      <c r="M53" s="658">
        <v>9726084</v>
      </c>
    </row>
    <row r="54" spans="1:13">
      <c r="A54" s="603">
        <v>43</v>
      </c>
      <c r="B54" s="596">
        <v>43</v>
      </c>
      <c r="C54" s="597" t="s">
        <v>3282</v>
      </c>
      <c r="E54" s="659"/>
      <c r="F54" s="659">
        <v>0</v>
      </c>
      <c r="G54" s="659">
        <v>0</v>
      </c>
      <c r="I54" s="659">
        <v>26926197</v>
      </c>
      <c r="J54" s="659">
        <v>0</v>
      </c>
      <c r="K54" s="659">
        <v>26926197</v>
      </c>
      <c r="M54" s="659">
        <v>-26926197</v>
      </c>
    </row>
    <row r="55" spans="1:13">
      <c r="A55" s="603">
        <v>44</v>
      </c>
      <c r="B55" s="588">
        <v>44</v>
      </c>
      <c r="C55" s="599" t="s">
        <v>3283</v>
      </c>
      <c r="E55" s="660"/>
      <c r="F55" s="660">
        <v>0</v>
      </c>
      <c r="G55" s="660">
        <v>0</v>
      </c>
      <c r="I55" s="660">
        <v>46802333</v>
      </c>
      <c r="J55" s="660">
        <v>0</v>
      </c>
      <c r="K55" s="660">
        <v>46802333</v>
      </c>
      <c r="M55" s="660">
        <v>-46802333</v>
      </c>
    </row>
    <row r="56" spans="1:13">
      <c r="A56" s="603"/>
      <c r="B56" s="596">
        <v>45</v>
      </c>
      <c r="C56" s="597" t="s">
        <v>3284</v>
      </c>
      <c r="E56" s="659"/>
      <c r="F56" s="659">
        <v>0</v>
      </c>
      <c r="G56" s="659">
        <v>0</v>
      </c>
      <c r="I56" s="659">
        <v>58501550</v>
      </c>
      <c r="J56" s="659">
        <v>0</v>
      </c>
      <c r="K56" s="659">
        <v>58501550</v>
      </c>
      <c r="M56" s="659">
        <v>-58501550</v>
      </c>
    </row>
    <row r="57" spans="1:13">
      <c r="A57" s="603"/>
      <c r="B57" s="588">
        <v>46</v>
      </c>
      <c r="C57" s="599" t="s">
        <v>3285</v>
      </c>
      <c r="E57" s="660">
        <v>189113951</v>
      </c>
      <c r="F57" s="660">
        <v>0</v>
      </c>
      <c r="G57" s="660">
        <v>189113951</v>
      </c>
      <c r="I57" s="660">
        <v>14114945</v>
      </c>
      <c r="J57" s="660">
        <v>0</v>
      </c>
      <c r="K57" s="660">
        <v>14114945</v>
      </c>
      <c r="M57" s="660">
        <v>174999006</v>
      </c>
    </row>
    <row r="58" spans="1:13">
      <c r="A58" s="603"/>
      <c r="B58" s="596">
        <v>47</v>
      </c>
      <c r="C58" s="597" t="s">
        <v>3286</v>
      </c>
      <c r="E58" s="659"/>
      <c r="F58" s="659">
        <v>0</v>
      </c>
      <c r="G58" s="659">
        <v>0</v>
      </c>
      <c r="I58" s="659">
        <v>29242348</v>
      </c>
      <c r="J58" s="659">
        <v>0</v>
      </c>
      <c r="K58" s="659">
        <v>29242348</v>
      </c>
      <c r="M58" s="659">
        <v>-29242348</v>
      </c>
    </row>
    <row r="59" spans="1:13">
      <c r="A59" s="603"/>
      <c r="B59" s="588">
        <v>48</v>
      </c>
      <c r="C59" s="599" t="s">
        <v>3287</v>
      </c>
      <c r="E59" s="660"/>
      <c r="F59" s="660">
        <v>0</v>
      </c>
      <c r="G59" s="660">
        <v>0</v>
      </c>
      <c r="I59" s="660">
        <v>237106</v>
      </c>
      <c r="J59" s="660">
        <v>0</v>
      </c>
      <c r="K59" s="660">
        <v>237106</v>
      </c>
      <c r="M59" s="660">
        <v>-237106</v>
      </c>
    </row>
    <row r="60" spans="1:13">
      <c r="A60" s="603"/>
      <c r="B60" s="596">
        <v>49</v>
      </c>
      <c r="C60" s="597" t="s">
        <v>3288</v>
      </c>
      <c r="E60" s="659"/>
      <c r="F60" s="659">
        <v>0</v>
      </c>
      <c r="G60" s="659">
        <v>0</v>
      </c>
      <c r="I60" s="659">
        <v>124975</v>
      </c>
      <c r="J60" s="659">
        <v>0</v>
      </c>
      <c r="K60" s="659">
        <v>124975</v>
      </c>
      <c r="M60" s="659">
        <v>-124975</v>
      </c>
    </row>
    <row r="61" spans="1:13">
      <c r="A61" s="603"/>
      <c r="B61" s="588">
        <v>50</v>
      </c>
      <c r="C61" s="599" t="s">
        <v>3289</v>
      </c>
      <c r="E61" s="660"/>
      <c r="F61" s="660">
        <v>0</v>
      </c>
      <c r="G61" s="660">
        <v>0</v>
      </c>
      <c r="I61" s="660">
        <v>3131508</v>
      </c>
      <c r="J61" s="660">
        <v>0</v>
      </c>
      <c r="K61" s="660">
        <v>3131508</v>
      </c>
      <c r="M61" s="660">
        <v>-3131508</v>
      </c>
    </row>
    <row r="62" spans="1:13">
      <c r="A62" s="603"/>
      <c r="B62" s="596">
        <v>51</v>
      </c>
      <c r="C62" s="597" t="s">
        <v>3218</v>
      </c>
      <c r="E62" s="659"/>
      <c r="F62" s="659">
        <v>0</v>
      </c>
      <c r="G62" s="659">
        <v>0</v>
      </c>
      <c r="I62" s="659">
        <v>306905</v>
      </c>
      <c r="J62" s="659">
        <v>0</v>
      </c>
      <c r="K62" s="659">
        <v>306905</v>
      </c>
      <c r="M62" s="659">
        <v>-306905</v>
      </c>
    </row>
    <row r="63" spans="1:13">
      <c r="A63" s="603">
        <v>0</v>
      </c>
      <c r="B63" s="601"/>
      <c r="C63" s="602" t="s">
        <v>3290</v>
      </c>
      <c r="E63" s="658">
        <v>0</v>
      </c>
      <c r="F63" s="658">
        <v>0</v>
      </c>
      <c r="G63" s="658">
        <v>0</v>
      </c>
      <c r="I63" s="658">
        <v>0</v>
      </c>
      <c r="J63" s="658">
        <v>0</v>
      </c>
      <c r="K63" s="658">
        <v>0</v>
      </c>
      <c r="M63" s="658">
        <v>0</v>
      </c>
    </row>
    <row r="64" spans="1:13">
      <c r="A64" s="603">
        <v>52</v>
      </c>
      <c r="B64" s="588">
        <v>52</v>
      </c>
      <c r="C64" s="599" t="s">
        <v>3222</v>
      </c>
      <c r="E64" s="660"/>
      <c r="F64" s="660">
        <v>0</v>
      </c>
      <c r="G64" s="660">
        <v>0</v>
      </c>
      <c r="I64" s="660"/>
      <c r="J64" s="660">
        <v>0</v>
      </c>
      <c r="K64" s="660">
        <v>0</v>
      </c>
      <c r="M64" s="660">
        <v>0</v>
      </c>
    </row>
    <row r="65" spans="1:13">
      <c r="A65" s="603">
        <v>53</v>
      </c>
      <c r="B65" s="596">
        <v>53</v>
      </c>
      <c r="C65" s="597" t="s">
        <v>3225</v>
      </c>
      <c r="E65" s="659"/>
      <c r="F65" s="659">
        <v>0</v>
      </c>
      <c r="G65" s="659">
        <v>0</v>
      </c>
      <c r="I65" s="659"/>
      <c r="J65" s="659">
        <v>0</v>
      </c>
      <c r="K65" s="659">
        <v>0</v>
      </c>
      <c r="M65" s="659">
        <v>0</v>
      </c>
    </row>
    <row r="66" spans="1:13">
      <c r="A66" s="603">
        <v>54</v>
      </c>
      <c r="B66" s="588">
        <v>54</v>
      </c>
      <c r="C66" s="599" t="s">
        <v>3291</v>
      </c>
      <c r="E66" s="660"/>
      <c r="F66" s="660">
        <v>0</v>
      </c>
      <c r="G66" s="660">
        <v>0</v>
      </c>
      <c r="I66" s="660"/>
      <c r="J66" s="660">
        <v>0</v>
      </c>
      <c r="K66" s="660">
        <v>0</v>
      </c>
      <c r="M66" s="660">
        <v>0</v>
      </c>
    </row>
    <row r="67" spans="1:13">
      <c r="A67" s="603"/>
      <c r="B67" s="601"/>
      <c r="C67" s="602" t="s">
        <v>3292</v>
      </c>
      <c r="E67" s="658">
        <v>0</v>
      </c>
      <c r="F67" s="658">
        <v>0</v>
      </c>
      <c r="G67" s="658">
        <v>0</v>
      </c>
      <c r="I67" s="658">
        <v>0</v>
      </c>
      <c r="J67" s="658">
        <v>0</v>
      </c>
      <c r="K67" s="658">
        <v>0</v>
      </c>
      <c r="M67" s="658">
        <v>0</v>
      </c>
    </row>
    <row r="68" spans="1:13">
      <c r="A68" s="603"/>
      <c r="B68" s="596">
        <v>55</v>
      </c>
      <c r="C68" s="597" t="s">
        <v>3231</v>
      </c>
      <c r="E68" s="659"/>
      <c r="F68" s="659">
        <v>0</v>
      </c>
      <c r="G68" s="659">
        <v>0</v>
      </c>
      <c r="I68" s="659"/>
      <c r="J68" s="659">
        <v>0</v>
      </c>
      <c r="K68" s="659">
        <v>0</v>
      </c>
      <c r="M68" s="659">
        <v>0</v>
      </c>
    </row>
    <row r="69" spans="1:13">
      <c r="A69" s="603"/>
      <c r="B69" s="588">
        <v>56</v>
      </c>
      <c r="C69" s="599" t="s">
        <v>3293</v>
      </c>
      <c r="E69" s="660"/>
      <c r="F69" s="660">
        <v>0</v>
      </c>
      <c r="G69" s="660">
        <v>0</v>
      </c>
      <c r="I69" s="660"/>
      <c r="J69" s="660">
        <v>0</v>
      </c>
      <c r="K69" s="660">
        <v>0</v>
      </c>
      <c r="M69" s="660">
        <v>0</v>
      </c>
    </row>
    <row r="70" spans="1:13">
      <c r="A70" s="603">
        <v>0</v>
      </c>
      <c r="B70" s="601"/>
      <c r="C70" s="602" t="s">
        <v>340</v>
      </c>
      <c r="E70" s="658">
        <v>33220204</v>
      </c>
      <c r="F70" s="658">
        <v>-8019280</v>
      </c>
      <c r="G70" s="658">
        <v>25200924</v>
      </c>
      <c r="I70" s="658">
        <v>25200924</v>
      </c>
      <c r="J70" s="658">
        <v>0</v>
      </c>
      <c r="K70" s="658">
        <v>25200924</v>
      </c>
      <c r="M70" s="658">
        <v>0</v>
      </c>
    </row>
    <row r="71" spans="1:13">
      <c r="A71" s="603">
        <v>57</v>
      </c>
      <c r="B71" s="596">
        <v>57</v>
      </c>
      <c r="C71" s="597" t="s">
        <v>3294</v>
      </c>
      <c r="E71" s="659">
        <v>33220204</v>
      </c>
      <c r="F71" s="659">
        <v>-8019280</v>
      </c>
      <c r="G71" s="659">
        <v>25200924</v>
      </c>
      <c r="I71" s="659">
        <v>25200924</v>
      </c>
      <c r="J71" s="659">
        <v>0</v>
      </c>
      <c r="K71" s="659">
        <v>25200924</v>
      </c>
      <c r="M71" s="659">
        <v>0</v>
      </c>
    </row>
    <row r="72" spans="1:13">
      <c r="A72" s="603">
        <v>0</v>
      </c>
      <c r="B72" s="601"/>
      <c r="C72" s="602" t="s">
        <v>3295</v>
      </c>
      <c r="E72" s="658">
        <v>230077676</v>
      </c>
      <c r="F72" s="658">
        <v>16282759</v>
      </c>
      <c r="G72" s="658">
        <v>246360435</v>
      </c>
      <c r="I72" s="658">
        <v>246360435</v>
      </c>
      <c r="J72" s="658">
        <v>0</v>
      </c>
      <c r="K72" s="658">
        <v>246360435</v>
      </c>
      <c r="M72" s="658">
        <v>0</v>
      </c>
    </row>
    <row r="73" spans="1:13">
      <c r="A73" s="603">
        <v>58</v>
      </c>
      <c r="B73" s="588">
        <v>58</v>
      </c>
      <c r="C73" s="599" t="s">
        <v>3296</v>
      </c>
      <c r="E73" s="660">
        <v>230077676</v>
      </c>
      <c r="F73" s="660">
        <v>16282759</v>
      </c>
      <c r="G73" s="660">
        <v>246360435</v>
      </c>
      <c r="I73" s="660">
        <v>246360435</v>
      </c>
      <c r="J73" s="660">
        <v>0</v>
      </c>
      <c r="K73" s="660">
        <v>246360435</v>
      </c>
      <c r="M73" s="660">
        <v>0</v>
      </c>
    </row>
    <row r="74" spans="1:13">
      <c r="A74" s="603"/>
      <c r="B74" s="601"/>
      <c r="C74" s="602" t="s">
        <v>3297</v>
      </c>
      <c r="E74" s="658">
        <v>0</v>
      </c>
      <c r="F74" s="658">
        <v>0</v>
      </c>
      <c r="G74" s="658">
        <v>0</v>
      </c>
      <c r="I74" s="658">
        <v>0</v>
      </c>
      <c r="J74" s="658">
        <v>0</v>
      </c>
      <c r="K74" s="658">
        <v>0</v>
      </c>
      <c r="M74" s="658">
        <v>0</v>
      </c>
    </row>
    <row r="75" spans="1:13">
      <c r="A75" s="603"/>
      <c r="B75" s="588">
        <v>59</v>
      </c>
      <c r="C75" s="599" t="s">
        <v>3298</v>
      </c>
      <c r="E75" s="660"/>
      <c r="F75" s="660">
        <v>0</v>
      </c>
      <c r="G75" s="660">
        <v>0</v>
      </c>
      <c r="I75" s="660"/>
      <c r="J75" s="660">
        <v>0</v>
      </c>
      <c r="K75" s="660">
        <v>0</v>
      </c>
      <c r="M75" s="660"/>
    </row>
    <row r="76" spans="1:13">
      <c r="A76" s="603"/>
      <c r="B76" s="601"/>
      <c r="C76" s="602" t="s">
        <v>3299</v>
      </c>
      <c r="E76" s="658">
        <v>0</v>
      </c>
      <c r="F76" s="658">
        <v>0</v>
      </c>
      <c r="G76" s="658">
        <v>0</v>
      </c>
      <c r="I76" s="658">
        <v>0</v>
      </c>
      <c r="J76" s="658">
        <v>0</v>
      </c>
      <c r="K76" s="658">
        <v>0</v>
      </c>
      <c r="M76" s="658">
        <v>0</v>
      </c>
    </row>
    <row r="77" spans="1:13">
      <c r="A77" s="603"/>
      <c r="B77" s="588">
        <v>60</v>
      </c>
      <c r="C77" s="599" t="s">
        <v>3300</v>
      </c>
      <c r="E77" s="660"/>
      <c r="F77" s="660">
        <v>0</v>
      </c>
      <c r="G77" s="660">
        <v>0</v>
      </c>
      <c r="I77" s="660"/>
      <c r="J77" s="660">
        <v>0</v>
      </c>
      <c r="K77" s="660">
        <v>0</v>
      </c>
      <c r="M77" s="660"/>
    </row>
    <row r="78" spans="1:13">
      <c r="A78" s="603"/>
      <c r="B78" s="601"/>
      <c r="C78" s="602" t="s">
        <v>3301</v>
      </c>
      <c r="E78" s="658">
        <v>0</v>
      </c>
      <c r="F78" s="658">
        <v>0</v>
      </c>
      <c r="G78" s="658">
        <v>0</v>
      </c>
      <c r="I78" s="658">
        <v>809852</v>
      </c>
      <c r="J78" s="658">
        <v>0</v>
      </c>
      <c r="K78" s="658">
        <v>809852</v>
      </c>
      <c r="M78" s="658">
        <v>-809852</v>
      </c>
    </row>
    <row r="79" spans="1:13">
      <c r="A79" s="603"/>
      <c r="B79" s="596">
        <v>61</v>
      </c>
      <c r="C79" s="597" t="s">
        <v>3302</v>
      </c>
      <c r="E79" s="659"/>
      <c r="F79" s="659"/>
      <c r="G79" s="659"/>
      <c r="I79" s="659"/>
      <c r="J79" s="659"/>
      <c r="K79" s="659"/>
      <c r="M79" s="659"/>
    </row>
  </sheetData>
  <mergeCells count="5">
    <mergeCell ref="B3:B4"/>
    <mergeCell ref="C3:C4"/>
    <mergeCell ref="E3:G3"/>
    <mergeCell ref="I3:K3"/>
    <mergeCell ref="M3:M4"/>
  </mergeCells>
  <hyperlinks>
    <hyperlink ref="A1" location="Sommaire!A1" display="Sommaire!A1" xr:uid="{00000000-0004-0000-1400-000000000000}"/>
  </hyperlinks>
  <pageMargins left="0.7" right="0.7" top="0.75" bottom="0.75" header="0.3" footer="0.3"/>
  <pageSetup paperSize="9"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M79"/>
  <sheetViews>
    <sheetView showGridLines="0" zoomScaleNormal="100" workbookViewId="0">
      <selection activeCell="B1" sqref="B1"/>
    </sheetView>
  </sheetViews>
  <sheetFormatPr baseColWidth="10" defaultColWidth="11.33203125" defaultRowHeight="12"/>
  <cols>
    <col min="1" max="1" width="10.1640625" style="588" bestFit="1" customWidth="1"/>
    <col min="2" max="2" width="19" style="588" bestFit="1" customWidth="1"/>
    <col min="3" max="3" width="54.5" style="605" bestFit="1" customWidth="1"/>
    <col min="4" max="4" width="0.6640625" style="590" customWidth="1"/>
    <col min="5" max="5" width="15" style="590" bestFit="1" customWidth="1"/>
    <col min="6" max="6" width="12.83203125" style="588" bestFit="1" customWidth="1"/>
    <col min="7" max="7" width="12.83203125" style="590" bestFit="1" customWidth="1"/>
    <col min="8" max="8" width="0.6640625" style="590" customWidth="1"/>
    <col min="9" max="11" width="12.83203125" style="590" bestFit="1" customWidth="1"/>
    <col min="12" max="12" width="0.6640625" style="590" customWidth="1"/>
    <col min="13" max="13" width="13.83203125" style="590" bestFit="1" customWidth="1"/>
    <col min="14" max="16384" width="11.33203125" style="590"/>
  </cols>
  <sheetData>
    <row r="1" spans="1:13" ht="36">
      <c r="A1" s="661" t="s">
        <v>140</v>
      </c>
      <c r="C1" s="589" t="s">
        <v>3249</v>
      </c>
      <c r="E1" s="591" t="s">
        <v>219</v>
      </c>
      <c r="F1" s="591" t="s">
        <v>2020</v>
      </c>
      <c r="G1" s="592"/>
      <c r="J1" s="592" t="s">
        <v>3251</v>
      </c>
      <c r="K1" s="592">
        <v>2023</v>
      </c>
    </row>
    <row r="2" spans="1:13">
      <c r="C2" s="593"/>
      <c r="F2" s="590"/>
      <c r="I2" s="590" t="s">
        <v>3252</v>
      </c>
      <c r="J2" s="594">
        <v>604.32574999999997</v>
      </c>
    </row>
    <row r="3" spans="1:13">
      <c r="B3" s="753" t="s">
        <v>143</v>
      </c>
      <c r="C3" s="754" t="s">
        <v>3253</v>
      </c>
      <c r="E3" s="755" t="s">
        <v>2084</v>
      </c>
      <c r="F3" s="755"/>
      <c r="G3" s="755"/>
      <c r="I3" s="755" t="s">
        <v>3254</v>
      </c>
      <c r="J3" s="755"/>
      <c r="K3" s="755"/>
      <c r="M3" s="756" t="s">
        <v>3255</v>
      </c>
    </row>
    <row r="4" spans="1:13">
      <c r="B4" s="753"/>
      <c r="C4" s="754"/>
      <c r="E4" s="595" t="s">
        <v>3256</v>
      </c>
      <c r="F4" s="595" t="s">
        <v>3257</v>
      </c>
      <c r="G4" s="595" t="s">
        <v>3258</v>
      </c>
      <c r="I4" s="595" t="s">
        <v>3256</v>
      </c>
      <c r="J4" s="595" t="s">
        <v>3257</v>
      </c>
      <c r="K4" s="595" t="s">
        <v>3258</v>
      </c>
      <c r="M4" s="756"/>
    </row>
    <row r="5" spans="1:13">
      <c r="B5" s="655" t="s">
        <v>3092</v>
      </c>
      <c r="C5" s="656"/>
      <c r="E5" s="657">
        <v>0</v>
      </c>
      <c r="F5" s="657">
        <v>0</v>
      </c>
      <c r="G5" s="657">
        <v>0</v>
      </c>
      <c r="I5" s="657">
        <v>0</v>
      </c>
      <c r="J5" s="657">
        <v>0</v>
      </c>
      <c r="K5" s="657">
        <v>0</v>
      </c>
      <c r="M5" s="657">
        <v>0</v>
      </c>
    </row>
    <row r="6" spans="1:13">
      <c r="B6" s="596">
        <v>1</v>
      </c>
      <c r="C6" s="597" t="s">
        <v>3259</v>
      </c>
      <c r="E6" s="598"/>
      <c r="F6" s="598">
        <v>0</v>
      </c>
      <c r="G6" s="598">
        <v>0</v>
      </c>
      <c r="I6" s="598"/>
      <c r="J6" s="598">
        <v>0</v>
      </c>
      <c r="K6" s="598">
        <v>0</v>
      </c>
      <c r="M6" s="598">
        <v>0</v>
      </c>
    </row>
    <row r="7" spans="1:13">
      <c r="B7" s="588">
        <v>2</v>
      </c>
      <c r="C7" s="599" t="s">
        <v>3260</v>
      </c>
      <c r="E7" s="600"/>
      <c r="F7" s="600">
        <v>0</v>
      </c>
      <c r="G7" s="600">
        <v>0</v>
      </c>
      <c r="I7" s="600"/>
      <c r="J7" s="600">
        <v>0</v>
      </c>
      <c r="K7" s="600">
        <v>0</v>
      </c>
      <c r="M7" s="600">
        <v>0</v>
      </c>
    </row>
    <row r="8" spans="1:13">
      <c r="B8" s="655" t="s">
        <v>3101</v>
      </c>
      <c r="C8" s="656"/>
      <c r="E8" s="657">
        <v>2336105450</v>
      </c>
      <c r="F8" s="657">
        <v>3107138636</v>
      </c>
      <c r="G8" s="657">
        <v>5443244086</v>
      </c>
      <c r="I8" s="657">
        <v>4033487792</v>
      </c>
      <c r="J8" s="657">
        <v>1399994071</v>
      </c>
      <c r="K8" s="657">
        <v>5433481863</v>
      </c>
      <c r="M8" s="657">
        <v>9762223</v>
      </c>
    </row>
    <row r="9" spans="1:13">
      <c r="B9" s="601"/>
      <c r="C9" s="602" t="s">
        <v>1244</v>
      </c>
      <c r="E9" s="658">
        <v>1385313191</v>
      </c>
      <c r="F9" s="658">
        <v>0</v>
      </c>
      <c r="G9" s="658">
        <v>1385313191</v>
      </c>
      <c r="I9" s="658">
        <v>0</v>
      </c>
      <c r="J9" s="658">
        <v>1385313191</v>
      </c>
      <c r="K9" s="658">
        <v>1385313191</v>
      </c>
      <c r="M9" s="658">
        <v>0</v>
      </c>
    </row>
    <row r="10" spans="1:13">
      <c r="A10" s="603">
        <v>3</v>
      </c>
      <c r="B10" s="596">
        <v>3</v>
      </c>
      <c r="C10" s="597" t="s">
        <v>3261</v>
      </c>
      <c r="E10" s="659">
        <v>1385313191</v>
      </c>
      <c r="F10" s="659">
        <v>0</v>
      </c>
      <c r="G10" s="659">
        <v>1385313191</v>
      </c>
      <c r="I10" s="659"/>
      <c r="J10" s="659">
        <v>1385313191</v>
      </c>
      <c r="K10" s="659">
        <v>1385313191</v>
      </c>
      <c r="M10" s="659">
        <v>0</v>
      </c>
    </row>
    <row r="11" spans="1:13">
      <c r="A11" s="603">
        <v>4</v>
      </c>
      <c r="B11" s="588">
        <v>4</v>
      </c>
      <c r="C11" s="599" t="s">
        <v>3106</v>
      </c>
      <c r="E11" s="660"/>
      <c r="F11" s="660">
        <v>0</v>
      </c>
      <c r="G11" s="660">
        <v>0</v>
      </c>
      <c r="I11" s="660"/>
      <c r="J11" s="660">
        <v>0</v>
      </c>
      <c r="K11" s="660">
        <v>0</v>
      </c>
      <c r="M11" s="660">
        <v>0</v>
      </c>
    </row>
    <row r="12" spans="1:13">
      <c r="A12" s="603">
        <v>5</v>
      </c>
      <c r="B12" s="596">
        <v>5</v>
      </c>
      <c r="C12" s="597" t="s">
        <v>3262</v>
      </c>
      <c r="E12" s="659"/>
      <c r="F12" s="659">
        <v>0</v>
      </c>
      <c r="G12" s="659">
        <v>0</v>
      </c>
      <c r="I12" s="659"/>
      <c r="J12" s="659">
        <v>0</v>
      </c>
      <c r="K12" s="659">
        <v>0</v>
      </c>
      <c r="M12" s="659">
        <v>0</v>
      </c>
    </row>
    <row r="13" spans="1:13">
      <c r="A13" s="603">
        <v>6</v>
      </c>
      <c r="B13" s="588">
        <v>6</v>
      </c>
      <c r="C13" s="599" t="s">
        <v>3263</v>
      </c>
      <c r="E13" s="660"/>
      <c r="F13" s="660">
        <v>0</v>
      </c>
      <c r="G13" s="660">
        <v>0</v>
      </c>
      <c r="I13" s="660"/>
      <c r="J13" s="660">
        <v>0</v>
      </c>
      <c r="K13" s="660">
        <v>0</v>
      </c>
      <c r="M13" s="660">
        <v>0</v>
      </c>
    </row>
    <row r="14" spans="1:13">
      <c r="A14" s="603">
        <v>7</v>
      </c>
      <c r="B14" s="596">
        <v>7</v>
      </c>
      <c r="C14" s="597" t="s">
        <v>3114</v>
      </c>
      <c r="E14" s="659"/>
      <c r="F14" s="659">
        <v>0</v>
      </c>
      <c r="G14" s="659">
        <v>0</v>
      </c>
      <c r="I14" s="659"/>
      <c r="J14" s="659">
        <v>0</v>
      </c>
      <c r="K14" s="659">
        <v>0</v>
      </c>
      <c r="M14" s="659">
        <v>0</v>
      </c>
    </row>
    <row r="15" spans="1:13">
      <c r="A15" s="603">
        <v>0</v>
      </c>
      <c r="B15" s="601"/>
      <c r="C15" s="602" t="s">
        <v>1253</v>
      </c>
      <c r="E15" s="658">
        <v>0</v>
      </c>
      <c r="F15" s="658">
        <v>0</v>
      </c>
      <c r="G15" s="658">
        <v>0</v>
      </c>
      <c r="I15" s="658">
        <v>0</v>
      </c>
      <c r="J15" s="658">
        <v>0</v>
      </c>
      <c r="K15" s="658">
        <v>0</v>
      </c>
      <c r="M15" s="658">
        <v>0</v>
      </c>
    </row>
    <row r="16" spans="1:13">
      <c r="A16" s="603">
        <v>8</v>
      </c>
      <c r="B16" s="588">
        <v>8</v>
      </c>
      <c r="C16" s="599" t="s">
        <v>3264</v>
      </c>
      <c r="E16" s="660"/>
      <c r="F16" s="660">
        <v>0</v>
      </c>
      <c r="G16" s="660">
        <v>0</v>
      </c>
      <c r="I16" s="660"/>
      <c r="J16" s="660">
        <v>0</v>
      </c>
      <c r="K16" s="660">
        <v>0</v>
      </c>
      <c r="M16" s="660">
        <v>0</v>
      </c>
    </row>
    <row r="17" spans="1:13">
      <c r="A17" s="603">
        <v>9</v>
      </c>
      <c r="B17" s="596">
        <v>9</v>
      </c>
      <c r="C17" s="597" t="s">
        <v>3265</v>
      </c>
      <c r="E17" s="659"/>
      <c r="F17" s="659">
        <v>0</v>
      </c>
      <c r="G17" s="659">
        <v>0</v>
      </c>
      <c r="I17" s="659"/>
      <c r="J17" s="659">
        <v>0</v>
      </c>
      <c r="K17" s="659">
        <v>0</v>
      </c>
      <c r="M17" s="659">
        <v>0</v>
      </c>
    </row>
    <row r="18" spans="1:13">
      <c r="A18" s="603"/>
      <c r="B18" s="588">
        <v>10</v>
      </c>
      <c r="C18" s="599" t="s">
        <v>3122</v>
      </c>
      <c r="E18" s="660"/>
      <c r="F18" s="660">
        <v>0</v>
      </c>
      <c r="G18" s="660">
        <v>0</v>
      </c>
      <c r="I18" s="660"/>
      <c r="J18" s="660">
        <v>0</v>
      </c>
      <c r="K18" s="660">
        <v>0</v>
      </c>
      <c r="M18" s="660">
        <v>0</v>
      </c>
    </row>
    <row r="19" spans="1:13">
      <c r="A19" s="603">
        <v>11</v>
      </c>
      <c r="B19" s="596">
        <v>11</v>
      </c>
      <c r="C19" s="597" t="s">
        <v>3124</v>
      </c>
      <c r="E19" s="659"/>
      <c r="F19" s="659">
        <v>0</v>
      </c>
      <c r="G19" s="659">
        <v>0</v>
      </c>
      <c r="I19" s="659"/>
      <c r="J19" s="659">
        <v>0</v>
      </c>
      <c r="K19" s="659">
        <v>0</v>
      </c>
      <c r="M19" s="659">
        <v>0</v>
      </c>
    </row>
    <row r="20" spans="1:13">
      <c r="A20" s="603">
        <v>12</v>
      </c>
      <c r="B20" s="588">
        <v>12</v>
      </c>
      <c r="C20" s="599" t="s">
        <v>3266</v>
      </c>
      <c r="E20" s="660"/>
      <c r="F20" s="660">
        <v>0</v>
      </c>
      <c r="G20" s="660">
        <v>0</v>
      </c>
      <c r="I20" s="660"/>
      <c r="J20" s="660">
        <v>0</v>
      </c>
      <c r="K20" s="660">
        <v>0</v>
      </c>
      <c r="M20" s="660">
        <v>0</v>
      </c>
    </row>
    <row r="21" spans="1:13">
      <c r="A21" s="603">
        <v>13</v>
      </c>
      <c r="B21" s="596">
        <v>13</v>
      </c>
      <c r="C21" s="597" t="s">
        <v>3267</v>
      </c>
      <c r="E21" s="659"/>
      <c r="F21" s="659">
        <v>0</v>
      </c>
      <c r="G21" s="659">
        <v>0</v>
      </c>
      <c r="I21" s="659"/>
      <c r="J21" s="659">
        <v>0</v>
      </c>
      <c r="K21" s="659">
        <v>0</v>
      </c>
      <c r="M21" s="659">
        <v>0</v>
      </c>
    </row>
    <row r="22" spans="1:13">
      <c r="A22" s="603">
        <v>14</v>
      </c>
      <c r="B22" s="588">
        <v>14</v>
      </c>
      <c r="C22" s="599" t="s">
        <v>3268</v>
      </c>
      <c r="E22" s="660"/>
      <c r="F22" s="660">
        <v>0</v>
      </c>
      <c r="G22" s="660">
        <v>0</v>
      </c>
      <c r="I22" s="660"/>
      <c r="J22" s="660">
        <v>0</v>
      </c>
      <c r="K22" s="660">
        <v>0</v>
      </c>
      <c r="M22" s="660">
        <v>0</v>
      </c>
    </row>
    <row r="23" spans="1:13">
      <c r="A23" s="603">
        <v>15</v>
      </c>
      <c r="B23" s="596">
        <v>15</v>
      </c>
      <c r="C23" s="597" t="s">
        <v>3133</v>
      </c>
      <c r="E23" s="659"/>
      <c r="F23" s="659">
        <v>0</v>
      </c>
      <c r="G23" s="659">
        <v>0</v>
      </c>
      <c r="I23" s="659"/>
      <c r="J23" s="659">
        <v>0</v>
      </c>
      <c r="K23" s="659">
        <v>0</v>
      </c>
      <c r="M23" s="659">
        <v>0</v>
      </c>
    </row>
    <row r="24" spans="1:13">
      <c r="A24" s="603">
        <v>16</v>
      </c>
      <c r="B24" s="588">
        <v>16</v>
      </c>
      <c r="C24" s="599" t="s">
        <v>3136</v>
      </c>
      <c r="E24" s="660"/>
      <c r="F24" s="660">
        <v>0</v>
      </c>
      <c r="G24" s="660">
        <v>0</v>
      </c>
      <c r="I24" s="660"/>
      <c r="J24" s="660">
        <v>0</v>
      </c>
      <c r="K24" s="660">
        <v>0</v>
      </c>
      <c r="M24" s="660">
        <v>0</v>
      </c>
    </row>
    <row r="25" spans="1:13">
      <c r="A25" s="603">
        <v>0</v>
      </c>
      <c r="B25" s="601"/>
      <c r="C25" s="602" t="s">
        <v>3269</v>
      </c>
      <c r="E25" s="658">
        <v>0</v>
      </c>
      <c r="F25" s="658">
        <v>0</v>
      </c>
      <c r="G25" s="658">
        <v>0</v>
      </c>
      <c r="I25" s="658">
        <v>0</v>
      </c>
      <c r="J25" s="658">
        <v>0</v>
      </c>
      <c r="K25" s="658">
        <v>0</v>
      </c>
      <c r="M25" s="658">
        <v>0</v>
      </c>
    </row>
    <row r="26" spans="1:13">
      <c r="A26" s="603">
        <v>17</v>
      </c>
      <c r="B26" s="596">
        <v>17</v>
      </c>
      <c r="C26" s="597" t="s">
        <v>3270</v>
      </c>
      <c r="E26" s="659"/>
      <c r="F26" s="659">
        <v>0</v>
      </c>
      <c r="G26" s="659">
        <v>0</v>
      </c>
      <c r="I26" s="659"/>
      <c r="J26" s="659">
        <v>0</v>
      </c>
      <c r="K26" s="659">
        <v>0</v>
      </c>
      <c r="M26" s="659">
        <v>0</v>
      </c>
    </row>
    <row r="27" spans="1:13">
      <c r="A27" s="603">
        <v>18</v>
      </c>
      <c r="B27" s="588">
        <v>18</v>
      </c>
      <c r="C27" s="599" t="s">
        <v>3141</v>
      </c>
      <c r="E27" s="660"/>
      <c r="F27" s="660">
        <v>0</v>
      </c>
      <c r="G27" s="660">
        <v>0</v>
      </c>
      <c r="I27" s="660"/>
      <c r="J27" s="660">
        <v>0</v>
      </c>
      <c r="K27" s="660">
        <v>0</v>
      </c>
      <c r="M27" s="660">
        <v>0</v>
      </c>
    </row>
    <row r="28" spans="1:13">
      <c r="A28" s="603">
        <v>19</v>
      </c>
      <c r="B28" s="596">
        <v>19</v>
      </c>
      <c r="C28" s="597" t="s">
        <v>3144</v>
      </c>
      <c r="E28" s="659"/>
      <c r="F28" s="659">
        <v>0</v>
      </c>
      <c r="G28" s="659">
        <v>0</v>
      </c>
      <c r="I28" s="659"/>
      <c r="J28" s="659">
        <v>0</v>
      </c>
      <c r="K28" s="659">
        <v>0</v>
      </c>
      <c r="M28" s="659">
        <v>0</v>
      </c>
    </row>
    <row r="29" spans="1:13">
      <c r="A29" s="603">
        <v>20</v>
      </c>
      <c r="B29" s="588">
        <v>20</v>
      </c>
      <c r="C29" s="599" t="s">
        <v>3147</v>
      </c>
      <c r="E29" s="660"/>
      <c r="F29" s="660">
        <v>0</v>
      </c>
      <c r="G29" s="660">
        <v>0</v>
      </c>
      <c r="I29" s="660"/>
      <c r="J29" s="660">
        <v>0</v>
      </c>
      <c r="K29" s="660">
        <v>0</v>
      </c>
      <c r="M29" s="660">
        <v>0</v>
      </c>
    </row>
    <row r="30" spans="1:13">
      <c r="A30" s="603">
        <v>21</v>
      </c>
      <c r="B30" s="596">
        <v>21</v>
      </c>
      <c r="C30" s="597" t="s">
        <v>3271</v>
      </c>
      <c r="E30" s="659"/>
      <c r="F30" s="659">
        <v>0</v>
      </c>
      <c r="G30" s="659">
        <v>0</v>
      </c>
      <c r="I30" s="659"/>
      <c r="J30" s="659">
        <v>0</v>
      </c>
      <c r="K30" s="659">
        <v>0</v>
      </c>
      <c r="M30" s="659">
        <v>0</v>
      </c>
    </row>
    <row r="31" spans="1:13">
      <c r="A31" s="603">
        <v>22</v>
      </c>
      <c r="B31" s="588">
        <v>22</v>
      </c>
      <c r="C31" s="599" t="s">
        <v>3272</v>
      </c>
      <c r="E31" s="660"/>
      <c r="F31" s="660">
        <v>0</v>
      </c>
      <c r="G31" s="660">
        <v>0</v>
      </c>
      <c r="I31" s="660"/>
      <c r="J31" s="660">
        <v>0</v>
      </c>
      <c r="K31" s="660">
        <v>0</v>
      </c>
      <c r="M31" s="660">
        <v>0</v>
      </c>
    </row>
    <row r="32" spans="1:13">
      <c r="A32" s="603">
        <v>23</v>
      </c>
      <c r="B32" s="596">
        <v>23</v>
      </c>
      <c r="C32" s="597" t="s">
        <v>3273</v>
      </c>
      <c r="E32" s="659"/>
      <c r="F32" s="659">
        <v>0</v>
      </c>
      <c r="G32" s="659">
        <v>0</v>
      </c>
      <c r="I32" s="659"/>
      <c r="J32" s="659">
        <v>0</v>
      </c>
      <c r="K32" s="659">
        <v>0</v>
      </c>
      <c r="M32" s="659">
        <v>0</v>
      </c>
    </row>
    <row r="33" spans="1:13">
      <c r="A33" s="603">
        <v>24</v>
      </c>
      <c r="B33" s="588">
        <v>24</v>
      </c>
      <c r="C33" s="599" t="s">
        <v>3158</v>
      </c>
      <c r="E33" s="660"/>
      <c r="F33" s="660">
        <v>0</v>
      </c>
      <c r="G33" s="660">
        <v>0</v>
      </c>
      <c r="I33" s="660"/>
      <c r="J33" s="660">
        <v>0</v>
      </c>
      <c r="K33" s="660">
        <v>0</v>
      </c>
      <c r="M33" s="660">
        <v>0</v>
      </c>
    </row>
    <row r="34" spans="1:13" s="604" customFormat="1">
      <c r="A34" s="603">
        <v>25</v>
      </c>
      <c r="B34" s="596">
        <v>25</v>
      </c>
      <c r="C34" s="597" t="s">
        <v>3274</v>
      </c>
      <c r="D34" s="590"/>
      <c r="E34" s="659"/>
      <c r="F34" s="659">
        <v>0</v>
      </c>
      <c r="G34" s="659">
        <v>0</v>
      </c>
      <c r="H34" s="590"/>
      <c r="I34" s="659"/>
      <c r="J34" s="659">
        <v>0</v>
      </c>
      <c r="K34" s="659">
        <v>0</v>
      </c>
      <c r="L34" s="590"/>
      <c r="M34" s="659">
        <v>0</v>
      </c>
    </row>
    <row r="35" spans="1:13">
      <c r="A35" s="603">
        <v>26</v>
      </c>
      <c r="B35" s="588">
        <v>26</v>
      </c>
      <c r="C35" s="599" t="s">
        <v>3275</v>
      </c>
      <c r="E35" s="660"/>
      <c r="F35" s="660">
        <v>0</v>
      </c>
      <c r="G35" s="660">
        <v>0</v>
      </c>
      <c r="I35" s="660"/>
      <c r="J35" s="660">
        <v>0</v>
      </c>
      <c r="K35" s="660">
        <v>0</v>
      </c>
      <c r="M35" s="660">
        <v>0</v>
      </c>
    </row>
    <row r="36" spans="1:13">
      <c r="A36" s="603">
        <v>0</v>
      </c>
      <c r="B36" s="601"/>
      <c r="C36" s="602" t="s">
        <v>3276</v>
      </c>
      <c r="E36" s="658">
        <v>795253877</v>
      </c>
      <c r="F36" s="658">
        <v>2039745000</v>
      </c>
      <c r="G36" s="658">
        <v>2834998877</v>
      </c>
      <c r="I36" s="658">
        <v>2821376112</v>
      </c>
      <c r="J36" s="658">
        <v>2285715</v>
      </c>
      <c r="K36" s="658">
        <v>2823661827</v>
      </c>
      <c r="M36" s="658">
        <v>11337050</v>
      </c>
    </row>
    <row r="37" spans="1:13">
      <c r="A37" s="603">
        <v>27</v>
      </c>
      <c r="B37" s="596">
        <v>27</v>
      </c>
      <c r="C37" s="597" t="s">
        <v>3164</v>
      </c>
      <c r="E37" s="659"/>
      <c r="F37" s="659">
        <v>81239540</v>
      </c>
      <c r="G37" s="659">
        <v>81239540</v>
      </c>
      <c r="I37" s="659">
        <v>81239635</v>
      </c>
      <c r="J37" s="659">
        <v>0</v>
      </c>
      <c r="K37" s="659">
        <v>81239635</v>
      </c>
      <c r="M37" s="659">
        <v>-95</v>
      </c>
    </row>
    <row r="38" spans="1:13">
      <c r="A38" s="603">
        <v>28</v>
      </c>
      <c r="B38" s="588">
        <v>28</v>
      </c>
      <c r="C38" s="599" t="s">
        <v>3167</v>
      </c>
      <c r="E38" s="660">
        <v>603107679</v>
      </c>
      <c r="F38" s="660">
        <v>-3394851</v>
      </c>
      <c r="G38" s="660">
        <v>599712828</v>
      </c>
      <c r="I38" s="660">
        <v>599469408</v>
      </c>
      <c r="J38" s="660">
        <v>0</v>
      </c>
      <c r="K38" s="660">
        <v>599469408</v>
      </c>
      <c r="M38" s="660">
        <v>243420</v>
      </c>
    </row>
    <row r="39" spans="1:13">
      <c r="A39" s="603">
        <v>29</v>
      </c>
      <c r="B39" s="596">
        <v>29</v>
      </c>
      <c r="C39" s="597" t="s">
        <v>3170</v>
      </c>
      <c r="E39" s="659"/>
      <c r="F39" s="659">
        <v>0</v>
      </c>
      <c r="G39" s="659">
        <v>0</v>
      </c>
      <c r="I39" s="659"/>
      <c r="J39" s="659">
        <v>0</v>
      </c>
      <c r="K39" s="659">
        <v>0</v>
      </c>
      <c r="M39" s="659">
        <v>0</v>
      </c>
    </row>
    <row r="40" spans="1:13">
      <c r="A40" s="603">
        <v>30</v>
      </c>
      <c r="B40" s="588">
        <v>30</v>
      </c>
      <c r="C40" s="599" t="s">
        <v>3173</v>
      </c>
      <c r="E40" s="660"/>
      <c r="F40" s="660">
        <v>2039745000</v>
      </c>
      <c r="G40" s="660">
        <v>2039745000</v>
      </c>
      <c r="I40" s="660">
        <v>2039745000</v>
      </c>
      <c r="J40" s="660">
        <v>0</v>
      </c>
      <c r="K40" s="660">
        <v>2039745000</v>
      </c>
      <c r="M40" s="660">
        <v>0</v>
      </c>
    </row>
    <row r="41" spans="1:13">
      <c r="A41" s="603">
        <v>31</v>
      </c>
      <c r="B41" s="596">
        <v>31</v>
      </c>
      <c r="C41" s="597" t="s">
        <v>3176</v>
      </c>
      <c r="E41" s="659"/>
      <c r="F41" s="659">
        <v>0</v>
      </c>
      <c r="G41" s="659">
        <v>0</v>
      </c>
      <c r="I41" s="659"/>
      <c r="J41" s="659">
        <v>0</v>
      </c>
      <c r="K41" s="659">
        <v>0</v>
      </c>
      <c r="M41" s="659">
        <v>0</v>
      </c>
    </row>
    <row r="42" spans="1:13">
      <c r="A42" s="603">
        <v>32</v>
      </c>
      <c r="B42" s="588">
        <v>32</v>
      </c>
      <c r="C42" s="599" t="s">
        <v>3178</v>
      </c>
      <c r="E42" s="660">
        <v>69379868</v>
      </c>
      <c r="F42" s="660">
        <v>0</v>
      </c>
      <c r="G42" s="660">
        <v>69379868</v>
      </c>
      <c r="I42" s="660">
        <v>69379868</v>
      </c>
      <c r="J42" s="660">
        <v>0</v>
      </c>
      <c r="K42" s="660">
        <v>69379868</v>
      </c>
      <c r="M42" s="660">
        <v>0</v>
      </c>
    </row>
    <row r="43" spans="1:13">
      <c r="A43" s="603">
        <v>33</v>
      </c>
      <c r="B43" s="596">
        <v>33</v>
      </c>
      <c r="C43" s="597" t="s">
        <v>3181</v>
      </c>
      <c r="E43" s="659"/>
      <c r="F43" s="659">
        <v>0</v>
      </c>
      <c r="G43" s="659">
        <v>0</v>
      </c>
      <c r="I43" s="659"/>
      <c r="J43" s="659">
        <v>0</v>
      </c>
      <c r="K43" s="659">
        <v>0</v>
      </c>
      <c r="M43" s="659">
        <v>0</v>
      </c>
    </row>
    <row r="44" spans="1:13">
      <c r="A44" s="603">
        <v>34</v>
      </c>
      <c r="B44" s="588">
        <v>34</v>
      </c>
      <c r="C44" s="599" t="s">
        <v>3184</v>
      </c>
      <c r="E44" s="660">
        <v>81239540</v>
      </c>
      <c r="F44" s="660">
        <v>-77844689</v>
      </c>
      <c r="G44" s="660">
        <v>3394851</v>
      </c>
      <c r="I44" s="660">
        <v>3638271</v>
      </c>
      <c r="J44" s="660">
        <v>0</v>
      </c>
      <c r="K44" s="660">
        <v>3638271</v>
      </c>
      <c r="M44" s="660">
        <v>-243420</v>
      </c>
    </row>
    <row r="45" spans="1:13">
      <c r="A45" s="603">
        <v>35</v>
      </c>
      <c r="B45" s="596">
        <v>35</v>
      </c>
      <c r="C45" s="597" t="s">
        <v>3186</v>
      </c>
      <c r="E45" s="659"/>
      <c r="F45" s="659">
        <v>0</v>
      </c>
      <c r="G45" s="659">
        <v>0</v>
      </c>
      <c r="I45" s="659"/>
      <c r="J45" s="659">
        <v>0</v>
      </c>
      <c r="K45" s="659">
        <v>0</v>
      </c>
      <c r="M45" s="659">
        <v>0</v>
      </c>
    </row>
    <row r="46" spans="1:13">
      <c r="A46" s="603">
        <v>36</v>
      </c>
      <c r="B46" s="588">
        <v>36</v>
      </c>
      <c r="C46" s="599" t="s">
        <v>3189</v>
      </c>
      <c r="E46" s="660"/>
      <c r="F46" s="660">
        <v>0</v>
      </c>
      <c r="G46" s="660">
        <v>0</v>
      </c>
      <c r="I46" s="660"/>
      <c r="J46" s="660">
        <v>0</v>
      </c>
      <c r="K46" s="660">
        <v>0</v>
      </c>
      <c r="M46" s="660">
        <v>0</v>
      </c>
    </row>
    <row r="47" spans="1:13">
      <c r="A47" s="603">
        <v>37</v>
      </c>
      <c r="B47" s="596">
        <v>37</v>
      </c>
      <c r="C47" s="597" t="s">
        <v>3277</v>
      </c>
      <c r="E47" s="659"/>
      <c r="F47" s="659">
        <v>0</v>
      </c>
      <c r="G47" s="659">
        <v>0</v>
      </c>
      <c r="I47" s="659"/>
      <c r="J47" s="659">
        <v>0</v>
      </c>
      <c r="K47" s="659">
        <v>0</v>
      </c>
      <c r="M47" s="659">
        <v>0</v>
      </c>
    </row>
    <row r="48" spans="1:13">
      <c r="A48" s="603">
        <v>38</v>
      </c>
      <c r="B48" s="588">
        <v>38</v>
      </c>
      <c r="C48" s="599" t="s">
        <v>3278</v>
      </c>
      <c r="E48" s="660"/>
      <c r="F48" s="660">
        <v>0</v>
      </c>
      <c r="G48" s="660">
        <v>0</v>
      </c>
      <c r="I48" s="660"/>
      <c r="J48" s="660">
        <v>0</v>
      </c>
      <c r="K48" s="660">
        <v>0</v>
      </c>
      <c r="M48" s="660">
        <v>0</v>
      </c>
    </row>
    <row r="49" spans="1:13">
      <c r="A49" s="603">
        <v>39</v>
      </c>
      <c r="B49" s="596">
        <v>39</v>
      </c>
      <c r="C49" s="597" t="s">
        <v>3195</v>
      </c>
      <c r="E49" s="659">
        <v>41526790</v>
      </c>
      <c r="F49" s="659">
        <v>0</v>
      </c>
      <c r="G49" s="659">
        <v>41526790</v>
      </c>
      <c r="I49" s="659">
        <v>27903930</v>
      </c>
      <c r="J49" s="659">
        <v>2285715</v>
      </c>
      <c r="K49" s="659">
        <v>30189645</v>
      </c>
      <c r="M49" s="659">
        <v>11337145</v>
      </c>
    </row>
    <row r="50" spans="1:13">
      <c r="A50" s="603">
        <v>40</v>
      </c>
      <c r="B50" s="588">
        <v>40</v>
      </c>
      <c r="C50" s="599" t="s">
        <v>3198</v>
      </c>
      <c r="E50" s="660"/>
      <c r="F50" s="660">
        <v>0</v>
      </c>
      <c r="G50" s="660">
        <v>0</v>
      </c>
      <c r="I50" s="660"/>
      <c r="J50" s="660">
        <v>0</v>
      </c>
      <c r="K50" s="660">
        <v>0</v>
      </c>
      <c r="M50" s="660">
        <v>0</v>
      </c>
    </row>
    <row r="51" spans="1:13">
      <c r="A51" s="603">
        <v>41</v>
      </c>
      <c r="B51" s="596">
        <v>41</v>
      </c>
      <c r="C51" s="597" t="s">
        <v>3279</v>
      </c>
      <c r="E51" s="659"/>
      <c r="F51" s="659">
        <v>0</v>
      </c>
      <c r="G51" s="659">
        <v>0</v>
      </c>
      <c r="I51" s="659"/>
      <c r="J51" s="659">
        <v>0</v>
      </c>
      <c r="K51" s="659">
        <v>0</v>
      </c>
      <c r="M51" s="659">
        <v>0</v>
      </c>
    </row>
    <row r="52" spans="1:13">
      <c r="A52" s="603"/>
      <c r="B52" s="588">
        <v>42</v>
      </c>
      <c r="C52" s="599" t="s">
        <v>3280</v>
      </c>
      <c r="E52" s="660"/>
      <c r="F52" s="660">
        <v>0</v>
      </c>
      <c r="G52" s="660">
        <v>0</v>
      </c>
      <c r="I52" s="660"/>
      <c r="J52" s="660">
        <v>0</v>
      </c>
      <c r="K52" s="660">
        <v>0</v>
      </c>
      <c r="M52" s="660">
        <v>0</v>
      </c>
    </row>
    <row r="53" spans="1:13">
      <c r="A53" s="603">
        <v>0</v>
      </c>
      <c r="B53" s="601"/>
      <c r="C53" s="602" t="s">
        <v>3281</v>
      </c>
      <c r="E53" s="658">
        <v>0</v>
      </c>
      <c r="F53" s="658">
        <v>1067393636</v>
      </c>
      <c r="G53" s="658">
        <v>1067393636</v>
      </c>
      <c r="I53" s="658">
        <v>1067393636</v>
      </c>
      <c r="J53" s="658">
        <v>0</v>
      </c>
      <c r="K53" s="658">
        <v>1067393636</v>
      </c>
      <c r="M53" s="658">
        <v>0</v>
      </c>
    </row>
    <row r="54" spans="1:13">
      <c r="A54" s="603">
        <v>43</v>
      </c>
      <c r="B54" s="596">
        <v>43</v>
      </c>
      <c r="C54" s="597" t="s">
        <v>3282</v>
      </c>
      <c r="E54" s="659"/>
      <c r="F54" s="659">
        <v>599546347</v>
      </c>
      <c r="G54" s="659">
        <v>599546347</v>
      </c>
      <c r="I54" s="659">
        <v>599546347</v>
      </c>
      <c r="J54" s="659">
        <v>0</v>
      </c>
      <c r="K54" s="659">
        <v>599546347</v>
      </c>
      <c r="M54" s="659">
        <v>0</v>
      </c>
    </row>
    <row r="55" spans="1:13">
      <c r="A55" s="603">
        <v>44</v>
      </c>
      <c r="B55" s="588">
        <v>44</v>
      </c>
      <c r="C55" s="599" t="s">
        <v>3283</v>
      </c>
      <c r="E55" s="660"/>
      <c r="F55" s="660">
        <v>24504537</v>
      </c>
      <c r="G55" s="660">
        <v>24504537</v>
      </c>
      <c r="I55" s="660">
        <v>24504537</v>
      </c>
      <c r="J55" s="660">
        <v>0</v>
      </c>
      <c r="K55" s="660">
        <v>24504537</v>
      </c>
      <c r="M55" s="660">
        <v>0</v>
      </c>
    </row>
    <row r="56" spans="1:13">
      <c r="A56" s="603"/>
      <c r="B56" s="596">
        <v>45</v>
      </c>
      <c r="C56" s="597" t="s">
        <v>3284</v>
      </c>
      <c r="E56" s="659"/>
      <c r="F56" s="659">
        <v>30630672</v>
      </c>
      <c r="G56" s="659">
        <v>30630672</v>
      </c>
      <c r="I56" s="659">
        <v>30630672</v>
      </c>
      <c r="J56" s="659">
        <v>0</v>
      </c>
      <c r="K56" s="659">
        <v>30630672</v>
      </c>
      <c r="M56" s="659">
        <v>0</v>
      </c>
    </row>
    <row r="57" spans="1:13">
      <c r="A57" s="603"/>
      <c r="B57" s="588">
        <v>46</v>
      </c>
      <c r="C57" s="599" t="s">
        <v>3285</v>
      </c>
      <c r="E57" s="660"/>
      <c r="F57" s="660">
        <v>240063080</v>
      </c>
      <c r="G57" s="660">
        <v>240063080</v>
      </c>
      <c r="I57" s="660">
        <v>240063080</v>
      </c>
      <c r="J57" s="660">
        <v>0</v>
      </c>
      <c r="K57" s="660">
        <v>240063080</v>
      </c>
      <c r="M57" s="660">
        <v>0</v>
      </c>
    </row>
    <row r="58" spans="1:13">
      <c r="A58" s="603"/>
      <c r="B58" s="596">
        <v>47</v>
      </c>
      <c r="C58" s="597" t="s">
        <v>3286</v>
      </c>
      <c r="E58" s="659"/>
      <c r="F58" s="659">
        <v>15315333</v>
      </c>
      <c r="G58" s="659">
        <v>15315333</v>
      </c>
      <c r="I58" s="659">
        <v>15315333</v>
      </c>
      <c r="J58" s="659">
        <v>0</v>
      </c>
      <c r="K58" s="659">
        <v>15315333</v>
      </c>
      <c r="M58" s="659">
        <v>0</v>
      </c>
    </row>
    <row r="59" spans="1:13">
      <c r="A59" s="603"/>
      <c r="B59" s="588">
        <v>48</v>
      </c>
      <c r="C59" s="599" t="s">
        <v>3287</v>
      </c>
      <c r="E59" s="660"/>
      <c r="F59" s="660">
        <v>2167662</v>
      </c>
      <c r="G59" s="660">
        <v>2167662</v>
      </c>
      <c r="I59" s="660">
        <v>2167662</v>
      </c>
      <c r="J59" s="660">
        <v>0</v>
      </c>
      <c r="K59" s="660">
        <v>2167662</v>
      </c>
      <c r="M59" s="660">
        <v>0</v>
      </c>
    </row>
    <row r="60" spans="1:13">
      <c r="A60" s="603"/>
      <c r="B60" s="596">
        <v>49</v>
      </c>
      <c r="C60" s="597" t="s">
        <v>3288</v>
      </c>
      <c r="E60" s="659"/>
      <c r="F60" s="659">
        <v>54323000</v>
      </c>
      <c r="G60" s="659">
        <v>54323000</v>
      </c>
      <c r="I60" s="659">
        <v>54323000</v>
      </c>
      <c r="J60" s="659">
        <v>0</v>
      </c>
      <c r="K60" s="659">
        <v>54323000</v>
      </c>
      <c r="M60" s="659">
        <v>0</v>
      </c>
    </row>
    <row r="61" spans="1:13">
      <c r="A61" s="603"/>
      <c r="B61" s="588">
        <v>50</v>
      </c>
      <c r="C61" s="599" t="s">
        <v>3289</v>
      </c>
      <c r="E61" s="660"/>
      <c r="F61" s="660">
        <v>4531500</v>
      </c>
      <c r="G61" s="660">
        <v>4531500</v>
      </c>
      <c r="I61" s="660">
        <v>4531500</v>
      </c>
      <c r="J61" s="660">
        <v>0</v>
      </c>
      <c r="K61" s="660">
        <v>4531500</v>
      </c>
      <c r="M61" s="660">
        <v>0</v>
      </c>
    </row>
    <row r="62" spans="1:13">
      <c r="A62" s="603"/>
      <c r="B62" s="596">
        <v>51</v>
      </c>
      <c r="C62" s="597" t="s">
        <v>3218</v>
      </c>
      <c r="E62" s="659"/>
      <c r="F62" s="659">
        <v>96311505</v>
      </c>
      <c r="G62" s="659">
        <v>96311505</v>
      </c>
      <c r="I62" s="659">
        <v>96311505</v>
      </c>
      <c r="J62" s="659">
        <v>0</v>
      </c>
      <c r="K62" s="659">
        <v>96311505</v>
      </c>
      <c r="M62" s="659">
        <v>0</v>
      </c>
    </row>
    <row r="63" spans="1:13">
      <c r="A63" s="603">
        <v>0</v>
      </c>
      <c r="B63" s="601"/>
      <c r="C63" s="602" t="s">
        <v>3290</v>
      </c>
      <c r="E63" s="658">
        <v>0</v>
      </c>
      <c r="F63" s="658">
        <v>0</v>
      </c>
      <c r="G63" s="658">
        <v>0</v>
      </c>
      <c r="I63" s="658">
        <v>0</v>
      </c>
      <c r="J63" s="658">
        <v>0</v>
      </c>
      <c r="K63" s="658">
        <v>0</v>
      </c>
      <c r="M63" s="658">
        <v>0</v>
      </c>
    </row>
    <row r="64" spans="1:13">
      <c r="A64" s="603">
        <v>52</v>
      </c>
      <c r="B64" s="588">
        <v>52</v>
      </c>
      <c r="C64" s="599" t="s">
        <v>3222</v>
      </c>
      <c r="E64" s="660"/>
      <c r="F64" s="660">
        <v>0</v>
      </c>
      <c r="G64" s="660">
        <v>0</v>
      </c>
      <c r="I64" s="660"/>
      <c r="J64" s="660">
        <v>0</v>
      </c>
      <c r="K64" s="660">
        <v>0</v>
      </c>
      <c r="M64" s="660">
        <v>0</v>
      </c>
    </row>
    <row r="65" spans="1:13">
      <c r="A65" s="603">
        <v>53</v>
      </c>
      <c r="B65" s="596">
        <v>53</v>
      </c>
      <c r="C65" s="597" t="s">
        <v>3225</v>
      </c>
      <c r="E65" s="659"/>
      <c r="F65" s="659">
        <v>0</v>
      </c>
      <c r="G65" s="659">
        <v>0</v>
      </c>
      <c r="I65" s="659"/>
      <c r="J65" s="659">
        <v>0</v>
      </c>
      <c r="K65" s="659">
        <v>0</v>
      </c>
      <c r="M65" s="659">
        <v>0</v>
      </c>
    </row>
    <row r="66" spans="1:13">
      <c r="A66" s="603">
        <v>54</v>
      </c>
      <c r="B66" s="588">
        <v>54</v>
      </c>
      <c r="C66" s="599" t="s">
        <v>3291</v>
      </c>
      <c r="E66" s="660"/>
      <c r="F66" s="660">
        <v>0</v>
      </c>
      <c r="G66" s="660">
        <v>0</v>
      </c>
      <c r="I66" s="660"/>
      <c r="J66" s="660">
        <v>0</v>
      </c>
      <c r="K66" s="660">
        <v>0</v>
      </c>
      <c r="M66" s="660">
        <v>0</v>
      </c>
    </row>
    <row r="67" spans="1:13">
      <c r="A67" s="603"/>
      <c r="B67" s="601"/>
      <c r="C67" s="602" t="s">
        <v>3292</v>
      </c>
      <c r="E67" s="658">
        <v>0</v>
      </c>
      <c r="F67" s="658">
        <v>0</v>
      </c>
      <c r="G67" s="658">
        <v>0</v>
      </c>
      <c r="I67" s="658">
        <v>0</v>
      </c>
      <c r="J67" s="658">
        <v>0</v>
      </c>
      <c r="K67" s="658">
        <v>0</v>
      </c>
      <c r="M67" s="658">
        <v>0</v>
      </c>
    </row>
    <row r="68" spans="1:13">
      <c r="A68" s="603"/>
      <c r="B68" s="596">
        <v>55</v>
      </c>
      <c r="C68" s="597" t="s">
        <v>3231</v>
      </c>
      <c r="E68" s="659"/>
      <c r="F68" s="659">
        <v>0</v>
      </c>
      <c r="G68" s="659">
        <v>0</v>
      </c>
      <c r="I68" s="659"/>
      <c r="J68" s="659">
        <v>0</v>
      </c>
      <c r="K68" s="659">
        <v>0</v>
      </c>
      <c r="M68" s="659">
        <v>0</v>
      </c>
    </row>
    <row r="69" spans="1:13">
      <c r="A69" s="603"/>
      <c r="B69" s="588">
        <v>56</v>
      </c>
      <c r="C69" s="599" t="s">
        <v>3293</v>
      </c>
      <c r="E69" s="660"/>
      <c r="F69" s="660">
        <v>0</v>
      </c>
      <c r="G69" s="660">
        <v>0</v>
      </c>
      <c r="I69" s="660"/>
      <c r="J69" s="660">
        <v>0</v>
      </c>
      <c r="K69" s="660">
        <v>0</v>
      </c>
      <c r="M69" s="660">
        <v>0</v>
      </c>
    </row>
    <row r="70" spans="1:13">
      <c r="A70" s="603">
        <v>0</v>
      </c>
      <c r="B70" s="601"/>
      <c r="C70" s="602" t="s">
        <v>340</v>
      </c>
      <c r="E70" s="658">
        <v>36418595</v>
      </c>
      <c r="F70" s="658">
        <v>0</v>
      </c>
      <c r="G70" s="658">
        <v>36418595</v>
      </c>
      <c r="I70" s="658">
        <v>34102117</v>
      </c>
      <c r="J70" s="658">
        <v>2316839</v>
      </c>
      <c r="K70" s="658">
        <v>36418956</v>
      </c>
      <c r="M70" s="658">
        <v>-361</v>
      </c>
    </row>
    <row r="71" spans="1:13">
      <c r="A71" s="603">
        <v>57</v>
      </c>
      <c r="B71" s="596">
        <v>57</v>
      </c>
      <c r="C71" s="597" t="s">
        <v>3294</v>
      </c>
      <c r="E71" s="659">
        <v>36418595</v>
      </c>
      <c r="F71" s="659">
        <v>0</v>
      </c>
      <c r="G71" s="659">
        <v>36418595</v>
      </c>
      <c r="I71" s="659">
        <v>34102117</v>
      </c>
      <c r="J71" s="659">
        <v>2316839</v>
      </c>
      <c r="K71" s="659">
        <v>36418956</v>
      </c>
      <c r="M71" s="659">
        <v>-361</v>
      </c>
    </row>
    <row r="72" spans="1:13">
      <c r="A72" s="603">
        <v>0</v>
      </c>
      <c r="B72" s="601"/>
      <c r="C72" s="602" t="s">
        <v>3295</v>
      </c>
      <c r="E72" s="658">
        <v>119119787</v>
      </c>
      <c r="F72" s="658">
        <v>0</v>
      </c>
      <c r="G72" s="658">
        <v>119119787</v>
      </c>
      <c r="I72" s="658">
        <v>109041460</v>
      </c>
      <c r="J72" s="658">
        <v>10078326</v>
      </c>
      <c r="K72" s="658">
        <v>119119786</v>
      </c>
      <c r="M72" s="658">
        <v>1</v>
      </c>
    </row>
    <row r="73" spans="1:13">
      <c r="A73" s="603">
        <v>58</v>
      </c>
      <c r="B73" s="588">
        <v>58</v>
      </c>
      <c r="C73" s="599" t="s">
        <v>3296</v>
      </c>
      <c r="E73" s="660">
        <v>119119787</v>
      </c>
      <c r="F73" s="660">
        <v>0</v>
      </c>
      <c r="G73" s="660">
        <v>119119787</v>
      </c>
      <c r="I73" s="660">
        <v>109041460</v>
      </c>
      <c r="J73" s="660">
        <v>10078326</v>
      </c>
      <c r="K73" s="660">
        <v>119119786</v>
      </c>
      <c r="M73" s="660">
        <v>1</v>
      </c>
    </row>
    <row r="74" spans="1:13">
      <c r="A74" s="603"/>
      <c r="B74" s="601"/>
      <c r="C74" s="602" t="s">
        <v>3297</v>
      </c>
      <c r="E74" s="658">
        <v>0</v>
      </c>
      <c r="F74" s="658">
        <v>0</v>
      </c>
      <c r="G74" s="658">
        <v>0</v>
      </c>
      <c r="I74" s="658">
        <v>0</v>
      </c>
      <c r="J74" s="658">
        <v>0</v>
      </c>
      <c r="K74" s="658">
        <v>0</v>
      </c>
      <c r="M74" s="658">
        <v>0</v>
      </c>
    </row>
    <row r="75" spans="1:13">
      <c r="A75" s="603"/>
      <c r="B75" s="588">
        <v>59</v>
      </c>
      <c r="C75" s="599" t="s">
        <v>3298</v>
      </c>
      <c r="E75" s="660"/>
      <c r="F75" s="660">
        <v>0</v>
      </c>
      <c r="G75" s="660">
        <v>0</v>
      </c>
      <c r="I75" s="660"/>
      <c r="J75" s="660">
        <v>0</v>
      </c>
      <c r="K75" s="660">
        <v>0</v>
      </c>
      <c r="M75" s="660"/>
    </row>
    <row r="76" spans="1:13">
      <c r="A76" s="603"/>
      <c r="B76" s="601"/>
      <c r="C76" s="602" t="s">
        <v>3299</v>
      </c>
      <c r="E76" s="658">
        <v>0</v>
      </c>
      <c r="F76" s="658">
        <v>0</v>
      </c>
      <c r="G76" s="658">
        <v>0</v>
      </c>
      <c r="I76" s="658">
        <v>0</v>
      </c>
      <c r="J76" s="658">
        <v>0</v>
      </c>
      <c r="K76" s="658">
        <v>0</v>
      </c>
      <c r="M76" s="658">
        <v>0</v>
      </c>
    </row>
    <row r="77" spans="1:13">
      <c r="A77" s="603"/>
      <c r="B77" s="588">
        <v>60</v>
      </c>
      <c r="C77" s="599" t="s">
        <v>3300</v>
      </c>
      <c r="E77" s="660"/>
      <c r="F77" s="660">
        <v>0</v>
      </c>
      <c r="G77" s="660">
        <v>0</v>
      </c>
      <c r="I77" s="660"/>
      <c r="J77" s="660">
        <v>0</v>
      </c>
      <c r="K77" s="660">
        <v>0</v>
      </c>
      <c r="M77" s="660"/>
    </row>
    <row r="78" spans="1:13">
      <c r="A78" s="603"/>
      <c r="B78" s="601"/>
      <c r="C78" s="602" t="s">
        <v>3301</v>
      </c>
      <c r="E78" s="658">
        <v>0</v>
      </c>
      <c r="F78" s="658">
        <v>0</v>
      </c>
      <c r="G78" s="658">
        <v>0</v>
      </c>
      <c r="I78" s="658">
        <v>1574467</v>
      </c>
      <c r="J78" s="658">
        <v>0</v>
      </c>
      <c r="K78" s="658">
        <v>1574467</v>
      </c>
      <c r="M78" s="658">
        <v>-1574467</v>
      </c>
    </row>
    <row r="79" spans="1:13">
      <c r="A79" s="603"/>
      <c r="B79" s="596">
        <v>61</v>
      </c>
      <c r="C79" s="597" t="s">
        <v>3302</v>
      </c>
      <c r="E79" s="659"/>
      <c r="F79" s="659"/>
      <c r="G79" s="659"/>
      <c r="I79" s="659"/>
      <c r="J79" s="659"/>
      <c r="K79" s="659"/>
      <c r="M79" s="659"/>
    </row>
  </sheetData>
  <mergeCells count="5">
    <mergeCell ref="B3:B4"/>
    <mergeCell ref="C3:C4"/>
    <mergeCell ref="E3:G3"/>
    <mergeCell ref="I3:K3"/>
    <mergeCell ref="M3:M4"/>
  </mergeCells>
  <hyperlinks>
    <hyperlink ref="A1" location="Sommaire!A1" display="Sommaire!A1" xr:uid="{00000000-0004-0000-1500-000000000000}"/>
  </hyperlinks>
  <pageMargins left="0.7" right="0.7" top="0.75" bottom="0.75" header="0.3" footer="0.3"/>
  <pageSetup paperSize="9"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M79"/>
  <sheetViews>
    <sheetView showGridLines="0" zoomScaleNormal="100" workbookViewId="0">
      <selection activeCell="B1" sqref="B1"/>
    </sheetView>
  </sheetViews>
  <sheetFormatPr baseColWidth="10" defaultColWidth="11.33203125" defaultRowHeight="12"/>
  <cols>
    <col min="1" max="1" width="10.1640625" style="588" bestFit="1" customWidth="1"/>
    <col min="2" max="2" width="19" style="588" bestFit="1" customWidth="1"/>
    <col min="3" max="3" width="54.5" style="605" bestFit="1" customWidth="1"/>
    <col min="4" max="4" width="0.6640625" style="590" customWidth="1"/>
    <col min="5" max="5" width="5.5" style="590" bestFit="1" customWidth="1"/>
    <col min="6" max="6" width="10.1640625" style="588" bestFit="1" customWidth="1"/>
    <col min="7" max="7" width="5.5" style="590" bestFit="1" customWidth="1"/>
    <col min="8" max="8" width="0.6640625" style="590" customWidth="1"/>
    <col min="9" max="9" width="9.5" style="590" bestFit="1" customWidth="1"/>
    <col min="10" max="10" width="10.1640625" style="590" bestFit="1" customWidth="1"/>
    <col min="11" max="11" width="9.5" style="590" bestFit="1" customWidth="1"/>
    <col min="12" max="12" width="0.6640625" style="590" customWidth="1"/>
    <col min="13" max="13" width="13.83203125" style="590" bestFit="1" customWidth="1"/>
    <col min="14" max="16384" width="11.33203125" style="590"/>
  </cols>
  <sheetData>
    <row r="1" spans="1:13" ht="24">
      <c r="A1" s="661" t="s">
        <v>140</v>
      </c>
      <c r="C1" s="589" t="s">
        <v>3249</v>
      </c>
      <c r="E1" s="591" t="s">
        <v>223</v>
      </c>
      <c r="F1" s="591">
        <v>2444686</v>
      </c>
      <c r="G1" s="592"/>
      <c r="J1" s="592" t="s">
        <v>3251</v>
      </c>
      <c r="K1" s="592">
        <v>2023</v>
      </c>
    </row>
    <row r="2" spans="1:13">
      <c r="C2" s="593"/>
      <c r="F2" s="590"/>
      <c r="I2" s="590" t="s">
        <v>3252</v>
      </c>
      <c r="J2" s="594">
        <v>604.32574999999997</v>
      </c>
    </row>
    <row r="3" spans="1:13">
      <c r="B3" s="753" t="s">
        <v>143</v>
      </c>
      <c r="C3" s="754" t="s">
        <v>3253</v>
      </c>
      <c r="E3" s="755" t="s">
        <v>2084</v>
      </c>
      <c r="F3" s="755"/>
      <c r="G3" s="755"/>
      <c r="I3" s="755" t="s">
        <v>3254</v>
      </c>
      <c r="J3" s="755"/>
      <c r="K3" s="755"/>
      <c r="M3" s="756" t="s">
        <v>3255</v>
      </c>
    </row>
    <row r="4" spans="1:13">
      <c r="B4" s="753"/>
      <c r="C4" s="754"/>
      <c r="E4" s="595" t="s">
        <v>3256</v>
      </c>
      <c r="F4" s="595" t="s">
        <v>3257</v>
      </c>
      <c r="G4" s="595" t="s">
        <v>3258</v>
      </c>
      <c r="I4" s="595" t="s">
        <v>3256</v>
      </c>
      <c r="J4" s="595" t="s">
        <v>3257</v>
      </c>
      <c r="K4" s="595" t="s">
        <v>3258</v>
      </c>
      <c r="M4" s="756"/>
    </row>
    <row r="5" spans="1:13">
      <c r="B5" s="655" t="s">
        <v>3092</v>
      </c>
      <c r="C5" s="656"/>
      <c r="E5" s="657">
        <v>0</v>
      </c>
      <c r="F5" s="657">
        <v>0</v>
      </c>
      <c r="G5" s="657">
        <v>0</v>
      </c>
      <c r="I5" s="657">
        <v>0</v>
      </c>
      <c r="J5" s="657">
        <v>0</v>
      </c>
      <c r="K5" s="657">
        <v>0</v>
      </c>
      <c r="M5" s="657">
        <v>0</v>
      </c>
    </row>
    <row r="6" spans="1:13">
      <c r="B6" s="596">
        <v>1</v>
      </c>
      <c r="C6" s="597" t="s">
        <v>3259</v>
      </c>
      <c r="E6" s="598"/>
      <c r="F6" s="598">
        <v>0</v>
      </c>
      <c r="G6" s="598">
        <v>0</v>
      </c>
      <c r="I6" s="598"/>
      <c r="J6" s="598">
        <v>0</v>
      </c>
      <c r="K6" s="598">
        <v>0</v>
      </c>
      <c r="M6" s="598">
        <v>0</v>
      </c>
    </row>
    <row r="7" spans="1:13">
      <c r="B7" s="588">
        <v>2</v>
      </c>
      <c r="C7" s="599" t="s">
        <v>3260</v>
      </c>
      <c r="E7" s="600"/>
      <c r="F7" s="600">
        <v>0</v>
      </c>
      <c r="G7" s="600">
        <v>0</v>
      </c>
      <c r="I7" s="600"/>
      <c r="J7" s="600">
        <v>0</v>
      </c>
      <c r="K7" s="600">
        <v>0</v>
      </c>
      <c r="M7" s="600">
        <v>0</v>
      </c>
    </row>
    <row r="8" spans="1:13">
      <c r="B8" s="655" t="s">
        <v>3101</v>
      </c>
      <c r="C8" s="656"/>
      <c r="E8" s="657">
        <v>0</v>
      </c>
      <c r="F8" s="657">
        <v>0</v>
      </c>
      <c r="G8" s="657">
        <v>0</v>
      </c>
      <c r="I8" s="657">
        <v>1070319</v>
      </c>
      <c r="J8" s="657">
        <v>0</v>
      </c>
      <c r="K8" s="657">
        <v>1070319</v>
      </c>
      <c r="M8" s="657">
        <v>-1070319</v>
      </c>
    </row>
    <row r="9" spans="1:13">
      <c r="B9" s="601"/>
      <c r="C9" s="602" t="s">
        <v>1244</v>
      </c>
      <c r="E9" s="658">
        <v>0</v>
      </c>
      <c r="F9" s="658">
        <v>0</v>
      </c>
      <c r="G9" s="658">
        <v>0</v>
      </c>
      <c r="I9" s="658">
        <v>0</v>
      </c>
      <c r="J9" s="658">
        <v>0</v>
      </c>
      <c r="K9" s="658">
        <v>0</v>
      </c>
      <c r="M9" s="658">
        <v>0</v>
      </c>
    </row>
    <row r="10" spans="1:13">
      <c r="A10" s="603">
        <v>3</v>
      </c>
      <c r="B10" s="596">
        <v>3</v>
      </c>
      <c r="C10" s="597" t="s">
        <v>3261</v>
      </c>
      <c r="E10" s="659"/>
      <c r="F10" s="659">
        <v>0</v>
      </c>
      <c r="G10" s="659">
        <v>0</v>
      </c>
      <c r="I10" s="659"/>
      <c r="J10" s="659">
        <v>0</v>
      </c>
      <c r="K10" s="659">
        <v>0</v>
      </c>
      <c r="M10" s="659">
        <v>0</v>
      </c>
    </row>
    <row r="11" spans="1:13">
      <c r="A11" s="603">
        <v>4</v>
      </c>
      <c r="B11" s="588">
        <v>4</v>
      </c>
      <c r="C11" s="599" t="s">
        <v>3106</v>
      </c>
      <c r="E11" s="660"/>
      <c r="F11" s="660">
        <v>0</v>
      </c>
      <c r="G11" s="660">
        <v>0</v>
      </c>
      <c r="I11" s="660"/>
      <c r="J11" s="660">
        <v>0</v>
      </c>
      <c r="K11" s="660">
        <v>0</v>
      </c>
      <c r="M11" s="660">
        <v>0</v>
      </c>
    </row>
    <row r="12" spans="1:13">
      <c r="A12" s="603">
        <v>5</v>
      </c>
      <c r="B12" s="596">
        <v>5</v>
      </c>
      <c r="C12" s="597" t="s">
        <v>3262</v>
      </c>
      <c r="E12" s="659"/>
      <c r="F12" s="659">
        <v>0</v>
      </c>
      <c r="G12" s="659">
        <v>0</v>
      </c>
      <c r="I12" s="659"/>
      <c r="J12" s="659">
        <v>0</v>
      </c>
      <c r="K12" s="659">
        <v>0</v>
      </c>
      <c r="M12" s="659">
        <v>0</v>
      </c>
    </row>
    <row r="13" spans="1:13">
      <c r="A13" s="603">
        <v>6</v>
      </c>
      <c r="B13" s="588">
        <v>6</v>
      </c>
      <c r="C13" s="599" t="s">
        <v>3263</v>
      </c>
      <c r="E13" s="660"/>
      <c r="F13" s="660">
        <v>0</v>
      </c>
      <c r="G13" s="660">
        <v>0</v>
      </c>
      <c r="I13" s="660"/>
      <c r="J13" s="660">
        <v>0</v>
      </c>
      <c r="K13" s="660">
        <v>0</v>
      </c>
      <c r="M13" s="660">
        <v>0</v>
      </c>
    </row>
    <row r="14" spans="1:13">
      <c r="A14" s="603">
        <v>7</v>
      </c>
      <c r="B14" s="596">
        <v>7</v>
      </c>
      <c r="C14" s="597" t="s">
        <v>3114</v>
      </c>
      <c r="E14" s="659"/>
      <c r="F14" s="659">
        <v>0</v>
      </c>
      <c r="G14" s="659">
        <v>0</v>
      </c>
      <c r="I14" s="659"/>
      <c r="J14" s="659">
        <v>0</v>
      </c>
      <c r="K14" s="659">
        <v>0</v>
      </c>
      <c r="M14" s="659">
        <v>0</v>
      </c>
    </row>
    <row r="15" spans="1:13">
      <c r="A15" s="603">
        <v>0</v>
      </c>
      <c r="B15" s="601"/>
      <c r="C15" s="602" t="s">
        <v>1253</v>
      </c>
      <c r="E15" s="658">
        <v>0</v>
      </c>
      <c r="F15" s="658">
        <v>0</v>
      </c>
      <c r="G15" s="658">
        <v>0</v>
      </c>
      <c r="I15" s="658">
        <v>0</v>
      </c>
      <c r="J15" s="658">
        <v>0</v>
      </c>
      <c r="K15" s="658">
        <v>0</v>
      </c>
      <c r="M15" s="658">
        <v>0</v>
      </c>
    </row>
    <row r="16" spans="1:13">
      <c r="A16" s="603">
        <v>8</v>
      </c>
      <c r="B16" s="588">
        <v>8</v>
      </c>
      <c r="C16" s="599" t="s">
        <v>3264</v>
      </c>
      <c r="E16" s="660"/>
      <c r="F16" s="660">
        <v>0</v>
      </c>
      <c r="G16" s="660">
        <v>0</v>
      </c>
      <c r="I16" s="660"/>
      <c r="J16" s="660">
        <v>0</v>
      </c>
      <c r="K16" s="660">
        <v>0</v>
      </c>
      <c r="M16" s="660">
        <v>0</v>
      </c>
    </row>
    <row r="17" spans="1:13">
      <c r="A17" s="603">
        <v>9</v>
      </c>
      <c r="B17" s="596">
        <v>9</v>
      </c>
      <c r="C17" s="597" t="s">
        <v>3265</v>
      </c>
      <c r="E17" s="659"/>
      <c r="F17" s="659">
        <v>0</v>
      </c>
      <c r="G17" s="659">
        <v>0</v>
      </c>
      <c r="I17" s="659"/>
      <c r="J17" s="659">
        <v>0</v>
      </c>
      <c r="K17" s="659">
        <v>0</v>
      </c>
      <c r="M17" s="659">
        <v>0</v>
      </c>
    </row>
    <row r="18" spans="1:13">
      <c r="A18" s="603"/>
      <c r="B18" s="588">
        <v>10</v>
      </c>
      <c r="C18" s="599" t="s">
        <v>3122</v>
      </c>
      <c r="E18" s="660"/>
      <c r="F18" s="660">
        <v>0</v>
      </c>
      <c r="G18" s="660">
        <v>0</v>
      </c>
      <c r="I18" s="660"/>
      <c r="J18" s="660">
        <v>0</v>
      </c>
      <c r="K18" s="660">
        <v>0</v>
      </c>
      <c r="M18" s="660">
        <v>0</v>
      </c>
    </row>
    <row r="19" spans="1:13">
      <c r="A19" s="603">
        <v>11</v>
      </c>
      <c r="B19" s="596">
        <v>11</v>
      </c>
      <c r="C19" s="597" t="s">
        <v>3124</v>
      </c>
      <c r="E19" s="659"/>
      <c r="F19" s="659">
        <v>0</v>
      </c>
      <c r="G19" s="659">
        <v>0</v>
      </c>
      <c r="I19" s="659"/>
      <c r="J19" s="659">
        <v>0</v>
      </c>
      <c r="K19" s="659">
        <v>0</v>
      </c>
      <c r="M19" s="659">
        <v>0</v>
      </c>
    </row>
    <row r="20" spans="1:13">
      <c r="A20" s="603">
        <v>12</v>
      </c>
      <c r="B20" s="588">
        <v>12</v>
      </c>
      <c r="C20" s="599" t="s">
        <v>3266</v>
      </c>
      <c r="E20" s="660"/>
      <c r="F20" s="660">
        <v>0</v>
      </c>
      <c r="G20" s="660">
        <v>0</v>
      </c>
      <c r="I20" s="660"/>
      <c r="J20" s="660">
        <v>0</v>
      </c>
      <c r="K20" s="660">
        <v>0</v>
      </c>
      <c r="M20" s="660">
        <v>0</v>
      </c>
    </row>
    <row r="21" spans="1:13">
      <c r="A21" s="603">
        <v>13</v>
      </c>
      <c r="B21" s="596">
        <v>13</v>
      </c>
      <c r="C21" s="597" t="s">
        <v>3267</v>
      </c>
      <c r="E21" s="659"/>
      <c r="F21" s="659">
        <v>0</v>
      </c>
      <c r="G21" s="659">
        <v>0</v>
      </c>
      <c r="I21" s="659"/>
      <c r="J21" s="659">
        <v>0</v>
      </c>
      <c r="K21" s="659">
        <v>0</v>
      </c>
      <c r="M21" s="659">
        <v>0</v>
      </c>
    </row>
    <row r="22" spans="1:13">
      <c r="A22" s="603">
        <v>14</v>
      </c>
      <c r="B22" s="588">
        <v>14</v>
      </c>
      <c r="C22" s="599" t="s">
        <v>3268</v>
      </c>
      <c r="E22" s="660"/>
      <c r="F22" s="660">
        <v>0</v>
      </c>
      <c r="G22" s="660">
        <v>0</v>
      </c>
      <c r="I22" s="660"/>
      <c r="J22" s="660">
        <v>0</v>
      </c>
      <c r="K22" s="660">
        <v>0</v>
      </c>
      <c r="M22" s="660">
        <v>0</v>
      </c>
    </row>
    <row r="23" spans="1:13">
      <c r="A23" s="603">
        <v>15</v>
      </c>
      <c r="B23" s="596">
        <v>15</v>
      </c>
      <c r="C23" s="597" t="s">
        <v>3133</v>
      </c>
      <c r="E23" s="659"/>
      <c r="F23" s="659">
        <v>0</v>
      </c>
      <c r="G23" s="659">
        <v>0</v>
      </c>
      <c r="I23" s="659"/>
      <c r="J23" s="659">
        <v>0</v>
      </c>
      <c r="K23" s="659">
        <v>0</v>
      </c>
      <c r="M23" s="659">
        <v>0</v>
      </c>
    </row>
    <row r="24" spans="1:13">
      <c r="A24" s="603">
        <v>16</v>
      </c>
      <c r="B24" s="588">
        <v>16</v>
      </c>
      <c r="C24" s="599" t="s">
        <v>3136</v>
      </c>
      <c r="E24" s="660"/>
      <c r="F24" s="660">
        <v>0</v>
      </c>
      <c r="G24" s="660">
        <v>0</v>
      </c>
      <c r="I24" s="660"/>
      <c r="J24" s="660">
        <v>0</v>
      </c>
      <c r="K24" s="660">
        <v>0</v>
      </c>
      <c r="M24" s="660">
        <v>0</v>
      </c>
    </row>
    <row r="25" spans="1:13">
      <c r="A25" s="603">
        <v>0</v>
      </c>
      <c r="B25" s="601"/>
      <c r="C25" s="602" t="s">
        <v>3269</v>
      </c>
      <c r="E25" s="658">
        <v>0</v>
      </c>
      <c r="F25" s="658">
        <v>0</v>
      </c>
      <c r="G25" s="658">
        <v>0</v>
      </c>
      <c r="I25" s="658">
        <v>0</v>
      </c>
      <c r="J25" s="658">
        <v>0</v>
      </c>
      <c r="K25" s="658">
        <v>0</v>
      </c>
      <c r="M25" s="658">
        <v>0</v>
      </c>
    </row>
    <row r="26" spans="1:13">
      <c r="A26" s="603">
        <v>17</v>
      </c>
      <c r="B26" s="596">
        <v>17</v>
      </c>
      <c r="C26" s="597" t="s">
        <v>3270</v>
      </c>
      <c r="E26" s="659"/>
      <c r="F26" s="659">
        <v>0</v>
      </c>
      <c r="G26" s="659">
        <v>0</v>
      </c>
      <c r="I26" s="659"/>
      <c r="J26" s="659">
        <v>0</v>
      </c>
      <c r="K26" s="659">
        <v>0</v>
      </c>
      <c r="M26" s="659">
        <v>0</v>
      </c>
    </row>
    <row r="27" spans="1:13">
      <c r="A27" s="603">
        <v>18</v>
      </c>
      <c r="B27" s="588">
        <v>18</v>
      </c>
      <c r="C27" s="599" t="s">
        <v>3141</v>
      </c>
      <c r="E27" s="660"/>
      <c r="F27" s="660">
        <v>0</v>
      </c>
      <c r="G27" s="660">
        <v>0</v>
      </c>
      <c r="I27" s="660"/>
      <c r="J27" s="660">
        <v>0</v>
      </c>
      <c r="K27" s="660">
        <v>0</v>
      </c>
      <c r="M27" s="660">
        <v>0</v>
      </c>
    </row>
    <row r="28" spans="1:13">
      <c r="A28" s="603">
        <v>19</v>
      </c>
      <c r="B28" s="596">
        <v>19</v>
      </c>
      <c r="C28" s="597" t="s">
        <v>3144</v>
      </c>
      <c r="E28" s="659"/>
      <c r="F28" s="659">
        <v>0</v>
      </c>
      <c r="G28" s="659">
        <v>0</v>
      </c>
      <c r="I28" s="659"/>
      <c r="J28" s="659">
        <v>0</v>
      </c>
      <c r="K28" s="659">
        <v>0</v>
      </c>
      <c r="M28" s="659">
        <v>0</v>
      </c>
    </row>
    <row r="29" spans="1:13">
      <c r="A29" s="603">
        <v>20</v>
      </c>
      <c r="B29" s="588">
        <v>20</v>
      </c>
      <c r="C29" s="599" t="s">
        <v>3147</v>
      </c>
      <c r="E29" s="660"/>
      <c r="F29" s="660">
        <v>0</v>
      </c>
      <c r="G29" s="660">
        <v>0</v>
      </c>
      <c r="I29" s="660"/>
      <c r="J29" s="660">
        <v>0</v>
      </c>
      <c r="K29" s="660">
        <v>0</v>
      </c>
      <c r="M29" s="660">
        <v>0</v>
      </c>
    </row>
    <row r="30" spans="1:13">
      <c r="A30" s="603">
        <v>21</v>
      </c>
      <c r="B30" s="596">
        <v>21</v>
      </c>
      <c r="C30" s="597" t="s">
        <v>3271</v>
      </c>
      <c r="E30" s="659"/>
      <c r="F30" s="659">
        <v>0</v>
      </c>
      <c r="G30" s="659">
        <v>0</v>
      </c>
      <c r="I30" s="659"/>
      <c r="J30" s="659">
        <v>0</v>
      </c>
      <c r="K30" s="659">
        <v>0</v>
      </c>
      <c r="M30" s="659">
        <v>0</v>
      </c>
    </row>
    <row r="31" spans="1:13">
      <c r="A31" s="603">
        <v>22</v>
      </c>
      <c r="B31" s="588">
        <v>22</v>
      </c>
      <c r="C31" s="599" t="s">
        <v>3272</v>
      </c>
      <c r="E31" s="660"/>
      <c r="F31" s="660">
        <v>0</v>
      </c>
      <c r="G31" s="660">
        <v>0</v>
      </c>
      <c r="I31" s="660"/>
      <c r="J31" s="660">
        <v>0</v>
      </c>
      <c r="K31" s="660">
        <v>0</v>
      </c>
      <c r="M31" s="660">
        <v>0</v>
      </c>
    </row>
    <row r="32" spans="1:13">
      <c r="A32" s="603">
        <v>23</v>
      </c>
      <c r="B32" s="596">
        <v>23</v>
      </c>
      <c r="C32" s="597" t="s">
        <v>3273</v>
      </c>
      <c r="E32" s="659"/>
      <c r="F32" s="659">
        <v>0</v>
      </c>
      <c r="G32" s="659">
        <v>0</v>
      </c>
      <c r="I32" s="659"/>
      <c r="J32" s="659">
        <v>0</v>
      </c>
      <c r="K32" s="659">
        <v>0</v>
      </c>
      <c r="M32" s="659">
        <v>0</v>
      </c>
    </row>
    <row r="33" spans="1:13">
      <c r="A33" s="603">
        <v>24</v>
      </c>
      <c r="B33" s="588">
        <v>24</v>
      </c>
      <c r="C33" s="599" t="s">
        <v>3158</v>
      </c>
      <c r="E33" s="660"/>
      <c r="F33" s="660">
        <v>0</v>
      </c>
      <c r="G33" s="660">
        <v>0</v>
      </c>
      <c r="I33" s="660"/>
      <c r="J33" s="660">
        <v>0</v>
      </c>
      <c r="K33" s="660">
        <v>0</v>
      </c>
      <c r="M33" s="660">
        <v>0</v>
      </c>
    </row>
    <row r="34" spans="1:13" s="604" customFormat="1">
      <c r="A34" s="603">
        <v>25</v>
      </c>
      <c r="B34" s="596">
        <v>25</v>
      </c>
      <c r="C34" s="597" t="s">
        <v>3274</v>
      </c>
      <c r="D34" s="590"/>
      <c r="E34" s="659"/>
      <c r="F34" s="659">
        <v>0</v>
      </c>
      <c r="G34" s="659">
        <v>0</v>
      </c>
      <c r="H34" s="590"/>
      <c r="I34" s="659"/>
      <c r="J34" s="659">
        <v>0</v>
      </c>
      <c r="K34" s="659">
        <v>0</v>
      </c>
      <c r="L34" s="590"/>
      <c r="M34" s="659">
        <v>0</v>
      </c>
    </row>
    <row r="35" spans="1:13">
      <c r="A35" s="603">
        <v>26</v>
      </c>
      <c r="B35" s="588">
        <v>26</v>
      </c>
      <c r="C35" s="599" t="s">
        <v>3275</v>
      </c>
      <c r="E35" s="660"/>
      <c r="F35" s="660">
        <v>0</v>
      </c>
      <c r="G35" s="660">
        <v>0</v>
      </c>
      <c r="I35" s="660"/>
      <c r="J35" s="660">
        <v>0</v>
      </c>
      <c r="K35" s="660">
        <v>0</v>
      </c>
      <c r="M35" s="660">
        <v>0</v>
      </c>
    </row>
    <row r="36" spans="1:13">
      <c r="A36" s="603">
        <v>0</v>
      </c>
      <c r="B36" s="601"/>
      <c r="C36" s="602" t="s">
        <v>3276</v>
      </c>
      <c r="E36" s="658">
        <v>0</v>
      </c>
      <c r="F36" s="658">
        <v>0</v>
      </c>
      <c r="G36" s="658">
        <v>0</v>
      </c>
      <c r="I36" s="658">
        <v>0</v>
      </c>
      <c r="J36" s="658">
        <v>0</v>
      </c>
      <c r="K36" s="658">
        <v>0</v>
      </c>
      <c r="M36" s="658">
        <v>0</v>
      </c>
    </row>
    <row r="37" spans="1:13">
      <c r="A37" s="603">
        <v>27</v>
      </c>
      <c r="B37" s="596">
        <v>27</v>
      </c>
      <c r="C37" s="597" t="s">
        <v>3164</v>
      </c>
      <c r="E37" s="659"/>
      <c r="F37" s="659">
        <v>0</v>
      </c>
      <c r="G37" s="659">
        <v>0</v>
      </c>
      <c r="I37" s="659"/>
      <c r="J37" s="659">
        <v>0</v>
      </c>
      <c r="K37" s="659">
        <v>0</v>
      </c>
      <c r="M37" s="659">
        <v>0</v>
      </c>
    </row>
    <row r="38" spans="1:13">
      <c r="A38" s="603">
        <v>28</v>
      </c>
      <c r="B38" s="588">
        <v>28</v>
      </c>
      <c r="C38" s="599" t="s">
        <v>3167</v>
      </c>
      <c r="E38" s="660"/>
      <c r="F38" s="660">
        <v>0</v>
      </c>
      <c r="G38" s="660">
        <v>0</v>
      </c>
      <c r="I38" s="660"/>
      <c r="J38" s="660">
        <v>0</v>
      </c>
      <c r="K38" s="660">
        <v>0</v>
      </c>
      <c r="M38" s="660">
        <v>0</v>
      </c>
    </row>
    <row r="39" spans="1:13">
      <c r="A39" s="603">
        <v>29</v>
      </c>
      <c r="B39" s="596">
        <v>29</v>
      </c>
      <c r="C39" s="597" t="s">
        <v>3170</v>
      </c>
      <c r="E39" s="659"/>
      <c r="F39" s="659">
        <v>0</v>
      </c>
      <c r="G39" s="659">
        <v>0</v>
      </c>
      <c r="I39" s="659"/>
      <c r="J39" s="659">
        <v>0</v>
      </c>
      <c r="K39" s="659">
        <v>0</v>
      </c>
      <c r="M39" s="659">
        <v>0</v>
      </c>
    </row>
    <row r="40" spans="1:13">
      <c r="A40" s="603">
        <v>30</v>
      </c>
      <c r="B40" s="588">
        <v>30</v>
      </c>
      <c r="C40" s="599" t="s">
        <v>3173</v>
      </c>
      <c r="E40" s="660"/>
      <c r="F40" s="660">
        <v>0</v>
      </c>
      <c r="G40" s="660">
        <v>0</v>
      </c>
      <c r="I40" s="660"/>
      <c r="J40" s="660">
        <v>0</v>
      </c>
      <c r="K40" s="660">
        <v>0</v>
      </c>
      <c r="M40" s="660">
        <v>0</v>
      </c>
    </row>
    <row r="41" spans="1:13">
      <c r="A41" s="603">
        <v>31</v>
      </c>
      <c r="B41" s="596">
        <v>31</v>
      </c>
      <c r="C41" s="597" t="s">
        <v>3176</v>
      </c>
      <c r="E41" s="659"/>
      <c r="F41" s="659">
        <v>0</v>
      </c>
      <c r="G41" s="659">
        <v>0</v>
      </c>
      <c r="I41" s="659"/>
      <c r="J41" s="659">
        <v>0</v>
      </c>
      <c r="K41" s="659">
        <v>0</v>
      </c>
      <c r="M41" s="659">
        <v>0</v>
      </c>
    </row>
    <row r="42" spans="1:13">
      <c r="A42" s="603">
        <v>32</v>
      </c>
      <c r="B42" s="588">
        <v>32</v>
      </c>
      <c r="C42" s="599" t="s">
        <v>3178</v>
      </c>
      <c r="E42" s="660"/>
      <c r="F42" s="660">
        <v>0</v>
      </c>
      <c r="G42" s="660">
        <v>0</v>
      </c>
      <c r="I42" s="660"/>
      <c r="J42" s="660">
        <v>0</v>
      </c>
      <c r="K42" s="660">
        <v>0</v>
      </c>
      <c r="M42" s="660">
        <v>0</v>
      </c>
    </row>
    <row r="43" spans="1:13">
      <c r="A43" s="603">
        <v>33</v>
      </c>
      <c r="B43" s="596">
        <v>33</v>
      </c>
      <c r="C43" s="597" t="s">
        <v>3181</v>
      </c>
      <c r="E43" s="659"/>
      <c r="F43" s="659">
        <v>0</v>
      </c>
      <c r="G43" s="659">
        <v>0</v>
      </c>
      <c r="I43" s="659"/>
      <c r="J43" s="659">
        <v>0</v>
      </c>
      <c r="K43" s="659">
        <v>0</v>
      </c>
      <c r="M43" s="659">
        <v>0</v>
      </c>
    </row>
    <row r="44" spans="1:13">
      <c r="A44" s="603">
        <v>34</v>
      </c>
      <c r="B44" s="588">
        <v>34</v>
      </c>
      <c r="C44" s="599" t="s">
        <v>3184</v>
      </c>
      <c r="E44" s="660"/>
      <c r="F44" s="660">
        <v>0</v>
      </c>
      <c r="G44" s="660">
        <v>0</v>
      </c>
      <c r="I44" s="660"/>
      <c r="J44" s="660">
        <v>0</v>
      </c>
      <c r="K44" s="660">
        <v>0</v>
      </c>
      <c r="M44" s="660">
        <v>0</v>
      </c>
    </row>
    <row r="45" spans="1:13">
      <c r="A45" s="603">
        <v>35</v>
      </c>
      <c r="B45" s="596">
        <v>35</v>
      </c>
      <c r="C45" s="597" t="s">
        <v>3186</v>
      </c>
      <c r="E45" s="659"/>
      <c r="F45" s="659">
        <v>0</v>
      </c>
      <c r="G45" s="659">
        <v>0</v>
      </c>
      <c r="I45" s="659"/>
      <c r="J45" s="659">
        <v>0</v>
      </c>
      <c r="K45" s="659">
        <v>0</v>
      </c>
      <c r="M45" s="659">
        <v>0</v>
      </c>
    </row>
    <row r="46" spans="1:13">
      <c r="A46" s="603">
        <v>36</v>
      </c>
      <c r="B46" s="588">
        <v>36</v>
      </c>
      <c r="C46" s="599" t="s">
        <v>3189</v>
      </c>
      <c r="E46" s="660"/>
      <c r="F46" s="660">
        <v>0</v>
      </c>
      <c r="G46" s="660">
        <v>0</v>
      </c>
      <c r="I46" s="660"/>
      <c r="J46" s="660">
        <v>0</v>
      </c>
      <c r="K46" s="660">
        <v>0</v>
      </c>
      <c r="M46" s="660">
        <v>0</v>
      </c>
    </row>
    <row r="47" spans="1:13">
      <c r="A47" s="603">
        <v>37</v>
      </c>
      <c r="B47" s="596">
        <v>37</v>
      </c>
      <c r="C47" s="597" t="s">
        <v>3277</v>
      </c>
      <c r="E47" s="659"/>
      <c r="F47" s="659">
        <v>0</v>
      </c>
      <c r="G47" s="659">
        <v>0</v>
      </c>
      <c r="I47" s="659"/>
      <c r="J47" s="659">
        <v>0</v>
      </c>
      <c r="K47" s="659">
        <v>0</v>
      </c>
      <c r="M47" s="659">
        <v>0</v>
      </c>
    </row>
    <row r="48" spans="1:13">
      <c r="A48" s="603">
        <v>38</v>
      </c>
      <c r="B48" s="588">
        <v>38</v>
      </c>
      <c r="C48" s="599" t="s">
        <v>3278</v>
      </c>
      <c r="E48" s="660"/>
      <c r="F48" s="660">
        <v>0</v>
      </c>
      <c r="G48" s="660">
        <v>0</v>
      </c>
      <c r="I48" s="660"/>
      <c r="J48" s="660">
        <v>0</v>
      </c>
      <c r="K48" s="660">
        <v>0</v>
      </c>
      <c r="M48" s="660">
        <v>0</v>
      </c>
    </row>
    <row r="49" spans="1:13">
      <c r="A49" s="603">
        <v>39</v>
      </c>
      <c r="B49" s="596">
        <v>39</v>
      </c>
      <c r="C49" s="597" t="s">
        <v>3195</v>
      </c>
      <c r="E49" s="659"/>
      <c r="F49" s="659">
        <v>0</v>
      </c>
      <c r="G49" s="659">
        <v>0</v>
      </c>
      <c r="I49" s="659"/>
      <c r="J49" s="659">
        <v>0</v>
      </c>
      <c r="K49" s="659">
        <v>0</v>
      </c>
      <c r="M49" s="659">
        <v>0</v>
      </c>
    </row>
    <row r="50" spans="1:13">
      <c r="A50" s="603">
        <v>40</v>
      </c>
      <c r="B50" s="588">
        <v>40</v>
      </c>
      <c r="C50" s="599" t="s">
        <v>3198</v>
      </c>
      <c r="E50" s="660"/>
      <c r="F50" s="660">
        <v>0</v>
      </c>
      <c r="G50" s="660">
        <v>0</v>
      </c>
      <c r="I50" s="660"/>
      <c r="J50" s="660">
        <v>0</v>
      </c>
      <c r="K50" s="660">
        <v>0</v>
      </c>
      <c r="M50" s="660">
        <v>0</v>
      </c>
    </row>
    <row r="51" spans="1:13">
      <c r="A51" s="603">
        <v>41</v>
      </c>
      <c r="B51" s="596">
        <v>41</v>
      </c>
      <c r="C51" s="597" t="s">
        <v>3279</v>
      </c>
      <c r="E51" s="659"/>
      <c r="F51" s="659">
        <v>0</v>
      </c>
      <c r="G51" s="659">
        <v>0</v>
      </c>
      <c r="I51" s="659"/>
      <c r="J51" s="659">
        <v>0</v>
      </c>
      <c r="K51" s="659">
        <v>0</v>
      </c>
      <c r="M51" s="659">
        <v>0</v>
      </c>
    </row>
    <row r="52" spans="1:13">
      <c r="A52" s="603"/>
      <c r="B52" s="588">
        <v>42</v>
      </c>
      <c r="C52" s="599" t="s">
        <v>3280</v>
      </c>
      <c r="E52" s="660"/>
      <c r="F52" s="660">
        <v>0</v>
      </c>
      <c r="G52" s="660">
        <v>0</v>
      </c>
      <c r="I52" s="660"/>
      <c r="J52" s="660">
        <v>0</v>
      </c>
      <c r="K52" s="660">
        <v>0</v>
      </c>
      <c r="M52" s="660">
        <v>0</v>
      </c>
    </row>
    <row r="53" spans="1:13">
      <c r="A53" s="603">
        <v>0</v>
      </c>
      <c r="B53" s="601"/>
      <c r="C53" s="602" t="s">
        <v>3281</v>
      </c>
      <c r="E53" s="658">
        <v>0</v>
      </c>
      <c r="F53" s="658">
        <v>0</v>
      </c>
      <c r="G53" s="658">
        <v>0</v>
      </c>
      <c r="I53" s="658">
        <v>1070319</v>
      </c>
      <c r="J53" s="658">
        <v>0</v>
      </c>
      <c r="K53" s="658">
        <v>1070319</v>
      </c>
      <c r="M53" s="658">
        <v>-1070319</v>
      </c>
    </row>
    <row r="54" spans="1:13">
      <c r="A54" s="603">
        <v>43</v>
      </c>
      <c r="B54" s="596">
        <v>43</v>
      </c>
      <c r="C54" s="597" t="s">
        <v>3282</v>
      </c>
      <c r="E54" s="659"/>
      <c r="F54" s="659">
        <v>0</v>
      </c>
      <c r="G54" s="659">
        <v>0</v>
      </c>
      <c r="I54" s="659"/>
      <c r="J54" s="659">
        <v>0</v>
      </c>
      <c r="K54" s="659">
        <v>0</v>
      </c>
      <c r="M54" s="659">
        <v>0</v>
      </c>
    </row>
    <row r="55" spans="1:13">
      <c r="A55" s="603">
        <v>44</v>
      </c>
      <c r="B55" s="588">
        <v>44</v>
      </c>
      <c r="C55" s="599" t="s">
        <v>3283</v>
      </c>
      <c r="E55" s="660"/>
      <c r="F55" s="660">
        <v>0</v>
      </c>
      <c r="G55" s="660">
        <v>0</v>
      </c>
      <c r="I55" s="660">
        <v>372285</v>
      </c>
      <c r="J55" s="660">
        <v>0</v>
      </c>
      <c r="K55" s="660">
        <v>372285</v>
      </c>
      <c r="M55" s="660">
        <v>-372285</v>
      </c>
    </row>
    <row r="56" spans="1:13">
      <c r="A56" s="603"/>
      <c r="B56" s="596">
        <v>45</v>
      </c>
      <c r="C56" s="597" t="s">
        <v>3284</v>
      </c>
      <c r="E56" s="659"/>
      <c r="F56" s="659">
        <v>0</v>
      </c>
      <c r="G56" s="659">
        <v>0</v>
      </c>
      <c r="I56" s="659">
        <v>465357</v>
      </c>
      <c r="J56" s="659">
        <v>0</v>
      </c>
      <c r="K56" s="659">
        <v>465357</v>
      </c>
      <c r="M56" s="659">
        <v>-465357</v>
      </c>
    </row>
    <row r="57" spans="1:13">
      <c r="A57" s="603"/>
      <c r="B57" s="588">
        <v>46</v>
      </c>
      <c r="C57" s="599" t="s">
        <v>3285</v>
      </c>
      <c r="E57" s="660"/>
      <c r="F57" s="660">
        <v>0</v>
      </c>
      <c r="G57" s="660">
        <v>0</v>
      </c>
      <c r="I57" s="660"/>
      <c r="J57" s="660">
        <v>0</v>
      </c>
      <c r="K57" s="660">
        <v>0</v>
      </c>
      <c r="M57" s="660">
        <v>0</v>
      </c>
    </row>
    <row r="58" spans="1:13">
      <c r="A58" s="603"/>
      <c r="B58" s="596">
        <v>47</v>
      </c>
      <c r="C58" s="597" t="s">
        <v>3286</v>
      </c>
      <c r="E58" s="659"/>
      <c r="F58" s="659">
        <v>0</v>
      </c>
      <c r="G58" s="659">
        <v>0</v>
      </c>
      <c r="I58" s="659">
        <v>232677</v>
      </c>
      <c r="J58" s="659">
        <v>0</v>
      </c>
      <c r="K58" s="659">
        <v>232677</v>
      </c>
      <c r="M58" s="659">
        <v>-232677</v>
      </c>
    </row>
    <row r="59" spans="1:13">
      <c r="A59" s="603"/>
      <c r="B59" s="588">
        <v>48</v>
      </c>
      <c r="C59" s="599" t="s">
        <v>3287</v>
      </c>
      <c r="E59" s="660"/>
      <c r="F59" s="660">
        <v>0</v>
      </c>
      <c r="G59" s="660">
        <v>0</v>
      </c>
      <c r="I59" s="660"/>
      <c r="J59" s="660">
        <v>0</v>
      </c>
      <c r="K59" s="660">
        <v>0</v>
      </c>
      <c r="M59" s="660">
        <v>0</v>
      </c>
    </row>
    <row r="60" spans="1:13">
      <c r="A60" s="603"/>
      <c r="B60" s="596">
        <v>49</v>
      </c>
      <c r="C60" s="597" t="s">
        <v>3288</v>
      </c>
      <c r="E60" s="659"/>
      <c r="F60" s="659">
        <v>0</v>
      </c>
      <c r="G60" s="659">
        <v>0</v>
      </c>
      <c r="I60" s="659"/>
      <c r="J60" s="659">
        <v>0</v>
      </c>
      <c r="K60" s="659">
        <v>0</v>
      </c>
      <c r="M60" s="659">
        <v>0</v>
      </c>
    </row>
    <row r="61" spans="1:13">
      <c r="A61" s="603"/>
      <c r="B61" s="588">
        <v>50</v>
      </c>
      <c r="C61" s="599" t="s">
        <v>3289</v>
      </c>
      <c r="E61" s="660"/>
      <c r="F61" s="660">
        <v>0</v>
      </c>
      <c r="G61" s="660">
        <v>0</v>
      </c>
      <c r="I61" s="660"/>
      <c r="J61" s="660">
        <v>0</v>
      </c>
      <c r="K61" s="660">
        <v>0</v>
      </c>
      <c r="M61" s="660">
        <v>0</v>
      </c>
    </row>
    <row r="62" spans="1:13">
      <c r="A62" s="603"/>
      <c r="B62" s="596">
        <v>51</v>
      </c>
      <c r="C62" s="597" t="s">
        <v>3218</v>
      </c>
      <c r="E62" s="659"/>
      <c r="F62" s="659">
        <v>0</v>
      </c>
      <c r="G62" s="659">
        <v>0</v>
      </c>
      <c r="I62" s="659"/>
      <c r="J62" s="659">
        <v>0</v>
      </c>
      <c r="K62" s="659">
        <v>0</v>
      </c>
      <c r="M62" s="659">
        <v>0</v>
      </c>
    </row>
    <row r="63" spans="1:13">
      <c r="A63" s="603">
        <v>0</v>
      </c>
      <c r="B63" s="601"/>
      <c r="C63" s="602" t="s">
        <v>3290</v>
      </c>
      <c r="E63" s="658">
        <v>0</v>
      </c>
      <c r="F63" s="658">
        <v>0</v>
      </c>
      <c r="G63" s="658">
        <v>0</v>
      </c>
      <c r="I63" s="658">
        <v>0</v>
      </c>
      <c r="J63" s="658">
        <v>0</v>
      </c>
      <c r="K63" s="658">
        <v>0</v>
      </c>
      <c r="M63" s="658">
        <v>0</v>
      </c>
    </row>
    <row r="64" spans="1:13">
      <c r="A64" s="603">
        <v>52</v>
      </c>
      <c r="B64" s="588">
        <v>52</v>
      </c>
      <c r="C64" s="599" t="s">
        <v>3222</v>
      </c>
      <c r="E64" s="660"/>
      <c r="F64" s="660">
        <v>0</v>
      </c>
      <c r="G64" s="660">
        <v>0</v>
      </c>
      <c r="I64" s="660"/>
      <c r="J64" s="660">
        <v>0</v>
      </c>
      <c r="K64" s="660">
        <v>0</v>
      </c>
      <c r="M64" s="660">
        <v>0</v>
      </c>
    </row>
    <row r="65" spans="1:13">
      <c r="A65" s="603">
        <v>53</v>
      </c>
      <c r="B65" s="596">
        <v>53</v>
      </c>
      <c r="C65" s="597" t="s">
        <v>3225</v>
      </c>
      <c r="E65" s="659"/>
      <c r="F65" s="659">
        <v>0</v>
      </c>
      <c r="G65" s="659">
        <v>0</v>
      </c>
      <c r="I65" s="659"/>
      <c r="J65" s="659">
        <v>0</v>
      </c>
      <c r="K65" s="659">
        <v>0</v>
      </c>
      <c r="M65" s="659">
        <v>0</v>
      </c>
    </row>
    <row r="66" spans="1:13">
      <c r="A66" s="603">
        <v>54</v>
      </c>
      <c r="B66" s="588">
        <v>54</v>
      </c>
      <c r="C66" s="599" t="s">
        <v>3291</v>
      </c>
      <c r="E66" s="660"/>
      <c r="F66" s="660">
        <v>0</v>
      </c>
      <c r="G66" s="660">
        <v>0</v>
      </c>
      <c r="I66" s="660"/>
      <c r="J66" s="660">
        <v>0</v>
      </c>
      <c r="K66" s="660">
        <v>0</v>
      </c>
      <c r="M66" s="660">
        <v>0</v>
      </c>
    </row>
    <row r="67" spans="1:13">
      <c r="A67" s="603"/>
      <c r="B67" s="601"/>
      <c r="C67" s="602" t="s">
        <v>3292</v>
      </c>
      <c r="E67" s="658">
        <v>0</v>
      </c>
      <c r="F67" s="658">
        <v>0</v>
      </c>
      <c r="G67" s="658">
        <v>0</v>
      </c>
      <c r="I67" s="658">
        <v>0</v>
      </c>
      <c r="J67" s="658">
        <v>0</v>
      </c>
      <c r="K67" s="658">
        <v>0</v>
      </c>
      <c r="M67" s="658">
        <v>0</v>
      </c>
    </row>
    <row r="68" spans="1:13">
      <c r="A68" s="603"/>
      <c r="B68" s="596">
        <v>55</v>
      </c>
      <c r="C68" s="597" t="s">
        <v>3231</v>
      </c>
      <c r="E68" s="659"/>
      <c r="F68" s="659">
        <v>0</v>
      </c>
      <c r="G68" s="659">
        <v>0</v>
      </c>
      <c r="I68" s="659"/>
      <c r="J68" s="659">
        <v>0</v>
      </c>
      <c r="K68" s="659">
        <v>0</v>
      </c>
      <c r="M68" s="659">
        <v>0</v>
      </c>
    </row>
    <row r="69" spans="1:13">
      <c r="A69" s="603"/>
      <c r="B69" s="588">
        <v>56</v>
      </c>
      <c r="C69" s="599" t="s">
        <v>3293</v>
      </c>
      <c r="E69" s="660"/>
      <c r="F69" s="660">
        <v>0</v>
      </c>
      <c r="G69" s="660">
        <v>0</v>
      </c>
      <c r="I69" s="660"/>
      <c r="J69" s="660">
        <v>0</v>
      </c>
      <c r="K69" s="660">
        <v>0</v>
      </c>
      <c r="M69" s="660">
        <v>0</v>
      </c>
    </row>
    <row r="70" spans="1:13">
      <c r="A70" s="603">
        <v>0</v>
      </c>
      <c r="B70" s="601"/>
      <c r="C70" s="602" t="s">
        <v>340</v>
      </c>
      <c r="E70" s="658">
        <v>0</v>
      </c>
      <c r="F70" s="658">
        <v>0</v>
      </c>
      <c r="G70" s="658">
        <v>0</v>
      </c>
      <c r="I70" s="658">
        <v>0</v>
      </c>
      <c r="J70" s="658">
        <v>0</v>
      </c>
      <c r="K70" s="658">
        <v>0</v>
      </c>
      <c r="M70" s="658">
        <v>0</v>
      </c>
    </row>
    <row r="71" spans="1:13">
      <c r="A71" s="603">
        <v>57</v>
      </c>
      <c r="B71" s="596">
        <v>57</v>
      </c>
      <c r="C71" s="597" t="s">
        <v>3294</v>
      </c>
      <c r="E71" s="659"/>
      <c r="F71" s="659">
        <v>0</v>
      </c>
      <c r="G71" s="659">
        <v>0</v>
      </c>
      <c r="I71" s="659"/>
      <c r="J71" s="659">
        <v>0</v>
      </c>
      <c r="K71" s="659">
        <v>0</v>
      </c>
      <c r="M71" s="659">
        <v>0</v>
      </c>
    </row>
    <row r="72" spans="1:13">
      <c r="A72" s="603">
        <v>0</v>
      </c>
      <c r="B72" s="601"/>
      <c r="C72" s="602" t="s">
        <v>3295</v>
      </c>
      <c r="E72" s="658">
        <v>0</v>
      </c>
      <c r="F72" s="658">
        <v>0</v>
      </c>
      <c r="G72" s="658">
        <v>0</v>
      </c>
      <c r="I72" s="658">
        <v>0</v>
      </c>
      <c r="J72" s="658">
        <v>0</v>
      </c>
      <c r="K72" s="658">
        <v>0</v>
      </c>
      <c r="M72" s="658">
        <v>0</v>
      </c>
    </row>
    <row r="73" spans="1:13">
      <c r="A73" s="603">
        <v>58</v>
      </c>
      <c r="B73" s="588">
        <v>58</v>
      </c>
      <c r="C73" s="599" t="s">
        <v>3296</v>
      </c>
      <c r="E73" s="660"/>
      <c r="F73" s="660">
        <v>0</v>
      </c>
      <c r="G73" s="660">
        <v>0</v>
      </c>
      <c r="I73" s="660"/>
      <c r="J73" s="660">
        <v>0</v>
      </c>
      <c r="K73" s="660">
        <v>0</v>
      </c>
      <c r="M73" s="660">
        <v>0</v>
      </c>
    </row>
    <row r="74" spans="1:13">
      <c r="A74" s="603"/>
      <c r="B74" s="601"/>
      <c r="C74" s="602" t="s">
        <v>3297</v>
      </c>
      <c r="E74" s="658">
        <v>0</v>
      </c>
      <c r="F74" s="658">
        <v>0</v>
      </c>
      <c r="G74" s="658">
        <v>0</v>
      </c>
      <c r="I74" s="658">
        <v>0</v>
      </c>
      <c r="J74" s="658">
        <v>0</v>
      </c>
      <c r="K74" s="658">
        <v>0</v>
      </c>
      <c r="M74" s="658">
        <v>0</v>
      </c>
    </row>
    <row r="75" spans="1:13">
      <c r="A75" s="603"/>
      <c r="B75" s="588">
        <v>59</v>
      </c>
      <c r="C75" s="599" t="s">
        <v>3298</v>
      </c>
      <c r="E75" s="660"/>
      <c r="F75" s="660">
        <v>0</v>
      </c>
      <c r="G75" s="660">
        <v>0</v>
      </c>
      <c r="I75" s="660"/>
      <c r="J75" s="660">
        <v>0</v>
      </c>
      <c r="K75" s="660">
        <v>0</v>
      </c>
      <c r="M75" s="660"/>
    </row>
    <row r="76" spans="1:13">
      <c r="A76" s="603"/>
      <c r="B76" s="601"/>
      <c r="C76" s="602" t="s">
        <v>3299</v>
      </c>
      <c r="E76" s="658">
        <v>0</v>
      </c>
      <c r="F76" s="658">
        <v>0</v>
      </c>
      <c r="G76" s="658">
        <v>0</v>
      </c>
      <c r="I76" s="658">
        <v>0</v>
      </c>
      <c r="J76" s="658">
        <v>0</v>
      </c>
      <c r="K76" s="658">
        <v>0</v>
      </c>
      <c r="M76" s="658">
        <v>0</v>
      </c>
    </row>
    <row r="77" spans="1:13">
      <c r="A77" s="603"/>
      <c r="B77" s="588">
        <v>60</v>
      </c>
      <c r="C77" s="599" t="s">
        <v>3300</v>
      </c>
      <c r="E77" s="660"/>
      <c r="F77" s="660">
        <v>0</v>
      </c>
      <c r="G77" s="660">
        <v>0</v>
      </c>
      <c r="I77" s="660"/>
      <c r="J77" s="660">
        <v>0</v>
      </c>
      <c r="K77" s="660">
        <v>0</v>
      </c>
      <c r="M77" s="660"/>
    </row>
    <row r="78" spans="1:13">
      <c r="A78" s="603"/>
      <c r="B78" s="601"/>
      <c r="C78" s="602" t="s">
        <v>3301</v>
      </c>
      <c r="E78" s="658">
        <v>0</v>
      </c>
      <c r="F78" s="658">
        <v>0</v>
      </c>
      <c r="G78" s="658">
        <v>0</v>
      </c>
      <c r="I78" s="658">
        <v>0</v>
      </c>
      <c r="J78" s="658">
        <v>0</v>
      </c>
      <c r="K78" s="658">
        <v>0</v>
      </c>
      <c r="M78" s="658">
        <v>0</v>
      </c>
    </row>
    <row r="79" spans="1:13">
      <c r="A79" s="603"/>
      <c r="B79" s="596">
        <v>61</v>
      </c>
      <c r="C79" s="597" t="s">
        <v>3302</v>
      </c>
      <c r="E79" s="659"/>
      <c r="F79" s="659"/>
      <c r="G79" s="659"/>
      <c r="I79" s="659"/>
      <c r="J79" s="659"/>
      <c r="K79" s="659"/>
      <c r="M79" s="659"/>
    </row>
  </sheetData>
  <mergeCells count="5">
    <mergeCell ref="B3:B4"/>
    <mergeCell ref="C3:C4"/>
    <mergeCell ref="E3:G3"/>
    <mergeCell ref="I3:K3"/>
    <mergeCell ref="M3:M4"/>
  </mergeCells>
  <hyperlinks>
    <hyperlink ref="A1" location="Sommaire!A1" display="Sommaire!A1" xr:uid="{00000000-0004-0000-1600-000000000000}"/>
  </hyperlinks>
  <pageMargins left="0.7" right="0.7" top="0.75" bottom="0.75" header="0.3" footer="0.3"/>
  <pageSetup paperSize="9"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M79"/>
  <sheetViews>
    <sheetView showGridLines="0" zoomScaleNormal="100" workbookViewId="0">
      <selection activeCell="B1" sqref="B1"/>
    </sheetView>
  </sheetViews>
  <sheetFormatPr baseColWidth="10" defaultColWidth="11.33203125" defaultRowHeight="12"/>
  <cols>
    <col min="1" max="1" width="10.1640625" style="588" bestFit="1" customWidth="1"/>
    <col min="2" max="2" width="19" style="588" bestFit="1" customWidth="1"/>
    <col min="3" max="3" width="54.5" style="605" bestFit="1" customWidth="1"/>
    <col min="4" max="4" width="0.6640625" style="590" customWidth="1"/>
    <col min="5" max="5" width="11.5" style="590" bestFit="1" customWidth="1"/>
    <col min="6" max="6" width="10.6640625" style="588" bestFit="1" customWidth="1"/>
    <col min="7" max="7" width="11.5" style="590" bestFit="1" customWidth="1"/>
    <col min="8" max="8" width="0.6640625" style="590" customWidth="1"/>
    <col min="9" max="9" width="10.6640625" style="590" bestFit="1" customWidth="1"/>
    <col min="10" max="11" width="11.5" style="590" bestFit="1" customWidth="1"/>
    <col min="12" max="12" width="0.6640625" style="590" customWidth="1"/>
    <col min="13" max="13" width="13.83203125" style="590" bestFit="1" customWidth="1"/>
    <col min="14" max="16384" width="11.33203125" style="590"/>
  </cols>
  <sheetData>
    <row r="1" spans="1:13" ht="14.5">
      <c r="A1" s="661" t="s">
        <v>140</v>
      </c>
      <c r="C1" s="589" t="s">
        <v>3249</v>
      </c>
      <c r="E1" s="591" t="s">
        <v>224</v>
      </c>
      <c r="F1" s="591">
        <v>7768007</v>
      </c>
      <c r="G1" s="592"/>
      <c r="J1" s="592" t="s">
        <v>3251</v>
      </c>
      <c r="K1" s="592">
        <v>2023</v>
      </c>
    </row>
    <row r="2" spans="1:13">
      <c r="C2" s="593"/>
      <c r="F2" s="590"/>
      <c r="I2" s="590" t="s">
        <v>3252</v>
      </c>
      <c r="J2" s="594">
        <v>604.32574999999997</v>
      </c>
    </row>
    <row r="3" spans="1:13">
      <c r="B3" s="753" t="s">
        <v>143</v>
      </c>
      <c r="C3" s="754" t="s">
        <v>3253</v>
      </c>
      <c r="E3" s="755" t="s">
        <v>2084</v>
      </c>
      <c r="F3" s="755"/>
      <c r="G3" s="755"/>
      <c r="I3" s="755" t="s">
        <v>3254</v>
      </c>
      <c r="J3" s="755"/>
      <c r="K3" s="755"/>
      <c r="M3" s="756" t="s">
        <v>3255</v>
      </c>
    </row>
    <row r="4" spans="1:13">
      <c r="B4" s="753"/>
      <c r="C4" s="754"/>
      <c r="E4" s="595" t="s">
        <v>3256</v>
      </c>
      <c r="F4" s="595" t="s">
        <v>3257</v>
      </c>
      <c r="G4" s="595" t="s">
        <v>3258</v>
      </c>
      <c r="I4" s="595" t="s">
        <v>3256</v>
      </c>
      <c r="J4" s="595" t="s">
        <v>3257</v>
      </c>
      <c r="K4" s="595" t="s">
        <v>3258</v>
      </c>
      <c r="M4" s="756"/>
    </row>
    <row r="5" spans="1:13">
      <c r="B5" s="655" t="s">
        <v>3092</v>
      </c>
      <c r="C5" s="656"/>
      <c r="E5" s="657">
        <v>0</v>
      </c>
      <c r="F5" s="657">
        <v>0</v>
      </c>
      <c r="G5" s="657">
        <v>0</v>
      </c>
      <c r="I5" s="657">
        <v>0</v>
      </c>
      <c r="J5" s="657">
        <v>0</v>
      </c>
      <c r="K5" s="657">
        <v>0</v>
      </c>
      <c r="M5" s="657">
        <v>0</v>
      </c>
    </row>
    <row r="6" spans="1:13">
      <c r="B6" s="596">
        <v>1</v>
      </c>
      <c r="C6" s="597" t="s">
        <v>3259</v>
      </c>
      <c r="E6" s="598"/>
      <c r="F6" s="598">
        <v>0</v>
      </c>
      <c r="G6" s="598">
        <v>0</v>
      </c>
      <c r="I6" s="598"/>
      <c r="J6" s="598">
        <v>0</v>
      </c>
      <c r="K6" s="598">
        <v>0</v>
      </c>
      <c r="M6" s="598">
        <v>0</v>
      </c>
    </row>
    <row r="7" spans="1:13">
      <c r="B7" s="588">
        <v>2</v>
      </c>
      <c r="C7" s="599" t="s">
        <v>3260</v>
      </c>
      <c r="E7" s="600"/>
      <c r="F7" s="600">
        <v>0</v>
      </c>
      <c r="G7" s="600">
        <v>0</v>
      </c>
      <c r="I7" s="600"/>
      <c r="J7" s="600">
        <v>0</v>
      </c>
      <c r="K7" s="600">
        <v>0</v>
      </c>
      <c r="M7" s="600">
        <v>0</v>
      </c>
    </row>
    <row r="8" spans="1:13">
      <c r="B8" s="655" t="s">
        <v>3101</v>
      </c>
      <c r="C8" s="656"/>
      <c r="E8" s="657">
        <v>1001104590</v>
      </c>
      <c r="F8" s="657">
        <v>-66389207</v>
      </c>
      <c r="G8" s="657">
        <v>934715383</v>
      </c>
      <c r="I8" s="657">
        <v>54226540</v>
      </c>
      <c r="J8" s="657">
        <v>877291091</v>
      </c>
      <c r="K8" s="657">
        <v>931517631</v>
      </c>
      <c r="M8" s="657">
        <v>3197752</v>
      </c>
    </row>
    <row r="9" spans="1:13">
      <c r="B9" s="601"/>
      <c r="C9" s="602" t="s">
        <v>1244</v>
      </c>
      <c r="E9" s="658">
        <v>42984648</v>
      </c>
      <c r="F9" s="658">
        <v>0</v>
      </c>
      <c r="G9" s="658">
        <v>42984648</v>
      </c>
      <c r="I9" s="658">
        <v>0</v>
      </c>
      <c r="J9" s="658">
        <v>42984648</v>
      </c>
      <c r="K9" s="658">
        <v>42984648</v>
      </c>
      <c r="M9" s="658">
        <v>0</v>
      </c>
    </row>
    <row r="10" spans="1:13">
      <c r="A10" s="603">
        <v>3</v>
      </c>
      <c r="B10" s="596">
        <v>3</v>
      </c>
      <c r="C10" s="597" t="s">
        <v>3261</v>
      </c>
      <c r="E10" s="659"/>
      <c r="F10" s="659">
        <v>0</v>
      </c>
      <c r="G10" s="659">
        <v>0</v>
      </c>
      <c r="I10" s="659"/>
      <c r="J10" s="659">
        <v>0</v>
      </c>
      <c r="K10" s="659">
        <v>0</v>
      </c>
      <c r="M10" s="659">
        <v>0</v>
      </c>
    </row>
    <row r="11" spans="1:13">
      <c r="A11" s="603">
        <v>4</v>
      </c>
      <c r="B11" s="588">
        <v>4</v>
      </c>
      <c r="C11" s="599" t="s">
        <v>3106</v>
      </c>
      <c r="E11" s="660">
        <v>5984648</v>
      </c>
      <c r="F11" s="660">
        <v>0</v>
      </c>
      <c r="G11" s="660">
        <v>5984648</v>
      </c>
      <c r="I11" s="660"/>
      <c r="J11" s="660">
        <v>5984648</v>
      </c>
      <c r="K11" s="660">
        <v>5984648</v>
      </c>
      <c r="M11" s="660">
        <v>0</v>
      </c>
    </row>
    <row r="12" spans="1:13">
      <c r="A12" s="603">
        <v>5</v>
      </c>
      <c r="B12" s="596">
        <v>5</v>
      </c>
      <c r="C12" s="597" t="s">
        <v>3262</v>
      </c>
      <c r="E12" s="659"/>
      <c r="F12" s="659">
        <v>0</v>
      </c>
      <c r="G12" s="659">
        <v>0</v>
      </c>
      <c r="I12" s="659"/>
      <c r="J12" s="659">
        <v>0</v>
      </c>
      <c r="K12" s="659">
        <v>0</v>
      </c>
      <c r="M12" s="659">
        <v>0</v>
      </c>
    </row>
    <row r="13" spans="1:13">
      <c r="A13" s="603">
        <v>6</v>
      </c>
      <c r="B13" s="588">
        <v>6</v>
      </c>
      <c r="C13" s="599" t="s">
        <v>3263</v>
      </c>
      <c r="E13" s="660"/>
      <c r="F13" s="660">
        <v>0</v>
      </c>
      <c r="G13" s="660">
        <v>0</v>
      </c>
      <c r="I13" s="660"/>
      <c r="J13" s="660">
        <v>0</v>
      </c>
      <c r="K13" s="660">
        <v>0</v>
      </c>
      <c r="M13" s="660">
        <v>0</v>
      </c>
    </row>
    <row r="14" spans="1:13">
      <c r="A14" s="603">
        <v>7</v>
      </c>
      <c r="B14" s="596">
        <v>7</v>
      </c>
      <c r="C14" s="597" t="s">
        <v>3114</v>
      </c>
      <c r="E14" s="659">
        <v>37000000</v>
      </c>
      <c r="F14" s="659">
        <v>0</v>
      </c>
      <c r="G14" s="659">
        <v>37000000</v>
      </c>
      <c r="I14" s="659"/>
      <c r="J14" s="659">
        <v>37000000</v>
      </c>
      <c r="K14" s="659">
        <v>37000000</v>
      </c>
      <c r="M14" s="659">
        <v>0</v>
      </c>
    </row>
    <row r="15" spans="1:13">
      <c r="A15" s="603">
        <v>0</v>
      </c>
      <c r="B15" s="601"/>
      <c r="C15" s="602" t="s">
        <v>1253</v>
      </c>
      <c r="E15" s="658">
        <v>0</v>
      </c>
      <c r="F15" s="658">
        <v>0</v>
      </c>
      <c r="G15" s="658">
        <v>0</v>
      </c>
      <c r="I15" s="658">
        <v>0</v>
      </c>
      <c r="J15" s="658">
        <v>0</v>
      </c>
      <c r="K15" s="658">
        <v>0</v>
      </c>
      <c r="M15" s="658">
        <v>0</v>
      </c>
    </row>
    <row r="16" spans="1:13">
      <c r="A16" s="603">
        <v>8</v>
      </c>
      <c r="B16" s="588">
        <v>8</v>
      </c>
      <c r="C16" s="599" t="s">
        <v>3264</v>
      </c>
      <c r="E16" s="660"/>
      <c r="F16" s="660">
        <v>0</v>
      </c>
      <c r="G16" s="660">
        <v>0</v>
      </c>
      <c r="I16" s="660"/>
      <c r="J16" s="660">
        <v>0</v>
      </c>
      <c r="K16" s="660">
        <v>0</v>
      </c>
      <c r="M16" s="660">
        <v>0</v>
      </c>
    </row>
    <row r="17" spans="1:13">
      <c r="A17" s="603">
        <v>9</v>
      </c>
      <c r="B17" s="596">
        <v>9</v>
      </c>
      <c r="C17" s="597" t="s">
        <v>3265</v>
      </c>
      <c r="E17" s="659"/>
      <c r="F17" s="659">
        <v>0</v>
      </c>
      <c r="G17" s="659">
        <v>0</v>
      </c>
      <c r="I17" s="659"/>
      <c r="J17" s="659">
        <v>0</v>
      </c>
      <c r="K17" s="659">
        <v>0</v>
      </c>
      <c r="M17" s="659">
        <v>0</v>
      </c>
    </row>
    <row r="18" spans="1:13">
      <c r="A18" s="603"/>
      <c r="B18" s="588">
        <v>10</v>
      </c>
      <c r="C18" s="599" t="s">
        <v>3122</v>
      </c>
      <c r="E18" s="660"/>
      <c r="F18" s="660">
        <v>0</v>
      </c>
      <c r="G18" s="660">
        <v>0</v>
      </c>
      <c r="I18" s="660"/>
      <c r="J18" s="660">
        <v>0</v>
      </c>
      <c r="K18" s="660">
        <v>0</v>
      </c>
      <c r="M18" s="660">
        <v>0</v>
      </c>
    </row>
    <row r="19" spans="1:13">
      <c r="A19" s="603">
        <v>11</v>
      </c>
      <c r="B19" s="596">
        <v>11</v>
      </c>
      <c r="C19" s="597" t="s">
        <v>3124</v>
      </c>
      <c r="E19" s="659"/>
      <c r="F19" s="659">
        <v>0</v>
      </c>
      <c r="G19" s="659">
        <v>0</v>
      </c>
      <c r="I19" s="659"/>
      <c r="J19" s="659">
        <v>0</v>
      </c>
      <c r="K19" s="659">
        <v>0</v>
      </c>
      <c r="M19" s="659">
        <v>0</v>
      </c>
    </row>
    <row r="20" spans="1:13">
      <c r="A20" s="603">
        <v>12</v>
      </c>
      <c r="B20" s="588">
        <v>12</v>
      </c>
      <c r="C20" s="599" t="s">
        <v>3266</v>
      </c>
      <c r="E20" s="660"/>
      <c r="F20" s="660">
        <v>0</v>
      </c>
      <c r="G20" s="660">
        <v>0</v>
      </c>
      <c r="I20" s="660"/>
      <c r="J20" s="660">
        <v>0</v>
      </c>
      <c r="K20" s="660">
        <v>0</v>
      </c>
      <c r="M20" s="660">
        <v>0</v>
      </c>
    </row>
    <row r="21" spans="1:13">
      <c r="A21" s="603">
        <v>13</v>
      </c>
      <c r="B21" s="596">
        <v>13</v>
      </c>
      <c r="C21" s="597" t="s">
        <v>3267</v>
      </c>
      <c r="E21" s="659"/>
      <c r="F21" s="659">
        <v>0</v>
      </c>
      <c r="G21" s="659">
        <v>0</v>
      </c>
      <c r="I21" s="659"/>
      <c r="J21" s="659">
        <v>0</v>
      </c>
      <c r="K21" s="659">
        <v>0</v>
      </c>
      <c r="M21" s="659">
        <v>0</v>
      </c>
    </row>
    <row r="22" spans="1:13">
      <c r="A22" s="603">
        <v>14</v>
      </c>
      <c r="B22" s="588">
        <v>14</v>
      </c>
      <c r="C22" s="599" t="s">
        <v>3268</v>
      </c>
      <c r="E22" s="660"/>
      <c r="F22" s="660">
        <v>0</v>
      </c>
      <c r="G22" s="660">
        <v>0</v>
      </c>
      <c r="I22" s="660"/>
      <c r="J22" s="660">
        <v>0</v>
      </c>
      <c r="K22" s="660">
        <v>0</v>
      </c>
      <c r="M22" s="660">
        <v>0</v>
      </c>
    </row>
    <row r="23" spans="1:13">
      <c r="A23" s="603">
        <v>15</v>
      </c>
      <c r="B23" s="596">
        <v>15</v>
      </c>
      <c r="C23" s="597" t="s">
        <v>3133</v>
      </c>
      <c r="E23" s="659"/>
      <c r="F23" s="659">
        <v>0</v>
      </c>
      <c r="G23" s="659">
        <v>0</v>
      </c>
      <c r="I23" s="659"/>
      <c r="J23" s="659">
        <v>0</v>
      </c>
      <c r="K23" s="659">
        <v>0</v>
      </c>
      <c r="M23" s="659">
        <v>0</v>
      </c>
    </row>
    <row r="24" spans="1:13">
      <c r="A24" s="603">
        <v>16</v>
      </c>
      <c r="B24" s="588">
        <v>16</v>
      </c>
      <c r="C24" s="599" t="s">
        <v>3136</v>
      </c>
      <c r="E24" s="660"/>
      <c r="F24" s="660">
        <v>0</v>
      </c>
      <c r="G24" s="660">
        <v>0</v>
      </c>
      <c r="I24" s="660"/>
      <c r="J24" s="660">
        <v>0</v>
      </c>
      <c r="K24" s="660">
        <v>0</v>
      </c>
      <c r="M24" s="660">
        <v>0</v>
      </c>
    </row>
    <row r="25" spans="1:13">
      <c r="A25" s="603">
        <v>0</v>
      </c>
      <c r="B25" s="601"/>
      <c r="C25" s="602" t="s">
        <v>3269</v>
      </c>
      <c r="E25" s="658">
        <v>0</v>
      </c>
      <c r="F25" s="658">
        <v>0</v>
      </c>
      <c r="G25" s="658">
        <v>0</v>
      </c>
      <c r="I25" s="658">
        <v>0</v>
      </c>
      <c r="J25" s="658">
        <v>0</v>
      </c>
      <c r="K25" s="658">
        <v>0</v>
      </c>
      <c r="M25" s="658">
        <v>0</v>
      </c>
    </row>
    <row r="26" spans="1:13">
      <c r="A26" s="603">
        <v>17</v>
      </c>
      <c r="B26" s="596">
        <v>17</v>
      </c>
      <c r="C26" s="597" t="s">
        <v>3270</v>
      </c>
      <c r="E26" s="659"/>
      <c r="F26" s="659">
        <v>0</v>
      </c>
      <c r="G26" s="659">
        <v>0</v>
      </c>
      <c r="I26" s="659"/>
      <c r="J26" s="659">
        <v>0</v>
      </c>
      <c r="K26" s="659">
        <v>0</v>
      </c>
      <c r="M26" s="659">
        <v>0</v>
      </c>
    </row>
    <row r="27" spans="1:13">
      <c r="A27" s="603">
        <v>18</v>
      </c>
      <c r="B27" s="588">
        <v>18</v>
      </c>
      <c r="C27" s="599" t="s">
        <v>3141</v>
      </c>
      <c r="E27" s="660"/>
      <c r="F27" s="660">
        <v>0</v>
      </c>
      <c r="G27" s="660">
        <v>0</v>
      </c>
      <c r="I27" s="660"/>
      <c r="J27" s="660">
        <v>0</v>
      </c>
      <c r="K27" s="660">
        <v>0</v>
      </c>
      <c r="M27" s="660">
        <v>0</v>
      </c>
    </row>
    <row r="28" spans="1:13">
      <c r="A28" s="603">
        <v>19</v>
      </c>
      <c r="B28" s="596">
        <v>19</v>
      </c>
      <c r="C28" s="597" t="s">
        <v>3144</v>
      </c>
      <c r="E28" s="659"/>
      <c r="F28" s="659">
        <v>0</v>
      </c>
      <c r="G28" s="659">
        <v>0</v>
      </c>
      <c r="I28" s="659"/>
      <c r="J28" s="659">
        <v>0</v>
      </c>
      <c r="K28" s="659">
        <v>0</v>
      </c>
      <c r="M28" s="659">
        <v>0</v>
      </c>
    </row>
    <row r="29" spans="1:13">
      <c r="A29" s="603">
        <v>20</v>
      </c>
      <c r="B29" s="588">
        <v>20</v>
      </c>
      <c r="C29" s="599" t="s">
        <v>3147</v>
      </c>
      <c r="E29" s="660"/>
      <c r="F29" s="660">
        <v>0</v>
      </c>
      <c r="G29" s="660">
        <v>0</v>
      </c>
      <c r="I29" s="660"/>
      <c r="J29" s="660">
        <v>0</v>
      </c>
      <c r="K29" s="660">
        <v>0</v>
      </c>
      <c r="M29" s="660">
        <v>0</v>
      </c>
    </row>
    <row r="30" spans="1:13">
      <c r="A30" s="603">
        <v>21</v>
      </c>
      <c r="B30" s="596">
        <v>21</v>
      </c>
      <c r="C30" s="597" t="s">
        <v>3271</v>
      </c>
      <c r="E30" s="659"/>
      <c r="F30" s="659">
        <v>0</v>
      </c>
      <c r="G30" s="659">
        <v>0</v>
      </c>
      <c r="I30" s="659"/>
      <c r="J30" s="659">
        <v>0</v>
      </c>
      <c r="K30" s="659">
        <v>0</v>
      </c>
      <c r="M30" s="659">
        <v>0</v>
      </c>
    </row>
    <row r="31" spans="1:13">
      <c r="A31" s="603">
        <v>22</v>
      </c>
      <c r="B31" s="588">
        <v>22</v>
      </c>
      <c r="C31" s="599" t="s">
        <v>3272</v>
      </c>
      <c r="E31" s="660"/>
      <c r="F31" s="660">
        <v>0</v>
      </c>
      <c r="G31" s="660">
        <v>0</v>
      </c>
      <c r="I31" s="660"/>
      <c r="J31" s="660">
        <v>0</v>
      </c>
      <c r="K31" s="660">
        <v>0</v>
      </c>
      <c r="M31" s="660">
        <v>0</v>
      </c>
    </row>
    <row r="32" spans="1:13">
      <c r="A32" s="603">
        <v>23</v>
      </c>
      <c r="B32" s="596">
        <v>23</v>
      </c>
      <c r="C32" s="597" t="s">
        <v>3273</v>
      </c>
      <c r="E32" s="659"/>
      <c r="F32" s="659">
        <v>0</v>
      </c>
      <c r="G32" s="659">
        <v>0</v>
      </c>
      <c r="I32" s="659"/>
      <c r="J32" s="659">
        <v>0</v>
      </c>
      <c r="K32" s="659">
        <v>0</v>
      </c>
      <c r="M32" s="659">
        <v>0</v>
      </c>
    </row>
    <row r="33" spans="1:13">
      <c r="A33" s="603">
        <v>24</v>
      </c>
      <c r="B33" s="588">
        <v>24</v>
      </c>
      <c r="C33" s="599" t="s">
        <v>3158</v>
      </c>
      <c r="E33" s="660"/>
      <c r="F33" s="660">
        <v>0</v>
      </c>
      <c r="G33" s="660">
        <v>0</v>
      </c>
      <c r="I33" s="660"/>
      <c r="J33" s="660">
        <v>0</v>
      </c>
      <c r="K33" s="660">
        <v>0</v>
      </c>
      <c r="M33" s="660">
        <v>0</v>
      </c>
    </row>
    <row r="34" spans="1:13" s="604" customFormat="1">
      <c r="A34" s="603">
        <v>25</v>
      </c>
      <c r="B34" s="596">
        <v>25</v>
      </c>
      <c r="C34" s="597" t="s">
        <v>3274</v>
      </c>
      <c r="D34" s="590"/>
      <c r="E34" s="659"/>
      <c r="F34" s="659">
        <v>0</v>
      </c>
      <c r="G34" s="659">
        <v>0</v>
      </c>
      <c r="H34" s="590"/>
      <c r="I34" s="659"/>
      <c r="J34" s="659">
        <v>0</v>
      </c>
      <c r="K34" s="659">
        <v>0</v>
      </c>
      <c r="L34" s="590"/>
      <c r="M34" s="659">
        <v>0</v>
      </c>
    </row>
    <row r="35" spans="1:13">
      <c r="A35" s="603">
        <v>26</v>
      </c>
      <c r="B35" s="588">
        <v>26</v>
      </c>
      <c r="C35" s="599" t="s">
        <v>3275</v>
      </c>
      <c r="E35" s="660"/>
      <c r="F35" s="660">
        <v>0</v>
      </c>
      <c r="G35" s="660">
        <v>0</v>
      </c>
      <c r="I35" s="660"/>
      <c r="J35" s="660">
        <v>0</v>
      </c>
      <c r="K35" s="660">
        <v>0</v>
      </c>
      <c r="M35" s="660">
        <v>0</v>
      </c>
    </row>
    <row r="36" spans="1:13">
      <c r="A36" s="603">
        <v>0</v>
      </c>
      <c r="B36" s="601"/>
      <c r="C36" s="602" t="s">
        <v>3276</v>
      </c>
      <c r="E36" s="658">
        <v>754789236</v>
      </c>
      <c r="F36" s="658">
        <v>0</v>
      </c>
      <c r="G36" s="658">
        <v>754789236</v>
      </c>
      <c r="I36" s="658">
        <v>0</v>
      </c>
      <c r="J36" s="658">
        <v>754789236</v>
      </c>
      <c r="K36" s="658">
        <v>754789236</v>
      </c>
      <c r="M36" s="658">
        <v>0</v>
      </c>
    </row>
    <row r="37" spans="1:13">
      <c r="A37" s="603">
        <v>27</v>
      </c>
      <c r="B37" s="596">
        <v>27</v>
      </c>
      <c r="C37" s="597" t="s">
        <v>3164</v>
      </c>
      <c r="E37" s="659"/>
      <c r="F37" s="659">
        <v>0</v>
      </c>
      <c r="G37" s="659">
        <v>0</v>
      </c>
      <c r="I37" s="659"/>
      <c r="J37" s="659">
        <v>0</v>
      </c>
      <c r="K37" s="659">
        <v>0</v>
      </c>
      <c r="M37" s="659">
        <v>0</v>
      </c>
    </row>
    <row r="38" spans="1:13">
      <c r="A38" s="603">
        <v>28</v>
      </c>
      <c r="B38" s="588">
        <v>28</v>
      </c>
      <c r="C38" s="599" t="s">
        <v>3167</v>
      </c>
      <c r="E38" s="660">
        <v>422210221</v>
      </c>
      <c r="F38" s="660">
        <v>0</v>
      </c>
      <c r="G38" s="660">
        <v>422210221</v>
      </c>
      <c r="I38" s="660"/>
      <c r="J38" s="660">
        <v>422210221</v>
      </c>
      <c r="K38" s="660">
        <v>422210221</v>
      </c>
      <c r="M38" s="660">
        <v>0</v>
      </c>
    </row>
    <row r="39" spans="1:13">
      <c r="A39" s="603">
        <v>29</v>
      </c>
      <c r="B39" s="596">
        <v>29</v>
      </c>
      <c r="C39" s="597" t="s">
        <v>3170</v>
      </c>
      <c r="E39" s="659"/>
      <c r="F39" s="659">
        <v>0</v>
      </c>
      <c r="G39" s="659">
        <v>0</v>
      </c>
      <c r="I39" s="659"/>
      <c r="J39" s="659">
        <v>0</v>
      </c>
      <c r="K39" s="659">
        <v>0</v>
      </c>
      <c r="M39" s="659">
        <v>0</v>
      </c>
    </row>
    <row r="40" spans="1:13">
      <c r="A40" s="603">
        <v>30</v>
      </c>
      <c r="B40" s="588">
        <v>30</v>
      </c>
      <c r="C40" s="599" t="s">
        <v>3173</v>
      </c>
      <c r="E40" s="660"/>
      <c r="F40" s="660">
        <v>0</v>
      </c>
      <c r="G40" s="660">
        <v>0</v>
      </c>
      <c r="I40" s="660"/>
      <c r="J40" s="660">
        <v>0</v>
      </c>
      <c r="K40" s="660">
        <v>0</v>
      </c>
      <c r="M40" s="660">
        <v>0</v>
      </c>
    </row>
    <row r="41" spans="1:13">
      <c r="A41" s="603">
        <v>31</v>
      </c>
      <c r="B41" s="596">
        <v>31</v>
      </c>
      <c r="C41" s="597" t="s">
        <v>3176</v>
      </c>
      <c r="E41" s="659"/>
      <c r="F41" s="659">
        <v>0</v>
      </c>
      <c r="G41" s="659">
        <v>0</v>
      </c>
      <c r="I41" s="659"/>
      <c r="J41" s="659">
        <v>0</v>
      </c>
      <c r="K41" s="659">
        <v>0</v>
      </c>
      <c r="M41" s="659">
        <v>0</v>
      </c>
    </row>
    <row r="42" spans="1:13">
      <c r="A42" s="603">
        <v>32</v>
      </c>
      <c r="B42" s="588">
        <v>32</v>
      </c>
      <c r="C42" s="599" t="s">
        <v>3178</v>
      </c>
      <c r="E42" s="660">
        <v>151434135</v>
      </c>
      <c r="F42" s="660">
        <v>0</v>
      </c>
      <c r="G42" s="660">
        <v>151434135</v>
      </c>
      <c r="I42" s="660"/>
      <c r="J42" s="660">
        <v>151434135</v>
      </c>
      <c r="K42" s="660">
        <v>151434135</v>
      </c>
      <c r="M42" s="660">
        <v>0</v>
      </c>
    </row>
    <row r="43" spans="1:13">
      <c r="A43" s="603">
        <v>33</v>
      </c>
      <c r="B43" s="596">
        <v>33</v>
      </c>
      <c r="C43" s="597" t="s">
        <v>3181</v>
      </c>
      <c r="E43" s="659"/>
      <c r="F43" s="659">
        <v>0</v>
      </c>
      <c r="G43" s="659">
        <v>0</v>
      </c>
      <c r="I43" s="659"/>
      <c r="J43" s="659">
        <v>0</v>
      </c>
      <c r="K43" s="659">
        <v>0</v>
      </c>
      <c r="M43" s="659">
        <v>0</v>
      </c>
    </row>
    <row r="44" spans="1:13">
      <c r="A44" s="603">
        <v>34</v>
      </c>
      <c r="B44" s="588">
        <v>34</v>
      </c>
      <c r="C44" s="599" t="s">
        <v>3184</v>
      </c>
      <c r="E44" s="660">
        <v>6798220</v>
      </c>
      <c r="F44" s="660">
        <v>0</v>
      </c>
      <c r="G44" s="660">
        <v>6798220</v>
      </c>
      <c r="I44" s="660"/>
      <c r="J44" s="660">
        <v>6798220</v>
      </c>
      <c r="K44" s="660">
        <v>6798220</v>
      </c>
      <c r="M44" s="660">
        <v>0</v>
      </c>
    </row>
    <row r="45" spans="1:13">
      <c r="A45" s="603">
        <v>35</v>
      </c>
      <c r="B45" s="596">
        <v>35</v>
      </c>
      <c r="C45" s="597" t="s">
        <v>3186</v>
      </c>
      <c r="E45" s="659"/>
      <c r="F45" s="659">
        <v>0</v>
      </c>
      <c r="G45" s="659">
        <v>0</v>
      </c>
      <c r="I45" s="659"/>
      <c r="J45" s="659">
        <v>0</v>
      </c>
      <c r="K45" s="659">
        <v>0</v>
      </c>
      <c r="M45" s="659">
        <v>0</v>
      </c>
    </row>
    <row r="46" spans="1:13">
      <c r="A46" s="603">
        <v>36</v>
      </c>
      <c r="B46" s="588">
        <v>36</v>
      </c>
      <c r="C46" s="599" t="s">
        <v>3189</v>
      </c>
      <c r="E46" s="660"/>
      <c r="F46" s="660">
        <v>0</v>
      </c>
      <c r="G46" s="660">
        <v>0</v>
      </c>
      <c r="I46" s="660"/>
      <c r="J46" s="660">
        <v>0</v>
      </c>
      <c r="K46" s="660">
        <v>0</v>
      </c>
      <c r="M46" s="660">
        <v>0</v>
      </c>
    </row>
    <row r="47" spans="1:13">
      <c r="A47" s="603">
        <v>37</v>
      </c>
      <c r="B47" s="596">
        <v>37</v>
      </c>
      <c r="C47" s="597" t="s">
        <v>3277</v>
      </c>
      <c r="E47" s="659"/>
      <c r="F47" s="659">
        <v>0</v>
      </c>
      <c r="G47" s="659">
        <v>0</v>
      </c>
      <c r="I47" s="659"/>
      <c r="J47" s="659">
        <v>0</v>
      </c>
      <c r="K47" s="659">
        <v>0</v>
      </c>
      <c r="M47" s="659">
        <v>0</v>
      </c>
    </row>
    <row r="48" spans="1:13">
      <c r="A48" s="603">
        <v>38</v>
      </c>
      <c r="B48" s="588">
        <v>38</v>
      </c>
      <c r="C48" s="599" t="s">
        <v>3278</v>
      </c>
      <c r="E48" s="660"/>
      <c r="F48" s="660">
        <v>0</v>
      </c>
      <c r="G48" s="660">
        <v>0</v>
      </c>
      <c r="I48" s="660"/>
      <c r="J48" s="660">
        <v>0</v>
      </c>
      <c r="K48" s="660">
        <v>0</v>
      </c>
      <c r="M48" s="660">
        <v>0</v>
      </c>
    </row>
    <row r="49" spans="1:13">
      <c r="A49" s="603">
        <v>39</v>
      </c>
      <c r="B49" s="596">
        <v>39</v>
      </c>
      <c r="C49" s="597" t="s">
        <v>3195</v>
      </c>
      <c r="E49" s="659">
        <v>174346660</v>
      </c>
      <c r="F49" s="659">
        <v>0</v>
      </c>
      <c r="G49" s="659">
        <v>174346660</v>
      </c>
      <c r="I49" s="659"/>
      <c r="J49" s="659">
        <v>174346660</v>
      </c>
      <c r="K49" s="659">
        <v>174346660</v>
      </c>
      <c r="M49" s="659">
        <v>0</v>
      </c>
    </row>
    <row r="50" spans="1:13">
      <c r="A50" s="603">
        <v>40</v>
      </c>
      <c r="B50" s="588">
        <v>40</v>
      </c>
      <c r="C50" s="599" t="s">
        <v>3198</v>
      </c>
      <c r="E50" s="660"/>
      <c r="F50" s="660">
        <v>0</v>
      </c>
      <c r="G50" s="660">
        <v>0</v>
      </c>
      <c r="I50" s="660"/>
      <c r="J50" s="660">
        <v>0</v>
      </c>
      <c r="K50" s="660">
        <v>0</v>
      </c>
      <c r="M50" s="660">
        <v>0</v>
      </c>
    </row>
    <row r="51" spans="1:13">
      <c r="A51" s="603">
        <v>41</v>
      </c>
      <c r="B51" s="596">
        <v>41</v>
      </c>
      <c r="C51" s="597" t="s">
        <v>3279</v>
      </c>
      <c r="E51" s="659"/>
      <c r="F51" s="659">
        <v>0</v>
      </c>
      <c r="G51" s="659">
        <v>0</v>
      </c>
      <c r="I51" s="659"/>
      <c r="J51" s="659">
        <v>0</v>
      </c>
      <c r="K51" s="659">
        <v>0</v>
      </c>
      <c r="M51" s="659">
        <v>0</v>
      </c>
    </row>
    <row r="52" spans="1:13">
      <c r="A52" s="603"/>
      <c r="B52" s="588">
        <v>42</v>
      </c>
      <c r="C52" s="599" t="s">
        <v>3280</v>
      </c>
      <c r="E52" s="660"/>
      <c r="F52" s="660">
        <v>0</v>
      </c>
      <c r="G52" s="660">
        <v>0</v>
      </c>
      <c r="I52" s="660"/>
      <c r="J52" s="660">
        <v>0</v>
      </c>
      <c r="K52" s="660">
        <v>0</v>
      </c>
      <c r="M52" s="660">
        <v>0</v>
      </c>
    </row>
    <row r="53" spans="1:13">
      <c r="A53" s="603">
        <v>0</v>
      </c>
      <c r="B53" s="601"/>
      <c r="C53" s="602" t="s">
        <v>3281</v>
      </c>
      <c r="E53" s="658">
        <v>37152</v>
      </c>
      <c r="F53" s="658">
        <v>0</v>
      </c>
      <c r="G53" s="658">
        <v>37152</v>
      </c>
      <c r="I53" s="658">
        <v>0</v>
      </c>
      <c r="J53" s="658">
        <v>0</v>
      </c>
      <c r="K53" s="658">
        <v>0</v>
      </c>
      <c r="M53" s="658">
        <v>37152</v>
      </c>
    </row>
    <row r="54" spans="1:13">
      <c r="A54" s="603">
        <v>43</v>
      </c>
      <c r="B54" s="596">
        <v>43</v>
      </c>
      <c r="C54" s="597" t="s">
        <v>3282</v>
      </c>
      <c r="E54" s="659"/>
      <c r="F54" s="659">
        <v>0</v>
      </c>
      <c r="G54" s="659">
        <v>0</v>
      </c>
      <c r="I54" s="659"/>
      <c r="J54" s="659">
        <v>0</v>
      </c>
      <c r="K54" s="659">
        <v>0</v>
      </c>
      <c r="M54" s="659">
        <v>0</v>
      </c>
    </row>
    <row r="55" spans="1:13">
      <c r="A55" s="603">
        <v>44</v>
      </c>
      <c r="B55" s="588">
        <v>44</v>
      </c>
      <c r="C55" s="599" t="s">
        <v>3283</v>
      </c>
      <c r="E55" s="660"/>
      <c r="F55" s="660">
        <v>0</v>
      </c>
      <c r="G55" s="660">
        <v>0</v>
      </c>
      <c r="I55" s="660"/>
      <c r="J55" s="660">
        <v>0</v>
      </c>
      <c r="K55" s="660">
        <v>0</v>
      </c>
      <c r="M55" s="660">
        <v>0</v>
      </c>
    </row>
    <row r="56" spans="1:13">
      <c r="A56" s="603"/>
      <c r="B56" s="596">
        <v>45</v>
      </c>
      <c r="C56" s="597" t="s">
        <v>3284</v>
      </c>
      <c r="E56" s="659"/>
      <c r="F56" s="659">
        <v>0</v>
      </c>
      <c r="G56" s="659">
        <v>0</v>
      </c>
      <c r="I56" s="659"/>
      <c r="J56" s="659">
        <v>0</v>
      </c>
      <c r="K56" s="659">
        <v>0</v>
      </c>
      <c r="M56" s="659">
        <v>0</v>
      </c>
    </row>
    <row r="57" spans="1:13">
      <c r="A57" s="603"/>
      <c r="B57" s="588">
        <v>46</v>
      </c>
      <c r="C57" s="599" t="s">
        <v>3285</v>
      </c>
      <c r="E57" s="660">
        <v>37152</v>
      </c>
      <c r="F57" s="660">
        <v>0</v>
      </c>
      <c r="G57" s="660">
        <v>37152</v>
      </c>
      <c r="I57" s="660"/>
      <c r="J57" s="660">
        <v>0</v>
      </c>
      <c r="K57" s="660">
        <v>0</v>
      </c>
      <c r="M57" s="660">
        <v>37152</v>
      </c>
    </row>
    <row r="58" spans="1:13">
      <c r="A58" s="603"/>
      <c r="B58" s="596">
        <v>47</v>
      </c>
      <c r="C58" s="597" t="s">
        <v>3286</v>
      </c>
      <c r="E58" s="659"/>
      <c r="F58" s="659">
        <v>0</v>
      </c>
      <c r="G58" s="659">
        <v>0</v>
      </c>
      <c r="I58" s="659"/>
      <c r="J58" s="659">
        <v>0</v>
      </c>
      <c r="K58" s="659">
        <v>0</v>
      </c>
      <c r="M58" s="659">
        <v>0</v>
      </c>
    </row>
    <row r="59" spans="1:13">
      <c r="A59" s="603"/>
      <c r="B59" s="588">
        <v>48</v>
      </c>
      <c r="C59" s="599" t="s">
        <v>3287</v>
      </c>
      <c r="E59" s="660"/>
      <c r="F59" s="660">
        <v>0</v>
      </c>
      <c r="G59" s="660">
        <v>0</v>
      </c>
      <c r="I59" s="660"/>
      <c r="J59" s="660">
        <v>0</v>
      </c>
      <c r="K59" s="660">
        <v>0</v>
      </c>
      <c r="M59" s="660">
        <v>0</v>
      </c>
    </row>
    <row r="60" spans="1:13">
      <c r="A60" s="603"/>
      <c r="B60" s="596">
        <v>49</v>
      </c>
      <c r="C60" s="597" t="s">
        <v>3288</v>
      </c>
      <c r="E60" s="659"/>
      <c r="F60" s="659">
        <v>0</v>
      </c>
      <c r="G60" s="659">
        <v>0</v>
      </c>
      <c r="I60" s="659"/>
      <c r="J60" s="659">
        <v>0</v>
      </c>
      <c r="K60" s="659">
        <v>0</v>
      </c>
      <c r="M60" s="659">
        <v>0</v>
      </c>
    </row>
    <row r="61" spans="1:13">
      <c r="A61" s="603"/>
      <c r="B61" s="588">
        <v>50</v>
      </c>
      <c r="C61" s="599" t="s">
        <v>3289</v>
      </c>
      <c r="E61" s="660"/>
      <c r="F61" s="660">
        <v>0</v>
      </c>
      <c r="G61" s="660">
        <v>0</v>
      </c>
      <c r="I61" s="660"/>
      <c r="J61" s="660">
        <v>0</v>
      </c>
      <c r="K61" s="660">
        <v>0</v>
      </c>
      <c r="M61" s="660">
        <v>0</v>
      </c>
    </row>
    <row r="62" spans="1:13">
      <c r="A62" s="603"/>
      <c r="B62" s="596">
        <v>51</v>
      </c>
      <c r="C62" s="597" t="s">
        <v>3218</v>
      </c>
      <c r="E62" s="659"/>
      <c r="F62" s="659">
        <v>0</v>
      </c>
      <c r="G62" s="659">
        <v>0</v>
      </c>
      <c r="I62" s="659"/>
      <c r="J62" s="659">
        <v>0</v>
      </c>
      <c r="K62" s="659">
        <v>0</v>
      </c>
      <c r="M62" s="659">
        <v>0</v>
      </c>
    </row>
    <row r="63" spans="1:13">
      <c r="A63" s="603">
        <v>0</v>
      </c>
      <c r="B63" s="601"/>
      <c r="C63" s="602" t="s">
        <v>3290</v>
      </c>
      <c r="E63" s="658">
        <v>152778414</v>
      </c>
      <c r="F63" s="658">
        <v>-76389207</v>
      </c>
      <c r="G63" s="658">
        <v>76389207</v>
      </c>
      <c r="I63" s="658">
        <v>0</v>
      </c>
      <c r="J63" s="658">
        <v>76389207</v>
      </c>
      <c r="K63" s="658">
        <v>76389207</v>
      </c>
      <c r="M63" s="658">
        <v>0</v>
      </c>
    </row>
    <row r="64" spans="1:13">
      <c r="A64" s="603">
        <v>52</v>
      </c>
      <c r="B64" s="588">
        <v>52</v>
      </c>
      <c r="C64" s="599" t="s">
        <v>3222</v>
      </c>
      <c r="E64" s="660"/>
      <c r="F64" s="660">
        <v>0</v>
      </c>
      <c r="G64" s="660">
        <v>0</v>
      </c>
      <c r="I64" s="660"/>
      <c r="J64" s="660">
        <v>0</v>
      </c>
      <c r="K64" s="660">
        <v>0</v>
      </c>
      <c r="M64" s="660">
        <v>0</v>
      </c>
    </row>
    <row r="65" spans="1:13">
      <c r="A65" s="603">
        <v>53</v>
      </c>
      <c r="B65" s="596">
        <v>53</v>
      </c>
      <c r="C65" s="597" t="s">
        <v>3225</v>
      </c>
      <c r="E65" s="659"/>
      <c r="F65" s="659">
        <v>0</v>
      </c>
      <c r="G65" s="659">
        <v>0</v>
      </c>
      <c r="I65" s="659"/>
      <c r="J65" s="659">
        <v>0</v>
      </c>
      <c r="K65" s="659">
        <v>0</v>
      </c>
      <c r="M65" s="659">
        <v>0</v>
      </c>
    </row>
    <row r="66" spans="1:13">
      <c r="A66" s="603">
        <v>54</v>
      </c>
      <c r="B66" s="588">
        <v>54</v>
      </c>
      <c r="C66" s="599" t="s">
        <v>3291</v>
      </c>
      <c r="E66" s="660">
        <v>152778414</v>
      </c>
      <c r="F66" s="660">
        <v>-76389207</v>
      </c>
      <c r="G66" s="660">
        <v>76389207</v>
      </c>
      <c r="I66" s="660"/>
      <c r="J66" s="660">
        <v>76389207</v>
      </c>
      <c r="K66" s="660">
        <v>76389207</v>
      </c>
      <c r="M66" s="660">
        <v>0</v>
      </c>
    </row>
    <row r="67" spans="1:13">
      <c r="A67" s="603"/>
      <c r="B67" s="601"/>
      <c r="C67" s="602" t="s">
        <v>3292</v>
      </c>
      <c r="E67" s="658">
        <v>3128000</v>
      </c>
      <c r="F67" s="658">
        <v>10000000</v>
      </c>
      <c r="G67" s="658">
        <v>13128000</v>
      </c>
      <c r="I67" s="658">
        <v>10000000</v>
      </c>
      <c r="J67" s="658">
        <v>3128000</v>
      </c>
      <c r="K67" s="658">
        <v>13128000</v>
      </c>
      <c r="M67" s="658">
        <v>0</v>
      </c>
    </row>
    <row r="68" spans="1:13">
      <c r="A68" s="603"/>
      <c r="B68" s="596">
        <v>55</v>
      </c>
      <c r="C68" s="597" t="s">
        <v>3231</v>
      </c>
      <c r="E68" s="659"/>
      <c r="F68" s="659">
        <v>0</v>
      </c>
      <c r="G68" s="659">
        <v>0</v>
      </c>
      <c r="I68" s="659"/>
      <c r="J68" s="659">
        <v>0</v>
      </c>
      <c r="K68" s="659">
        <v>0</v>
      </c>
      <c r="M68" s="659">
        <v>0</v>
      </c>
    </row>
    <row r="69" spans="1:13">
      <c r="A69" s="603"/>
      <c r="B69" s="588">
        <v>56</v>
      </c>
      <c r="C69" s="599" t="s">
        <v>3293</v>
      </c>
      <c r="E69" s="660">
        <v>3128000</v>
      </c>
      <c r="F69" s="660">
        <v>10000000</v>
      </c>
      <c r="G69" s="660">
        <v>13128000</v>
      </c>
      <c r="I69" s="660">
        <v>10000000</v>
      </c>
      <c r="J69" s="660">
        <v>3128000</v>
      </c>
      <c r="K69" s="660">
        <v>13128000</v>
      </c>
      <c r="M69" s="660">
        <v>0</v>
      </c>
    </row>
    <row r="70" spans="1:13">
      <c r="A70" s="603">
        <v>0</v>
      </c>
      <c r="B70" s="601"/>
      <c r="C70" s="602" t="s">
        <v>340</v>
      </c>
      <c r="E70" s="658">
        <v>4535733</v>
      </c>
      <c r="F70" s="658">
        <v>0</v>
      </c>
      <c r="G70" s="658">
        <v>4535733</v>
      </c>
      <c r="I70" s="658">
        <v>4535733</v>
      </c>
      <c r="J70" s="658">
        <v>0</v>
      </c>
      <c r="K70" s="658">
        <v>4535733</v>
      </c>
      <c r="M70" s="658">
        <v>0</v>
      </c>
    </row>
    <row r="71" spans="1:13">
      <c r="A71" s="603">
        <v>57</v>
      </c>
      <c r="B71" s="596">
        <v>57</v>
      </c>
      <c r="C71" s="597" t="s">
        <v>3294</v>
      </c>
      <c r="E71" s="659">
        <v>4535733</v>
      </c>
      <c r="F71" s="659">
        <v>0</v>
      </c>
      <c r="G71" s="659">
        <v>4535733</v>
      </c>
      <c r="I71" s="659">
        <v>4535733</v>
      </c>
      <c r="J71" s="659">
        <v>0</v>
      </c>
      <c r="K71" s="659">
        <v>4535733</v>
      </c>
      <c r="M71" s="659">
        <v>0</v>
      </c>
    </row>
    <row r="72" spans="1:13">
      <c r="A72" s="603">
        <v>0</v>
      </c>
      <c r="B72" s="601"/>
      <c r="C72" s="602" t="s">
        <v>3295</v>
      </c>
      <c r="E72" s="658">
        <v>39690807</v>
      </c>
      <c r="F72" s="658">
        <v>0</v>
      </c>
      <c r="G72" s="658">
        <v>39690807</v>
      </c>
      <c r="I72" s="658">
        <v>39690807</v>
      </c>
      <c r="J72" s="658">
        <v>0</v>
      </c>
      <c r="K72" s="658">
        <v>39690807</v>
      </c>
      <c r="M72" s="658">
        <v>0</v>
      </c>
    </row>
    <row r="73" spans="1:13">
      <c r="A73" s="603">
        <v>58</v>
      </c>
      <c r="B73" s="588">
        <v>58</v>
      </c>
      <c r="C73" s="599" t="s">
        <v>3296</v>
      </c>
      <c r="E73" s="660">
        <v>39690807</v>
      </c>
      <c r="F73" s="660">
        <v>0</v>
      </c>
      <c r="G73" s="660">
        <v>39690807</v>
      </c>
      <c r="I73" s="660">
        <v>39690807</v>
      </c>
      <c r="J73" s="660">
        <v>0</v>
      </c>
      <c r="K73" s="660">
        <v>39690807</v>
      </c>
      <c r="M73" s="660">
        <v>0</v>
      </c>
    </row>
    <row r="74" spans="1:13">
      <c r="A74" s="603"/>
      <c r="B74" s="601"/>
      <c r="C74" s="602" t="s">
        <v>3297</v>
      </c>
      <c r="E74" s="658">
        <v>0</v>
      </c>
      <c r="F74" s="658">
        <v>0</v>
      </c>
      <c r="G74" s="658">
        <v>0</v>
      </c>
      <c r="I74" s="658">
        <v>0</v>
      </c>
      <c r="J74" s="658">
        <v>0</v>
      </c>
      <c r="K74" s="658">
        <v>0</v>
      </c>
      <c r="M74" s="658">
        <v>0</v>
      </c>
    </row>
    <row r="75" spans="1:13">
      <c r="A75" s="603"/>
      <c r="B75" s="588">
        <v>59</v>
      </c>
      <c r="C75" s="599" t="s">
        <v>3298</v>
      </c>
      <c r="E75" s="660"/>
      <c r="F75" s="660">
        <v>0</v>
      </c>
      <c r="G75" s="660">
        <v>0</v>
      </c>
      <c r="I75" s="660"/>
      <c r="J75" s="660">
        <v>0</v>
      </c>
      <c r="K75" s="660">
        <v>0</v>
      </c>
      <c r="M75" s="660"/>
    </row>
    <row r="76" spans="1:13">
      <c r="A76" s="603"/>
      <c r="B76" s="601"/>
      <c r="C76" s="602" t="s">
        <v>3299</v>
      </c>
      <c r="E76" s="658">
        <v>0</v>
      </c>
      <c r="F76" s="658">
        <v>0</v>
      </c>
      <c r="G76" s="658">
        <v>0</v>
      </c>
      <c r="I76" s="658">
        <v>0</v>
      </c>
      <c r="J76" s="658">
        <v>0</v>
      </c>
      <c r="K76" s="658">
        <v>0</v>
      </c>
      <c r="M76" s="658">
        <v>0</v>
      </c>
    </row>
    <row r="77" spans="1:13">
      <c r="A77" s="603"/>
      <c r="B77" s="588">
        <v>60</v>
      </c>
      <c r="C77" s="599" t="s">
        <v>3300</v>
      </c>
      <c r="E77" s="660"/>
      <c r="F77" s="660">
        <v>0</v>
      </c>
      <c r="G77" s="660">
        <v>0</v>
      </c>
      <c r="I77" s="660"/>
      <c r="J77" s="660">
        <v>0</v>
      </c>
      <c r="K77" s="660">
        <v>0</v>
      </c>
      <c r="M77" s="660"/>
    </row>
    <row r="78" spans="1:13">
      <c r="A78" s="603"/>
      <c r="B78" s="601"/>
      <c r="C78" s="602" t="s">
        <v>3301</v>
      </c>
      <c r="E78" s="658">
        <v>3160600</v>
      </c>
      <c r="F78" s="658">
        <v>0</v>
      </c>
      <c r="G78" s="658">
        <v>3160600</v>
      </c>
      <c r="I78" s="658">
        <v>0</v>
      </c>
      <c r="J78" s="658">
        <v>0</v>
      </c>
      <c r="K78" s="658">
        <v>0</v>
      </c>
      <c r="M78" s="658">
        <v>3160600</v>
      </c>
    </row>
    <row r="79" spans="1:13">
      <c r="A79" s="603"/>
      <c r="B79" s="596">
        <v>61</v>
      </c>
      <c r="C79" s="597" t="s">
        <v>3302</v>
      </c>
      <c r="E79" s="659"/>
      <c r="F79" s="659"/>
      <c r="G79" s="659"/>
      <c r="I79" s="659"/>
      <c r="J79" s="659"/>
      <c r="K79" s="659"/>
      <c r="M79" s="659"/>
    </row>
  </sheetData>
  <mergeCells count="5">
    <mergeCell ref="B3:B4"/>
    <mergeCell ref="C3:C4"/>
    <mergeCell ref="E3:G3"/>
    <mergeCell ref="I3:K3"/>
    <mergeCell ref="M3:M4"/>
  </mergeCells>
  <hyperlinks>
    <hyperlink ref="A1" location="Sommaire!A1" display="Sommaire!A1" xr:uid="{00000000-0004-0000-1700-000000000000}"/>
  </hyperlinks>
  <pageMargins left="0.7" right="0.7" top="0.75" bottom="0.75" header="0.3" footer="0.3"/>
  <pageSetup paperSize="9"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M79"/>
  <sheetViews>
    <sheetView showGridLines="0" zoomScaleNormal="100" workbookViewId="0">
      <selection activeCell="B1" sqref="B1"/>
    </sheetView>
  </sheetViews>
  <sheetFormatPr baseColWidth="10" defaultColWidth="11.33203125" defaultRowHeight="12"/>
  <cols>
    <col min="1" max="1" width="10.1640625" style="588" bestFit="1" customWidth="1"/>
    <col min="2" max="2" width="19" style="588" bestFit="1" customWidth="1"/>
    <col min="3" max="3" width="54.5" style="605" bestFit="1" customWidth="1"/>
    <col min="4" max="4" width="0.6640625" style="590" customWidth="1"/>
    <col min="5" max="5" width="10.5" style="590" bestFit="1" customWidth="1"/>
    <col min="6" max="6" width="10.1640625" style="588" bestFit="1" customWidth="1"/>
    <col min="7" max="7" width="10.5" style="590" bestFit="1" customWidth="1"/>
    <col min="8" max="8" width="0.6640625" style="590" customWidth="1"/>
    <col min="9" max="9" width="8.6640625" style="590" bestFit="1" customWidth="1"/>
    <col min="10" max="10" width="10.1640625" style="590" bestFit="1" customWidth="1"/>
    <col min="11" max="11" width="8.6640625" style="590" bestFit="1" customWidth="1"/>
    <col min="12" max="12" width="0.6640625" style="590" customWidth="1"/>
    <col min="13" max="13" width="13.83203125" style="590" bestFit="1" customWidth="1"/>
    <col min="14" max="16384" width="11.33203125" style="590"/>
  </cols>
  <sheetData>
    <row r="1" spans="1:13" ht="14.5">
      <c r="A1" s="661" t="s">
        <v>140</v>
      </c>
      <c r="C1" s="589" t="s">
        <v>3249</v>
      </c>
      <c r="E1" s="591" t="s">
        <v>228</v>
      </c>
      <c r="F1" s="591" t="s">
        <v>3310</v>
      </c>
      <c r="G1" s="592"/>
      <c r="J1" s="592" t="s">
        <v>3251</v>
      </c>
      <c r="K1" s="592">
        <v>2023</v>
      </c>
    </row>
    <row r="2" spans="1:13">
      <c r="C2" s="593"/>
      <c r="F2" s="590"/>
      <c r="I2" s="590" t="s">
        <v>3252</v>
      </c>
      <c r="J2" s="594">
        <v>604.32574999999997</v>
      </c>
    </row>
    <row r="3" spans="1:13">
      <c r="B3" s="753" t="s">
        <v>143</v>
      </c>
      <c r="C3" s="754" t="s">
        <v>3253</v>
      </c>
      <c r="E3" s="755" t="s">
        <v>2084</v>
      </c>
      <c r="F3" s="755"/>
      <c r="G3" s="755"/>
      <c r="I3" s="755" t="s">
        <v>3254</v>
      </c>
      <c r="J3" s="755"/>
      <c r="K3" s="755"/>
      <c r="M3" s="756" t="s">
        <v>3255</v>
      </c>
    </row>
    <row r="4" spans="1:13">
      <c r="B4" s="753"/>
      <c r="C4" s="754"/>
      <c r="E4" s="595" t="s">
        <v>3256</v>
      </c>
      <c r="F4" s="595" t="s">
        <v>3257</v>
      </c>
      <c r="G4" s="595" t="s">
        <v>3258</v>
      </c>
      <c r="I4" s="595" t="s">
        <v>3256</v>
      </c>
      <c r="J4" s="595" t="s">
        <v>3257</v>
      </c>
      <c r="K4" s="595" t="s">
        <v>3258</v>
      </c>
      <c r="M4" s="756"/>
    </row>
    <row r="5" spans="1:13">
      <c r="B5" s="655" t="s">
        <v>3092</v>
      </c>
      <c r="C5" s="656"/>
      <c r="E5" s="657">
        <v>0</v>
      </c>
      <c r="F5" s="657">
        <v>0</v>
      </c>
      <c r="G5" s="657">
        <v>0</v>
      </c>
      <c r="I5" s="657">
        <v>0</v>
      </c>
      <c r="J5" s="657">
        <v>0</v>
      </c>
      <c r="K5" s="657">
        <v>0</v>
      </c>
      <c r="M5" s="657">
        <v>0</v>
      </c>
    </row>
    <row r="6" spans="1:13">
      <c r="B6" s="596">
        <v>1</v>
      </c>
      <c r="C6" s="597" t="s">
        <v>3259</v>
      </c>
      <c r="E6" s="598"/>
      <c r="F6" s="598">
        <v>0</v>
      </c>
      <c r="G6" s="598">
        <v>0</v>
      </c>
      <c r="I6" s="598"/>
      <c r="J6" s="598">
        <v>0</v>
      </c>
      <c r="K6" s="598">
        <v>0</v>
      </c>
      <c r="M6" s="598">
        <v>0</v>
      </c>
    </row>
    <row r="7" spans="1:13">
      <c r="B7" s="588">
        <v>2</v>
      </c>
      <c r="C7" s="599" t="s">
        <v>3260</v>
      </c>
      <c r="E7" s="600"/>
      <c r="F7" s="600">
        <v>0</v>
      </c>
      <c r="G7" s="600">
        <v>0</v>
      </c>
      <c r="I7" s="600"/>
      <c r="J7" s="600">
        <v>0</v>
      </c>
      <c r="K7" s="600">
        <v>0</v>
      </c>
      <c r="M7" s="600">
        <v>0</v>
      </c>
    </row>
    <row r="8" spans="1:13">
      <c r="B8" s="655" t="s">
        <v>3101</v>
      </c>
      <c r="C8" s="656"/>
      <c r="E8" s="657">
        <v>18336968</v>
      </c>
      <c r="F8" s="657">
        <v>0</v>
      </c>
      <c r="G8" s="657">
        <v>18336968</v>
      </c>
      <c r="I8" s="657">
        <v>263580</v>
      </c>
      <c r="J8" s="657">
        <v>0</v>
      </c>
      <c r="K8" s="657">
        <v>263580</v>
      </c>
      <c r="M8" s="657">
        <v>18073388</v>
      </c>
    </row>
    <row r="9" spans="1:13">
      <c r="B9" s="601"/>
      <c r="C9" s="602" t="s">
        <v>1244</v>
      </c>
      <c r="E9" s="658">
        <v>0</v>
      </c>
      <c r="F9" s="658">
        <v>0</v>
      </c>
      <c r="G9" s="658">
        <v>0</v>
      </c>
      <c r="I9" s="658">
        <v>0</v>
      </c>
      <c r="J9" s="658">
        <v>0</v>
      </c>
      <c r="K9" s="658">
        <v>0</v>
      </c>
      <c r="M9" s="658">
        <v>0</v>
      </c>
    </row>
    <row r="10" spans="1:13">
      <c r="A10" s="603">
        <v>3</v>
      </c>
      <c r="B10" s="596">
        <v>3</v>
      </c>
      <c r="C10" s="597" t="s">
        <v>3261</v>
      </c>
      <c r="E10" s="659"/>
      <c r="F10" s="659">
        <v>0</v>
      </c>
      <c r="G10" s="659">
        <v>0</v>
      </c>
      <c r="I10" s="659"/>
      <c r="J10" s="659">
        <v>0</v>
      </c>
      <c r="K10" s="659">
        <v>0</v>
      </c>
      <c r="M10" s="659">
        <v>0</v>
      </c>
    </row>
    <row r="11" spans="1:13">
      <c r="A11" s="603">
        <v>4</v>
      </c>
      <c r="B11" s="588">
        <v>4</v>
      </c>
      <c r="C11" s="599" t="s">
        <v>3106</v>
      </c>
      <c r="E11" s="660"/>
      <c r="F11" s="660">
        <v>0</v>
      </c>
      <c r="G11" s="660">
        <v>0</v>
      </c>
      <c r="I11" s="660"/>
      <c r="J11" s="660">
        <v>0</v>
      </c>
      <c r="K11" s="660">
        <v>0</v>
      </c>
      <c r="M11" s="660">
        <v>0</v>
      </c>
    </row>
    <row r="12" spans="1:13">
      <c r="A12" s="603">
        <v>5</v>
      </c>
      <c r="B12" s="596">
        <v>5</v>
      </c>
      <c r="C12" s="597" t="s">
        <v>3262</v>
      </c>
      <c r="E12" s="659"/>
      <c r="F12" s="659">
        <v>0</v>
      </c>
      <c r="G12" s="659">
        <v>0</v>
      </c>
      <c r="I12" s="659"/>
      <c r="J12" s="659">
        <v>0</v>
      </c>
      <c r="K12" s="659">
        <v>0</v>
      </c>
      <c r="M12" s="659">
        <v>0</v>
      </c>
    </row>
    <row r="13" spans="1:13">
      <c r="A13" s="603">
        <v>6</v>
      </c>
      <c r="B13" s="588">
        <v>6</v>
      </c>
      <c r="C13" s="599" t="s">
        <v>3263</v>
      </c>
      <c r="E13" s="660"/>
      <c r="F13" s="660">
        <v>0</v>
      </c>
      <c r="G13" s="660">
        <v>0</v>
      </c>
      <c r="I13" s="660"/>
      <c r="J13" s="660">
        <v>0</v>
      </c>
      <c r="K13" s="660">
        <v>0</v>
      </c>
      <c r="M13" s="660">
        <v>0</v>
      </c>
    </row>
    <row r="14" spans="1:13">
      <c r="A14" s="603">
        <v>7</v>
      </c>
      <c r="B14" s="596">
        <v>7</v>
      </c>
      <c r="C14" s="597" t="s">
        <v>3114</v>
      </c>
      <c r="E14" s="659"/>
      <c r="F14" s="659">
        <v>0</v>
      </c>
      <c r="G14" s="659">
        <v>0</v>
      </c>
      <c r="I14" s="659"/>
      <c r="J14" s="659">
        <v>0</v>
      </c>
      <c r="K14" s="659">
        <v>0</v>
      </c>
      <c r="M14" s="659">
        <v>0</v>
      </c>
    </row>
    <row r="15" spans="1:13">
      <c r="A15" s="603">
        <v>0</v>
      </c>
      <c r="B15" s="601"/>
      <c r="C15" s="602" t="s">
        <v>1253</v>
      </c>
      <c r="E15" s="658">
        <v>0</v>
      </c>
      <c r="F15" s="658">
        <v>0</v>
      </c>
      <c r="G15" s="658">
        <v>0</v>
      </c>
      <c r="I15" s="658">
        <v>0</v>
      </c>
      <c r="J15" s="658">
        <v>0</v>
      </c>
      <c r="K15" s="658">
        <v>0</v>
      </c>
      <c r="M15" s="658">
        <v>0</v>
      </c>
    </row>
    <row r="16" spans="1:13">
      <c r="A16" s="603">
        <v>8</v>
      </c>
      <c r="B16" s="588">
        <v>8</v>
      </c>
      <c r="C16" s="599" t="s">
        <v>3264</v>
      </c>
      <c r="E16" s="660"/>
      <c r="F16" s="660">
        <v>0</v>
      </c>
      <c r="G16" s="660">
        <v>0</v>
      </c>
      <c r="I16" s="660"/>
      <c r="J16" s="660">
        <v>0</v>
      </c>
      <c r="K16" s="660">
        <v>0</v>
      </c>
      <c r="M16" s="660">
        <v>0</v>
      </c>
    </row>
    <row r="17" spans="1:13">
      <c r="A17" s="603">
        <v>9</v>
      </c>
      <c r="B17" s="596">
        <v>9</v>
      </c>
      <c r="C17" s="597" t="s">
        <v>3265</v>
      </c>
      <c r="E17" s="659"/>
      <c r="F17" s="659">
        <v>0</v>
      </c>
      <c r="G17" s="659">
        <v>0</v>
      </c>
      <c r="I17" s="659"/>
      <c r="J17" s="659">
        <v>0</v>
      </c>
      <c r="K17" s="659">
        <v>0</v>
      </c>
      <c r="M17" s="659">
        <v>0</v>
      </c>
    </row>
    <row r="18" spans="1:13">
      <c r="A18" s="603"/>
      <c r="B18" s="588">
        <v>10</v>
      </c>
      <c r="C18" s="599" t="s">
        <v>3122</v>
      </c>
      <c r="E18" s="660"/>
      <c r="F18" s="660">
        <v>0</v>
      </c>
      <c r="G18" s="660">
        <v>0</v>
      </c>
      <c r="I18" s="660"/>
      <c r="J18" s="660">
        <v>0</v>
      </c>
      <c r="K18" s="660">
        <v>0</v>
      </c>
      <c r="M18" s="660">
        <v>0</v>
      </c>
    </row>
    <row r="19" spans="1:13">
      <c r="A19" s="603">
        <v>11</v>
      </c>
      <c r="B19" s="596">
        <v>11</v>
      </c>
      <c r="C19" s="597" t="s">
        <v>3124</v>
      </c>
      <c r="E19" s="659"/>
      <c r="F19" s="659">
        <v>0</v>
      </c>
      <c r="G19" s="659">
        <v>0</v>
      </c>
      <c r="I19" s="659"/>
      <c r="J19" s="659">
        <v>0</v>
      </c>
      <c r="K19" s="659">
        <v>0</v>
      </c>
      <c r="M19" s="659">
        <v>0</v>
      </c>
    </row>
    <row r="20" spans="1:13">
      <c r="A20" s="603">
        <v>12</v>
      </c>
      <c r="B20" s="588">
        <v>12</v>
      </c>
      <c r="C20" s="599" t="s">
        <v>3266</v>
      </c>
      <c r="E20" s="660"/>
      <c r="F20" s="660">
        <v>0</v>
      </c>
      <c r="G20" s="660">
        <v>0</v>
      </c>
      <c r="I20" s="660"/>
      <c r="J20" s="660">
        <v>0</v>
      </c>
      <c r="K20" s="660">
        <v>0</v>
      </c>
      <c r="M20" s="660">
        <v>0</v>
      </c>
    </row>
    <row r="21" spans="1:13">
      <c r="A21" s="603">
        <v>13</v>
      </c>
      <c r="B21" s="596">
        <v>13</v>
      </c>
      <c r="C21" s="597" t="s">
        <v>3267</v>
      </c>
      <c r="E21" s="659"/>
      <c r="F21" s="659">
        <v>0</v>
      </c>
      <c r="G21" s="659">
        <v>0</v>
      </c>
      <c r="I21" s="659"/>
      <c r="J21" s="659">
        <v>0</v>
      </c>
      <c r="K21" s="659">
        <v>0</v>
      </c>
      <c r="M21" s="659">
        <v>0</v>
      </c>
    </row>
    <row r="22" spans="1:13">
      <c r="A22" s="603">
        <v>14</v>
      </c>
      <c r="B22" s="588">
        <v>14</v>
      </c>
      <c r="C22" s="599" t="s">
        <v>3268</v>
      </c>
      <c r="E22" s="660"/>
      <c r="F22" s="660">
        <v>0</v>
      </c>
      <c r="G22" s="660">
        <v>0</v>
      </c>
      <c r="I22" s="660"/>
      <c r="J22" s="660">
        <v>0</v>
      </c>
      <c r="K22" s="660">
        <v>0</v>
      </c>
      <c r="M22" s="660">
        <v>0</v>
      </c>
    </row>
    <row r="23" spans="1:13">
      <c r="A23" s="603">
        <v>15</v>
      </c>
      <c r="B23" s="596">
        <v>15</v>
      </c>
      <c r="C23" s="597" t="s">
        <v>3133</v>
      </c>
      <c r="E23" s="659"/>
      <c r="F23" s="659">
        <v>0</v>
      </c>
      <c r="G23" s="659">
        <v>0</v>
      </c>
      <c r="I23" s="659"/>
      <c r="J23" s="659">
        <v>0</v>
      </c>
      <c r="K23" s="659">
        <v>0</v>
      </c>
      <c r="M23" s="659">
        <v>0</v>
      </c>
    </row>
    <row r="24" spans="1:13">
      <c r="A24" s="603">
        <v>16</v>
      </c>
      <c r="B24" s="588">
        <v>16</v>
      </c>
      <c r="C24" s="599" t="s">
        <v>3136</v>
      </c>
      <c r="E24" s="660"/>
      <c r="F24" s="660">
        <v>0</v>
      </c>
      <c r="G24" s="660">
        <v>0</v>
      </c>
      <c r="I24" s="660"/>
      <c r="J24" s="660">
        <v>0</v>
      </c>
      <c r="K24" s="660">
        <v>0</v>
      </c>
      <c r="M24" s="660">
        <v>0</v>
      </c>
    </row>
    <row r="25" spans="1:13">
      <c r="A25" s="603">
        <v>0</v>
      </c>
      <c r="B25" s="601"/>
      <c r="C25" s="602" t="s">
        <v>3269</v>
      </c>
      <c r="E25" s="658">
        <v>0</v>
      </c>
      <c r="F25" s="658">
        <v>0</v>
      </c>
      <c r="G25" s="658">
        <v>0</v>
      </c>
      <c r="I25" s="658">
        <v>0</v>
      </c>
      <c r="J25" s="658">
        <v>0</v>
      </c>
      <c r="K25" s="658">
        <v>0</v>
      </c>
      <c r="M25" s="658">
        <v>0</v>
      </c>
    </row>
    <row r="26" spans="1:13">
      <c r="A26" s="603">
        <v>17</v>
      </c>
      <c r="B26" s="596">
        <v>17</v>
      </c>
      <c r="C26" s="597" t="s">
        <v>3270</v>
      </c>
      <c r="E26" s="659"/>
      <c r="F26" s="659">
        <v>0</v>
      </c>
      <c r="G26" s="659">
        <v>0</v>
      </c>
      <c r="I26" s="659"/>
      <c r="J26" s="659">
        <v>0</v>
      </c>
      <c r="K26" s="659">
        <v>0</v>
      </c>
      <c r="M26" s="659">
        <v>0</v>
      </c>
    </row>
    <row r="27" spans="1:13">
      <c r="A27" s="603">
        <v>18</v>
      </c>
      <c r="B27" s="588">
        <v>18</v>
      </c>
      <c r="C27" s="599" t="s">
        <v>3141</v>
      </c>
      <c r="E27" s="660"/>
      <c r="F27" s="660">
        <v>0</v>
      </c>
      <c r="G27" s="660">
        <v>0</v>
      </c>
      <c r="I27" s="660"/>
      <c r="J27" s="660">
        <v>0</v>
      </c>
      <c r="K27" s="660">
        <v>0</v>
      </c>
      <c r="M27" s="660">
        <v>0</v>
      </c>
    </row>
    <row r="28" spans="1:13">
      <c r="A28" s="603">
        <v>19</v>
      </c>
      <c r="B28" s="596">
        <v>19</v>
      </c>
      <c r="C28" s="597" t="s">
        <v>3144</v>
      </c>
      <c r="E28" s="659"/>
      <c r="F28" s="659">
        <v>0</v>
      </c>
      <c r="G28" s="659">
        <v>0</v>
      </c>
      <c r="I28" s="659"/>
      <c r="J28" s="659">
        <v>0</v>
      </c>
      <c r="K28" s="659">
        <v>0</v>
      </c>
      <c r="M28" s="659">
        <v>0</v>
      </c>
    </row>
    <row r="29" spans="1:13">
      <c r="A29" s="603">
        <v>20</v>
      </c>
      <c r="B29" s="588">
        <v>20</v>
      </c>
      <c r="C29" s="599" t="s">
        <v>3147</v>
      </c>
      <c r="E29" s="660"/>
      <c r="F29" s="660">
        <v>0</v>
      </c>
      <c r="G29" s="660">
        <v>0</v>
      </c>
      <c r="I29" s="660"/>
      <c r="J29" s="660">
        <v>0</v>
      </c>
      <c r="K29" s="660">
        <v>0</v>
      </c>
      <c r="M29" s="660">
        <v>0</v>
      </c>
    </row>
    <row r="30" spans="1:13">
      <c r="A30" s="603">
        <v>21</v>
      </c>
      <c r="B30" s="596">
        <v>21</v>
      </c>
      <c r="C30" s="597" t="s">
        <v>3271</v>
      </c>
      <c r="E30" s="659"/>
      <c r="F30" s="659">
        <v>0</v>
      </c>
      <c r="G30" s="659">
        <v>0</v>
      </c>
      <c r="I30" s="659"/>
      <c r="J30" s="659">
        <v>0</v>
      </c>
      <c r="K30" s="659">
        <v>0</v>
      </c>
      <c r="M30" s="659">
        <v>0</v>
      </c>
    </row>
    <row r="31" spans="1:13">
      <c r="A31" s="603">
        <v>22</v>
      </c>
      <c r="B31" s="588">
        <v>22</v>
      </c>
      <c r="C31" s="599" t="s">
        <v>3272</v>
      </c>
      <c r="E31" s="660"/>
      <c r="F31" s="660">
        <v>0</v>
      </c>
      <c r="G31" s="660">
        <v>0</v>
      </c>
      <c r="I31" s="660"/>
      <c r="J31" s="660">
        <v>0</v>
      </c>
      <c r="K31" s="660">
        <v>0</v>
      </c>
      <c r="M31" s="660">
        <v>0</v>
      </c>
    </row>
    <row r="32" spans="1:13">
      <c r="A32" s="603">
        <v>23</v>
      </c>
      <c r="B32" s="596">
        <v>23</v>
      </c>
      <c r="C32" s="597" t="s">
        <v>3273</v>
      </c>
      <c r="E32" s="659"/>
      <c r="F32" s="659">
        <v>0</v>
      </c>
      <c r="G32" s="659">
        <v>0</v>
      </c>
      <c r="I32" s="659"/>
      <c r="J32" s="659">
        <v>0</v>
      </c>
      <c r="K32" s="659">
        <v>0</v>
      </c>
      <c r="M32" s="659">
        <v>0</v>
      </c>
    </row>
    <row r="33" spans="1:13">
      <c r="A33" s="603">
        <v>24</v>
      </c>
      <c r="B33" s="588">
        <v>24</v>
      </c>
      <c r="C33" s="599" t="s">
        <v>3158</v>
      </c>
      <c r="E33" s="660"/>
      <c r="F33" s="660">
        <v>0</v>
      </c>
      <c r="G33" s="660">
        <v>0</v>
      </c>
      <c r="I33" s="660"/>
      <c r="J33" s="660">
        <v>0</v>
      </c>
      <c r="K33" s="660">
        <v>0</v>
      </c>
      <c r="M33" s="660">
        <v>0</v>
      </c>
    </row>
    <row r="34" spans="1:13" s="604" customFormat="1">
      <c r="A34" s="603">
        <v>25</v>
      </c>
      <c r="B34" s="596">
        <v>25</v>
      </c>
      <c r="C34" s="597" t="s">
        <v>3274</v>
      </c>
      <c r="D34" s="590"/>
      <c r="E34" s="659"/>
      <c r="F34" s="659">
        <v>0</v>
      </c>
      <c r="G34" s="659">
        <v>0</v>
      </c>
      <c r="H34" s="590"/>
      <c r="I34" s="659"/>
      <c r="J34" s="659">
        <v>0</v>
      </c>
      <c r="K34" s="659">
        <v>0</v>
      </c>
      <c r="L34" s="590"/>
      <c r="M34" s="659">
        <v>0</v>
      </c>
    </row>
    <row r="35" spans="1:13">
      <c r="A35" s="603">
        <v>26</v>
      </c>
      <c r="B35" s="588">
        <v>26</v>
      </c>
      <c r="C35" s="599" t="s">
        <v>3275</v>
      </c>
      <c r="E35" s="660"/>
      <c r="F35" s="660">
        <v>0</v>
      </c>
      <c r="G35" s="660">
        <v>0</v>
      </c>
      <c r="I35" s="660"/>
      <c r="J35" s="660">
        <v>0</v>
      </c>
      <c r="K35" s="660">
        <v>0</v>
      </c>
      <c r="M35" s="660">
        <v>0</v>
      </c>
    </row>
    <row r="36" spans="1:13">
      <c r="A36" s="603">
        <v>0</v>
      </c>
      <c r="B36" s="601"/>
      <c r="C36" s="602" t="s">
        <v>3276</v>
      </c>
      <c r="E36" s="658">
        <v>18336968</v>
      </c>
      <c r="F36" s="658">
        <v>0</v>
      </c>
      <c r="G36" s="658">
        <v>18336968</v>
      </c>
      <c r="I36" s="658">
        <v>0</v>
      </c>
      <c r="J36" s="658">
        <v>0</v>
      </c>
      <c r="K36" s="658">
        <v>0</v>
      </c>
      <c r="M36" s="658">
        <v>18336968</v>
      </c>
    </row>
    <row r="37" spans="1:13">
      <c r="A37" s="603">
        <v>27</v>
      </c>
      <c r="B37" s="596">
        <v>27</v>
      </c>
      <c r="C37" s="597" t="s">
        <v>3164</v>
      </c>
      <c r="E37" s="659"/>
      <c r="F37" s="659">
        <v>0</v>
      </c>
      <c r="G37" s="659">
        <v>0</v>
      </c>
      <c r="I37" s="659"/>
      <c r="J37" s="659">
        <v>0</v>
      </c>
      <c r="K37" s="659">
        <v>0</v>
      </c>
      <c r="M37" s="659">
        <v>0</v>
      </c>
    </row>
    <row r="38" spans="1:13">
      <c r="A38" s="603">
        <v>28</v>
      </c>
      <c r="B38" s="588">
        <v>28</v>
      </c>
      <c r="C38" s="599" t="s">
        <v>3167</v>
      </c>
      <c r="E38" s="660"/>
      <c r="F38" s="660">
        <v>0</v>
      </c>
      <c r="G38" s="660">
        <v>0</v>
      </c>
      <c r="I38" s="660"/>
      <c r="J38" s="660">
        <v>0</v>
      </c>
      <c r="K38" s="660">
        <v>0</v>
      </c>
      <c r="M38" s="660">
        <v>0</v>
      </c>
    </row>
    <row r="39" spans="1:13">
      <c r="A39" s="603">
        <v>29</v>
      </c>
      <c r="B39" s="596">
        <v>29</v>
      </c>
      <c r="C39" s="597" t="s">
        <v>3170</v>
      </c>
      <c r="E39" s="659"/>
      <c r="F39" s="659">
        <v>0</v>
      </c>
      <c r="G39" s="659">
        <v>0</v>
      </c>
      <c r="I39" s="659"/>
      <c r="J39" s="659">
        <v>0</v>
      </c>
      <c r="K39" s="659">
        <v>0</v>
      </c>
      <c r="M39" s="659">
        <v>0</v>
      </c>
    </row>
    <row r="40" spans="1:13">
      <c r="A40" s="603">
        <v>30</v>
      </c>
      <c r="B40" s="588">
        <v>30</v>
      </c>
      <c r="C40" s="599" t="s">
        <v>3173</v>
      </c>
      <c r="E40" s="660">
        <v>2624832</v>
      </c>
      <c r="F40" s="660">
        <v>0</v>
      </c>
      <c r="G40" s="660">
        <v>2624832</v>
      </c>
      <c r="I40" s="660"/>
      <c r="J40" s="660">
        <v>0</v>
      </c>
      <c r="K40" s="660">
        <v>0</v>
      </c>
      <c r="M40" s="660">
        <v>2624832</v>
      </c>
    </row>
    <row r="41" spans="1:13">
      <c r="A41" s="603">
        <v>31</v>
      </c>
      <c r="B41" s="596">
        <v>31</v>
      </c>
      <c r="C41" s="597" t="s">
        <v>3176</v>
      </c>
      <c r="E41" s="659"/>
      <c r="F41" s="659">
        <v>0</v>
      </c>
      <c r="G41" s="659">
        <v>0</v>
      </c>
      <c r="I41" s="659"/>
      <c r="J41" s="659">
        <v>0</v>
      </c>
      <c r="K41" s="659">
        <v>0</v>
      </c>
      <c r="M41" s="659">
        <v>0</v>
      </c>
    </row>
    <row r="42" spans="1:13">
      <c r="A42" s="603">
        <v>32</v>
      </c>
      <c r="B42" s="588">
        <v>32</v>
      </c>
      <c r="C42" s="599" t="s">
        <v>3178</v>
      </c>
      <c r="E42" s="660">
        <v>5843269</v>
      </c>
      <c r="F42" s="660">
        <v>-983937</v>
      </c>
      <c r="G42" s="660">
        <v>4859332</v>
      </c>
      <c r="I42" s="660"/>
      <c r="J42" s="660">
        <v>0</v>
      </c>
      <c r="K42" s="660">
        <v>0</v>
      </c>
      <c r="M42" s="660">
        <v>4859332</v>
      </c>
    </row>
    <row r="43" spans="1:13">
      <c r="A43" s="603">
        <v>33</v>
      </c>
      <c r="B43" s="596">
        <v>33</v>
      </c>
      <c r="C43" s="597" t="s">
        <v>3181</v>
      </c>
      <c r="E43" s="659"/>
      <c r="F43" s="659">
        <v>0</v>
      </c>
      <c r="G43" s="659">
        <v>0</v>
      </c>
      <c r="I43" s="659"/>
      <c r="J43" s="659">
        <v>0</v>
      </c>
      <c r="K43" s="659">
        <v>0</v>
      </c>
      <c r="M43" s="659">
        <v>0</v>
      </c>
    </row>
    <row r="44" spans="1:13">
      <c r="A44" s="603">
        <v>34</v>
      </c>
      <c r="B44" s="588">
        <v>34</v>
      </c>
      <c r="C44" s="599" t="s">
        <v>3184</v>
      </c>
      <c r="E44" s="660">
        <v>4168687</v>
      </c>
      <c r="F44" s="660">
        <v>983937</v>
      </c>
      <c r="G44" s="660">
        <v>5152624</v>
      </c>
      <c r="I44" s="660"/>
      <c r="J44" s="660">
        <v>0</v>
      </c>
      <c r="K44" s="660">
        <v>0</v>
      </c>
      <c r="M44" s="660">
        <v>5152624</v>
      </c>
    </row>
    <row r="45" spans="1:13">
      <c r="A45" s="603">
        <v>35</v>
      </c>
      <c r="B45" s="596">
        <v>35</v>
      </c>
      <c r="C45" s="597" t="s">
        <v>3186</v>
      </c>
      <c r="E45" s="659"/>
      <c r="F45" s="659">
        <v>0</v>
      </c>
      <c r="G45" s="659">
        <v>0</v>
      </c>
      <c r="I45" s="659"/>
      <c r="J45" s="659">
        <v>0</v>
      </c>
      <c r="K45" s="659">
        <v>0</v>
      </c>
      <c r="M45" s="659">
        <v>0</v>
      </c>
    </row>
    <row r="46" spans="1:13">
      <c r="A46" s="603">
        <v>36</v>
      </c>
      <c r="B46" s="588">
        <v>36</v>
      </c>
      <c r="C46" s="599" t="s">
        <v>3189</v>
      </c>
      <c r="E46" s="660"/>
      <c r="F46" s="660">
        <v>0</v>
      </c>
      <c r="G46" s="660">
        <v>0</v>
      </c>
      <c r="I46" s="660"/>
      <c r="J46" s="660">
        <v>0</v>
      </c>
      <c r="K46" s="660">
        <v>0</v>
      </c>
      <c r="M46" s="660">
        <v>0</v>
      </c>
    </row>
    <row r="47" spans="1:13">
      <c r="A47" s="603">
        <v>37</v>
      </c>
      <c r="B47" s="596">
        <v>37</v>
      </c>
      <c r="C47" s="597" t="s">
        <v>3277</v>
      </c>
      <c r="E47" s="659"/>
      <c r="F47" s="659">
        <v>0</v>
      </c>
      <c r="G47" s="659">
        <v>0</v>
      </c>
      <c r="I47" s="659"/>
      <c r="J47" s="659">
        <v>0</v>
      </c>
      <c r="K47" s="659">
        <v>0</v>
      </c>
      <c r="M47" s="659">
        <v>0</v>
      </c>
    </row>
    <row r="48" spans="1:13">
      <c r="A48" s="603">
        <v>38</v>
      </c>
      <c r="B48" s="588">
        <v>38</v>
      </c>
      <c r="C48" s="599" t="s">
        <v>3278</v>
      </c>
      <c r="E48" s="660"/>
      <c r="F48" s="660">
        <v>0</v>
      </c>
      <c r="G48" s="660">
        <v>0</v>
      </c>
      <c r="I48" s="660"/>
      <c r="J48" s="660">
        <v>0</v>
      </c>
      <c r="K48" s="660">
        <v>0</v>
      </c>
      <c r="M48" s="660">
        <v>0</v>
      </c>
    </row>
    <row r="49" spans="1:13">
      <c r="A49" s="603">
        <v>39</v>
      </c>
      <c r="B49" s="596">
        <v>39</v>
      </c>
      <c r="C49" s="597" t="s">
        <v>3195</v>
      </c>
      <c r="E49" s="659">
        <v>5700180</v>
      </c>
      <c r="F49" s="659">
        <v>0</v>
      </c>
      <c r="G49" s="659">
        <v>5700180</v>
      </c>
      <c r="I49" s="659"/>
      <c r="J49" s="659">
        <v>0</v>
      </c>
      <c r="K49" s="659">
        <v>0</v>
      </c>
      <c r="M49" s="659">
        <v>5700180</v>
      </c>
    </row>
    <row r="50" spans="1:13">
      <c r="A50" s="603">
        <v>40</v>
      </c>
      <c r="B50" s="588">
        <v>40</v>
      </c>
      <c r="C50" s="599" t="s">
        <v>3198</v>
      </c>
      <c r="E50" s="660"/>
      <c r="F50" s="660">
        <v>0</v>
      </c>
      <c r="G50" s="660">
        <v>0</v>
      </c>
      <c r="I50" s="660"/>
      <c r="J50" s="660">
        <v>0</v>
      </c>
      <c r="K50" s="660">
        <v>0</v>
      </c>
      <c r="M50" s="660">
        <v>0</v>
      </c>
    </row>
    <row r="51" spans="1:13">
      <c r="A51" s="603">
        <v>41</v>
      </c>
      <c r="B51" s="596">
        <v>41</v>
      </c>
      <c r="C51" s="597" t="s">
        <v>3279</v>
      </c>
      <c r="E51" s="659"/>
      <c r="F51" s="659">
        <v>0</v>
      </c>
      <c r="G51" s="659">
        <v>0</v>
      </c>
      <c r="I51" s="659"/>
      <c r="J51" s="659">
        <v>0</v>
      </c>
      <c r="K51" s="659">
        <v>0</v>
      </c>
      <c r="M51" s="659">
        <v>0</v>
      </c>
    </row>
    <row r="52" spans="1:13">
      <c r="A52" s="603"/>
      <c r="B52" s="588">
        <v>42</v>
      </c>
      <c r="C52" s="599" t="s">
        <v>3280</v>
      </c>
      <c r="E52" s="660"/>
      <c r="F52" s="660">
        <v>0</v>
      </c>
      <c r="G52" s="660">
        <v>0</v>
      </c>
      <c r="I52" s="660"/>
      <c r="J52" s="660">
        <v>0</v>
      </c>
      <c r="K52" s="660">
        <v>0</v>
      </c>
      <c r="M52" s="660">
        <v>0</v>
      </c>
    </row>
    <row r="53" spans="1:13">
      <c r="A53" s="603">
        <v>0</v>
      </c>
      <c r="B53" s="601"/>
      <c r="C53" s="602" t="s">
        <v>3281</v>
      </c>
      <c r="E53" s="658">
        <v>0</v>
      </c>
      <c r="F53" s="658">
        <v>0</v>
      </c>
      <c r="G53" s="658">
        <v>0</v>
      </c>
      <c r="I53" s="658">
        <v>263580</v>
      </c>
      <c r="J53" s="658">
        <v>0</v>
      </c>
      <c r="K53" s="658">
        <v>263580</v>
      </c>
      <c r="M53" s="658">
        <v>-263580</v>
      </c>
    </row>
    <row r="54" spans="1:13">
      <c r="A54" s="603">
        <v>43</v>
      </c>
      <c r="B54" s="596">
        <v>43</v>
      </c>
      <c r="C54" s="597" t="s">
        <v>3282</v>
      </c>
      <c r="E54" s="659"/>
      <c r="F54" s="659">
        <v>0</v>
      </c>
      <c r="G54" s="659">
        <v>0</v>
      </c>
      <c r="I54" s="659"/>
      <c r="J54" s="659">
        <v>0</v>
      </c>
      <c r="K54" s="659">
        <v>0</v>
      </c>
      <c r="M54" s="659">
        <v>0</v>
      </c>
    </row>
    <row r="55" spans="1:13">
      <c r="A55" s="603">
        <v>44</v>
      </c>
      <c r="B55" s="588">
        <v>44</v>
      </c>
      <c r="C55" s="599" t="s">
        <v>3283</v>
      </c>
      <c r="E55" s="660"/>
      <c r="F55" s="660">
        <v>0</v>
      </c>
      <c r="G55" s="660">
        <v>0</v>
      </c>
      <c r="I55" s="660">
        <v>91680</v>
      </c>
      <c r="J55" s="660">
        <v>0</v>
      </c>
      <c r="K55" s="660">
        <v>91680</v>
      </c>
      <c r="M55" s="660">
        <v>-91680</v>
      </c>
    </row>
    <row r="56" spans="1:13">
      <c r="A56" s="603"/>
      <c r="B56" s="596">
        <v>45</v>
      </c>
      <c r="C56" s="597" t="s">
        <v>3284</v>
      </c>
      <c r="E56" s="659"/>
      <c r="F56" s="659">
        <v>0</v>
      </c>
      <c r="G56" s="659">
        <v>0</v>
      </c>
      <c r="I56" s="659">
        <v>114600</v>
      </c>
      <c r="J56" s="659">
        <v>0</v>
      </c>
      <c r="K56" s="659">
        <v>114600</v>
      </c>
      <c r="M56" s="659">
        <v>-114600</v>
      </c>
    </row>
    <row r="57" spans="1:13">
      <c r="A57" s="603"/>
      <c r="B57" s="588">
        <v>46</v>
      </c>
      <c r="C57" s="599" t="s">
        <v>3285</v>
      </c>
      <c r="E57" s="660"/>
      <c r="F57" s="660">
        <v>0</v>
      </c>
      <c r="G57" s="660">
        <v>0</v>
      </c>
      <c r="I57" s="660"/>
      <c r="J57" s="660">
        <v>0</v>
      </c>
      <c r="K57" s="660">
        <v>0</v>
      </c>
      <c r="M57" s="660">
        <v>0</v>
      </c>
    </row>
    <row r="58" spans="1:13">
      <c r="A58" s="603"/>
      <c r="B58" s="596">
        <v>47</v>
      </c>
      <c r="C58" s="597" t="s">
        <v>3286</v>
      </c>
      <c r="E58" s="659"/>
      <c r="F58" s="659">
        <v>0</v>
      </c>
      <c r="G58" s="659">
        <v>0</v>
      </c>
      <c r="I58" s="659">
        <v>57300</v>
      </c>
      <c r="J58" s="659">
        <v>0</v>
      </c>
      <c r="K58" s="659">
        <v>57300</v>
      </c>
      <c r="M58" s="659">
        <v>-57300</v>
      </c>
    </row>
    <row r="59" spans="1:13">
      <c r="A59" s="603"/>
      <c r="B59" s="588">
        <v>48</v>
      </c>
      <c r="C59" s="599" t="s">
        <v>3287</v>
      </c>
      <c r="E59" s="660"/>
      <c r="F59" s="660">
        <v>0</v>
      </c>
      <c r="G59" s="660">
        <v>0</v>
      </c>
      <c r="I59" s="660"/>
      <c r="J59" s="660">
        <v>0</v>
      </c>
      <c r="K59" s="660">
        <v>0</v>
      </c>
      <c r="M59" s="660">
        <v>0</v>
      </c>
    </row>
    <row r="60" spans="1:13">
      <c r="A60" s="603"/>
      <c r="B60" s="596">
        <v>49</v>
      </c>
      <c r="C60" s="597" t="s">
        <v>3288</v>
      </c>
      <c r="E60" s="659"/>
      <c r="F60" s="659">
        <v>0</v>
      </c>
      <c r="G60" s="659">
        <v>0</v>
      </c>
      <c r="I60" s="659"/>
      <c r="J60" s="659">
        <v>0</v>
      </c>
      <c r="K60" s="659">
        <v>0</v>
      </c>
      <c r="M60" s="659">
        <v>0</v>
      </c>
    </row>
    <row r="61" spans="1:13">
      <c r="A61" s="603"/>
      <c r="B61" s="588">
        <v>50</v>
      </c>
      <c r="C61" s="599" t="s">
        <v>3289</v>
      </c>
      <c r="E61" s="660"/>
      <c r="F61" s="660">
        <v>0</v>
      </c>
      <c r="G61" s="660">
        <v>0</v>
      </c>
      <c r="I61" s="660"/>
      <c r="J61" s="660">
        <v>0</v>
      </c>
      <c r="K61" s="660">
        <v>0</v>
      </c>
      <c r="M61" s="660">
        <v>0</v>
      </c>
    </row>
    <row r="62" spans="1:13">
      <c r="A62" s="603"/>
      <c r="B62" s="596">
        <v>51</v>
      </c>
      <c r="C62" s="597" t="s">
        <v>3218</v>
      </c>
      <c r="E62" s="659"/>
      <c r="F62" s="659">
        <v>0</v>
      </c>
      <c r="G62" s="659">
        <v>0</v>
      </c>
      <c r="I62" s="659"/>
      <c r="J62" s="659">
        <v>0</v>
      </c>
      <c r="K62" s="659">
        <v>0</v>
      </c>
      <c r="M62" s="659">
        <v>0</v>
      </c>
    </row>
    <row r="63" spans="1:13">
      <c r="A63" s="603">
        <v>0</v>
      </c>
      <c r="B63" s="601"/>
      <c r="C63" s="602" t="s">
        <v>3290</v>
      </c>
      <c r="E63" s="658">
        <v>0</v>
      </c>
      <c r="F63" s="658">
        <v>0</v>
      </c>
      <c r="G63" s="658">
        <v>0</v>
      </c>
      <c r="I63" s="658">
        <v>0</v>
      </c>
      <c r="J63" s="658">
        <v>0</v>
      </c>
      <c r="K63" s="658">
        <v>0</v>
      </c>
      <c r="M63" s="658">
        <v>0</v>
      </c>
    </row>
    <row r="64" spans="1:13">
      <c r="A64" s="603">
        <v>52</v>
      </c>
      <c r="B64" s="588">
        <v>52</v>
      </c>
      <c r="C64" s="599" t="s">
        <v>3222</v>
      </c>
      <c r="E64" s="660"/>
      <c r="F64" s="660">
        <v>0</v>
      </c>
      <c r="G64" s="660">
        <v>0</v>
      </c>
      <c r="I64" s="660"/>
      <c r="J64" s="660">
        <v>0</v>
      </c>
      <c r="K64" s="660">
        <v>0</v>
      </c>
      <c r="M64" s="660">
        <v>0</v>
      </c>
    </row>
    <row r="65" spans="1:13">
      <c r="A65" s="603">
        <v>53</v>
      </c>
      <c r="B65" s="596">
        <v>53</v>
      </c>
      <c r="C65" s="597" t="s">
        <v>3225</v>
      </c>
      <c r="E65" s="659"/>
      <c r="F65" s="659">
        <v>0</v>
      </c>
      <c r="G65" s="659">
        <v>0</v>
      </c>
      <c r="I65" s="659"/>
      <c r="J65" s="659">
        <v>0</v>
      </c>
      <c r="K65" s="659">
        <v>0</v>
      </c>
      <c r="M65" s="659">
        <v>0</v>
      </c>
    </row>
    <row r="66" spans="1:13">
      <c r="A66" s="603">
        <v>54</v>
      </c>
      <c r="B66" s="588">
        <v>54</v>
      </c>
      <c r="C66" s="599" t="s">
        <v>3291</v>
      </c>
      <c r="E66" s="660"/>
      <c r="F66" s="660">
        <v>0</v>
      </c>
      <c r="G66" s="660">
        <v>0</v>
      </c>
      <c r="I66" s="660"/>
      <c r="J66" s="660">
        <v>0</v>
      </c>
      <c r="K66" s="660">
        <v>0</v>
      </c>
      <c r="M66" s="660">
        <v>0</v>
      </c>
    </row>
    <row r="67" spans="1:13">
      <c r="A67" s="603"/>
      <c r="B67" s="601"/>
      <c r="C67" s="602" t="s">
        <v>3292</v>
      </c>
      <c r="E67" s="658">
        <v>0</v>
      </c>
      <c r="F67" s="658">
        <v>0</v>
      </c>
      <c r="G67" s="658">
        <v>0</v>
      </c>
      <c r="I67" s="658">
        <v>0</v>
      </c>
      <c r="J67" s="658">
        <v>0</v>
      </c>
      <c r="K67" s="658">
        <v>0</v>
      </c>
      <c r="M67" s="658">
        <v>0</v>
      </c>
    </row>
    <row r="68" spans="1:13">
      <c r="A68" s="603"/>
      <c r="B68" s="596">
        <v>55</v>
      </c>
      <c r="C68" s="597" t="s">
        <v>3231</v>
      </c>
      <c r="E68" s="659"/>
      <c r="F68" s="659">
        <v>0</v>
      </c>
      <c r="G68" s="659">
        <v>0</v>
      </c>
      <c r="I68" s="659"/>
      <c r="J68" s="659">
        <v>0</v>
      </c>
      <c r="K68" s="659">
        <v>0</v>
      </c>
      <c r="M68" s="659">
        <v>0</v>
      </c>
    </row>
    <row r="69" spans="1:13">
      <c r="A69" s="603"/>
      <c r="B69" s="588">
        <v>56</v>
      </c>
      <c r="C69" s="599" t="s">
        <v>3293</v>
      </c>
      <c r="E69" s="660"/>
      <c r="F69" s="660">
        <v>0</v>
      </c>
      <c r="G69" s="660">
        <v>0</v>
      </c>
      <c r="I69" s="660"/>
      <c r="J69" s="660">
        <v>0</v>
      </c>
      <c r="K69" s="660">
        <v>0</v>
      </c>
      <c r="M69" s="660">
        <v>0</v>
      </c>
    </row>
    <row r="70" spans="1:13">
      <c r="A70" s="603">
        <v>0</v>
      </c>
      <c r="B70" s="601"/>
      <c r="C70" s="602" t="s">
        <v>340</v>
      </c>
      <c r="E70" s="658">
        <v>0</v>
      </c>
      <c r="F70" s="658">
        <v>0</v>
      </c>
      <c r="G70" s="658">
        <v>0</v>
      </c>
      <c r="I70" s="658">
        <v>0</v>
      </c>
      <c r="J70" s="658">
        <v>0</v>
      </c>
      <c r="K70" s="658">
        <v>0</v>
      </c>
      <c r="M70" s="658">
        <v>0</v>
      </c>
    </row>
    <row r="71" spans="1:13">
      <c r="A71" s="603">
        <v>57</v>
      </c>
      <c r="B71" s="596">
        <v>57</v>
      </c>
      <c r="C71" s="597" t="s">
        <v>3294</v>
      </c>
      <c r="E71" s="659"/>
      <c r="F71" s="659">
        <v>0</v>
      </c>
      <c r="G71" s="659">
        <v>0</v>
      </c>
      <c r="I71" s="659"/>
      <c r="J71" s="659">
        <v>0</v>
      </c>
      <c r="K71" s="659">
        <v>0</v>
      </c>
      <c r="M71" s="659">
        <v>0</v>
      </c>
    </row>
    <row r="72" spans="1:13">
      <c r="A72" s="603">
        <v>0</v>
      </c>
      <c r="B72" s="601"/>
      <c r="C72" s="602" t="s">
        <v>3295</v>
      </c>
      <c r="E72" s="658">
        <v>0</v>
      </c>
      <c r="F72" s="658">
        <v>0</v>
      </c>
      <c r="G72" s="658">
        <v>0</v>
      </c>
      <c r="I72" s="658">
        <v>0</v>
      </c>
      <c r="J72" s="658">
        <v>0</v>
      </c>
      <c r="K72" s="658">
        <v>0</v>
      </c>
      <c r="M72" s="658">
        <v>0</v>
      </c>
    </row>
    <row r="73" spans="1:13">
      <c r="A73" s="603">
        <v>58</v>
      </c>
      <c r="B73" s="588">
        <v>58</v>
      </c>
      <c r="C73" s="599" t="s">
        <v>3296</v>
      </c>
      <c r="E73" s="660"/>
      <c r="F73" s="660">
        <v>0</v>
      </c>
      <c r="G73" s="660">
        <v>0</v>
      </c>
      <c r="I73" s="660"/>
      <c r="J73" s="660">
        <v>0</v>
      </c>
      <c r="K73" s="660">
        <v>0</v>
      </c>
      <c r="M73" s="660">
        <v>0</v>
      </c>
    </row>
    <row r="74" spans="1:13">
      <c r="A74" s="603"/>
      <c r="B74" s="601"/>
      <c r="C74" s="602" t="s">
        <v>3297</v>
      </c>
      <c r="E74" s="658">
        <v>0</v>
      </c>
      <c r="F74" s="658">
        <v>0</v>
      </c>
      <c r="G74" s="658">
        <v>0</v>
      </c>
      <c r="I74" s="658">
        <v>0</v>
      </c>
      <c r="J74" s="658">
        <v>0</v>
      </c>
      <c r="K74" s="658">
        <v>0</v>
      </c>
      <c r="M74" s="658">
        <v>0</v>
      </c>
    </row>
    <row r="75" spans="1:13">
      <c r="A75" s="603"/>
      <c r="B75" s="588">
        <v>59</v>
      </c>
      <c r="C75" s="599" t="s">
        <v>3298</v>
      </c>
      <c r="E75" s="660"/>
      <c r="F75" s="660">
        <v>0</v>
      </c>
      <c r="G75" s="660">
        <v>0</v>
      </c>
      <c r="I75" s="660"/>
      <c r="J75" s="660">
        <v>0</v>
      </c>
      <c r="K75" s="660">
        <v>0</v>
      </c>
      <c r="M75" s="660"/>
    </row>
    <row r="76" spans="1:13">
      <c r="A76" s="603"/>
      <c r="B76" s="601"/>
      <c r="C76" s="602" t="s">
        <v>3299</v>
      </c>
      <c r="E76" s="658">
        <v>0</v>
      </c>
      <c r="F76" s="658">
        <v>0</v>
      </c>
      <c r="G76" s="658">
        <v>0</v>
      </c>
      <c r="I76" s="658">
        <v>0</v>
      </c>
      <c r="J76" s="658">
        <v>0</v>
      </c>
      <c r="K76" s="658">
        <v>0</v>
      </c>
      <c r="M76" s="658">
        <v>0</v>
      </c>
    </row>
    <row r="77" spans="1:13">
      <c r="A77" s="603"/>
      <c r="B77" s="588">
        <v>60</v>
      </c>
      <c r="C77" s="599" t="s">
        <v>3300</v>
      </c>
      <c r="E77" s="660"/>
      <c r="F77" s="660">
        <v>0</v>
      </c>
      <c r="G77" s="660">
        <v>0</v>
      </c>
      <c r="I77" s="660"/>
      <c r="J77" s="660">
        <v>0</v>
      </c>
      <c r="K77" s="660">
        <v>0</v>
      </c>
      <c r="M77" s="660"/>
    </row>
    <row r="78" spans="1:13">
      <c r="A78" s="603"/>
      <c r="B78" s="601"/>
      <c r="C78" s="602" t="s">
        <v>3301</v>
      </c>
      <c r="E78" s="658">
        <v>0</v>
      </c>
      <c r="F78" s="658">
        <v>0</v>
      </c>
      <c r="G78" s="658">
        <v>0</v>
      </c>
      <c r="I78" s="658">
        <v>0</v>
      </c>
      <c r="J78" s="658">
        <v>0</v>
      </c>
      <c r="K78" s="658">
        <v>0</v>
      </c>
      <c r="M78" s="658">
        <v>0</v>
      </c>
    </row>
    <row r="79" spans="1:13">
      <c r="A79" s="603"/>
      <c r="B79" s="596">
        <v>61</v>
      </c>
      <c r="C79" s="597" t="s">
        <v>3302</v>
      </c>
      <c r="E79" s="659"/>
      <c r="F79" s="659"/>
      <c r="G79" s="659"/>
      <c r="I79" s="659"/>
      <c r="J79" s="659"/>
      <c r="K79" s="659"/>
      <c r="M79" s="659"/>
    </row>
  </sheetData>
  <mergeCells count="5">
    <mergeCell ref="B3:B4"/>
    <mergeCell ref="C3:C4"/>
    <mergeCell ref="E3:G3"/>
    <mergeCell ref="I3:K3"/>
    <mergeCell ref="M3:M4"/>
  </mergeCells>
  <hyperlinks>
    <hyperlink ref="A1" location="Sommaire!A1" display="Sommaire!A1" xr:uid="{00000000-0004-0000-1800-000000000000}"/>
  </hyperlinks>
  <pageMargins left="0.7" right="0.7" top="0.75" bottom="0.75" header="0.3" footer="0.3"/>
  <pageSetup paperSize="9"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M79"/>
  <sheetViews>
    <sheetView showGridLines="0" zoomScaleNormal="100" workbookViewId="0">
      <selection activeCell="B1" sqref="B1"/>
    </sheetView>
  </sheetViews>
  <sheetFormatPr baseColWidth="10" defaultColWidth="11.33203125" defaultRowHeight="12"/>
  <cols>
    <col min="1" max="1" width="10.1640625" style="588" bestFit="1" customWidth="1"/>
    <col min="2" max="2" width="19" style="588" bestFit="1" customWidth="1"/>
    <col min="3" max="3" width="54.5" style="605" bestFit="1" customWidth="1"/>
    <col min="4" max="4" width="0.6640625" style="590" customWidth="1"/>
    <col min="5" max="5" width="14.83203125" style="590" bestFit="1" customWidth="1"/>
    <col min="6" max="6" width="10.1640625" style="588" bestFit="1" customWidth="1"/>
    <col min="7" max="7" width="11.5" style="590" bestFit="1" customWidth="1"/>
    <col min="8" max="8" width="0.6640625" style="590" customWidth="1"/>
    <col min="9" max="9" width="10.6640625" style="590" bestFit="1" customWidth="1"/>
    <col min="10" max="11" width="11.5" style="590" bestFit="1" customWidth="1"/>
    <col min="12" max="12" width="0.6640625" style="590" customWidth="1"/>
    <col min="13" max="13" width="13.83203125" style="590" bestFit="1" customWidth="1"/>
    <col min="14" max="16384" width="11.33203125" style="590"/>
  </cols>
  <sheetData>
    <row r="1" spans="1:13" ht="24">
      <c r="A1" s="661" t="s">
        <v>140</v>
      </c>
      <c r="C1" s="589" t="s">
        <v>3249</v>
      </c>
      <c r="E1" s="591" t="s">
        <v>231</v>
      </c>
      <c r="F1" s="591">
        <v>4408622</v>
      </c>
      <c r="G1" s="592"/>
      <c r="J1" s="592" t="s">
        <v>3251</v>
      </c>
      <c r="K1" s="592">
        <v>2023</v>
      </c>
    </row>
    <row r="2" spans="1:13">
      <c r="C2" s="593"/>
      <c r="F2" s="590"/>
      <c r="I2" s="590" t="s">
        <v>3252</v>
      </c>
      <c r="J2" s="594">
        <v>604.32574999999997</v>
      </c>
    </row>
    <row r="3" spans="1:13">
      <c r="B3" s="753" t="s">
        <v>143</v>
      </c>
      <c r="C3" s="754" t="s">
        <v>3253</v>
      </c>
      <c r="E3" s="755" t="s">
        <v>2084</v>
      </c>
      <c r="F3" s="755"/>
      <c r="G3" s="755"/>
      <c r="I3" s="755" t="s">
        <v>3254</v>
      </c>
      <c r="J3" s="755"/>
      <c r="K3" s="755"/>
      <c r="M3" s="756" t="s">
        <v>3255</v>
      </c>
    </row>
    <row r="4" spans="1:13">
      <c r="B4" s="753"/>
      <c r="C4" s="754"/>
      <c r="E4" s="595" t="s">
        <v>3256</v>
      </c>
      <c r="F4" s="595" t="s">
        <v>3257</v>
      </c>
      <c r="G4" s="595" t="s">
        <v>3258</v>
      </c>
      <c r="I4" s="595" t="s">
        <v>3256</v>
      </c>
      <c r="J4" s="595" t="s">
        <v>3257</v>
      </c>
      <c r="K4" s="595" t="s">
        <v>3258</v>
      </c>
      <c r="M4" s="756"/>
    </row>
    <row r="5" spans="1:13">
      <c r="B5" s="655" t="s">
        <v>3092</v>
      </c>
      <c r="C5" s="656"/>
      <c r="E5" s="657">
        <v>0</v>
      </c>
      <c r="F5" s="657">
        <v>0</v>
      </c>
      <c r="G5" s="657">
        <v>0</v>
      </c>
      <c r="I5" s="657">
        <v>0</v>
      </c>
      <c r="J5" s="657">
        <v>0</v>
      </c>
      <c r="K5" s="657">
        <v>0</v>
      </c>
      <c r="M5" s="657">
        <v>0</v>
      </c>
    </row>
    <row r="6" spans="1:13">
      <c r="B6" s="596">
        <v>1</v>
      </c>
      <c r="C6" s="597" t="s">
        <v>3259</v>
      </c>
      <c r="E6" s="598"/>
      <c r="F6" s="598">
        <v>0</v>
      </c>
      <c r="G6" s="598">
        <v>0</v>
      </c>
      <c r="I6" s="598"/>
      <c r="J6" s="598">
        <v>0</v>
      </c>
      <c r="K6" s="598">
        <v>0</v>
      </c>
      <c r="M6" s="598">
        <v>0</v>
      </c>
    </row>
    <row r="7" spans="1:13">
      <c r="B7" s="588">
        <v>2</v>
      </c>
      <c r="C7" s="599" t="s">
        <v>3260</v>
      </c>
      <c r="E7" s="600"/>
      <c r="F7" s="600">
        <v>0</v>
      </c>
      <c r="G7" s="600">
        <v>0</v>
      </c>
      <c r="I7" s="600"/>
      <c r="J7" s="600">
        <v>0</v>
      </c>
      <c r="K7" s="600">
        <v>0</v>
      </c>
      <c r="M7" s="600">
        <v>0</v>
      </c>
    </row>
    <row r="8" spans="1:13">
      <c r="B8" s="655" t="s">
        <v>3101</v>
      </c>
      <c r="C8" s="656"/>
      <c r="E8" s="657">
        <v>178772830</v>
      </c>
      <c r="F8" s="657">
        <v>-6388795</v>
      </c>
      <c r="G8" s="657">
        <v>172384035</v>
      </c>
      <c r="I8" s="657">
        <v>30992090</v>
      </c>
      <c r="J8" s="657">
        <v>141391945</v>
      </c>
      <c r="K8" s="657">
        <v>172384035</v>
      </c>
      <c r="M8" s="657">
        <v>0</v>
      </c>
    </row>
    <row r="9" spans="1:13">
      <c r="B9" s="601"/>
      <c r="C9" s="602" t="s">
        <v>1244</v>
      </c>
      <c r="E9" s="658">
        <v>0</v>
      </c>
      <c r="F9" s="658">
        <v>0</v>
      </c>
      <c r="G9" s="658">
        <v>0</v>
      </c>
      <c r="I9" s="658">
        <v>18632000</v>
      </c>
      <c r="J9" s="658">
        <v>-18632000</v>
      </c>
      <c r="K9" s="658">
        <v>0</v>
      </c>
      <c r="M9" s="658">
        <v>0</v>
      </c>
    </row>
    <row r="10" spans="1:13">
      <c r="A10" s="603">
        <v>3</v>
      </c>
      <c r="B10" s="596">
        <v>3</v>
      </c>
      <c r="C10" s="597" t="s">
        <v>3261</v>
      </c>
      <c r="E10" s="659"/>
      <c r="F10" s="659">
        <v>0</v>
      </c>
      <c r="G10" s="659">
        <v>0</v>
      </c>
      <c r="I10" s="659"/>
      <c r="J10" s="659">
        <v>0</v>
      </c>
      <c r="K10" s="659">
        <v>0</v>
      </c>
      <c r="M10" s="659">
        <v>0</v>
      </c>
    </row>
    <row r="11" spans="1:13">
      <c r="A11" s="603">
        <v>4</v>
      </c>
      <c r="B11" s="588">
        <v>4</v>
      </c>
      <c r="C11" s="599" t="s">
        <v>3106</v>
      </c>
      <c r="E11" s="660"/>
      <c r="F11" s="660">
        <v>0</v>
      </c>
      <c r="G11" s="660">
        <v>0</v>
      </c>
      <c r="I11" s="660"/>
      <c r="J11" s="660">
        <v>0</v>
      </c>
      <c r="K11" s="660">
        <v>0</v>
      </c>
      <c r="M11" s="660">
        <v>0</v>
      </c>
    </row>
    <row r="12" spans="1:13">
      <c r="A12" s="603">
        <v>5</v>
      </c>
      <c r="B12" s="596">
        <v>5</v>
      </c>
      <c r="C12" s="597" t="s">
        <v>3262</v>
      </c>
      <c r="E12" s="659"/>
      <c r="F12" s="659">
        <v>0</v>
      </c>
      <c r="G12" s="659">
        <v>0</v>
      </c>
      <c r="I12" s="659"/>
      <c r="J12" s="659">
        <v>0</v>
      </c>
      <c r="K12" s="659">
        <v>0</v>
      </c>
      <c r="M12" s="659">
        <v>0</v>
      </c>
    </row>
    <row r="13" spans="1:13">
      <c r="A13" s="603">
        <v>6</v>
      </c>
      <c r="B13" s="588">
        <v>6</v>
      </c>
      <c r="C13" s="599" t="s">
        <v>3263</v>
      </c>
      <c r="E13" s="660"/>
      <c r="F13" s="660">
        <v>0</v>
      </c>
      <c r="G13" s="660">
        <v>0</v>
      </c>
      <c r="I13" s="660"/>
      <c r="J13" s="660">
        <v>0</v>
      </c>
      <c r="K13" s="660">
        <v>0</v>
      </c>
      <c r="M13" s="660">
        <v>0</v>
      </c>
    </row>
    <row r="14" spans="1:13">
      <c r="A14" s="603">
        <v>7</v>
      </c>
      <c r="B14" s="596">
        <v>7</v>
      </c>
      <c r="C14" s="597" t="s">
        <v>3114</v>
      </c>
      <c r="E14" s="659"/>
      <c r="F14" s="659">
        <v>0</v>
      </c>
      <c r="G14" s="659">
        <v>0</v>
      </c>
      <c r="I14" s="659">
        <v>18632000</v>
      </c>
      <c r="J14" s="659">
        <v>-18632000</v>
      </c>
      <c r="K14" s="659">
        <v>0</v>
      </c>
      <c r="M14" s="659">
        <v>0</v>
      </c>
    </row>
    <row r="15" spans="1:13">
      <c r="A15" s="603">
        <v>0</v>
      </c>
      <c r="B15" s="601"/>
      <c r="C15" s="602" t="s">
        <v>1253</v>
      </c>
      <c r="E15" s="658">
        <v>0</v>
      </c>
      <c r="F15" s="658">
        <v>0</v>
      </c>
      <c r="G15" s="658">
        <v>0</v>
      </c>
      <c r="I15" s="658">
        <v>0</v>
      </c>
      <c r="J15" s="658">
        <v>0</v>
      </c>
      <c r="K15" s="658">
        <v>0</v>
      </c>
      <c r="M15" s="658">
        <v>0</v>
      </c>
    </row>
    <row r="16" spans="1:13">
      <c r="A16" s="603">
        <v>8</v>
      </c>
      <c r="B16" s="588">
        <v>8</v>
      </c>
      <c r="C16" s="599" t="s">
        <v>3264</v>
      </c>
      <c r="E16" s="660"/>
      <c r="F16" s="660">
        <v>0</v>
      </c>
      <c r="G16" s="660">
        <v>0</v>
      </c>
      <c r="I16" s="660"/>
      <c r="J16" s="660">
        <v>0</v>
      </c>
      <c r="K16" s="660">
        <v>0</v>
      </c>
      <c r="M16" s="660">
        <v>0</v>
      </c>
    </row>
    <row r="17" spans="1:13">
      <c r="A17" s="603">
        <v>9</v>
      </c>
      <c r="B17" s="596">
        <v>9</v>
      </c>
      <c r="C17" s="597" t="s">
        <v>3265</v>
      </c>
      <c r="E17" s="659"/>
      <c r="F17" s="659">
        <v>0</v>
      </c>
      <c r="G17" s="659">
        <v>0</v>
      </c>
      <c r="I17" s="659"/>
      <c r="J17" s="659">
        <v>0</v>
      </c>
      <c r="K17" s="659">
        <v>0</v>
      </c>
      <c r="M17" s="659">
        <v>0</v>
      </c>
    </row>
    <row r="18" spans="1:13">
      <c r="A18" s="603"/>
      <c r="B18" s="588">
        <v>10</v>
      </c>
      <c r="C18" s="599" t="s">
        <v>3122</v>
      </c>
      <c r="E18" s="660"/>
      <c r="F18" s="660">
        <v>0</v>
      </c>
      <c r="G18" s="660">
        <v>0</v>
      </c>
      <c r="I18" s="660"/>
      <c r="J18" s="660">
        <v>0</v>
      </c>
      <c r="K18" s="660">
        <v>0</v>
      </c>
      <c r="M18" s="660">
        <v>0</v>
      </c>
    </row>
    <row r="19" spans="1:13">
      <c r="A19" s="603">
        <v>11</v>
      </c>
      <c r="B19" s="596">
        <v>11</v>
      </c>
      <c r="C19" s="597" t="s">
        <v>3124</v>
      </c>
      <c r="E19" s="659"/>
      <c r="F19" s="659">
        <v>0</v>
      </c>
      <c r="G19" s="659">
        <v>0</v>
      </c>
      <c r="I19" s="659"/>
      <c r="J19" s="659">
        <v>0</v>
      </c>
      <c r="K19" s="659">
        <v>0</v>
      </c>
      <c r="M19" s="659">
        <v>0</v>
      </c>
    </row>
    <row r="20" spans="1:13">
      <c r="A20" s="603">
        <v>12</v>
      </c>
      <c r="B20" s="588">
        <v>12</v>
      </c>
      <c r="C20" s="599" t="s">
        <v>3266</v>
      </c>
      <c r="E20" s="660"/>
      <c r="F20" s="660">
        <v>0</v>
      </c>
      <c r="G20" s="660">
        <v>0</v>
      </c>
      <c r="I20" s="660"/>
      <c r="J20" s="660">
        <v>0</v>
      </c>
      <c r="K20" s="660">
        <v>0</v>
      </c>
      <c r="M20" s="660">
        <v>0</v>
      </c>
    </row>
    <row r="21" spans="1:13">
      <c r="A21" s="603">
        <v>13</v>
      </c>
      <c r="B21" s="596">
        <v>13</v>
      </c>
      <c r="C21" s="597" t="s">
        <v>3267</v>
      </c>
      <c r="E21" s="659"/>
      <c r="F21" s="659">
        <v>0</v>
      </c>
      <c r="G21" s="659">
        <v>0</v>
      </c>
      <c r="I21" s="659"/>
      <c r="J21" s="659">
        <v>0</v>
      </c>
      <c r="K21" s="659">
        <v>0</v>
      </c>
      <c r="M21" s="659">
        <v>0</v>
      </c>
    </row>
    <row r="22" spans="1:13">
      <c r="A22" s="603">
        <v>14</v>
      </c>
      <c r="B22" s="588">
        <v>14</v>
      </c>
      <c r="C22" s="599" t="s">
        <v>3268</v>
      </c>
      <c r="E22" s="660"/>
      <c r="F22" s="660">
        <v>0</v>
      </c>
      <c r="G22" s="660">
        <v>0</v>
      </c>
      <c r="I22" s="660"/>
      <c r="J22" s="660">
        <v>0</v>
      </c>
      <c r="K22" s="660">
        <v>0</v>
      </c>
      <c r="M22" s="660">
        <v>0</v>
      </c>
    </row>
    <row r="23" spans="1:13">
      <c r="A23" s="603">
        <v>15</v>
      </c>
      <c r="B23" s="596">
        <v>15</v>
      </c>
      <c r="C23" s="597" t="s">
        <v>3133</v>
      </c>
      <c r="E23" s="659"/>
      <c r="F23" s="659">
        <v>0</v>
      </c>
      <c r="G23" s="659">
        <v>0</v>
      </c>
      <c r="I23" s="659"/>
      <c r="J23" s="659">
        <v>0</v>
      </c>
      <c r="K23" s="659">
        <v>0</v>
      </c>
      <c r="M23" s="659">
        <v>0</v>
      </c>
    </row>
    <row r="24" spans="1:13">
      <c r="A24" s="603">
        <v>16</v>
      </c>
      <c r="B24" s="588">
        <v>16</v>
      </c>
      <c r="C24" s="599" t="s">
        <v>3136</v>
      </c>
      <c r="E24" s="660"/>
      <c r="F24" s="660">
        <v>0</v>
      </c>
      <c r="G24" s="660">
        <v>0</v>
      </c>
      <c r="I24" s="660"/>
      <c r="J24" s="660">
        <v>0</v>
      </c>
      <c r="K24" s="660">
        <v>0</v>
      </c>
      <c r="M24" s="660">
        <v>0</v>
      </c>
    </row>
    <row r="25" spans="1:13">
      <c r="A25" s="603">
        <v>0</v>
      </c>
      <c r="B25" s="601"/>
      <c r="C25" s="602" t="s">
        <v>3269</v>
      </c>
      <c r="E25" s="658">
        <v>0</v>
      </c>
      <c r="F25" s="658">
        <v>0</v>
      </c>
      <c r="G25" s="658">
        <v>0</v>
      </c>
      <c r="I25" s="658">
        <v>0</v>
      </c>
      <c r="J25" s="658">
        <v>0</v>
      </c>
      <c r="K25" s="658">
        <v>0</v>
      </c>
      <c r="M25" s="658">
        <v>0</v>
      </c>
    </row>
    <row r="26" spans="1:13">
      <c r="A26" s="603">
        <v>17</v>
      </c>
      <c r="B26" s="596">
        <v>17</v>
      </c>
      <c r="C26" s="597" t="s">
        <v>3270</v>
      </c>
      <c r="E26" s="659"/>
      <c r="F26" s="659">
        <v>0</v>
      </c>
      <c r="G26" s="659">
        <v>0</v>
      </c>
      <c r="I26" s="659"/>
      <c r="J26" s="659">
        <v>0</v>
      </c>
      <c r="K26" s="659">
        <v>0</v>
      </c>
      <c r="M26" s="659">
        <v>0</v>
      </c>
    </row>
    <row r="27" spans="1:13">
      <c r="A27" s="603">
        <v>18</v>
      </c>
      <c r="B27" s="588">
        <v>18</v>
      </c>
      <c r="C27" s="599" t="s">
        <v>3141</v>
      </c>
      <c r="E27" s="660"/>
      <c r="F27" s="660">
        <v>0</v>
      </c>
      <c r="G27" s="660">
        <v>0</v>
      </c>
      <c r="I27" s="660"/>
      <c r="J27" s="660">
        <v>0</v>
      </c>
      <c r="K27" s="660">
        <v>0</v>
      </c>
      <c r="M27" s="660">
        <v>0</v>
      </c>
    </row>
    <row r="28" spans="1:13">
      <c r="A28" s="603">
        <v>19</v>
      </c>
      <c r="B28" s="596">
        <v>19</v>
      </c>
      <c r="C28" s="597" t="s">
        <v>3144</v>
      </c>
      <c r="E28" s="659"/>
      <c r="F28" s="659">
        <v>0</v>
      </c>
      <c r="G28" s="659">
        <v>0</v>
      </c>
      <c r="I28" s="659"/>
      <c r="J28" s="659">
        <v>0</v>
      </c>
      <c r="K28" s="659">
        <v>0</v>
      </c>
      <c r="M28" s="659">
        <v>0</v>
      </c>
    </row>
    <row r="29" spans="1:13">
      <c r="A29" s="603">
        <v>20</v>
      </c>
      <c r="B29" s="588">
        <v>20</v>
      </c>
      <c r="C29" s="599" t="s">
        <v>3147</v>
      </c>
      <c r="E29" s="660"/>
      <c r="F29" s="660">
        <v>0</v>
      </c>
      <c r="G29" s="660">
        <v>0</v>
      </c>
      <c r="I29" s="660"/>
      <c r="J29" s="660">
        <v>0</v>
      </c>
      <c r="K29" s="660">
        <v>0</v>
      </c>
      <c r="M29" s="660">
        <v>0</v>
      </c>
    </row>
    <row r="30" spans="1:13">
      <c r="A30" s="603">
        <v>21</v>
      </c>
      <c r="B30" s="596">
        <v>21</v>
      </c>
      <c r="C30" s="597" t="s">
        <v>3271</v>
      </c>
      <c r="E30" s="659"/>
      <c r="F30" s="659">
        <v>0</v>
      </c>
      <c r="G30" s="659">
        <v>0</v>
      </c>
      <c r="I30" s="659"/>
      <c r="J30" s="659">
        <v>0</v>
      </c>
      <c r="K30" s="659">
        <v>0</v>
      </c>
      <c r="M30" s="659">
        <v>0</v>
      </c>
    </row>
    <row r="31" spans="1:13">
      <c r="A31" s="603">
        <v>22</v>
      </c>
      <c r="B31" s="588">
        <v>22</v>
      </c>
      <c r="C31" s="599" t="s">
        <v>3272</v>
      </c>
      <c r="E31" s="660"/>
      <c r="F31" s="660">
        <v>0</v>
      </c>
      <c r="G31" s="660">
        <v>0</v>
      </c>
      <c r="I31" s="660"/>
      <c r="J31" s="660">
        <v>0</v>
      </c>
      <c r="K31" s="660">
        <v>0</v>
      </c>
      <c r="M31" s="660">
        <v>0</v>
      </c>
    </row>
    <row r="32" spans="1:13">
      <c r="A32" s="603">
        <v>23</v>
      </c>
      <c r="B32" s="596">
        <v>23</v>
      </c>
      <c r="C32" s="597" t="s">
        <v>3273</v>
      </c>
      <c r="E32" s="659"/>
      <c r="F32" s="659">
        <v>0</v>
      </c>
      <c r="G32" s="659">
        <v>0</v>
      </c>
      <c r="I32" s="659"/>
      <c r="J32" s="659">
        <v>0</v>
      </c>
      <c r="K32" s="659">
        <v>0</v>
      </c>
      <c r="M32" s="659">
        <v>0</v>
      </c>
    </row>
    <row r="33" spans="1:13">
      <c r="A33" s="603">
        <v>24</v>
      </c>
      <c r="B33" s="588">
        <v>24</v>
      </c>
      <c r="C33" s="599" t="s">
        <v>3158</v>
      </c>
      <c r="E33" s="660"/>
      <c r="F33" s="660">
        <v>0</v>
      </c>
      <c r="G33" s="660">
        <v>0</v>
      </c>
      <c r="I33" s="660"/>
      <c r="J33" s="660">
        <v>0</v>
      </c>
      <c r="K33" s="660">
        <v>0</v>
      </c>
      <c r="M33" s="660">
        <v>0</v>
      </c>
    </row>
    <row r="34" spans="1:13" s="604" customFormat="1">
      <c r="A34" s="603">
        <v>25</v>
      </c>
      <c r="B34" s="596">
        <v>25</v>
      </c>
      <c r="C34" s="597" t="s">
        <v>3274</v>
      </c>
      <c r="D34" s="590"/>
      <c r="E34" s="659"/>
      <c r="F34" s="659">
        <v>0</v>
      </c>
      <c r="G34" s="659">
        <v>0</v>
      </c>
      <c r="H34" s="590"/>
      <c r="I34" s="659"/>
      <c r="J34" s="659">
        <v>0</v>
      </c>
      <c r="K34" s="659">
        <v>0</v>
      </c>
      <c r="L34" s="590"/>
      <c r="M34" s="659">
        <v>0</v>
      </c>
    </row>
    <row r="35" spans="1:13">
      <c r="A35" s="603">
        <v>26</v>
      </c>
      <c r="B35" s="588">
        <v>26</v>
      </c>
      <c r="C35" s="599" t="s">
        <v>3275</v>
      </c>
      <c r="E35" s="660"/>
      <c r="F35" s="660">
        <v>0</v>
      </c>
      <c r="G35" s="660">
        <v>0</v>
      </c>
      <c r="I35" s="660"/>
      <c r="J35" s="660">
        <v>0</v>
      </c>
      <c r="K35" s="660">
        <v>0</v>
      </c>
      <c r="M35" s="660">
        <v>0</v>
      </c>
    </row>
    <row r="36" spans="1:13">
      <c r="A36" s="603">
        <v>0</v>
      </c>
      <c r="B36" s="601"/>
      <c r="C36" s="602" t="s">
        <v>3276</v>
      </c>
      <c r="E36" s="658">
        <v>130483795</v>
      </c>
      <c r="F36" s="658">
        <v>0</v>
      </c>
      <c r="G36" s="658">
        <v>130483795</v>
      </c>
      <c r="I36" s="658">
        <v>0</v>
      </c>
      <c r="J36" s="658">
        <v>130483795</v>
      </c>
      <c r="K36" s="658">
        <v>130483795</v>
      </c>
      <c r="M36" s="658">
        <v>0</v>
      </c>
    </row>
    <row r="37" spans="1:13">
      <c r="A37" s="603">
        <v>27</v>
      </c>
      <c r="B37" s="596">
        <v>27</v>
      </c>
      <c r="C37" s="597" t="s">
        <v>3164</v>
      </c>
      <c r="E37" s="659"/>
      <c r="F37" s="659">
        <v>0</v>
      </c>
      <c r="G37" s="659">
        <v>0</v>
      </c>
      <c r="I37" s="659"/>
      <c r="J37" s="659">
        <v>0</v>
      </c>
      <c r="K37" s="659">
        <v>0</v>
      </c>
      <c r="M37" s="659">
        <v>0</v>
      </c>
    </row>
    <row r="38" spans="1:13">
      <c r="A38" s="603">
        <v>28</v>
      </c>
      <c r="B38" s="588">
        <v>28</v>
      </c>
      <c r="C38" s="599" t="s">
        <v>3167</v>
      </c>
      <c r="E38" s="660">
        <v>128063701</v>
      </c>
      <c r="F38" s="660">
        <v>0</v>
      </c>
      <c r="G38" s="660">
        <v>128063701</v>
      </c>
      <c r="I38" s="660"/>
      <c r="J38" s="660">
        <v>128063701</v>
      </c>
      <c r="K38" s="660">
        <v>128063701</v>
      </c>
      <c r="M38" s="660">
        <v>0</v>
      </c>
    </row>
    <row r="39" spans="1:13">
      <c r="A39" s="603">
        <v>29</v>
      </c>
      <c r="B39" s="596">
        <v>29</v>
      </c>
      <c r="C39" s="597" t="s">
        <v>3170</v>
      </c>
      <c r="E39" s="659"/>
      <c r="F39" s="659">
        <v>0</v>
      </c>
      <c r="G39" s="659">
        <v>0</v>
      </c>
      <c r="I39" s="659"/>
      <c r="J39" s="659">
        <v>0</v>
      </c>
      <c r="K39" s="659">
        <v>0</v>
      </c>
      <c r="M39" s="659">
        <v>0</v>
      </c>
    </row>
    <row r="40" spans="1:13">
      <c r="A40" s="603">
        <v>30</v>
      </c>
      <c r="B40" s="588">
        <v>30</v>
      </c>
      <c r="C40" s="599" t="s">
        <v>3173</v>
      </c>
      <c r="E40" s="660"/>
      <c r="F40" s="660">
        <v>0</v>
      </c>
      <c r="G40" s="660">
        <v>0</v>
      </c>
      <c r="I40" s="660"/>
      <c r="J40" s="660">
        <v>0</v>
      </c>
      <c r="K40" s="660">
        <v>0</v>
      </c>
      <c r="M40" s="660">
        <v>0</v>
      </c>
    </row>
    <row r="41" spans="1:13">
      <c r="A41" s="603">
        <v>31</v>
      </c>
      <c r="B41" s="596">
        <v>31</v>
      </c>
      <c r="C41" s="597" t="s">
        <v>3176</v>
      </c>
      <c r="E41" s="659"/>
      <c r="F41" s="659">
        <v>0</v>
      </c>
      <c r="G41" s="659">
        <v>0</v>
      </c>
      <c r="I41" s="659"/>
      <c r="J41" s="659">
        <v>0</v>
      </c>
      <c r="K41" s="659">
        <v>0</v>
      </c>
      <c r="M41" s="659">
        <v>0</v>
      </c>
    </row>
    <row r="42" spans="1:13">
      <c r="A42" s="603">
        <v>32</v>
      </c>
      <c r="B42" s="588">
        <v>32</v>
      </c>
      <c r="C42" s="599" t="s">
        <v>3178</v>
      </c>
      <c r="E42" s="660"/>
      <c r="F42" s="660">
        <v>0</v>
      </c>
      <c r="G42" s="660">
        <v>0</v>
      </c>
      <c r="I42" s="660"/>
      <c r="J42" s="660">
        <v>0</v>
      </c>
      <c r="K42" s="660">
        <v>0</v>
      </c>
      <c r="M42" s="660">
        <v>0</v>
      </c>
    </row>
    <row r="43" spans="1:13">
      <c r="A43" s="603">
        <v>33</v>
      </c>
      <c r="B43" s="596">
        <v>33</v>
      </c>
      <c r="C43" s="597" t="s">
        <v>3181</v>
      </c>
      <c r="E43" s="659"/>
      <c r="F43" s="659">
        <v>0</v>
      </c>
      <c r="G43" s="659">
        <v>0</v>
      </c>
      <c r="I43" s="659"/>
      <c r="J43" s="659">
        <v>0</v>
      </c>
      <c r="K43" s="659">
        <v>0</v>
      </c>
      <c r="M43" s="659">
        <v>0</v>
      </c>
    </row>
    <row r="44" spans="1:13">
      <c r="A44" s="603">
        <v>34</v>
      </c>
      <c r="B44" s="588">
        <v>34</v>
      </c>
      <c r="C44" s="599" t="s">
        <v>3184</v>
      </c>
      <c r="E44" s="660">
        <v>1277238</v>
      </c>
      <c r="F44" s="660">
        <v>0</v>
      </c>
      <c r="G44" s="660">
        <v>1277238</v>
      </c>
      <c r="I44" s="660"/>
      <c r="J44" s="660">
        <v>1277238</v>
      </c>
      <c r="K44" s="660">
        <v>1277238</v>
      </c>
      <c r="M44" s="660">
        <v>0</v>
      </c>
    </row>
    <row r="45" spans="1:13">
      <c r="A45" s="603">
        <v>35</v>
      </c>
      <c r="B45" s="596">
        <v>35</v>
      </c>
      <c r="C45" s="597" t="s">
        <v>3186</v>
      </c>
      <c r="E45" s="659"/>
      <c r="F45" s="659">
        <v>0</v>
      </c>
      <c r="G45" s="659">
        <v>0</v>
      </c>
      <c r="I45" s="659"/>
      <c r="J45" s="659">
        <v>0</v>
      </c>
      <c r="K45" s="659">
        <v>0</v>
      </c>
      <c r="M45" s="659">
        <v>0</v>
      </c>
    </row>
    <row r="46" spans="1:13">
      <c r="A46" s="603">
        <v>36</v>
      </c>
      <c r="B46" s="588">
        <v>36</v>
      </c>
      <c r="C46" s="599" t="s">
        <v>3189</v>
      </c>
      <c r="E46" s="660"/>
      <c r="F46" s="660">
        <v>0</v>
      </c>
      <c r="G46" s="660">
        <v>0</v>
      </c>
      <c r="I46" s="660"/>
      <c r="J46" s="660">
        <v>0</v>
      </c>
      <c r="K46" s="660">
        <v>0</v>
      </c>
      <c r="M46" s="660">
        <v>0</v>
      </c>
    </row>
    <row r="47" spans="1:13">
      <c r="A47" s="603">
        <v>37</v>
      </c>
      <c r="B47" s="596">
        <v>37</v>
      </c>
      <c r="C47" s="597" t="s">
        <v>3277</v>
      </c>
      <c r="E47" s="659"/>
      <c r="F47" s="659">
        <v>0</v>
      </c>
      <c r="G47" s="659">
        <v>0</v>
      </c>
      <c r="I47" s="659"/>
      <c r="J47" s="659">
        <v>0</v>
      </c>
      <c r="K47" s="659">
        <v>0</v>
      </c>
      <c r="M47" s="659">
        <v>0</v>
      </c>
    </row>
    <row r="48" spans="1:13">
      <c r="A48" s="603">
        <v>38</v>
      </c>
      <c r="B48" s="588">
        <v>38</v>
      </c>
      <c r="C48" s="599" t="s">
        <v>3278</v>
      </c>
      <c r="E48" s="660"/>
      <c r="F48" s="660">
        <v>0</v>
      </c>
      <c r="G48" s="660">
        <v>0</v>
      </c>
      <c r="I48" s="660"/>
      <c r="J48" s="660">
        <v>0</v>
      </c>
      <c r="K48" s="660">
        <v>0</v>
      </c>
      <c r="M48" s="660">
        <v>0</v>
      </c>
    </row>
    <row r="49" spans="1:13">
      <c r="A49" s="603">
        <v>39</v>
      </c>
      <c r="B49" s="596">
        <v>39</v>
      </c>
      <c r="C49" s="597" t="s">
        <v>3195</v>
      </c>
      <c r="E49" s="659">
        <v>1142856</v>
      </c>
      <c r="F49" s="659">
        <v>0</v>
      </c>
      <c r="G49" s="659">
        <v>1142856</v>
      </c>
      <c r="I49" s="659"/>
      <c r="J49" s="659">
        <v>1142856</v>
      </c>
      <c r="K49" s="659">
        <v>1142856</v>
      </c>
      <c r="M49" s="659">
        <v>0</v>
      </c>
    </row>
    <row r="50" spans="1:13">
      <c r="A50" s="603">
        <v>40</v>
      </c>
      <c r="B50" s="588">
        <v>40</v>
      </c>
      <c r="C50" s="599" t="s">
        <v>3198</v>
      </c>
      <c r="E50" s="660"/>
      <c r="F50" s="660">
        <v>0</v>
      </c>
      <c r="G50" s="660">
        <v>0</v>
      </c>
      <c r="I50" s="660"/>
      <c r="J50" s="660">
        <v>0</v>
      </c>
      <c r="K50" s="660">
        <v>0</v>
      </c>
      <c r="M50" s="660">
        <v>0</v>
      </c>
    </row>
    <row r="51" spans="1:13">
      <c r="A51" s="603">
        <v>41</v>
      </c>
      <c r="B51" s="596">
        <v>41</v>
      </c>
      <c r="C51" s="597" t="s">
        <v>3279</v>
      </c>
      <c r="E51" s="659"/>
      <c r="F51" s="659">
        <v>0</v>
      </c>
      <c r="G51" s="659">
        <v>0</v>
      </c>
      <c r="I51" s="659"/>
      <c r="J51" s="659">
        <v>0</v>
      </c>
      <c r="K51" s="659">
        <v>0</v>
      </c>
      <c r="M51" s="659">
        <v>0</v>
      </c>
    </row>
    <row r="52" spans="1:13">
      <c r="A52" s="603"/>
      <c r="B52" s="588">
        <v>42</v>
      </c>
      <c r="C52" s="599" t="s">
        <v>3280</v>
      </c>
      <c r="E52" s="660"/>
      <c r="F52" s="660">
        <v>0</v>
      </c>
      <c r="G52" s="660">
        <v>0</v>
      </c>
      <c r="I52" s="660"/>
      <c r="J52" s="660">
        <v>0</v>
      </c>
      <c r="K52" s="660">
        <v>0</v>
      </c>
      <c r="M52" s="660">
        <v>0</v>
      </c>
    </row>
    <row r="53" spans="1:13">
      <c r="A53" s="603">
        <v>0</v>
      </c>
      <c r="B53" s="601"/>
      <c r="C53" s="602" t="s">
        <v>3281</v>
      </c>
      <c r="E53" s="658">
        <v>0</v>
      </c>
      <c r="F53" s="658">
        <v>0</v>
      </c>
      <c r="G53" s="658">
        <v>0</v>
      </c>
      <c r="I53" s="658">
        <v>0</v>
      </c>
      <c r="J53" s="658">
        <v>0</v>
      </c>
      <c r="K53" s="658">
        <v>0</v>
      </c>
      <c r="M53" s="658">
        <v>0</v>
      </c>
    </row>
    <row r="54" spans="1:13">
      <c r="A54" s="603">
        <v>43</v>
      </c>
      <c r="B54" s="596">
        <v>43</v>
      </c>
      <c r="C54" s="597" t="s">
        <v>3282</v>
      </c>
      <c r="E54" s="659"/>
      <c r="F54" s="659">
        <v>0</v>
      </c>
      <c r="G54" s="659">
        <v>0</v>
      </c>
      <c r="I54" s="659"/>
      <c r="J54" s="659">
        <v>0</v>
      </c>
      <c r="K54" s="659">
        <v>0</v>
      </c>
      <c r="M54" s="659">
        <v>0</v>
      </c>
    </row>
    <row r="55" spans="1:13">
      <c r="A55" s="603">
        <v>44</v>
      </c>
      <c r="B55" s="588">
        <v>44</v>
      </c>
      <c r="C55" s="599" t="s">
        <v>3283</v>
      </c>
      <c r="E55" s="660"/>
      <c r="F55" s="660">
        <v>0</v>
      </c>
      <c r="G55" s="660">
        <v>0</v>
      </c>
      <c r="I55" s="660"/>
      <c r="J55" s="660">
        <v>0</v>
      </c>
      <c r="K55" s="660">
        <v>0</v>
      </c>
      <c r="M55" s="660">
        <v>0</v>
      </c>
    </row>
    <row r="56" spans="1:13">
      <c r="A56" s="603"/>
      <c r="B56" s="596">
        <v>45</v>
      </c>
      <c r="C56" s="597" t="s">
        <v>3284</v>
      </c>
      <c r="E56" s="659"/>
      <c r="F56" s="659">
        <v>0</v>
      </c>
      <c r="G56" s="659">
        <v>0</v>
      </c>
      <c r="I56" s="659"/>
      <c r="J56" s="659">
        <v>0</v>
      </c>
      <c r="K56" s="659">
        <v>0</v>
      </c>
      <c r="M56" s="659">
        <v>0</v>
      </c>
    </row>
    <row r="57" spans="1:13">
      <c r="A57" s="603"/>
      <c r="B57" s="588">
        <v>46</v>
      </c>
      <c r="C57" s="599" t="s">
        <v>3285</v>
      </c>
      <c r="E57" s="660"/>
      <c r="F57" s="660">
        <v>0</v>
      </c>
      <c r="G57" s="660">
        <v>0</v>
      </c>
      <c r="I57" s="660"/>
      <c r="J57" s="660">
        <v>0</v>
      </c>
      <c r="K57" s="660">
        <v>0</v>
      </c>
      <c r="M57" s="660">
        <v>0</v>
      </c>
    </row>
    <row r="58" spans="1:13">
      <c r="A58" s="603"/>
      <c r="B58" s="596">
        <v>47</v>
      </c>
      <c r="C58" s="597" t="s">
        <v>3286</v>
      </c>
      <c r="E58" s="659"/>
      <c r="F58" s="659">
        <v>0</v>
      </c>
      <c r="G58" s="659">
        <v>0</v>
      </c>
      <c r="I58" s="659"/>
      <c r="J58" s="659">
        <v>0</v>
      </c>
      <c r="K58" s="659">
        <v>0</v>
      </c>
      <c r="M58" s="659">
        <v>0</v>
      </c>
    </row>
    <row r="59" spans="1:13">
      <c r="A59" s="603"/>
      <c r="B59" s="588">
        <v>48</v>
      </c>
      <c r="C59" s="599" t="s">
        <v>3287</v>
      </c>
      <c r="E59" s="660"/>
      <c r="F59" s="660">
        <v>0</v>
      </c>
      <c r="G59" s="660">
        <v>0</v>
      </c>
      <c r="I59" s="660"/>
      <c r="J59" s="660">
        <v>0</v>
      </c>
      <c r="K59" s="660">
        <v>0</v>
      </c>
      <c r="M59" s="660">
        <v>0</v>
      </c>
    </row>
    <row r="60" spans="1:13">
      <c r="A60" s="603"/>
      <c r="B60" s="596">
        <v>49</v>
      </c>
      <c r="C60" s="597" t="s">
        <v>3288</v>
      </c>
      <c r="E60" s="659"/>
      <c r="F60" s="659">
        <v>0</v>
      </c>
      <c r="G60" s="659">
        <v>0</v>
      </c>
      <c r="I60" s="659"/>
      <c r="J60" s="659">
        <v>0</v>
      </c>
      <c r="K60" s="659">
        <v>0</v>
      </c>
      <c r="M60" s="659">
        <v>0</v>
      </c>
    </row>
    <row r="61" spans="1:13">
      <c r="A61" s="603"/>
      <c r="B61" s="588">
        <v>50</v>
      </c>
      <c r="C61" s="599" t="s">
        <v>3289</v>
      </c>
      <c r="E61" s="660"/>
      <c r="F61" s="660">
        <v>0</v>
      </c>
      <c r="G61" s="660">
        <v>0</v>
      </c>
      <c r="I61" s="660"/>
      <c r="J61" s="660">
        <v>0</v>
      </c>
      <c r="K61" s="660">
        <v>0</v>
      </c>
      <c r="M61" s="660">
        <v>0</v>
      </c>
    </row>
    <row r="62" spans="1:13">
      <c r="A62" s="603"/>
      <c r="B62" s="596">
        <v>51</v>
      </c>
      <c r="C62" s="597" t="s">
        <v>3218</v>
      </c>
      <c r="E62" s="659"/>
      <c r="F62" s="659">
        <v>0</v>
      </c>
      <c r="G62" s="659">
        <v>0</v>
      </c>
      <c r="I62" s="659"/>
      <c r="J62" s="659">
        <v>0</v>
      </c>
      <c r="K62" s="659">
        <v>0</v>
      </c>
      <c r="M62" s="659">
        <v>0</v>
      </c>
    </row>
    <row r="63" spans="1:13">
      <c r="A63" s="603">
        <v>0</v>
      </c>
      <c r="B63" s="601"/>
      <c r="C63" s="602" t="s">
        <v>3290</v>
      </c>
      <c r="E63" s="658">
        <v>29540150</v>
      </c>
      <c r="F63" s="658">
        <v>0</v>
      </c>
      <c r="G63" s="658">
        <v>29540150</v>
      </c>
      <c r="I63" s="658">
        <v>0</v>
      </c>
      <c r="J63" s="658">
        <v>29540150</v>
      </c>
      <c r="K63" s="658">
        <v>29540150</v>
      </c>
      <c r="M63" s="658">
        <v>0</v>
      </c>
    </row>
    <row r="64" spans="1:13">
      <c r="A64" s="603">
        <v>52</v>
      </c>
      <c r="B64" s="588">
        <v>52</v>
      </c>
      <c r="C64" s="599" t="s">
        <v>3222</v>
      </c>
      <c r="E64" s="660">
        <v>18632000</v>
      </c>
      <c r="F64" s="660">
        <v>0</v>
      </c>
      <c r="G64" s="660">
        <v>18632000</v>
      </c>
      <c r="I64" s="660"/>
      <c r="J64" s="660">
        <v>18632000</v>
      </c>
      <c r="K64" s="660">
        <v>18632000</v>
      </c>
      <c r="M64" s="660">
        <v>0</v>
      </c>
    </row>
    <row r="65" spans="1:13">
      <c r="A65" s="603">
        <v>53</v>
      </c>
      <c r="B65" s="596">
        <v>53</v>
      </c>
      <c r="C65" s="597" t="s">
        <v>3225</v>
      </c>
      <c r="E65" s="659"/>
      <c r="F65" s="659">
        <v>0</v>
      </c>
      <c r="G65" s="659">
        <v>0</v>
      </c>
      <c r="I65" s="659"/>
      <c r="J65" s="659">
        <v>0</v>
      </c>
      <c r="K65" s="659">
        <v>0</v>
      </c>
      <c r="M65" s="659">
        <v>0</v>
      </c>
    </row>
    <row r="66" spans="1:13">
      <c r="A66" s="603">
        <v>54</v>
      </c>
      <c r="B66" s="588">
        <v>54</v>
      </c>
      <c r="C66" s="599" t="s">
        <v>3291</v>
      </c>
      <c r="E66" s="660">
        <v>10908150</v>
      </c>
      <c r="F66" s="660">
        <v>0</v>
      </c>
      <c r="G66" s="660">
        <v>10908150</v>
      </c>
      <c r="I66" s="660"/>
      <c r="J66" s="660">
        <v>10908150</v>
      </c>
      <c r="K66" s="660">
        <v>10908150</v>
      </c>
      <c r="M66" s="660">
        <v>0</v>
      </c>
    </row>
    <row r="67" spans="1:13">
      <c r="A67" s="603"/>
      <c r="B67" s="601"/>
      <c r="C67" s="602" t="s">
        <v>3292</v>
      </c>
      <c r="E67" s="658">
        <v>0</v>
      </c>
      <c r="F67" s="658">
        <v>0</v>
      </c>
      <c r="G67" s="658">
        <v>0</v>
      </c>
      <c r="I67" s="658">
        <v>0</v>
      </c>
      <c r="J67" s="658">
        <v>0</v>
      </c>
      <c r="K67" s="658">
        <v>0</v>
      </c>
      <c r="M67" s="658">
        <v>0</v>
      </c>
    </row>
    <row r="68" spans="1:13">
      <c r="A68" s="603"/>
      <c r="B68" s="596">
        <v>55</v>
      </c>
      <c r="C68" s="597" t="s">
        <v>3231</v>
      </c>
      <c r="E68" s="659"/>
      <c r="F68" s="659">
        <v>0</v>
      </c>
      <c r="G68" s="659">
        <v>0</v>
      </c>
      <c r="I68" s="659"/>
      <c r="J68" s="659">
        <v>0</v>
      </c>
      <c r="K68" s="659">
        <v>0</v>
      </c>
      <c r="M68" s="659">
        <v>0</v>
      </c>
    </row>
    <row r="69" spans="1:13">
      <c r="A69" s="603"/>
      <c r="B69" s="588">
        <v>56</v>
      </c>
      <c r="C69" s="599" t="s">
        <v>3293</v>
      </c>
      <c r="E69" s="660"/>
      <c r="F69" s="660">
        <v>0</v>
      </c>
      <c r="G69" s="660">
        <v>0</v>
      </c>
      <c r="I69" s="660"/>
      <c r="J69" s="660">
        <v>0</v>
      </c>
      <c r="K69" s="660">
        <v>0</v>
      </c>
      <c r="M69" s="660">
        <v>0</v>
      </c>
    </row>
    <row r="70" spans="1:13">
      <c r="A70" s="603">
        <v>0</v>
      </c>
      <c r="B70" s="601"/>
      <c r="C70" s="602" t="s">
        <v>340</v>
      </c>
      <c r="E70" s="658">
        <v>7250634</v>
      </c>
      <c r="F70" s="658">
        <v>-6388795</v>
      </c>
      <c r="G70" s="658">
        <v>861839</v>
      </c>
      <c r="I70" s="658">
        <v>861839</v>
      </c>
      <c r="J70" s="658">
        <v>0</v>
      </c>
      <c r="K70" s="658">
        <v>861839</v>
      </c>
      <c r="M70" s="658">
        <v>0</v>
      </c>
    </row>
    <row r="71" spans="1:13">
      <c r="A71" s="603">
        <v>57</v>
      </c>
      <c r="B71" s="596">
        <v>57</v>
      </c>
      <c r="C71" s="597" t="s">
        <v>3294</v>
      </c>
      <c r="E71" s="659">
        <v>7250634</v>
      </c>
      <c r="F71" s="659">
        <v>-6388795</v>
      </c>
      <c r="G71" s="659">
        <v>861839</v>
      </c>
      <c r="I71" s="659">
        <v>861839</v>
      </c>
      <c r="J71" s="659">
        <v>0</v>
      </c>
      <c r="K71" s="659">
        <v>861839</v>
      </c>
      <c r="M71" s="659">
        <v>0</v>
      </c>
    </row>
    <row r="72" spans="1:13">
      <c r="A72" s="603">
        <v>0</v>
      </c>
      <c r="B72" s="601"/>
      <c r="C72" s="602" t="s">
        <v>3295</v>
      </c>
      <c r="E72" s="658">
        <v>11498251</v>
      </c>
      <c r="F72" s="658">
        <v>0</v>
      </c>
      <c r="G72" s="658">
        <v>11498251</v>
      </c>
      <c r="I72" s="658">
        <v>11498251</v>
      </c>
      <c r="J72" s="658">
        <v>0</v>
      </c>
      <c r="K72" s="658">
        <v>11498251</v>
      </c>
      <c r="M72" s="658">
        <v>0</v>
      </c>
    </row>
    <row r="73" spans="1:13">
      <c r="A73" s="603">
        <v>58</v>
      </c>
      <c r="B73" s="588">
        <v>58</v>
      </c>
      <c r="C73" s="599" t="s">
        <v>3296</v>
      </c>
      <c r="E73" s="660">
        <v>11498251</v>
      </c>
      <c r="F73" s="660">
        <v>0</v>
      </c>
      <c r="G73" s="660">
        <v>11498251</v>
      </c>
      <c r="I73" s="660">
        <v>11498251</v>
      </c>
      <c r="J73" s="660">
        <v>0</v>
      </c>
      <c r="K73" s="660">
        <v>11498251</v>
      </c>
      <c r="M73" s="660">
        <v>0</v>
      </c>
    </row>
    <row r="74" spans="1:13">
      <c r="A74" s="603"/>
      <c r="B74" s="601"/>
      <c r="C74" s="602" t="s">
        <v>3297</v>
      </c>
      <c r="E74" s="658">
        <v>0</v>
      </c>
      <c r="F74" s="658">
        <v>0</v>
      </c>
      <c r="G74" s="658">
        <v>0</v>
      </c>
      <c r="I74" s="658">
        <v>0</v>
      </c>
      <c r="J74" s="658">
        <v>0</v>
      </c>
      <c r="K74" s="658">
        <v>0</v>
      </c>
      <c r="M74" s="658">
        <v>0</v>
      </c>
    </row>
    <row r="75" spans="1:13">
      <c r="A75" s="603"/>
      <c r="B75" s="588">
        <v>59</v>
      </c>
      <c r="C75" s="599" t="s">
        <v>3298</v>
      </c>
      <c r="E75" s="660"/>
      <c r="F75" s="660">
        <v>0</v>
      </c>
      <c r="G75" s="660">
        <v>0</v>
      </c>
      <c r="I75" s="660"/>
      <c r="J75" s="660">
        <v>0</v>
      </c>
      <c r="K75" s="660">
        <v>0</v>
      </c>
      <c r="M75" s="660"/>
    </row>
    <row r="76" spans="1:13">
      <c r="A76" s="603"/>
      <c r="B76" s="601"/>
      <c r="C76" s="602" t="s">
        <v>3299</v>
      </c>
      <c r="E76" s="658">
        <v>0</v>
      </c>
      <c r="F76" s="658">
        <v>0</v>
      </c>
      <c r="G76" s="658">
        <v>0</v>
      </c>
      <c r="I76" s="658">
        <v>0</v>
      </c>
      <c r="J76" s="658">
        <v>0</v>
      </c>
      <c r="K76" s="658">
        <v>0</v>
      </c>
      <c r="M76" s="658">
        <v>0</v>
      </c>
    </row>
    <row r="77" spans="1:13">
      <c r="A77" s="603"/>
      <c r="B77" s="588">
        <v>60</v>
      </c>
      <c r="C77" s="599" t="s">
        <v>3300</v>
      </c>
      <c r="E77" s="660"/>
      <c r="F77" s="660">
        <v>0</v>
      </c>
      <c r="G77" s="660">
        <v>0</v>
      </c>
      <c r="I77" s="660"/>
      <c r="J77" s="660">
        <v>0</v>
      </c>
      <c r="K77" s="660">
        <v>0</v>
      </c>
      <c r="M77" s="660"/>
    </row>
    <row r="78" spans="1:13">
      <c r="A78" s="603"/>
      <c r="B78" s="601"/>
      <c r="C78" s="602" t="s">
        <v>3301</v>
      </c>
      <c r="E78" s="658">
        <v>0</v>
      </c>
      <c r="F78" s="658">
        <v>0</v>
      </c>
      <c r="G78" s="658">
        <v>0</v>
      </c>
      <c r="I78" s="658">
        <v>0</v>
      </c>
      <c r="J78" s="658">
        <v>0</v>
      </c>
      <c r="K78" s="658">
        <v>0</v>
      </c>
      <c r="M78" s="658">
        <v>0</v>
      </c>
    </row>
    <row r="79" spans="1:13">
      <c r="A79" s="603"/>
      <c r="B79" s="596">
        <v>61</v>
      </c>
      <c r="C79" s="597" t="s">
        <v>3302</v>
      </c>
      <c r="E79" s="659"/>
      <c r="F79" s="659"/>
      <c r="G79" s="659"/>
      <c r="I79" s="659"/>
      <c r="J79" s="659"/>
      <c r="K79" s="659"/>
      <c r="M79" s="659"/>
    </row>
  </sheetData>
  <mergeCells count="5">
    <mergeCell ref="B3:B4"/>
    <mergeCell ref="C3:C4"/>
    <mergeCell ref="E3:G3"/>
    <mergeCell ref="I3:K3"/>
    <mergeCell ref="M3:M4"/>
  </mergeCells>
  <hyperlinks>
    <hyperlink ref="A1" location="Sommaire!A1" display="Sommaire!A1" xr:uid="{00000000-0004-0000-1900-000000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79"/>
  <sheetViews>
    <sheetView showGridLines="0" zoomScaleNormal="100" workbookViewId="0">
      <selection activeCell="B1" sqref="B1"/>
    </sheetView>
  </sheetViews>
  <sheetFormatPr baseColWidth="10" defaultColWidth="11.33203125" defaultRowHeight="12"/>
  <cols>
    <col min="1" max="1" width="10.1640625" style="588" bestFit="1" customWidth="1"/>
    <col min="2" max="2" width="19" style="588" bestFit="1" customWidth="1"/>
    <col min="3" max="3" width="54.5" style="605" bestFit="1" customWidth="1"/>
    <col min="4" max="4" width="0.6640625" style="590" customWidth="1"/>
    <col min="5" max="5" width="13.33203125" style="590" bestFit="1" customWidth="1"/>
    <col min="6" max="6" width="10.6640625" style="588" bestFit="1" customWidth="1"/>
    <col min="7" max="7" width="11.5" style="590" bestFit="1" customWidth="1"/>
    <col min="8" max="8" width="0.6640625" style="590" customWidth="1"/>
    <col min="9" max="9" width="11.5" style="590" bestFit="1" customWidth="1"/>
    <col min="10" max="10" width="10.6640625" style="590" bestFit="1" customWidth="1"/>
    <col min="11" max="11" width="11.5" style="590" bestFit="1" customWidth="1"/>
    <col min="12" max="12" width="0.6640625" style="590" customWidth="1"/>
    <col min="13" max="13" width="13.83203125" style="590" bestFit="1" customWidth="1"/>
    <col min="14" max="16384" width="11.33203125" style="590"/>
  </cols>
  <sheetData>
    <row r="1" spans="1:13" ht="36">
      <c r="A1" s="661" t="s">
        <v>140</v>
      </c>
      <c r="C1" s="589" t="s">
        <v>3249</v>
      </c>
      <c r="E1" s="591" t="s">
        <v>235</v>
      </c>
      <c r="F1" s="591" t="s">
        <v>3311</v>
      </c>
      <c r="G1" s="592"/>
      <c r="J1" s="592" t="s">
        <v>3251</v>
      </c>
      <c r="K1" s="592">
        <v>2023</v>
      </c>
    </row>
    <row r="2" spans="1:13">
      <c r="C2" s="593"/>
      <c r="F2" s="590"/>
      <c r="I2" s="590" t="s">
        <v>3252</v>
      </c>
      <c r="J2" s="594">
        <v>604.32574999999997</v>
      </c>
    </row>
    <row r="3" spans="1:13">
      <c r="B3" s="753" t="s">
        <v>143</v>
      </c>
      <c r="C3" s="754" t="s">
        <v>3253</v>
      </c>
      <c r="E3" s="755" t="s">
        <v>2084</v>
      </c>
      <c r="F3" s="755"/>
      <c r="G3" s="755"/>
      <c r="I3" s="755" t="s">
        <v>3254</v>
      </c>
      <c r="J3" s="755"/>
      <c r="K3" s="755"/>
      <c r="M3" s="756" t="s">
        <v>3255</v>
      </c>
    </row>
    <row r="4" spans="1:13">
      <c r="B4" s="753"/>
      <c r="C4" s="754"/>
      <c r="E4" s="595" t="s">
        <v>3256</v>
      </c>
      <c r="F4" s="595" t="s">
        <v>3257</v>
      </c>
      <c r="G4" s="595" t="s">
        <v>3258</v>
      </c>
      <c r="I4" s="595" t="s">
        <v>3256</v>
      </c>
      <c r="J4" s="595" t="s">
        <v>3257</v>
      </c>
      <c r="K4" s="595" t="s">
        <v>3258</v>
      </c>
      <c r="M4" s="756"/>
    </row>
    <row r="5" spans="1:13">
      <c r="B5" s="655" t="s">
        <v>3092</v>
      </c>
      <c r="C5" s="656"/>
      <c r="E5" s="657">
        <v>0</v>
      </c>
      <c r="F5" s="657">
        <v>0</v>
      </c>
      <c r="G5" s="657">
        <v>0</v>
      </c>
      <c r="I5" s="657">
        <v>0</v>
      </c>
      <c r="J5" s="657">
        <v>0</v>
      </c>
      <c r="K5" s="657">
        <v>0</v>
      </c>
      <c r="M5" s="657">
        <v>0</v>
      </c>
    </row>
    <row r="6" spans="1:13">
      <c r="B6" s="596">
        <v>1</v>
      </c>
      <c r="C6" s="597" t="s">
        <v>3259</v>
      </c>
      <c r="E6" s="598"/>
      <c r="F6" s="598">
        <v>0</v>
      </c>
      <c r="G6" s="598">
        <v>0</v>
      </c>
      <c r="I6" s="598"/>
      <c r="J6" s="598">
        <v>0</v>
      </c>
      <c r="K6" s="598">
        <v>0</v>
      </c>
      <c r="M6" s="598">
        <v>0</v>
      </c>
    </row>
    <row r="7" spans="1:13">
      <c r="B7" s="588">
        <v>2</v>
      </c>
      <c r="C7" s="599" t="s">
        <v>3260</v>
      </c>
      <c r="E7" s="600"/>
      <c r="F7" s="600">
        <v>0</v>
      </c>
      <c r="G7" s="600">
        <v>0</v>
      </c>
      <c r="I7" s="600"/>
      <c r="J7" s="600">
        <v>0</v>
      </c>
      <c r="K7" s="600">
        <v>0</v>
      </c>
      <c r="M7" s="600">
        <v>0</v>
      </c>
    </row>
    <row r="8" spans="1:13">
      <c r="B8" s="655" t="s">
        <v>3101</v>
      </c>
      <c r="C8" s="656"/>
      <c r="E8" s="657">
        <v>377807160</v>
      </c>
      <c r="F8" s="657">
        <v>37000000</v>
      </c>
      <c r="G8" s="657">
        <v>414807160</v>
      </c>
      <c r="I8" s="657">
        <v>709798469</v>
      </c>
      <c r="J8" s="657">
        <v>57890254</v>
      </c>
      <c r="K8" s="657">
        <v>767688723</v>
      </c>
      <c r="M8" s="657">
        <v>-352881563</v>
      </c>
    </row>
    <row r="9" spans="1:13">
      <c r="B9" s="601"/>
      <c r="C9" s="602" t="s">
        <v>1244</v>
      </c>
      <c r="E9" s="658">
        <v>58695254</v>
      </c>
      <c r="F9" s="658">
        <v>37000000</v>
      </c>
      <c r="G9" s="658">
        <v>95695254</v>
      </c>
      <c r="I9" s="658">
        <v>37805000</v>
      </c>
      <c r="J9" s="658">
        <v>57890254</v>
      </c>
      <c r="K9" s="658">
        <v>95695254</v>
      </c>
      <c r="M9" s="658">
        <v>0</v>
      </c>
    </row>
    <row r="10" spans="1:13">
      <c r="A10" s="603">
        <v>3</v>
      </c>
      <c r="B10" s="596">
        <v>3</v>
      </c>
      <c r="C10" s="597" t="s">
        <v>3261</v>
      </c>
      <c r="E10" s="659"/>
      <c r="F10" s="659">
        <v>0</v>
      </c>
      <c r="G10" s="659">
        <v>0</v>
      </c>
      <c r="I10" s="659"/>
      <c r="J10" s="659">
        <v>0</v>
      </c>
      <c r="K10" s="659">
        <v>0</v>
      </c>
      <c r="M10" s="659">
        <v>0</v>
      </c>
    </row>
    <row r="11" spans="1:13">
      <c r="A11" s="603">
        <v>4</v>
      </c>
      <c r="B11" s="588">
        <v>4</v>
      </c>
      <c r="C11" s="599" t="s">
        <v>3106</v>
      </c>
      <c r="E11" s="660">
        <v>55527754</v>
      </c>
      <c r="F11" s="660">
        <v>0</v>
      </c>
      <c r="G11" s="660">
        <v>55527754</v>
      </c>
      <c r="I11" s="660"/>
      <c r="J11" s="660">
        <v>55527754</v>
      </c>
      <c r="K11" s="660">
        <v>55527754</v>
      </c>
      <c r="M11" s="660">
        <v>0</v>
      </c>
    </row>
    <row r="12" spans="1:13">
      <c r="A12" s="603">
        <v>5</v>
      </c>
      <c r="B12" s="596">
        <v>5</v>
      </c>
      <c r="C12" s="597" t="s">
        <v>3262</v>
      </c>
      <c r="E12" s="659"/>
      <c r="F12" s="659">
        <v>0</v>
      </c>
      <c r="G12" s="659">
        <v>0</v>
      </c>
      <c r="I12" s="659"/>
      <c r="J12" s="659">
        <v>0</v>
      </c>
      <c r="K12" s="659">
        <v>0</v>
      </c>
      <c r="M12" s="659">
        <v>0</v>
      </c>
    </row>
    <row r="13" spans="1:13">
      <c r="A13" s="603">
        <v>6</v>
      </c>
      <c r="B13" s="588">
        <v>6</v>
      </c>
      <c r="C13" s="599" t="s">
        <v>3263</v>
      </c>
      <c r="E13" s="660"/>
      <c r="F13" s="660">
        <v>0</v>
      </c>
      <c r="G13" s="660">
        <v>0</v>
      </c>
      <c r="I13" s="660"/>
      <c r="J13" s="660">
        <v>0</v>
      </c>
      <c r="K13" s="660">
        <v>0</v>
      </c>
      <c r="M13" s="660">
        <v>0</v>
      </c>
    </row>
    <row r="14" spans="1:13">
      <c r="A14" s="603">
        <v>7</v>
      </c>
      <c r="B14" s="596">
        <v>7</v>
      </c>
      <c r="C14" s="597" t="s">
        <v>3114</v>
      </c>
      <c r="E14" s="659">
        <v>3167500</v>
      </c>
      <c r="F14" s="659">
        <v>37000000</v>
      </c>
      <c r="G14" s="659">
        <v>40167500</v>
      </c>
      <c r="I14" s="659">
        <v>37805000</v>
      </c>
      <c r="J14" s="659">
        <v>2362500</v>
      </c>
      <c r="K14" s="659">
        <v>40167500</v>
      </c>
      <c r="M14" s="659">
        <v>0</v>
      </c>
    </row>
    <row r="15" spans="1:13">
      <c r="A15" s="603">
        <v>0</v>
      </c>
      <c r="B15" s="601"/>
      <c r="C15" s="602" t="s">
        <v>1253</v>
      </c>
      <c r="E15" s="658">
        <v>0</v>
      </c>
      <c r="F15" s="658">
        <v>0</v>
      </c>
      <c r="G15" s="658">
        <v>0</v>
      </c>
      <c r="I15" s="658">
        <v>0</v>
      </c>
      <c r="J15" s="658">
        <v>0</v>
      </c>
      <c r="K15" s="658">
        <v>0</v>
      </c>
      <c r="M15" s="658">
        <v>0</v>
      </c>
    </row>
    <row r="16" spans="1:13">
      <c r="A16" s="603">
        <v>8</v>
      </c>
      <c r="B16" s="588">
        <v>8</v>
      </c>
      <c r="C16" s="599" t="s">
        <v>3264</v>
      </c>
      <c r="E16" s="660"/>
      <c r="F16" s="660">
        <v>0</v>
      </c>
      <c r="G16" s="660">
        <v>0</v>
      </c>
      <c r="I16" s="660"/>
      <c r="J16" s="660">
        <v>0</v>
      </c>
      <c r="K16" s="660">
        <v>0</v>
      </c>
      <c r="M16" s="660">
        <v>0</v>
      </c>
    </row>
    <row r="17" spans="1:13">
      <c r="A17" s="603">
        <v>9</v>
      </c>
      <c r="B17" s="596">
        <v>9</v>
      </c>
      <c r="C17" s="597" t="s">
        <v>3265</v>
      </c>
      <c r="E17" s="659"/>
      <c r="F17" s="659">
        <v>0</v>
      </c>
      <c r="G17" s="659">
        <v>0</v>
      </c>
      <c r="I17" s="659"/>
      <c r="J17" s="659">
        <v>0</v>
      </c>
      <c r="K17" s="659">
        <v>0</v>
      </c>
      <c r="M17" s="659">
        <v>0</v>
      </c>
    </row>
    <row r="18" spans="1:13">
      <c r="A18" s="603"/>
      <c r="B18" s="588">
        <v>10</v>
      </c>
      <c r="C18" s="599" t="s">
        <v>3122</v>
      </c>
      <c r="E18" s="660"/>
      <c r="F18" s="660">
        <v>0</v>
      </c>
      <c r="G18" s="660">
        <v>0</v>
      </c>
      <c r="I18" s="660"/>
      <c r="J18" s="660">
        <v>0</v>
      </c>
      <c r="K18" s="660">
        <v>0</v>
      </c>
      <c r="M18" s="660">
        <v>0</v>
      </c>
    </row>
    <row r="19" spans="1:13">
      <c r="A19" s="603">
        <v>11</v>
      </c>
      <c r="B19" s="596">
        <v>11</v>
      </c>
      <c r="C19" s="597" t="s">
        <v>3124</v>
      </c>
      <c r="E19" s="659"/>
      <c r="F19" s="659">
        <v>0</v>
      </c>
      <c r="G19" s="659">
        <v>0</v>
      </c>
      <c r="I19" s="659"/>
      <c r="J19" s="659">
        <v>0</v>
      </c>
      <c r="K19" s="659">
        <v>0</v>
      </c>
      <c r="M19" s="659">
        <v>0</v>
      </c>
    </row>
    <row r="20" spans="1:13">
      <c r="A20" s="603">
        <v>12</v>
      </c>
      <c r="B20" s="588">
        <v>12</v>
      </c>
      <c r="C20" s="599" t="s">
        <v>3266</v>
      </c>
      <c r="E20" s="660"/>
      <c r="F20" s="660">
        <v>0</v>
      </c>
      <c r="G20" s="660">
        <v>0</v>
      </c>
      <c r="I20" s="660"/>
      <c r="J20" s="660">
        <v>0</v>
      </c>
      <c r="K20" s="660">
        <v>0</v>
      </c>
      <c r="M20" s="660">
        <v>0</v>
      </c>
    </row>
    <row r="21" spans="1:13">
      <c r="A21" s="603">
        <v>13</v>
      </c>
      <c r="B21" s="596">
        <v>13</v>
      </c>
      <c r="C21" s="597" t="s">
        <v>3267</v>
      </c>
      <c r="E21" s="659"/>
      <c r="F21" s="659">
        <v>0</v>
      </c>
      <c r="G21" s="659">
        <v>0</v>
      </c>
      <c r="I21" s="659"/>
      <c r="J21" s="659">
        <v>0</v>
      </c>
      <c r="K21" s="659">
        <v>0</v>
      </c>
      <c r="M21" s="659">
        <v>0</v>
      </c>
    </row>
    <row r="22" spans="1:13">
      <c r="A22" s="603">
        <v>14</v>
      </c>
      <c r="B22" s="588">
        <v>14</v>
      </c>
      <c r="C22" s="599" t="s">
        <v>3268</v>
      </c>
      <c r="E22" s="660"/>
      <c r="F22" s="660">
        <v>0</v>
      </c>
      <c r="G22" s="660">
        <v>0</v>
      </c>
      <c r="I22" s="660"/>
      <c r="J22" s="660">
        <v>0</v>
      </c>
      <c r="K22" s="660">
        <v>0</v>
      </c>
      <c r="M22" s="660">
        <v>0</v>
      </c>
    </row>
    <row r="23" spans="1:13">
      <c r="A23" s="603">
        <v>15</v>
      </c>
      <c r="B23" s="596">
        <v>15</v>
      </c>
      <c r="C23" s="597" t="s">
        <v>3133</v>
      </c>
      <c r="E23" s="659"/>
      <c r="F23" s="659">
        <v>0</v>
      </c>
      <c r="G23" s="659">
        <v>0</v>
      </c>
      <c r="I23" s="659"/>
      <c r="J23" s="659">
        <v>0</v>
      </c>
      <c r="K23" s="659">
        <v>0</v>
      </c>
      <c r="M23" s="659">
        <v>0</v>
      </c>
    </row>
    <row r="24" spans="1:13">
      <c r="A24" s="603">
        <v>16</v>
      </c>
      <c r="B24" s="588">
        <v>16</v>
      </c>
      <c r="C24" s="599" t="s">
        <v>3136</v>
      </c>
      <c r="E24" s="660"/>
      <c r="F24" s="660">
        <v>0</v>
      </c>
      <c r="G24" s="660">
        <v>0</v>
      </c>
      <c r="I24" s="660"/>
      <c r="J24" s="660">
        <v>0</v>
      </c>
      <c r="K24" s="660">
        <v>0</v>
      </c>
      <c r="M24" s="660">
        <v>0</v>
      </c>
    </row>
    <row r="25" spans="1:13">
      <c r="A25" s="603">
        <v>0</v>
      </c>
      <c r="B25" s="601"/>
      <c r="C25" s="602" t="s">
        <v>3269</v>
      </c>
      <c r="E25" s="658">
        <v>0</v>
      </c>
      <c r="F25" s="658">
        <v>0</v>
      </c>
      <c r="G25" s="658">
        <v>0</v>
      </c>
      <c r="I25" s="658">
        <v>0</v>
      </c>
      <c r="J25" s="658">
        <v>0</v>
      </c>
      <c r="K25" s="658">
        <v>0</v>
      </c>
      <c r="M25" s="658">
        <v>0</v>
      </c>
    </row>
    <row r="26" spans="1:13">
      <c r="A26" s="603">
        <v>17</v>
      </c>
      <c r="B26" s="596">
        <v>17</v>
      </c>
      <c r="C26" s="597" t="s">
        <v>3270</v>
      </c>
      <c r="E26" s="659"/>
      <c r="F26" s="659">
        <v>0</v>
      </c>
      <c r="G26" s="659">
        <v>0</v>
      </c>
      <c r="I26" s="659"/>
      <c r="J26" s="659">
        <v>0</v>
      </c>
      <c r="K26" s="659">
        <v>0</v>
      </c>
      <c r="M26" s="659">
        <v>0</v>
      </c>
    </row>
    <row r="27" spans="1:13">
      <c r="A27" s="603">
        <v>18</v>
      </c>
      <c r="B27" s="588">
        <v>18</v>
      </c>
      <c r="C27" s="599" t="s">
        <v>3141</v>
      </c>
      <c r="E27" s="660"/>
      <c r="F27" s="660">
        <v>0</v>
      </c>
      <c r="G27" s="660">
        <v>0</v>
      </c>
      <c r="I27" s="660"/>
      <c r="J27" s="660">
        <v>0</v>
      </c>
      <c r="K27" s="660">
        <v>0</v>
      </c>
      <c r="M27" s="660">
        <v>0</v>
      </c>
    </row>
    <row r="28" spans="1:13">
      <c r="A28" s="603">
        <v>19</v>
      </c>
      <c r="B28" s="596">
        <v>19</v>
      </c>
      <c r="C28" s="597" t="s">
        <v>3144</v>
      </c>
      <c r="E28" s="659"/>
      <c r="F28" s="659">
        <v>0</v>
      </c>
      <c r="G28" s="659">
        <v>0</v>
      </c>
      <c r="I28" s="659"/>
      <c r="J28" s="659">
        <v>0</v>
      </c>
      <c r="K28" s="659">
        <v>0</v>
      </c>
      <c r="M28" s="659">
        <v>0</v>
      </c>
    </row>
    <row r="29" spans="1:13">
      <c r="A29" s="603">
        <v>20</v>
      </c>
      <c r="B29" s="588">
        <v>20</v>
      </c>
      <c r="C29" s="599" t="s">
        <v>3147</v>
      </c>
      <c r="E29" s="660"/>
      <c r="F29" s="660">
        <v>0</v>
      </c>
      <c r="G29" s="660">
        <v>0</v>
      </c>
      <c r="I29" s="660"/>
      <c r="J29" s="660">
        <v>0</v>
      </c>
      <c r="K29" s="660">
        <v>0</v>
      </c>
      <c r="M29" s="660">
        <v>0</v>
      </c>
    </row>
    <row r="30" spans="1:13">
      <c r="A30" s="603">
        <v>21</v>
      </c>
      <c r="B30" s="596">
        <v>21</v>
      </c>
      <c r="C30" s="597" t="s">
        <v>3271</v>
      </c>
      <c r="E30" s="659"/>
      <c r="F30" s="659">
        <v>0</v>
      </c>
      <c r="G30" s="659">
        <v>0</v>
      </c>
      <c r="I30" s="659"/>
      <c r="J30" s="659">
        <v>0</v>
      </c>
      <c r="K30" s="659">
        <v>0</v>
      </c>
      <c r="M30" s="659">
        <v>0</v>
      </c>
    </row>
    <row r="31" spans="1:13">
      <c r="A31" s="603">
        <v>22</v>
      </c>
      <c r="B31" s="588">
        <v>22</v>
      </c>
      <c r="C31" s="599" t="s">
        <v>3272</v>
      </c>
      <c r="E31" s="660"/>
      <c r="F31" s="660">
        <v>0</v>
      </c>
      <c r="G31" s="660">
        <v>0</v>
      </c>
      <c r="I31" s="660"/>
      <c r="J31" s="660">
        <v>0</v>
      </c>
      <c r="K31" s="660">
        <v>0</v>
      </c>
      <c r="M31" s="660">
        <v>0</v>
      </c>
    </row>
    <row r="32" spans="1:13">
      <c r="A32" s="603">
        <v>23</v>
      </c>
      <c r="B32" s="596">
        <v>23</v>
      </c>
      <c r="C32" s="597" t="s">
        <v>3273</v>
      </c>
      <c r="E32" s="659"/>
      <c r="F32" s="659">
        <v>0</v>
      </c>
      <c r="G32" s="659">
        <v>0</v>
      </c>
      <c r="I32" s="659"/>
      <c r="J32" s="659">
        <v>0</v>
      </c>
      <c r="K32" s="659">
        <v>0</v>
      </c>
      <c r="M32" s="659">
        <v>0</v>
      </c>
    </row>
    <row r="33" spans="1:13">
      <c r="A33" s="603">
        <v>24</v>
      </c>
      <c r="B33" s="588">
        <v>24</v>
      </c>
      <c r="C33" s="599" t="s">
        <v>3158</v>
      </c>
      <c r="E33" s="660"/>
      <c r="F33" s="660">
        <v>0</v>
      </c>
      <c r="G33" s="660">
        <v>0</v>
      </c>
      <c r="I33" s="660"/>
      <c r="J33" s="660">
        <v>0</v>
      </c>
      <c r="K33" s="660">
        <v>0</v>
      </c>
      <c r="M33" s="660">
        <v>0</v>
      </c>
    </row>
    <row r="34" spans="1:13" s="604" customFormat="1">
      <c r="A34" s="603">
        <v>25</v>
      </c>
      <c r="B34" s="596">
        <v>25</v>
      </c>
      <c r="C34" s="597" t="s">
        <v>3274</v>
      </c>
      <c r="D34" s="590"/>
      <c r="E34" s="659"/>
      <c r="F34" s="659">
        <v>0</v>
      </c>
      <c r="G34" s="659">
        <v>0</v>
      </c>
      <c r="H34" s="590"/>
      <c r="I34" s="659"/>
      <c r="J34" s="659">
        <v>0</v>
      </c>
      <c r="K34" s="659">
        <v>0</v>
      </c>
      <c r="L34" s="590"/>
      <c r="M34" s="659">
        <v>0</v>
      </c>
    </row>
    <row r="35" spans="1:13">
      <c r="A35" s="603">
        <v>26</v>
      </c>
      <c r="B35" s="588">
        <v>26</v>
      </c>
      <c r="C35" s="599" t="s">
        <v>3275</v>
      </c>
      <c r="E35" s="660"/>
      <c r="F35" s="660">
        <v>0</v>
      </c>
      <c r="G35" s="660">
        <v>0</v>
      </c>
      <c r="I35" s="660"/>
      <c r="J35" s="660">
        <v>0</v>
      </c>
      <c r="K35" s="660">
        <v>0</v>
      </c>
      <c r="M35" s="660">
        <v>0</v>
      </c>
    </row>
    <row r="36" spans="1:13">
      <c r="A36" s="603">
        <v>0</v>
      </c>
      <c r="B36" s="601"/>
      <c r="C36" s="602" t="s">
        <v>3276</v>
      </c>
      <c r="E36" s="658">
        <v>275607768</v>
      </c>
      <c r="F36" s="658">
        <v>0</v>
      </c>
      <c r="G36" s="658">
        <v>275607768</v>
      </c>
      <c r="I36" s="658">
        <v>541095556</v>
      </c>
      <c r="J36" s="658">
        <v>0</v>
      </c>
      <c r="K36" s="658">
        <v>541095556</v>
      </c>
      <c r="M36" s="658">
        <v>-265487788</v>
      </c>
    </row>
    <row r="37" spans="1:13">
      <c r="A37" s="603">
        <v>27</v>
      </c>
      <c r="B37" s="596">
        <v>27</v>
      </c>
      <c r="C37" s="597" t="s">
        <v>3164</v>
      </c>
      <c r="E37" s="659"/>
      <c r="F37" s="659">
        <v>0</v>
      </c>
      <c r="G37" s="659">
        <v>0</v>
      </c>
      <c r="I37" s="659"/>
      <c r="J37" s="659">
        <v>0</v>
      </c>
      <c r="K37" s="659">
        <v>0</v>
      </c>
      <c r="M37" s="659">
        <v>0</v>
      </c>
    </row>
    <row r="38" spans="1:13">
      <c r="A38" s="603">
        <v>28</v>
      </c>
      <c r="B38" s="588">
        <v>28</v>
      </c>
      <c r="C38" s="599" t="s">
        <v>3167</v>
      </c>
      <c r="E38" s="660">
        <v>269898223</v>
      </c>
      <c r="F38" s="660">
        <v>0</v>
      </c>
      <c r="G38" s="660">
        <v>269898223</v>
      </c>
      <c r="I38" s="660">
        <v>269898223</v>
      </c>
      <c r="J38" s="660">
        <v>0</v>
      </c>
      <c r="K38" s="660">
        <v>269898223</v>
      </c>
      <c r="M38" s="660">
        <v>0</v>
      </c>
    </row>
    <row r="39" spans="1:13">
      <c r="A39" s="603">
        <v>29</v>
      </c>
      <c r="B39" s="596">
        <v>29</v>
      </c>
      <c r="C39" s="597" t="s">
        <v>3170</v>
      </c>
      <c r="E39" s="659"/>
      <c r="F39" s="659">
        <v>0</v>
      </c>
      <c r="G39" s="659">
        <v>0</v>
      </c>
      <c r="I39" s="659"/>
      <c r="J39" s="659">
        <v>0</v>
      </c>
      <c r="K39" s="659">
        <v>0</v>
      </c>
      <c r="M39" s="659">
        <v>0</v>
      </c>
    </row>
    <row r="40" spans="1:13">
      <c r="A40" s="603">
        <v>30</v>
      </c>
      <c r="B40" s="588">
        <v>30</v>
      </c>
      <c r="C40" s="599" t="s">
        <v>3173</v>
      </c>
      <c r="E40" s="660"/>
      <c r="F40" s="660">
        <v>0</v>
      </c>
      <c r="G40" s="660">
        <v>0</v>
      </c>
      <c r="I40" s="660">
        <v>265534859</v>
      </c>
      <c r="J40" s="660">
        <v>0</v>
      </c>
      <c r="K40" s="660">
        <v>265534859</v>
      </c>
      <c r="M40" s="660">
        <v>-265534859</v>
      </c>
    </row>
    <row r="41" spans="1:13">
      <c r="A41" s="603">
        <v>31</v>
      </c>
      <c r="B41" s="596">
        <v>31</v>
      </c>
      <c r="C41" s="597" t="s">
        <v>3176</v>
      </c>
      <c r="E41" s="659"/>
      <c r="F41" s="659">
        <v>0</v>
      </c>
      <c r="G41" s="659">
        <v>0</v>
      </c>
      <c r="I41" s="659"/>
      <c r="J41" s="659">
        <v>0</v>
      </c>
      <c r="K41" s="659">
        <v>0</v>
      </c>
      <c r="M41" s="659">
        <v>0</v>
      </c>
    </row>
    <row r="42" spans="1:13">
      <c r="A42" s="603">
        <v>32</v>
      </c>
      <c r="B42" s="588">
        <v>32</v>
      </c>
      <c r="C42" s="599" t="s">
        <v>3178</v>
      </c>
      <c r="E42" s="660">
        <v>2112113</v>
      </c>
      <c r="F42" s="660">
        <v>0</v>
      </c>
      <c r="G42" s="660">
        <v>2112113</v>
      </c>
      <c r="I42" s="660">
        <v>2065042</v>
      </c>
      <c r="J42" s="660">
        <v>0</v>
      </c>
      <c r="K42" s="660">
        <v>2065042</v>
      </c>
      <c r="M42" s="660">
        <v>47071</v>
      </c>
    </row>
    <row r="43" spans="1:13">
      <c r="A43" s="603">
        <v>33</v>
      </c>
      <c r="B43" s="596">
        <v>33</v>
      </c>
      <c r="C43" s="597" t="s">
        <v>3181</v>
      </c>
      <c r="E43" s="659"/>
      <c r="F43" s="659">
        <v>0</v>
      </c>
      <c r="G43" s="659">
        <v>0</v>
      </c>
      <c r="I43" s="659"/>
      <c r="J43" s="659">
        <v>0</v>
      </c>
      <c r="K43" s="659">
        <v>0</v>
      </c>
      <c r="M43" s="659">
        <v>0</v>
      </c>
    </row>
    <row r="44" spans="1:13">
      <c r="A44" s="603">
        <v>34</v>
      </c>
      <c r="B44" s="588">
        <v>34</v>
      </c>
      <c r="C44" s="599" t="s">
        <v>3184</v>
      </c>
      <c r="E44" s="660">
        <v>3160209</v>
      </c>
      <c r="F44" s="660">
        <v>0</v>
      </c>
      <c r="G44" s="660">
        <v>3160209</v>
      </c>
      <c r="I44" s="660">
        <v>3160209</v>
      </c>
      <c r="J44" s="660">
        <v>0</v>
      </c>
      <c r="K44" s="660">
        <v>3160209</v>
      </c>
      <c r="M44" s="660">
        <v>0</v>
      </c>
    </row>
    <row r="45" spans="1:13">
      <c r="A45" s="603">
        <v>35</v>
      </c>
      <c r="B45" s="596">
        <v>35</v>
      </c>
      <c r="C45" s="597" t="s">
        <v>3186</v>
      </c>
      <c r="E45" s="659"/>
      <c r="F45" s="659">
        <v>0</v>
      </c>
      <c r="G45" s="659">
        <v>0</v>
      </c>
      <c r="I45" s="659"/>
      <c r="J45" s="659">
        <v>0</v>
      </c>
      <c r="K45" s="659">
        <v>0</v>
      </c>
      <c r="M45" s="659">
        <v>0</v>
      </c>
    </row>
    <row r="46" spans="1:13">
      <c r="A46" s="603">
        <v>36</v>
      </c>
      <c r="B46" s="588">
        <v>36</v>
      </c>
      <c r="C46" s="599" t="s">
        <v>3189</v>
      </c>
      <c r="E46" s="660"/>
      <c r="F46" s="660">
        <v>0</v>
      </c>
      <c r="G46" s="660">
        <v>0</v>
      </c>
      <c r="I46" s="660"/>
      <c r="J46" s="660">
        <v>0</v>
      </c>
      <c r="K46" s="660">
        <v>0</v>
      </c>
      <c r="M46" s="660">
        <v>0</v>
      </c>
    </row>
    <row r="47" spans="1:13">
      <c r="A47" s="603">
        <v>37</v>
      </c>
      <c r="B47" s="596">
        <v>37</v>
      </c>
      <c r="C47" s="597" t="s">
        <v>3277</v>
      </c>
      <c r="E47" s="659"/>
      <c r="F47" s="659">
        <v>0</v>
      </c>
      <c r="G47" s="659">
        <v>0</v>
      </c>
      <c r="I47" s="659"/>
      <c r="J47" s="659">
        <v>0</v>
      </c>
      <c r="K47" s="659">
        <v>0</v>
      </c>
      <c r="M47" s="659">
        <v>0</v>
      </c>
    </row>
    <row r="48" spans="1:13">
      <c r="A48" s="603">
        <v>38</v>
      </c>
      <c r="B48" s="588">
        <v>38</v>
      </c>
      <c r="C48" s="599" t="s">
        <v>3278</v>
      </c>
      <c r="E48" s="660"/>
      <c r="F48" s="660">
        <v>0</v>
      </c>
      <c r="G48" s="660">
        <v>0</v>
      </c>
      <c r="I48" s="660"/>
      <c r="J48" s="660">
        <v>0</v>
      </c>
      <c r="K48" s="660">
        <v>0</v>
      </c>
      <c r="M48" s="660">
        <v>0</v>
      </c>
    </row>
    <row r="49" spans="1:13">
      <c r="A49" s="603">
        <v>39</v>
      </c>
      <c r="B49" s="596">
        <v>39</v>
      </c>
      <c r="C49" s="597" t="s">
        <v>3195</v>
      </c>
      <c r="E49" s="659">
        <v>437223</v>
      </c>
      <c r="F49" s="659">
        <v>0</v>
      </c>
      <c r="G49" s="659">
        <v>437223</v>
      </c>
      <c r="I49" s="659">
        <v>437223</v>
      </c>
      <c r="J49" s="659">
        <v>0</v>
      </c>
      <c r="K49" s="659">
        <v>437223</v>
      </c>
      <c r="M49" s="659">
        <v>0</v>
      </c>
    </row>
    <row r="50" spans="1:13">
      <c r="A50" s="603">
        <v>40</v>
      </c>
      <c r="B50" s="588">
        <v>40</v>
      </c>
      <c r="C50" s="599" t="s">
        <v>3198</v>
      </c>
      <c r="E50" s="660"/>
      <c r="F50" s="660">
        <v>0</v>
      </c>
      <c r="G50" s="660">
        <v>0</v>
      </c>
      <c r="I50" s="660"/>
      <c r="J50" s="660">
        <v>0</v>
      </c>
      <c r="K50" s="660">
        <v>0</v>
      </c>
      <c r="M50" s="660">
        <v>0</v>
      </c>
    </row>
    <row r="51" spans="1:13">
      <c r="A51" s="603">
        <v>41</v>
      </c>
      <c r="B51" s="596">
        <v>41</v>
      </c>
      <c r="C51" s="597" t="s">
        <v>3279</v>
      </c>
      <c r="E51" s="659"/>
      <c r="F51" s="659">
        <v>0</v>
      </c>
      <c r="G51" s="659">
        <v>0</v>
      </c>
      <c r="I51" s="659"/>
      <c r="J51" s="659">
        <v>0</v>
      </c>
      <c r="K51" s="659">
        <v>0</v>
      </c>
      <c r="M51" s="659">
        <v>0</v>
      </c>
    </row>
    <row r="52" spans="1:13">
      <c r="A52" s="603"/>
      <c r="B52" s="588">
        <v>42</v>
      </c>
      <c r="C52" s="599" t="s">
        <v>3280</v>
      </c>
      <c r="E52" s="660"/>
      <c r="F52" s="660">
        <v>0</v>
      </c>
      <c r="G52" s="660">
        <v>0</v>
      </c>
      <c r="I52" s="660"/>
      <c r="J52" s="660">
        <v>0</v>
      </c>
      <c r="K52" s="660">
        <v>0</v>
      </c>
      <c r="M52" s="660">
        <v>0</v>
      </c>
    </row>
    <row r="53" spans="1:13">
      <c r="A53" s="603">
        <v>0</v>
      </c>
      <c r="B53" s="601"/>
      <c r="C53" s="602" t="s">
        <v>3281</v>
      </c>
      <c r="E53" s="658">
        <v>0</v>
      </c>
      <c r="F53" s="658">
        <v>0</v>
      </c>
      <c r="G53" s="658">
        <v>0</v>
      </c>
      <c r="I53" s="658">
        <v>2438334</v>
      </c>
      <c r="J53" s="658">
        <v>0</v>
      </c>
      <c r="K53" s="658">
        <v>2438334</v>
      </c>
      <c r="M53" s="658">
        <v>-2438334</v>
      </c>
    </row>
    <row r="54" spans="1:13">
      <c r="A54" s="603">
        <v>43</v>
      </c>
      <c r="B54" s="596">
        <v>43</v>
      </c>
      <c r="C54" s="597" t="s">
        <v>3282</v>
      </c>
      <c r="E54" s="659"/>
      <c r="F54" s="659">
        <v>0</v>
      </c>
      <c r="G54" s="659">
        <v>0</v>
      </c>
      <c r="I54" s="659">
        <v>903795</v>
      </c>
      <c r="J54" s="659">
        <v>0</v>
      </c>
      <c r="K54" s="659">
        <v>903795</v>
      </c>
      <c r="M54" s="659">
        <v>-903795</v>
      </c>
    </row>
    <row r="55" spans="1:13">
      <c r="A55" s="603">
        <v>44</v>
      </c>
      <c r="B55" s="588">
        <v>44</v>
      </c>
      <c r="C55" s="599" t="s">
        <v>3283</v>
      </c>
      <c r="E55" s="660"/>
      <c r="F55" s="660">
        <v>0</v>
      </c>
      <c r="G55" s="660">
        <v>0</v>
      </c>
      <c r="I55" s="660">
        <v>30179</v>
      </c>
      <c r="J55" s="660">
        <v>0</v>
      </c>
      <c r="K55" s="660">
        <v>30179</v>
      </c>
      <c r="M55" s="660">
        <v>-30179</v>
      </c>
    </row>
    <row r="56" spans="1:13">
      <c r="A56" s="603"/>
      <c r="B56" s="596">
        <v>45</v>
      </c>
      <c r="C56" s="597" t="s">
        <v>3284</v>
      </c>
      <c r="E56" s="659"/>
      <c r="F56" s="659">
        <v>0</v>
      </c>
      <c r="G56" s="659">
        <v>0</v>
      </c>
      <c r="I56" s="659">
        <v>37724</v>
      </c>
      <c r="J56" s="659">
        <v>0</v>
      </c>
      <c r="K56" s="659">
        <v>37724</v>
      </c>
      <c r="M56" s="659">
        <v>-37724</v>
      </c>
    </row>
    <row r="57" spans="1:13">
      <c r="A57" s="603"/>
      <c r="B57" s="588">
        <v>46</v>
      </c>
      <c r="C57" s="599" t="s">
        <v>3285</v>
      </c>
      <c r="E57" s="660"/>
      <c r="F57" s="660">
        <v>0</v>
      </c>
      <c r="G57" s="660">
        <v>0</v>
      </c>
      <c r="I57" s="660">
        <v>754483</v>
      </c>
      <c r="J57" s="660">
        <v>0</v>
      </c>
      <c r="K57" s="660">
        <v>754483</v>
      </c>
      <c r="M57" s="660">
        <v>-754483</v>
      </c>
    </row>
    <row r="58" spans="1:13">
      <c r="A58" s="603"/>
      <c r="B58" s="596">
        <v>47</v>
      </c>
      <c r="C58" s="597" t="s">
        <v>3286</v>
      </c>
      <c r="E58" s="659"/>
      <c r="F58" s="659">
        <v>0</v>
      </c>
      <c r="G58" s="659">
        <v>0</v>
      </c>
      <c r="I58" s="659">
        <v>18862</v>
      </c>
      <c r="J58" s="659">
        <v>0</v>
      </c>
      <c r="K58" s="659">
        <v>18862</v>
      </c>
      <c r="M58" s="659">
        <v>-18862</v>
      </c>
    </row>
    <row r="59" spans="1:13">
      <c r="A59" s="603"/>
      <c r="B59" s="588">
        <v>48</v>
      </c>
      <c r="C59" s="599" t="s">
        <v>3287</v>
      </c>
      <c r="E59" s="660"/>
      <c r="F59" s="660">
        <v>0</v>
      </c>
      <c r="G59" s="660">
        <v>0</v>
      </c>
      <c r="I59" s="660"/>
      <c r="J59" s="660">
        <v>0</v>
      </c>
      <c r="K59" s="660">
        <v>0</v>
      </c>
      <c r="M59" s="660">
        <v>0</v>
      </c>
    </row>
    <row r="60" spans="1:13">
      <c r="A60" s="603"/>
      <c r="B60" s="596">
        <v>49</v>
      </c>
      <c r="C60" s="597" t="s">
        <v>3288</v>
      </c>
      <c r="E60" s="659"/>
      <c r="F60" s="659">
        <v>0</v>
      </c>
      <c r="G60" s="659">
        <v>0</v>
      </c>
      <c r="I60" s="659">
        <v>45646</v>
      </c>
      <c r="J60" s="659">
        <v>0</v>
      </c>
      <c r="K60" s="659">
        <v>45646</v>
      </c>
      <c r="M60" s="659">
        <v>-45646</v>
      </c>
    </row>
    <row r="61" spans="1:13">
      <c r="A61" s="603"/>
      <c r="B61" s="588">
        <v>50</v>
      </c>
      <c r="C61" s="599" t="s">
        <v>3289</v>
      </c>
      <c r="E61" s="660"/>
      <c r="F61" s="660">
        <v>0</v>
      </c>
      <c r="G61" s="660">
        <v>0</v>
      </c>
      <c r="I61" s="660">
        <v>75448</v>
      </c>
      <c r="J61" s="660">
        <v>0</v>
      </c>
      <c r="K61" s="660">
        <v>75448</v>
      </c>
      <c r="M61" s="660">
        <v>-75448</v>
      </c>
    </row>
    <row r="62" spans="1:13">
      <c r="A62" s="603"/>
      <c r="B62" s="596">
        <v>51</v>
      </c>
      <c r="C62" s="597" t="s">
        <v>3218</v>
      </c>
      <c r="E62" s="659"/>
      <c r="F62" s="659">
        <v>0</v>
      </c>
      <c r="G62" s="659">
        <v>0</v>
      </c>
      <c r="I62" s="659">
        <v>572197</v>
      </c>
      <c r="J62" s="659">
        <v>0</v>
      </c>
      <c r="K62" s="659">
        <v>572197</v>
      </c>
      <c r="M62" s="659">
        <v>-572197</v>
      </c>
    </row>
    <row r="63" spans="1:13">
      <c r="A63" s="603">
        <v>0</v>
      </c>
      <c r="B63" s="601"/>
      <c r="C63" s="602" t="s">
        <v>3290</v>
      </c>
      <c r="E63" s="658">
        <v>0</v>
      </c>
      <c r="F63" s="658">
        <v>0</v>
      </c>
      <c r="G63" s="658">
        <v>0</v>
      </c>
      <c r="I63" s="658">
        <v>76389207</v>
      </c>
      <c r="J63" s="658">
        <v>0</v>
      </c>
      <c r="K63" s="658">
        <v>76389207</v>
      </c>
      <c r="M63" s="658">
        <v>-76389207</v>
      </c>
    </row>
    <row r="64" spans="1:13">
      <c r="A64" s="603">
        <v>52</v>
      </c>
      <c r="B64" s="588">
        <v>52</v>
      </c>
      <c r="C64" s="599" t="s">
        <v>3222</v>
      </c>
      <c r="E64" s="660"/>
      <c r="F64" s="660">
        <v>0</v>
      </c>
      <c r="G64" s="660">
        <v>0</v>
      </c>
      <c r="I64" s="660"/>
      <c r="J64" s="660">
        <v>0</v>
      </c>
      <c r="K64" s="660">
        <v>0</v>
      </c>
      <c r="M64" s="660">
        <v>0</v>
      </c>
    </row>
    <row r="65" spans="1:13">
      <c r="A65" s="603">
        <v>53</v>
      </c>
      <c r="B65" s="596">
        <v>53</v>
      </c>
      <c r="C65" s="597" t="s">
        <v>3225</v>
      </c>
      <c r="E65" s="659"/>
      <c r="F65" s="659">
        <v>0</v>
      </c>
      <c r="G65" s="659">
        <v>0</v>
      </c>
      <c r="I65" s="659"/>
      <c r="J65" s="659">
        <v>0</v>
      </c>
      <c r="K65" s="659">
        <v>0</v>
      </c>
      <c r="M65" s="659">
        <v>0</v>
      </c>
    </row>
    <row r="66" spans="1:13">
      <c r="A66" s="603">
        <v>54</v>
      </c>
      <c r="B66" s="588">
        <v>54</v>
      </c>
      <c r="C66" s="599" t="s">
        <v>3291</v>
      </c>
      <c r="E66" s="660"/>
      <c r="F66" s="660">
        <v>0</v>
      </c>
      <c r="G66" s="660">
        <v>0</v>
      </c>
      <c r="I66" s="660">
        <v>76389207</v>
      </c>
      <c r="J66" s="660">
        <v>0</v>
      </c>
      <c r="K66" s="660">
        <v>76389207</v>
      </c>
      <c r="M66" s="660">
        <v>-76389207</v>
      </c>
    </row>
    <row r="67" spans="1:13">
      <c r="A67" s="603"/>
      <c r="B67" s="601"/>
      <c r="C67" s="602" t="s">
        <v>3292</v>
      </c>
      <c r="E67" s="658">
        <v>0</v>
      </c>
      <c r="F67" s="658">
        <v>0</v>
      </c>
      <c r="G67" s="658">
        <v>0</v>
      </c>
      <c r="I67" s="658">
        <v>0</v>
      </c>
      <c r="J67" s="658">
        <v>0</v>
      </c>
      <c r="K67" s="658">
        <v>0</v>
      </c>
      <c r="M67" s="658">
        <v>0</v>
      </c>
    </row>
    <row r="68" spans="1:13">
      <c r="A68" s="603"/>
      <c r="B68" s="596">
        <v>55</v>
      </c>
      <c r="C68" s="597" t="s">
        <v>3231</v>
      </c>
      <c r="E68" s="659"/>
      <c r="F68" s="659">
        <v>0</v>
      </c>
      <c r="G68" s="659">
        <v>0</v>
      </c>
      <c r="I68" s="659"/>
      <c r="J68" s="659">
        <v>0</v>
      </c>
      <c r="K68" s="659">
        <v>0</v>
      </c>
      <c r="M68" s="659">
        <v>0</v>
      </c>
    </row>
    <row r="69" spans="1:13">
      <c r="A69" s="603"/>
      <c r="B69" s="588">
        <v>56</v>
      </c>
      <c r="C69" s="599" t="s">
        <v>3293</v>
      </c>
      <c r="E69" s="660"/>
      <c r="F69" s="660">
        <v>0</v>
      </c>
      <c r="G69" s="660">
        <v>0</v>
      </c>
      <c r="I69" s="660"/>
      <c r="J69" s="660">
        <v>0</v>
      </c>
      <c r="K69" s="660">
        <v>0</v>
      </c>
      <c r="M69" s="660">
        <v>0</v>
      </c>
    </row>
    <row r="70" spans="1:13">
      <c r="A70" s="603">
        <v>0</v>
      </c>
      <c r="B70" s="601"/>
      <c r="C70" s="602" t="s">
        <v>340</v>
      </c>
      <c r="E70" s="658">
        <v>5477546</v>
      </c>
      <c r="F70" s="658">
        <v>0</v>
      </c>
      <c r="G70" s="658">
        <v>5477546</v>
      </c>
      <c r="I70" s="658">
        <v>11604330</v>
      </c>
      <c r="J70" s="658">
        <v>0</v>
      </c>
      <c r="K70" s="658">
        <v>11604330</v>
      </c>
      <c r="M70" s="658">
        <v>-6126784</v>
      </c>
    </row>
    <row r="71" spans="1:13">
      <c r="A71" s="603">
        <v>57</v>
      </c>
      <c r="B71" s="596">
        <v>57</v>
      </c>
      <c r="C71" s="597" t="s">
        <v>3294</v>
      </c>
      <c r="E71" s="659">
        <v>5477546</v>
      </c>
      <c r="F71" s="659">
        <v>0</v>
      </c>
      <c r="G71" s="659">
        <v>5477546</v>
      </c>
      <c r="I71" s="659">
        <v>11604330</v>
      </c>
      <c r="J71" s="659">
        <v>0</v>
      </c>
      <c r="K71" s="659">
        <v>11604330</v>
      </c>
      <c r="M71" s="659">
        <v>-6126784</v>
      </c>
    </row>
    <row r="72" spans="1:13">
      <c r="A72" s="603">
        <v>0</v>
      </c>
      <c r="B72" s="601"/>
      <c r="C72" s="602" t="s">
        <v>3295</v>
      </c>
      <c r="E72" s="658">
        <v>37930592</v>
      </c>
      <c r="F72" s="658">
        <v>0</v>
      </c>
      <c r="G72" s="658">
        <v>37930592</v>
      </c>
      <c r="I72" s="658">
        <v>35615157</v>
      </c>
      <c r="J72" s="658">
        <v>0</v>
      </c>
      <c r="K72" s="658">
        <v>35615157</v>
      </c>
      <c r="M72" s="658">
        <v>2315435</v>
      </c>
    </row>
    <row r="73" spans="1:13">
      <c r="A73" s="603">
        <v>58</v>
      </c>
      <c r="B73" s="588">
        <v>58</v>
      </c>
      <c r="C73" s="599" t="s">
        <v>3296</v>
      </c>
      <c r="E73" s="660">
        <v>37930592</v>
      </c>
      <c r="F73" s="660">
        <v>0</v>
      </c>
      <c r="G73" s="660">
        <v>37930592</v>
      </c>
      <c r="I73" s="660">
        <v>35615157</v>
      </c>
      <c r="J73" s="660">
        <v>0</v>
      </c>
      <c r="K73" s="660">
        <v>35615157</v>
      </c>
      <c r="M73" s="660">
        <v>2315435</v>
      </c>
    </row>
    <row r="74" spans="1:13">
      <c r="A74" s="603"/>
      <c r="B74" s="601"/>
      <c r="C74" s="602" t="s">
        <v>3297</v>
      </c>
      <c r="E74" s="658">
        <v>0</v>
      </c>
      <c r="F74" s="658">
        <v>0</v>
      </c>
      <c r="G74" s="658">
        <v>0</v>
      </c>
      <c r="I74" s="658">
        <v>0</v>
      </c>
      <c r="J74" s="658">
        <v>0</v>
      </c>
      <c r="K74" s="658">
        <v>0</v>
      </c>
      <c r="M74" s="658">
        <v>0</v>
      </c>
    </row>
    <row r="75" spans="1:13">
      <c r="A75" s="603"/>
      <c r="B75" s="588">
        <v>59</v>
      </c>
      <c r="C75" s="599" t="s">
        <v>3298</v>
      </c>
      <c r="E75" s="660"/>
      <c r="F75" s="660">
        <v>0</v>
      </c>
      <c r="G75" s="660">
        <v>0</v>
      </c>
      <c r="I75" s="660"/>
      <c r="J75" s="660">
        <v>0</v>
      </c>
      <c r="K75" s="660">
        <v>0</v>
      </c>
      <c r="M75" s="660"/>
    </row>
    <row r="76" spans="1:13">
      <c r="A76" s="603"/>
      <c r="B76" s="601"/>
      <c r="C76" s="602" t="s">
        <v>3299</v>
      </c>
      <c r="E76" s="658">
        <v>0</v>
      </c>
      <c r="F76" s="658">
        <v>0</v>
      </c>
      <c r="G76" s="658">
        <v>0</v>
      </c>
      <c r="I76" s="658">
        <v>0</v>
      </c>
      <c r="J76" s="658">
        <v>0</v>
      </c>
      <c r="K76" s="658">
        <v>0</v>
      </c>
      <c r="M76" s="658">
        <v>0</v>
      </c>
    </row>
    <row r="77" spans="1:13">
      <c r="A77" s="603"/>
      <c r="B77" s="588">
        <v>60</v>
      </c>
      <c r="C77" s="599" t="s">
        <v>3300</v>
      </c>
      <c r="E77" s="660"/>
      <c r="F77" s="660">
        <v>0</v>
      </c>
      <c r="G77" s="660">
        <v>0</v>
      </c>
      <c r="I77" s="660"/>
      <c r="J77" s="660">
        <v>0</v>
      </c>
      <c r="K77" s="660">
        <v>0</v>
      </c>
      <c r="M77" s="660"/>
    </row>
    <row r="78" spans="1:13">
      <c r="A78" s="603"/>
      <c r="B78" s="601"/>
      <c r="C78" s="602" t="s">
        <v>3301</v>
      </c>
      <c r="E78" s="658">
        <v>96000</v>
      </c>
      <c r="F78" s="658">
        <v>0</v>
      </c>
      <c r="G78" s="658">
        <v>96000</v>
      </c>
      <c r="I78" s="658">
        <v>4850885</v>
      </c>
      <c r="J78" s="658">
        <v>0</v>
      </c>
      <c r="K78" s="658">
        <v>4850885</v>
      </c>
      <c r="M78" s="658">
        <v>-4754885</v>
      </c>
    </row>
    <row r="79" spans="1:13">
      <c r="A79" s="603"/>
      <c r="B79" s="596">
        <v>61</v>
      </c>
      <c r="C79" s="597" t="s">
        <v>3302</v>
      </c>
      <c r="E79" s="659"/>
      <c r="F79" s="659"/>
      <c r="G79" s="659"/>
      <c r="I79" s="659"/>
      <c r="J79" s="659"/>
      <c r="K79" s="659"/>
      <c r="M79" s="659"/>
    </row>
  </sheetData>
  <mergeCells count="5">
    <mergeCell ref="B3:B4"/>
    <mergeCell ref="C3:C4"/>
    <mergeCell ref="E3:G3"/>
    <mergeCell ref="I3:K3"/>
    <mergeCell ref="M3:M4"/>
  </mergeCells>
  <hyperlinks>
    <hyperlink ref="A1" location="Sommaire!A1" display="Sommaire!A1" xr:uid="{00000000-0004-0000-1A00-000000000000}"/>
  </hyperlinks>
  <pageMargins left="0.7" right="0.7" top="0.75" bottom="0.75" header="0.3" footer="0.3"/>
  <pageSetup paperSize="9" orientation="landscape"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79"/>
  <sheetViews>
    <sheetView showGridLines="0" zoomScaleNormal="100" workbookViewId="0">
      <selection activeCell="B1" sqref="B1"/>
    </sheetView>
  </sheetViews>
  <sheetFormatPr baseColWidth="10" defaultColWidth="11.33203125" defaultRowHeight="12"/>
  <cols>
    <col min="1" max="1" width="10.1640625" style="588" bestFit="1" customWidth="1"/>
    <col min="2" max="2" width="19" style="588" bestFit="1" customWidth="1"/>
    <col min="3" max="3" width="54.5" style="605" bestFit="1" customWidth="1"/>
    <col min="4" max="4" width="0.6640625" style="590" customWidth="1"/>
    <col min="5" max="5" width="12.6640625" style="590" bestFit="1" customWidth="1"/>
    <col min="6" max="6" width="10.6640625" style="588" bestFit="1" customWidth="1"/>
    <col min="7" max="7" width="11.5" style="590" bestFit="1" customWidth="1"/>
    <col min="8" max="8" width="0.6640625" style="590" customWidth="1"/>
    <col min="9" max="9" width="11.5" style="590" bestFit="1" customWidth="1"/>
    <col min="10" max="10" width="10.6640625" style="590" bestFit="1" customWidth="1"/>
    <col min="11" max="11" width="11.5" style="590" bestFit="1" customWidth="1"/>
    <col min="12" max="12" width="0.6640625" style="590" customWidth="1"/>
    <col min="13" max="13" width="13.83203125" style="590" bestFit="1" customWidth="1"/>
    <col min="14" max="16384" width="11.33203125" style="590"/>
  </cols>
  <sheetData>
    <row r="1" spans="1:13" ht="24">
      <c r="A1" s="661" t="s">
        <v>140</v>
      </c>
      <c r="C1" s="589" t="s">
        <v>3249</v>
      </c>
      <c r="E1" s="591" t="s">
        <v>239</v>
      </c>
      <c r="F1" s="591" t="s">
        <v>3312</v>
      </c>
      <c r="G1" s="592"/>
      <c r="J1" s="592" t="s">
        <v>3251</v>
      </c>
      <c r="K1" s="592">
        <v>2023</v>
      </c>
    </row>
    <row r="2" spans="1:13">
      <c r="C2" s="593"/>
      <c r="F2" s="590"/>
      <c r="I2" s="590" t="s">
        <v>3252</v>
      </c>
      <c r="J2" s="594">
        <v>604.32574999999997</v>
      </c>
    </row>
    <row r="3" spans="1:13">
      <c r="B3" s="753" t="s">
        <v>143</v>
      </c>
      <c r="C3" s="754" t="s">
        <v>3253</v>
      </c>
      <c r="E3" s="755" t="s">
        <v>2084</v>
      </c>
      <c r="F3" s="755"/>
      <c r="G3" s="755"/>
      <c r="I3" s="755" t="s">
        <v>3254</v>
      </c>
      <c r="J3" s="755"/>
      <c r="K3" s="755"/>
      <c r="M3" s="756" t="s">
        <v>3255</v>
      </c>
    </row>
    <row r="4" spans="1:13">
      <c r="B4" s="753"/>
      <c r="C4" s="754"/>
      <c r="E4" s="595" t="s">
        <v>3256</v>
      </c>
      <c r="F4" s="595" t="s">
        <v>3257</v>
      </c>
      <c r="G4" s="595" t="s">
        <v>3258</v>
      </c>
      <c r="I4" s="595" t="s">
        <v>3256</v>
      </c>
      <c r="J4" s="595" t="s">
        <v>3257</v>
      </c>
      <c r="K4" s="595" t="s">
        <v>3258</v>
      </c>
      <c r="M4" s="756"/>
    </row>
    <row r="5" spans="1:13">
      <c r="B5" s="655" t="s">
        <v>3092</v>
      </c>
      <c r="C5" s="656"/>
      <c r="E5" s="657">
        <v>0</v>
      </c>
      <c r="F5" s="657">
        <v>0</v>
      </c>
      <c r="G5" s="657">
        <v>0</v>
      </c>
      <c r="I5" s="657">
        <v>0</v>
      </c>
      <c r="J5" s="657">
        <v>0</v>
      </c>
      <c r="K5" s="657">
        <v>0</v>
      </c>
      <c r="M5" s="657">
        <v>0</v>
      </c>
    </row>
    <row r="6" spans="1:13">
      <c r="B6" s="596">
        <v>1</v>
      </c>
      <c r="C6" s="597" t="s">
        <v>3259</v>
      </c>
      <c r="E6" s="598"/>
      <c r="F6" s="598">
        <v>0</v>
      </c>
      <c r="G6" s="598">
        <v>0</v>
      </c>
      <c r="I6" s="598"/>
      <c r="J6" s="598">
        <v>0</v>
      </c>
      <c r="K6" s="598">
        <v>0</v>
      </c>
      <c r="M6" s="598">
        <v>0</v>
      </c>
    </row>
    <row r="7" spans="1:13">
      <c r="B7" s="588">
        <v>2</v>
      </c>
      <c r="C7" s="599" t="s">
        <v>3260</v>
      </c>
      <c r="E7" s="600"/>
      <c r="F7" s="600">
        <v>0</v>
      </c>
      <c r="G7" s="600">
        <v>0</v>
      </c>
      <c r="I7" s="600"/>
      <c r="J7" s="600">
        <v>0</v>
      </c>
      <c r="K7" s="600">
        <v>0</v>
      </c>
      <c r="M7" s="600">
        <v>0</v>
      </c>
    </row>
    <row r="8" spans="1:13">
      <c r="B8" s="655" t="s">
        <v>3101</v>
      </c>
      <c r="C8" s="656"/>
      <c r="E8" s="657">
        <v>426108764</v>
      </c>
      <c r="F8" s="657">
        <v>0</v>
      </c>
      <c r="G8" s="657">
        <v>426108764</v>
      </c>
      <c r="I8" s="657">
        <v>375000891</v>
      </c>
      <c r="J8" s="657">
        <v>55000000</v>
      </c>
      <c r="K8" s="657">
        <v>430000891</v>
      </c>
      <c r="M8" s="657">
        <v>-3892127</v>
      </c>
    </row>
    <row r="9" spans="1:13">
      <c r="B9" s="601"/>
      <c r="C9" s="602" t="s">
        <v>1244</v>
      </c>
      <c r="E9" s="658">
        <v>56644000</v>
      </c>
      <c r="F9" s="658">
        <v>0</v>
      </c>
      <c r="G9" s="658">
        <v>56644000</v>
      </c>
      <c r="I9" s="658">
        <v>1644000</v>
      </c>
      <c r="J9" s="658">
        <v>55000000</v>
      </c>
      <c r="K9" s="658">
        <v>56644000</v>
      </c>
      <c r="M9" s="658">
        <v>0</v>
      </c>
    </row>
    <row r="10" spans="1:13">
      <c r="A10" s="603">
        <v>3</v>
      </c>
      <c r="B10" s="596">
        <v>3</v>
      </c>
      <c r="C10" s="597" t="s">
        <v>3261</v>
      </c>
      <c r="E10" s="659"/>
      <c r="F10" s="659">
        <v>0</v>
      </c>
      <c r="G10" s="659">
        <v>0</v>
      </c>
      <c r="I10" s="659"/>
      <c r="J10" s="659">
        <v>0</v>
      </c>
      <c r="K10" s="659">
        <v>0</v>
      </c>
      <c r="M10" s="659">
        <v>0</v>
      </c>
    </row>
    <row r="11" spans="1:13">
      <c r="A11" s="603">
        <v>4</v>
      </c>
      <c r="B11" s="588">
        <v>4</v>
      </c>
      <c r="C11" s="599" t="s">
        <v>3106</v>
      </c>
      <c r="E11" s="660">
        <v>55000000</v>
      </c>
      <c r="F11" s="660">
        <v>0</v>
      </c>
      <c r="G11" s="660">
        <v>55000000</v>
      </c>
      <c r="I11" s="660"/>
      <c r="J11" s="660">
        <v>55000000</v>
      </c>
      <c r="K11" s="660">
        <v>55000000</v>
      </c>
      <c r="M11" s="660">
        <v>0</v>
      </c>
    </row>
    <row r="12" spans="1:13">
      <c r="A12" s="603">
        <v>5</v>
      </c>
      <c r="B12" s="596">
        <v>5</v>
      </c>
      <c r="C12" s="597" t="s">
        <v>3262</v>
      </c>
      <c r="E12" s="659"/>
      <c r="F12" s="659">
        <v>0</v>
      </c>
      <c r="G12" s="659">
        <v>0</v>
      </c>
      <c r="I12" s="659"/>
      <c r="J12" s="659">
        <v>0</v>
      </c>
      <c r="K12" s="659">
        <v>0</v>
      </c>
      <c r="M12" s="659">
        <v>0</v>
      </c>
    </row>
    <row r="13" spans="1:13">
      <c r="A13" s="603">
        <v>6</v>
      </c>
      <c r="B13" s="588">
        <v>6</v>
      </c>
      <c r="C13" s="599" t="s">
        <v>3263</v>
      </c>
      <c r="E13" s="660"/>
      <c r="F13" s="660">
        <v>0</v>
      </c>
      <c r="G13" s="660">
        <v>0</v>
      </c>
      <c r="I13" s="660"/>
      <c r="J13" s="660">
        <v>0</v>
      </c>
      <c r="K13" s="660">
        <v>0</v>
      </c>
      <c r="M13" s="660">
        <v>0</v>
      </c>
    </row>
    <row r="14" spans="1:13">
      <c r="A14" s="603">
        <v>7</v>
      </c>
      <c r="B14" s="596">
        <v>7</v>
      </c>
      <c r="C14" s="597" t="s">
        <v>3114</v>
      </c>
      <c r="E14" s="659">
        <v>1644000</v>
      </c>
      <c r="F14" s="659">
        <v>0</v>
      </c>
      <c r="G14" s="659">
        <v>1644000</v>
      </c>
      <c r="I14" s="659">
        <v>1644000</v>
      </c>
      <c r="J14" s="659">
        <v>0</v>
      </c>
      <c r="K14" s="659">
        <v>1644000</v>
      </c>
      <c r="M14" s="659">
        <v>0</v>
      </c>
    </row>
    <row r="15" spans="1:13">
      <c r="A15" s="603">
        <v>0</v>
      </c>
      <c r="B15" s="601"/>
      <c r="C15" s="602" t="s">
        <v>1253</v>
      </c>
      <c r="E15" s="658">
        <v>0</v>
      </c>
      <c r="F15" s="658">
        <v>0</v>
      </c>
      <c r="G15" s="658">
        <v>0</v>
      </c>
      <c r="I15" s="658">
        <v>0</v>
      </c>
      <c r="J15" s="658">
        <v>0</v>
      </c>
      <c r="K15" s="658">
        <v>0</v>
      </c>
      <c r="M15" s="658">
        <v>0</v>
      </c>
    </row>
    <row r="16" spans="1:13">
      <c r="A16" s="603">
        <v>8</v>
      </c>
      <c r="B16" s="588">
        <v>8</v>
      </c>
      <c r="C16" s="599" t="s">
        <v>3264</v>
      </c>
      <c r="E16" s="660"/>
      <c r="F16" s="660">
        <v>0</v>
      </c>
      <c r="G16" s="660">
        <v>0</v>
      </c>
      <c r="I16" s="660"/>
      <c r="J16" s="660">
        <v>0</v>
      </c>
      <c r="K16" s="660">
        <v>0</v>
      </c>
      <c r="M16" s="660">
        <v>0</v>
      </c>
    </row>
    <row r="17" spans="1:13">
      <c r="A17" s="603">
        <v>9</v>
      </c>
      <c r="B17" s="596">
        <v>9</v>
      </c>
      <c r="C17" s="597" t="s">
        <v>3265</v>
      </c>
      <c r="E17" s="659"/>
      <c r="F17" s="659">
        <v>0</v>
      </c>
      <c r="G17" s="659">
        <v>0</v>
      </c>
      <c r="I17" s="659"/>
      <c r="J17" s="659">
        <v>0</v>
      </c>
      <c r="K17" s="659">
        <v>0</v>
      </c>
      <c r="M17" s="659">
        <v>0</v>
      </c>
    </row>
    <row r="18" spans="1:13">
      <c r="A18" s="603"/>
      <c r="B18" s="588">
        <v>10</v>
      </c>
      <c r="C18" s="599" t="s">
        <v>3122</v>
      </c>
      <c r="E18" s="660"/>
      <c r="F18" s="660">
        <v>0</v>
      </c>
      <c r="G18" s="660">
        <v>0</v>
      </c>
      <c r="I18" s="660"/>
      <c r="J18" s="660">
        <v>0</v>
      </c>
      <c r="K18" s="660">
        <v>0</v>
      </c>
      <c r="M18" s="660">
        <v>0</v>
      </c>
    </row>
    <row r="19" spans="1:13">
      <c r="A19" s="603">
        <v>11</v>
      </c>
      <c r="B19" s="596">
        <v>11</v>
      </c>
      <c r="C19" s="597" t="s">
        <v>3124</v>
      </c>
      <c r="E19" s="659"/>
      <c r="F19" s="659">
        <v>0</v>
      </c>
      <c r="G19" s="659">
        <v>0</v>
      </c>
      <c r="I19" s="659"/>
      <c r="J19" s="659">
        <v>0</v>
      </c>
      <c r="K19" s="659">
        <v>0</v>
      </c>
      <c r="M19" s="659">
        <v>0</v>
      </c>
    </row>
    <row r="20" spans="1:13">
      <c r="A20" s="603">
        <v>12</v>
      </c>
      <c r="B20" s="588">
        <v>12</v>
      </c>
      <c r="C20" s="599" t="s">
        <v>3266</v>
      </c>
      <c r="E20" s="660"/>
      <c r="F20" s="660">
        <v>0</v>
      </c>
      <c r="G20" s="660">
        <v>0</v>
      </c>
      <c r="I20" s="660"/>
      <c r="J20" s="660">
        <v>0</v>
      </c>
      <c r="K20" s="660">
        <v>0</v>
      </c>
      <c r="M20" s="660">
        <v>0</v>
      </c>
    </row>
    <row r="21" spans="1:13">
      <c r="A21" s="603">
        <v>13</v>
      </c>
      <c r="B21" s="596">
        <v>13</v>
      </c>
      <c r="C21" s="597" t="s">
        <v>3267</v>
      </c>
      <c r="E21" s="659"/>
      <c r="F21" s="659">
        <v>0</v>
      </c>
      <c r="G21" s="659">
        <v>0</v>
      </c>
      <c r="I21" s="659"/>
      <c r="J21" s="659">
        <v>0</v>
      </c>
      <c r="K21" s="659">
        <v>0</v>
      </c>
      <c r="M21" s="659">
        <v>0</v>
      </c>
    </row>
    <row r="22" spans="1:13">
      <c r="A22" s="603">
        <v>14</v>
      </c>
      <c r="B22" s="588">
        <v>14</v>
      </c>
      <c r="C22" s="599" t="s">
        <v>3268</v>
      </c>
      <c r="E22" s="660"/>
      <c r="F22" s="660">
        <v>0</v>
      </c>
      <c r="G22" s="660">
        <v>0</v>
      </c>
      <c r="I22" s="660"/>
      <c r="J22" s="660">
        <v>0</v>
      </c>
      <c r="K22" s="660">
        <v>0</v>
      </c>
      <c r="M22" s="660">
        <v>0</v>
      </c>
    </row>
    <row r="23" spans="1:13">
      <c r="A23" s="603">
        <v>15</v>
      </c>
      <c r="B23" s="596">
        <v>15</v>
      </c>
      <c r="C23" s="597" t="s">
        <v>3133</v>
      </c>
      <c r="E23" s="659"/>
      <c r="F23" s="659">
        <v>0</v>
      </c>
      <c r="G23" s="659">
        <v>0</v>
      </c>
      <c r="I23" s="659"/>
      <c r="J23" s="659">
        <v>0</v>
      </c>
      <c r="K23" s="659">
        <v>0</v>
      </c>
      <c r="M23" s="659">
        <v>0</v>
      </c>
    </row>
    <row r="24" spans="1:13">
      <c r="A24" s="603">
        <v>16</v>
      </c>
      <c r="B24" s="588">
        <v>16</v>
      </c>
      <c r="C24" s="599" t="s">
        <v>3136</v>
      </c>
      <c r="E24" s="660"/>
      <c r="F24" s="660">
        <v>0</v>
      </c>
      <c r="G24" s="660">
        <v>0</v>
      </c>
      <c r="I24" s="660"/>
      <c r="J24" s="660">
        <v>0</v>
      </c>
      <c r="K24" s="660">
        <v>0</v>
      </c>
      <c r="M24" s="660">
        <v>0</v>
      </c>
    </row>
    <row r="25" spans="1:13">
      <c r="A25" s="603">
        <v>0</v>
      </c>
      <c r="B25" s="601"/>
      <c r="C25" s="602" t="s">
        <v>3269</v>
      </c>
      <c r="E25" s="658">
        <v>0</v>
      </c>
      <c r="F25" s="658">
        <v>0</v>
      </c>
      <c r="G25" s="658">
        <v>0</v>
      </c>
      <c r="I25" s="658">
        <v>0</v>
      </c>
      <c r="J25" s="658">
        <v>0</v>
      </c>
      <c r="K25" s="658">
        <v>0</v>
      </c>
      <c r="M25" s="658">
        <v>0</v>
      </c>
    </row>
    <row r="26" spans="1:13">
      <c r="A26" s="603">
        <v>17</v>
      </c>
      <c r="B26" s="596">
        <v>17</v>
      </c>
      <c r="C26" s="597" t="s">
        <v>3270</v>
      </c>
      <c r="E26" s="659"/>
      <c r="F26" s="659">
        <v>0</v>
      </c>
      <c r="G26" s="659">
        <v>0</v>
      </c>
      <c r="I26" s="659"/>
      <c r="J26" s="659">
        <v>0</v>
      </c>
      <c r="K26" s="659">
        <v>0</v>
      </c>
      <c r="M26" s="659">
        <v>0</v>
      </c>
    </row>
    <row r="27" spans="1:13">
      <c r="A27" s="603">
        <v>18</v>
      </c>
      <c r="B27" s="588">
        <v>18</v>
      </c>
      <c r="C27" s="599" t="s">
        <v>3141</v>
      </c>
      <c r="E27" s="660"/>
      <c r="F27" s="660">
        <v>0</v>
      </c>
      <c r="G27" s="660">
        <v>0</v>
      </c>
      <c r="I27" s="660"/>
      <c r="J27" s="660">
        <v>0</v>
      </c>
      <c r="K27" s="660">
        <v>0</v>
      </c>
      <c r="M27" s="660">
        <v>0</v>
      </c>
    </row>
    <row r="28" spans="1:13">
      <c r="A28" s="603">
        <v>19</v>
      </c>
      <c r="B28" s="596">
        <v>19</v>
      </c>
      <c r="C28" s="597" t="s">
        <v>3144</v>
      </c>
      <c r="E28" s="659"/>
      <c r="F28" s="659">
        <v>0</v>
      </c>
      <c r="G28" s="659">
        <v>0</v>
      </c>
      <c r="I28" s="659"/>
      <c r="J28" s="659">
        <v>0</v>
      </c>
      <c r="K28" s="659">
        <v>0</v>
      </c>
      <c r="M28" s="659">
        <v>0</v>
      </c>
    </row>
    <row r="29" spans="1:13">
      <c r="A29" s="603">
        <v>20</v>
      </c>
      <c r="B29" s="588">
        <v>20</v>
      </c>
      <c r="C29" s="599" t="s">
        <v>3147</v>
      </c>
      <c r="E29" s="660"/>
      <c r="F29" s="660">
        <v>0</v>
      </c>
      <c r="G29" s="660">
        <v>0</v>
      </c>
      <c r="I29" s="660"/>
      <c r="J29" s="660">
        <v>0</v>
      </c>
      <c r="K29" s="660">
        <v>0</v>
      </c>
      <c r="M29" s="660">
        <v>0</v>
      </c>
    </row>
    <row r="30" spans="1:13">
      <c r="A30" s="603">
        <v>21</v>
      </c>
      <c r="B30" s="596">
        <v>21</v>
      </c>
      <c r="C30" s="597" t="s">
        <v>3271</v>
      </c>
      <c r="E30" s="659"/>
      <c r="F30" s="659">
        <v>0</v>
      </c>
      <c r="G30" s="659">
        <v>0</v>
      </c>
      <c r="I30" s="659"/>
      <c r="J30" s="659">
        <v>0</v>
      </c>
      <c r="K30" s="659">
        <v>0</v>
      </c>
      <c r="M30" s="659">
        <v>0</v>
      </c>
    </row>
    <row r="31" spans="1:13">
      <c r="A31" s="603">
        <v>22</v>
      </c>
      <c r="B31" s="588">
        <v>22</v>
      </c>
      <c r="C31" s="599" t="s">
        <v>3272</v>
      </c>
      <c r="E31" s="660"/>
      <c r="F31" s="660">
        <v>0</v>
      </c>
      <c r="G31" s="660">
        <v>0</v>
      </c>
      <c r="I31" s="660"/>
      <c r="J31" s="660">
        <v>0</v>
      </c>
      <c r="K31" s="660">
        <v>0</v>
      </c>
      <c r="M31" s="660">
        <v>0</v>
      </c>
    </row>
    <row r="32" spans="1:13">
      <c r="A32" s="603">
        <v>23</v>
      </c>
      <c r="B32" s="596">
        <v>23</v>
      </c>
      <c r="C32" s="597" t="s">
        <v>3273</v>
      </c>
      <c r="E32" s="659"/>
      <c r="F32" s="659">
        <v>0</v>
      </c>
      <c r="G32" s="659">
        <v>0</v>
      </c>
      <c r="I32" s="659"/>
      <c r="J32" s="659">
        <v>0</v>
      </c>
      <c r="K32" s="659">
        <v>0</v>
      </c>
      <c r="M32" s="659">
        <v>0</v>
      </c>
    </row>
    <row r="33" spans="1:13">
      <c r="A33" s="603">
        <v>24</v>
      </c>
      <c r="B33" s="588">
        <v>24</v>
      </c>
      <c r="C33" s="599" t="s">
        <v>3158</v>
      </c>
      <c r="E33" s="660"/>
      <c r="F33" s="660">
        <v>0</v>
      </c>
      <c r="G33" s="660">
        <v>0</v>
      </c>
      <c r="I33" s="660"/>
      <c r="J33" s="660">
        <v>0</v>
      </c>
      <c r="K33" s="660">
        <v>0</v>
      </c>
      <c r="M33" s="660">
        <v>0</v>
      </c>
    </row>
    <row r="34" spans="1:13" s="604" customFormat="1">
      <c r="A34" s="603">
        <v>25</v>
      </c>
      <c r="B34" s="596">
        <v>25</v>
      </c>
      <c r="C34" s="597" t="s">
        <v>3274</v>
      </c>
      <c r="D34" s="590"/>
      <c r="E34" s="659"/>
      <c r="F34" s="659">
        <v>0</v>
      </c>
      <c r="G34" s="659">
        <v>0</v>
      </c>
      <c r="H34" s="590"/>
      <c r="I34" s="659"/>
      <c r="J34" s="659">
        <v>0</v>
      </c>
      <c r="K34" s="659">
        <v>0</v>
      </c>
      <c r="L34" s="590"/>
      <c r="M34" s="659">
        <v>0</v>
      </c>
    </row>
    <row r="35" spans="1:13">
      <c r="A35" s="603">
        <v>26</v>
      </c>
      <c r="B35" s="588">
        <v>26</v>
      </c>
      <c r="C35" s="599" t="s">
        <v>3275</v>
      </c>
      <c r="E35" s="660"/>
      <c r="F35" s="660">
        <v>0</v>
      </c>
      <c r="G35" s="660">
        <v>0</v>
      </c>
      <c r="I35" s="660"/>
      <c r="J35" s="660">
        <v>0</v>
      </c>
      <c r="K35" s="660">
        <v>0</v>
      </c>
      <c r="M35" s="660">
        <v>0</v>
      </c>
    </row>
    <row r="36" spans="1:13">
      <c r="A36" s="603">
        <v>0</v>
      </c>
      <c r="B36" s="601"/>
      <c r="C36" s="602" t="s">
        <v>3276</v>
      </c>
      <c r="E36" s="658">
        <v>234842321</v>
      </c>
      <c r="F36" s="658">
        <v>0</v>
      </c>
      <c r="G36" s="658">
        <v>234842321</v>
      </c>
      <c r="I36" s="658">
        <v>234842321</v>
      </c>
      <c r="J36" s="658">
        <v>0</v>
      </c>
      <c r="K36" s="658">
        <v>234842321</v>
      </c>
      <c r="M36" s="658">
        <v>0</v>
      </c>
    </row>
    <row r="37" spans="1:13">
      <c r="A37" s="603">
        <v>27</v>
      </c>
      <c r="B37" s="596">
        <v>27</v>
      </c>
      <c r="C37" s="597" t="s">
        <v>3164</v>
      </c>
      <c r="E37" s="659"/>
      <c r="F37" s="659">
        <v>0</v>
      </c>
      <c r="G37" s="659">
        <v>0</v>
      </c>
      <c r="I37" s="659"/>
      <c r="J37" s="659">
        <v>0</v>
      </c>
      <c r="K37" s="659">
        <v>0</v>
      </c>
      <c r="M37" s="659">
        <v>0</v>
      </c>
    </row>
    <row r="38" spans="1:13">
      <c r="A38" s="603">
        <v>28</v>
      </c>
      <c r="B38" s="588">
        <v>28</v>
      </c>
      <c r="C38" s="599" t="s">
        <v>3167</v>
      </c>
      <c r="E38" s="660">
        <v>234776930</v>
      </c>
      <c r="F38" s="660">
        <v>0</v>
      </c>
      <c r="G38" s="660">
        <v>234776930</v>
      </c>
      <c r="I38" s="660">
        <v>234776930</v>
      </c>
      <c r="J38" s="660">
        <v>0</v>
      </c>
      <c r="K38" s="660">
        <v>234776930</v>
      </c>
      <c r="M38" s="660">
        <v>0</v>
      </c>
    </row>
    <row r="39" spans="1:13">
      <c r="A39" s="603">
        <v>29</v>
      </c>
      <c r="B39" s="596">
        <v>29</v>
      </c>
      <c r="C39" s="597" t="s">
        <v>3170</v>
      </c>
      <c r="E39" s="659"/>
      <c r="F39" s="659">
        <v>0</v>
      </c>
      <c r="G39" s="659">
        <v>0</v>
      </c>
      <c r="I39" s="659"/>
      <c r="J39" s="659">
        <v>0</v>
      </c>
      <c r="K39" s="659">
        <v>0</v>
      </c>
      <c r="M39" s="659">
        <v>0</v>
      </c>
    </row>
    <row r="40" spans="1:13">
      <c r="A40" s="603">
        <v>30</v>
      </c>
      <c r="B40" s="588">
        <v>30</v>
      </c>
      <c r="C40" s="599" t="s">
        <v>3173</v>
      </c>
      <c r="E40" s="660"/>
      <c r="F40" s="660">
        <v>0</v>
      </c>
      <c r="G40" s="660">
        <v>0</v>
      </c>
      <c r="I40" s="660"/>
      <c r="J40" s="660">
        <v>0</v>
      </c>
      <c r="K40" s="660">
        <v>0</v>
      </c>
      <c r="M40" s="660">
        <v>0</v>
      </c>
    </row>
    <row r="41" spans="1:13">
      <c r="A41" s="603">
        <v>31</v>
      </c>
      <c r="B41" s="596">
        <v>31</v>
      </c>
      <c r="C41" s="597" t="s">
        <v>3176</v>
      </c>
      <c r="E41" s="659"/>
      <c r="F41" s="659">
        <v>0</v>
      </c>
      <c r="G41" s="659">
        <v>0</v>
      </c>
      <c r="I41" s="659"/>
      <c r="J41" s="659">
        <v>0</v>
      </c>
      <c r="K41" s="659">
        <v>0</v>
      </c>
      <c r="M41" s="659">
        <v>0</v>
      </c>
    </row>
    <row r="42" spans="1:13">
      <c r="A42" s="603">
        <v>32</v>
      </c>
      <c r="B42" s="588">
        <v>32</v>
      </c>
      <c r="C42" s="599" t="s">
        <v>3178</v>
      </c>
      <c r="E42" s="660"/>
      <c r="F42" s="660">
        <v>0</v>
      </c>
      <c r="G42" s="660">
        <v>0</v>
      </c>
      <c r="I42" s="660"/>
      <c r="J42" s="660">
        <v>0</v>
      </c>
      <c r="K42" s="660">
        <v>0</v>
      </c>
      <c r="M42" s="660">
        <v>0</v>
      </c>
    </row>
    <row r="43" spans="1:13">
      <c r="A43" s="603">
        <v>33</v>
      </c>
      <c r="B43" s="596">
        <v>33</v>
      </c>
      <c r="C43" s="597" t="s">
        <v>3181</v>
      </c>
      <c r="E43" s="659"/>
      <c r="F43" s="659">
        <v>0</v>
      </c>
      <c r="G43" s="659">
        <v>0</v>
      </c>
      <c r="I43" s="659"/>
      <c r="J43" s="659">
        <v>0</v>
      </c>
      <c r="K43" s="659">
        <v>0</v>
      </c>
      <c r="M43" s="659">
        <v>0</v>
      </c>
    </row>
    <row r="44" spans="1:13">
      <c r="A44" s="603">
        <v>34</v>
      </c>
      <c r="B44" s="588">
        <v>34</v>
      </c>
      <c r="C44" s="599" t="s">
        <v>3184</v>
      </c>
      <c r="E44" s="660">
        <v>65391</v>
      </c>
      <c r="F44" s="660">
        <v>0</v>
      </c>
      <c r="G44" s="660">
        <v>65391</v>
      </c>
      <c r="I44" s="660">
        <v>65391</v>
      </c>
      <c r="J44" s="660">
        <v>0</v>
      </c>
      <c r="K44" s="660">
        <v>65391</v>
      </c>
      <c r="M44" s="660">
        <v>0</v>
      </c>
    </row>
    <row r="45" spans="1:13">
      <c r="A45" s="603">
        <v>35</v>
      </c>
      <c r="B45" s="596">
        <v>35</v>
      </c>
      <c r="C45" s="597" t="s">
        <v>3186</v>
      </c>
      <c r="E45" s="659"/>
      <c r="F45" s="659">
        <v>0</v>
      </c>
      <c r="G45" s="659">
        <v>0</v>
      </c>
      <c r="I45" s="659"/>
      <c r="J45" s="659">
        <v>0</v>
      </c>
      <c r="K45" s="659">
        <v>0</v>
      </c>
      <c r="M45" s="659">
        <v>0</v>
      </c>
    </row>
    <row r="46" spans="1:13">
      <c r="A46" s="603">
        <v>36</v>
      </c>
      <c r="B46" s="588">
        <v>36</v>
      </c>
      <c r="C46" s="599" t="s">
        <v>3189</v>
      </c>
      <c r="E46" s="660"/>
      <c r="F46" s="660">
        <v>0</v>
      </c>
      <c r="G46" s="660">
        <v>0</v>
      </c>
      <c r="I46" s="660"/>
      <c r="J46" s="660">
        <v>0</v>
      </c>
      <c r="K46" s="660">
        <v>0</v>
      </c>
      <c r="M46" s="660">
        <v>0</v>
      </c>
    </row>
    <row r="47" spans="1:13">
      <c r="A47" s="603">
        <v>37</v>
      </c>
      <c r="B47" s="596">
        <v>37</v>
      </c>
      <c r="C47" s="597" t="s">
        <v>3277</v>
      </c>
      <c r="E47" s="659"/>
      <c r="F47" s="659">
        <v>0</v>
      </c>
      <c r="G47" s="659">
        <v>0</v>
      </c>
      <c r="I47" s="659"/>
      <c r="J47" s="659">
        <v>0</v>
      </c>
      <c r="K47" s="659">
        <v>0</v>
      </c>
      <c r="M47" s="659">
        <v>0</v>
      </c>
    </row>
    <row r="48" spans="1:13">
      <c r="A48" s="603">
        <v>38</v>
      </c>
      <c r="B48" s="588">
        <v>38</v>
      </c>
      <c r="C48" s="599" t="s">
        <v>3278</v>
      </c>
      <c r="E48" s="660"/>
      <c r="F48" s="660">
        <v>0</v>
      </c>
      <c r="G48" s="660">
        <v>0</v>
      </c>
      <c r="I48" s="660"/>
      <c r="J48" s="660">
        <v>0</v>
      </c>
      <c r="K48" s="660">
        <v>0</v>
      </c>
      <c r="M48" s="660">
        <v>0</v>
      </c>
    </row>
    <row r="49" spans="1:13">
      <c r="A49" s="603">
        <v>39</v>
      </c>
      <c r="B49" s="596">
        <v>39</v>
      </c>
      <c r="C49" s="597" t="s">
        <v>3195</v>
      </c>
      <c r="E49" s="659"/>
      <c r="F49" s="659">
        <v>0</v>
      </c>
      <c r="G49" s="659">
        <v>0</v>
      </c>
      <c r="I49" s="659"/>
      <c r="J49" s="659">
        <v>0</v>
      </c>
      <c r="K49" s="659">
        <v>0</v>
      </c>
      <c r="M49" s="659">
        <v>0</v>
      </c>
    </row>
    <row r="50" spans="1:13">
      <c r="A50" s="603">
        <v>40</v>
      </c>
      <c r="B50" s="588">
        <v>40</v>
      </c>
      <c r="C50" s="599" t="s">
        <v>3198</v>
      </c>
      <c r="E50" s="660"/>
      <c r="F50" s="660">
        <v>0</v>
      </c>
      <c r="G50" s="660">
        <v>0</v>
      </c>
      <c r="I50" s="660"/>
      <c r="J50" s="660">
        <v>0</v>
      </c>
      <c r="K50" s="660">
        <v>0</v>
      </c>
      <c r="M50" s="660">
        <v>0</v>
      </c>
    </row>
    <row r="51" spans="1:13">
      <c r="A51" s="603">
        <v>41</v>
      </c>
      <c r="B51" s="596">
        <v>41</v>
      </c>
      <c r="C51" s="597" t="s">
        <v>3279</v>
      </c>
      <c r="E51" s="659"/>
      <c r="F51" s="659">
        <v>0</v>
      </c>
      <c r="G51" s="659">
        <v>0</v>
      </c>
      <c r="I51" s="659"/>
      <c r="J51" s="659">
        <v>0</v>
      </c>
      <c r="K51" s="659">
        <v>0</v>
      </c>
      <c r="M51" s="659">
        <v>0</v>
      </c>
    </row>
    <row r="52" spans="1:13">
      <c r="A52" s="603"/>
      <c r="B52" s="588">
        <v>42</v>
      </c>
      <c r="C52" s="599" t="s">
        <v>3280</v>
      </c>
      <c r="E52" s="660"/>
      <c r="F52" s="660">
        <v>0</v>
      </c>
      <c r="G52" s="660">
        <v>0</v>
      </c>
      <c r="I52" s="660"/>
      <c r="J52" s="660">
        <v>0</v>
      </c>
      <c r="K52" s="660">
        <v>0</v>
      </c>
      <c r="M52" s="660">
        <v>0</v>
      </c>
    </row>
    <row r="53" spans="1:13">
      <c r="A53" s="603">
        <v>0</v>
      </c>
      <c r="B53" s="601"/>
      <c r="C53" s="602" t="s">
        <v>3281</v>
      </c>
      <c r="E53" s="658">
        <v>0</v>
      </c>
      <c r="F53" s="658">
        <v>0</v>
      </c>
      <c r="G53" s="658">
        <v>0</v>
      </c>
      <c r="I53" s="658">
        <v>3887127</v>
      </c>
      <c r="J53" s="658">
        <v>0</v>
      </c>
      <c r="K53" s="658">
        <v>3887127</v>
      </c>
      <c r="M53" s="658">
        <v>-3887127</v>
      </c>
    </row>
    <row r="54" spans="1:13">
      <c r="A54" s="603">
        <v>43</v>
      </c>
      <c r="B54" s="596">
        <v>43</v>
      </c>
      <c r="C54" s="597" t="s">
        <v>3282</v>
      </c>
      <c r="E54" s="659"/>
      <c r="F54" s="659">
        <v>0</v>
      </c>
      <c r="G54" s="659">
        <v>0</v>
      </c>
      <c r="I54" s="659">
        <v>1860035</v>
      </c>
      <c r="J54" s="659">
        <v>0</v>
      </c>
      <c r="K54" s="659">
        <v>1860035</v>
      </c>
      <c r="M54" s="659">
        <v>-1860035</v>
      </c>
    </row>
    <row r="55" spans="1:13">
      <c r="A55" s="603">
        <v>44</v>
      </c>
      <c r="B55" s="588">
        <v>44</v>
      </c>
      <c r="C55" s="599" t="s">
        <v>3283</v>
      </c>
      <c r="E55" s="660"/>
      <c r="F55" s="660">
        <v>0</v>
      </c>
      <c r="G55" s="660">
        <v>0</v>
      </c>
      <c r="I55" s="660">
        <v>74476</v>
      </c>
      <c r="J55" s="660">
        <v>0</v>
      </c>
      <c r="K55" s="660">
        <v>74476</v>
      </c>
      <c r="M55" s="660">
        <v>-74476</v>
      </c>
    </row>
    <row r="56" spans="1:13">
      <c r="A56" s="603"/>
      <c r="B56" s="596">
        <v>45</v>
      </c>
      <c r="C56" s="597" t="s">
        <v>3284</v>
      </c>
      <c r="E56" s="659"/>
      <c r="F56" s="659">
        <v>0</v>
      </c>
      <c r="G56" s="659">
        <v>0</v>
      </c>
      <c r="I56" s="659">
        <v>203472</v>
      </c>
      <c r="J56" s="659">
        <v>0</v>
      </c>
      <c r="K56" s="659">
        <v>203472</v>
      </c>
      <c r="M56" s="659">
        <v>-203472</v>
      </c>
    </row>
    <row r="57" spans="1:13">
      <c r="A57" s="603"/>
      <c r="B57" s="588">
        <v>46</v>
      </c>
      <c r="C57" s="599" t="s">
        <v>3285</v>
      </c>
      <c r="E57" s="660"/>
      <c r="F57" s="660">
        <v>0</v>
      </c>
      <c r="G57" s="660">
        <v>0</v>
      </c>
      <c r="I57" s="660">
        <v>930948</v>
      </c>
      <c r="J57" s="660">
        <v>0</v>
      </c>
      <c r="K57" s="660">
        <v>930948</v>
      </c>
      <c r="M57" s="660">
        <v>-930948</v>
      </c>
    </row>
    <row r="58" spans="1:13">
      <c r="A58" s="603"/>
      <c r="B58" s="596">
        <v>47</v>
      </c>
      <c r="C58" s="597" t="s">
        <v>3286</v>
      </c>
      <c r="E58" s="659"/>
      <c r="F58" s="659">
        <v>0</v>
      </c>
      <c r="G58" s="659">
        <v>0</v>
      </c>
      <c r="I58" s="659">
        <v>46547</v>
      </c>
      <c r="J58" s="659">
        <v>0</v>
      </c>
      <c r="K58" s="659">
        <v>46547</v>
      </c>
      <c r="M58" s="659">
        <v>-46547</v>
      </c>
    </row>
    <row r="59" spans="1:13">
      <c r="A59" s="603"/>
      <c r="B59" s="588">
        <v>48</v>
      </c>
      <c r="C59" s="599" t="s">
        <v>3287</v>
      </c>
      <c r="E59" s="660"/>
      <c r="F59" s="660">
        <v>0</v>
      </c>
      <c r="G59" s="660">
        <v>0</v>
      </c>
      <c r="I59" s="660"/>
      <c r="J59" s="660">
        <v>0</v>
      </c>
      <c r="K59" s="660">
        <v>0</v>
      </c>
      <c r="M59" s="660">
        <v>0</v>
      </c>
    </row>
    <row r="60" spans="1:13">
      <c r="A60" s="603"/>
      <c r="B60" s="596">
        <v>49</v>
      </c>
      <c r="C60" s="597" t="s">
        <v>3288</v>
      </c>
      <c r="E60" s="659"/>
      <c r="F60" s="659">
        <v>0</v>
      </c>
      <c r="G60" s="659">
        <v>0</v>
      </c>
      <c r="I60" s="659">
        <v>103335</v>
      </c>
      <c r="J60" s="659">
        <v>0</v>
      </c>
      <c r="K60" s="659">
        <v>103335</v>
      </c>
      <c r="M60" s="659">
        <v>-103335</v>
      </c>
    </row>
    <row r="61" spans="1:13">
      <c r="A61" s="603"/>
      <c r="B61" s="588">
        <v>50</v>
      </c>
      <c r="C61" s="599" t="s">
        <v>3289</v>
      </c>
      <c r="E61" s="660"/>
      <c r="F61" s="660">
        <v>0</v>
      </c>
      <c r="G61" s="660">
        <v>0</v>
      </c>
      <c r="I61" s="660">
        <v>406944</v>
      </c>
      <c r="J61" s="660">
        <v>0</v>
      </c>
      <c r="K61" s="660">
        <v>406944</v>
      </c>
      <c r="M61" s="660">
        <v>-406944</v>
      </c>
    </row>
    <row r="62" spans="1:13">
      <c r="A62" s="603"/>
      <c r="B62" s="596">
        <v>51</v>
      </c>
      <c r="C62" s="597" t="s">
        <v>3218</v>
      </c>
      <c r="E62" s="659"/>
      <c r="F62" s="659">
        <v>0</v>
      </c>
      <c r="G62" s="659">
        <v>0</v>
      </c>
      <c r="I62" s="659">
        <v>261370</v>
      </c>
      <c r="J62" s="659">
        <v>0</v>
      </c>
      <c r="K62" s="659">
        <v>261370</v>
      </c>
      <c r="M62" s="659">
        <v>-261370</v>
      </c>
    </row>
    <row r="63" spans="1:13">
      <c r="A63" s="603">
        <v>0</v>
      </c>
      <c r="B63" s="601"/>
      <c r="C63" s="602" t="s">
        <v>3290</v>
      </c>
      <c r="E63" s="658">
        <v>0</v>
      </c>
      <c r="F63" s="658">
        <v>0</v>
      </c>
      <c r="G63" s="658">
        <v>0</v>
      </c>
      <c r="I63" s="658">
        <v>0</v>
      </c>
      <c r="J63" s="658">
        <v>0</v>
      </c>
      <c r="K63" s="658">
        <v>0</v>
      </c>
      <c r="M63" s="658">
        <v>0</v>
      </c>
    </row>
    <row r="64" spans="1:13">
      <c r="A64" s="603">
        <v>52</v>
      </c>
      <c r="B64" s="588">
        <v>52</v>
      </c>
      <c r="C64" s="599" t="s">
        <v>3222</v>
      </c>
      <c r="E64" s="660"/>
      <c r="F64" s="660">
        <v>0</v>
      </c>
      <c r="G64" s="660">
        <v>0</v>
      </c>
      <c r="I64" s="660"/>
      <c r="J64" s="660">
        <v>0</v>
      </c>
      <c r="K64" s="660">
        <v>0</v>
      </c>
      <c r="M64" s="660">
        <v>0</v>
      </c>
    </row>
    <row r="65" spans="1:13">
      <c r="A65" s="603">
        <v>53</v>
      </c>
      <c r="B65" s="596">
        <v>53</v>
      </c>
      <c r="C65" s="597" t="s">
        <v>3225</v>
      </c>
      <c r="E65" s="659"/>
      <c r="F65" s="659">
        <v>0</v>
      </c>
      <c r="G65" s="659">
        <v>0</v>
      </c>
      <c r="I65" s="659"/>
      <c r="J65" s="659">
        <v>0</v>
      </c>
      <c r="K65" s="659">
        <v>0</v>
      </c>
      <c r="M65" s="659">
        <v>0</v>
      </c>
    </row>
    <row r="66" spans="1:13">
      <c r="A66" s="603">
        <v>54</v>
      </c>
      <c r="B66" s="588">
        <v>54</v>
      </c>
      <c r="C66" s="599" t="s">
        <v>3291</v>
      </c>
      <c r="E66" s="660"/>
      <c r="F66" s="660">
        <v>0</v>
      </c>
      <c r="G66" s="660">
        <v>0</v>
      </c>
      <c r="I66" s="660"/>
      <c r="J66" s="660">
        <v>0</v>
      </c>
      <c r="K66" s="660">
        <v>0</v>
      </c>
      <c r="M66" s="660">
        <v>0</v>
      </c>
    </row>
    <row r="67" spans="1:13">
      <c r="A67" s="603"/>
      <c r="B67" s="601"/>
      <c r="C67" s="602" t="s">
        <v>3292</v>
      </c>
      <c r="E67" s="658">
        <v>91778084</v>
      </c>
      <c r="F67" s="658">
        <v>0</v>
      </c>
      <c r="G67" s="658">
        <v>91778084</v>
      </c>
      <c r="I67" s="658">
        <v>91778084</v>
      </c>
      <c r="J67" s="658">
        <v>0</v>
      </c>
      <c r="K67" s="658">
        <v>91778084</v>
      </c>
      <c r="M67" s="658">
        <v>0</v>
      </c>
    </row>
    <row r="68" spans="1:13">
      <c r="A68" s="603"/>
      <c r="B68" s="596">
        <v>55</v>
      </c>
      <c r="C68" s="597" t="s">
        <v>3231</v>
      </c>
      <c r="E68" s="659"/>
      <c r="F68" s="659">
        <v>0</v>
      </c>
      <c r="G68" s="659">
        <v>0</v>
      </c>
      <c r="I68" s="659"/>
      <c r="J68" s="659">
        <v>0</v>
      </c>
      <c r="K68" s="659">
        <v>0</v>
      </c>
      <c r="M68" s="659">
        <v>0</v>
      </c>
    </row>
    <row r="69" spans="1:13">
      <c r="A69" s="603"/>
      <c r="B69" s="588">
        <v>56</v>
      </c>
      <c r="C69" s="599" t="s">
        <v>3293</v>
      </c>
      <c r="E69" s="660">
        <v>91778084</v>
      </c>
      <c r="F69" s="660">
        <v>0</v>
      </c>
      <c r="G69" s="660">
        <v>91778084</v>
      </c>
      <c r="I69" s="660">
        <v>91778084</v>
      </c>
      <c r="J69" s="660">
        <v>0</v>
      </c>
      <c r="K69" s="660">
        <v>91778084</v>
      </c>
      <c r="M69" s="660">
        <v>0</v>
      </c>
    </row>
    <row r="70" spans="1:13">
      <c r="A70" s="603">
        <v>0</v>
      </c>
      <c r="B70" s="601"/>
      <c r="C70" s="602" t="s">
        <v>340</v>
      </c>
      <c r="E70" s="658">
        <v>42844359</v>
      </c>
      <c r="F70" s="658">
        <v>-39432239</v>
      </c>
      <c r="G70" s="658">
        <v>3412120</v>
      </c>
      <c r="I70" s="658">
        <v>3417120</v>
      </c>
      <c r="J70" s="658">
        <v>0</v>
      </c>
      <c r="K70" s="658">
        <v>3417120</v>
      </c>
      <c r="M70" s="658">
        <v>-5000</v>
      </c>
    </row>
    <row r="71" spans="1:13">
      <c r="A71" s="603">
        <v>57</v>
      </c>
      <c r="B71" s="596">
        <v>57</v>
      </c>
      <c r="C71" s="597" t="s">
        <v>3294</v>
      </c>
      <c r="E71" s="659">
        <v>42844359</v>
      </c>
      <c r="F71" s="659">
        <v>-39432239</v>
      </c>
      <c r="G71" s="659">
        <v>3412120</v>
      </c>
      <c r="I71" s="659">
        <v>3417120</v>
      </c>
      <c r="J71" s="659">
        <v>0</v>
      </c>
      <c r="K71" s="659">
        <v>3417120</v>
      </c>
      <c r="M71" s="659">
        <v>-5000</v>
      </c>
    </row>
    <row r="72" spans="1:13">
      <c r="A72" s="603">
        <v>0</v>
      </c>
      <c r="B72" s="601"/>
      <c r="C72" s="602" t="s">
        <v>3295</v>
      </c>
      <c r="E72" s="658">
        <v>0</v>
      </c>
      <c r="F72" s="658">
        <v>39432239</v>
      </c>
      <c r="G72" s="658">
        <v>39432239</v>
      </c>
      <c r="I72" s="658">
        <v>39432239</v>
      </c>
      <c r="J72" s="658">
        <v>0</v>
      </c>
      <c r="K72" s="658">
        <v>39432239</v>
      </c>
      <c r="M72" s="658">
        <v>0</v>
      </c>
    </row>
    <row r="73" spans="1:13">
      <c r="A73" s="603">
        <v>58</v>
      </c>
      <c r="B73" s="588">
        <v>58</v>
      </c>
      <c r="C73" s="599" t="s">
        <v>3296</v>
      </c>
      <c r="E73" s="660"/>
      <c r="F73" s="660">
        <v>39432239</v>
      </c>
      <c r="G73" s="660">
        <v>39432239</v>
      </c>
      <c r="I73" s="660">
        <v>39432239</v>
      </c>
      <c r="J73" s="660">
        <v>0</v>
      </c>
      <c r="K73" s="660">
        <v>39432239</v>
      </c>
      <c r="M73" s="660">
        <v>0</v>
      </c>
    </row>
    <row r="74" spans="1:13">
      <c r="A74" s="603"/>
      <c r="B74" s="601"/>
      <c r="C74" s="602" t="s">
        <v>3297</v>
      </c>
      <c r="E74" s="658">
        <v>0</v>
      </c>
      <c r="F74" s="658">
        <v>0</v>
      </c>
      <c r="G74" s="658">
        <v>0</v>
      </c>
      <c r="I74" s="658">
        <v>0</v>
      </c>
      <c r="J74" s="658">
        <v>0</v>
      </c>
      <c r="K74" s="658">
        <v>0</v>
      </c>
      <c r="M74" s="658">
        <v>0</v>
      </c>
    </row>
    <row r="75" spans="1:13">
      <c r="A75" s="603"/>
      <c r="B75" s="588">
        <v>59</v>
      </c>
      <c r="C75" s="599" t="s">
        <v>3298</v>
      </c>
      <c r="E75" s="660"/>
      <c r="F75" s="660">
        <v>0</v>
      </c>
      <c r="G75" s="660">
        <v>0</v>
      </c>
      <c r="I75" s="660"/>
      <c r="J75" s="660">
        <v>0</v>
      </c>
      <c r="K75" s="660">
        <v>0</v>
      </c>
      <c r="M75" s="660"/>
    </row>
    <row r="76" spans="1:13">
      <c r="A76" s="603"/>
      <c r="B76" s="601"/>
      <c r="C76" s="602" t="s">
        <v>3299</v>
      </c>
      <c r="E76" s="658">
        <v>0</v>
      </c>
      <c r="F76" s="658">
        <v>0</v>
      </c>
      <c r="G76" s="658">
        <v>0</v>
      </c>
      <c r="I76" s="658">
        <v>0</v>
      </c>
      <c r="J76" s="658">
        <v>0</v>
      </c>
      <c r="K76" s="658">
        <v>0</v>
      </c>
      <c r="M76" s="658">
        <v>0</v>
      </c>
    </row>
    <row r="77" spans="1:13">
      <c r="A77" s="603"/>
      <c r="B77" s="588">
        <v>60</v>
      </c>
      <c r="C77" s="599" t="s">
        <v>3300</v>
      </c>
      <c r="E77" s="660"/>
      <c r="F77" s="660">
        <v>0</v>
      </c>
      <c r="G77" s="660">
        <v>0</v>
      </c>
      <c r="I77" s="660"/>
      <c r="J77" s="660">
        <v>0</v>
      </c>
      <c r="K77" s="660">
        <v>0</v>
      </c>
      <c r="M77" s="660"/>
    </row>
    <row r="78" spans="1:13">
      <c r="A78" s="603"/>
      <c r="B78" s="601"/>
      <c r="C78" s="602" t="s">
        <v>3301</v>
      </c>
      <c r="E78" s="658">
        <v>0</v>
      </c>
      <c r="F78" s="658">
        <v>0</v>
      </c>
      <c r="G78" s="658">
        <v>0</v>
      </c>
      <c r="I78" s="658">
        <v>0</v>
      </c>
      <c r="J78" s="658">
        <v>0</v>
      </c>
      <c r="K78" s="658">
        <v>0</v>
      </c>
      <c r="M78" s="658">
        <v>0</v>
      </c>
    </row>
    <row r="79" spans="1:13">
      <c r="A79" s="603"/>
      <c r="B79" s="596">
        <v>61</v>
      </c>
      <c r="C79" s="597" t="s">
        <v>3302</v>
      </c>
      <c r="E79" s="659"/>
      <c r="F79" s="659"/>
      <c r="G79" s="659"/>
      <c r="I79" s="659"/>
      <c r="J79" s="659"/>
      <c r="K79" s="659"/>
      <c r="M79" s="659"/>
    </row>
  </sheetData>
  <mergeCells count="5">
    <mergeCell ref="B3:B4"/>
    <mergeCell ref="C3:C4"/>
    <mergeCell ref="E3:G3"/>
    <mergeCell ref="I3:K3"/>
    <mergeCell ref="M3:M4"/>
  </mergeCells>
  <hyperlinks>
    <hyperlink ref="A1" location="Sommaire!A1" display="Sommaire!A1" xr:uid="{00000000-0004-0000-1B00-000000000000}"/>
  </hyperlinks>
  <pageMargins left="0.7" right="0.7" top="0.75" bottom="0.75" header="0.3" footer="0.3"/>
  <pageSetup paperSize="9"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M79"/>
  <sheetViews>
    <sheetView showGridLines="0" zoomScaleNormal="100" workbookViewId="0">
      <selection activeCell="B1" sqref="B1"/>
    </sheetView>
  </sheetViews>
  <sheetFormatPr baseColWidth="10" defaultColWidth="11.33203125" defaultRowHeight="12"/>
  <cols>
    <col min="1" max="1" width="10.1640625" style="588" bestFit="1" customWidth="1"/>
    <col min="2" max="2" width="19" style="588" bestFit="1" customWidth="1"/>
    <col min="3" max="3" width="54.5" style="605" bestFit="1" customWidth="1"/>
    <col min="4" max="4" width="0.6640625" style="590" customWidth="1"/>
    <col min="5" max="5" width="11.5" style="590" bestFit="1" customWidth="1"/>
    <col min="6" max="6" width="11" style="588" bestFit="1" customWidth="1"/>
    <col min="7" max="7" width="11.5" style="590" bestFit="1" customWidth="1"/>
    <col min="8" max="8" width="0.6640625" style="590" customWidth="1"/>
    <col min="9" max="9" width="5.5" style="590" bestFit="1" customWidth="1"/>
    <col min="10" max="11" width="11.5" style="590" bestFit="1" customWidth="1"/>
    <col min="12" max="12" width="0.6640625" style="590" customWidth="1"/>
    <col min="13" max="13" width="13.83203125" style="590" bestFit="1" customWidth="1"/>
    <col min="14" max="16384" width="11.33203125" style="590"/>
  </cols>
  <sheetData>
    <row r="1" spans="1:13" ht="14.5">
      <c r="A1" s="661" t="s">
        <v>140</v>
      </c>
      <c r="C1" s="589" t="s">
        <v>3249</v>
      </c>
      <c r="E1" s="591" t="s">
        <v>242</v>
      </c>
      <c r="F1" s="591" t="s">
        <v>3313</v>
      </c>
      <c r="G1" s="592"/>
      <c r="J1" s="592" t="s">
        <v>3251</v>
      </c>
      <c r="K1" s="592">
        <v>2023</v>
      </c>
    </row>
    <row r="2" spans="1:13">
      <c r="C2" s="593"/>
      <c r="F2" s="590"/>
      <c r="I2" s="590" t="s">
        <v>3252</v>
      </c>
      <c r="J2" s="594">
        <v>604.32574999999997</v>
      </c>
    </row>
    <row r="3" spans="1:13">
      <c r="B3" s="753" t="s">
        <v>143</v>
      </c>
      <c r="C3" s="754" t="s">
        <v>3253</v>
      </c>
      <c r="E3" s="755" t="s">
        <v>2084</v>
      </c>
      <c r="F3" s="755"/>
      <c r="G3" s="755"/>
      <c r="I3" s="755" t="s">
        <v>3254</v>
      </c>
      <c r="J3" s="755"/>
      <c r="K3" s="755"/>
      <c r="M3" s="756" t="s">
        <v>3255</v>
      </c>
    </row>
    <row r="4" spans="1:13">
      <c r="B4" s="753"/>
      <c r="C4" s="754"/>
      <c r="E4" s="595" t="s">
        <v>3256</v>
      </c>
      <c r="F4" s="595" t="s">
        <v>3257</v>
      </c>
      <c r="G4" s="595" t="s">
        <v>3258</v>
      </c>
      <c r="I4" s="595" t="s">
        <v>3256</v>
      </c>
      <c r="J4" s="595" t="s">
        <v>3257</v>
      </c>
      <c r="K4" s="595" t="s">
        <v>3258</v>
      </c>
      <c r="M4" s="756"/>
    </row>
    <row r="5" spans="1:13">
      <c r="B5" s="655" t="s">
        <v>3092</v>
      </c>
      <c r="C5" s="656"/>
      <c r="E5" s="657">
        <v>0</v>
      </c>
      <c r="F5" s="657">
        <v>0</v>
      </c>
      <c r="G5" s="657">
        <v>0</v>
      </c>
      <c r="I5" s="657">
        <v>0</v>
      </c>
      <c r="J5" s="657">
        <v>0</v>
      </c>
      <c r="K5" s="657">
        <v>0</v>
      </c>
      <c r="M5" s="657">
        <v>0</v>
      </c>
    </row>
    <row r="6" spans="1:13">
      <c r="B6" s="596">
        <v>1</v>
      </c>
      <c r="C6" s="597" t="s">
        <v>3259</v>
      </c>
      <c r="E6" s="598"/>
      <c r="F6" s="598">
        <v>0</v>
      </c>
      <c r="G6" s="598">
        <v>0</v>
      </c>
      <c r="I6" s="598"/>
      <c r="J6" s="598">
        <v>0</v>
      </c>
      <c r="K6" s="598">
        <v>0</v>
      </c>
      <c r="M6" s="598">
        <v>0</v>
      </c>
    </row>
    <row r="7" spans="1:13">
      <c r="B7" s="588">
        <v>2</v>
      </c>
      <c r="C7" s="599" t="s">
        <v>3260</v>
      </c>
      <c r="E7" s="600"/>
      <c r="F7" s="600">
        <v>0</v>
      </c>
      <c r="G7" s="600">
        <v>0</v>
      </c>
      <c r="I7" s="600"/>
      <c r="J7" s="600">
        <v>0</v>
      </c>
      <c r="K7" s="600">
        <v>0</v>
      </c>
      <c r="M7" s="600">
        <v>0</v>
      </c>
    </row>
    <row r="8" spans="1:13">
      <c r="B8" s="655" t="s">
        <v>3101</v>
      </c>
      <c r="C8" s="656"/>
      <c r="E8" s="657">
        <v>353748420</v>
      </c>
      <c r="F8" s="657">
        <v>0</v>
      </c>
      <c r="G8" s="657">
        <v>353748420</v>
      </c>
      <c r="I8" s="657">
        <v>0</v>
      </c>
      <c r="J8" s="657">
        <v>353748420</v>
      </c>
      <c r="K8" s="657">
        <v>353748420</v>
      </c>
      <c r="M8" s="657">
        <v>0</v>
      </c>
    </row>
    <row r="9" spans="1:13">
      <c r="B9" s="601"/>
      <c r="C9" s="602" t="s">
        <v>1244</v>
      </c>
      <c r="E9" s="658">
        <v>40022500</v>
      </c>
      <c r="F9" s="658">
        <v>0</v>
      </c>
      <c r="G9" s="658">
        <v>40022500</v>
      </c>
      <c r="I9" s="658">
        <v>0</v>
      </c>
      <c r="J9" s="658">
        <v>40022500</v>
      </c>
      <c r="K9" s="658">
        <v>40022500</v>
      </c>
      <c r="M9" s="658">
        <v>0</v>
      </c>
    </row>
    <row r="10" spans="1:13">
      <c r="A10" s="603">
        <v>3</v>
      </c>
      <c r="B10" s="596">
        <v>3</v>
      </c>
      <c r="C10" s="597" t="s">
        <v>3261</v>
      </c>
      <c r="E10" s="659"/>
      <c r="F10" s="659">
        <v>0</v>
      </c>
      <c r="G10" s="659">
        <v>0</v>
      </c>
      <c r="I10" s="659"/>
      <c r="J10" s="659">
        <v>0</v>
      </c>
      <c r="K10" s="659">
        <v>0</v>
      </c>
      <c r="M10" s="659">
        <v>0</v>
      </c>
    </row>
    <row r="11" spans="1:13">
      <c r="A11" s="603">
        <v>4</v>
      </c>
      <c r="B11" s="588">
        <v>4</v>
      </c>
      <c r="C11" s="599" t="s">
        <v>3106</v>
      </c>
      <c r="E11" s="660">
        <v>40022500</v>
      </c>
      <c r="F11" s="660">
        <v>0</v>
      </c>
      <c r="G11" s="660">
        <v>40022500</v>
      </c>
      <c r="I11" s="660"/>
      <c r="J11" s="660">
        <v>40022500</v>
      </c>
      <c r="K11" s="660">
        <v>40022500</v>
      </c>
      <c r="M11" s="660">
        <v>0</v>
      </c>
    </row>
    <row r="12" spans="1:13">
      <c r="A12" s="603">
        <v>5</v>
      </c>
      <c r="B12" s="596">
        <v>5</v>
      </c>
      <c r="C12" s="597" t="s">
        <v>3262</v>
      </c>
      <c r="E12" s="659"/>
      <c r="F12" s="659">
        <v>0</v>
      </c>
      <c r="G12" s="659">
        <v>0</v>
      </c>
      <c r="I12" s="659"/>
      <c r="J12" s="659">
        <v>0</v>
      </c>
      <c r="K12" s="659">
        <v>0</v>
      </c>
      <c r="M12" s="659">
        <v>0</v>
      </c>
    </row>
    <row r="13" spans="1:13">
      <c r="A13" s="603">
        <v>6</v>
      </c>
      <c r="B13" s="588">
        <v>6</v>
      </c>
      <c r="C13" s="599" t="s">
        <v>3263</v>
      </c>
      <c r="E13" s="660"/>
      <c r="F13" s="660">
        <v>0</v>
      </c>
      <c r="G13" s="660">
        <v>0</v>
      </c>
      <c r="I13" s="660"/>
      <c r="J13" s="660">
        <v>0</v>
      </c>
      <c r="K13" s="660">
        <v>0</v>
      </c>
      <c r="M13" s="660">
        <v>0</v>
      </c>
    </row>
    <row r="14" spans="1:13">
      <c r="A14" s="603">
        <v>7</v>
      </c>
      <c r="B14" s="596">
        <v>7</v>
      </c>
      <c r="C14" s="597" t="s">
        <v>3114</v>
      </c>
      <c r="E14" s="659"/>
      <c r="F14" s="659">
        <v>0</v>
      </c>
      <c r="G14" s="659">
        <v>0</v>
      </c>
      <c r="I14" s="659"/>
      <c r="J14" s="659">
        <v>0</v>
      </c>
      <c r="K14" s="659">
        <v>0</v>
      </c>
      <c r="M14" s="659">
        <v>0</v>
      </c>
    </row>
    <row r="15" spans="1:13">
      <c r="A15" s="603">
        <v>0</v>
      </c>
      <c r="B15" s="601"/>
      <c r="C15" s="602" t="s">
        <v>1253</v>
      </c>
      <c r="E15" s="658">
        <v>0</v>
      </c>
      <c r="F15" s="658">
        <v>0</v>
      </c>
      <c r="G15" s="658">
        <v>0</v>
      </c>
      <c r="I15" s="658">
        <v>0</v>
      </c>
      <c r="J15" s="658">
        <v>0</v>
      </c>
      <c r="K15" s="658">
        <v>0</v>
      </c>
      <c r="M15" s="658">
        <v>0</v>
      </c>
    </row>
    <row r="16" spans="1:13">
      <c r="A16" s="603">
        <v>8</v>
      </c>
      <c r="B16" s="588">
        <v>8</v>
      </c>
      <c r="C16" s="599" t="s">
        <v>3264</v>
      </c>
      <c r="E16" s="660"/>
      <c r="F16" s="660">
        <v>0</v>
      </c>
      <c r="G16" s="660">
        <v>0</v>
      </c>
      <c r="I16" s="660"/>
      <c r="J16" s="660">
        <v>0</v>
      </c>
      <c r="K16" s="660">
        <v>0</v>
      </c>
      <c r="M16" s="660">
        <v>0</v>
      </c>
    </row>
    <row r="17" spans="1:13">
      <c r="A17" s="603">
        <v>9</v>
      </c>
      <c r="B17" s="596">
        <v>9</v>
      </c>
      <c r="C17" s="597" t="s">
        <v>3265</v>
      </c>
      <c r="E17" s="659"/>
      <c r="F17" s="659">
        <v>0</v>
      </c>
      <c r="G17" s="659">
        <v>0</v>
      </c>
      <c r="I17" s="659"/>
      <c r="J17" s="659">
        <v>0</v>
      </c>
      <c r="K17" s="659">
        <v>0</v>
      </c>
      <c r="M17" s="659">
        <v>0</v>
      </c>
    </row>
    <row r="18" spans="1:13">
      <c r="A18" s="603"/>
      <c r="B18" s="588">
        <v>10</v>
      </c>
      <c r="C18" s="599" t="s">
        <v>3122</v>
      </c>
      <c r="E18" s="660"/>
      <c r="F18" s="660">
        <v>0</v>
      </c>
      <c r="G18" s="660">
        <v>0</v>
      </c>
      <c r="I18" s="660"/>
      <c r="J18" s="660">
        <v>0</v>
      </c>
      <c r="K18" s="660">
        <v>0</v>
      </c>
      <c r="M18" s="660">
        <v>0</v>
      </c>
    </row>
    <row r="19" spans="1:13">
      <c r="A19" s="603">
        <v>11</v>
      </c>
      <c r="B19" s="596">
        <v>11</v>
      </c>
      <c r="C19" s="597" t="s">
        <v>3124</v>
      </c>
      <c r="E19" s="659"/>
      <c r="F19" s="659">
        <v>0</v>
      </c>
      <c r="G19" s="659">
        <v>0</v>
      </c>
      <c r="I19" s="659"/>
      <c r="J19" s="659">
        <v>0</v>
      </c>
      <c r="K19" s="659">
        <v>0</v>
      </c>
      <c r="M19" s="659">
        <v>0</v>
      </c>
    </row>
    <row r="20" spans="1:13">
      <c r="A20" s="603">
        <v>12</v>
      </c>
      <c r="B20" s="588">
        <v>12</v>
      </c>
      <c r="C20" s="599" t="s">
        <v>3266</v>
      </c>
      <c r="E20" s="660"/>
      <c r="F20" s="660">
        <v>0</v>
      </c>
      <c r="G20" s="660">
        <v>0</v>
      </c>
      <c r="I20" s="660"/>
      <c r="J20" s="660">
        <v>0</v>
      </c>
      <c r="K20" s="660">
        <v>0</v>
      </c>
      <c r="M20" s="660">
        <v>0</v>
      </c>
    </row>
    <row r="21" spans="1:13">
      <c r="A21" s="603">
        <v>13</v>
      </c>
      <c r="B21" s="596">
        <v>13</v>
      </c>
      <c r="C21" s="597" t="s">
        <v>3267</v>
      </c>
      <c r="E21" s="659"/>
      <c r="F21" s="659">
        <v>0</v>
      </c>
      <c r="G21" s="659">
        <v>0</v>
      </c>
      <c r="I21" s="659"/>
      <c r="J21" s="659">
        <v>0</v>
      </c>
      <c r="K21" s="659">
        <v>0</v>
      </c>
      <c r="M21" s="659">
        <v>0</v>
      </c>
    </row>
    <row r="22" spans="1:13">
      <c r="A22" s="603">
        <v>14</v>
      </c>
      <c r="B22" s="588">
        <v>14</v>
      </c>
      <c r="C22" s="599" t="s">
        <v>3268</v>
      </c>
      <c r="E22" s="660"/>
      <c r="F22" s="660">
        <v>0</v>
      </c>
      <c r="G22" s="660">
        <v>0</v>
      </c>
      <c r="I22" s="660"/>
      <c r="J22" s="660">
        <v>0</v>
      </c>
      <c r="K22" s="660">
        <v>0</v>
      </c>
      <c r="M22" s="660">
        <v>0</v>
      </c>
    </row>
    <row r="23" spans="1:13">
      <c r="A23" s="603">
        <v>15</v>
      </c>
      <c r="B23" s="596">
        <v>15</v>
      </c>
      <c r="C23" s="597" t="s">
        <v>3133</v>
      </c>
      <c r="E23" s="659"/>
      <c r="F23" s="659">
        <v>0</v>
      </c>
      <c r="G23" s="659">
        <v>0</v>
      </c>
      <c r="I23" s="659"/>
      <c r="J23" s="659">
        <v>0</v>
      </c>
      <c r="K23" s="659">
        <v>0</v>
      </c>
      <c r="M23" s="659">
        <v>0</v>
      </c>
    </row>
    <row r="24" spans="1:13">
      <c r="A24" s="603">
        <v>16</v>
      </c>
      <c r="B24" s="588">
        <v>16</v>
      </c>
      <c r="C24" s="599" t="s">
        <v>3136</v>
      </c>
      <c r="E24" s="660"/>
      <c r="F24" s="660">
        <v>0</v>
      </c>
      <c r="G24" s="660">
        <v>0</v>
      </c>
      <c r="I24" s="660"/>
      <c r="J24" s="660">
        <v>0</v>
      </c>
      <c r="K24" s="660">
        <v>0</v>
      </c>
      <c r="M24" s="660">
        <v>0</v>
      </c>
    </row>
    <row r="25" spans="1:13">
      <c r="A25" s="603">
        <v>0</v>
      </c>
      <c r="B25" s="601"/>
      <c r="C25" s="602" t="s">
        <v>3269</v>
      </c>
      <c r="E25" s="658">
        <v>0</v>
      </c>
      <c r="F25" s="658">
        <v>0</v>
      </c>
      <c r="G25" s="658">
        <v>0</v>
      </c>
      <c r="I25" s="658">
        <v>0</v>
      </c>
      <c r="J25" s="658">
        <v>0</v>
      </c>
      <c r="K25" s="658">
        <v>0</v>
      </c>
      <c r="M25" s="658">
        <v>0</v>
      </c>
    </row>
    <row r="26" spans="1:13">
      <c r="A26" s="603">
        <v>17</v>
      </c>
      <c r="B26" s="596">
        <v>17</v>
      </c>
      <c r="C26" s="597" t="s">
        <v>3270</v>
      </c>
      <c r="E26" s="659"/>
      <c r="F26" s="659">
        <v>0</v>
      </c>
      <c r="G26" s="659">
        <v>0</v>
      </c>
      <c r="I26" s="659"/>
      <c r="J26" s="659">
        <v>0</v>
      </c>
      <c r="K26" s="659">
        <v>0</v>
      </c>
      <c r="M26" s="659">
        <v>0</v>
      </c>
    </row>
    <row r="27" spans="1:13">
      <c r="A27" s="603">
        <v>18</v>
      </c>
      <c r="B27" s="588">
        <v>18</v>
      </c>
      <c r="C27" s="599" t="s">
        <v>3141</v>
      </c>
      <c r="E27" s="660"/>
      <c r="F27" s="660">
        <v>0</v>
      </c>
      <c r="G27" s="660">
        <v>0</v>
      </c>
      <c r="I27" s="660"/>
      <c r="J27" s="660">
        <v>0</v>
      </c>
      <c r="K27" s="660">
        <v>0</v>
      </c>
      <c r="M27" s="660">
        <v>0</v>
      </c>
    </row>
    <row r="28" spans="1:13">
      <c r="A28" s="603">
        <v>19</v>
      </c>
      <c r="B28" s="596">
        <v>19</v>
      </c>
      <c r="C28" s="597" t="s">
        <v>3144</v>
      </c>
      <c r="E28" s="659"/>
      <c r="F28" s="659">
        <v>0</v>
      </c>
      <c r="G28" s="659">
        <v>0</v>
      </c>
      <c r="I28" s="659"/>
      <c r="J28" s="659">
        <v>0</v>
      </c>
      <c r="K28" s="659">
        <v>0</v>
      </c>
      <c r="M28" s="659">
        <v>0</v>
      </c>
    </row>
    <row r="29" spans="1:13">
      <c r="A29" s="603">
        <v>20</v>
      </c>
      <c r="B29" s="588">
        <v>20</v>
      </c>
      <c r="C29" s="599" t="s">
        <v>3147</v>
      </c>
      <c r="E29" s="660"/>
      <c r="F29" s="660">
        <v>0</v>
      </c>
      <c r="G29" s="660">
        <v>0</v>
      </c>
      <c r="I29" s="660"/>
      <c r="J29" s="660">
        <v>0</v>
      </c>
      <c r="K29" s="660">
        <v>0</v>
      </c>
      <c r="M29" s="660">
        <v>0</v>
      </c>
    </row>
    <row r="30" spans="1:13">
      <c r="A30" s="603">
        <v>21</v>
      </c>
      <c r="B30" s="596">
        <v>21</v>
      </c>
      <c r="C30" s="597" t="s">
        <v>3271</v>
      </c>
      <c r="E30" s="659"/>
      <c r="F30" s="659">
        <v>0</v>
      </c>
      <c r="G30" s="659">
        <v>0</v>
      </c>
      <c r="I30" s="659"/>
      <c r="J30" s="659">
        <v>0</v>
      </c>
      <c r="K30" s="659">
        <v>0</v>
      </c>
      <c r="M30" s="659">
        <v>0</v>
      </c>
    </row>
    <row r="31" spans="1:13">
      <c r="A31" s="603">
        <v>22</v>
      </c>
      <c r="B31" s="588">
        <v>22</v>
      </c>
      <c r="C31" s="599" t="s">
        <v>3272</v>
      </c>
      <c r="E31" s="660"/>
      <c r="F31" s="660">
        <v>0</v>
      </c>
      <c r="G31" s="660">
        <v>0</v>
      </c>
      <c r="I31" s="660"/>
      <c r="J31" s="660">
        <v>0</v>
      </c>
      <c r="K31" s="660">
        <v>0</v>
      </c>
      <c r="M31" s="660">
        <v>0</v>
      </c>
    </row>
    <row r="32" spans="1:13">
      <c r="A32" s="603">
        <v>23</v>
      </c>
      <c r="B32" s="596">
        <v>23</v>
      </c>
      <c r="C32" s="597" t="s">
        <v>3273</v>
      </c>
      <c r="E32" s="659"/>
      <c r="F32" s="659">
        <v>0</v>
      </c>
      <c r="G32" s="659">
        <v>0</v>
      </c>
      <c r="I32" s="659"/>
      <c r="J32" s="659">
        <v>0</v>
      </c>
      <c r="K32" s="659">
        <v>0</v>
      </c>
      <c r="M32" s="659">
        <v>0</v>
      </c>
    </row>
    <row r="33" spans="1:13">
      <c r="A33" s="603">
        <v>24</v>
      </c>
      <c r="B33" s="588">
        <v>24</v>
      </c>
      <c r="C33" s="599" t="s">
        <v>3158</v>
      </c>
      <c r="E33" s="660"/>
      <c r="F33" s="660">
        <v>0</v>
      </c>
      <c r="G33" s="660">
        <v>0</v>
      </c>
      <c r="I33" s="660"/>
      <c r="J33" s="660">
        <v>0</v>
      </c>
      <c r="K33" s="660">
        <v>0</v>
      </c>
      <c r="M33" s="660">
        <v>0</v>
      </c>
    </row>
    <row r="34" spans="1:13" s="604" customFormat="1">
      <c r="A34" s="603">
        <v>25</v>
      </c>
      <c r="B34" s="596">
        <v>25</v>
      </c>
      <c r="C34" s="597" t="s">
        <v>3274</v>
      </c>
      <c r="D34" s="590"/>
      <c r="E34" s="659"/>
      <c r="F34" s="659">
        <v>0</v>
      </c>
      <c r="G34" s="659">
        <v>0</v>
      </c>
      <c r="H34" s="590"/>
      <c r="I34" s="659"/>
      <c r="J34" s="659">
        <v>0</v>
      </c>
      <c r="K34" s="659">
        <v>0</v>
      </c>
      <c r="L34" s="590"/>
      <c r="M34" s="659">
        <v>0</v>
      </c>
    </row>
    <row r="35" spans="1:13">
      <c r="A35" s="603">
        <v>26</v>
      </c>
      <c r="B35" s="588">
        <v>26</v>
      </c>
      <c r="C35" s="599" t="s">
        <v>3275</v>
      </c>
      <c r="E35" s="660"/>
      <c r="F35" s="660">
        <v>0</v>
      </c>
      <c r="G35" s="660">
        <v>0</v>
      </c>
      <c r="I35" s="660"/>
      <c r="J35" s="660">
        <v>0</v>
      </c>
      <c r="K35" s="660">
        <v>0</v>
      </c>
      <c r="M35" s="660">
        <v>0</v>
      </c>
    </row>
    <row r="36" spans="1:13">
      <c r="A36" s="603">
        <v>0</v>
      </c>
      <c r="B36" s="601"/>
      <c r="C36" s="602" t="s">
        <v>3276</v>
      </c>
      <c r="E36" s="658">
        <v>246421196</v>
      </c>
      <c r="F36" s="658">
        <v>0</v>
      </c>
      <c r="G36" s="658">
        <v>246421196</v>
      </c>
      <c r="I36" s="658">
        <v>0</v>
      </c>
      <c r="J36" s="658">
        <v>246421196</v>
      </c>
      <c r="K36" s="658">
        <v>246421196</v>
      </c>
      <c r="M36" s="658">
        <v>0</v>
      </c>
    </row>
    <row r="37" spans="1:13">
      <c r="A37" s="603">
        <v>27</v>
      </c>
      <c r="B37" s="596">
        <v>27</v>
      </c>
      <c r="C37" s="597" t="s">
        <v>3164</v>
      </c>
      <c r="E37" s="659"/>
      <c r="F37" s="659">
        <v>0</v>
      </c>
      <c r="G37" s="659">
        <v>0</v>
      </c>
      <c r="I37" s="659"/>
      <c r="J37" s="659">
        <v>0</v>
      </c>
      <c r="K37" s="659">
        <v>0</v>
      </c>
      <c r="M37" s="659">
        <v>0</v>
      </c>
    </row>
    <row r="38" spans="1:13">
      <c r="A38" s="603">
        <v>28</v>
      </c>
      <c r="B38" s="588">
        <v>28</v>
      </c>
      <c r="C38" s="599" t="s">
        <v>3167</v>
      </c>
      <c r="E38" s="660">
        <v>246421196</v>
      </c>
      <c r="F38" s="660">
        <v>0</v>
      </c>
      <c r="G38" s="660">
        <v>246421196</v>
      </c>
      <c r="I38" s="660"/>
      <c r="J38" s="660">
        <v>246421196</v>
      </c>
      <c r="K38" s="660">
        <v>246421196</v>
      </c>
      <c r="M38" s="660">
        <v>0</v>
      </c>
    </row>
    <row r="39" spans="1:13">
      <c r="A39" s="603">
        <v>29</v>
      </c>
      <c r="B39" s="596">
        <v>29</v>
      </c>
      <c r="C39" s="597" t="s">
        <v>3170</v>
      </c>
      <c r="E39" s="659"/>
      <c r="F39" s="659">
        <v>0</v>
      </c>
      <c r="G39" s="659">
        <v>0</v>
      </c>
      <c r="I39" s="659"/>
      <c r="J39" s="659">
        <v>0</v>
      </c>
      <c r="K39" s="659">
        <v>0</v>
      </c>
      <c r="M39" s="659">
        <v>0</v>
      </c>
    </row>
    <row r="40" spans="1:13">
      <c r="A40" s="603">
        <v>30</v>
      </c>
      <c r="B40" s="588">
        <v>30</v>
      </c>
      <c r="C40" s="599" t="s">
        <v>3173</v>
      </c>
      <c r="E40" s="660"/>
      <c r="F40" s="660">
        <v>0</v>
      </c>
      <c r="G40" s="660">
        <v>0</v>
      </c>
      <c r="I40" s="660"/>
      <c r="J40" s="660">
        <v>0</v>
      </c>
      <c r="K40" s="660">
        <v>0</v>
      </c>
      <c r="M40" s="660">
        <v>0</v>
      </c>
    </row>
    <row r="41" spans="1:13">
      <c r="A41" s="603">
        <v>31</v>
      </c>
      <c r="B41" s="596">
        <v>31</v>
      </c>
      <c r="C41" s="597" t="s">
        <v>3176</v>
      </c>
      <c r="E41" s="659"/>
      <c r="F41" s="659">
        <v>0</v>
      </c>
      <c r="G41" s="659">
        <v>0</v>
      </c>
      <c r="I41" s="659"/>
      <c r="J41" s="659">
        <v>0</v>
      </c>
      <c r="K41" s="659">
        <v>0</v>
      </c>
      <c r="M41" s="659">
        <v>0</v>
      </c>
    </row>
    <row r="42" spans="1:13">
      <c r="A42" s="603">
        <v>32</v>
      </c>
      <c r="B42" s="588">
        <v>32</v>
      </c>
      <c r="C42" s="599" t="s">
        <v>3178</v>
      </c>
      <c r="E42" s="660"/>
      <c r="F42" s="660">
        <v>0</v>
      </c>
      <c r="G42" s="660">
        <v>0</v>
      </c>
      <c r="I42" s="660"/>
      <c r="J42" s="660">
        <v>0</v>
      </c>
      <c r="K42" s="660">
        <v>0</v>
      </c>
      <c r="M42" s="660">
        <v>0</v>
      </c>
    </row>
    <row r="43" spans="1:13">
      <c r="A43" s="603">
        <v>33</v>
      </c>
      <c r="B43" s="596">
        <v>33</v>
      </c>
      <c r="C43" s="597" t="s">
        <v>3181</v>
      </c>
      <c r="E43" s="659"/>
      <c r="F43" s="659">
        <v>0</v>
      </c>
      <c r="G43" s="659">
        <v>0</v>
      </c>
      <c r="I43" s="659"/>
      <c r="J43" s="659">
        <v>0</v>
      </c>
      <c r="K43" s="659">
        <v>0</v>
      </c>
      <c r="M43" s="659">
        <v>0</v>
      </c>
    </row>
    <row r="44" spans="1:13">
      <c r="A44" s="603">
        <v>34</v>
      </c>
      <c r="B44" s="588">
        <v>34</v>
      </c>
      <c r="C44" s="599" t="s">
        <v>3184</v>
      </c>
      <c r="E44" s="660"/>
      <c r="F44" s="660">
        <v>0</v>
      </c>
      <c r="G44" s="660">
        <v>0</v>
      </c>
      <c r="I44" s="660"/>
      <c r="J44" s="660">
        <v>0</v>
      </c>
      <c r="K44" s="660">
        <v>0</v>
      </c>
      <c r="M44" s="660">
        <v>0</v>
      </c>
    </row>
    <row r="45" spans="1:13">
      <c r="A45" s="603">
        <v>35</v>
      </c>
      <c r="B45" s="596">
        <v>35</v>
      </c>
      <c r="C45" s="597" t="s">
        <v>3186</v>
      </c>
      <c r="E45" s="659"/>
      <c r="F45" s="659">
        <v>0</v>
      </c>
      <c r="G45" s="659">
        <v>0</v>
      </c>
      <c r="I45" s="659"/>
      <c r="J45" s="659">
        <v>0</v>
      </c>
      <c r="K45" s="659">
        <v>0</v>
      </c>
      <c r="M45" s="659">
        <v>0</v>
      </c>
    </row>
    <row r="46" spans="1:13">
      <c r="A46" s="603">
        <v>36</v>
      </c>
      <c r="B46" s="588">
        <v>36</v>
      </c>
      <c r="C46" s="599" t="s">
        <v>3189</v>
      </c>
      <c r="E46" s="660"/>
      <c r="F46" s="660">
        <v>0</v>
      </c>
      <c r="G46" s="660">
        <v>0</v>
      </c>
      <c r="I46" s="660"/>
      <c r="J46" s="660">
        <v>0</v>
      </c>
      <c r="K46" s="660">
        <v>0</v>
      </c>
      <c r="M46" s="660">
        <v>0</v>
      </c>
    </row>
    <row r="47" spans="1:13">
      <c r="A47" s="603">
        <v>37</v>
      </c>
      <c r="B47" s="596">
        <v>37</v>
      </c>
      <c r="C47" s="597" t="s">
        <v>3277</v>
      </c>
      <c r="E47" s="659"/>
      <c r="F47" s="659">
        <v>0</v>
      </c>
      <c r="G47" s="659">
        <v>0</v>
      </c>
      <c r="I47" s="659"/>
      <c r="J47" s="659">
        <v>0</v>
      </c>
      <c r="K47" s="659">
        <v>0</v>
      </c>
      <c r="M47" s="659">
        <v>0</v>
      </c>
    </row>
    <row r="48" spans="1:13">
      <c r="A48" s="603">
        <v>38</v>
      </c>
      <c r="B48" s="588">
        <v>38</v>
      </c>
      <c r="C48" s="599" t="s">
        <v>3278</v>
      </c>
      <c r="E48" s="660"/>
      <c r="F48" s="660">
        <v>0</v>
      </c>
      <c r="G48" s="660">
        <v>0</v>
      </c>
      <c r="I48" s="660"/>
      <c r="J48" s="660">
        <v>0</v>
      </c>
      <c r="K48" s="660">
        <v>0</v>
      </c>
      <c r="M48" s="660">
        <v>0</v>
      </c>
    </row>
    <row r="49" spans="1:13">
      <c r="A49" s="603">
        <v>39</v>
      </c>
      <c r="B49" s="596">
        <v>39</v>
      </c>
      <c r="C49" s="597" t="s">
        <v>3195</v>
      </c>
      <c r="E49" s="659"/>
      <c r="F49" s="659">
        <v>0</v>
      </c>
      <c r="G49" s="659">
        <v>0</v>
      </c>
      <c r="I49" s="659"/>
      <c r="J49" s="659">
        <v>0</v>
      </c>
      <c r="K49" s="659">
        <v>0</v>
      </c>
      <c r="M49" s="659">
        <v>0</v>
      </c>
    </row>
    <row r="50" spans="1:13">
      <c r="A50" s="603">
        <v>40</v>
      </c>
      <c r="B50" s="588">
        <v>40</v>
      </c>
      <c r="C50" s="599" t="s">
        <v>3198</v>
      </c>
      <c r="E50" s="660"/>
      <c r="F50" s="660">
        <v>0</v>
      </c>
      <c r="G50" s="660">
        <v>0</v>
      </c>
      <c r="I50" s="660"/>
      <c r="J50" s="660">
        <v>0</v>
      </c>
      <c r="K50" s="660">
        <v>0</v>
      </c>
      <c r="M50" s="660">
        <v>0</v>
      </c>
    </row>
    <row r="51" spans="1:13">
      <c r="A51" s="603">
        <v>41</v>
      </c>
      <c r="B51" s="596">
        <v>41</v>
      </c>
      <c r="C51" s="597" t="s">
        <v>3279</v>
      </c>
      <c r="E51" s="659"/>
      <c r="F51" s="659">
        <v>0</v>
      </c>
      <c r="G51" s="659">
        <v>0</v>
      </c>
      <c r="I51" s="659"/>
      <c r="J51" s="659">
        <v>0</v>
      </c>
      <c r="K51" s="659">
        <v>0</v>
      </c>
      <c r="M51" s="659">
        <v>0</v>
      </c>
    </row>
    <row r="52" spans="1:13">
      <c r="A52" s="603"/>
      <c r="B52" s="588">
        <v>42</v>
      </c>
      <c r="C52" s="599" t="s">
        <v>3280</v>
      </c>
      <c r="E52" s="660"/>
      <c r="F52" s="660">
        <v>0</v>
      </c>
      <c r="G52" s="660">
        <v>0</v>
      </c>
      <c r="I52" s="660"/>
      <c r="J52" s="660">
        <v>0</v>
      </c>
      <c r="K52" s="660">
        <v>0</v>
      </c>
      <c r="M52" s="660">
        <v>0</v>
      </c>
    </row>
    <row r="53" spans="1:13">
      <c r="A53" s="603">
        <v>0</v>
      </c>
      <c r="B53" s="601"/>
      <c r="C53" s="602" t="s">
        <v>3281</v>
      </c>
      <c r="E53" s="658">
        <v>0</v>
      </c>
      <c r="F53" s="658">
        <v>0</v>
      </c>
      <c r="G53" s="658">
        <v>0</v>
      </c>
      <c r="I53" s="658">
        <v>0</v>
      </c>
      <c r="J53" s="658">
        <v>0</v>
      </c>
      <c r="K53" s="658">
        <v>0</v>
      </c>
      <c r="M53" s="658">
        <v>0</v>
      </c>
    </row>
    <row r="54" spans="1:13">
      <c r="A54" s="603">
        <v>43</v>
      </c>
      <c r="B54" s="596">
        <v>43</v>
      </c>
      <c r="C54" s="597" t="s">
        <v>3282</v>
      </c>
      <c r="E54" s="659"/>
      <c r="F54" s="659">
        <v>0</v>
      </c>
      <c r="G54" s="659">
        <v>0</v>
      </c>
      <c r="I54" s="659"/>
      <c r="J54" s="659">
        <v>0</v>
      </c>
      <c r="K54" s="659">
        <v>0</v>
      </c>
      <c r="M54" s="659">
        <v>0</v>
      </c>
    </row>
    <row r="55" spans="1:13">
      <c r="A55" s="603">
        <v>44</v>
      </c>
      <c r="B55" s="588">
        <v>44</v>
      </c>
      <c r="C55" s="599" t="s">
        <v>3283</v>
      </c>
      <c r="E55" s="660"/>
      <c r="F55" s="660">
        <v>0</v>
      </c>
      <c r="G55" s="660">
        <v>0</v>
      </c>
      <c r="I55" s="660"/>
      <c r="J55" s="660">
        <v>0</v>
      </c>
      <c r="K55" s="660">
        <v>0</v>
      </c>
      <c r="M55" s="660">
        <v>0</v>
      </c>
    </row>
    <row r="56" spans="1:13">
      <c r="A56" s="603"/>
      <c r="B56" s="596">
        <v>45</v>
      </c>
      <c r="C56" s="597" t="s">
        <v>3284</v>
      </c>
      <c r="E56" s="659"/>
      <c r="F56" s="659">
        <v>0</v>
      </c>
      <c r="G56" s="659">
        <v>0</v>
      </c>
      <c r="I56" s="659"/>
      <c r="J56" s="659">
        <v>0</v>
      </c>
      <c r="K56" s="659">
        <v>0</v>
      </c>
      <c r="M56" s="659">
        <v>0</v>
      </c>
    </row>
    <row r="57" spans="1:13">
      <c r="A57" s="603"/>
      <c r="B57" s="588">
        <v>46</v>
      </c>
      <c r="C57" s="599" t="s">
        <v>3285</v>
      </c>
      <c r="E57" s="660"/>
      <c r="F57" s="660">
        <v>0</v>
      </c>
      <c r="G57" s="660">
        <v>0</v>
      </c>
      <c r="I57" s="660"/>
      <c r="J57" s="660">
        <v>0</v>
      </c>
      <c r="K57" s="660">
        <v>0</v>
      </c>
      <c r="M57" s="660">
        <v>0</v>
      </c>
    </row>
    <row r="58" spans="1:13">
      <c r="A58" s="603"/>
      <c r="B58" s="596">
        <v>47</v>
      </c>
      <c r="C58" s="597" t="s">
        <v>3286</v>
      </c>
      <c r="E58" s="659"/>
      <c r="F58" s="659">
        <v>0</v>
      </c>
      <c r="G58" s="659">
        <v>0</v>
      </c>
      <c r="I58" s="659"/>
      <c r="J58" s="659">
        <v>0</v>
      </c>
      <c r="K58" s="659">
        <v>0</v>
      </c>
      <c r="M58" s="659">
        <v>0</v>
      </c>
    </row>
    <row r="59" spans="1:13">
      <c r="A59" s="603"/>
      <c r="B59" s="588">
        <v>48</v>
      </c>
      <c r="C59" s="599" t="s">
        <v>3287</v>
      </c>
      <c r="E59" s="660"/>
      <c r="F59" s="660">
        <v>0</v>
      </c>
      <c r="G59" s="660">
        <v>0</v>
      </c>
      <c r="I59" s="660"/>
      <c r="J59" s="660">
        <v>0</v>
      </c>
      <c r="K59" s="660">
        <v>0</v>
      </c>
      <c r="M59" s="660">
        <v>0</v>
      </c>
    </row>
    <row r="60" spans="1:13">
      <c r="A60" s="603"/>
      <c r="B60" s="596">
        <v>49</v>
      </c>
      <c r="C60" s="597" t="s">
        <v>3288</v>
      </c>
      <c r="E60" s="659"/>
      <c r="F60" s="659">
        <v>0</v>
      </c>
      <c r="G60" s="659">
        <v>0</v>
      </c>
      <c r="I60" s="659"/>
      <c r="J60" s="659">
        <v>0</v>
      </c>
      <c r="K60" s="659">
        <v>0</v>
      </c>
      <c r="M60" s="659">
        <v>0</v>
      </c>
    </row>
    <row r="61" spans="1:13">
      <c r="A61" s="603"/>
      <c r="B61" s="588">
        <v>50</v>
      </c>
      <c r="C61" s="599" t="s">
        <v>3289</v>
      </c>
      <c r="E61" s="660"/>
      <c r="F61" s="660">
        <v>0</v>
      </c>
      <c r="G61" s="660">
        <v>0</v>
      </c>
      <c r="I61" s="660"/>
      <c r="J61" s="660">
        <v>0</v>
      </c>
      <c r="K61" s="660">
        <v>0</v>
      </c>
      <c r="M61" s="660">
        <v>0</v>
      </c>
    </row>
    <row r="62" spans="1:13">
      <c r="A62" s="603"/>
      <c r="B62" s="596">
        <v>51</v>
      </c>
      <c r="C62" s="597" t="s">
        <v>3218</v>
      </c>
      <c r="E62" s="659"/>
      <c r="F62" s="659">
        <v>0</v>
      </c>
      <c r="G62" s="659">
        <v>0</v>
      </c>
      <c r="I62" s="659"/>
      <c r="J62" s="659">
        <v>0</v>
      </c>
      <c r="K62" s="659">
        <v>0</v>
      </c>
      <c r="M62" s="659">
        <v>0</v>
      </c>
    </row>
    <row r="63" spans="1:13">
      <c r="A63" s="603">
        <v>0</v>
      </c>
      <c r="B63" s="601"/>
      <c r="C63" s="602" t="s">
        <v>3290</v>
      </c>
      <c r="E63" s="658">
        <v>0</v>
      </c>
      <c r="F63" s="658">
        <v>0</v>
      </c>
      <c r="G63" s="658">
        <v>0</v>
      </c>
      <c r="I63" s="658">
        <v>0</v>
      </c>
      <c r="J63" s="658">
        <v>0</v>
      </c>
      <c r="K63" s="658">
        <v>0</v>
      </c>
      <c r="M63" s="658">
        <v>0</v>
      </c>
    </row>
    <row r="64" spans="1:13">
      <c r="A64" s="603">
        <v>52</v>
      </c>
      <c r="B64" s="588">
        <v>52</v>
      </c>
      <c r="C64" s="599" t="s">
        <v>3222</v>
      </c>
      <c r="E64" s="660"/>
      <c r="F64" s="660">
        <v>0</v>
      </c>
      <c r="G64" s="660">
        <v>0</v>
      </c>
      <c r="I64" s="660"/>
      <c r="J64" s="660">
        <v>0</v>
      </c>
      <c r="K64" s="660">
        <v>0</v>
      </c>
      <c r="M64" s="660">
        <v>0</v>
      </c>
    </row>
    <row r="65" spans="1:13">
      <c r="A65" s="603">
        <v>53</v>
      </c>
      <c r="B65" s="596">
        <v>53</v>
      </c>
      <c r="C65" s="597" t="s">
        <v>3225</v>
      </c>
      <c r="E65" s="659"/>
      <c r="F65" s="659">
        <v>0</v>
      </c>
      <c r="G65" s="659">
        <v>0</v>
      </c>
      <c r="I65" s="659"/>
      <c r="J65" s="659">
        <v>0</v>
      </c>
      <c r="K65" s="659">
        <v>0</v>
      </c>
      <c r="M65" s="659">
        <v>0</v>
      </c>
    </row>
    <row r="66" spans="1:13">
      <c r="A66" s="603">
        <v>54</v>
      </c>
      <c r="B66" s="588">
        <v>54</v>
      </c>
      <c r="C66" s="599" t="s">
        <v>3291</v>
      </c>
      <c r="E66" s="660"/>
      <c r="F66" s="660">
        <v>0</v>
      </c>
      <c r="G66" s="660">
        <v>0</v>
      </c>
      <c r="I66" s="660"/>
      <c r="J66" s="660">
        <v>0</v>
      </c>
      <c r="K66" s="660">
        <v>0</v>
      </c>
      <c r="M66" s="660">
        <v>0</v>
      </c>
    </row>
    <row r="67" spans="1:13">
      <c r="A67" s="603"/>
      <c r="B67" s="601"/>
      <c r="C67" s="602" t="s">
        <v>3292</v>
      </c>
      <c r="E67" s="658">
        <v>0</v>
      </c>
      <c r="F67" s="658">
        <v>0</v>
      </c>
      <c r="G67" s="658">
        <v>0</v>
      </c>
      <c r="I67" s="658">
        <v>0</v>
      </c>
      <c r="J67" s="658">
        <v>0</v>
      </c>
      <c r="K67" s="658">
        <v>0</v>
      </c>
      <c r="M67" s="658">
        <v>0</v>
      </c>
    </row>
    <row r="68" spans="1:13">
      <c r="A68" s="603"/>
      <c r="B68" s="596">
        <v>55</v>
      </c>
      <c r="C68" s="597" t="s">
        <v>3231</v>
      </c>
      <c r="E68" s="659"/>
      <c r="F68" s="659">
        <v>0</v>
      </c>
      <c r="G68" s="659">
        <v>0</v>
      </c>
      <c r="I68" s="659"/>
      <c r="J68" s="659">
        <v>0</v>
      </c>
      <c r="K68" s="659">
        <v>0</v>
      </c>
      <c r="M68" s="659">
        <v>0</v>
      </c>
    </row>
    <row r="69" spans="1:13">
      <c r="A69" s="603"/>
      <c r="B69" s="588">
        <v>56</v>
      </c>
      <c r="C69" s="599" t="s">
        <v>3293</v>
      </c>
      <c r="E69" s="660"/>
      <c r="F69" s="660">
        <v>0</v>
      </c>
      <c r="G69" s="660">
        <v>0</v>
      </c>
      <c r="I69" s="660"/>
      <c r="J69" s="660">
        <v>0</v>
      </c>
      <c r="K69" s="660">
        <v>0</v>
      </c>
      <c r="M69" s="660">
        <v>0</v>
      </c>
    </row>
    <row r="70" spans="1:13">
      <c r="A70" s="603">
        <v>0</v>
      </c>
      <c r="B70" s="601"/>
      <c r="C70" s="602" t="s">
        <v>340</v>
      </c>
      <c r="E70" s="658">
        <v>10206000</v>
      </c>
      <c r="F70" s="658">
        <v>0</v>
      </c>
      <c r="G70" s="658">
        <v>10206000</v>
      </c>
      <c r="I70" s="658">
        <v>0</v>
      </c>
      <c r="J70" s="658">
        <v>10206000</v>
      </c>
      <c r="K70" s="658">
        <v>10206000</v>
      </c>
      <c r="M70" s="658">
        <v>0</v>
      </c>
    </row>
    <row r="71" spans="1:13">
      <c r="A71" s="603">
        <v>57</v>
      </c>
      <c r="B71" s="596">
        <v>57</v>
      </c>
      <c r="C71" s="597" t="s">
        <v>3294</v>
      </c>
      <c r="E71" s="659">
        <v>10206000</v>
      </c>
      <c r="F71" s="659">
        <v>0</v>
      </c>
      <c r="G71" s="659">
        <v>10206000</v>
      </c>
      <c r="I71" s="659"/>
      <c r="J71" s="659">
        <v>10206000</v>
      </c>
      <c r="K71" s="659">
        <v>10206000</v>
      </c>
      <c r="M71" s="659">
        <v>0</v>
      </c>
    </row>
    <row r="72" spans="1:13">
      <c r="A72" s="603">
        <v>0</v>
      </c>
      <c r="B72" s="601"/>
      <c r="C72" s="602" t="s">
        <v>3295</v>
      </c>
      <c r="E72" s="658">
        <v>57098724</v>
      </c>
      <c r="F72" s="658">
        <v>0</v>
      </c>
      <c r="G72" s="658">
        <v>57098724</v>
      </c>
      <c r="I72" s="658">
        <v>0</v>
      </c>
      <c r="J72" s="658">
        <v>57098724</v>
      </c>
      <c r="K72" s="658">
        <v>57098724</v>
      </c>
      <c r="M72" s="658">
        <v>0</v>
      </c>
    </row>
    <row r="73" spans="1:13">
      <c r="A73" s="603">
        <v>58</v>
      </c>
      <c r="B73" s="588">
        <v>58</v>
      </c>
      <c r="C73" s="599" t="s">
        <v>3296</v>
      </c>
      <c r="E73" s="660">
        <v>57098724</v>
      </c>
      <c r="F73" s="660">
        <v>0</v>
      </c>
      <c r="G73" s="660">
        <v>57098724</v>
      </c>
      <c r="I73" s="660"/>
      <c r="J73" s="660">
        <v>57098724</v>
      </c>
      <c r="K73" s="660">
        <v>57098724</v>
      </c>
      <c r="M73" s="660">
        <v>0</v>
      </c>
    </row>
    <row r="74" spans="1:13">
      <c r="A74" s="603"/>
      <c r="B74" s="601"/>
      <c r="C74" s="602" t="s">
        <v>3297</v>
      </c>
      <c r="E74" s="658">
        <v>0</v>
      </c>
      <c r="F74" s="658">
        <v>0</v>
      </c>
      <c r="G74" s="658">
        <v>0</v>
      </c>
      <c r="I74" s="658">
        <v>0</v>
      </c>
      <c r="J74" s="658">
        <v>0</v>
      </c>
      <c r="K74" s="658">
        <v>0</v>
      </c>
      <c r="M74" s="658">
        <v>0</v>
      </c>
    </row>
    <row r="75" spans="1:13">
      <c r="A75" s="603"/>
      <c r="B75" s="588">
        <v>59</v>
      </c>
      <c r="C75" s="599" t="s">
        <v>3298</v>
      </c>
      <c r="E75" s="660"/>
      <c r="F75" s="660">
        <v>0</v>
      </c>
      <c r="G75" s="660">
        <v>0</v>
      </c>
      <c r="I75" s="660"/>
      <c r="J75" s="660">
        <v>0</v>
      </c>
      <c r="K75" s="660">
        <v>0</v>
      </c>
      <c r="M75" s="660"/>
    </row>
    <row r="76" spans="1:13">
      <c r="A76" s="603"/>
      <c r="B76" s="601"/>
      <c r="C76" s="602" t="s">
        <v>3299</v>
      </c>
      <c r="E76" s="658">
        <v>0</v>
      </c>
      <c r="F76" s="658">
        <v>0</v>
      </c>
      <c r="G76" s="658">
        <v>0</v>
      </c>
      <c r="I76" s="658">
        <v>0</v>
      </c>
      <c r="J76" s="658">
        <v>0</v>
      </c>
      <c r="K76" s="658">
        <v>0</v>
      </c>
      <c r="M76" s="658">
        <v>0</v>
      </c>
    </row>
    <row r="77" spans="1:13">
      <c r="A77" s="603"/>
      <c r="B77" s="588">
        <v>60</v>
      </c>
      <c r="C77" s="599" t="s">
        <v>3300</v>
      </c>
      <c r="E77" s="660"/>
      <c r="F77" s="660">
        <v>0</v>
      </c>
      <c r="G77" s="660">
        <v>0</v>
      </c>
      <c r="I77" s="660"/>
      <c r="J77" s="660">
        <v>0</v>
      </c>
      <c r="K77" s="660">
        <v>0</v>
      </c>
      <c r="M77" s="660"/>
    </row>
    <row r="78" spans="1:13">
      <c r="A78" s="603"/>
      <c r="B78" s="601"/>
      <c r="C78" s="602" t="s">
        <v>3301</v>
      </c>
      <c r="E78" s="658">
        <v>0</v>
      </c>
      <c r="F78" s="658">
        <v>0</v>
      </c>
      <c r="G78" s="658">
        <v>0</v>
      </c>
      <c r="I78" s="658">
        <v>0</v>
      </c>
      <c r="J78" s="658">
        <v>0</v>
      </c>
      <c r="K78" s="658">
        <v>0</v>
      </c>
      <c r="M78" s="658">
        <v>0</v>
      </c>
    </row>
    <row r="79" spans="1:13">
      <c r="A79" s="603"/>
      <c r="B79" s="596">
        <v>61</v>
      </c>
      <c r="C79" s="597" t="s">
        <v>3302</v>
      </c>
      <c r="E79" s="659"/>
      <c r="F79" s="659"/>
      <c r="G79" s="659"/>
      <c r="I79" s="659"/>
      <c r="J79" s="659"/>
      <c r="K79" s="659"/>
      <c r="M79" s="659"/>
    </row>
  </sheetData>
  <mergeCells count="5">
    <mergeCell ref="B3:B4"/>
    <mergeCell ref="C3:C4"/>
    <mergeCell ref="E3:G3"/>
    <mergeCell ref="I3:K3"/>
    <mergeCell ref="M3:M4"/>
  </mergeCells>
  <hyperlinks>
    <hyperlink ref="A1" location="Sommaire!A1" display="Sommaire!A1" xr:uid="{00000000-0004-0000-1C00-000000000000}"/>
  </hyperlinks>
  <pageMargins left="0.7" right="0.7" top="0.75" bottom="0.75" header="0.3" footer="0.3"/>
  <pageSetup paperSize="9"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79"/>
  <sheetViews>
    <sheetView showGridLines="0" zoomScaleNormal="100" workbookViewId="0">
      <selection activeCell="B1" sqref="B1"/>
    </sheetView>
  </sheetViews>
  <sheetFormatPr baseColWidth="10" defaultColWidth="11.33203125" defaultRowHeight="12"/>
  <cols>
    <col min="1" max="1" width="10.1640625" style="588" bestFit="1" customWidth="1"/>
    <col min="2" max="2" width="19" style="588" bestFit="1" customWidth="1"/>
    <col min="3" max="3" width="54.5" style="605" bestFit="1" customWidth="1"/>
    <col min="4" max="4" width="0.6640625" style="590" customWidth="1"/>
    <col min="5" max="5" width="13.33203125" style="590" bestFit="1" customWidth="1"/>
    <col min="6" max="6" width="12.83203125" style="588" bestFit="1" customWidth="1"/>
    <col min="7" max="7" width="11.5" style="590" bestFit="1" customWidth="1"/>
    <col min="8" max="8" width="0.6640625" style="590" customWidth="1"/>
    <col min="9" max="11" width="11.5" style="590" bestFit="1" customWidth="1"/>
    <col min="12" max="12" width="0.6640625" style="590" customWidth="1"/>
    <col min="13" max="13" width="13.83203125" style="590" bestFit="1" customWidth="1"/>
    <col min="14" max="16384" width="11.33203125" style="590"/>
  </cols>
  <sheetData>
    <row r="1" spans="1:13" ht="24">
      <c r="A1" s="661" t="s">
        <v>140</v>
      </c>
      <c r="C1" s="589" t="s">
        <v>3249</v>
      </c>
      <c r="E1" s="591" t="s">
        <v>246</v>
      </c>
      <c r="F1" s="591" t="s">
        <v>3314</v>
      </c>
      <c r="G1" s="592"/>
      <c r="J1" s="592" t="s">
        <v>3251</v>
      </c>
      <c r="K1" s="592">
        <v>2023</v>
      </c>
    </row>
    <row r="2" spans="1:13">
      <c r="C2" s="593"/>
      <c r="F2" s="590"/>
      <c r="I2" s="590" t="s">
        <v>3252</v>
      </c>
      <c r="J2" s="594">
        <v>604.32574999999997</v>
      </c>
    </row>
    <row r="3" spans="1:13">
      <c r="B3" s="753" t="s">
        <v>143</v>
      </c>
      <c r="C3" s="754" t="s">
        <v>3253</v>
      </c>
      <c r="E3" s="755" t="s">
        <v>2084</v>
      </c>
      <c r="F3" s="755"/>
      <c r="G3" s="755"/>
      <c r="I3" s="755" t="s">
        <v>3254</v>
      </c>
      <c r="J3" s="755"/>
      <c r="K3" s="755"/>
      <c r="M3" s="756" t="s">
        <v>3255</v>
      </c>
    </row>
    <row r="4" spans="1:13">
      <c r="B4" s="753"/>
      <c r="C4" s="754"/>
      <c r="E4" s="595" t="s">
        <v>3256</v>
      </c>
      <c r="F4" s="595" t="s">
        <v>3257</v>
      </c>
      <c r="G4" s="595" t="s">
        <v>3258</v>
      </c>
      <c r="I4" s="595" t="s">
        <v>3256</v>
      </c>
      <c r="J4" s="595" t="s">
        <v>3257</v>
      </c>
      <c r="K4" s="595" t="s">
        <v>3258</v>
      </c>
      <c r="M4" s="756"/>
    </row>
    <row r="5" spans="1:13">
      <c r="B5" s="655" t="s">
        <v>3092</v>
      </c>
      <c r="C5" s="656"/>
      <c r="E5" s="657">
        <v>0</v>
      </c>
      <c r="F5" s="657">
        <v>0</v>
      </c>
      <c r="G5" s="657">
        <v>0</v>
      </c>
      <c r="I5" s="657">
        <v>0</v>
      </c>
      <c r="J5" s="657">
        <v>0</v>
      </c>
      <c r="K5" s="657">
        <v>0</v>
      </c>
      <c r="M5" s="657">
        <v>0</v>
      </c>
    </row>
    <row r="6" spans="1:13">
      <c r="B6" s="596">
        <v>1</v>
      </c>
      <c r="C6" s="597" t="s">
        <v>3259</v>
      </c>
      <c r="E6" s="598"/>
      <c r="F6" s="598">
        <v>0</v>
      </c>
      <c r="G6" s="598">
        <v>0</v>
      </c>
      <c r="I6" s="598"/>
      <c r="J6" s="598">
        <v>0</v>
      </c>
      <c r="K6" s="598">
        <v>0</v>
      </c>
      <c r="M6" s="598">
        <v>0</v>
      </c>
    </row>
    <row r="7" spans="1:13">
      <c r="B7" s="588">
        <v>2</v>
      </c>
      <c r="C7" s="599" t="s">
        <v>3260</v>
      </c>
      <c r="E7" s="600"/>
      <c r="F7" s="600">
        <v>0</v>
      </c>
      <c r="G7" s="600">
        <v>0</v>
      </c>
      <c r="I7" s="600"/>
      <c r="J7" s="600">
        <v>0</v>
      </c>
      <c r="K7" s="600">
        <v>0</v>
      </c>
      <c r="M7" s="600">
        <v>0</v>
      </c>
    </row>
    <row r="8" spans="1:13">
      <c r="B8" s="655" t="s">
        <v>3101</v>
      </c>
      <c r="C8" s="656"/>
      <c r="E8" s="657">
        <v>9826240889</v>
      </c>
      <c r="F8" s="657">
        <v>-9247956595</v>
      </c>
      <c r="G8" s="657">
        <v>578284294</v>
      </c>
      <c r="I8" s="657">
        <v>483195607</v>
      </c>
      <c r="J8" s="657">
        <v>171122305</v>
      </c>
      <c r="K8" s="657">
        <v>654317912</v>
      </c>
      <c r="M8" s="657">
        <v>-76033618</v>
      </c>
    </row>
    <row r="9" spans="1:13">
      <c r="B9" s="601"/>
      <c r="C9" s="602" t="s">
        <v>1244</v>
      </c>
      <c r="E9" s="658">
        <v>194373445</v>
      </c>
      <c r="F9" s="658">
        <v>25000000</v>
      </c>
      <c r="G9" s="658">
        <v>219373445</v>
      </c>
      <c r="I9" s="658">
        <v>219373445</v>
      </c>
      <c r="J9" s="658">
        <v>0</v>
      </c>
      <c r="K9" s="658">
        <v>219373445</v>
      </c>
      <c r="M9" s="658">
        <v>0</v>
      </c>
    </row>
    <row r="10" spans="1:13">
      <c r="A10" s="603">
        <v>3</v>
      </c>
      <c r="B10" s="596">
        <v>3</v>
      </c>
      <c r="C10" s="597" t="s">
        <v>3261</v>
      </c>
      <c r="E10" s="659">
        <v>194373445</v>
      </c>
      <c r="F10" s="659">
        <v>0</v>
      </c>
      <c r="G10" s="659">
        <v>194373445</v>
      </c>
      <c r="I10" s="659">
        <v>194373445</v>
      </c>
      <c r="J10" s="659">
        <v>0</v>
      </c>
      <c r="K10" s="659">
        <v>194373445</v>
      </c>
      <c r="M10" s="659">
        <v>0</v>
      </c>
    </row>
    <row r="11" spans="1:13">
      <c r="A11" s="603">
        <v>4</v>
      </c>
      <c r="B11" s="588">
        <v>4</v>
      </c>
      <c r="C11" s="599" t="s">
        <v>3106</v>
      </c>
      <c r="E11" s="660"/>
      <c r="F11" s="660">
        <v>0</v>
      </c>
      <c r="G11" s="660">
        <v>0</v>
      </c>
      <c r="I11" s="660"/>
      <c r="J11" s="660">
        <v>0</v>
      </c>
      <c r="K11" s="660">
        <v>0</v>
      </c>
      <c r="M11" s="660">
        <v>0</v>
      </c>
    </row>
    <row r="12" spans="1:13">
      <c r="A12" s="603">
        <v>5</v>
      </c>
      <c r="B12" s="596">
        <v>5</v>
      </c>
      <c r="C12" s="597" t="s">
        <v>3262</v>
      </c>
      <c r="E12" s="659"/>
      <c r="F12" s="659">
        <v>0</v>
      </c>
      <c r="G12" s="659">
        <v>0</v>
      </c>
      <c r="I12" s="659"/>
      <c r="J12" s="659">
        <v>0</v>
      </c>
      <c r="K12" s="659">
        <v>0</v>
      </c>
      <c r="M12" s="659">
        <v>0</v>
      </c>
    </row>
    <row r="13" spans="1:13">
      <c r="A13" s="603">
        <v>6</v>
      </c>
      <c r="B13" s="588">
        <v>6</v>
      </c>
      <c r="C13" s="599" t="s">
        <v>3263</v>
      </c>
      <c r="E13" s="660"/>
      <c r="F13" s="660">
        <v>0</v>
      </c>
      <c r="G13" s="660">
        <v>0</v>
      </c>
      <c r="I13" s="660"/>
      <c r="J13" s="660">
        <v>0</v>
      </c>
      <c r="K13" s="660">
        <v>0</v>
      </c>
      <c r="M13" s="660">
        <v>0</v>
      </c>
    </row>
    <row r="14" spans="1:13">
      <c r="A14" s="603">
        <v>7</v>
      </c>
      <c r="B14" s="596">
        <v>7</v>
      </c>
      <c r="C14" s="597" t="s">
        <v>3114</v>
      </c>
      <c r="E14" s="659"/>
      <c r="F14" s="659">
        <v>25000000</v>
      </c>
      <c r="G14" s="659">
        <v>25000000</v>
      </c>
      <c r="I14" s="659">
        <v>25000000</v>
      </c>
      <c r="J14" s="659">
        <v>0</v>
      </c>
      <c r="K14" s="659">
        <v>25000000</v>
      </c>
      <c r="M14" s="659">
        <v>0</v>
      </c>
    </row>
    <row r="15" spans="1:13">
      <c r="A15" s="603">
        <v>0</v>
      </c>
      <c r="B15" s="601"/>
      <c r="C15" s="602" t="s">
        <v>1253</v>
      </c>
      <c r="E15" s="658">
        <v>0</v>
      </c>
      <c r="F15" s="658">
        <v>0</v>
      </c>
      <c r="G15" s="658">
        <v>0</v>
      </c>
      <c r="I15" s="658">
        <v>0</v>
      </c>
      <c r="J15" s="658">
        <v>0</v>
      </c>
      <c r="K15" s="658">
        <v>0</v>
      </c>
      <c r="M15" s="658">
        <v>0</v>
      </c>
    </row>
    <row r="16" spans="1:13">
      <c r="A16" s="603">
        <v>8</v>
      </c>
      <c r="B16" s="588">
        <v>8</v>
      </c>
      <c r="C16" s="599" t="s">
        <v>3264</v>
      </c>
      <c r="E16" s="660"/>
      <c r="F16" s="660">
        <v>0</v>
      </c>
      <c r="G16" s="660">
        <v>0</v>
      </c>
      <c r="I16" s="660"/>
      <c r="J16" s="660">
        <v>0</v>
      </c>
      <c r="K16" s="660">
        <v>0</v>
      </c>
      <c r="M16" s="660">
        <v>0</v>
      </c>
    </row>
    <row r="17" spans="1:13">
      <c r="A17" s="603">
        <v>9</v>
      </c>
      <c r="B17" s="596">
        <v>9</v>
      </c>
      <c r="C17" s="597" t="s">
        <v>3265</v>
      </c>
      <c r="E17" s="659"/>
      <c r="F17" s="659">
        <v>0</v>
      </c>
      <c r="G17" s="659">
        <v>0</v>
      </c>
      <c r="I17" s="659"/>
      <c r="J17" s="659">
        <v>0</v>
      </c>
      <c r="K17" s="659">
        <v>0</v>
      </c>
      <c r="M17" s="659">
        <v>0</v>
      </c>
    </row>
    <row r="18" spans="1:13">
      <c r="A18" s="603"/>
      <c r="B18" s="588">
        <v>10</v>
      </c>
      <c r="C18" s="599" t="s">
        <v>3122</v>
      </c>
      <c r="E18" s="660"/>
      <c r="F18" s="660">
        <v>0</v>
      </c>
      <c r="G18" s="660">
        <v>0</v>
      </c>
      <c r="I18" s="660"/>
      <c r="J18" s="660">
        <v>0</v>
      </c>
      <c r="K18" s="660">
        <v>0</v>
      </c>
      <c r="M18" s="660">
        <v>0</v>
      </c>
    </row>
    <row r="19" spans="1:13">
      <c r="A19" s="603">
        <v>11</v>
      </c>
      <c r="B19" s="596">
        <v>11</v>
      </c>
      <c r="C19" s="597" t="s">
        <v>3124</v>
      </c>
      <c r="E19" s="659"/>
      <c r="F19" s="659">
        <v>0</v>
      </c>
      <c r="G19" s="659">
        <v>0</v>
      </c>
      <c r="I19" s="659"/>
      <c r="J19" s="659">
        <v>0</v>
      </c>
      <c r="K19" s="659">
        <v>0</v>
      </c>
      <c r="M19" s="659">
        <v>0</v>
      </c>
    </row>
    <row r="20" spans="1:13">
      <c r="A20" s="603">
        <v>12</v>
      </c>
      <c r="B20" s="588">
        <v>12</v>
      </c>
      <c r="C20" s="599" t="s">
        <v>3266</v>
      </c>
      <c r="E20" s="660"/>
      <c r="F20" s="660">
        <v>0</v>
      </c>
      <c r="G20" s="660">
        <v>0</v>
      </c>
      <c r="I20" s="660"/>
      <c r="J20" s="660">
        <v>0</v>
      </c>
      <c r="K20" s="660">
        <v>0</v>
      </c>
      <c r="M20" s="660">
        <v>0</v>
      </c>
    </row>
    <row r="21" spans="1:13">
      <c r="A21" s="603">
        <v>13</v>
      </c>
      <c r="B21" s="596">
        <v>13</v>
      </c>
      <c r="C21" s="597" t="s">
        <v>3267</v>
      </c>
      <c r="E21" s="659"/>
      <c r="F21" s="659">
        <v>0</v>
      </c>
      <c r="G21" s="659">
        <v>0</v>
      </c>
      <c r="I21" s="659"/>
      <c r="J21" s="659">
        <v>0</v>
      </c>
      <c r="K21" s="659">
        <v>0</v>
      </c>
      <c r="M21" s="659">
        <v>0</v>
      </c>
    </row>
    <row r="22" spans="1:13">
      <c r="A22" s="603">
        <v>14</v>
      </c>
      <c r="B22" s="588">
        <v>14</v>
      </c>
      <c r="C22" s="599" t="s">
        <v>3268</v>
      </c>
      <c r="E22" s="660"/>
      <c r="F22" s="660">
        <v>0</v>
      </c>
      <c r="G22" s="660">
        <v>0</v>
      </c>
      <c r="I22" s="660"/>
      <c r="J22" s="660">
        <v>0</v>
      </c>
      <c r="K22" s="660">
        <v>0</v>
      </c>
      <c r="M22" s="660">
        <v>0</v>
      </c>
    </row>
    <row r="23" spans="1:13">
      <c r="A23" s="603">
        <v>15</v>
      </c>
      <c r="B23" s="596">
        <v>15</v>
      </c>
      <c r="C23" s="597" t="s">
        <v>3133</v>
      </c>
      <c r="E23" s="659"/>
      <c r="F23" s="659">
        <v>0</v>
      </c>
      <c r="G23" s="659">
        <v>0</v>
      </c>
      <c r="I23" s="659"/>
      <c r="J23" s="659">
        <v>0</v>
      </c>
      <c r="K23" s="659">
        <v>0</v>
      </c>
      <c r="M23" s="659">
        <v>0</v>
      </c>
    </row>
    <row r="24" spans="1:13">
      <c r="A24" s="603">
        <v>16</v>
      </c>
      <c r="B24" s="588">
        <v>16</v>
      </c>
      <c r="C24" s="599" t="s">
        <v>3136</v>
      </c>
      <c r="E24" s="660"/>
      <c r="F24" s="660">
        <v>0</v>
      </c>
      <c r="G24" s="660">
        <v>0</v>
      </c>
      <c r="I24" s="660"/>
      <c r="J24" s="660">
        <v>0</v>
      </c>
      <c r="K24" s="660">
        <v>0</v>
      </c>
      <c r="M24" s="660">
        <v>0</v>
      </c>
    </row>
    <row r="25" spans="1:13">
      <c r="A25" s="603">
        <v>0</v>
      </c>
      <c r="B25" s="601"/>
      <c r="C25" s="602" t="s">
        <v>3269</v>
      </c>
      <c r="E25" s="658">
        <v>5260615</v>
      </c>
      <c r="F25" s="658">
        <v>0</v>
      </c>
      <c r="G25" s="658">
        <v>5260615</v>
      </c>
      <c r="I25" s="658">
        <v>0</v>
      </c>
      <c r="J25" s="658">
        <v>5260615</v>
      </c>
      <c r="K25" s="658">
        <v>5260615</v>
      </c>
      <c r="M25" s="658">
        <v>0</v>
      </c>
    </row>
    <row r="26" spans="1:13">
      <c r="A26" s="603">
        <v>17</v>
      </c>
      <c r="B26" s="596">
        <v>17</v>
      </c>
      <c r="C26" s="597" t="s">
        <v>3270</v>
      </c>
      <c r="E26" s="659"/>
      <c r="F26" s="659">
        <v>0</v>
      </c>
      <c r="G26" s="659">
        <v>0</v>
      </c>
      <c r="I26" s="659"/>
      <c r="J26" s="659">
        <v>0</v>
      </c>
      <c r="K26" s="659">
        <v>0</v>
      </c>
      <c r="M26" s="659">
        <v>0</v>
      </c>
    </row>
    <row r="27" spans="1:13">
      <c r="A27" s="603">
        <v>18</v>
      </c>
      <c r="B27" s="588">
        <v>18</v>
      </c>
      <c r="C27" s="599" t="s">
        <v>3141</v>
      </c>
      <c r="E27" s="660"/>
      <c r="F27" s="660">
        <v>0</v>
      </c>
      <c r="G27" s="660">
        <v>0</v>
      </c>
      <c r="I27" s="660"/>
      <c r="J27" s="660">
        <v>0</v>
      </c>
      <c r="K27" s="660">
        <v>0</v>
      </c>
      <c r="M27" s="660">
        <v>0</v>
      </c>
    </row>
    <row r="28" spans="1:13">
      <c r="A28" s="603">
        <v>19</v>
      </c>
      <c r="B28" s="596">
        <v>19</v>
      </c>
      <c r="C28" s="597" t="s">
        <v>3144</v>
      </c>
      <c r="E28" s="659"/>
      <c r="F28" s="659">
        <v>0</v>
      </c>
      <c r="G28" s="659">
        <v>0</v>
      </c>
      <c r="I28" s="659"/>
      <c r="J28" s="659">
        <v>0</v>
      </c>
      <c r="K28" s="659">
        <v>0</v>
      </c>
      <c r="M28" s="659">
        <v>0</v>
      </c>
    </row>
    <row r="29" spans="1:13">
      <c r="A29" s="603">
        <v>20</v>
      </c>
      <c r="B29" s="588">
        <v>20</v>
      </c>
      <c r="C29" s="599" t="s">
        <v>3147</v>
      </c>
      <c r="E29" s="660"/>
      <c r="F29" s="660">
        <v>0</v>
      </c>
      <c r="G29" s="660">
        <v>0</v>
      </c>
      <c r="I29" s="660"/>
      <c r="J29" s="660">
        <v>0</v>
      </c>
      <c r="K29" s="660">
        <v>0</v>
      </c>
      <c r="M29" s="660">
        <v>0</v>
      </c>
    </row>
    <row r="30" spans="1:13">
      <c r="A30" s="603">
        <v>21</v>
      </c>
      <c r="B30" s="596">
        <v>21</v>
      </c>
      <c r="C30" s="597" t="s">
        <v>3271</v>
      </c>
      <c r="E30" s="659"/>
      <c r="F30" s="659">
        <v>0</v>
      </c>
      <c r="G30" s="659">
        <v>0</v>
      </c>
      <c r="I30" s="659"/>
      <c r="J30" s="659">
        <v>0</v>
      </c>
      <c r="K30" s="659">
        <v>0</v>
      </c>
      <c r="M30" s="659">
        <v>0</v>
      </c>
    </row>
    <row r="31" spans="1:13">
      <c r="A31" s="603">
        <v>22</v>
      </c>
      <c r="B31" s="588">
        <v>22</v>
      </c>
      <c r="C31" s="599" t="s">
        <v>3272</v>
      </c>
      <c r="E31" s="660"/>
      <c r="F31" s="660">
        <v>0</v>
      </c>
      <c r="G31" s="660">
        <v>0</v>
      </c>
      <c r="I31" s="660"/>
      <c r="J31" s="660">
        <v>0</v>
      </c>
      <c r="K31" s="660">
        <v>0</v>
      </c>
      <c r="M31" s="660">
        <v>0</v>
      </c>
    </row>
    <row r="32" spans="1:13">
      <c r="A32" s="603">
        <v>23</v>
      </c>
      <c r="B32" s="596">
        <v>23</v>
      </c>
      <c r="C32" s="597" t="s">
        <v>3273</v>
      </c>
      <c r="E32" s="659"/>
      <c r="F32" s="659">
        <v>0</v>
      </c>
      <c r="G32" s="659">
        <v>0</v>
      </c>
      <c r="I32" s="659"/>
      <c r="J32" s="659">
        <v>0</v>
      </c>
      <c r="K32" s="659">
        <v>0</v>
      </c>
      <c r="M32" s="659">
        <v>0</v>
      </c>
    </row>
    <row r="33" spans="1:13">
      <c r="A33" s="603">
        <v>24</v>
      </c>
      <c r="B33" s="588">
        <v>24</v>
      </c>
      <c r="C33" s="599" t="s">
        <v>3158</v>
      </c>
      <c r="E33" s="660"/>
      <c r="F33" s="660">
        <v>0</v>
      </c>
      <c r="G33" s="660">
        <v>0</v>
      </c>
      <c r="I33" s="660"/>
      <c r="J33" s="660">
        <v>0</v>
      </c>
      <c r="K33" s="660">
        <v>0</v>
      </c>
      <c r="M33" s="660">
        <v>0</v>
      </c>
    </row>
    <row r="34" spans="1:13" s="604" customFormat="1">
      <c r="A34" s="603">
        <v>25</v>
      </c>
      <c r="B34" s="596">
        <v>25</v>
      </c>
      <c r="C34" s="597" t="s">
        <v>3274</v>
      </c>
      <c r="D34" s="590"/>
      <c r="E34" s="659"/>
      <c r="F34" s="659">
        <v>0</v>
      </c>
      <c r="G34" s="659">
        <v>0</v>
      </c>
      <c r="H34" s="590"/>
      <c r="I34" s="659"/>
      <c r="J34" s="659">
        <v>0</v>
      </c>
      <c r="K34" s="659">
        <v>0</v>
      </c>
      <c r="L34" s="590"/>
      <c r="M34" s="659">
        <v>0</v>
      </c>
    </row>
    <row r="35" spans="1:13">
      <c r="A35" s="603">
        <v>26</v>
      </c>
      <c r="B35" s="588">
        <v>26</v>
      </c>
      <c r="C35" s="599" t="s">
        <v>3275</v>
      </c>
      <c r="E35" s="660">
        <v>5260615</v>
      </c>
      <c r="F35" s="660">
        <v>0</v>
      </c>
      <c r="G35" s="660">
        <v>5260615</v>
      </c>
      <c r="I35" s="660"/>
      <c r="J35" s="660">
        <v>5260615</v>
      </c>
      <c r="K35" s="660">
        <v>5260615</v>
      </c>
      <c r="M35" s="660">
        <v>0</v>
      </c>
    </row>
    <row r="36" spans="1:13">
      <c r="A36" s="603">
        <v>0</v>
      </c>
      <c r="B36" s="601"/>
      <c r="C36" s="602" t="s">
        <v>3276</v>
      </c>
      <c r="E36" s="658">
        <v>290443811</v>
      </c>
      <c r="F36" s="658">
        <v>14637865</v>
      </c>
      <c r="G36" s="658">
        <v>305081676</v>
      </c>
      <c r="I36" s="658">
        <v>222651474</v>
      </c>
      <c r="J36" s="658">
        <v>165861690</v>
      </c>
      <c r="K36" s="658">
        <v>388513164</v>
      </c>
      <c r="M36" s="658">
        <v>-83431488</v>
      </c>
    </row>
    <row r="37" spans="1:13">
      <c r="A37" s="603">
        <v>27</v>
      </c>
      <c r="B37" s="596">
        <v>27</v>
      </c>
      <c r="C37" s="597" t="s">
        <v>3164</v>
      </c>
      <c r="E37" s="659">
        <v>2407500</v>
      </c>
      <c r="F37" s="659">
        <v>0</v>
      </c>
      <c r="G37" s="659">
        <v>2407500</v>
      </c>
      <c r="I37" s="659"/>
      <c r="J37" s="659">
        <v>0</v>
      </c>
      <c r="K37" s="659">
        <v>0</v>
      </c>
      <c r="M37" s="659">
        <v>2407500</v>
      </c>
    </row>
    <row r="38" spans="1:13">
      <c r="A38" s="603">
        <v>28</v>
      </c>
      <c r="B38" s="588">
        <v>28</v>
      </c>
      <c r="C38" s="599" t="s">
        <v>3167</v>
      </c>
      <c r="E38" s="660">
        <v>102758836</v>
      </c>
      <c r="F38" s="660">
        <v>0</v>
      </c>
      <c r="G38" s="660">
        <v>102758836</v>
      </c>
      <c r="I38" s="660">
        <v>102758836</v>
      </c>
      <c r="J38" s="660">
        <v>0</v>
      </c>
      <c r="K38" s="660">
        <v>102758836</v>
      </c>
      <c r="M38" s="660">
        <v>0</v>
      </c>
    </row>
    <row r="39" spans="1:13">
      <c r="A39" s="603">
        <v>29</v>
      </c>
      <c r="B39" s="596">
        <v>29</v>
      </c>
      <c r="C39" s="597" t="s">
        <v>3170</v>
      </c>
      <c r="E39" s="659">
        <v>165861690</v>
      </c>
      <c r="F39" s="659">
        <v>0</v>
      </c>
      <c r="G39" s="659">
        <v>165861690</v>
      </c>
      <c r="I39" s="659"/>
      <c r="J39" s="659">
        <v>165861690</v>
      </c>
      <c r="K39" s="659">
        <v>165861690</v>
      </c>
      <c r="M39" s="659">
        <v>0</v>
      </c>
    </row>
    <row r="40" spans="1:13">
      <c r="A40" s="603">
        <v>30</v>
      </c>
      <c r="B40" s="588">
        <v>30</v>
      </c>
      <c r="C40" s="599" t="s">
        <v>3173</v>
      </c>
      <c r="E40" s="660">
        <v>5000000</v>
      </c>
      <c r="F40" s="660">
        <v>0</v>
      </c>
      <c r="G40" s="660">
        <v>5000000</v>
      </c>
      <c r="I40" s="660">
        <v>90838988</v>
      </c>
      <c r="J40" s="660">
        <v>0</v>
      </c>
      <c r="K40" s="660">
        <v>90838988</v>
      </c>
      <c r="M40" s="660">
        <v>-85838988</v>
      </c>
    </row>
    <row r="41" spans="1:13">
      <c r="A41" s="603">
        <v>31</v>
      </c>
      <c r="B41" s="596">
        <v>31</v>
      </c>
      <c r="C41" s="597" t="s">
        <v>3176</v>
      </c>
      <c r="E41" s="659"/>
      <c r="F41" s="659">
        <v>0</v>
      </c>
      <c r="G41" s="659">
        <v>0</v>
      </c>
      <c r="I41" s="659"/>
      <c r="J41" s="659">
        <v>0</v>
      </c>
      <c r="K41" s="659">
        <v>0</v>
      </c>
      <c r="M41" s="659">
        <v>0</v>
      </c>
    </row>
    <row r="42" spans="1:13">
      <c r="A42" s="603">
        <v>32</v>
      </c>
      <c r="B42" s="588">
        <v>32</v>
      </c>
      <c r="C42" s="599" t="s">
        <v>3178</v>
      </c>
      <c r="E42" s="660">
        <v>5521556</v>
      </c>
      <c r="F42" s="660">
        <v>0</v>
      </c>
      <c r="G42" s="660">
        <v>5521556</v>
      </c>
      <c r="I42" s="660">
        <v>5521556</v>
      </c>
      <c r="J42" s="660">
        <v>0</v>
      </c>
      <c r="K42" s="660">
        <v>5521556</v>
      </c>
      <c r="M42" s="660">
        <v>0</v>
      </c>
    </row>
    <row r="43" spans="1:13">
      <c r="A43" s="603">
        <v>33</v>
      </c>
      <c r="B43" s="596">
        <v>33</v>
      </c>
      <c r="C43" s="597" t="s">
        <v>3181</v>
      </c>
      <c r="E43" s="659"/>
      <c r="F43" s="659">
        <v>0</v>
      </c>
      <c r="G43" s="659">
        <v>0</v>
      </c>
      <c r="I43" s="659"/>
      <c r="J43" s="659">
        <v>0</v>
      </c>
      <c r="K43" s="659">
        <v>0</v>
      </c>
      <c r="M43" s="659">
        <v>0</v>
      </c>
    </row>
    <row r="44" spans="1:13">
      <c r="A44" s="603">
        <v>34</v>
      </c>
      <c r="B44" s="588">
        <v>34</v>
      </c>
      <c r="C44" s="599" t="s">
        <v>3184</v>
      </c>
      <c r="E44" s="660">
        <v>8894229</v>
      </c>
      <c r="F44" s="660">
        <v>0</v>
      </c>
      <c r="G44" s="660">
        <v>8894229</v>
      </c>
      <c r="I44" s="660">
        <v>8894229</v>
      </c>
      <c r="J44" s="660">
        <v>0</v>
      </c>
      <c r="K44" s="660">
        <v>8894229</v>
      </c>
      <c r="M44" s="660">
        <v>0</v>
      </c>
    </row>
    <row r="45" spans="1:13">
      <c r="A45" s="603">
        <v>35</v>
      </c>
      <c r="B45" s="596">
        <v>35</v>
      </c>
      <c r="C45" s="597" t="s">
        <v>3186</v>
      </c>
      <c r="E45" s="659"/>
      <c r="F45" s="659">
        <v>0</v>
      </c>
      <c r="G45" s="659">
        <v>0</v>
      </c>
      <c r="I45" s="659"/>
      <c r="J45" s="659">
        <v>0</v>
      </c>
      <c r="K45" s="659">
        <v>0</v>
      </c>
      <c r="M45" s="659">
        <v>0</v>
      </c>
    </row>
    <row r="46" spans="1:13">
      <c r="A46" s="603">
        <v>36</v>
      </c>
      <c r="B46" s="588">
        <v>36</v>
      </c>
      <c r="C46" s="599" t="s">
        <v>3189</v>
      </c>
      <c r="E46" s="660"/>
      <c r="F46" s="660">
        <v>0</v>
      </c>
      <c r="G46" s="660">
        <v>0</v>
      </c>
      <c r="I46" s="660"/>
      <c r="J46" s="660">
        <v>0</v>
      </c>
      <c r="K46" s="660">
        <v>0</v>
      </c>
      <c r="M46" s="660">
        <v>0</v>
      </c>
    </row>
    <row r="47" spans="1:13">
      <c r="A47" s="603">
        <v>37</v>
      </c>
      <c r="B47" s="596">
        <v>37</v>
      </c>
      <c r="C47" s="597" t="s">
        <v>3277</v>
      </c>
      <c r="E47" s="659"/>
      <c r="F47" s="659">
        <v>0</v>
      </c>
      <c r="G47" s="659">
        <v>0</v>
      </c>
      <c r="I47" s="659"/>
      <c r="J47" s="659">
        <v>0</v>
      </c>
      <c r="K47" s="659">
        <v>0</v>
      </c>
      <c r="M47" s="659">
        <v>0</v>
      </c>
    </row>
    <row r="48" spans="1:13">
      <c r="A48" s="603">
        <v>38</v>
      </c>
      <c r="B48" s="588">
        <v>38</v>
      </c>
      <c r="C48" s="599" t="s">
        <v>3278</v>
      </c>
      <c r="E48" s="660"/>
      <c r="F48" s="660">
        <v>0</v>
      </c>
      <c r="G48" s="660">
        <v>0</v>
      </c>
      <c r="I48" s="660"/>
      <c r="J48" s="660">
        <v>0</v>
      </c>
      <c r="K48" s="660">
        <v>0</v>
      </c>
      <c r="M48" s="660">
        <v>0</v>
      </c>
    </row>
    <row r="49" spans="1:13">
      <c r="A49" s="603">
        <v>39</v>
      </c>
      <c r="B49" s="596">
        <v>39</v>
      </c>
      <c r="C49" s="597" t="s">
        <v>3195</v>
      </c>
      <c r="E49" s="659"/>
      <c r="F49" s="659">
        <v>14637865</v>
      </c>
      <c r="G49" s="659">
        <v>14637865</v>
      </c>
      <c r="I49" s="659">
        <v>14637865</v>
      </c>
      <c r="J49" s="659">
        <v>0</v>
      </c>
      <c r="K49" s="659">
        <v>14637865</v>
      </c>
      <c r="M49" s="659">
        <v>0</v>
      </c>
    </row>
    <row r="50" spans="1:13">
      <c r="A50" s="603">
        <v>40</v>
      </c>
      <c r="B50" s="588">
        <v>40</v>
      </c>
      <c r="C50" s="599" t="s">
        <v>3198</v>
      </c>
      <c r="E50" s="660"/>
      <c r="F50" s="660">
        <v>0</v>
      </c>
      <c r="G50" s="660">
        <v>0</v>
      </c>
      <c r="I50" s="660"/>
      <c r="J50" s="660">
        <v>0</v>
      </c>
      <c r="K50" s="660">
        <v>0</v>
      </c>
      <c r="M50" s="660">
        <v>0</v>
      </c>
    </row>
    <row r="51" spans="1:13">
      <c r="A51" s="603">
        <v>41</v>
      </c>
      <c r="B51" s="596">
        <v>41</v>
      </c>
      <c r="C51" s="597" t="s">
        <v>3279</v>
      </c>
      <c r="E51" s="659"/>
      <c r="F51" s="659">
        <v>0</v>
      </c>
      <c r="G51" s="659">
        <v>0</v>
      </c>
      <c r="I51" s="659"/>
      <c r="J51" s="659">
        <v>0</v>
      </c>
      <c r="K51" s="659">
        <v>0</v>
      </c>
      <c r="M51" s="659">
        <v>0</v>
      </c>
    </row>
    <row r="52" spans="1:13">
      <c r="A52" s="603"/>
      <c r="B52" s="588">
        <v>42</v>
      </c>
      <c r="C52" s="599" t="s">
        <v>3280</v>
      </c>
      <c r="E52" s="660"/>
      <c r="F52" s="660">
        <v>0</v>
      </c>
      <c r="G52" s="660">
        <v>0</v>
      </c>
      <c r="I52" s="660"/>
      <c r="J52" s="660">
        <v>0</v>
      </c>
      <c r="K52" s="660">
        <v>0</v>
      </c>
      <c r="M52" s="660">
        <v>0</v>
      </c>
    </row>
    <row r="53" spans="1:13">
      <c r="A53" s="603">
        <v>0</v>
      </c>
      <c r="B53" s="601"/>
      <c r="C53" s="602" t="s">
        <v>3281</v>
      </c>
      <c r="E53" s="658">
        <v>9295447206</v>
      </c>
      <c r="F53" s="658">
        <v>-9287594460</v>
      </c>
      <c r="G53" s="658">
        <v>7852746</v>
      </c>
      <c r="I53" s="658">
        <v>7852746</v>
      </c>
      <c r="J53" s="658">
        <v>0</v>
      </c>
      <c r="K53" s="658">
        <v>7852746</v>
      </c>
      <c r="M53" s="658">
        <v>0</v>
      </c>
    </row>
    <row r="54" spans="1:13">
      <c r="A54" s="603">
        <v>43</v>
      </c>
      <c r="B54" s="596">
        <v>43</v>
      </c>
      <c r="C54" s="597" t="s">
        <v>3282</v>
      </c>
      <c r="E54" s="659"/>
      <c r="F54" s="659">
        <v>0</v>
      </c>
      <c r="G54" s="659">
        <v>0</v>
      </c>
      <c r="I54" s="659">
        <v>4433394</v>
      </c>
      <c r="J54" s="659">
        <v>0</v>
      </c>
      <c r="K54" s="659">
        <v>4433394</v>
      </c>
      <c r="M54" s="659">
        <v>-4433394</v>
      </c>
    </row>
    <row r="55" spans="1:13">
      <c r="A55" s="603">
        <v>44</v>
      </c>
      <c r="B55" s="588">
        <v>44</v>
      </c>
      <c r="C55" s="599" t="s">
        <v>3283</v>
      </c>
      <c r="E55" s="660"/>
      <c r="F55" s="660">
        <v>0</v>
      </c>
      <c r="G55" s="660">
        <v>0</v>
      </c>
      <c r="I55" s="660">
        <v>177514</v>
      </c>
      <c r="J55" s="660">
        <v>0</v>
      </c>
      <c r="K55" s="660">
        <v>177514</v>
      </c>
      <c r="M55" s="660">
        <v>-177514</v>
      </c>
    </row>
    <row r="56" spans="1:13">
      <c r="A56" s="603"/>
      <c r="B56" s="596">
        <v>45</v>
      </c>
      <c r="C56" s="597" t="s">
        <v>3284</v>
      </c>
      <c r="E56" s="659"/>
      <c r="F56" s="659">
        <v>0</v>
      </c>
      <c r="G56" s="659">
        <v>0</v>
      </c>
      <c r="I56" s="659">
        <v>221892</v>
      </c>
      <c r="J56" s="659">
        <v>0</v>
      </c>
      <c r="K56" s="659">
        <v>221892</v>
      </c>
      <c r="M56" s="659">
        <v>-221892</v>
      </c>
    </row>
    <row r="57" spans="1:13">
      <c r="A57" s="603"/>
      <c r="B57" s="588">
        <v>46</v>
      </c>
      <c r="C57" s="599" t="s">
        <v>3285</v>
      </c>
      <c r="E57" s="660">
        <v>9295447206</v>
      </c>
      <c r="F57" s="660">
        <v>-9287594460</v>
      </c>
      <c r="G57" s="660">
        <v>7852746</v>
      </c>
      <c r="I57" s="660">
        <v>2218916</v>
      </c>
      <c r="J57" s="660">
        <v>0</v>
      </c>
      <c r="K57" s="660">
        <v>2218916</v>
      </c>
      <c r="M57" s="660">
        <v>5633830</v>
      </c>
    </row>
    <row r="58" spans="1:13">
      <c r="A58" s="603"/>
      <c r="B58" s="596">
        <v>47</v>
      </c>
      <c r="C58" s="597" t="s">
        <v>3286</v>
      </c>
      <c r="E58" s="659"/>
      <c r="F58" s="659">
        <v>0</v>
      </c>
      <c r="G58" s="659">
        <v>0</v>
      </c>
      <c r="I58" s="659">
        <v>110946</v>
      </c>
      <c r="J58" s="659">
        <v>0</v>
      </c>
      <c r="K58" s="659">
        <v>110946</v>
      </c>
      <c r="M58" s="659">
        <v>-110946</v>
      </c>
    </row>
    <row r="59" spans="1:13">
      <c r="A59" s="603"/>
      <c r="B59" s="588">
        <v>48</v>
      </c>
      <c r="C59" s="599" t="s">
        <v>3287</v>
      </c>
      <c r="E59" s="660"/>
      <c r="F59" s="660">
        <v>0</v>
      </c>
      <c r="G59" s="660">
        <v>0</v>
      </c>
      <c r="I59" s="660"/>
      <c r="J59" s="660">
        <v>0</v>
      </c>
      <c r="K59" s="660">
        <v>0</v>
      </c>
      <c r="M59" s="660">
        <v>0</v>
      </c>
    </row>
    <row r="60" spans="1:13">
      <c r="A60" s="603"/>
      <c r="B60" s="596">
        <v>49</v>
      </c>
      <c r="C60" s="597" t="s">
        <v>3288</v>
      </c>
      <c r="E60" s="659"/>
      <c r="F60" s="659">
        <v>0</v>
      </c>
      <c r="G60" s="659">
        <v>0</v>
      </c>
      <c r="I60" s="659">
        <v>246300</v>
      </c>
      <c r="J60" s="659">
        <v>0</v>
      </c>
      <c r="K60" s="659">
        <v>246300</v>
      </c>
      <c r="M60" s="659">
        <v>-246300</v>
      </c>
    </row>
    <row r="61" spans="1:13">
      <c r="A61" s="603"/>
      <c r="B61" s="588">
        <v>50</v>
      </c>
      <c r="C61" s="599" t="s">
        <v>3289</v>
      </c>
      <c r="E61" s="660"/>
      <c r="F61" s="660">
        <v>0</v>
      </c>
      <c r="G61" s="660">
        <v>0</v>
      </c>
      <c r="I61" s="660">
        <v>443784</v>
      </c>
      <c r="J61" s="660">
        <v>0</v>
      </c>
      <c r="K61" s="660">
        <v>443784</v>
      </c>
      <c r="M61" s="660">
        <v>-443784</v>
      </c>
    </row>
    <row r="62" spans="1:13">
      <c r="A62" s="603"/>
      <c r="B62" s="596">
        <v>51</v>
      </c>
      <c r="C62" s="597" t="s">
        <v>3218</v>
      </c>
      <c r="E62" s="659"/>
      <c r="F62" s="659">
        <v>0</v>
      </c>
      <c r="G62" s="659">
        <v>0</v>
      </c>
      <c r="I62" s="659"/>
      <c r="J62" s="659">
        <v>0</v>
      </c>
      <c r="K62" s="659">
        <v>0</v>
      </c>
      <c r="M62" s="659">
        <v>0</v>
      </c>
    </row>
    <row r="63" spans="1:13">
      <c r="A63" s="603">
        <v>0</v>
      </c>
      <c r="B63" s="601"/>
      <c r="C63" s="602" t="s">
        <v>3290</v>
      </c>
      <c r="E63" s="658">
        <v>0</v>
      </c>
      <c r="F63" s="658">
        <v>0</v>
      </c>
      <c r="G63" s="658">
        <v>0</v>
      </c>
      <c r="I63" s="658">
        <v>0</v>
      </c>
      <c r="J63" s="658">
        <v>0</v>
      </c>
      <c r="K63" s="658">
        <v>0</v>
      </c>
      <c r="M63" s="658">
        <v>0</v>
      </c>
    </row>
    <row r="64" spans="1:13">
      <c r="A64" s="603">
        <v>52</v>
      </c>
      <c r="B64" s="588">
        <v>52</v>
      </c>
      <c r="C64" s="599" t="s">
        <v>3222</v>
      </c>
      <c r="E64" s="660"/>
      <c r="F64" s="660">
        <v>0</v>
      </c>
      <c r="G64" s="660">
        <v>0</v>
      </c>
      <c r="I64" s="660"/>
      <c r="J64" s="660">
        <v>0</v>
      </c>
      <c r="K64" s="660">
        <v>0</v>
      </c>
      <c r="M64" s="660">
        <v>0</v>
      </c>
    </row>
    <row r="65" spans="1:13">
      <c r="A65" s="603">
        <v>53</v>
      </c>
      <c r="B65" s="596">
        <v>53</v>
      </c>
      <c r="C65" s="597" t="s">
        <v>3225</v>
      </c>
      <c r="E65" s="659"/>
      <c r="F65" s="659">
        <v>0</v>
      </c>
      <c r="G65" s="659">
        <v>0</v>
      </c>
      <c r="I65" s="659"/>
      <c r="J65" s="659">
        <v>0</v>
      </c>
      <c r="K65" s="659">
        <v>0</v>
      </c>
      <c r="M65" s="659">
        <v>0</v>
      </c>
    </row>
    <row r="66" spans="1:13">
      <c r="A66" s="603">
        <v>54</v>
      </c>
      <c r="B66" s="588">
        <v>54</v>
      </c>
      <c r="C66" s="599" t="s">
        <v>3291</v>
      </c>
      <c r="E66" s="660"/>
      <c r="F66" s="660">
        <v>0</v>
      </c>
      <c r="G66" s="660">
        <v>0</v>
      </c>
      <c r="I66" s="660"/>
      <c r="J66" s="660">
        <v>0</v>
      </c>
      <c r="K66" s="660">
        <v>0</v>
      </c>
      <c r="M66" s="660">
        <v>0</v>
      </c>
    </row>
    <row r="67" spans="1:13">
      <c r="A67" s="603"/>
      <c r="B67" s="601"/>
      <c r="C67" s="602" t="s">
        <v>3292</v>
      </c>
      <c r="E67" s="658">
        <v>0</v>
      </c>
      <c r="F67" s="658">
        <v>0</v>
      </c>
      <c r="G67" s="658">
        <v>0</v>
      </c>
      <c r="I67" s="658">
        <v>0</v>
      </c>
      <c r="J67" s="658">
        <v>0</v>
      </c>
      <c r="K67" s="658">
        <v>0</v>
      </c>
      <c r="M67" s="658">
        <v>0</v>
      </c>
    </row>
    <row r="68" spans="1:13">
      <c r="A68" s="603"/>
      <c r="B68" s="596">
        <v>55</v>
      </c>
      <c r="C68" s="597" t="s">
        <v>3231</v>
      </c>
      <c r="E68" s="659"/>
      <c r="F68" s="659">
        <v>0</v>
      </c>
      <c r="G68" s="659">
        <v>0</v>
      </c>
      <c r="I68" s="659"/>
      <c r="J68" s="659">
        <v>0</v>
      </c>
      <c r="K68" s="659">
        <v>0</v>
      </c>
      <c r="M68" s="659">
        <v>0</v>
      </c>
    </row>
    <row r="69" spans="1:13">
      <c r="A69" s="603"/>
      <c r="B69" s="588">
        <v>56</v>
      </c>
      <c r="C69" s="599" t="s">
        <v>3293</v>
      </c>
      <c r="E69" s="660"/>
      <c r="F69" s="660">
        <v>0</v>
      </c>
      <c r="G69" s="660">
        <v>0</v>
      </c>
      <c r="I69" s="660"/>
      <c r="J69" s="660">
        <v>0</v>
      </c>
      <c r="K69" s="660">
        <v>0</v>
      </c>
      <c r="M69" s="660">
        <v>0</v>
      </c>
    </row>
    <row r="70" spans="1:13">
      <c r="A70" s="603">
        <v>0</v>
      </c>
      <c r="B70" s="601"/>
      <c r="C70" s="602" t="s">
        <v>340</v>
      </c>
      <c r="E70" s="658">
        <v>3956138</v>
      </c>
      <c r="F70" s="658">
        <v>0</v>
      </c>
      <c r="G70" s="658">
        <v>3956138</v>
      </c>
      <c r="I70" s="658">
        <v>3956138</v>
      </c>
      <c r="J70" s="658">
        <v>0</v>
      </c>
      <c r="K70" s="658">
        <v>3956138</v>
      </c>
      <c r="M70" s="658">
        <v>0</v>
      </c>
    </row>
    <row r="71" spans="1:13">
      <c r="A71" s="603">
        <v>57</v>
      </c>
      <c r="B71" s="596">
        <v>57</v>
      </c>
      <c r="C71" s="597" t="s">
        <v>3294</v>
      </c>
      <c r="E71" s="659">
        <v>3956138</v>
      </c>
      <c r="F71" s="659">
        <v>0</v>
      </c>
      <c r="G71" s="659">
        <v>3956138</v>
      </c>
      <c r="I71" s="659">
        <v>3956138</v>
      </c>
      <c r="J71" s="659">
        <v>0</v>
      </c>
      <c r="K71" s="659">
        <v>3956138</v>
      </c>
      <c r="M71" s="659">
        <v>0</v>
      </c>
    </row>
    <row r="72" spans="1:13">
      <c r="A72" s="603">
        <v>0</v>
      </c>
      <c r="B72" s="601"/>
      <c r="C72" s="602" t="s">
        <v>3295</v>
      </c>
      <c r="E72" s="658">
        <v>35227174</v>
      </c>
      <c r="F72" s="658">
        <v>0</v>
      </c>
      <c r="G72" s="658">
        <v>35227174</v>
      </c>
      <c r="I72" s="658">
        <v>28361804</v>
      </c>
      <c r="J72" s="658">
        <v>0</v>
      </c>
      <c r="K72" s="658">
        <v>28361804</v>
      </c>
      <c r="M72" s="658">
        <v>6865370</v>
      </c>
    </row>
    <row r="73" spans="1:13">
      <c r="A73" s="603">
        <v>58</v>
      </c>
      <c r="B73" s="588">
        <v>58</v>
      </c>
      <c r="C73" s="599" t="s">
        <v>3296</v>
      </c>
      <c r="E73" s="660">
        <v>35227174</v>
      </c>
      <c r="F73" s="660">
        <v>0</v>
      </c>
      <c r="G73" s="660">
        <v>35227174</v>
      </c>
      <c r="I73" s="660">
        <v>28361804</v>
      </c>
      <c r="J73" s="660">
        <v>0</v>
      </c>
      <c r="K73" s="660">
        <v>28361804</v>
      </c>
      <c r="M73" s="660">
        <v>6865370</v>
      </c>
    </row>
    <row r="74" spans="1:13">
      <c r="A74" s="603"/>
      <c r="B74" s="601"/>
      <c r="C74" s="602" t="s">
        <v>3297</v>
      </c>
      <c r="E74" s="658">
        <v>0</v>
      </c>
      <c r="F74" s="658">
        <v>0</v>
      </c>
      <c r="G74" s="658">
        <v>0</v>
      </c>
      <c r="I74" s="658">
        <v>0</v>
      </c>
      <c r="J74" s="658">
        <v>0</v>
      </c>
      <c r="K74" s="658">
        <v>0</v>
      </c>
      <c r="M74" s="658">
        <v>0</v>
      </c>
    </row>
    <row r="75" spans="1:13">
      <c r="A75" s="603"/>
      <c r="B75" s="588">
        <v>59</v>
      </c>
      <c r="C75" s="599" t="s">
        <v>3298</v>
      </c>
      <c r="E75" s="660"/>
      <c r="F75" s="660">
        <v>0</v>
      </c>
      <c r="G75" s="660">
        <v>0</v>
      </c>
      <c r="I75" s="660"/>
      <c r="J75" s="660">
        <v>0</v>
      </c>
      <c r="K75" s="660">
        <v>0</v>
      </c>
      <c r="M75" s="660"/>
    </row>
    <row r="76" spans="1:13">
      <c r="A76" s="603"/>
      <c r="B76" s="601"/>
      <c r="C76" s="602" t="s">
        <v>3299</v>
      </c>
      <c r="E76" s="658">
        <v>0</v>
      </c>
      <c r="F76" s="658">
        <v>0</v>
      </c>
      <c r="G76" s="658">
        <v>0</v>
      </c>
      <c r="I76" s="658">
        <v>0</v>
      </c>
      <c r="J76" s="658">
        <v>0</v>
      </c>
      <c r="K76" s="658">
        <v>0</v>
      </c>
      <c r="M76" s="658">
        <v>0</v>
      </c>
    </row>
    <row r="77" spans="1:13">
      <c r="A77" s="603"/>
      <c r="B77" s="588">
        <v>60</v>
      </c>
      <c r="C77" s="599" t="s">
        <v>3300</v>
      </c>
      <c r="E77" s="660"/>
      <c r="F77" s="660">
        <v>0</v>
      </c>
      <c r="G77" s="660">
        <v>0</v>
      </c>
      <c r="I77" s="660"/>
      <c r="J77" s="660">
        <v>0</v>
      </c>
      <c r="K77" s="660">
        <v>0</v>
      </c>
      <c r="M77" s="660"/>
    </row>
    <row r="78" spans="1:13">
      <c r="A78" s="603"/>
      <c r="B78" s="601"/>
      <c r="C78" s="602" t="s">
        <v>3301</v>
      </c>
      <c r="E78" s="658">
        <v>1532500</v>
      </c>
      <c r="F78" s="658">
        <v>0</v>
      </c>
      <c r="G78" s="658">
        <v>1532500</v>
      </c>
      <c r="I78" s="658">
        <v>1000000</v>
      </c>
      <c r="J78" s="658">
        <v>0</v>
      </c>
      <c r="K78" s="658">
        <v>1000000</v>
      </c>
      <c r="M78" s="658">
        <v>532500</v>
      </c>
    </row>
    <row r="79" spans="1:13">
      <c r="A79" s="603"/>
      <c r="B79" s="596">
        <v>61</v>
      </c>
      <c r="C79" s="597" t="s">
        <v>3302</v>
      </c>
      <c r="E79" s="659"/>
      <c r="F79" s="659"/>
      <c r="G79" s="659"/>
      <c r="I79" s="659"/>
      <c r="J79" s="659"/>
      <c r="K79" s="659"/>
      <c r="M79" s="659"/>
    </row>
  </sheetData>
  <mergeCells count="5">
    <mergeCell ref="B3:B4"/>
    <mergeCell ref="C3:C4"/>
    <mergeCell ref="E3:G3"/>
    <mergeCell ref="I3:K3"/>
    <mergeCell ref="M3:M4"/>
  </mergeCells>
  <hyperlinks>
    <hyperlink ref="A1" location="Sommaire!A1" display="Sommaire!A1" xr:uid="{00000000-0004-0000-1D00-000000000000}"/>
  </hyperlinks>
  <pageMargins left="0.7" right="0.7" top="0.75" bottom="0.75" header="0.3" footer="0.3"/>
  <pageSetup paperSize="9"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79"/>
  <sheetViews>
    <sheetView showGridLines="0" zoomScaleNormal="100" workbookViewId="0">
      <selection activeCell="B1" sqref="B1"/>
    </sheetView>
  </sheetViews>
  <sheetFormatPr baseColWidth="10" defaultColWidth="11.33203125" defaultRowHeight="12"/>
  <cols>
    <col min="1" max="1" width="10.1640625" style="588" bestFit="1" customWidth="1"/>
    <col min="2" max="2" width="19" style="588" bestFit="1" customWidth="1"/>
    <col min="3" max="3" width="54.5" style="605" bestFit="1" customWidth="1"/>
    <col min="4" max="4" width="0.6640625" style="590" customWidth="1"/>
    <col min="5" max="5" width="15" style="590" bestFit="1" customWidth="1"/>
    <col min="6" max="6" width="10.1640625" style="588" bestFit="1" customWidth="1"/>
    <col min="7" max="7" width="5.5" style="590" bestFit="1" customWidth="1"/>
    <col min="8" max="8" width="0.6640625" style="590" customWidth="1"/>
    <col min="9" max="9" width="5.5" style="590" bestFit="1" customWidth="1"/>
    <col min="10" max="10" width="10.1640625" style="590" bestFit="1" customWidth="1"/>
    <col min="11" max="11" width="5.5" style="590" bestFit="1" customWidth="1"/>
    <col min="12" max="12" width="0.6640625" style="590" customWidth="1"/>
    <col min="13" max="13" width="13.83203125" style="590" bestFit="1" customWidth="1"/>
    <col min="14" max="16384" width="11.33203125" style="590"/>
  </cols>
  <sheetData>
    <row r="1" spans="1:13" ht="24">
      <c r="A1" s="661" t="s">
        <v>140</v>
      </c>
      <c r="C1" s="589" t="s">
        <v>3249</v>
      </c>
      <c r="E1" s="591" t="s">
        <v>250</v>
      </c>
      <c r="F1" s="591" t="s">
        <v>3315</v>
      </c>
      <c r="G1" s="592"/>
      <c r="J1" s="592" t="s">
        <v>3251</v>
      </c>
      <c r="K1" s="592">
        <v>2023</v>
      </c>
    </row>
    <row r="2" spans="1:13">
      <c r="C2" s="593"/>
      <c r="F2" s="590"/>
      <c r="I2" s="590" t="s">
        <v>3252</v>
      </c>
      <c r="J2" s="594">
        <v>604.32574999999997</v>
      </c>
    </row>
    <row r="3" spans="1:13">
      <c r="B3" s="753" t="s">
        <v>143</v>
      </c>
      <c r="C3" s="754" t="s">
        <v>3253</v>
      </c>
      <c r="E3" s="755" t="s">
        <v>2084</v>
      </c>
      <c r="F3" s="755"/>
      <c r="G3" s="755"/>
      <c r="I3" s="755" t="s">
        <v>3254</v>
      </c>
      <c r="J3" s="755"/>
      <c r="K3" s="755"/>
      <c r="M3" s="756" t="s">
        <v>3255</v>
      </c>
    </row>
    <row r="4" spans="1:13">
      <c r="B4" s="753"/>
      <c r="C4" s="754"/>
      <c r="E4" s="595" t="s">
        <v>3256</v>
      </c>
      <c r="F4" s="595" t="s">
        <v>3257</v>
      </c>
      <c r="G4" s="595" t="s">
        <v>3258</v>
      </c>
      <c r="I4" s="595" t="s">
        <v>3256</v>
      </c>
      <c r="J4" s="595" t="s">
        <v>3257</v>
      </c>
      <c r="K4" s="595" t="s">
        <v>3258</v>
      </c>
      <c r="M4" s="756"/>
    </row>
    <row r="5" spans="1:13">
      <c r="B5" s="655" t="s">
        <v>3092</v>
      </c>
      <c r="C5" s="656"/>
      <c r="E5" s="657">
        <v>0</v>
      </c>
      <c r="F5" s="657">
        <v>0</v>
      </c>
      <c r="G5" s="657">
        <v>0</v>
      </c>
      <c r="I5" s="657">
        <v>0</v>
      </c>
      <c r="J5" s="657">
        <v>0</v>
      </c>
      <c r="K5" s="657">
        <v>0</v>
      </c>
      <c r="M5" s="657">
        <v>0</v>
      </c>
    </row>
    <row r="6" spans="1:13">
      <c r="B6" s="596">
        <v>1</v>
      </c>
      <c r="C6" s="597" t="s">
        <v>3259</v>
      </c>
      <c r="E6" s="598"/>
      <c r="F6" s="598">
        <v>0</v>
      </c>
      <c r="G6" s="598">
        <v>0</v>
      </c>
      <c r="I6" s="598"/>
      <c r="J6" s="598">
        <v>0</v>
      </c>
      <c r="K6" s="598">
        <v>0</v>
      </c>
      <c r="M6" s="598">
        <v>0</v>
      </c>
    </row>
    <row r="7" spans="1:13">
      <c r="B7" s="588">
        <v>2</v>
      </c>
      <c r="C7" s="599" t="s">
        <v>3260</v>
      </c>
      <c r="E7" s="600"/>
      <c r="F7" s="600">
        <v>0</v>
      </c>
      <c r="G7" s="600">
        <v>0</v>
      </c>
      <c r="I7" s="600"/>
      <c r="J7" s="600">
        <v>0</v>
      </c>
      <c r="K7" s="600">
        <v>0</v>
      </c>
      <c r="M7" s="600">
        <v>0</v>
      </c>
    </row>
    <row r="8" spans="1:13">
      <c r="B8" s="655" t="s">
        <v>3101</v>
      </c>
      <c r="C8" s="656"/>
      <c r="E8" s="657">
        <v>0</v>
      </c>
      <c r="F8" s="657">
        <v>0</v>
      </c>
      <c r="G8" s="657">
        <v>0</v>
      </c>
      <c r="I8" s="657">
        <v>0</v>
      </c>
      <c r="J8" s="657">
        <v>0</v>
      </c>
      <c r="K8" s="657">
        <v>0</v>
      </c>
      <c r="M8" s="657">
        <v>0</v>
      </c>
    </row>
    <row r="9" spans="1:13">
      <c r="B9" s="601"/>
      <c r="C9" s="602" t="s">
        <v>1244</v>
      </c>
      <c r="E9" s="658">
        <v>0</v>
      </c>
      <c r="F9" s="658">
        <v>0</v>
      </c>
      <c r="G9" s="658">
        <v>0</v>
      </c>
      <c r="I9" s="658">
        <v>0</v>
      </c>
      <c r="J9" s="658">
        <v>0</v>
      </c>
      <c r="K9" s="658">
        <v>0</v>
      </c>
      <c r="M9" s="658">
        <v>0</v>
      </c>
    </row>
    <row r="10" spans="1:13">
      <c r="A10" s="603">
        <v>3</v>
      </c>
      <c r="B10" s="596">
        <v>3</v>
      </c>
      <c r="C10" s="597" t="s">
        <v>3261</v>
      </c>
      <c r="E10" s="659"/>
      <c r="F10" s="659">
        <v>0</v>
      </c>
      <c r="G10" s="659">
        <v>0</v>
      </c>
      <c r="I10" s="659"/>
      <c r="J10" s="659">
        <v>0</v>
      </c>
      <c r="K10" s="659">
        <v>0</v>
      </c>
      <c r="M10" s="659">
        <v>0</v>
      </c>
    </row>
    <row r="11" spans="1:13">
      <c r="A11" s="603">
        <v>4</v>
      </c>
      <c r="B11" s="588">
        <v>4</v>
      </c>
      <c r="C11" s="599" t="s">
        <v>3106</v>
      </c>
      <c r="E11" s="660"/>
      <c r="F11" s="660">
        <v>0</v>
      </c>
      <c r="G11" s="660">
        <v>0</v>
      </c>
      <c r="I11" s="660"/>
      <c r="J11" s="660">
        <v>0</v>
      </c>
      <c r="K11" s="660">
        <v>0</v>
      </c>
      <c r="M11" s="660">
        <v>0</v>
      </c>
    </row>
    <row r="12" spans="1:13">
      <c r="A12" s="603">
        <v>5</v>
      </c>
      <c r="B12" s="596">
        <v>5</v>
      </c>
      <c r="C12" s="597" t="s">
        <v>3262</v>
      </c>
      <c r="E12" s="659"/>
      <c r="F12" s="659">
        <v>0</v>
      </c>
      <c r="G12" s="659">
        <v>0</v>
      </c>
      <c r="I12" s="659"/>
      <c r="J12" s="659">
        <v>0</v>
      </c>
      <c r="K12" s="659">
        <v>0</v>
      </c>
      <c r="M12" s="659">
        <v>0</v>
      </c>
    </row>
    <row r="13" spans="1:13">
      <c r="A13" s="603">
        <v>6</v>
      </c>
      <c r="B13" s="588">
        <v>6</v>
      </c>
      <c r="C13" s="599" t="s">
        <v>3263</v>
      </c>
      <c r="E13" s="660"/>
      <c r="F13" s="660">
        <v>0</v>
      </c>
      <c r="G13" s="660">
        <v>0</v>
      </c>
      <c r="I13" s="660"/>
      <c r="J13" s="660">
        <v>0</v>
      </c>
      <c r="K13" s="660">
        <v>0</v>
      </c>
      <c r="M13" s="660">
        <v>0</v>
      </c>
    </row>
    <row r="14" spans="1:13">
      <c r="A14" s="603">
        <v>7</v>
      </c>
      <c r="B14" s="596">
        <v>7</v>
      </c>
      <c r="C14" s="597" t="s">
        <v>3114</v>
      </c>
      <c r="E14" s="659"/>
      <c r="F14" s="659">
        <v>0</v>
      </c>
      <c r="G14" s="659">
        <v>0</v>
      </c>
      <c r="I14" s="659"/>
      <c r="J14" s="659">
        <v>0</v>
      </c>
      <c r="K14" s="659">
        <v>0</v>
      </c>
      <c r="M14" s="659">
        <v>0</v>
      </c>
    </row>
    <row r="15" spans="1:13">
      <c r="A15" s="603">
        <v>0</v>
      </c>
      <c r="B15" s="601"/>
      <c r="C15" s="602" t="s">
        <v>1253</v>
      </c>
      <c r="E15" s="658">
        <v>0</v>
      </c>
      <c r="F15" s="658">
        <v>0</v>
      </c>
      <c r="G15" s="658">
        <v>0</v>
      </c>
      <c r="I15" s="658">
        <v>0</v>
      </c>
      <c r="J15" s="658">
        <v>0</v>
      </c>
      <c r="K15" s="658">
        <v>0</v>
      </c>
      <c r="M15" s="658">
        <v>0</v>
      </c>
    </row>
    <row r="16" spans="1:13">
      <c r="A16" s="603">
        <v>8</v>
      </c>
      <c r="B16" s="588">
        <v>8</v>
      </c>
      <c r="C16" s="599" t="s">
        <v>3264</v>
      </c>
      <c r="E16" s="660"/>
      <c r="F16" s="660">
        <v>0</v>
      </c>
      <c r="G16" s="660">
        <v>0</v>
      </c>
      <c r="I16" s="660"/>
      <c r="J16" s="660">
        <v>0</v>
      </c>
      <c r="K16" s="660">
        <v>0</v>
      </c>
      <c r="M16" s="660">
        <v>0</v>
      </c>
    </row>
    <row r="17" spans="1:13">
      <c r="A17" s="603">
        <v>9</v>
      </c>
      <c r="B17" s="596">
        <v>9</v>
      </c>
      <c r="C17" s="597" t="s">
        <v>3265</v>
      </c>
      <c r="E17" s="659"/>
      <c r="F17" s="659">
        <v>0</v>
      </c>
      <c r="G17" s="659">
        <v>0</v>
      </c>
      <c r="I17" s="659"/>
      <c r="J17" s="659">
        <v>0</v>
      </c>
      <c r="K17" s="659">
        <v>0</v>
      </c>
      <c r="M17" s="659">
        <v>0</v>
      </c>
    </row>
    <row r="18" spans="1:13">
      <c r="A18" s="603"/>
      <c r="B18" s="588">
        <v>10</v>
      </c>
      <c r="C18" s="599" t="s">
        <v>3122</v>
      </c>
      <c r="E18" s="660"/>
      <c r="F18" s="660">
        <v>0</v>
      </c>
      <c r="G18" s="660">
        <v>0</v>
      </c>
      <c r="I18" s="660"/>
      <c r="J18" s="660">
        <v>0</v>
      </c>
      <c r="K18" s="660">
        <v>0</v>
      </c>
      <c r="M18" s="660">
        <v>0</v>
      </c>
    </row>
    <row r="19" spans="1:13">
      <c r="A19" s="603">
        <v>11</v>
      </c>
      <c r="B19" s="596">
        <v>11</v>
      </c>
      <c r="C19" s="597" t="s">
        <v>3124</v>
      </c>
      <c r="E19" s="659"/>
      <c r="F19" s="659">
        <v>0</v>
      </c>
      <c r="G19" s="659">
        <v>0</v>
      </c>
      <c r="I19" s="659"/>
      <c r="J19" s="659">
        <v>0</v>
      </c>
      <c r="K19" s="659">
        <v>0</v>
      </c>
      <c r="M19" s="659">
        <v>0</v>
      </c>
    </row>
    <row r="20" spans="1:13">
      <c r="A20" s="603">
        <v>12</v>
      </c>
      <c r="B20" s="588">
        <v>12</v>
      </c>
      <c r="C20" s="599" t="s">
        <v>3266</v>
      </c>
      <c r="E20" s="660"/>
      <c r="F20" s="660">
        <v>0</v>
      </c>
      <c r="G20" s="660">
        <v>0</v>
      </c>
      <c r="I20" s="660"/>
      <c r="J20" s="660">
        <v>0</v>
      </c>
      <c r="K20" s="660">
        <v>0</v>
      </c>
      <c r="M20" s="660">
        <v>0</v>
      </c>
    </row>
    <row r="21" spans="1:13">
      <c r="A21" s="603">
        <v>13</v>
      </c>
      <c r="B21" s="596">
        <v>13</v>
      </c>
      <c r="C21" s="597" t="s">
        <v>3267</v>
      </c>
      <c r="E21" s="659"/>
      <c r="F21" s="659">
        <v>0</v>
      </c>
      <c r="G21" s="659">
        <v>0</v>
      </c>
      <c r="I21" s="659"/>
      <c r="J21" s="659">
        <v>0</v>
      </c>
      <c r="K21" s="659">
        <v>0</v>
      </c>
      <c r="M21" s="659">
        <v>0</v>
      </c>
    </row>
    <row r="22" spans="1:13">
      <c r="A22" s="603">
        <v>14</v>
      </c>
      <c r="B22" s="588">
        <v>14</v>
      </c>
      <c r="C22" s="599" t="s">
        <v>3268</v>
      </c>
      <c r="E22" s="660"/>
      <c r="F22" s="660">
        <v>0</v>
      </c>
      <c r="G22" s="660">
        <v>0</v>
      </c>
      <c r="I22" s="660"/>
      <c r="J22" s="660">
        <v>0</v>
      </c>
      <c r="K22" s="660">
        <v>0</v>
      </c>
      <c r="M22" s="660">
        <v>0</v>
      </c>
    </row>
    <row r="23" spans="1:13">
      <c r="A23" s="603">
        <v>15</v>
      </c>
      <c r="B23" s="596">
        <v>15</v>
      </c>
      <c r="C23" s="597" t="s">
        <v>3133</v>
      </c>
      <c r="E23" s="659"/>
      <c r="F23" s="659">
        <v>0</v>
      </c>
      <c r="G23" s="659">
        <v>0</v>
      </c>
      <c r="I23" s="659"/>
      <c r="J23" s="659">
        <v>0</v>
      </c>
      <c r="K23" s="659">
        <v>0</v>
      </c>
      <c r="M23" s="659">
        <v>0</v>
      </c>
    </row>
    <row r="24" spans="1:13">
      <c r="A24" s="603">
        <v>16</v>
      </c>
      <c r="B24" s="588">
        <v>16</v>
      </c>
      <c r="C24" s="599" t="s">
        <v>3136</v>
      </c>
      <c r="E24" s="660"/>
      <c r="F24" s="660">
        <v>0</v>
      </c>
      <c r="G24" s="660">
        <v>0</v>
      </c>
      <c r="I24" s="660"/>
      <c r="J24" s="660">
        <v>0</v>
      </c>
      <c r="K24" s="660">
        <v>0</v>
      </c>
      <c r="M24" s="660">
        <v>0</v>
      </c>
    </row>
    <row r="25" spans="1:13">
      <c r="A25" s="603">
        <v>0</v>
      </c>
      <c r="B25" s="601"/>
      <c r="C25" s="602" t="s">
        <v>3269</v>
      </c>
      <c r="E25" s="658">
        <v>0</v>
      </c>
      <c r="F25" s="658">
        <v>0</v>
      </c>
      <c r="G25" s="658">
        <v>0</v>
      </c>
      <c r="I25" s="658">
        <v>0</v>
      </c>
      <c r="J25" s="658">
        <v>0</v>
      </c>
      <c r="K25" s="658">
        <v>0</v>
      </c>
      <c r="M25" s="658">
        <v>0</v>
      </c>
    </row>
    <row r="26" spans="1:13">
      <c r="A26" s="603">
        <v>17</v>
      </c>
      <c r="B26" s="596">
        <v>17</v>
      </c>
      <c r="C26" s="597" t="s">
        <v>3270</v>
      </c>
      <c r="E26" s="659"/>
      <c r="F26" s="659">
        <v>0</v>
      </c>
      <c r="G26" s="659">
        <v>0</v>
      </c>
      <c r="I26" s="659"/>
      <c r="J26" s="659">
        <v>0</v>
      </c>
      <c r="K26" s="659">
        <v>0</v>
      </c>
      <c r="M26" s="659">
        <v>0</v>
      </c>
    </row>
    <row r="27" spans="1:13">
      <c r="A27" s="603">
        <v>18</v>
      </c>
      <c r="B27" s="588">
        <v>18</v>
      </c>
      <c r="C27" s="599" t="s">
        <v>3141</v>
      </c>
      <c r="E27" s="660"/>
      <c r="F27" s="660">
        <v>0</v>
      </c>
      <c r="G27" s="660">
        <v>0</v>
      </c>
      <c r="I27" s="660"/>
      <c r="J27" s="660">
        <v>0</v>
      </c>
      <c r="K27" s="660">
        <v>0</v>
      </c>
      <c r="M27" s="660">
        <v>0</v>
      </c>
    </row>
    <row r="28" spans="1:13">
      <c r="A28" s="603">
        <v>19</v>
      </c>
      <c r="B28" s="596">
        <v>19</v>
      </c>
      <c r="C28" s="597" t="s">
        <v>3144</v>
      </c>
      <c r="E28" s="659"/>
      <c r="F28" s="659">
        <v>0</v>
      </c>
      <c r="G28" s="659">
        <v>0</v>
      </c>
      <c r="I28" s="659"/>
      <c r="J28" s="659">
        <v>0</v>
      </c>
      <c r="K28" s="659">
        <v>0</v>
      </c>
      <c r="M28" s="659">
        <v>0</v>
      </c>
    </row>
    <row r="29" spans="1:13">
      <c r="A29" s="603">
        <v>20</v>
      </c>
      <c r="B29" s="588">
        <v>20</v>
      </c>
      <c r="C29" s="599" t="s">
        <v>3147</v>
      </c>
      <c r="E29" s="660"/>
      <c r="F29" s="660">
        <v>0</v>
      </c>
      <c r="G29" s="660">
        <v>0</v>
      </c>
      <c r="I29" s="660"/>
      <c r="J29" s="660">
        <v>0</v>
      </c>
      <c r="K29" s="660">
        <v>0</v>
      </c>
      <c r="M29" s="660">
        <v>0</v>
      </c>
    </row>
    <row r="30" spans="1:13">
      <c r="A30" s="603">
        <v>21</v>
      </c>
      <c r="B30" s="596">
        <v>21</v>
      </c>
      <c r="C30" s="597" t="s">
        <v>3271</v>
      </c>
      <c r="E30" s="659"/>
      <c r="F30" s="659">
        <v>0</v>
      </c>
      <c r="G30" s="659">
        <v>0</v>
      </c>
      <c r="I30" s="659"/>
      <c r="J30" s="659">
        <v>0</v>
      </c>
      <c r="K30" s="659">
        <v>0</v>
      </c>
      <c r="M30" s="659">
        <v>0</v>
      </c>
    </row>
    <row r="31" spans="1:13">
      <c r="A31" s="603">
        <v>22</v>
      </c>
      <c r="B31" s="588">
        <v>22</v>
      </c>
      <c r="C31" s="599" t="s">
        <v>3272</v>
      </c>
      <c r="E31" s="660"/>
      <c r="F31" s="660">
        <v>0</v>
      </c>
      <c r="G31" s="660">
        <v>0</v>
      </c>
      <c r="I31" s="660"/>
      <c r="J31" s="660">
        <v>0</v>
      </c>
      <c r="K31" s="660">
        <v>0</v>
      </c>
      <c r="M31" s="660">
        <v>0</v>
      </c>
    </row>
    <row r="32" spans="1:13">
      <c r="A32" s="603">
        <v>23</v>
      </c>
      <c r="B32" s="596">
        <v>23</v>
      </c>
      <c r="C32" s="597" t="s">
        <v>3273</v>
      </c>
      <c r="E32" s="659"/>
      <c r="F32" s="659">
        <v>0</v>
      </c>
      <c r="G32" s="659">
        <v>0</v>
      </c>
      <c r="I32" s="659"/>
      <c r="J32" s="659">
        <v>0</v>
      </c>
      <c r="K32" s="659">
        <v>0</v>
      </c>
      <c r="M32" s="659">
        <v>0</v>
      </c>
    </row>
    <row r="33" spans="1:13">
      <c r="A33" s="603">
        <v>24</v>
      </c>
      <c r="B33" s="588">
        <v>24</v>
      </c>
      <c r="C33" s="599" t="s">
        <v>3158</v>
      </c>
      <c r="E33" s="660"/>
      <c r="F33" s="660">
        <v>0</v>
      </c>
      <c r="G33" s="660">
        <v>0</v>
      </c>
      <c r="I33" s="660"/>
      <c r="J33" s="660">
        <v>0</v>
      </c>
      <c r="K33" s="660">
        <v>0</v>
      </c>
      <c r="M33" s="660">
        <v>0</v>
      </c>
    </row>
    <row r="34" spans="1:13" s="604" customFormat="1">
      <c r="A34" s="603">
        <v>25</v>
      </c>
      <c r="B34" s="596">
        <v>25</v>
      </c>
      <c r="C34" s="597" t="s">
        <v>3274</v>
      </c>
      <c r="D34" s="590"/>
      <c r="E34" s="659"/>
      <c r="F34" s="659">
        <v>0</v>
      </c>
      <c r="G34" s="659">
        <v>0</v>
      </c>
      <c r="H34" s="590"/>
      <c r="I34" s="659"/>
      <c r="J34" s="659">
        <v>0</v>
      </c>
      <c r="K34" s="659">
        <v>0</v>
      </c>
      <c r="L34" s="590"/>
      <c r="M34" s="659">
        <v>0</v>
      </c>
    </row>
    <row r="35" spans="1:13">
      <c r="A35" s="603">
        <v>26</v>
      </c>
      <c r="B35" s="588">
        <v>26</v>
      </c>
      <c r="C35" s="599" t="s">
        <v>3275</v>
      </c>
      <c r="E35" s="660"/>
      <c r="F35" s="660">
        <v>0</v>
      </c>
      <c r="G35" s="660">
        <v>0</v>
      </c>
      <c r="I35" s="660"/>
      <c r="J35" s="660">
        <v>0</v>
      </c>
      <c r="K35" s="660">
        <v>0</v>
      </c>
      <c r="M35" s="660">
        <v>0</v>
      </c>
    </row>
    <row r="36" spans="1:13">
      <c r="A36" s="603">
        <v>0</v>
      </c>
      <c r="B36" s="601"/>
      <c r="C36" s="602" t="s">
        <v>3276</v>
      </c>
      <c r="E36" s="658">
        <v>0</v>
      </c>
      <c r="F36" s="658">
        <v>0</v>
      </c>
      <c r="G36" s="658">
        <v>0</v>
      </c>
      <c r="I36" s="658">
        <v>0</v>
      </c>
      <c r="J36" s="658">
        <v>0</v>
      </c>
      <c r="K36" s="658">
        <v>0</v>
      </c>
      <c r="M36" s="658">
        <v>0</v>
      </c>
    </row>
    <row r="37" spans="1:13">
      <c r="A37" s="603">
        <v>27</v>
      </c>
      <c r="B37" s="596">
        <v>27</v>
      </c>
      <c r="C37" s="597" t="s">
        <v>3164</v>
      </c>
      <c r="E37" s="659"/>
      <c r="F37" s="659">
        <v>0</v>
      </c>
      <c r="G37" s="659">
        <v>0</v>
      </c>
      <c r="I37" s="659"/>
      <c r="J37" s="659">
        <v>0</v>
      </c>
      <c r="K37" s="659">
        <v>0</v>
      </c>
      <c r="M37" s="659">
        <v>0</v>
      </c>
    </row>
    <row r="38" spans="1:13">
      <c r="A38" s="603">
        <v>28</v>
      </c>
      <c r="B38" s="588">
        <v>28</v>
      </c>
      <c r="C38" s="599" t="s">
        <v>3167</v>
      </c>
      <c r="E38" s="660"/>
      <c r="F38" s="660">
        <v>0</v>
      </c>
      <c r="G38" s="660">
        <v>0</v>
      </c>
      <c r="I38" s="660"/>
      <c r="J38" s="660">
        <v>0</v>
      </c>
      <c r="K38" s="660">
        <v>0</v>
      </c>
      <c r="M38" s="660">
        <v>0</v>
      </c>
    </row>
    <row r="39" spans="1:13">
      <c r="A39" s="603">
        <v>29</v>
      </c>
      <c r="B39" s="596">
        <v>29</v>
      </c>
      <c r="C39" s="597" t="s">
        <v>3170</v>
      </c>
      <c r="E39" s="659"/>
      <c r="F39" s="659">
        <v>0</v>
      </c>
      <c r="G39" s="659">
        <v>0</v>
      </c>
      <c r="I39" s="659"/>
      <c r="J39" s="659">
        <v>0</v>
      </c>
      <c r="K39" s="659">
        <v>0</v>
      </c>
      <c r="M39" s="659">
        <v>0</v>
      </c>
    </row>
    <row r="40" spans="1:13">
      <c r="A40" s="603">
        <v>30</v>
      </c>
      <c r="B40" s="588">
        <v>30</v>
      </c>
      <c r="C40" s="599" t="s">
        <v>3173</v>
      </c>
      <c r="E40" s="660"/>
      <c r="F40" s="660">
        <v>0</v>
      </c>
      <c r="G40" s="660">
        <v>0</v>
      </c>
      <c r="I40" s="660"/>
      <c r="J40" s="660">
        <v>0</v>
      </c>
      <c r="K40" s="660">
        <v>0</v>
      </c>
      <c r="M40" s="660">
        <v>0</v>
      </c>
    </row>
    <row r="41" spans="1:13">
      <c r="A41" s="603">
        <v>31</v>
      </c>
      <c r="B41" s="596">
        <v>31</v>
      </c>
      <c r="C41" s="597" t="s">
        <v>3176</v>
      </c>
      <c r="E41" s="659"/>
      <c r="F41" s="659">
        <v>0</v>
      </c>
      <c r="G41" s="659">
        <v>0</v>
      </c>
      <c r="I41" s="659"/>
      <c r="J41" s="659">
        <v>0</v>
      </c>
      <c r="K41" s="659">
        <v>0</v>
      </c>
      <c r="M41" s="659">
        <v>0</v>
      </c>
    </row>
    <row r="42" spans="1:13">
      <c r="A42" s="603">
        <v>32</v>
      </c>
      <c r="B42" s="588">
        <v>32</v>
      </c>
      <c r="C42" s="599" t="s">
        <v>3178</v>
      </c>
      <c r="E42" s="660"/>
      <c r="F42" s="660">
        <v>0</v>
      </c>
      <c r="G42" s="660">
        <v>0</v>
      </c>
      <c r="I42" s="660"/>
      <c r="J42" s="660">
        <v>0</v>
      </c>
      <c r="K42" s="660">
        <v>0</v>
      </c>
      <c r="M42" s="660">
        <v>0</v>
      </c>
    </row>
    <row r="43" spans="1:13">
      <c r="A43" s="603">
        <v>33</v>
      </c>
      <c r="B43" s="596">
        <v>33</v>
      </c>
      <c r="C43" s="597" t="s">
        <v>3181</v>
      </c>
      <c r="E43" s="659"/>
      <c r="F43" s="659">
        <v>0</v>
      </c>
      <c r="G43" s="659">
        <v>0</v>
      </c>
      <c r="I43" s="659"/>
      <c r="J43" s="659">
        <v>0</v>
      </c>
      <c r="K43" s="659">
        <v>0</v>
      </c>
      <c r="M43" s="659">
        <v>0</v>
      </c>
    </row>
    <row r="44" spans="1:13">
      <c r="A44" s="603">
        <v>34</v>
      </c>
      <c r="B44" s="588">
        <v>34</v>
      </c>
      <c r="C44" s="599" t="s">
        <v>3184</v>
      </c>
      <c r="E44" s="660"/>
      <c r="F44" s="660">
        <v>0</v>
      </c>
      <c r="G44" s="660">
        <v>0</v>
      </c>
      <c r="I44" s="660"/>
      <c r="J44" s="660">
        <v>0</v>
      </c>
      <c r="K44" s="660">
        <v>0</v>
      </c>
      <c r="M44" s="660">
        <v>0</v>
      </c>
    </row>
    <row r="45" spans="1:13">
      <c r="A45" s="603">
        <v>35</v>
      </c>
      <c r="B45" s="596">
        <v>35</v>
      </c>
      <c r="C45" s="597" t="s">
        <v>3186</v>
      </c>
      <c r="E45" s="659"/>
      <c r="F45" s="659">
        <v>0</v>
      </c>
      <c r="G45" s="659">
        <v>0</v>
      </c>
      <c r="I45" s="659"/>
      <c r="J45" s="659">
        <v>0</v>
      </c>
      <c r="K45" s="659">
        <v>0</v>
      </c>
      <c r="M45" s="659">
        <v>0</v>
      </c>
    </row>
    <row r="46" spans="1:13">
      <c r="A46" s="603">
        <v>36</v>
      </c>
      <c r="B46" s="588">
        <v>36</v>
      </c>
      <c r="C46" s="599" t="s">
        <v>3189</v>
      </c>
      <c r="E46" s="660"/>
      <c r="F46" s="660">
        <v>0</v>
      </c>
      <c r="G46" s="660">
        <v>0</v>
      </c>
      <c r="I46" s="660"/>
      <c r="J46" s="660">
        <v>0</v>
      </c>
      <c r="K46" s="660">
        <v>0</v>
      </c>
      <c r="M46" s="660">
        <v>0</v>
      </c>
    </row>
    <row r="47" spans="1:13">
      <c r="A47" s="603">
        <v>37</v>
      </c>
      <c r="B47" s="596">
        <v>37</v>
      </c>
      <c r="C47" s="597" t="s">
        <v>3277</v>
      </c>
      <c r="E47" s="659"/>
      <c r="F47" s="659">
        <v>0</v>
      </c>
      <c r="G47" s="659">
        <v>0</v>
      </c>
      <c r="I47" s="659"/>
      <c r="J47" s="659">
        <v>0</v>
      </c>
      <c r="K47" s="659">
        <v>0</v>
      </c>
      <c r="M47" s="659">
        <v>0</v>
      </c>
    </row>
    <row r="48" spans="1:13">
      <c r="A48" s="603">
        <v>38</v>
      </c>
      <c r="B48" s="588">
        <v>38</v>
      </c>
      <c r="C48" s="599" t="s">
        <v>3278</v>
      </c>
      <c r="E48" s="660"/>
      <c r="F48" s="660">
        <v>0</v>
      </c>
      <c r="G48" s="660">
        <v>0</v>
      </c>
      <c r="I48" s="660"/>
      <c r="J48" s="660">
        <v>0</v>
      </c>
      <c r="K48" s="660">
        <v>0</v>
      </c>
      <c r="M48" s="660">
        <v>0</v>
      </c>
    </row>
    <row r="49" spans="1:13">
      <c r="A49" s="603">
        <v>39</v>
      </c>
      <c r="B49" s="596">
        <v>39</v>
      </c>
      <c r="C49" s="597" t="s">
        <v>3195</v>
      </c>
      <c r="E49" s="659"/>
      <c r="F49" s="659">
        <v>0</v>
      </c>
      <c r="G49" s="659">
        <v>0</v>
      </c>
      <c r="I49" s="659"/>
      <c r="J49" s="659">
        <v>0</v>
      </c>
      <c r="K49" s="659">
        <v>0</v>
      </c>
      <c r="M49" s="659">
        <v>0</v>
      </c>
    </row>
    <row r="50" spans="1:13">
      <c r="A50" s="603">
        <v>40</v>
      </c>
      <c r="B50" s="588">
        <v>40</v>
      </c>
      <c r="C50" s="599" t="s">
        <v>3198</v>
      </c>
      <c r="E50" s="660"/>
      <c r="F50" s="660">
        <v>0</v>
      </c>
      <c r="G50" s="660">
        <v>0</v>
      </c>
      <c r="I50" s="660"/>
      <c r="J50" s="660">
        <v>0</v>
      </c>
      <c r="K50" s="660">
        <v>0</v>
      </c>
      <c r="M50" s="660">
        <v>0</v>
      </c>
    </row>
    <row r="51" spans="1:13">
      <c r="A51" s="603">
        <v>41</v>
      </c>
      <c r="B51" s="596">
        <v>41</v>
      </c>
      <c r="C51" s="597" t="s">
        <v>3279</v>
      </c>
      <c r="E51" s="659"/>
      <c r="F51" s="659">
        <v>0</v>
      </c>
      <c r="G51" s="659">
        <v>0</v>
      </c>
      <c r="I51" s="659"/>
      <c r="J51" s="659">
        <v>0</v>
      </c>
      <c r="K51" s="659">
        <v>0</v>
      </c>
      <c r="M51" s="659">
        <v>0</v>
      </c>
    </row>
    <row r="52" spans="1:13">
      <c r="A52" s="603"/>
      <c r="B52" s="588">
        <v>42</v>
      </c>
      <c r="C52" s="599" t="s">
        <v>3280</v>
      </c>
      <c r="E52" s="660"/>
      <c r="F52" s="660">
        <v>0</v>
      </c>
      <c r="G52" s="660">
        <v>0</v>
      </c>
      <c r="I52" s="660"/>
      <c r="J52" s="660">
        <v>0</v>
      </c>
      <c r="K52" s="660">
        <v>0</v>
      </c>
      <c r="M52" s="660">
        <v>0</v>
      </c>
    </row>
    <row r="53" spans="1:13">
      <c r="A53" s="603">
        <v>0</v>
      </c>
      <c r="B53" s="601"/>
      <c r="C53" s="602" t="s">
        <v>3281</v>
      </c>
      <c r="E53" s="658">
        <v>0</v>
      </c>
      <c r="F53" s="658">
        <v>0</v>
      </c>
      <c r="G53" s="658">
        <v>0</v>
      </c>
      <c r="I53" s="658">
        <v>0</v>
      </c>
      <c r="J53" s="658">
        <v>0</v>
      </c>
      <c r="K53" s="658">
        <v>0</v>
      </c>
      <c r="M53" s="658">
        <v>0</v>
      </c>
    </row>
    <row r="54" spans="1:13">
      <c r="A54" s="603">
        <v>43</v>
      </c>
      <c r="B54" s="596">
        <v>43</v>
      </c>
      <c r="C54" s="597" t="s">
        <v>3282</v>
      </c>
      <c r="E54" s="659"/>
      <c r="F54" s="659">
        <v>0</v>
      </c>
      <c r="G54" s="659">
        <v>0</v>
      </c>
      <c r="I54" s="659"/>
      <c r="J54" s="659">
        <v>0</v>
      </c>
      <c r="K54" s="659">
        <v>0</v>
      </c>
      <c r="M54" s="659">
        <v>0</v>
      </c>
    </row>
    <row r="55" spans="1:13">
      <c r="A55" s="603">
        <v>44</v>
      </c>
      <c r="B55" s="588">
        <v>44</v>
      </c>
      <c r="C55" s="599" t="s">
        <v>3283</v>
      </c>
      <c r="E55" s="660"/>
      <c r="F55" s="660">
        <v>0</v>
      </c>
      <c r="G55" s="660">
        <v>0</v>
      </c>
      <c r="I55" s="660"/>
      <c r="J55" s="660">
        <v>0</v>
      </c>
      <c r="K55" s="660">
        <v>0</v>
      </c>
      <c r="M55" s="660">
        <v>0</v>
      </c>
    </row>
    <row r="56" spans="1:13">
      <c r="A56" s="603"/>
      <c r="B56" s="596">
        <v>45</v>
      </c>
      <c r="C56" s="597" t="s">
        <v>3284</v>
      </c>
      <c r="E56" s="659"/>
      <c r="F56" s="659">
        <v>0</v>
      </c>
      <c r="G56" s="659">
        <v>0</v>
      </c>
      <c r="I56" s="659"/>
      <c r="J56" s="659">
        <v>0</v>
      </c>
      <c r="K56" s="659">
        <v>0</v>
      </c>
      <c r="M56" s="659">
        <v>0</v>
      </c>
    </row>
    <row r="57" spans="1:13">
      <c r="A57" s="603"/>
      <c r="B57" s="588">
        <v>46</v>
      </c>
      <c r="C57" s="599" t="s">
        <v>3285</v>
      </c>
      <c r="E57" s="660"/>
      <c r="F57" s="660">
        <v>0</v>
      </c>
      <c r="G57" s="660">
        <v>0</v>
      </c>
      <c r="I57" s="660"/>
      <c r="J57" s="660">
        <v>0</v>
      </c>
      <c r="K57" s="660">
        <v>0</v>
      </c>
      <c r="M57" s="660">
        <v>0</v>
      </c>
    </row>
    <row r="58" spans="1:13">
      <c r="A58" s="603"/>
      <c r="B58" s="596">
        <v>47</v>
      </c>
      <c r="C58" s="597" t="s">
        <v>3286</v>
      </c>
      <c r="E58" s="659"/>
      <c r="F58" s="659">
        <v>0</v>
      </c>
      <c r="G58" s="659">
        <v>0</v>
      </c>
      <c r="I58" s="659"/>
      <c r="J58" s="659">
        <v>0</v>
      </c>
      <c r="K58" s="659">
        <v>0</v>
      </c>
      <c r="M58" s="659">
        <v>0</v>
      </c>
    </row>
    <row r="59" spans="1:13">
      <c r="A59" s="603"/>
      <c r="B59" s="588">
        <v>48</v>
      </c>
      <c r="C59" s="599" t="s">
        <v>3287</v>
      </c>
      <c r="E59" s="660"/>
      <c r="F59" s="660">
        <v>0</v>
      </c>
      <c r="G59" s="660">
        <v>0</v>
      </c>
      <c r="I59" s="660"/>
      <c r="J59" s="660">
        <v>0</v>
      </c>
      <c r="K59" s="660">
        <v>0</v>
      </c>
      <c r="M59" s="660">
        <v>0</v>
      </c>
    </row>
    <row r="60" spans="1:13">
      <c r="A60" s="603"/>
      <c r="B60" s="596">
        <v>49</v>
      </c>
      <c r="C60" s="597" t="s">
        <v>3288</v>
      </c>
      <c r="E60" s="659"/>
      <c r="F60" s="659">
        <v>0</v>
      </c>
      <c r="G60" s="659">
        <v>0</v>
      </c>
      <c r="I60" s="659"/>
      <c r="J60" s="659">
        <v>0</v>
      </c>
      <c r="K60" s="659">
        <v>0</v>
      </c>
      <c r="M60" s="659">
        <v>0</v>
      </c>
    </row>
    <row r="61" spans="1:13">
      <c r="A61" s="603"/>
      <c r="B61" s="588">
        <v>50</v>
      </c>
      <c r="C61" s="599" t="s">
        <v>3289</v>
      </c>
      <c r="E61" s="660"/>
      <c r="F61" s="660">
        <v>0</v>
      </c>
      <c r="G61" s="660">
        <v>0</v>
      </c>
      <c r="I61" s="660"/>
      <c r="J61" s="660">
        <v>0</v>
      </c>
      <c r="K61" s="660">
        <v>0</v>
      </c>
      <c r="M61" s="660">
        <v>0</v>
      </c>
    </row>
    <row r="62" spans="1:13">
      <c r="A62" s="603"/>
      <c r="B62" s="596">
        <v>51</v>
      </c>
      <c r="C62" s="597" t="s">
        <v>3218</v>
      </c>
      <c r="E62" s="659"/>
      <c r="F62" s="659">
        <v>0</v>
      </c>
      <c r="G62" s="659">
        <v>0</v>
      </c>
      <c r="I62" s="659"/>
      <c r="J62" s="659">
        <v>0</v>
      </c>
      <c r="K62" s="659">
        <v>0</v>
      </c>
      <c r="M62" s="659">
        <v>0</v>
      </c>
    </row>
    <row r="63" spans="1:13">
      <c r="A63" s="603">
        <v>0</v>
      </c>
      <c r="B63" s="601"/>
      <c r="C63" s="602" t="s">
        <v>3290</v>
      </c>
      <c r="E63" s="658">
        <v>0</v>
      </c>
      <c r="F63" s="658">
        <v>0</v>
      </c>
      <c r="G63" s="658">
        <v>0</v>
      </c>
      <c r="I63" s="658">
        <v>0</v>
      </c>
      <c r="J63" s="658">
        <v>0</v>
      </c>
      <c r="K63" s="658">
        <v>0</v>
      </c>
      <c r="M63" s="658">
        <v>0</v>
      </c>
    </row>
    <row r="64" spans="1:13">
      <c r="A64" s="603">
        <v>52</v>
      </c>
      <c r="B64" s="588">
        <v>52</v>
      </c>
      <c r="C64" s="599" t="s">
        <v>3222</v>
      </c>
      <c r="E64" s="660"/>
      <c r="F64" s="660">
        <v>0</v>
      </c>
      <c r="G64" s="660">
        <v>0</v>
      </c>
      <c r="I64" s="660"/>
      <c r="J64" s="660">
        <v>0</v>
      </c>
      <c r="K64" s="660">
        <v>0</v>
      </c>
      <c r="M64" s="660">
        <v>0</v>
      </c>
    </row>
    <row r="65" spans="1:13">
      <c r="A65" s="603">
        <v>53</v>
      </c>
      <c r="B65" s="596">
        <v>53</v>
      </c>
      <c r="C65" s="597" t="s">
        <v>3225</v>
      </c>
      <c r="E65" s="659"/>
      <c r="F65" s="659">
        <v>0</v>
      </c>
      <c r="G65" s="659">
        <v>0</v>
      </c>
      <c r="I65" s="659"/>
      <c r="J65" s="659">
        <v>0</v>
      </c>
      <c r="K65" s="659">
        <v>0</v>
      </c>
      <c r="M65" s="659">
        <v>0</v>
      </c>
    </row>
    <row r="66" spans="1:13">
      <c r="A66" s="603">
        <v>54</v>
      </c>
      <c r="B66" s="588">
        <v>54</v>
      </c>
      <c r="C66" s="599" t="s">
        <v>3291</v>
      </c>
      <c r="E66" s="660"/>
      <c r="F66" s="660">
        <v>0</v>
      </c>
      <c r="G66" s="660">
        <v>0</v>
      </c>
      <c r="I66" s="660"/>
      <c r="J66" s="660">
        <v>0</v>
      </c>
      <c r="K66" s="660">
        <v>0</v>
      </c>
      <c r="M66" s="660">
        <v>0</v>
      </c>
    </row>
    <row r="67" spans="1:13">
      <c r="A67" s="603"/>
      <c r="B67" s="601"/>
      <c r="C67" s="602" t="s">
        <v>3292</v>
      </c>
      <c r="E67" s="658">
        <v>0</v>
      </c>
      <c r="F67" s="658">
        <v>0</v>
      </c>
      <c r="G67" s="658">
        <v>0</v>
      </c>
      <c r="I67" s="658">
        <v>0</v>
      </c>
      <c r="J67" s="658">
        <v>0</v>
      </c>
      <c r="K67" s="658">
        <v>0</v>
      </c>
      <c r="M67" s="658">
        <v>0</v>
      </c>
    </row>
    <row r="68" spans="1:13">
      <c r="A68" s="603"/>
      <c r="B68" s="596">
        <v>55</v>
      </c>
      <c r="C68" s="597" t="s">
        <v>3231</v>
      </c>
      <c r="E68" s="659"/>
      <c r="F68" s="659">
        <v>0</v>
      </c>
      <c r="G68" s="659">
        <v>0</v>
      </c>
      <c r="I68" s="659"/>
      <c r="J68" s="659">
        <v>0</v>
      </c>
      <c r="K68" s="659">
        <v>0</v>
      </c>
      <c r="M68" s="659">
        <v>0</v>
      </c>
    </row>
    <row r="69" spans="1:13">
      <c r="A69" s="603"/>
      <c r="B69" s="588">
        <v>56</v>
      </c>
      <c r="C69" s="599" t="s">
        <v>3293</v>
      </c>
      <c r="E69" s="660"/>
      <c r="F69" s="660">
        <v>0</v>
      </c>
      <c r="G69" s="660">
        <v>0</v>
      </c>
      <c r="I69" s="660"/>
      <c r="J69" s="660">
        <v>0</v>
      </c>
      <c r="K69" s="660">
        <v>0</v>
      </c>
      <c r="M69" s="660">
        <v>0</v>
      </c>
    </row>
    <row r="70" spans="1:13">
      <c r="A70" s="603">
        <v>0</v>
      </c>
      <c r="B70" s="601"/>
      <c r="C70" s="602" t="s">
        <v>340</v>
      </c>
      <c r="E70" s="658">
        <v>0</v>
      </c>
      <c r="F70" s="658">
        <v>0</v>
      </c>
      <c r="G70" s="658">
        <v>0</v>
      </c>
      <c r="I70" s="658">
        <v>0</v>
      </c>
      <c r="J70" s="658">
        <v>0</v>
      </c>
      <c r="K70" s="658">
        <v>0</v>
      </c>
      <c r="M70" s="658">
        <v>0</v>
      </c>
    </row>
    <row r="71" spans="1:13">
      <c r="A71" s="603">
        <v>57</v>
      </c>
      <c r="B71" s="596">
        <v>57</v>
      </c>
      <c r="C71" s="597" t="s">
        <v>3294</v>
      </c>
      <c r="E71" s="659"/>
      <c r="F71" s="659">
        <v>0</v>
      </c>
      <c r="G71" s="659">
        <v>0</v>
      </c>
      <c r="I71" s="659"/>
      <c r="J71" s="659">
        <v>0</v>
      </c>
      <c r="K71" s="659">
        <v>0</v>
      </c>
      <c r="M71" s="659">
        <v>0</v>
      </c>
    </row>
    <row r="72" spans="1:13">
      <c r="A72" s="603">
        <v>0</v>
      </c>
      <c r="B72" s="601"/>
      <c r="C72" s="602" t="s">
        <v>3295</v>
      </c>
      <c r="E72" s="658">
        <v>0</v>
      </c>
      <c r="F72" s="658">
        <v>0</v>
      </c>
      <c r="G72" s="658">
        <v>0</v>
      </c>
      <c r="I72" s="658">
        <v>0</v>
      </c>
      <c r="J72" s="658">
        <v>0</v>
      </c>
      <c r="K72" s="658">
        <v>0</v>
      </c>
      <c r="M72" s="658">
        <v>0</v>
      </c>
    </row>
    <row r="73" spans="1:13">
      <c r="A73" s="603">
        <v>58</v>
      </c>
      <c r="B73" s="588">
        <v>58</v>
      </c>
      <c r="C73" s="599" t="s">
        <v>3296</v>
      </c>
      <c r="E73" s="660"/>
      <c r="F73" s="660">
        <v>0</v>
      </c>
      <c r="G73" s="660">
        <v>0</v>
      </c>
      <c r="I73" s="660"/>
      <c r="J73" s="660">
        <v>0</v>
      </c>
      <c r="K73" s="660">
        <v>0</v>
      </c>
      <c r="M73" s="660">
        <v>0</v>
      </c>
    </row>
    <row r="74" spans="1:13">
      <c r="A74" s="603"/>
      <c r="B74" s="601"/>
      <c r="C74" s="602" t="s">
        <v>3297</v>
      </c>
      <c r="E74" s="658">
        <v>0</v>
      </c>
      <c r="F74" s="658">
        <v>0</v>
      </c>
      <c r="G74" s="658">
        <v>0</v>
      </c>
      <c r="I74" s="658">
        <v>0</v>
      </c>
      <c r="J74" s="658">
        <v>0</v>
      </c>
      <c r="K74" s="658">
        <v>0</v>
      </c>
      <c r="M74" s="658">
        <v>0</v>
      </c>
    </row>
    <row r="75" spans="1:13">
      <c r="A75" s="603"/>
      <c r="B75" s="588">
        <v>59</v>
      </c>
      <c r="C75" s="599" t="s">
        <v>3298</v>
      </c>
      <c r="E75" s="660"/>
      <c r="F75" s="660">
        <v>0</v>
      </c>
      <c r="G75" s="660">
        <v>0</v>
      </c>
      <c r="I75" s="660"/>
      <c r="J75" s="660">
        <v>0</v>
      </c>
      <c r="K75" s="660">
        <v>0</v>
      </c>
      <c r="M75" s="660"/>
    </row>
    <row r="76" spans="1:13">
      <c r="A76" s="603"/>
      <c r="B76" s="601"/>
      <c r="C76" s="602" t="s">
        <v>3299</v>
      </c>
      <c r="E76" s="658">
        <v>0</v>
      </c>
      <c r="F76" s="658">
        <v>0</v>
      </c>
      <c r="G76" s="658">
        <v>0</v>
      </c>
      <c r="I76" s="658">
        <v>0</v>
      </c>
      <c r="J76" s="658">
        <v>0</v>
      </c>
      <c r="K76" s="658">
        <v>0</v>
      </c>
      <c r="M76" s="658">
        <v>0</v>
      </c>
    </row>
    <row r="77" spans="1:13">
      <c r="A77" s="603"/>
      <c r="B77" s="588">
        <v>60</v>
      </c>
      <c r="C77" s="599" t="s">
        <v>3300</v>
      </c>
      <c r="E77" s="660"/>
      <c r="F77" s="660">
        <v>0</v>
      </c>
      <c r="G77" s="660">
        <v>0</v>
      </c>
      <c r="I77" s="660"/>
      <c r="J77" s="660">
        <v>0</v>
      </c>
      <c r="K77" s="660">
        <v>0</v>
      </c>
      <c r="M77" s="660"/>
    </row>
    <row r="78" spans="1:13">
      <c r="A78" s="603"/>
      <c r="B78" s="601"/>
      <c r="C78" s="602" t="s">
        <v>3301</v>
      </c>
      <c r="E78" s="658">
        <v>0</v>
      </c>
      <c r="F78" s="658">
        <v>0</v>
      </c>
      <c r="G78" s="658">
        <v>0</v>
      </c>
      <c r="I78" s="658">
        <v>0</v>
      </c>
      <c r="J78" s="658">
        <v>0</v>
      </c>
      <c r="K78" s="658">
        <v>0</v>
      </c>
      <c r="M78" s="658">
        <v>0</v>
      </c>
    </row>
    <row r="79" spans="1:13">
      <c r="A79" s="603"/>
      <c r="B79" s="596">
        <v>61</v>
      </c>
      <c r="C79" s="597" t="s">
        <v>3302</v>
      </c>
      <c r="E79" s="659"/>
      <c r="F79" s="659"/>
      <c r="G79" s="659"/>
      <c r="I79" s="659"/>
      <c r="J79" s="659"/>
      <c r="K79" s="659"/>
      <c r="M79" s="659"/>
    </row>
  </sheetData>
  <mergeCells count="5">
    <mergeCell ref="B3:B4"/>
    <mergeCell ref="C3:C4"/>
    <mergeCell ref="E3:G3"/>
    <mergeCell ref="I3:K3"/>
    <mergeCell ref="M3:M4"/>
  </mergeCells>
  <hyperlinks>
    <hyperlink ref="A1" location="Sommaire!A1" display="Sommaire!A1" xr:uid="{00000000-0004-0000-1E00-000000000000}"/>
  </hyperlinks>
  <pageMargins left="0.7" right="0.7" top="0.75" bottom="0.75" header="0.3" footer="0.3"/>
  <pageSetup paperSize="9"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M79"/>
  <sheetViews>
    <sheetView showGridLines="0" zoomScaleNormal="100" workbookViewId="0">
      <selection activeCell="B1" sqref="B1"/>
    </sheetView>
  </sheetViews>
  <sheetFormatPr baseColWidth="10" defaultColWidth="11.33203125" defaultRowHeight="12"/>
  <cols>
    <col min="1" max="1" width="10.1640625" style="588" bestFit="1" customWidth="1"/>
    <col min="2" max="2" width="19" style="588" bestFit="1" customWidth="1"/>
    <col min="3" max="3" width="54.5" style="605" bestFit="1" customWidth="1"/>
    <col min="4" max="4" width="0.6640625" style="590" customWidth="1"/>
    <col min="5" max="5" width="16.33203125" style="590" bestFit="1" customWidth="1"/>
    <col min="6" max="6" width="10.1640625" style="588" bestFit="1" customWidth="1"/>
    <col min="7" max="7" width="12.6640625" style="590" bestFit="1" customWidth="1"/>
    <col min="8" max="8" width="0.6640625" style="590" customWidth="1"/>
    <col min="9" max="9" width="12.6640625" style="590" bestFit="1" customWidth="1"/>
    <col min="10" max="10" width="10.6640625" style="590" bestFit="1" customWidth="1"/>
    <col min="11" max="11" width="12.6640625" style="590" bestFit="1" customWidth="1"/>
    <col min="12" max="12" width="0.6640625" style="590" customWidth="1"/>
    <col min="13" max="13" width="13.83203125" style="590" bestFit="1" customWidth="1"/>
    <col min="14" max="16384" width="11.33203125" style="590"/>
  </cols>
  <sheetData>
    <row r="1" spans="1:13" ht="36">
      <c r="A1" s="661" t="s">
        <v>140</v>
      </c>
      <c r="C1" s="589" t="s">
        <v>3249</v>
      </c>
      <c r="E1" s="591" t="s">
        <v>252</v>
      </c>
      <c r="F1" s="591">
        <v>196784</v>
      </c>
      <c r="G1" s="592"/>
      <c r="J1" s="592" t="s">
        <v>3251</v>
      </c>
      <c r="K1" s="592">
        <v>2023</v>
      </c>
    </row>
    <row r="2" spans="1:13">
      <c r="C2" s="593"/>
      <c r="F2" s="590"/>
      <c r="I2" s="590" t="s">
        <v>3252</v>
      </c>
      <c r="J2" s="594">
        <v>604.32574999999997</v>
      </c>
    </row>
    <row r="3" spans="1:13">
      <c r="B3" s="753" t="s">
        <v>143</v>
      </c>
      <c r="C3" s="754" t="s">
        <v>3253</v>
      </c>
      <c r="E3" s="755" t="s">
        <v>2084</v>
      </c>
      <c r="F3" s="755"/>
      <c r="G3" s="755"/>
      <c r="I3" s="755" t="s">
        <v>3254</v>
      </c>
      <c r="J3" s="755"/>
      <c r="K3" s="755"/>
      <c r="M3" s="756" t="s">
        <v>3255</v>
      </c>
    </row>
    <row r="4" spans="1:13">
      <c r="B4" s="753"/>
      <c r="C4" s="754"/>
      <c r="E4" s="595" t="s">
        <v>3256</v>
      </c>
      <c r="F4" s="595" t="s">
        <v>3257</v>
      </c>
      <c r="G4" s="595" t="s">
        <v>3258</v>
      </c>
      <c r="I4" s="595" t="s">
        <v>3256</v>
      </c>
      <c r="J4" s="595" t="s">
        <v>3257</v>
      </c>
      <c r="K4" s="595" t="s">
        <v>3258</v>
      </c>
      <c r="M4" s="756"/>
    </row>
    <row r="5" spans="1:13">
      <c r="B5" s="655" t="s">
        <v>3092</v>
      </c>
      <c r="C5" s="656"/>
      <c r="E5" s="657">
        <v>0</v>
      </c>
      <c r="F5" s="657">
        <v>0</v>
      </c>
      <c r="G5" s="657">
        <v>0</v>
      </c>
      <c r="I5" s="657">
        <v>0</v>
      </c>
      <c r="J5" s="657">
        <v>0</v>
      </c>
      <c r="K5" s="657">
        <v>0</v>
      </c>
      <c r="M5" s="657">
        <v>0</v>
      </c>
    </row>
    <row r="6" spans="1:13">
      <c r="B6" s="596">
        <v>1</v>
      </c>
      <c r="C6" s="597" t="s">
        <v>3259</v>
      </c>
      <c r="E6" s="598"/>
      <c r="F6" s="598">
        <v>0</v>
      </c>
      <c r="G6" s="598">
        <v>0</v>
      </c>
      <c r="I6" s="598"/>
      <c r="J6" s="598">
        <v>0</v>
      </c>
      <c r="K6" s="598">
        <v>0</v>
      </c>
      <c r="M6" s="598">
        <v>0</v>
      </c>
    </row>
    <row r="7" spans="1:13">
      <c r="B7" s="588">
        <v>2</v>
      </c>
      <c r="C7" s="599" t="s">
        <v>3260</v>
      </c>
      <c r="E7" s="600"/>
      <c r="F7" s="600">
        <v>0</v>
      </c>
      <c r="G7" s="600">
        <v>0</v>
      </c>
      <c r="I7" s="600"/>
      <c r="J7" s="600">
        <v>0</v>
      </c>
      <c r="K7" s="600">
        <v>0</v>
      </c>
      <c r="M7" s="600">
        <v>0</v>
      </c>
    </row>
    <row r="8" spans="1:13">
      <c r="B8" s="655" t="s">
        <v>3101</v>
      </c>
      <c r="C8" s="656"/>
      <c r="E8" s="657">
        <v>2898775425</v>
      </c>
      <c r="F8" s="657">
        <v>0</v>
      </c>
      <c r="G8" s="657">
        <v>2898775425</v>
      </c>
      <c r="I8" s="657">
        <v>3358845014</v>
      </c>
      <c r="J8" s="657">
        <v>13000000</v>
      </c>
      <c r="K8" s="657">
        <v>3371845014</v>
      </c>
      <c r="M8" s="657">
        <v>-473069589</v>
      </c>
    </row>
    <row r="9" spans="1:13">
      <c r="B9" s="601"/>
      <c r="C9" s="602" t="s">
        <v>1244</v>
      </c>
      <c r="E9" s="658">
        <v>740370820</v>
      </c>
      <c r="F9" s="658">
        <v>0</v>
      </c>
      <c r="G9" s="658">
        <v>740370820</v>
      </c>
      <c r="I9" s="658">
        <v>734078960</v>
      </c>
      <c r="J9" s="658">
        <v>0</v>
      </c>
      <c r="K9" s="658">
        <v>734078960</v>
      </c>
      <c r="M9" s="658">
        <v>6291860</v>
      </c>
    </row>
    <row r="10" spans="1:13">
      <c r="A10" s="603">
        <v>3</v>
      </c>
      <c r="B10" s="596">
        <v>3</v>
      </c>
      <c r="C10" s="597" t="s">
        <v>3261</v>
      </c>
      <c r="E10" s="659">
        <v>728185665</v>
      </c>
      <c r="F10" s="659">
        <v>0</v>
      </c>
      <c r="G10" s="659">
        <v>728185665</v>
      </c>
      <c r="I10" s="659">
        <v>727645665</v>
      </c>
      <c r="J10" s="659">
        <v>0</v>
      </c>
      <c r="K10" s="659">
        <v>727645665</v>
      </c>
      <c r="M10" s="659">
        <v>540000</v>
      </c>
    </row>
    <row r="11" spans="1:13">
      <c r="A11" s="603">
        <v>4</v>
      </c>
      <c r="B11" s="588">
        <v>4</v>
      </c>
      <c r="C11" s="599" t="s">
        <v>3106</v>
      </c>
      <c r="E11" s="660"/>
      <c r="F11" s="660">
        <v>0</v>
      </c>
      <c r="G11" s="660">
        <v>0</v>
      </c>
      <c r="I11" s="660"/>
      <c r="J11" s="660">
        <v>0</v>
      </c>
      <c r="K11" s="660">
        <v>0</v>
      </c>
      <c r="M11" s="660">
        <v>0</v>
      </c>
    </row>
    <row r="12" spans="1:13">
      <c r="A12" s="603">
        <v>5</v>
      </c>
      <c r="B12" s="596">
        <v>5</v>
      </c>
      <c r="C12" s="597" t="s">
        <v>3262</v>
      </c>
      <c r="E12" s="659"/>
      <c r="F12" s="659">
        <v>0</v>
      </c>
      <c r="G12" s="659">
        <v>0</v>
      </c>
      <c r="I12" s="659"/>
      <c r="J12" s="659">
        <v>0</v>
      </c>
      <c r="K12" s="659">
        <v>0</v>
      </c>
      <c r="M12" s="659">
        <v>0</v>
      </c>
    </row>
    <row r="13" spans="1:13">
      <c r="A13" s="603">
        <v>6</v>
      </c>
      <c r="B13" s="588">
        <v>6</v>
      </c>
      <c r="C13" s="599" t="s">
        <v>3263</v>
      </c>
      <c r="E13" s="660"/>
      <c r="F13" s="660">
        <v>0</v>
      </c>
      <c r="G13" s="660">
        <v>0</v>
      </c>
      <c r="I13" s="660"/>
      <c r="J13" s="660">
        <v>0</v>
      </c>
      <c r="K13" s="660">
        <v>0</v>
      </c>
      <c r="M13" s="660">
        <v>0</v>
      </c>
    </row>
    <row r="14" spans="1:13">
      <c r="A14" s="603">
        <v>7</v>
      </c>
      <c r="B14" s="596">
        <v>7</v>
      </c>
      <c r="C14" s="597" t="s">
        <v>3114</v>
      </c>
      <c r="E14" s="659">
        <v>12185155</v>
      </c>
      <c r="F14" s="659">
        <v>0</v>
      </c>
      <c r="G14" s="659">
        <v>12185155</v>
      </c>
      <c r="I14" s="659">
        <v>6433295</v>
      </c>
      <c r="J14" s="659">
        <v>0</v>
      </c>
      <c r="K14" s="659">
        <v>6433295</v>
      </c>
      <c r="M14" s="659">
        <v>5751860</v>
      </c>
    </row>
    <row r="15" spans="1:13">
      <c r="A15" s="603">
        <v>0</v>
      </c>
      <c r="B15" s="601"/>
      <c r="C15" s="602" t="s">
        <v>1253</v>
      </c>
      <c r="E15" s="658">
        <v>0</v>
      </c>
      <c r="F15" s="658">
        <v>0</v>
      </c>
      <c r="G15" s="658">
        <v>0</v>
      </c>
      <c r="I15" s="658">
        <v>0</v>
      </c>
      <c r="J15" s="658">
        <v>0</v>
      </c>
      <c r="K15" s="658">
        <v>0</v>
      </c>
      <c r="M15" s="658">
        <v>0</v>
      </c>
    </row>
    <row r="16" spans="1:13">
      <c r="A16" s="603">
        <v>8</v>
      </c>
      <c r="B16" s="588">
        <v>8</v>
      </c>
      <c r="C16" s="599" t="s">
        <v>3264</v>
      </c>
      <c r="E16" s="660"/>
      <c r="F16" s="660">
        <v>0</v>
      </c>
      <c r="G16" s="660">
        <v>0</v>
      </c>
      <c r="I16" s="660"/>
      <c r="J16" s="660">
        <v>0</v>
      </c>
      <c r="K16" s="660">
        <v>0</v>
      </c>
      <c r="M16" s="660">
        <v>0</v>
      </c>
    </row>
    <row r="17" spans="1:13">
      <c r="A17" s="603">
        <v>9</v>
      </c>
      <c r="B17" s="596">
        <v>9</v>
      </c>
      <c r="C17" s="597" t="s">
        <v>3265</v>
      </c>
      <c r="E17" s="659"/>
      <c r="F17" s="659">
        <v>0</v>
      </c>
      <c r="G17" s="659">
        <v>0</v>
      </c>
      <c r="I17" s="659"/>
      <c r="J17" s="659">
        <v>0</v>
      </c>
      <c r="K17" s="659">
        <v>0</v>
      </c>
      <c r="M17" s="659">
        <v>0</v>
      </c>
    </row>
    <row r="18" spans="1:13">
      <c r="A18" s="603"/>
      <c r="B18" s="588">
        <v>10</v>
      </c>
      <c r="C18" s="599" t="s">
        <v>3122</v>
      </c>
      <c r="E18" s="660"/>
      <c r="F18" s="660">
        <v>0</v>
      </c>
      <c r="G18" s="660">
        <v>0</v>
      </c>
      <c r="I18" s="660"/>
      <c r="J18" s="660">
        <v>0</v>
      </c>
      <c r="K18" s="660">
        <v>0</v>
      </c>
      <c r="M18" s="660">
        <v>0</v>
      </c>
    </row>
    <row r="19" spans="1:13">
      <c r="A19" s="603">
        <v>11</v>
      </c>
      <c r="B19" s="596">
        <v>11</v>
      </c>
      <c r="C19" s="597" t="s">
        <v>3124</v>
      </c>
      <c r="E19" s="659"/>
      <c r="F19" s="659">
        <v>0</v>
      </c>
      <c r="G19" s="659">
        <v>0</v>
      </c>
      <c r="I19" s="659"/>
      <c r="J19" s="659">
        <v>0</v>
      </c>
      <c r="K19" s="659">
        <v>0</v>
      </c>
      <c r="M19" s="659">
        <v>0</v>
      </c>
    </row>
    <row r="20" spans="1:13">
      <c r="A20" s="603">
        <v>12</v>
      </c>
      <c r="B20" s="588">
        <v>12</v>
      </c>
      <c r="C20" s="599" t="s">
        <v>3266</v>
      </c>
      <c r="E20" s="660"/>
      <c r="F20" s="660">
        <v>0</v>
      </c>
      <c r="G20" s="660">
        <v>0</v>
      </c>
      <c r="I20" s="660"/>
      <c r="J20" s="660">
        <v>0</v>
      </c>
      <c r="K20" s="660">
        <v>0</v>
      </c>
      <c r="M20" s="660">
        <v>0</v>
      </c>
    </row>
    <row r="21" spans="1:13">
      <c r="A21" s="603">
        <v>13</v>
      </c>
      <c r="B21" s="596">
        <v>13</v>
      </c>
      <c r="C21" s="597" t="s">
        <v>3267</v>
      </c>
      <c r="E21" s="659"/>
      <c r="F21" s="659">
        <v>0</v>
      </c>
      <c r="G21" s="659">
        <v>0</v>
      </c>
      <c r="I21" s="659"/>
      <c r="J21" s="659">
        <v>0</v>
      </c>
      <c r="K21" s="659">
        <v>0</v>
      </c>
      <c r="M21" s="659">
        <v>0</v>
      </c>
    </row>
    <row r="22" spans="1:13">
      <c r="A22" s="603">
        <v>14</v>
      </c>
      <c r="B22" s="588">
        <v>14</v>
      </c>
      <c r="C22" s="599" t="s">
        <v>3268</v>
      </c>
      <c r="E22" s="660"/>
      <c r="F22" s="660">
        <v>0</v>
      </c>
      <c r="G22" s="660">
        <v>0</v>
      </c>
      <c r="I22" s="660"/>
      <c r="J22" s="660">
        <v>0</v>
      </c>
      <c r="K22" s="660">
        <v>0</v>
      </c>
      <c r="M22" s="660">
        <v>0</v>
      </c>
    </row>
    <row r="23" spans="1:13">
      <c r="A23" s="603">
        <v>15</v>
      </c>
      <c r="B23" s="596">
        <v>15</v>
      </c>
      <c r="C23" s="597" t="s">
        <v>3133</v>
      </c>
      <c r="E23" s="659"/>
      <c r="F23" s="659">
        <v>0</v>
      </c>
      <c r="G23" s="659">
        <v>0</v>
      </c>
      <c r="I23" s="659"/>
      <c r="J23" s="659">
        <v>0</v>
      </c>
      <c r="K23" s="659">
        <v>0</v>
      </c>
      <c r="M23" s="659">
        <v>0</v>
      </c>
    </row>
    <row r="24" spans="1:13">
      <c r="A24" s="603">
        <v>16</v>
      </c>
      <c r="B24" s="588">
        <v>16</v>
      </c>
      <c r="C24" s="599" t="s">
        <v>3136</v>
      </c>
      <c r="E24" s="660"/>
      <c r="F24" s="660">
        <v>0</v>
      </c>
      <c r="G24" s="660">
        <v>0</v>
      </c>
      <c r="I24" s="660"/>
      <c r="J24" s="660">
        <v>0</v>
      </c>
      <c r="K24" s="660">
        <v>0</v>
      </c>
      <c r="M24" s="660">
        <v>0</v>
      </c>
    </row>
    <row r="25" spans="1:13">
      <c r="A25" s="603">
        <v>0</v>
      </c>
      <c r="B25" s="601"/>
      <c r="C25" s="602" t="s">
        <v>3269</v>
      </c>
      <c r="E25" s="658">
        <v>107358873</v>
      </c>
      <c r="F25" s="658">
        <v>0</v>
      </c>
      <c r="G25" s="658">
        <v>107358873</v>
      </c>
      <c r="I25" s="658">
        <v>107258883</v>
      </c>
      <c r="J25" s="658">
        <v>0</v>
      </c>
      <c r="K25" s="658">
        <v>107258883</v>
      </c>
      <c r="M25" s="658">
        <v>99990</v>
      </c>
    </row>
    <row r="26" spans="1:13">
      <c r="A26" s="603">
        <v>17</v>
      </c>
      <c r="B26" s="596">
        <v>17</v>
      </c>
      <c r="C26" s="597" t="s">
        <v>3270</v>
      </c>
      <c r="E26" s="659"/>
      <c r="F26" s="659">
        <v>0</v>
      </c>
      <c r="G26" s="659">
        <v>0</v>
      </c>
      <c r="I26" s="659"/>
      <c r="J26" s="659">
        <v>0</v>
      </c>
      <c r="K26" s="659">
        <v>0</v>
      </c>
      <c r="M26" s="659">
        <v>0</v>
      </c>
    </row>
    <row r="27" spans="1:13">
      <c r="A27" s="603">
        <v>18</v>
      </c>
      <c r="B27" s="588">
        <v>18</v>
      </c>
      <c r="C27" s="599" t="s">
        <v>3141</v>
      </c>
      <c r="E27" s="660"/>
      <c r="F27" s="660">
        <v>0</v>
      </c>
      <c r="G27" s="660">
        <v>0</v>
      </c>
      <c r="I27" s="660"/>
      <c r="J27" s="660">
        <v>0</v>
      </c>
      <c r="K27" s="660">
        <v>0</v>
      </c>
      <c r="M27" s="660">
        <v>0</v>
      </c>
    </row>
    <row r="28" spans="1:13">
      <c r="A28" s="603">
        <v>19</v>
      </c>
      <c r="B28" s="596">
        <v>19</v>
      </c>
      <c r="C28" s="597" t="s">
        <v>3144</v>
      </c>
      <c r="E28" s="659"/>
      <c r="F28" s="659">
        <v>0</v>
      </c>
      <c r="G28" s="659">
        <v>0</v>
      </c>
      <c r="I28" s="659"/>
      <c r="J28" s="659">
        <v>0</v>
      </c>
      <c r="K28" s="659">
        <v>0</v>
      </c>
      <c r="M28" s="659">
        <v>0</v>
      </c>
    </row>
    <row r="29" spans="1:13">
      <c r="A29" s="603">
        <v>20</v>
      </c>
      <c r="B29" s="588">
        <v>20</v>
      </c>
      <c r="C29" s="599" t="s">
        <v>3147</v>
      </c>
      <c r="E29" s="660"/>
      <c r="F29" s="660">
        <v>0</v>
      </c>
      <c r="G29" s="660">
        <v>0</v>
      </c>
      <c r="I29" s="660"/>
      <c r="J29" s="660">
        <v>0</v>
      </c>
      <c r="K29" s="660">
        <v>0</v>
      </c>
      <c r="M29" s="660">
        <v>0</v>
      </c>
    </row>
    <row r="30" spans="1:13">
      <c r="A30" s="603">
        <v>21</v>
      </c>
      <c r="B30" s="596">
        <v>21</v>
      </c>
      <c r="C30" s="597" t="s">
        <v>3271</v>
      </c>
      <c r="E30" s="659"/>
      <c r="F30" s="659">
        <v>0</v>
      </c>
      <c r="G30" s="659">
        <v>0</v>
      </c>
      <c r="I30" s="659"/>
      <c r="J30" s="659">
        <v>0</v>
      </c>
      <c r="K30" s="659">
        <v>0</v>
      </c>
      <c r="M30" s="659">
        <v>0</v>
      </c>
    </row>
    <row r="31" spans="1:13">
      <c r="A31" s="603">
        <v>22</v>
      </c>
      <c r="B31" s="588">
        <v>22</v>
      </c>
      <c r="C31" s="599" t="s">
        <v>3272</v>
      </c>
      <c r="E31" s="660"/>
      <c r="F31" s="660">
        <v>0</v>
      </c>
      <c r="G31" s="660">
        <v>0</v>
      </c>
      <c r="I31" s="660"/>
      <c r="J31" s="660">
        <v>0</v>
      </c>
      <c r="K31" s="660">
        <v>0</v>
      </c>
      <c r="M31" s="660">
        <v>0</v>
      </c>
    </row>
    <row r="32" spans="1:13">
      <c r="A32" s="603">
        <v>23</v>
      </c>
      <c r="B32" s="596">
        <v>23</v>
      </c>
      <c r="C32" s="597" t="s">
        <v>3273</v>
      </c>
      <c r="E32" s="659"/>
      <c r="F32" s="659">
        <v>0</v>
      </c>
      <c r="G32" s="659">
        <v>0</v>
      </c>
      <c r="I32" s="659"/>
      <c r="J32" s="659">
        <v>0</v>
      </c>
      <c r="K32" s="659">
        <v>0</v>
      </c>
      <c r="M32" s="659">
        <v>0</v>
      </c>
    </row>
    <row r="33" spans="1:13">
      <c r="A33" s="603">
        <v>24</v>
      </c>
      <c r="B33" s="588">
        <v>24</v>
      </c>
      <c r="C33" s="599" t="s">
        <v>3158</v>
      </c>
      <c r="E33" s="660"/>
      <c r="F33" s="660">
        <v>0</v>
      </c>
      <c r="G33" s="660">
        <v>0</v>
      </c>
      <c r="I33" s="660"/>
      <c r="J33" s="660">
        <v>0</v>
      </c>
      <c r="K33" s="660">
        <v>0</v>
      </c>
      <c r="M33" s="660">
        <v>0</v>
      </c>
    </row>
    <row r="34" spans="1:13" s="604" customFormat="1">
      <c r="A34" s="603">
        <v>25</v>
      </c>
      <c r="B34" s="596">
        <v>25</v>
      </c>
      <c r="C34" s="597" t="s">
        <v>3274</v>
      </c>
      <c r="D34" s="590"/>
      <c r="E34" s="659"/>
      <c r="F34" s="659">
        <v>0</v>
      </c>
      <c r="G34" s="659">
        <v>0</v>
      </c>
      <c r="H34" s="590"/>
      <c r="I34" s="659"/>
      <c r="J34" s="659">
        <v>0</v>
      </c>
      <c r="K34" s="659">
        <v>0</v>
      </c>
      <c r="L34" s="590"/>
      <c r="M34" s="659">
        <v>0</v>
      </c>
    </row>
    <row r="35" spans="1:13">
      <c r="A35" s="603">
        <v>26</v>
      </c>
      <c r="B35" s="588">
        <v>26</v>
      </c>
      <c r="C35" s="599" t="s">
        <v>3275</v>
      </c>
      <c r="E35" s="660">
        <v>107358873</v>
      </c>
      <c r="F35" s="660">
        <v>0</v>
      </c>
      <c r="G35" s="660">
        <v>107358873</v>
      </c>
      <c r="I35" s="660">
        <v>107258883</v>
      </c>
      <c r="J35" s="660">
        <v>0</v>
      </c>
      <c r="K35" s="660">
        <v>107258883</v>
      </c>
      <c r="M35" s="660">
        <v>99990</v>
      </c>
    </row>
    <row r="36" spans="1:13">
      <c r="A36" s="603">
        <v>0</v>
      </c>
      <c r="B36" s="601"/>
      <c r="C36" s="602" t="s">
        <v>3276</v>
      </c>
      <c r="E36" s="658">
        <v>1544240870</v>
      </c>
      <c r="F36" s="658">
        <v>0</v>
      </c>
      <c r="G36" s="658">
        <v>1544240870</v>
      </c>
      <c r="I36" s="658">
        <v>2163329883</v>
      </c>
      <c r="J36" s="658">
        <v>0</v>
      </c>
      <c r="K36" s="658">
        <v>2163329883</v>
      </c>
      <c r="M36" s="658">
        <v>-619089013</v>
      </c>
    </row>
    <row r="37" spans="1:13">
      <c r="A37" s="603">
        <v>27</v>
      </c>
      <c r="B37" s="596">
        <v>27</v>
      </c>
      <c r="C37" s="597" t="s">
        <v>3164</v>
      </c>
      <c r="E37" s="659">
        <v>158098895</v>
      </c>
      <c r="F37" s="659">
        <v>0</v>
      </c>
      <c r="G37" s="659">
        <v>158098895</v>
      </c>
      <c r="I37" s="659">
        <v>178959617</v>
      </c>
      <c r="J37" s="659">
        <v>0</v>
      </c>
      <c r="K37" s="659">
        <v>178959617</v>
      </c>
      <c r="M37" s="659">
        <v>-20860722</v>
      </c>
    </row>
    <row r="38" spans="1:13">
      <c r="A38" s="603">
        <v>28</v>
      </c>
      <c r="B38" s="588">
        <v>28</v>
      </c>
      <c r="C38" s="599" t="s">
        <v>3167</v>
      </c>
      <c r="E38" s="660">
        <v>314908160</v>
      </c>
      <c r="F38" s="660">
        <v>0</v>
      </c>
      <c r="G38" s="660">
        <v>314908160</v>
      </c>
      <c r="I38" s="660">
        <v>314908160</v>
      </c>
      <c r="J38" s="660">
        <v>0</v>
      </c>
      <c r="K38" s="660">
        <v>314908160</v>
      </c>
      <c r="M38" s="660">
        <v>0</v>
      </c>
    </row>
    <row r="39" spans="1:13">
      <c r="A39" s="603">
        <v>29</v>
      </c>
      <c r="B39" s="596">
        <v>29</v>
      </c>
      <c r="C39" s="597" t="s">
        <v>3170</v>
      </c>
      <c r="E39" s="659"/>
      <c r="F39" s="659">
        <v>0</v>
      </c>
      <c r="G39" s="659">
        <v>0</v>
      </c>
      <c r="I39" s="659"/>
      <c r="J39" s="659">
        <v>0</v>
      </c>
      <c r="K39" s="659">
        <v>0</v>
      </c>
      <c r="M39" s="659">
        <v>0</v>
      </c>
    </row>
    <row r="40" spans="1:13">
      <c r="A40" s="603">
        <v>30</v>
      </c>
      <c r="B40" s="588">
        <v>30</v>
      </c>
      <c r="C40" s="599" t="s">
        <v>3173</v>
      </c>
      <c r="E40" s="660">
        <v>535084529</v>
      </c>
      <c r="F40" s="660">
        <v>0</v>
      </c>
      <c r="G40" s="660">
        <v>535084529</v>
      </c>
      <c r="I40" s="660">
        <v>535084529</v>
      </c>
      <c r="J40" s="660">
        <v>0</v>
      </c>
      <c r="K40" s="660">
        <v>535084529</v>
      </c>
      <c r="M40" s="660">
        <v>0</v>
      </c>
    </row>
    <row r="41" spans="1:13">
      <c r="A41" s="603">
        <v>31</v>
      </c>
      <c r="B41" s="596">
        <v>31</v>
      </c>
      <c r="C41" s="597" t="s">
        <v>3176</v>
      </c>
      <c r="E41" s="659"/>
      <c r="F41" s="659">
        <v>0</v>
      </c>
      <c r="G41" s="659">
        <v>0</v>
      </c>
      <c r="I41" s="659"/>
      <c r="J41" s="659">
        <v>0</v>
      </c>
      <c r="K41" s="659">
        <v>0</v>
      </c>
      <c r="M41" s="659">
        <v>0</v>
      </c>
    </row>
    <row r="42" spans="1:13">
      <c r="A42" s="603">
        <v>32</v>
      </c>
      <c r="B42" s="588">
        <v>32</v>
      </c>
      <c r="C42" s="599" t="s">
        <v>3178</v>
      </c>
      <c r="E42" s="660"/>
      <c r="F42" s="660">
        <v>0</v>
      </c>
      <c r="G42" s="660">
        <v>0</v>
      </c>
      <c r="I42" s="660">
        <v>66908</v>
      </c>
      <c r="J42" s="660">
        <v>0</v>
      </c>
      <c r="K42" s="660">
        <v>66908</v>
      </c>
      <c r="M42" s="660">
        <v>-66908</v>
      </c>
    </row>
    <row r="43" spans="1:13">
      <c r="A43" s="603">
        <v>33</v>
      </c>
      <c r="B43" s="596">
        <v>33</v>
      </c>
      <c r="C43" s="597" t="s">
        <v>3181</v>
      </c>
      <c r="E43" s="659">
        <v>530456063</v>
      </c>
      <c r="F43" s="659">
        <v>0</v>
      </c>
      <c r="G43" s="659">
        <v>530456063</v>
      </c>
      <c r="I43" s="659">
        <v>530456063</v>
      </c>
      <c r="J43" s="659">
        <v>0</v>
      </c>
      <c r="K43" s="659">
        <v>530456063</v>
      </c>
      <c r="M43" s="659">
        <v>0</v>
      </c>
    </row>
    <row r="44" spans="1:13">
      <c r="A44" s="603">
        <v>34</v>
      </c>
      <c r="B44" s="588">
        <v>34</v>
      </c>
      <c r="C44" s="599" t="s">
        <v>3184</v>
      </c>
      <c r="E44" s="660">
        <v>5693223</v>
      </c>
      <c r="F44" s="660">
        <v>0</v>
      </c>
      <c r="G44" s="660">
        <v>5693223</v>
      </c>
      <c r="I44" s="660">
        <v>7557253</v>
      </c>
      <c r="J44" s="660">
        <v>0</v>
      </c>
      <c r="K44" s="660">
        <v>7557253</v>
      </c>
      <c r="M44" s="660">
        <v>-1864030</v>
      </c>
    </row>
    <row r="45" spans="1:13">
      <c r="A45" s="603">
        <v>35</v>
      </c>
      <c r="B45" s="596">
        <v>35</v>
      </c>
      <c r="C45" s="597" t="s">
        <v>3186</v>
      </c>
      <c r="E45" s="659"/>
      <c r="F45" s="659">
        <v>0</v>
      </c>
      <c r="G45" s="659">
        <v>0</v>
      </c>
      <c r="I45" s="659">
        <v>595408464</v>
      </c>
      <c r="J45" s="659">
        <v>0</v>
      </c>
      <c r="K45" s="659">
        <v>595408464</v>
      </c>
      <c r="M45" s="659">
        <v>-595408464</v>
      </c>
    </row>
    <row r="46" spans="1:13">
      <c r="A46" s="603">
        <v>36</v>
      </c>
      <c r="B46" s="588">
        <v>36</v>
      </c>
      <c r="C46" s="599" t="s">
        <v>3189</v>
      </c>
      <c r="E46" s="660"/>
      <c r="F46" s="660">
        <v>0</v>
      </c>
      <c r="G46" s="660">
        <v>0</v>
      </c>
      <c r="I46" s="660"/>
      <c r="J46" s="660">
        <v>0</v>
      </c>
      <c r="K46" s="660">
        <v>0</v>
      </c>
      <c r="M46" s="660">
        <v>0</v>
      </c>
    </row>
    <row r="47" spans="1:13">
      <c r="A47" s="603">
        <v>37</v>
      </c>
      <c r="B47" s="596">
        <v>37</v>
      </c>
      <c r="C47" s="597" t="s">
        <v>3277</v>
      </c>
      <c r="E47" s="659"/>
      <c r="F47" s="659">
        <v>0</v>
      </c>
      <c r="G47" s="659">
        <v>0</v>
      </c>
      <c r="I47" s="659"/>
      <c r="J47" s="659">
        <v>0</v>
      </c>
      <c r="K47" s="659">
        <v>0</v>
      </c>
      <c r="M47" s="659">
        <v>0</v>
      </c>
    </row>
    <row r="48" spans="1:13">
      <c r="A48" s="603">
        <v>38</v>
      </c>
      <c r="B48" s="588">
        <v>38</v>
      </c>
      <c r="C48" s="599" t="s">
        <v>3278</v>
      </c>
      <c r="E48" s="660"/>
      <c r="F48" s="660">
        <v>0</v>
      </c>
      <c r="G48" s="660">
        <v>0</v>
      </c>
      <c r="I48" s="660"/>
      <c r="J48" s="660">
        <v>0</v>
      </c>
      <c r="K48" s="660">
        <v>0</v>
      </c>
      <c r="M48" s="660">
        <v>0</v>
      </c>
    </row>
    <row r="49" spans="1:13">
      <c r="A49" s="603">
        <v>39</v>
      </c>
      <c r="B49" s="596">
        <v>39</v>
      </c>
      <c r="C49" s="597" t="s">
        <v>3195</v>
      </c>
      <c r="E49" s="659"/>
      <c r="F49" s="659">
        <v>0</v>
      </c>
      <c r="G49" s="659">
        <v>0</v>
      </c>
      <c r="I49" s="659">
        <v>888889</v>
      </c>
      <c r="J49" s="659">
        <v>0</v>
      </c>
      <c r="K49" s="659">
        <v>888889</v>
      </c>
      <c r="M49" s="659">
        <v>-888889</v>
      </c>
    </row>
    <row r="50" spans="1:13">
      <c r="A50" s="603">
        <v>40</v>
      </c>
      <c r="B50" s="588">
        <v>40</v>
      </c>
      <c r="C50" s="599" t="s">
        <v>3198</v>
      </c>
      <c r="E50" s="660"/>
      <c r="F50" s="660">
        <v>0</v>
      </c>
      <c r="G50" s="660">
        <v>0</v>
      </c>
      <c r="I50" s="660"/>
      <c r="J50" s="660">
        <v>0</v>
      </c>
      <c r="K50" s="660">
        <v>0</v>
      </c>
      <c r="M50" s="660">
        <v>0</v>
      </c>
    </row>
    <row r="51" spans="1:13">
      <c r="A51" s="603">
        <v>41</v>
      </c>
      <c r="B51" s="596">
        <v>41</v>
      </c>
      <c r="C51" s="597" t="s">
        <v>3279</v>
      </c>
      <c r="E51" s="659"/>
      <c r="F51" s="659">
        <v>0</v>
      </c>
      <c r="G51" s="659">
        <v>0</v>
      </c>
      <c r="I51" s="659"/>
      <c r="J51" s="659">
        <v>0</v>
      </c>
      <c r="K51" s="659">
        <v>0</v>
      </c>
      <c r="M51" s="659">
        <v>0</v>
      </c>
    </row>
    <row r="52" spans="1:13">
      <c r="A52" s="603"/>
      <c r="B52" s="588">
        <v>42</v>
      </c>
      <c r="C52" s="599" t="s">
        <v>3280</v>
      </c>
      <c r="E52" s="660"/>
      <c r="F52" s="660">
        <v>0</v>
      </c>
      <c r="G52" s="660">
        <v>0</v>
      </c>
      <c r="I52" s="660"/>
      <c r="J52" s="660">
        <v>0</v>
      </c>
      <c r="K52" s="660">
        <v>0</v>
      </c>
      <c r="M52" s="660">
        <v>0</v>
      </c>
    </row>
    <row r="53" spans="1:13">
      <c r="A53" s="603">
        <v>0</v>
      </c>
      <c r="B53" s="601"/>
      <c r="C53" s="602" t="s">
        <v>3281</v>
      </c>
      <c r="E53" s="658">
        <v>196493533</v>
      </c>
      <c r="F53" s="658">
        <v>0</v>
      </c>
      <c r="G53" s="658">
        <v>196493533</v>
      </c>
      <c r="I53" s="658">
        <v>280792984</v>
      </c>
      <c r="J53" s="658">
        <v>0</v>
      </c>
      <c r="K53" s="658">
        <v>280792984</v>
      </c>
      <c r="M53" s="658">
        <v>-84299451</v>
      </c>
    </row>
    <row r="54" spans="1:13">
      <c r="A54" s="603">
        <v>43</v>
      </c>
      <c r="B54" s="596">
        <v>43</v>
      </c>
      <c r="C54" s="597" t="s">
        <v>3282</v>
      </c>
      <c r="E54" s="659"/>
      <c r="F54" s="659">
        <v>0</v>
      </c>
      <c r="G54" s="659">
        <v>0</v>
      </c>
      <c r="I54" s="659">
        <v>173822825</v>
      </c>
      <c r="J54" s="659">
        <v>0</v>
      </c>
      <c r="K54" s="659">
        <v>173822825</v>
      </c>
      <c r="M54" s="659">
        <v>-173822825</v>
      </c>
    </row>
    <row r="55" spans="1:13">
      <c r="A55" s="603">
        <v>44</v>
      </c>
      <c r="B55" s="588">
        <v>44</v>
      </c>
      <c r="C55" s="599" t="s">
        <v>3283</v>
      </c>
      <c r="E55" s="660"/>
      <c r="F55" s="660">
        <v>0</v>
      </c>
      <c r="G55" s="660">
        <v>0</v>
      </c>
      <c r="I55" s="660">
        <v>7135012</v>
      </c>
      <c r="J55" s="660">
        <v>0</v>
      </c>
      <c r="K55" s="660">
        <v>7135012</v>
      </c>
      <c r="M55" s="660">
        <v>-7135012</v>
      </c>
    </row>
    <row r="56" spans="1:13">
      <c r="A56" s="603"/>
      <c r="B56" s="596">
        <v>45</v>
      </c>
      <c r="C56" s="597" t="s">
        <v>3284</v>
      </c>
      <c r="E56" s="659"/>
      <c r="F56" s="659">
        <v>0</v>
      </c>
      <c r="G56" s="659">
        <v>0</v>
      </c>
      <c r="I56" s="659">
        <v>8918763</v>
      </c>
      <c r="J56" s="659">
        <v>0</v>
      </c>
      <c r="K56" s="659">
        <v>8918763</v>
      </c>
      <c r="M56" s="659">
        <v>-8918763</v>
      </c>
    </row>
    <row r="57" spans="1:13">
      <c r="A57" s="603"/>
      <c r="B57" s="588">
        <v>46</v>
      </c>
      <c r="C57" s="599" t="s">
        <v>3285</v>
      </c>
      <c r="E57" s="660">
        <v>184824282</v>
      </c>
      <c r="F57" s="660">
        <v>0</v>
      </c>
      <c r="G57" s="660">
        <v>184824282</v>
      </c>
      <c r="I57" s="660">
        <v>64886650</v>
      </c>
      <c r="J57" s="660">
        <v>0</v>
      </c>
      <c r="K57" s="660">
        <v>64886650</v>
      </c>
      <c r="M57" s="660">
        <v>119937632</v>
      </c>
    </row>
    <row r="58" spans="1:13">
      <c r="A58" s="603"/>
      <c r="B58" s="596">
        <v>47</v>
      </c>
      <c r="C58" s="597" t="s">
        <v>3286</v>
      </c>
      <c r="E58" s="659"/>
      <c r="F58" s="659">
        <v>0</v>
      </c>
      <c r="G58" s="659">
        <v>0</v>
      </c>
      <c r="I58" s="659">
        <v>4459385</v>
      </c>
      <c r="J58" s="659">
        <v>0</v>
      </c>
      <c r="K58" s="659">
        <v>4459385</v>
      </c>
      <c r="M58" s="659">
        <v>-4459385</v>
      </c>
    </row>
    <row r="59" spans="1:13">
      <c r="A59" s="603"/>
      <c r="B59" s="588">
        <v>48</v>
      </c>
      <c r="C59" s="599" t="s">
        <v>3287</v>
      </c>
      <c r="E59" s="660"/>
      <c r="F59" s="660">
        <v>0</v>
      </c>
      <c r="G59" s="660">
        <v>0</v>
      </c>
      <c r="I59" s="660">
        <v>3467188</v>
      </c>
      <c r="J59" s="660">
        <v>0</v>
      </c>
      <c r="K59" s="660">
        <v>3467188</v>
      </c>
      <c r="M59" s="660">
        <v>-3467188</v>
      </c>
    </row>
    <row r="60" spans="1:13">
      <c r="A60" s="603"/>
      <c r="B60" s="596">
        <v>49</v>
      </c>
      <c r="C60" s="597" t="s">
        <v>3288</v>
      </c>
      <c r="E60" s="659"/>
      <c r="F60" s="659">
        <v>0</v>
      </c>
      <c r="G60" s="659">
        <v>0</v>
      </c>
      <c r="I60" s="659">
        <v>265620</v>
      </c>
      <c r="J60" s="659">
        <v>0</v>
      </c>
      <c r="K60" s="659">
        <v>265620</v>
      </c>
      <c r="M60" s="659">
        <v>-265620</v>
      </c>
    </row>
    <row r="61" spans="1:13">
      <c r="A61" s="603"/>
      <c r="B61" s="588">
        <v>50</v>
      </c>
      <c r="C61" s="599" t="s">
        <v>3289</v>
      </c>
      <c r="E61" s="660">
        <v>11669251</v>
      </c>
      <c r="F61" s="660">
        <v>0</v>
      </c>
      <c r="G61" s="660">
        <v>11669251</v>
      </c>
      <c r="I61" s="660">
        <v>17837541</v>
      </c>
      <c r="J61" s="660">
        <v>0</v>
      </c>
      <c r="K61" s="660">
        <v>17837541</v>
      </c>
      <c r="M61" s="660">
        <v>-6168290</v>
      </c>
    </row>
    <row r="62" spans="1:13">
      <c r="A62" s="603"/>
      <c r="B62" s="596">
        <v>51</v>
      </c>
      <c r="C62" s="597" t="s">
        <v>3218</v>
      </c>
      <c r="E62" s="659"/>
      <c r="F62" s="659">
        <v>0</v>
      </c>
      <c r="G62" s="659">
        <v>0</v>
      </c>
      <c r="I62" s="659"/>
      <c r="J62" s="659">
        <v>0</v>
      </c>
      <c r="K62" s="659">
        <v>0</v>
      </c>
      <c r="M62" s="659">
        <v>0</v>
      </c>
    </row>
    <row r="63" spans="1:13">
      <c r="A63" s="603">
        <v>0</v>
      </c>
      <c r="B63" s="601"/>
      <c r="C63" s="602" t="s">
        <v>3290</v>
      </c>
      <c r="E63" s="658">
        <v>6155000</v>
      </c>
      <c r="F63" s="658">
        <v>0</v>
      </c>
      <c r="G63" s="658">
        <v>6155000</v>
      </c>
      <c r="I63" s="658">
        <v>6155000</v>
      </c>
      <c r="J63" s="658">
        <v>0</v>
      </c>
      <c r="K63" s="658">
        <v>6155000</v>
      </c>
      <c r="M63" s="658">
        <v>0</v>
      </c>
    </row>
    <row r="64" spans="1:13">
      <c r="A64" s="603">
        <v>52</v>
      </c>
      <c r="B64" s="588">
        <v>52</v>
      </c>
      <c r="C64" s="599" t="s">
        <v>3222</v>
      </c>
      <c r="E64" s="660">
        <v>6155000</v>
      </c>
      <c r="F64" s="660">
        <v>0</v>
      </c>
      <c r="G64" s="660">
        <v>6155000</v>
      </c>
      <c r="I64" s="660">
        <v>6155000</v>
      </c>
      <c r="J64" s="660">
        <v>0</v>
      </c>
      <c r="K64" s="660">
        <v>6155000</v>
      </c>
      <c r="M64" s="660">
        <v>0</v>
      </c>
    </row>
    <row r="65" spans="1:13">
      <c r="A65" s="603">
        <v>53</v>
      </c>
      <c r="B65" s="596">
        <v>53</v>
      </c>
      <c r="C65" s="597" t="s">
        <v>3225</v>
      </c>
      <c r="E65" s="659"/>
      <c r="F65" s="659">
        <v>0</v>
      </c>
      <c r="G65" s="659">
        <v>0</v>
      </c>
      <c r="I65" s="659"/>
      <c r="J65" s="659">
        <v>0</v>
      </c>
      <c r="K65" s="659">
        <v>0</v>
      </c>
      <c r="M65" s="659">
        <v>0</v>
      </c>
    </row>
    <row r="66" spans="1:13">
      <c r="A66" s="603">
        <v>54</v>
      </c>
      <c r="B66" s="588">
        <v>54</v>
      </c>
      <c r="C66" s="599" t="s">
        <v>3291</v>
      </c>
      <c r="E66" s="660"/>
      <c r="F66" s="660">
        <v>0</v>
      </c>
      <c r="G66" s="660">
        <v>0</v>
      </c>
      <c r="I66" s="660"/>
      <c r="J66" s="660">
        <v>0</v>
      </c>
      <c r="K66" s="660">
        <v>0</v>
      </c>
      <c r="M66" s="660">
        <v>0</v>
      </c>
    </row>
    <row r="67" spans="1:13">
      <c r="A67" s="603"/>
      <c r="B67" s="601"/>
      <c r="C67" s="602" t="s">
        <v>3292</v>
      </c>
      <c r="E67" s="658">
        <v>13000000</v>
      </c>
      <c r="F67" s="658">
        <v>0</v>
      </c>
      <c r="G67" s="658">
        <v>13000000</v>
      </c>
      <c r="I67" s="658">
        <v>0</v>
      </c>
      <c r="J67" s="658">
        <v>13000000</v>
      </c>
      <c r="K67" s="658">
        <v>13000000</v>
      </c>
      <c r="M67" s="658">
        <v>0</v>
      </c>
    </row>
    <row r="68" spans="1:13">
      <c r="A68" s="603"/>
      <c r="B68" s="596">
        <v>55</v>
      </c>
      <c r="C68" s="597" t="s">
        <v>3231</v>
      </c>
      <c r="E68" s="659"/>
      <c r="F68" s="659">
        <v>0</v>
      </c>
      <c r="G68" s="659">
        <v>0</v>
      </c>
      <c r="I68" s="659"/>
      <c r="J68" s="659">
        <v>0</v>
      </c>
      <c r="K68" s="659">
        <v>0</v>
      </c>
      <c r="M68" s="659">
        <v>0</v>
      </c>
    </row>
    <row r="69" spans="1:13">
      <c r="A69" s="603"/>
      <c r="B69" s="588">
        <v>56</v>
      </c>
      <c r="C69" s="599" t="s">
        <v>3293</v>
      </c>
      <c r="E69" s="660">
        <v>13000000</v>
      </c>
      <c r="F69" s="660">
        <v>0</v>
      </c>
      <c r="G69" s="660">
        <v>13000000</v>
      </c>
      <c r="I69" s="660"/>
      <c r="J69" s="660">
        <v>13000000</v>
      </c>
      <c r="K69" s="660">
        <v>13000000</v>
      </c>
      <c r="M69" s="660">
        <v>0</v>
      </c>
    </row>
    <row r="70" spans="1:13">
      <c r="A70" s="603">
        <v>0</v>
      </c>
      <c r="B70" s="601"/>
      <c r="C70" s="602" t="s">
        <v>340</v>
      </c>
      <c r="E70" s="658">
        <v>57208074</v>
      </c>
      <c r="F70" s="658">
        <v>0</v>
      </c>
      <c r="G70" s="658">
        <v>57208074</v>
      </c>
      <c r="I70" s="658">
        <v>65455249</v>
      </c>
      <c r="J70" s="658">
        <v>0</v>
      </c>
      <c r="K70" s="658">
        <v>65455249</v>
      </c>
      <c r="M70" s="658">
        <v>-8247175</v>
      </c>
    </row>
    <row r="71" spans="1:13">
      <c r="A71" s="603">
        <v>57</v>
      </c>
      <c r="B71" s="596">
        <v>57</v>
      </c>
      <c r="C71" s="597" t="s">
        <v>3294</v>
      </c>
      <c r="E71" s="659">
        <v>57208074</v>
      </c>
      <c r="F71" s="659">
        <v>0</v>
      </c>
      <c r="G71" s="659">
        <v>57208074</v>
      </c>
      <c r="I71" s="659">
        <v>65455249</v>
      </c>
      <c r="J71" s="659">
        <v>0</v>
      </c>
      <c r="K71" s="659">
        <v>65455249</v>
      </c>
      <c r="M71" s="659">
        <v>-8247175</v>
      </c>
    </row>
    <row r="72" spans="1:13">
      <c r="A72" s="603">
        <v>0</v>
      </c>
      <c r="B72" s="601"/>
      <c r="C72" s="602" t="s">
        <v>3295</v>
      </c>
      <c r="E72" s="658">
        <v>233948255</v>
      </c>
      <c r="F72" s="658">
        <v>0</v>
      </c>
      <c r="G72" s="658">
        <v>233948255</v>
      </c>
      <c r="I72" s="658">
        <v>0</v>
      </c>
      <c r="J72" s="658">
        <v>0</v>
      </c>
      <c r="K72" s="658">
        <v>0</v>
      </c>
      <c r="M72" s="658">
        <v>233948255</v>
      </c>
    </row>
    <row r="73" spans="1:13">
      <c r="A73" s="603">
        <v>58</v>
      </c>
      <c r="B73" s="588">
        <v>58</v>
      </c>
      <c r="C73" s="599" t="s">
        <v>3296</v>
      </c>
      <c r="E73" s="660">
        <v>233948255</v>
      </c>
      <c r="F73" s="660">
        <v>0</v>
      </c>
      <c r="G73" s="660">
        <v>233948255</v>
      </c>
      <c r="I73" s="660"/>
      <c r="J73" s="660">
        <v>0</v>
      </c>
      <c r="K73" s="660">
        <v>0</v>
      </c>
      <c r="M73" s="660">
        <v>233948255</v>
      </c>
    </row>
    <row r="74" spans="1:13">
      <c r="A74" s="603"/>
      <c r="B74" s="601"/>
      <c r="C74" s="602" t="s">
        <v>3297</v>
      </c>
      <c r="E74" s="658">
        <v>0</v>
      </c>
      <c r="F74" s="658">
        <v>0</v>
      </c>
      <c r="G74" s="658">
        <v>0</v>
      </c>
      <c r="I74" s="658">
        <v>0</v>
      </c>
      <c r="J74" s="658">
        <v>0</v>
      </c>
      <c r="K74" s="658">
        <v>0</v>
      </c>
      <c r="M74" s="658">
        <v>0</v>
      </c>
    </row>
    <row r="75" spans="1:13">
      <c r="A75" s="603"/>
      <c r="B75" s="588">
        <v>59</v>
      </c>
      <c r="C75" s="599" t="s">
        <v>3298</v>
      </c>
      <c r="E75" s="660"/>
      <c r="F75" s="660">
        <v>0</v>
      </c>
      <c r="G75" s="660">
        <v>0</v>
      </c>
      <c r="I75" s="660"/>
      <c r="J75" s="660">
        <v>0</v>
      </c>
      <c r="K75" s="660">
        <v>0</v>
      </c>
      <c r="M75" s="660"/>
    </row>
    <row r="76" spans="1:13">
      <c r="A76" s="603"/>
      <c r="B76" s="601"/>
      <c r="C76" s="602" t="s">
        <v>3299</v>
      </c>
      <c r="E76" s="658">
        <v>0</v>
      </c>
      <c r="F76" s="658">
        <v>0</v>
      </c>
      <c r="G76" s="658">
        <v>0</v>
      </c>
      <c r="I76" s="658">
        <v>0</v>
      </c>
      <c r="J76" s="658">
        <v>0</v>
      </c>
      <c r="K76" s="658">
        <v>0</v>
      </c>
      <c r="M76" s="658">
        <v>0</v>
      </c>
    </row>
    <row r="77" spans="1:13">
      <c r="A77" s="603"/>
      <c r="B77" s="588">
        <v>60</v>
      </c>
      <c r="C77" s="599" t="s">
        <v>3300</v>
      </c>
      <c r="E77" s="660"/>
      <c r="F77" s="660">
        <v>0</v>
      </c>
      <c r="G77" s="660">
        <v>0</v>
      </c>
      <c r="I77" s="660"/>
      <c r="J77" s="660">
        <v>0</v>
      </c>
      <c r="K77" s="660">
        <v>0</v>
      </c>
      <c r="M77" s="660"/>
    </row>
    <row r="78" spans="1:13">
      <c r="A78" s="603"/>
      <c r="B78" s="601"/>
      <c r="C78" s="602" t="s">
        <v>3301</v>
      </c>
      <c r="E78" s="658">
        <v>0</v>
      </c>
      <c r="F78" s="658">
        <v>0</v>
      </c>
      <c r="G78" s="658">
        <v>0</v>
      </c>
      <c r="I78" s="658">
        <v>1774055</v>
      </c>
      <c r="J78" s="658">
        <v>0</v>
      </c>
      <c r="K78" s="658">
        <v>1774055</v>
      </c>
      <c r="M78" s="658">
        <v>-1774055</v>
      </c>
    </row>
    <row r="79" spans="1:13">
      <c r="A79" s="603"/>
      <c r="B79" s="596">
        <v>61</v>
      </c>
      <c r="C79" s="597" t="s">
        <v>3302</v>
      </c>
      <c r="E79" s="659"/>
      <c r="F79" s="659"/>
      <c r="G79" s="659"/>
      <c r="I79" s="659"/>
      <c r="J79" s="659"/>
      <c r="K79" s="659"/>
      <c r="M79" s="659"/>
    </row>
  </sheetData>
  <mergeCells count="5">
    <mergeCell ref="B3:B4"/>
    <mergeCell ref="C3:C4"/>
    <mergeCell ref="E3:G3"/>
    <mergeCell ref="I3:K3"/>
    <mergeCell ref="M3:M4"/>
  </mergeCells>
  <hyperlinks>
    <hyperlink ref="A1" location="Sommaire!A1" display="Sommaire!A1" xr:uid="{00000000-0004-0000-1F00-000000000000}"/>
  </hyperlinks>
  <pageMargins left="0.7" right="0.7" top="0.75" bottom="0.75" header="0.3" footer="0.3"/>
  <pageSetup paperSize="9" orientation="landscape"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M79"/>
  <sheetViews>
    <sheetView showGridLines="0" zoomScaleNormal="100" workbookViewId="0">
      <selection activeCell="B1" sqref="B1"/>
    </sheetView>
  </sheetViews>
  <sheetFormatPr baseColWidth="10" defaultColWidth="11.33203125" defaultRowHeight="12"/>
  <cols>
    <col min="1" max="1" width="10.1640625" style="588" bestFit="1" customWidth="1"/>
    <col min="2" max="2" width="19" style="588" bestFit="1" customWidth="1"/>
    <col min="3" max="3" width="54.5" style="605" bestFit="1" customWidth="1"/>
    <col min="4" max="4" width="0.6640625" style="590" customWidth="1"/>
    <col min="5" max="5" width="12.83203125" style="590" bestFit="1" customWidth="1"/>
    <col min="6" max="6" width="10.1640625" style="588" bestFit="1" customWidth="1"/>
    <col min="7" max="7" width="12.83203125" style="590" bestFit="1" customWidth="1"/>
    <col min="8" max="8" width="0.6640625" style="590" customWidth="1"/>
    <col min="9" max="9" width="12.83203125" style="590" bestFit="1" customWidth="1"/>
    <col min="10" max="10" width="10.6640625" style="590" bestFit="1" customWidth="1"/>
    <col min="11" max="11" width="12.83203125" style="590" bestFit="1" customWidth="1"/>
    <col min="12" max="12" width="0.6640625" style="590" customWidth="1"/>
    <col min="13" max="13" width="13.83203125" style="590" bestFit="1" customWidth="1"/>
    <col min="14" max="16384" width="11.33203125" style="590"/>
  </cols>
  <sheetData>
    <row r="1" spans="1:13" ht="24">
      <c r="A1" s="661" t="s">
        <v>140</v>
      </c>
      <c r="C1" s="589" t="s">
        <v>3249</v>
      </c>
      <c r="E1" s="591" t="s">
        <v>256</v>
      </c>
      <c r="F1" s="591" t="s">
        <v>3316</v>
      </c>
      <c r="G1" s="592"/>
      <c r="J1" s="592" t="s">
        <v>3251</v>
      </c>
      <c r="K1" s="592">
        <v>2023</v>
      </c>
    </row>
    <row r="2" spans="1:13">
      <c r="C2" s="593"/>
      <c r="F2" s="590"/>
      <c r="I2" s="590" t="s">
        <v>3252</v>
      </c>
      <c r="J2" s="594">
        <v>604.32574999999997</v>
      </c>
    </row>
    <row r="3" spans="1:13">
      <c r="B3" s="753" t="s">
        <v>143</v>
      </c>
      <c r="C3" s="754" t="s">
        <v>3253</v>
      </c>
      <c r="E3" s="755" t="s">
        <v>2084</v>
      </c>
      <c r="F3" s="755"/>
      <c r="G3" s="755"/>
      <c r="I3" s="755" t="s">
        <v>3254</v>
      </c>
      <c r="J3" s="755"/>
      <c r="K3" s="755"/>
      <c r="M3" s="756" t="s">
        <v>3255</v>
      </c>
    </row>
    <row r="4" spans="1:13">
      <c r="B4" s="753"/>
      <c r="C4" s="754"/>
      <c r="E4" s="595" t="s">
        <v>3256</v>
      </c>
      <c r="F4" s="595" t="s">
        <v>3257</v>
      </c>
      <c r="G4" s="595" t="s">
        <v>3258</v>
      </c>
      <c r="I4" s="595" t="s">
        <v>3256</v>
      </c>
      <c r="J4" s="595" t="s">
        <v>3257</v>
      </c>
      <c r="K4" s="595" t="s">
        <v>3258</v>
      </c>
      <c r="M4" s="756"/>
    </row>
    <row r="5" spans="1:13">
      <c r="B5" s="655" t="s">
        <v>3092</v>
      </c>
      <c r="C5" s="656"/>
      <c r="E5" s="657">
        <v>0</v>
      </c>
      <c r="F5" s="657">
        <v>0</v>
      </c>
      <c r="G5" s="657">
        <v>0</v>
      </c>
      <c r="I5" s="657">
        <v>0</v>
      </c>
      <c r="J5" s="657">
        <v>0</v>
      </c>
      <c r="K5" s="657">
        <v>0</v>
      </c>
      <c r="M5" s="657">
        <v>0</v>
      </c>
    </row>
    <row r="6" spans="1:13">
      <c r="B6" s="596">
        <v>1</v>
      </c>
      <c r="C6" s="597" t="s">
        <v>3259</v>
      </c>
      <c r="E6" s="598"/>
      <c r="F6" s="598">
        <v>0</v>
      </c>
      <c r="G6" s="598">
        <v>0</v>
      </c>
      <c r="I6" s="598"/>
      <c r="J6" s="598">
        <v>0</v>
      </c>
      <c r="K6" s="598">
        <v>0</v>
      </c>
      <c r="M6" s="598">
        <v>0</v>
      </c>
    </row>
    <row r="7" spans="1:13">
      <c r="B7" s="588">
        <v>2</v>
      </c>
      <c r="C7" s="599" t="s">
        <v>3260</v>
      </c>
      <c r="E7" s="600"/>
      <c r="F7" s="600">
        <v>0</v>
      </c>
      <c r="G7" s="600">
        <v>0</v>
      </c>
      <c r="I7" s="600"/>
      <c r="J7" s="600">
        <v>0</v>
      </c>
      <c r="K7" s="600">
        <v>0</v>
      </c>
      <c r="M7" s="600">
        <v>0</v>
      </c>
    </row>
    <row r="8" spans="1:13">
      <c r="B8" s="655" t="s">
        <v>3101</v>
      </c>
      <c r="C8" s="656"/>
      <c r="E8" s="657">
        <v>3251345809</v>
      </c>
      <c r="F8" s="657">
        <v>3847198</v>
      </c>
      <c r="G8" s="657">
        <v>3255193007</v>
      </c>
      <c r="I8" s="657">
        <v>3599784793</v>
      </c>
      <c r="J8" s="657">
        <v>36043830</v>
      </c>
      <c r="K8" s="657">
        <v>3635828623</v>
      </c>
      <c r="M8" s="657">
        <v>-380635616</v>
      </c>
    </row>
    <row r="9" spans="1:13">
      <c r="B9" s="601"/>
      <c r="C9" s="602" t="s">
        <v>1244</v>
      </c>
      <c r="E9" s="658">
        <v>864121311</v>
      </c>
      <c r="F9" s="658">
        <v>1000000</v>
      </c>
      <c r="G9" s="658">
        <v>865121311</v>
      </c>
      <c r="I9" s="658">
        <v>854935961</v>
      </c>
      <c r="J9" s="658">
        <v>10185350</v>
      </c>
      <c r="K9" s="658">
        <v>865121311</v>
      </c>
      <c r="M9" s="658">
        <v>0</v>
      </c>
    </row>
    <row r="10" spans="1:13">
      <c r="A10" s="603">
        <v>3</v>
      </c>
      <c r="B10" s="596">
        <v>3</v>
      </c>
      <c r="C10" s="597" t="s">
        <v>3261</v>
      </c>
      <c r="E10" s="659">
        <v>855993961</v>
      </c>
      <c r="F10" s="659">
        <v>0</v>
      </c>
      <c r="G10" s="659">
        <v>855993961</v>
      </c>
      <c r="I10" s="659">
        <v>853935961</v>
      </c>
      <c r="J10" s="659">
        <v>2058000</v>
      </c>
      <c r="K10" s="659">
        <v>855993961</v>
      </c>
      <c r="M10" s="659">
        <v>0</v>
      </c>
    </row>
    <row r="11" spans="1:13">
      <c r="A11" s="603">
        <v>4</v>
      </c>
      <c r="B11" s="588">
        <v>4</v>
      </c>
      <c r="C11" s="599" t="s">
        <v>3106</v>
      </c>
      <c r="E11" s="660"/>
      <c r="F11" s="660">
        <v>0</v>
      </c>
      <c r="G11" s="660">
        <v>0</v>
      </c>
      <c r="I11" s="660"/>
      <c r="J11" s="660">
        <v>0</v>
      </c>
      <c r="K11" s="660">
        <v>0</v>
      </c>
      <c r="M11" s="660">
        <v>0</v>
      </c>
    </row>
    <row r="12" spans="1:13">
      <c r="A12" s="603">
        <v>5</v>
      </c>
      <c r="B12" s="596">
        <v>5</v>
      </c>
      <c r="C12" s="597" t="s">
        <v>3262</v>
      </c>
      <c r="E12" s="659"/>
      <c r="F12" s="659">
        <v>1000000</v>
      </c>
      <c r="G12" s="659">
        <v>1000000</v>
      </c>
      <c r="I12" s="659">
        <v>1000000</v>
      </c>
      <c r="J12" s="659">
        <v>0</v>
      </c>
      <c r="K12" s="659">
        <v>1000000</v>
      </c>
      <c r="M12" s="659">
        <v>0</v>
      </c>
    </row>
    <row r="13" spans="1:13">
      <c r="A13" s="603">
        <v>6</v>
      </c>
      <c r="B13" s="588">
        <v>6</v>
      </c>
      <c r="C13" s="599" t="s">
        <v>3263</v>
      </c>
      <c r="E13" s="660"/>
      <c r="F13" s="660">
        <v>0</v>
      </c>
      <c r="G13" s="660">
        <v>0</v>
      </c>
      <c r="I13" s="660"/>
      <c r="J13" s="660">
        <v>0</v>
      </c>
      <c r="K13" s="660">
        <v>0</v>
      </c>
      <c r="M13" s="660">
        <v>0</v>
      </c>
    </row>
    <row r="14" spans="1:13">
      <c r="A14" s="603">
        <v>7</v>
      </c>
      <c r="B14" s="596">
        <v>7</v>
      </c>
      <c r="C14" s="597" t="s">
        <v>3114</v>
      </c>
      <c r="E14" s="659">
        <v>8127350</v>
      </c>
      <c r="F14" s="659">
        <v>0</v>
      </c>
      <c r="G14" s="659">
        <v>8127350</v>
      </c>
      <c r="I14" s="659"/>
      <c r="J14" s="659">
        <v>8127350</v>
      </c>
      <c r="K14" s="659">
        <v>8127350</v>
      </c>
      <c r="M14" s="659">
        <v>0</v>
      </c>
    </row>
    <row r="15" spans="1:13">
      <c r="A15" s="603">
        <v>0</v>
      </c>
      <c r="B15" s="601"/>
      <c r="C15" s="602" t="s">
        <v>1253</v>
      </c>
      <c r="E15" s="658">
        <v>0</v>
      </c>
      <c r="F15" s="658">
        <v>0</v>
      </c>
      <c r="G15" s="658">
        <v>0</v>
      </c>
      <c r="I15" s="658">
        <v>0</v>
      </c>
      <c r="J15" s="658">
        <v>0</v>
      </c>
      <c r="K15" s="658">
        <v>0</v>
      </c>
      <c r="M15" s="658">
        <v>0</v>
      </c>
    </row>
    <row r="16" spans="1:13">
      <c r="A16" s="603">
        <v>8</v>
      </c>
      <c r="B16" s="588">
        <v>8</v>
      </c>
      <c r="C16" s="599" t="s">
        <v>3264</v>
      </c>
      <c r="E16" s="660"/>
      <c r="F16" s="660">
        <v>0</v>
      </c>
      <c r="G16" s="660">
        <v>0</v>
      </c>
      <c r="I16" s="660"/>
      <c r="J16" s="660">
        <v>0</v>
      </c>
      <c r="K16" s="660">
        <v>0</v>
      </c>
      <c r="M16" s="660">
        <v>0</v>
      </c>
    </row>
    <row r="17" spans="1:13">
      <c r="A17" s="603">
        <v>9</v>
      </c>
      <c r="B17" s="596">
        <v>9</v>
      </c>
      <c r="C17" s="597" t="s">
        <v>3265</v>
      </c>
      <c r="E17" s="659"/>
      <c r="F17" s="659">
        <v>0</v>
      </c>
      <c r="G17" s="659">
        <v>0</v>
      </c>
      <c r="I17" s="659"/>
      <c r="J17" s="659">
        <v>0</v>
      </c>
      <c r="K17" s="659">
        <v>0</v>
      </c>
      <c r="M17" s="659">
        <v>0</v>
      </c>
    </row>
    <row r="18" spans="1:13">
      <c r="A18" s="603"/>
      <c r="B18" s="588">
        <v>10</v>
      </c>
      <c r="C18" s="599" t="s">
        <v>3122</v>
      </c>
      <c r="E18" s="660"/>
      <c r="F18" s="660">
        <v>0</v>
      </c>
      <c r="G18" s="660">
        <v>0</v>
      </c>
      <c r="I18" s="660"/>
      <c r="J18" s="660">
        <v>0</v>
      </c>
      <c r="K18" s="660">
        <v>0</v>
      </c>
      <c r="M18" s="660">
        <v>0</v>
      </c>
    </row>
    <row r="19" spans="1:13">
      <c r="A19" s="603">
        <v>11</v>
      </c>
      <c r="B19" s="596">
        <v>11</v>
      </c>
      <c r="C19" s="597" t="s">
        <v>3124</v>
      </c>
      <c r="E19" s="659"/>
      <c r="F19" s="659">
        <v>0</v>
      </c>
      <c r="G19" s="659">
        <v>0</v>
      </c>
      <c r="I19" s="659"/>
      <c r="J19" s="659">
        <v>0</v>
      </c>
      <c r="K19" s="659">
        <v>0</v>
      </c>
      <c r="M19" s="659">
        <v>0</v>
      </c>
    </row>
    <row r="20" spans="1:13">
      <c r="A20" s="603">
        <v>12</v>
      </c>
      <c r="B20" s="588">
        <v>12</v>
      </c>
      <c r="C20" s="599" t="s">
        <v>3266</v>
      </c>
      <c r="E20" s="660"/>
      <c r="F20" s="660">
        <v>0</v>
      </c>
      <c r="G20" s="660">
        <v>0</v>
      </c>
      <c r="I20" s="660"/>
      <c r="J20" s="660">
        <v>0</v>
      </c>
      <c r="K20" s="660">
        <v>0</v>
      </c>
      <c r="M20" s="660">
        <v>0</v>
      </c>
    </row>
    <row r="21" spans="1:13">
      <c r="A21" s="603">
        <v>13</v>
      </c>
      <c r="B21" s="596">
        <v>13</v>
      </c>
      <c r="C21" s="597" t="s">
        <v>3267</v>
      </c>
      <c r="E21" s="659"/>
      <c r="F21" s="659">
        <v>0</v>
      </c>
      <c r="G21" s="659">
        <v>0</v>
      </c>
      <c r="I21" s="659"/>
      <c r="J21" s="659">
        <v>0</v>
      </c>
      <c r="K21" s="659">
        <v>0</v>
      </c>
      <c r="M21" s="659">
        <v>0</v>
      </c>
    </row>
    <row r="22" spans="1:13">
      <c r="A22" s="603">
        <v>14</v>
      </c>
      <c r="B22" s="588">
        <v>14</v>
      </c>
      <c r="C22" s="599" t="s">
        <v>3268</v>
      </c>
      <c r="E22" s="660"/>
      <c r="F22" s="660">
        <v>0</v>
      </c>
      <c r="G22" s="660">
        <v>0</v>
      </c>
      <c r="I22" s="660"/>
      <c r="J22" s="660">
        <v>0</v>
      </c>
      <c r="K22" s="660">
        <v>0</v>
      </c>
      <c r="M22" s="660">
        <v>0</v>
      </c>
    </row>
    <row r="23" spans="1:13">
      <c r="A23" s="603">
        <v>15</v>
      </c>
      <c r="B23" s="596">
        <v>15</v>
      </c>
      <c r="C23" s="597" t="s">
        <v>3133</v>
      </c>
      <c r="E23" s="659"/>
      <c r="F23" s="659">
        <v>0</v>
      </c>
      <c r="G23" s="659">
        <v>0</v>
      </c>
      <c r="I23" s="659"/>
      <c r="J23" s="659">
        <v>0</v>
      </c>
      <c r="K23" s="659">
        <v>0</v>
      </c>
      <c r="M23" s="659">
        <v>0</v>
      </c>
    </row>
    <row r="24" spans="1:13">
      <c r="A24" s="603">
        <v>16</v>
      </c>
      <c r="B24" s="588">
        <v>16</v>
      </c>
      <c r="C24" s="599" t="s">
        <v>3136</v>
      </c>
      <c r="E24" s="660"/>
      <c r="F24" s="660">
        <v>0</v>
      </c>
      <c r="G24" s="660">
        <v>0</v>
      </c>
      <c r="I24" s="660"/>
      <c r="J24" s="660">
        <v>0</v>
      </c>
      <c r="K24" s="660">
        <v>0</v>
      </c>
      <c r="M24" s="660">
        <v>0</v>
      </c>
    </row>
    <row r="25" spans="1:13">
      <c r="A25" s="603">
        <v>0</v>
      </c>
      <c r="B25" s="601"/>
      <c r="C25" s="602" t="s">
        <v>3269</v>
      </c>
      <c r="E25" s="658">
        <v>90314433</v>
      </c>
      <c r="F25" s="658">
        <v>0</v>
      </c>
      <c r="G25" s="658">
        <v>90314433</v>
      </c>
      <c r="I25" s="658">
        <v>90314433</v>
      </c>
      <c r="J25" s="658">
        <v>0</v>
      </c>
      <c r="K25" s="658">
        <v>90314433</v>
      </c>
      <c r="M25" s="658">
        <v>0</v>
      </c>
    </row>
    <row r="26" spans="1:13">
      <c r="A26" s="603">
        <v>17</v>
      </c>
      <c r="B26" s="596">
        <v>17</v>
      </c>
      <c r="C26" s="597" t="s">
        <v>3270</v>
      </c>
      <c r="E26" s="659"/>
      <c r="F26" s="659">
        <v>0</v>
      </c>
      <c r="G26" s="659">
        <v>0</v>
      </c>
      <c r="I26" s="659"/>
      <c r="J26" s="659">
        <v>0</v>
      </c>
      <c r="K26" s="659">
        <v>0</v>
      </c>
      <c r="M26" s="659">
        <v>0</v>
      </c>
    </row>
    <row r="27" spans="1:13">
      <c r="A27" s="603">
        <v>18</v>
      </c>
      <c r="B27" s="588">
        <v>18</v>
      </c>
      <c r="C27" s="599" t="s">
        <v>3141</v>
      </c>
      <c r="E27" s="660"/>
      <c r="F27" s="660">
        <v>0</v>
      </c>
      <c r="G27" s="660">
        <v>0</v>
      </c>
      <c r="I27" s="660"/>
      <c r="J27" s="660">
        <v>0</v>
      </c>
      <c r="K27" s="660">
        <v>0</v>
      </c>
      <c r="M27" s="660">
        <v>0</v>
      </c>
    </row>
    <row r="28" spans="1:13">
      <c r="A28" s="603">
        <v>19</v>
      </c>
      <c r="B28" s="596">
        <v>19</v>
      </c>
      <c r="C28" s="597" t="s">
        <v>3144</v>
      </c>
      <c r="E28" s="659"/>
      <c r="F28" s="659">
        <v>0</v>
      </c>
      <c r="G28" s="659">
        <v>0</v>
      </c>
      <c r="I28" s="659"/>
      <c r="J28" s="659">
        <v>0</v>
      </c>
      <c r="K28" s="659">
        <v>0</v>
      </c>
      <c r="M28" s="659">
        <v>0</v>
      </c>
    </row>
    <row r="29" spans="1:13">
      <c r="A29" s="603">
        <v>20</v>
      </c>
      <c r="B29" s="588">
        <v>20</v>
      </c>
      <c r="C29" s="599" t="s">
        <v>3147</v>
      </c>
      <c r="E29" s="660"/>
      <c r="F29" s="660">
        <v>0</v>
      </c>
      <c r="G29" s="660">
        <v>0</v>
      </c>
      <c r="I29" s="660"/>
      <c r="J29" s="660">
        <v>0</v>
      </c>
      <c r="K29" s="660">
        <v>0</v>
      </c>
      <c r="M29" s="660">
        <v>0</v>
      </c>
    </row>
    <row r="30" spans="1:13">
      <c r="A30" s="603">
        <v>21</v>
      </c>
      <c r="B30" s="596">
        <v>21</v>
      </c>
      <c r="C30" s="597" t="s">
        <v>3271</v>
      </c>
      <c r="E30" s="659"/>
      <c r="F30" s="659">
        <v>0</v>
      </c>
      <c r="G30" s="659">
        <v>0</v>
      </c>
      <c r="I30" s="659"/>
      <c r="J30" s="659">
        <v>0</v>
      </c>
      <c r="K30" s="659">
        <v>0</v>
      </c>
      <c r="M30" s="659">
        <v>0</v>
      </c>
    </row>
    <row r="31" spans="1:13">
      <c r="A31" s="603">
        <v>22</v>
      </c>
      <c r="B31" s="588">
        <v>22</v>
      </c>
      <c r="C31" s="599" t="s">
        <v>3272</v>
      </c>
      <c r="E31" s="660"/>
      <c r="F31" s="660">
        <v>0</v>
      </c>
      <c r="G31" s="660">
        <v>0</v>
      </c>
      <c r="I31" s="660"/>
      <c r="J31" s="660">
        <v>0</v>
      </c>
      <c r="K31" s="660">
        <v>0</v>
      </c>
      <c r="M31" s="660">
        <v>0</v>
      </c>
    </row>
    <row r="32" spans="1:13">
      <c r="A32" s="603">
        <v>23</v>
      </c>
      <c r="B32" s="596">
        <v>23</v>
      </c>
      <c r="C32" s="597" t="s">
        <v>3273</v>
      </c>
      <c r="E32" s="659"/>
      <c r="F32" s="659">
        <v>0</v>
      </c>
      <c r="G32" s="659">
        <v>0</v>
      </c>
      <c r="I32" s="659"/>
      <c r="J32" s="659">
        <v>0</v>
      </c>
      <c r="K32" s="659">
        <v>0</v>
      </c>
      <c r="M32" s="659">
        <v>0</v>
      </c>
    </row>
    <row r="33" spans="1:13">
      <c r="A33" s="603">
        <v>24</v>
      </c>
      <c r="B33" s="588">
        <v>24</v>
      </c>
      <c r="C33" s="599" t="s">
        <v>3158</v>
      </c>
      <c r="E33" s="660"/>
      <c r="F33" s="660">
        <v>0</v>
      </c>
      <c r="G33" s="660">
        <v>0</v>
      </c>
      <c r="I33" s="660"/>
      <c r="J33" s="660">
        <v>0</v>
      </c>
      <c r="K33" s="660">
        <v>0</v>
      </c>
      <c r="M33" s="660">
        <v>0</v>
      </c>
    </row>
    <row r="34" spans="1:13" s="604" customFormat="1">
      <c r="A34" s="603">
        <v>25</v>
      </c>
      <c r="B34" s="596">
        <v>25</v>
      </c>
      <c r="C34" s="597" t="s">
        <v>3274</v>
      </c>
      <c r="D34" s="590"/>
      <c r="E34" s="659"/>
      <c r="F34" s="659">
        <v>0</v>
      </c>
      <c r="G34" s="659">
        <v>0</v>
      </c>
      <c r="H34" s="590"/>
      <c r="I34" s="659"/>
      <c r="J34" s="659">
        <v>0</v>
      </c>
      <c r="K34" s="659">
        <v>0</v>
      </c>
      <c r="L34" s="590"/>
      <c r="M34" s="659">
        <v>0</v>
      </c>
    </row>
    <row r="35" spans="1:13">
      <c r="A35" s="603">
        <v>26</v>
      </c>
      <c r="B35" s="588">
        <v>26</v>
      </c>
      <c r="C35" s="599" t="s">
        <v>3275</v>
      </c>
      <c r="E35" s="660">
        <v>90314433</v>
      </c>
      <c r="F35" s="660">
        <v>0</v>
      </c>
      <c r="G35" s="660">
        <v>90314433</v>
      </c>
      <c r="I35" s="660">
        <v>90314433</v>
      </c>
      <c r="J35" s="660">
        <v>0</v>
      </c>
      <c r="K35" s="660">
        <v>90314433</v>
      </c>
      <c r="M35" s="660">
        <v>0</v>
      </c>
    </row>
    <row r="36" spans="1:13">
      <c r="A36" s="603">
        <v>0</v>
      </c>
      <c r="B36" s="601"/>
      <c r="C36" s="602" t="s">
        <v>3276</v>
      </c>
      <c r="E36" s="658">
        <v>1777087621</v>
      </c>
      <c r="F36" s="658">
        <v>0</v>
      </c>
      <c r="G36" s="658">
        <v>1777087621</v>
      </c>
      <c r="I36" s="658">
        <v>1734522075</v>
      </c>
      <c r="J36" s="658">
        <v>25858480</v>
      </c>
      <c r="K36" s="658">
        <v>1760380555</v>
      </c>
      <c r="M36" s="658">
        <v>16707066</v>
      </c>
    </row>
    <row r="37" spans="1:13">
      <c r="A37" s="603">
        <v>27</v>
      </c>
      <c r="B37" s="596">
        <v>27</v>
      </c>
      <c r="C37" s="597" t="s">
        <v>3164</v>
      </c>
      <c r="E37" s="659">
        <v>326090144</v>
      </c>
      <c r="F37" s="659">
        <v>0</v>
      </c>
      <c r="G37" s="659">
        <v>326090144</v>
      </c>
      <c r="I37" s="659">
        <v>300231664</v>
      </c>
      <c r="J37" s="659">
        <v>25858480</v>
      </c>
      <c r="K37" s="659">
        <v>326090144</v>
      </c>
      <c r="M37" s="659">
        <v>0</v>
      </c>
    </row>
    <row r="38" spans="1:13">
      <c r="A38" s="603">
        <v>28</v>
      </c>
      <c r="B38" s="588">
        <v>28</v>
      </c>
      <c r="C38" s="599" t="s">
        <v>3167</v>
      </c>
      <c r="E38" s="660">
        <v>331887687</v>
      </c>
      <c r="F38" s="660">
        <v>0</v>
      </c>
      <c r="G38" s="660">
        <v>331887687</v>
      </c>
      <c r="I38" s="660">
        <v>335355821</v>
      </c>
      <c r="J38" s="660">
        <v>0</v>
      </c>
      <c r="K38" s="660">
        <v>335355821</v>
      </c>
      <c r="M38" s="660">
        <v>-3468134</v>
      </c>
    </row>
    <row r="39" spans="1:13">
      <c r="A39" s="603">
        <v>29</v>
      </c>
      <c r="B39" s="596">
        <v>29</v>
      </c>
      <c r="C39" s="597" t="s">
        <v>3170</v>
      </c>
      <c r="E39" s="659"/>
      <c r="F39" s="659">
        <v>0</v>
      </c>
      <c r="G39" s="659">
        <v>0</v>
      </c>
      <c r="I39" s="659"/>
      <c r="J39" s="659">
        <v>0</v>
      </c>
      <c r="K39" s="659">
        <v>0</v>
      </c>
      <c r="M39" s="659">
        <v>0</v>
      </c>
    </row>
    <row r="40" spans="1:13">
      <c r="A40" s="603">
        <v>30</v>
      </c>
      <c r="B40" s="588">
        <v>30</v>
      </c>
      <c r="C40" s="599" t="s">
        <v>3173</v>
      </c>
      <c r="E40" s="660">
        <v>1027538024</v>
      </c>
      <c r="F40" s="660">
        <v>0</v>
      </c>
      <c r="G40" s="660">
        <v>1027538024</v>
      </c>
      <c r="I40" s="660">
        <v>1027538024</v>
      </c>
      <c r="J40" s="660">
        <v>0</v>
      </c>
      <c r="K40" s="660">
        <v>1027538024</v>
      </c>
      <c r="M40" s="660">
        <v>0</v>
      </c>
    </row>
    <row r="41" spans="1:13">
      <c r="A41" s="603">
        <v>31</v>
      </c>
      <c r="B41" s="596">
        <v>31</v>
      </c>
      <c r="C41" s="597" t="s">
        <v>3176</v>
      </c>
      <c r="E41" s="659"/>
      <c r="F41" s="659">
        <v>0</v>
      </c>
      <c r="G41" s="659">
        <v>0</v>
      </c>
      <c r="I41" s="659"/>
      <c r="J41" s="659">
        <v>0</v>
      </c>
      <c r="K41" s="659">
        <v>0</v>
      </c>
      <c r="M41" s="659">
        <v>0</v>
      </c>
    </row>
    <row r="42" spans="1:13">
      <c r="A42" s="603">
        <v>32</v>
      </c>
      <c r="B42" s="588">
        <v>32</v>
      </c>
      <c r="C42" s="599" t="s">
        <v>3178</v>
      </c>
      <c r="E42" s="660">
        <v>67756750</v>
      </c>
      <c r="F42" s="660">
        <v>0</v>
      </c>
      <c r="G42" s="660">
        <v>67756750</v>
      </c>
      <c r="I42" s="660">
        <v>67756750</v>
      </c>
      <c r="J42" s="660">
        <v>0</v>
      </c>
      <c r="K42" s="660">
        <v>67756750</v>
      </c>
      <c r="M42" s="660">
        <v>0</v>
      </c>
    </row>
    <row r="43" spans="1:13">
      <c r="A43" s="603">
        <v>33</v>
      </c>
      <c r="B43" s="596">
        <v>33</v>
      </c>
      <c r="C43" s="597" t="s">
        <v>3181</v>
      </c>
      <c r="E43" s="659"/>
      <c r="F43" s="659">
        <v>0</v>
      </c>
      <c r="G43" s="659">
        <v>0</v>
      </c>
      <c r="I43" s="659"/>
      <c r="J43" s="659">
        <v>0</v>
      </c>
      <c r="K43" s="659">
        <v>0</v>
      </c>
      <c r="M43" s="659">
        <v>0</v>
      </c>
    </row>
    <row r="44" spans="1:13">
      <c r="A44" s="603">
        <v>34</v>
      </c>
      <c r="B44" s="588">
        <v>34</v>
      </c>
      <c r="C44" s="599" t="s">
        <v>3184</v>
      </c>
      <c r="E44" s="660">
        <v>3672816</v>
      </c>
      <c r="F44" s="660">
        <v>0</v>
      </c>
      <c r="G44" s="660">
        <v>3672816</v>
      </c>
      <c r="I44" s="660">
        <v>3639816</v>
      </c>
      <c r="J44" s="660">
        <v>0</v>
      </c>
      <c r="K44" s="660">
        <v>3639816</v>
      </c>
      <c r="M44" s="660">
        <v>33000</v>
      </c>
    </row>
    <row r="45" spans="1:13">
      <c r="A45" s="603">
        <v>35</v>
      </c>
      <c r="B45" s="596">
        <v>35</v>
      </c>
      <c r="C45" s="597" t="s">
        <v>3186</v>
      </c>
      <c r="E45" s="659"/>
      <c r="F45" s="659">
        <v>0</v>
      </c>
      <c r="G45" s="659">
        <v>0</v>
      </c>
      <c r="I45" s="659"/>
      <c r="J45" s="659">
        <v>0</v>
      </c>
      <c r="K45" s="659">
        <v>0</v>
      </c>
      <c r="M45" s="659">
        <v>0</v>
      </c>
    </row>
    <row r="46" spans="1:13">
      <c r="A46" s="603">
        <v>36</v>
      </c>
      <c r="B46" s="588">
        <v>36</v>
      </c>
      <c r="C46" s="599" t="s">
        <v>3189</v>
      </c>
      <c r="E46" s="660"/>
      <c r="F46" s="660">
        <v>0</v>
      </c>
      <c r="G46" s="660">
        <v>0</v>
      </c>
      <c r="I46" s="660"/>
      <c r="J46" s="660">
        <v>0</v>
      </c>
      <c r="K46" s="660">
        <v>0</v>
      </c>
      <c r="M46" s="660">
        <v>0</v>
      </c>
    </row>
    <row r="47" spans="1:13">
      <c r="A47" s="603">
        <v>37</v>
      </c>
      <c r="B47" s="596">
        <v>37</v>
      </c>
      <c r="C47" s="597" t="s">
        <v>3277</v>
      </c>
      <c r="E47" s="659"/>
      <c r="F47" s="659">
        <v>0</v>
      </c>
      <c r="G47" s="659">
        <v>0</v>
      </c>
      <c r="I47" s="659"/>
      <c r="J47" s="659">
        <v>0</v>
      </c>
      <c r="K47" s="659">
        <v>0</v>
      </c>
      <c r="M47" s="659">
        <v>0</v>
      </c>
    </row>
    <row r="48" spans="1:13">
      <c r="A48" s="603">
        <v>38</v>
      </c>
      <c r="B48" s="588">
        <v>38</v>
      </c>
      <c r="C48" s="599" t="s">
        <v>3278</v>
      </c>
      <c r="E48" s="660"/>
      <c r="F48" s="660">
        <v>0</v>
      </c>
      <c r="G48" s="660">
        <v>0</v>
      </c>
      <c r="I48" s="660"/>
      <c r="J48" s="660">
        <v>0</v>
      </c>
      <c r="K48" s="660">
        <v>0</v>
      </c>
      <c r="M48" s="660">
        <v>0</v>
      </c>
    </row>
    <row r="49" spans="1:13">
      <c r="A49" s="603">
        <v>39</v>
      </c>
      <c r="B49" s="596">
        <v>39</v>
      </c>
      <c r="C49" s="597" t="s">
        <v>3195</v>
      </c>
      <c r="E49" s="659">
        <v>20142200</v>
      </c>
      <c r="F49" s="659">
        <v>0</v>
      </c>
      <c r="G49" s="659">
        <v>20142200</v>
      </c>
      <c r="I49" s="659"/>
      <c r="J49" s="659">
        <v>0</v>
      </c>
      <c r="K49" s="659">
        <v>0</v>
      </c>
      <c r="M49" s="659">
        <v>20142200</v>
      </c>
    </row>
    <row r="50" spans="1:13">
      <c r="A50" s="603">
        <v>40</v>
      </c>
      <c r="B50" s="588">
        <v>40</v>
      </c>
      <c r="C50" s="599" t="s">
        <v>3198</v>
      </c>
      <c r="E50" s="660"/>
      <c r="F50" s="660">
        <v>0</v>
      </c>
      <c r="G50" s="660">
        <v>0</v>
      </c>
      <c r="I50" s="660"/>
      <c r="J50" s="660">
        <v>0</v>
      </c>
      <c r="K50" s="660">
        <v>0</v>
      </c>
      <c r="M50" s="660">
        <v>0</v>
      </c>
    </row>
    <row r="51" spans="1:13">
      <c r="A51" s="603">
        <v>41</v>
      </c>
      <c r="B51" s="596">
        <v>41</v>
      </c>
      <c r="C51" s="597" t="s">
        <v>3279</v>
      </c>
      <c r="E51" s="659"/>
      <c r="F51" s="659">
        <v>0</v>
      </c>
      <c r="G51" s="659">
        <v>0</v>
      </c>
      <c r="I51" s="659"/>
      <c r="J51" s="659">
        <v>0</v>
      </c>
      <c r="K51" s="659">
        <v>0</v>
      </c>
      <c r="M51" s="659">
        <v>0</v>
      </c>
    </row>
    <row r="52" spans="1:13">
      <c r="A52" s="603"/>
      <c r="B52" s="588">
        <v>42</v>
      </c>
      <c r="C52" s="599" t="s">
        <v>3280</v>
      </c>
      <c r="E52" s="660"/>
      <c r="F52" s="660">
        <v>0</v>
      </c>
      <c r="G52" s="660">
        <v>0</v>
      </c>
      <c r="I52" s="660"/>
      <c r="J52" s="660">
        <v>0</v>
      </c>
      <c r="K52" s="660">
        <v>0</v>
      </c>
      <c r="M52" s="660">
        <v>0</v>
      </c>
    </row>
    <row r="53" spans="1:13">
      <c r="A53" s="603">
        <v>0</v>
      </c>
      <c r="B53" s="601"/>
      <c r="C53" s="602" t="s">
        <v>3281</v>
      </c>
      <c r="E53" s="658">
        <v>275996563</v>
      </c>
      <c r="F53" s="658">
        <v>0</v>
      </c>
      <c r="G53" s="658">
        <v>275996563</v>
      </c>
      <c r="I53" s="658">
        <v>673339245</v>
      </c>
      <c r="J53" s="658">
        <v>0</v>
      </c>
      <c r="K53" s="658">
        <v>673339245</v>
      </c>
      <c r="M53" s="658">
        <v>-397342682</v>
      </c>
    </row>
    <row r="54" spans="1:13">
      <c r="A54" s="603">
        <v>43</v>
      </c>
      <c r="B54" s="596">
        <v>43</v>
      </c>
      <c r="C54" s="597" t="s">
        <v>3282</v>
      </c>
      <c r="E54" s="659"/>
      <c r="F54" s="659">
        <v>0</v>
      </c>
      <c r="G54" s="659">
        <v>0</v>
      </c>
      <c r="I54" s="659">
        <v>392450021</v>
      </c>
      <c r="J54" s="659">
        <v>0</v>
      </c>
      <c r="K54" s="659">
        <v>392450021</v>
      </c>
      <c r="M54" s="659">
        <v>-392450021</v>
      </c>
    </row>
    <row r="55" spans="1:13">
      <c r="A55" s="603">
        <v>44</v>
      </c>
      <c r="B55" s="588">
        <v>44</v>
      </c>
      <c r="C55" s="599" t="s">
        <v>3283</v>
      </c>
      <c r="E55" s="660"/>
      <c r="F55" s="660">
        <v>0</v>
      </c>
      <c r="G55" s="660">
        <v>0</v>
      </c>
      <c r="I55" s="660">
        <v>20414713</v>
      </c>
      <c r="J55" s="660">
        <v>0</v>
      </c>
      <c r="K55" s="660">
        <v>20414713</v>
      </c>
      <c r="M55" s="660">
        <v>-20414713</v>
      </c>
    </row>
    <row r="56" spans="1:13">
      <c r="A56" s="603"/>
      <c r="B56" s="596">
        <v>45</v>
      </c>
      <c r="C56" s="597" t="s">
        <v>3284</v>
      </c>
      <c r="E56" s="659"/>
      <c r="F56" s="659">
        <v>0</v>
      </c>
      <c r="G56" s="659">
        <v>0</v>
      </c>
      <c r="I56" s="659">
        <v>25518388</v>
      </c>
      <c r="J56" s="659">
        <v>0</v>
      </c>
      <c r="K56" s="659">
        <v>25518388</v>
      </c>
      <c r="M56" s="659">
        <v>-25518388</v>
      </c>
    </row>
    <row r="57" spans="1:13">
      <c r="A57" s="603"/>
      <c r="B57" s="588">
        <v>46</v>
      </c>
      <c r="C57" s="599" t="s">
        <v>3285</v>
      </c>
      <c r="E57" s="660">
        <v>275996563</v>
      </c>
      <c r="F57" s="660">
        <v>0</v>
      </c>
      <c r="G57" s="660">
        <v>275996563</v>
      </c>
      <c r="I57" s="660">
        <v>161562952</v>
      </c>
      <c r="J57" s="660">
        <v>0</v>
      </c>
      <c r="K57" s="660">
        <v>161562952</v>
      </c>
      <c r="M57" s="660">
        <v>114433611</v>
      </c>
    </row>
    <row r="58" spans="1:13">
      <c r="A58" s="603"/>
      <c r="B58" s="596">
        <v>47</v>
      </c>
      <c r="C58" s="597" t="s">
        <v>3286</v>
      </c>
      <c r="E58" s="659"/>
      <c r="F58" s="659">
        <v>0</v>
      </c>
      <c r="G58" s="659">
        <v>0</v>
      </c>
      <c r="I58" s="659">
        <v>12759192</v>
      </c>
      <c r="J58" s="659">
        <v>0</v>
      </c>
      <c r="K58" s="659">
        <v>12759192</v>
      </c>
      <c r="M58" s="659">
        <v>-12759192</v>
      </c>
    </row>
    <row r="59" spans="1:13">
      <c r="A59" s="603"/>
      <c r="B59" s="588">
        <v>48</v>
      </c>
      <c r="C59" s="599" t="s">
        <v>3287</v>
      </c>
      <c r="E59" s="660"/>
      <c r="F59" s="660">
        <v>0</v>
      </c>
      <c r="G59" s="660">
        <v>0</v>
      </c>
      <c r="I59" s="660">
        <v>8593382</v>
      </c>
      <c r="J59" s="660">
        <v>0</v>
      </c>
      <c r="K59" s="660">
        <v>8593382</v>
      </c>
      <c r="M59" s="660">
        <v>-8593382</v>
      </c>
    </row>
    <row r="60" spans="1:13">
      <c r="A60" s="603"/>
      <c r="B60" s="596">
        <v>49</v>
      </c>
      <c r="C60" s="597" t="s">
        <v>3288</v>
      </c>
      <c r="E60" s="659"/>
      <c r="F60" s="659">
        <v>0</v>
      </c>
      <c r="G60" s="659">
        <v>0</v>
      </c>
      <c r="I60" s="659">
        <v>1003823</v>
      </c>
      <c r="J60" s="659">
        <v>0</v>
      </c>
      <c r="K60" s="659">
        <v>1003823</v>
      </c>
      <c r="M60" s="659">
        <v>-1003823</v>
      </c>
    </row>
    <row r="61" spans="1:13">
      <c r="A61" s="603"/>
      <c r="B61" s="588">
        <v>50</v>
      </c>
      <c r="C61" s="599" t="s">
        <v>3289</v>
      </c>
      <c r="E61" s="660"/>
      <c r="F61" s="660">
        <v>0</v>
      </c>
      <c r="G61" s="660">
        <v>0</v>
      </c>
      <c r="I61" s="660">
        <v>51036774</v>
      </c>
      <c r="J61" s="660">
        <v>0</v>
      </c>
      <c r="K61" s="660">
        <v>51036774</v>
      </c>
      <c r="M61" s="660">
        <v>-51036774</v>
      </c>
    </row>
    <row r="62" spans="1:13">
      <c r="A62" s="603"/>
      <c r="B62" s="596">
        <v>51</v>
      </c>
      <c r="C62" s="597" t="s">
        <v>3218</v>
      </c>
      <c r="E62" s="659"/>
      <c r="F62" s="659">
        <v>0</v>
      </c>
      <c r="G62" s="659">
        <v>0</v>
      </c>
      <c r="I62" s="659"/>
      <c r="J62" s="659">
        <v>0</v>
      </c>
      <c r="K62" s="659">
        <v>0</v>
      </c>
      <c r="M62" s="659">
        <v>0</v>
      </c>
    </row>
    <row r="63" spans="1:13">
      <c r="A63" s="603">
        <v>0</v>
      </c>
      <c r="B63" s="601"/>
      <c r="C63" s="602" t="s">
        <v>3290</v>
      </c>
      <c r="E63" s="658">
        <v>0</v>
      </c>
      <c r="F63" s="658">
        <v>0</v>
      </c>
      <c r="G63" s="658">
        <v>0</v>
      </c>
      <c r="I63" s="658">
        <v>0</v>
      </c>
      <c r="J63" s="658">
        <v>0</v>
      </c>
      <c r="K63" s="658">
        <v>0</v>
      </c>
      <c r="M63" s="658">
        <v>0</v>
      </c>
    </row>
    <row r="64" spans="1:13">
      <c r="A64" s="603">
        <v>52</v>
      </c>
      <c r="B64" s="588">
        <v>52</v>
      </c>
      <c r="C64" s="599" t="s">
        <v>3222</v>
      </c>
      <c r="E64" s="660"/>
      <c r="F64" s="660">
        <v>0</v>
      </c>
      <c r="G64" s="660">
        <v>0</v>
      </c>
      <c r="I64" s="660"/>
      <c r="J64" s="660">
        <v>0</v>
      </c>
      <c r="K64" s="660">
        <v>0</v>
      </c>
      <c r="M64" s="660">
        <v>0</v>
      </c>
    </row>
    <row r="65" spans="1:13">
      <c r="A65" s="603">
        <v>53</v>
      </c>
      <c r="B65" s="596">
        <v>53</v>
      </c>
      <c r="C65" s="597" t="s">
        <v>3225</v>
      </c>
      <c r="E65" s="659"/>
      <c r="F65" s="659">
        <v>0</v>
      </c>
      <c r="G65" s="659">
        <v>0</v>
      </c>
      <c r="I65" s="659"/>
      <c r="J65" s="659">
        <v>0</v>
      </c>
      <c r="K65" s="659">
        <v>0</v>
      </c>
      <c r="M65" s="659">
        <v>0</v>
      </c>
    </row>
    <row r="66" spans="1:13">
      <c r="A66" s="603">
        <v>54</v>
      </c>
      <c r="B66" s="588">
        <v>54</v>
      </c>
      <c r="C66" s="599" t="s">
        <v>3291</v>
      </c>
      <c r="E66" s="660"/>
      <c r="F66" s="660">
        <v>0</v>
      </c>
      <c r="G66" s="660">
        <v>0</v>
      </c>
      <c r="I66" s="660"/>
      <c r="J66" s="660">
        <v>0</v>
      </c>
      <c r="K66" s="660">
        <v>0</v>
      </c>
      <c r="M66" s="660">
        <v>0</v>
      </c>
    </row>
    <row r="67" spans="1:13">
      <c r="A67" s="603"/>
      <c r="B67" s="601"/>
      <c r="C67" s="602" t="s">
        <v>3292</v>
      </c>
      <c r="E67" s="658">
        <v>0</v>
      </c>
      <c r="F67" s="658">
        <v>0</v>
      </c>
      <c r="G67" s="658">
        <v>0</v>
      </c>
      <c r="I67" s="658">
        <v>0</v>
      </c>
      <c r="J67" s="658">
        <v>0</v>
      </c>
      <c r="K67" s="658">
        <v>0</v>
      </c>
      <c r="M67" s="658">
        <v>0</v>
      </c>
    </row>
    <row r="68" spans="1:13">
      <c r="A68" s="603"/>
      <c r="B68" s="596">
        <v>55</v>
      </c>
      <c r="C68" s="597" t="s">
        <v>3231</v>
      </c>
      <c r="E68" s="659"/>
      <c r="F68" s="659">
        <v>0</v>
      </c>
      <c r="G68" s="659">
        <v>0</v>
      </c>
      <c r="I68" s="659"/>
      <c r="J68" s="659">
        <v>0</v>
      </c>
      <c r="K68" s="659">
        <v>0</v>
      </c>
      <c r="M68" s="659">
        <v>0</v>
      </c>
    </row>
    <row r="69" spans="1:13">
      <c r="A69" s="603"/>
      <c r="B69" s="588">
        <v>56</v>
      </c>
      <c r="C69" s="599" t="s">
        <v>3293</v>
      </c>
      <c r="E69" s="660"/>
      <c r="F69" s="660">
        <v>0</v>
      </c>
      <c r="G69" s="660">
        <v>0</v>
      </c>
      <c r="I69" s="660"/>
      <c r="J69" s="660">
        <v>0</v>
      </c>
      <c r="K69" s="660">
        <v>0</v>
      </c>
      <c r="M69" s="660">
        <v>0</v>
      </c>
    </row>
    <row r="70" spans="1:13">
      <c r="A70" s="603">
        <v>0</v>
      </c>
      <c r="B70" s="601"/>
      <c r="C70" s="602" t="s">
        <v>340</v>
      </c>
      <c r="E70" s="658">
        <v>37307083</v>
      </c>
      <c r="F70" s="658">
        <v>3755578</v>
      </c>
      <c r="G70" s="658">
        <v>41062661</v>
      </c>
      <c r="I70" s="658">
        <v>41062661</v>
      </c>
      <c r="J70" s="658">
        <v>0</v>
      </c>
      <c r="K70" s="658">
        <v>41062661</v>
      </c>
      <c r="M70" s="658">
        <v>0</v>
      </c>
    </row>
    <row r="71" spans="1:13">
      <c r="A71" s="603">
        <v>57</v>
      </c>
      <c r="B71" s="596">
        <v>57</v>
      </c>
      <c r="C71" s="597" t="s">
        <v>3294</v>
      </c>
      <c r="E71" s="659">
        <v>37307083</v>
      </c>
      <c r="F71" s="659">
        <v>3755578</v>
      </c>
      <c r="G71" s="659">
        <v>41062661</v>
      </c>
      <c r="I71" s="659">
        <v>41062661</v>
      </c>
      <c r="J71" s="659">
        <v>0</v>
      </c>
      <c r="K71" s="659">
        <v>41062661</v>
      </c>
      <c r="M71" s="659">
        <v>0</v>
      </c>
    </row>
    <row r="72" spans="1:13">
      <c r="A72" s="603">
        <v>0</v>
      </c>
      <c r="B72" s="601"/>
      <c r="C72" s="602" t="s">
        <v>3295</v>
      </c>
      <c r="E72" s="658">
        <v>204261298</v>
      </c>
      <c r="F72" s="658">
        <v>-908380</v>
      </c>
      <c r="G72" s="658">
        <v>203352918</v>
      </c>
      <c r="I72" s="658">
        <v>203352918</v>
      </c>
      <c r="J72" s="658">
        <v>0</v>
      </c>
      <c r="K72" s="658">
        <v>203352918</v>
      </c>
      <c r="M72" s="658">
        <v>0</v>
      </c>
    </row>
    <row r="73" spans="1:13">
      <c r="A73" s="603">
        <v>58</v>
      </c>
      <c r="B73" s="588">
        <v>58</v>
      </c>
      <c r="C73" s="599" t="s">
        <v>3296</v>
      </c>
      <c r="E73" s="660">
        <v>204261298</v>
      </c>
      <c r="F73" s="660">
        <v>-908380</v>
      </c>
      <c r="G73" s="660">
        <v>203352918</v>
      </c>
      <c r="I73" s="660">
        <v>203352918</v>
      </c>
      <c r="J73" s="660">
        <v>0</v>
      </c>
      <c r="K73" s="660">
        <v>203352918</v>
      </c>
      <c r="M73" s="660">
        <v>0</v>
      </c>
    </row>
    <row r="74" spans="1:13">
      <c r="A74" s="603"/>
      <c r="B74" s="601"/>
      <c r="C74" s="602" t="s">
        <v>3297</v>
      </c>
      <c r="E74" s="658">
        <v>0</v>
      </c>
      <c r="F74" s="658">
        <v>0</v>
      </c>
      <c r="G74" s="658">
        <v>0</v>
      </c>
      <c r="I74" s="658">
        <v>0</v>
      </c>
      <c r="J74" s="658">
        <v>0</v>
      </c>
      <c r="K74" s="658">
        <v>0</v>
      </c>
      <c r="M74" s="658">
        <v>0</v>
      </c>
    </row>
    <row r="75" spans="1:13">
      <c r="A75" s="603"/>
      <c r="B75" s="588">
        <v>59</v>
      </c>
      <c r="C75" s="599" t="s">
        <v>3298</v>
      </c>
      <c r="E75" s="660"/>
      <c r="F75" s="660">
        <v>0</v>
      </c>
      <c r="G75" s="660">
        <v>0</v>
      </c>
      <c r="I75" s="660"/>
      <c r="J75" s="660">
        <v>0</v>
      </c>
      <c r="K75" s="660">
        <v>0</v>
      </c>
      <c r="M75" s="660"/>
    </row>
    <row r="76" spans="1:13">
      <c r="A76" s="603"/>
      <c r="B76" s="601"/>
      <c r="C76" s="602" t="s">
        <v>3299</v>
      </c>
      <c r="E76" s="658">
        <v>0</v>
      </c>
      <c r="F76" s="658">
        <v>0</v>
      </c>
      <c r="G76" s="658">
        <v>0</v>
      </c>
      <c r="I76" s="658">
        <v>0</v>
      </c>
      <c r="J76" s="658">
        <v>0</v>
      </c>
      <c r="K76" s="658">
        <v>0</v>
      </c>
      <c r="M76" s="658">
        <v>0</v>
      </c>
    </row>
    <row r="77" spans="1:13">
      <c r="A77" s="603"/>
      <c r="B77" s="588">
        <v>60</v>
      </c>
      <c r="C77" s="599" t="s">
        <v>3300</v>
      </c>
      <c r="E77" s="660"/>
      <c r="F77" s="660">
        <v>0</v>
      </c>
      <c r="G77" s="660">
        <v>0</v>
      </c>
      <c r="I77" s="660"/>
      <c r="J77" s="660">
        <v>0</v>
      </c>
      <c r="K77" s="660">
        <v>0</v>
      </c>
      <c r="M77" s="660"/>
    </row>
    <row r="78" spans="1:13">
      <c r="A78" s="603"/>
      <c r="B78" s="601"/>
      <c r="C78" s="602" t="s">
        <v>3301</v>
      </c>
      <c r="E78" s="658">
        <v>2257500</v>
      </c>
      <c r="F78" s="658">
        <v>0</v>
      </c>
      <c r="G78" s="658">
        <v>2257500</v>
      </c>
      <c r="I78" s="658">
        <v>2257500</v>
      </c>
      <c r="J78" s="658">
        <v>0</v>
      </c>
      <c r="K78" s="658">
        <v>2257500</v>
      </c>
      <c r="M78" s="658">
        <v>0</v>
      </c>
    </row>
    <row r="79" spans="1:13">
      <c r="A79" s="603"/>
      <c r="B79" s="596">
        <v>61</v>
      </c>
      <c r="C79" s="597" t="s">
        <v>3302</v>
      </c>
      <c r="E79" s="659"/>
      <c r="F79" s="659"/>
      <c r="G79" s="659"/>
      <c r="I79" s="659"/>
      <c r="J79" s="659"/>
      <c r="K79" s="659"/>
      <c r="M79" s="659"/>
    </row>
  </sheetData>
  <mergeCells count="5">
    <mergeCell ref="B3:B4"/>
    <mergeCell ref="C3:C4"/>
    <mergeCell ref="E3:G3"/>
    <mergeCell ref="I3:K3"/>
    <mergeCell ref="M3:M4"/>
  </mergeCells>
  <hyperlinks>
    <hyperlink ref="A1" location="Sommaire!A1" display="Sommaire!A1" xr:uid="{00000000-0004-0000-2000-000000000000}"/>
  </hyperlinks>
  <pageMargins left="0.7" right="0.7" top="0.75" bottom="0.75" header="0.3" footer="0.3"/>
  <pageSetup paperSize="9" orientation="landscape"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M79"/>
  <sheetViews>
    <sheetView showGridLines="0" zoomScaleNormal="100" workbookViewId="0">
      <selection activeCell="B1" sqref="B1"/>
    </sheetView>
  </sheetViews>
  <sheetFormatPr baseColWidth="10" defaultColWidth="11.33203125" defaultRowHeight="12"/>
  <cols>
    <col min="1" max="1" width="10.1640625" style="588" bestFit="1" customWidth="1"/>
    <col min="2" max="2" width="19" style="588" bestFit="1" customWidth="1"/>
    <col min="3" max="3" width="54.5" style="605" bestFit="1" customWidth="1"/>
    <col min="4" max="4" width="0.6640625" style="590" customWidth="1"/>
    <col min="5" max="5" width="11.5" style="590" bestFit="1" customWidth="1"/>
    <col min="6" max="6" width="10.6640625" style="588" bestFit="1" customWidth="1"/>
    <col min="7" max="7" width="11.5" style="590" bestFit="1" customWidth="1"/>
    <col min="8" max="8" width="0.6640625" style="590" customWidth="1"/>
    <col min="9" max="9" width="10.6640625" style="590" bestFit="1" customWidth="1"/>
    <col min="10" max="11" width="11.5" style="590" bestFit="1" customWidth="1"/>
    <col min="12" max="12" width="0.6640625" style="590" customWidth="1"/>
    <col min="13" max="13" width="13.83203125" style="590" bestFit="1" customWidth="1"/>
    <col min="14" max="16384" width="11.33203125" style="590"/>
  </cols>
  <sheetData>
    <row r="1" spans="1:13" ht="14.5">
      <c r="A1" s="661" t="s">
        <v>140</v>
      </c>
      <c r="C1" s="589" t="s">
        <v>3249</v>
      </c>
      <c r="E1" s="591" t="s">
        <v>260</v>
      </c>
      <c r="F1" s="591">
        <v>2236190</v>
      </c>
      <c r="G1" s="592"/>
      <c r="J1" s="592" t="s">
        <v>3251</v>
      </c>
      <c r="K1" s="592">
        <v>2023</v>
      </c>
    </row>
    <row r="2" spans="1:13">
      <c r="C2" s="593"/>
      <c r="F2" s="590"/>
      <c r="I2" s="590" t="s">
        <v>3252</v>
      </c>
      <c r="J2" s="594">
        <v>604.32574999999997</v>
      </c>
    </row>
    <row r="3" spans="1:13">
      <c r="B3" s="753" t="s">
        <v>143</v>
      </c>
      <c r="C3" s="754" t="s">
        <v>3253</v>
      </c>
      <c r="E3" s="755" t="s">
        <v>2084</v>
      </c>
      <c r="F3" s="755"/>
      <c r="G3" s="755"/>
      <c r="I3" s="755" t="s">
        <v>3254</v>
      </c>
      <c r="J3" s="755"/>
      <c r="K3" s="755"/>
      <c r="M3" s="756" t="s">
        <v>3255</v>
      </c>
    </row>
    <row r="4" spans="1:13">
      <c r="B4" s="753"/>
      <c r="C4" s="754"/>
      <c r="E4" s="595" t="s">
        <v>3256</v>
      </c>
      <c r="F4" s="595" t="s">
        <v>3257</v>
      </c>
      <c r="G4" s="595" t="s">
        <v>3258</v>
      </c>
      <c r="I4" s="595" t="s">
        <v>3256</v>
      </c>
      <c r="J4" s="595" t="s">
        <v>3257</v>
      </c>
      <c r="K4" s="595" t="s">
        <v>3258</v>
      </c>
      <c r="M4" s="756"/>
    </row>
    <row r="5" spans="1:13">
      <c r="B5" s="655" t="s">
        <v>3092</v>
      </c>
      <c r="C5" s="656"/>
      <c r="E5" s="657">
        <v>0</v>
      </c>
      <c r="F5" s="657">
        <v>0</v>
      </c>
      <c r="G5" s="657">
        <v>0</v>
      </c>
      <c r="I5" s="657">
        <v>0</v>
      </c>
      <c r="J5" s="657">
        <v>0</v>
      </c>
      <c r="K5" s="657">
        <v>0</v>
      </c>
      <c r="M5" s="657">
        <v>0</v>
      </c>
    </row>
    <row r="6" spans="1:13">
      <c r="B6" s="596">
        <v>1</v>
      </c>
      <c r="C6" s="597" t="s">
        <v>3259</v>
      </c>
      <c r="E6" s="598"/>
      <c r="F6" s="598">
        <v>0</v>
      </c>
      <c r="G6" s="598">
        <v>0</v>
      </c>
      <c r="I6" s="598"/>
      <c r="J6" s="598">
        <v>0</v>
      </c>
      <c r="K6" s="598">
        <v>0</v>
      </c>
      <c r="M6" s="598">
        <v>0</v>
      </c>
    </row>
    <row r="7" spans="1:13">
      <c r="B7" s="588">
        <v>2</v>
      </c>
      <c r="C7" s="599" t="s">
        <v>3260</v>
      </c>
      <c r="E7" s="600"/>
      <c r="F7" s="600">
        <v>0</v>
      </c>
      <c r="G7" s="600">
        <v>0</v>
      </c>
      <c r="I7" s="600"/>
      <c r="J7" s="600">
        <v>0</v>
      </c>
      <c r="K7" s="600">
        <v>0</v>
      </c>
      <c r="M7" s="600">
        <v>0</v>
      </c>
    </row>
    <row r="8" spans="1:13">
      <c r="B8" s="655" t="s">
        <v>3101</v>
      </c>
      <c r="C8" s="656"/>
      <c r="E8" s="657">
        <v>313226649</v>
      </c>
      <c r="F8" s="657">
        <v>64391458</v>
      </c>
      <c r="G8" s="657">
        <v>377618107</v>
      </c>
      <c r="I8" s="657">
        <v>79365471</v>
      </c>
      <c r="J8" s="657">
        <v>271040168</v>
      </c>
      <c r="K8" s="657">
        <v>350405639</v>
      </c>
      <c r="M8" s="657">
        <v>27212468</v>
      </c>
    </row>
    <row r="9" spans="1:13">
      <c r="B9" s="601"/>
      <c r="C9" s="602" t="s">
        <v>1244</v>
      </c>
      <c r="E9" s="658">
        <v>23916710</v>
      </c>
      <c r="F9" s="658">
        <v>44495723</v>
      </c>
      <c r="G9" s="658">
        <v>68412433</v>
      </c>
      <c r="I9" s="658">
        <v>68412433</v>
      </c>
      <c r="J9" s="658">
        <v>0</v>
      </c>
      <c r="K9" s="658">
        <v>68412433</v>
      </c>
      <c r="M9" s="658">
        <v>0</v>
      </c>
    </row>
    <row r="10" spans="1:13">
      <c r="A10" s="603">
        <v>3</v>
      </c>
      <c r="B10" s="596">
        <v>3</v>
      </c>
      <c r="C10" s="597" t="s">
        <v>3261</v>
      </c>
      <c r="E10" s="659">
        <v>23916710</v>
      </c>
      <c r="F10" s="659">
        <v>43439768</v>
      </c>
      <c r="G10" s="659">
        <v>67356478</v>
      </c>
      <c r="I10" s="659">
        <v>67356478</v>
      </c>
      <c r="J10" s="659">
        <v>0</v>
      </c>
      <c r="K10" s="659">
        <v>67356478</v>
      </c>
      <c r="M10" s="659">
        <v>0</v>
      </c>
    </row>
    <row r="11" spans="1:13">
      <c r="A11" s="603">
        <v>4</v>
      </c>
      <c r="B11" s="588">
        <v>4</v>
      </c>
      <c r="C11" s="599" t="s">
        <v>3106</v>
      </c>
      <c r="E11" s="660"/>
      <c r="F11" s="660">
        <v>0</v>
      </c>
      <c r="G11" s="660">
        <v>0</v>
      </c>
      <c r="I11" s="660"/>
      <c r="J11" s="660">
        <v>0</v>
      </c>
      <c r="K11" s="660">
        <v>0</v>
      </c>
      <c r="M11" s="660">
        <v>0</v>
      </c>
    </row>
    <row r="12" spans="1:13">
      <c r="A12" s="603">
        <v>5</v>
      </c>
      <c r="B12" s="596">
        <v>5</v>
      </c>
      <c r="C12" s="597" t="s">
        <v>3262</v>
      </c>
      <c r="E12" s="659"/>
      <c r="F12" s="659">
        <v>1000000</v>
      </c>
      <c r="G12" s="659">
        <v>1000000</v>
      </c>
      <c r="I12" s="659">
        <v>1000000</v>
      </c>
      <c r="J12" s="659">
        <v>0</v>
      </c>
      <c r="K12" s="659">
        <v>1000000</v>
      </c>
      <c r="M12" s="659">
        <v>0</v>
      </c>
    </row>
    <row r="13" spans="1:13">
      <c r="A13" s="603">
        <v>6</v>
      </c>
      <c r="B13" s="588">
        <v>6</v>
      </c>
      <c r="C13" s="599" t="s">
        <v>3263</v>
      </c>
      <c r="E13" s="660"/>
      <c r="F13" s="660">
        <v>0</v>
      </c>
      <c r="G13" s="660">
        <v>0</v>
      </c>
      <c r="I13" s="660"/>
      <c r="J13" s="660">
        <v>0</v>
      </c>
      <c r="K13" s="660">
        <v>0</v>
      </c>
      <c r="M13" s="660">
        <v>0</v>
      </c>
    </row>
    <row r="14" spans="1:13">
      <c r="A14" s="603">
        <v>7</v>
      </c>
      <c r="B14" s="596">
        <v>7</v>
      </c>
      <c r="C14" s="597" t="s">
        <v>3114</v>
      </c>
      <c r="E14" s="659"/>
      <c r="F14" s="659">
        <v>55955</v>
      </c>
      <c r="G14" s="659">
        <v>55955</v>
      </c>
      <c r="I14" s="659">
        <v>55955</v>
      </c>
      <c r="J14" s="659">
        <v>0</v>
      </c>
      <c r="K14" s="659">
        <v>55955</v>
      </c>
      <c r="M14" s="659">
        <v>0</v>
      </c>
    </row>
    <row r="15" spans="1:13">
      <c r="A15" s="603">
        <v>0</v>
      </c>
      <c r="B15" s="601"/>
      <c r="C15" s="602" t="s">
        <v>1253</v>
      </c>
      <c r="E15" s="658">
        <v>0</v>
      </c>
      <c r="F15" s="658">
        <v>0</v>
      </c>
      <c r="G15" s="658">
        <v>0</v>
      </c>
      <c r="I15" s="658">
        <v>0</v>
      </c>
      <c r="J15" s="658">
        <v>0</v>
      </c>
      <c r="K15" s="658">
        <v>0</v>
      </c>
      <c r="M15" s="658">
        <v>0</v>
      </c>
    </row>
    <row r="16" spans="1:13">
      <c r="A16" s="603">
        <v>8</v>
      </c>
      <c r="B16" s="588">
        <v>8</v>
      </c>
      <c r="C16" s="599" t="s">
        <v>3264</v>
      </c>
      <c r="E16" s="660"/>
      <c r="F16" s="660">
        <v>0</v>
      </c>
      <c r="G16" s="660">
        <v>0</v>
      </c>
      <c r="I16" s="660"/>
      <c r="J16" s="660">
        <v>0</v>
      </c>
      <c r="K16" s="660">
        <v>0</v>
      </c>
      <c r="M16" s="660">
        <v>0</v>
      </c>
    </row>
    <row r="17" spans="1:13">
      <c r="A17" s="603">
        <v>9</v>
      </c>
      <c r="B17" s="596">
        <v>9</v>
      </c>
      <c r="C17" s="597" t="s">
        <v>3265</v>
      </c>
      <c r="E17" s="659"/>
      <c r="F17" s="659">
        <v>0</v>
      </c>
      <c r="G17" s="659">
        <v>0</v>
      </c>
      <c r="I17" s="659"/>
      <c r="J17" s="659">
        <v>0</v>
      </c>
      <c r="K17" s="659">
        <v>0</v>
      </c>
      <c r="M17" s="659">
        <v>0</v>
      </c>
    </row>
    <row r="18" spans="1:13">
      <c r="A18" s="603"/>
      <c r="B18" s="588">
        <v>10</v>
      </c>
      <c r="C18" s="599" t="s">
        <v>3122</v>
      </c>
      <c r="E18" s="660"/>
      <c r="F18" s="660">
        <v>0</v>
      </c>
      <c r="G18" s="660">
        <v>0</v>
      </c>
      <c r="I18" s="660"/>
      <c r="J18" s="660">
        <v>0</v>
      </c>
      <c r="K18" s="660">
        <v>0</v>
      </c>
      <c r="M18" s="660">
        <v>0</v>
      </c>
    </row>
    <row r="19" spans="1:13">
      <c r="A19" s="603">
        <v>11</v>
      </c>
      <c r="B19" s="596">
        <v>11</v>
      </c>
      <c r="C19" s="597" t="s">
        <v>3124</v>
      </c>
      <c r="E19" s="659"/>
      <c r="F19" s="659">
        <v>0</v>
      </c>
      <c r="G19" s="659">
        <v>0</v>
      </c>
      <c r="I19" s="659"/>
      <c r="J19" s="659">
        <v>0</v>
      </c>
      <c r="K19" s="659">
        <v>0</v>
      </c>
      <c r="M19" s="659">
        <v>0</v>
      </c>
    </row>
    <row r="20" spans="1:13">
      <c r="A20" s="603">
        <v>12</v>
      </c>
      <c r="B20" s="588">
        <v>12</v>
      </c>
      <c r="C20" s="599" t="s">
        <v>3266</v>
      </c>
      <c r="E20" s="660"/>
      <c r="F20" s="660">
        <v>0</v>
      </c>
      <c r="G20" s="660">
        <v>0</v>
      </c>
      <c r="I20" s="660"/>
      <c r="J20" s="660">
        <v>0</v>
      </c>
      <c r="K20" s="660">
        <v>0</v>
      </c>
      <c r="M20" s="660">
        <v>0</v>
      </c>
    </row>
    <row r="21" spans="1:13">
      <c r="A21" s="603">
        <v>13</v>
      </c>
      <c r="B21" s="596">
        <v>13</v>
      </c>
      <c r="C21" s="597" t="s">
        <v>3267</v>
      </c>
      <c r="E21" s="659"/>
      <c r="F21" s="659">
        <v>0</v>
      </c>
      <c r="G21" s="659">
        <v>0</v>
      </c>
      <c r="I21" s="659"/>
      <c r="J21" s="659">
        <v>0</v>
      </c>
      <c r="K21" s="659">
        <v>0</v>
      </c>
      <c r="M21" s="659">
        <v>0</v>
      </c>
    </row>
    <row r="22" spans="1:13">
      <c r="A22" s="603">
        <v>14</v>
      </c>
      <c r="B22" s="588">
        <v>14</v>
      </c>
      <c r="C22" s="599" t="s">
        <v>3268</v>
      </c>
      <c r="E22" s="660"/>
      <c r="F22" s="660">
        <v>0</v>
      </c>
      <c r="G22" s="660">
        <v>0</v>
      </c>
      <c r="I22" s="660"/>
      <c r="J22" s="660">
        <v>0</v>
      </c>
      <c r="K22" s="660">
        <v>0</v>
      </c>
      <c r="M22" s="660">
        <v>0</v>
      </c>
    </row>
    <row r="23" spans="1:13">
      <c r="A23" s="603">
        <v>15</v>
      </c>
      <c r="B23" s="596">
        <v>15</v>
      </c>
      <c r="C23" s="597" t="s">
        <v>3133</v>
      </c>
      <c r="E23" s="659"/>
      <c r="F23" s="659">
        <v>0</v>
      </c>
      <c r="G23" s="659">
        <v>0</v>
      </c>
      <c r="I23" s="659"/>
      <c r="J23" s="659">
        <v>0</v>
      </c>
      <c r="K23" s="659">
        <v>0</v>
      </c>
      <c r="M23" s="659">
        <v>0</v>
      </c>
    </row>
    <row r="24" spans="1:13">
      <c r="A24" s="603">
        <v>16</v>
      </c>
      <c r="B24" s="588">
        <v>16</v>
      </c>
      <c r="C24" s="599" t="s">
        <v>3136</v>
      </c>
      <c r="E24" s="660"/>
      <c r="F24" s="660">
        <v>0</v>
      </c>
      <c r="G24" s="660">
        <v>0</v>
      </c>
      <c r="I24" s="660"/>
      <c r="J24" s="660">
        <v>0</v>
      </c>
      <c r="K24" s="660">
        <v>0</v>
      </c>
      <c r="M24" s="660">
        <v>0</v>
      </c>
    </row>
    <row r="25" spans="1:13">
      <c r="A25" s="603">
        <v>0</v>
      </c>
      <c r="B25" s="601"/>
      <c r="C25" s="602" t="s">
        <v>3269</v>
      </c>
      <c r="E25" s="658">
        <v>9170703</v>
      </c>
      <c r="F25" s="658">
        <v>0</v>
      </c>
      <c r="G25" s="658">
        <v>9170703</v>
      </c>
      <c r="I25" s="658">
        <v>0</v>
      </c>
      <c r="J25" s="658">
        <v>9170703</v>
      </c>
      <c r="K25" s="658">
        <v>9170703</v>
      </c>
      <c r="M25" s="658">
        <v>0</v>
      </c>
    </row>
    <row r="26" spans="1:13">
      <c r="A26" s="603">
        <v>17</v>
      </c>
      <c r="B26" s="596">
        <v>17</v>
      </c>
      <c r="C26" s="597" t="s">
        <v>3270</v>
      </c>
      <c r="E26" s="659"/>
      <c r="F26" s="659">
        <v>0</v>
      </c>
      <c r="G26" s="659">
        <v>0</v>
      </c>
      <c r="I26" s="659"/>
      <c r="J26" s="659">
        <v>0</v>
      </c>
      <c r="K26" s="659">
        <v>0</v>
      </c>
      <c r="M26" s="659">
        <v>0</v>
      </c>
    </row>
    <row r="27" spans="1:13">
      <c r="A27" s="603">
        <v>18</v>
      </c>
      <c r="B27" s="588">
        <v>18</v>
      </c>
      <c r="C27" s="599" t="s">
        <v>3141</v>
      </c>
      <c r="E27" s="660"/>
      <c r="F27" s="660">
        <v>0</v>
      </c>
      <c r="G27" s="660">
        <v>0</v>
      </c>
      <c r="I27" s="660"/>
      <c r="J27" s="660">
        <v>0</v>
      </c>
      <c r="K27" s="660">
        <v>0</v>
      </c>
      <c r="M27" s="660">
        <v>0</v>
      </c>
    </row>
    <row r="28" spans="1:13">
      <c r="A28" s="603">
        <v>19</v>
      </c>
      <c r="B28" s="596">
        <v>19</v>
      </c>
      <c r="C28" s="597" t="s">
        <v>3144</v>
      </c>
      <c r="E28" s="659"/>
      <c r="F28" s="659">
        <v>0</v>
      </c>
      <c r="G28" s="659">
        <v>0</v>
      </c>
      <c r="I28" s="659"/>
      <c r="J28" s="659">
        <v>0</v>
      </c>
      <c r="K28" s="659">
        <v>0</v>
      </c>
      <c r="M28" s="659">
        <v>0</v>
      </c>
    </row>
    <row r="29" spans="1:13">
      <c r="A29" s="603">
        <v>20</v>
      </c>
      <c r="B29" s="588">
        <v>20</v>
      </c>
      <c r="C29" s="599" t="s">
        <v>3147</v>
      </c>
      <c r="E29" s="660"/>
      <c r="F29" s="660">
        <v>0</v>
      </c>
      <c r="G29" s="660">
        <v>0</v>
      </c>
      <c r="I29" s="660"/>
      <c r="J29" s="660">
        <v>0</v>
      </c>
      <c r="K29" s="660">
        <v>0</v>
      </c>
      <c r="M29" s="660">
        <v>0</v>
      </c>
    </row>
    <row r="30" spans="1:13">
      <c r="A30" s="603">
        <v>21</v>
      </c>
      <c r="B30" s="596">
        <v>21</v>
      </c>
      <c r="C30" s="597" t="s">
        <v>3271</v>
      </c>
      <c r="E30" s="659"/>
      <c r="F30" s="659">
        <v>0</v>
      </c>
      <c r="G30" s="659">
        <v>0</v>
      </c>
      <c r="I30" s="659"/>
      <c r="J30" s="659">
        <v>0</v>
      </c>
      <c r="K30" s="659">
        <v>0</v>
      </c>
      <c r="M30" s="659">
        <v>0</v>
      </c>
    </row>
    <row r="31" spans="1:13">
      <c r="A31" s="603">
        <v>22</v>
      </c>
      <c r="B31" s="588">
        <v>22</v>
      </c>
      <c r="C31" s="599" t="s">
        <v>3272</v>
      </c>
      <c r="E31" s="660"/>
      <c r="F31" s="660">
        <v>0</v>
      </c>
      <c r="G31" s="660">
        <v>0</v>
      </c>
      <c r="I31" s="660"/>
      <c r="J31" s="660">
        <v>0</v>
      </c>
      <c r="K31" s="660">
        <v>0</v>
      </c>
      <c r="M31" s="660">
        <v>0</v>
      </c>
    </row>
    <row r="32" spans="1:13">
      <c r="A32" s="603">
        <v>23</v>
      </c>
      <c r="B32" s="596">
        <v>23</v>
      </c>
      <c r="C32" s="597" t="s">
        <v>3273</v>
      </c>
      <c r="E32" s="659"/>
      <c r="F32" s="659">
        <v>0</v>
      </c>
      <c r="G32" s="659">
        <v>0</v>
      </c>
      <c r="I32" s="659"/>
      <c r="J32" s="659">
        <v>0</v>
      </c>
      <c r="K32" s="659">
        <v>0</v>
      </c>
      <c r="M32" s="659">
        <v>0</v>
      </c>
    </row>
    <row r="33" spans="1:13">
      <c r="A33" s="603">
        <v>24</v>
      </c>
      <c r="B33" s="588">
        <v>24</v>
      </c>
      <c r="C33" s="599" t="s">
        <v>3158</v>
      </c>
      <c r="E33" s="660"/>
      <c r="F33" s="660">
        <v>0</v>
      </c>
      <c r="G33" s="660">
        <v>0</v>
      </c>
      <c r="I33" s="660"/>
      <c r="J33" s="660">
        <v>0</v>
      </c>
      <c r="K33" s="660">
        <v>0</v>
      </c>
      <c r="M33" s="660">
        <v>0</v>
      </c>
    </row>
    <row r="34" spans="1:13" s="604" customFormat="1">
      <c r="A34" s="603">
        <v>25</v>
      </c>
      <c r="B34" s="596">
        <v>25</v>
      </c>
      <c r="C34" s="597" t="s">
        <v>3274</v>
      </c>
      <c r="D34" s="590"/>
      <c r="E34" s="659"/>
      <c r="F34" s="659">
        <v>0</v>
      </c>
      <c r="G34" s="659">
        <v>0</v>
      </c>
      <c r="H34" s="590"/>
      <c r="I34" s="659"/>
      <c r="J34" s="659">
        <v>0</v>
      </c>
      <c r="K34" s="659">
        <v>0</v>
      </c>
      <c r="L34" s="590"/>
      <c r="M34" s="659">
        <v>0</v>
      </c>
    </row>
    <row r="35" spans="1:13">
      <c r="A35" s="603">
        <v>26</v>
      </c>
      <c r="B35" s="588">
        <v>26</v>
      </c>
      <c r="C35" s="599" t="s">
        <v>3275</v>
      </c>
      <c r="E35" s="660">
        <v>9170703</v>
      </c>
      <c r="F35" s="660">
        <v>0</v>
      </c>
      <c r="G35" s="660">
        <v>9170703</v>
      </c>
      <c r="I35" s="660"/>
      <c r="J35" s="660">
        <v>9170703</v>
      </c>
      <c r="K35" s="660">
        <v>9170703</v>
      </c>
      <c r="M35" s="660">
        <v>0</v>
      </c>
    </row>
    <row r="36" spans="1:13">
      <c r="A36" s="603">
        <v>0</v>
      </c>
      <c r="B36" s="601"/>
      <c r="C36" s="602" t="s">
        <v>3276</v>
      </c>
      <c r="E36" s="658">
        <v>242140480</v>
      </c>
      <c r="F36" s="658">
        <v>19895735</v>
      </c>
      <c r="G36" s="658">
        <v>262036215</v>
      </c>
      <c r="I36" s="658">
        <v>166750</v>
      </c>
      <c r="J36" s="658">
        <v>261869465</v>
      </c>
      <c r="K36" s="658">
        <v>262036215</v>
      </c>
      <c r="M36" s="658">
        <v>0</v>
      </c>
    </row>
    <row r="37" spans="1:13">
      <c r="A37" s="603">
        <v>27</v>
      </c>
      <c r="B37" s="596">
        <v>27</v>
      </c>
      <c r="C37" s="597" t="s">
        <v>3164</v>
      </c>
      <c r="E37" s="659">
        <v>151937554</v>
      </c>
      <c r="F37" s="659">
        <v>0</v>
      </c>
      <c r="G37" s="659">
        <v>151937554</v>
      </c>
      <c r="I37" s="659"/>
      <c r="J37" s="659">
        <v>151937554</v>
      </c>
      <c r="K37" s="659">
        <v>151937554</v>
      </c>
      <c r="M37" s="659">
        <v>0</v>
      </c>
    </row>
    <row r="38" spans="1:13">
      <c r="A38" s="603">
        <v>28</v>
      </c>
      <c r="B38" s="588">
        <v>28</v>
      </c>
      <c r="C38" s="599" t="s">
        <v>3167</v>
      </c>
      <c r="E38" s="660">
        <v>30516883</v>
      </c>
      <c r="F38" s="660">
        <v>0</v>
      </c>
      <c r="G38" s="660">
        <v>30516883</v>
      </c>
      <c r="I38" s="660"/>
      <c r="J38" s="660">
        <v>30516883</v>
      </c>
      <c r="K38" s="660">
        <v>30516883</v>
      </c>
      <c r="M38" s="660">
        <v>0</v>
      </c>
    </row>
    <row r="39" spans="1:13">
      <c r="A39" s="603">
        <v>29</v>
      </c>
      <c r="B39" s="596">
        <v>29</v>
      </c>
      <c r="C39" s="597" t="s">
        <v>3170</v>
      </c>
      <c r="E39" s="659"/>
      <c r="F39" s="659">
        <v>0</v>
      </c>
      <c r="G39" s="659">
        <v>0</v>
      </c>
      <c r="I39" s="659"/>
      <c r="J39" s="659">
        <v>0</v>
      </c>
      <c r="K39" s="659">
        <v>0</v>
      </c>
      <c r="M39" s="659">
        <v>0</v>
      </c>
    </row>
    <row r="40" spans="1:13">
      <c r="A40" s="603">
        <v>30</v>
      </c>
      <c r="B40" s="588">
        <v>30</v>
      </c>
      <c r="C40" s="599" t="s">
        <v>3173</v>
      </c>
      <c r="E40" s="660"/>
      <c r="F40" s="660">
        <v>19895735</v>
      </c>
      <c r="G40" s="660">
        <v>19895735</v>
      </c>
      <c r="I40" s="660"/>
      <c r="J40" s="660">
        <v>19895735</v>
      </c>
      <c r="K40" s="660">
        <v>19895735</v>
      </c>
      <c r="M40" s="660">
        <v>0</v>
      </c>
    </row>
    <row r="41" spans="1:13">
      <c r="A41" s="603">
        <v>31</v>
      </c>
      <c r="B41" s="596">
        <v>31</v>
      </c>
      <c r="C41" s="597" t="s">
        <v>3176</v>
      </c>
      <c r="E41" s="659"/>
      <c r="F41" s="659">
        <v>0</v>
      </c>
      <c r="G41" s="659">
        <v>0</v>
      </c>
      <c r="I41" s="659"/>
      <c r="J41" s="659">
        <v>0</v>
      </c>
      <c r="K41" s="659">
        <v>0</v>
      </c>
      <c r="M41" s="659">
        <v>0</v>
      </c>
    </row>
    <row r="42" spans="1:13">
      <c r="A42" s="603">
        <v>32</v>
      </c>
      <c r="B42" s="588">
        <v>32</v>
      </c>
      <c r="C42" s="599" t="s">
        <v>3178</v>
      </c>
      <c r="E42" s="660"/>
      <c r="F42" s="660">
        <v>0</v>
      </c>
      <c r="G42" s="660">
        <v>0</v>
      </c>
      <c r="I42" s="660"/>
      <c r="J42" s="660">
        <v>0</v>
      </c>
      <c r="K42" s="660">
        <v>0</v>
      </c>
      <c r="M42" s="660">
        <v>0</v>
      </c>
    </row>
    <row r="43" spans="1:13">
      <c r="A43" s="603">
        <v>33</v>
      </c>
      <c r="B43" s="596">
        <v>33</v>
      </c>
      <c r="C43" s="597" t="s">
        <v>3181</v>
      </c>
      <c r="E43" s="659">
        <v>59519293</v>
      </c>
      <c r="F43" s="659">
        <v>0</v>
      </c>
      <c r="G43" s="659">
        <v>59519293</v>
      </c>
      <c r="I43" s="659"/>
      <c r="J43" s="659">
        <v>59519293</v>
      </c>
      <c r="K43" s="659">
        <v>59519293</v>
      </c>
      <c r="M43" s="659">
        <v>0</v>
      </c>
    </row>
    <row r="44" spans="1:13">
      <c r="A44" s="603">
        <v>34</v>
      </c>
      <c r="B44" s="588">
        <v>34</v>
      </c>
      <c r="C44" s="599" t="s">
        <v>3184</v>
      </c>
      <c r="E44" s="660">
        <v>166750</v>
      </c>
      <c r="F44" s="660">
        <v>0</v>
      </c>
      <c r="G44" s="660">
        <v>166750</v>
      </c>
      <c r="I44" s="660">
        <v>166750</v>
      </c>
      <c r="J44" s="660">
        <v>0</v>
      </c>
      <c r="K44" s="660">
        <v>166750</v>
      </c>
      <c r="M44" s="660">
        <v>0</v>
      </c>
    </row>
    <row r="45" spans="1:13">
      <c r="A45" s="603">
        <v>35</v>
      </c>
      <c r="B45" s="596">
        <v>35</v>
      </c>
      <c r="C45" s="597" t="s">
        <v>3186</v>
      </c>
      <c r="E45" s="659"/>
      <c r="F45" s="659">
        <v>0</v>
      </c>
      <c r="G45" s="659">
        <v>0</v>
      </c>
      <c r="I45" s="659"/>
      <c r="J45" s="659">
        <v>0</v>
      </c>
      <c r="K45" s="659">
        <v>0</v>
      </c>
      <c r="M45" s="659">
        <v>0</v>
      </c>
    </row>
    <row r="46" spans="1:13">
      <c r="A46" s="603">
        <v>36</v>
      </c>
      <c r="B46" s="588">
        <v>36</v>
      </c>
      <c r="C46" s="599" t="s">
        <v>3189</v>
      </c>
      <c r="E46" s="660"/>
      <c r="F46" s="660">
        <v>0</v>
      </c>
      <c r="G46" s="660">
        <v>0</v>
      </c>
      <c r="I46" s="660"/>
      <c r="J46" s="660">
        <v>0</v>
      </c>
      <c r="K46" s="660">
        <v>0</v>
      </c>
      <c r="M46" s="660">
        <v>0</v>
      </c>
    </row>
    <row r="47" spans="1:13">
      <c r="A47" s="603">
        <v>37</v>
      </c>
      <c r="B47" s="596">
        <v>37</v>
      </c>
      <c r="C47" s="597" t="s">
        <v>3277</v>
      </c>
      <c r="E47" s="659"/>
      <c r="F47" s="659">
        <v>0</v>
      </c>
      <c r="G47" s="659">
        <v>0</v>
      </c>
      <c r="I47" s="659"/>
      <c r="J47" s="659">
        <v>0</v>
      </c>
      <c r="K47" s="659">
        <v>0</v>
      </c>
      <c r="M47" s="659">
        <v>0</v>
      </c>
    </row>
    <row r="48" spans="1:13">
      <c r="A48" s="603">
        <v>38</v>
      </c>
      <c r="B48" s="588">
        <v>38</v>
      </c>
      <c r="C48" s="599" t="s">
        <v>3278</v>
      </c>
      <c r="E48" s="660"/>
      <c r="F48" s="660">
        <v>0</v>
      </c>
      <c r="G48" s="660">
        <v>0</v>
      </c>
      <c r="I48" s="660"/>
      <c r="J48" s="660">
        <v>0</v>
      </c>
      <c r="K48" s="660">
        <v>0</v>
      </c>
      <c r="M48" s="660">
        <v>0</v>
      </c>
    </row>
    <row r="49" spans="1:13">
      <c r="A49" s="603">
        <v>39</v>
      </c>
      <c r="B49" s="596">
        <v>39</v>
      </c>
      <c r="C49" s="597" t="s">
        <v>3195</v>
      </c>
      <c r="E49" s="659"/>
      <c r="F49" s="659">
        <v>0</v>
      </c>
      <c r="G49" s="659">
        <v>0</v>
      </c>
      <c r="I49" s="659"/>
      <c r="J49" s="659">
        <v>0</v>
      </c>
      <c r="K49" s="659">
        <v>0</v>
      </c>
      <c r="M49" s="659">
        <v>0</v>
      </c>
    </row>
    <row r="50" spans="1:13">
      <c r="A50" s="603">
        <v>40</v>
      </c>
      <c r="B50" s="588">
        <v>40</v>
      </c>
      <c r="C50" s="599" t="s">
        <v>3198</v>
      </c>
      <c r="E50" s="660"/>
      <c r="F50" s="660">
        <v>0</v>
      </c>
      <c r="G50" s="660">
        <v>0</v>
      </c>
      <c r="I50" s="660"/>
      <c r="J50" s="660">
        <v>0</v>
      </c>
      <c r="K50" s="660">
        <v>0</v>
      </c>
      <c r="M50" s="660">
        <v>0</v>
      </c>
    </row>
    <row r="51" spans="1:13">
      <c r="A51" s="603">
        <v>41</v>
      </c>
      <c r="B51" s="596">
        <v>41</v>
      </c>
      <c r="C51" s="597" t="s">
        <v>3279</v>
      </c>
      <c r="E51" s="659"/>
      <c r="F51" s="659">
        <v>0</v>
      </c>
      <c r="G51" s="659">
        <v>0</v>
      </c>
      <c r="I51" s="659"/>
      <c r="J51" s="659">
        <v>0</v>
      </c>
      <c r="K51" s="659">
        <v>0</v>
      </c>
      <c r="M51" s="659">
        <v>0</v>
      </c>
    </row>
    <row r="52" spans="1:13">
      <c r="A52" s="603"/>
      <c r="B52" s="588">
        <v>42</v>
      </c>
      <c r="C52" s="599" t="s">
        <v>3280</v>
      </c>
      <c r="E52" s="660"/>
      <c r="F52" s="660">
        <v>0</v>
      </c>
      <c r="G52" s="660">
        <v>0</v>
      </c>
      <c r="I52" s="660"/>
      <c r="J52" s="660">
        <v>0</v>
      </c>
      <c r="K52" s="660">
        <v>0</v>
      </c>
      <c r="M52" s="660">
        <v>0</v>
      </c>
    </row>
    <row r="53" spans="1:13">
      <c r="A53" s="603">
        <v>0</v>
      </c>
      <c r="B53" s="601"/>
      <c r="C53" s="602" t="s">
        <v>3281</v>
      </c>
      <c r="E53" s="658">
        <v>0</v>
      </c>
      <c r="F53" s="658">
        <v>0</v>
      </c>
      <c r="G53" s="658">
        <v>0</v>
      </c>
      <c r="I53" s="658">
        <v>0</v>
      </c>
      <c r="J53" s="658">
        <v>0</v>
      </c>
      <c r="K53" s="658">
        <v>0</v>
      </c>
      <c r="M53" s="658">
        <v>0</v>
      </c>
    </row>
    <row r="54" spans="1:13">
      <c r="A54" s="603">
        <v>43</v>
      </c>
      <c r="B54" s="596">
        <v>43</v>
      </c>
      <c r="C54" s="597" t="s">
        <v>3282</v>
      </c>
      <c r="E54" s="659"/>
      <c r="F54" s="659">
        <v>0</v>
      </c>
      <c r="G54" s="659">
        <v>0</v>
      </c>
      <c r="I54" s="659"/>
      <c r="J54" s="659">
        <v>0</v>
      </c>
      <c r="K54" s="659">
        <v>0</v>
      </c>
      <c r="M54" s="659">
        <v>0</v>
      </c>
    </row>
    <row r="55" spans="1:13">
      <c r="A55" s="603">
        <v>44</v>
      </c>
      <c r="B55" s="588">
        <v>44</v>
      </c>
      <c r="C55" s="599" t="s">
        <v>3283</v>
      </c>
      <c r="E55" s="660"/>
      <c r="F55" s="660">
        <v>0</v>
      </c>
      <c r="G55" s="660">
        <v>0</v>
      </c>
      <c r="I55" s="660"/>
      <c r="J55" s="660">
        <v>0</v>
      </c>
      <c r="K55" s="660">
        <v>0</v>
      </c>
      <c r="M55" s="660">
        <v>0</v>
      </c>
    </row>
    <row r="56" spans="1:13">
      <c r="A56" s="603"/>
      <c r="B56" s="596">
        <v>45</v>
      </c>
      <c r="C56" s="597" t="s">
        <v>3284</v>
      </c>
      <c r="E56" s="659"/>
      <c r="F56" s="659">
        <v>0</v>
      </c>
      <c r="G56" s="659">
        <v>0</v>
      </c>
      <c r="I56" s="659"/>
      <c r="J56" s="659">
        <v>0</v>
      </c>
      <c r="K56" s="659">
        <v>0</v>
      </c>
      <c r="M56" s="659">
        <v>0</v>
      </c>
    </row>
    <row r="57" spans="1:13">
      <c r="A57" s="603"/>
      <c r="B57" s="588">
        <v>46</v>
      </c>
      <c r="C57" s="599" t="s">
        <v>3285</v>
      </c>
      <c r="E57" s="660"/>
      <c r="F57" s="660">
        <v>0</v>
      </c>
      <c r="G57" s="660">
        <v>0</v>
      </c>
      <c r="I57" s="660"/>
      <c r="J57" s="660">
        <v>0</v>
      </c>
      <c r="K57" s="660">
        <v>0</v>
      </c>
      <c r="M57" s="660">
        <v>0</v>
      </c>
    </row>
    <row r="58" spans="1:13">
      <c r="A58" s="603"/>
      <c r="B58" s="596">
        <v>47</v>
      </c>
      <c r="C58" s="597" t="s">
        <v>3286</v>
      </c>
      <c r="E58" s="659"/>
      <c r="F58" s="659">
        <v>0</v>
      </c>
      <c r="G58" s="659">
        <v>0</v>
      </c>
      <c r="I58" s="659"/>
      <c r="J58" s="659">
        <v>0</v>
      </c>
      <c r="K58" s="659">
        <v>0</v>
      </c>
      <c r="M58" s="659">
        <v>0</v>
      </c>
    </row>
    <row r="59" spans="1:13">
      <c r="A59" s="603"/>
      <c r="B59" s="588">
        <v>48</v>
      </c>
      <c r="C59" s="599" t="s">
        <v>3287</v>
      </c>
      <c r="E59" s="660"/>
      <c r="F59" s="660">
        <v>0</v>
      </c>
      <c r="G59" s="660">
        <v>0</v>
      </c>
      <c r="I59" s="660"/>
      <c r="J59" s="660">
        <v>0</v>
      </c>
      <c r="K59" s="660">
        <v>0</v>
      </c>
      <c r="M59" s="660">
        <v>0</v>
      </c>
    </row>
    <row r="60" spans="1:13">
      <c r="A60" s="603"/>
      <c r="B60" s="596">
        <v>49</v>
      </c>
      <c r="C60" s="597" t="s">
        <v>3288</v>
      </c>
      <c r="E60" s="659"/>
      <c r="F60" s="659">
        <v>0</v>
      </c>
      <c r="G60" s="659">
        <v>0</v>
      </c>
      <c r="I60" s="659"/>
      <c r="J60" s="659">
        <v>0</v>
      </c>
      <c r="K60" s="659">
        <v>0</v>
      </c>
      <c r="M60" s="659">
        <v>0</v>
      </c>
    </row>
    <row r="61" spans="1:13">
      <c r="A61" s="603"/>
      <c r="B61" s="588">
        <v>50</v>
      </c>
      <c r="C61" s="599" t="s">
        <v>3289</v>
      </c>
      <c r="E61" s="660"/>
      <c r="F61" s="660">
        <v>0</v>
      </c>
      <c r="G61" s="660">
        <v>0</v>
      </c>
      <c r="I61" s="660"/>
      <c r="J61" s="660">
        <v>0</v>
      </c>
      <c r="K61" s="660">
        <v>0</v>
      </c>
      <c r="M61" s="660">
        <v>0</v>
      </c>
    </row>
    <row r="62" spans="1:13">
      <c r="A62" s="603"/>
      <c r="B62" s="596">
        <v>51</v>
      </c>
      <c r="C62" s="597" t="s">
        <v>3218</v>
      </c>
      <c r="E62" s="659"/>
      <c r="F62" s="659">
        <v>0</v>
      </c>
      <c r="G62" s="659">
        <v>0</v>
      </c>
      <c r="I62" s="659"/>
      <c r="J62" s="659">
        <v>0</v>
      </c>
      <c r="K62" s="659">
        <v>0</v>
      </c>
      <c r="M62" s="659">
        <v>0</v>
      </c>
    </row>
    <row r="63" spans="1:13">
      <c r="A63" s="603">
        <v>0</v>
      </c>
      <c r="B63" s="601"/>
      <c r="C63" s="602" t="s">
        <v>3290</v>
      </c>
      <c r="E63" s="658">
        <v>0</v>
      </c>
      <c r="F63" s="658">
        <v>0</v>
      </c>
      <c r="G63" s="658">
        <v>0</v>
      </c>
      <c r="I63" s="658">
        <v>0</v>
      </c>
      <c r="J63" s="658">
        <v>0</v>
      </c>
      <c r="K63" s="658">
        <v>0</v>
      </c>
      <c r="M63" s="658">
        <v>0</v>
      </c>
    </row>
    <row r="64" spans="1:13">
      <c r="A64" s="603">
        <v>52</v>
      </c>
      <c r="B64" s="588">
        <v>52</v>
      </c>
      <c r="C64" s="599" t="s">
        <v>3222</v>
      </c>
      <c r="E64" s="660"/>
      <c r="F64" s="660">
        <v>0</v>
      </c>
      <c r="G64" s="660">
        <v>0</v>
      </c>
      <c r="I64" s="660"/>
      <c r="J64" s="660">
        <v>0</v>
      </c>
      <c r="K64" s="660">
        <v>0</v>
      </c>
      <c r="M64" s="660">
        <v>0</v>
      </c>
    </row>
    <row r="65" spans="1:13">
      <c r="A65" s="603">
        <v>53</v>
      </c>
      <c r="B65" s="596">
        <v>53</v>
      </c>
      <c r="C65" s="597" t="s">
        <v>3225</v>
      </c>
      <c r="E65" s="659"/>
      <c r="F65" s="659">
        <v>0</v>
      </c>
      <c r="G65" s="659">
        <v>0</v>
      </c>
      <c r="I65" s="659"/>
      <c r="J65" s="659">
        <v>0</v>
      </c>
      <c r="K65" s="659">
        <v>0</v>
      </c>
      <c r="M65" s="659">
        <v>0</v>
      </c>
    </row>
    <row r="66" spans="1:13">
      <c r="A66" s="603">
        <v>54</v>
      </c>
      <c r="B66" s="588">
        <v>54</v>
      </c>
      <c r="C66" s="599" t="s">
        <v>3291</v>
      </c>
      <c r="E66" s="660"/>
      <c r="F66" s="660">
        <v>0</v>
      </c>
      <c r="G66" s="660">
        <v>0</v>
      </c>
      <c r="I66" s="660"/>
      <c r="J66" s="660">
        <v>0</v>
      </c>
      <c r="K66" s="660">
        <v>0</v>
      </c>
      <c r="M66" s="660">
        <v>0</v>
      </c>
    </row>
    <row r="67" spans="1:13">
      <c r="A67" s="603"/>
      <c r="B67" s="601"/>
      <c r="C67" s="602" t="s">
        <v>3292</v>
      </c>
      <c r="E67" s="658">
        <v>0</v>
      </c>
      <c r="F67" s="658">
        <v>0</v>
      </c>
      <c r="G67" s="658">
        <v>0</v>
      </c>
      <c r="I67" s="658">
        <v>0</v>
      </c>
      <c r="J67" s="658">
        <v>0</v>
      </c>
      <c r="K67" s="658">
        <v>0</v>
      </c>
      <c r="M67" s="658">
        <v>0</v>
      </c>
    </row>
    <row r="68" spans="1:13">
      <c r="A68" s="603"/>
      <c r="B68" s="596">
        <v>55</v>
      </c>
      <c r="C68" s="597" t="s">
        <v>3231</v>
      </c>
      <c r="E68" s="659"/>
      <c r="F68" s="659">
        <v>0</v>
      </c>
      <c r="G68" s="659">
        <v>0</v>
      </c>
      <c r="I68" s="659"/>
      <c r="J68" s="659">
        <v>0</v>
      </c>
      <c r="K68" s="659">
        <v>0</v>
      </c>
      <c r="M68" s="659">
        <v>0</v>
      </c>
    </row>
    <row r="69" spans="1:13">
      <c r="A69" s="603"/>
      <c r="B69" s="588">
        <v>56</v>
      </c>
      <c r="C69" s="599" t="s">
        <v>3293</v>
      </c>
      <c r="E69" s="660"/>
      <c r="F69" s="660">
        <v>0</v>
      </c>
      <c r="G69" s="660">
        <v>0</v>
      </c>
      <c r="I69" s="660"/>
      <c r="J69" s="660">
        <v>0</v>
      </c>
      <c r="K69" s="660">
        <v>0</v>
      </c>
      <c r="M69" s="660">
        <v>0</v>
      </c>
    </row>
    <row r="70" spans="1:13">
      <c r="A70" s="603">
        <v>0</v>
      </c>
      <c r="B70" s="601"/>
      <c r="C70" s="602" t="s">
        <v>340</v>
      </c>
      <c r="E70" s="658">
        <v>9663866</v>
      </c>
      <c r="F70" s="658">
        <v>0</v>
      </c>
      <c r="G70" s="658">
        <v>9663866</v>
      </c>
      <c r="I70" s="658">
        <v>10736288</v>
      </c>
      <c r="J70" s="658">
        <v>0</v>
      </c>
      <c r="K70" s="658">
        <v>10736288</v>
      </c>
      <c r="M70" s="658">
        <v>-1072422</v>
      </c>
    </row>
    <row r="71" spans="1:13">
      <c r="A71" s="603">
        <v>57</v>
      </c>
      <c r="B71" s="596">
        <v>57</v>
      </c>
      <c r="C71" s="597" t="s">
        <v>3294</v>
      </c>
      <c r="E71" s="659">
        <v>9663866</v>
      </c>
      <c r="F71" s="659">
        <v>0</v>
      </c>
      <c r="G71" s="659">
        <v>9663866</v>
      </c>
      <c r="I71" s="659">
        <v>10736288</v>
      </c>
      <c r="J71" s="659">
        <v>0</v>
      </c>
      <c r="K71" s="659">
        <v>10736288</v>
      </c>
      <c r="M71" s="659">
        <v>-1072422</v>
      </c>
    </row>
    <row r="72" spans="1:13">
      <c r="A72" s="603">
        <v>0</v>
      </c>
      <c r="B72" s="601"/>
      <c r="C72" s="602" t="s">
        <v>3295</v>
      </c>
      <c r="E72" s="658">
        <v>28334890</v>
      </c>
      <c r="F72" s="658">
        <v>0</v>
      </c>
      <c r="G72" s="658">
        <v>28334890</v>
      </c>
      <c r="I72" s="658">
        <v>0</v>
      </c>
      <c r="J72" s="658">
        <v>0</v>
      </c>
      <c r="K72" s="658">
        <v>0</v>
      </c>
      <c r="M72" s="658">
        <v>28334890</v>
      </c>
    </row>
    <row r="73" spans="1:13">
      <c r="A73" s="603">
        <v>58</v>
      </c>
      <c r="B73" s="588">
        <v>58</v>
      </c>
      <c r="C73" s="599" t="s">
        <v>3296</v>
      </c>
      <c r="E73" s="660">
        <v>28334890</v>
      </c>
      <c r="F73" s="660">
        <v>0</v>
      </c>
      <c r="G73" s="660">
        <v>28334890</v>
      </c>
      <c r="I73" s="660"/>
      <c r="J73" s="660">
        <v>0</v>
      </c>
      <c r="K73" s="660">
        <v>0</v>
      </c>
      <c r="M73" s="660">
        <v>28334890</v>
      </c>
    </row>
    <row r="74" spans="1:13">
      <c r="A74" s="603"/>
      <c r="B74" s="601"/>
      <c r="C74" s="602" t="s">
        <v>3297</v>
      </c>
      <c r="E74" s="658">
        <v>0</v>
      </c>
      <c r="F74" s="658">
        <v>0</v>
      </c>
      <c r="G74" s="658">
        <v>0</v>
      </c>
      <c r="I74" s="658">
        <v>0</v>
      </c>
      <c r="J74" s="658">
        <v>0</v>
      </c>
      <c r="K74" s="658">
        <v>0</v>
      </c>
      <c r="M74" s="658">
        <v>0</v>
      </c>
    </row>
    <row r="75" spans="1:13">
      <c r="A75" s="603"/>
      <c r="B75" s="588">
        <v>59</v>
      </c>
      <c r="C75" s="599" t="s">
        <v>3298</v>
      </c>
      <c r="E75" s="660"/>
      <c r="F75" s="660">
        <v>0</v>
      </c>
      <c r="G75" s="660">
        <v>0</v>
      </c>
      <c r="I75" s="660"/>
      <c r="J75" s="660">
        <v>0</v>
      </c>
      <c r="K75" s="660">
        <v>0</v>
      </c>
      <c r="M75" s="660"/>
    </row>
    <row r="76" spans="1:13">
      <c r="A76" s="603"/>
      <c r="B76" s="601"/>
      <c r="C76" s="602" t="s">
        <v>3299</v>
      </c>
      <c r="E76" s="658">
        <v>0</v>
      </c>
      <c r="F76" s="658">
        <v>0</v>
      </c>
      <c r="G76" s="658">
        <v>0</v>
      </c>
      <c r="I76" s="658">
        <v>0</v>
      </c>
      <c r="J76" s="658">
        <v>0</v>
      </c>
      <c r="K76" s="658">
        <v>0</v>
      </c>
      <c r="M76" s="658">
        <v>0</v>
      </c>
    </row>
    <row r="77" spans="1:13">
      <c r="A77" s="603"/>
      <c r="B77" s="588">
        <v>60</v>
      </c>
      <c r="C77" s="599" t="s">
        <v>3300</v>
      </c>
      <c r="E77" s="660"/>
      <c r="F77" s="660">
        <v>0</v>
      </c>
      <c r="G77" s="660">
        <v>0</v>
      </c>
      <c r="I77" s="660"/>
      <c r="J77" s="660">
        <v>0</v>
      </c>
      <c r="K77" s="660">
        <v>0</v>
      </c>
      <c r="M77" s="660"/>
    </row>
    <row r="78" spans="1:13">
      <c r="A78" s="603"/>
      <c r="B78" s="601"/>
      <c r="C78" s="602" t="s">
        <v>3301</v>
      </c>
      <c r="E78" s="658">
        <v>0</v>
      </c>
      <c r="F78" s="658">
        <v>0</v>
      </c>
      <c r="G78" s="658">
        <v>0</v>
      </c>
      <c r="I78" s="658">
        <v>50000</v>
      </c>
      <c r="J78" s="658">
        <v>0</v>
      </c>
      <c r="K78" s="658">
        <v>50000</v>
      </c>
      <c r="M78" s="658">
        <v>-50000</v>
      </c>
    </row>
    <row r="79" spans="1:13">
      <c r="A79" s="603"/>
      <c r="B79" s="596">
        <v>61</v>
      </c>
      <c r="C79" s="597" t="s">
        <v>3302</v>
      </c>
      <c r="E79" s="659"/>
      <c r="F79" s="659"/>
      <c r="G79" s="659"/>
      <c r="I79" s="659"/>
      <c r="J79" s="659"/>
      <c r="K79" s="659"/>
      <c r="M79" s="659"/>
    </row>
  </sheetData>
  <mergeCells count="5">
    <mergeCell ref="B3:B4"/>
    <mergeCell ref="C3:C4"/>
    <mergeCell ref="E3:G3"/>
    <mergeCell ref="I3:K3"/>
    <mergeCell ref="M3:M4"/>
  </mergeCells>
  <hyperlinks>
    <hyperlink ref="A1" location="Sommaire!A1" display="Sommaire!A1" xr:uid="{00000000-0004-0000-2100-000000000000}"/>
  </hyperlinks>
  <pageMargins left="0.7" right="0.7" top="0.75" bottom="0.75" header="0.3" footer="0.3"/>
  <pageSetup paperSize="9" orientation="landscape"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M79"/>
  <sheetViews>
    <sheetView showGridLines="0" zoomScaleNormal="100" workbookViewId="0">
      <selection activeCell="B1" sqref="B1"/>
    </sheetView>
  </sheetViews>
  <sheetFormatPr baseColWidth="10" defaultColWidth="11.33203125" defaultRowHeight="12"/>
  <cols>
    <col min="1" max="1" width="10.1640625" style="588" bestFit="1" customWidth="1"/>
    <col min="2" max="2" width="19" style="588" bestFit="1" customWidth="1"/>
    <col min="3" max="3" width="54.5" style="605" bestFit="1" customWidth="1"/>
    <col min="4" max="4" width="0.6640625" style="590" customWidth="1"/>
    <col min="5" max="5" width="15.5" style="590" bestFit="1" customWidth="1"/>
    <col min="6" max="6" width="10.6640625" style="588" bestFit="1" customWidth="1"/>
    <col min="7" max="7" width="11.5" style="590" bestFit="1" customWidth="1"/>
    <col min="8" max="8" width="0.6640625" style="590" customWidth="1"/>
    <col min="9" max="9" width="11.5" style="590" bestFit="1" customWidth="1"/>
    <col min="10" max="10" width="10.1640625" style="590" bestFit="1" customWidth="1"/>
    <col min="11" max="11" width="11.5" style="590" bestFit="1" customWidth="1"/>
    <col min="12" max="12" width="0.6640625" style="590" customWidth="1"/>
    <col min="13" max="13" width="13.83203125" style="590" bestFit="1" customWidth="1"/>
    <col min="14" max="16384" width="11.33203125" style="590"/>
  </cols>
  <sheetData>
    <row r="1" spans="1:13" ht="24">
      <c r="A1" s="661" t="s">
        <v>140</v>
      </c>
      <c r="C1" s="589" t="s">
        <v>3249</v>
      </c>
      <c r="E1" s="591" t="s">
        <v>153</v>
      </c>
      <c r="F1" s="591" t="s">
        <v>3317</v>
      </c>
      <c r="G1" s="592"/>
      <c r="J1" s="592" t="s">
        <v>3251</v>
      </c>
      <c r="K1" s="592">
        <v>2023</v>
      </c>
    </row>
    <row r="2" spans="1:13">
      <c r="C2" s="593"/>
      <c r="F2" s="590"/>
      <c r="I2" s="590" t="s">
        <v>3252</v>
      </c>
      <c r="J2" s="594">
        <v>604.32574999999997</v>
      </c>
    </row>
    <row r="3" spans="1:13">
      <c r="B3" s="753" t="s">
        <v>143</v>
      </c>
      <c r="C3" s="754" t="s">
        <v>3253</v>
      </c>
      <c r="E3" s="755" t="s">
        <v>2084</v>
      </c>
      <c r="F3" s="755"/>
      <c r="G3" s="755"/>
      <c r="I3" s="755" t="s">
        <v>3254</v>
      </c>
      <c r="J3" s="755"/>
      <c r="K3" s="755"/>
      <c r="M3" s="756" t="s">
        <v>3255</v>
      </c>
    </row>
    <row r="4" spans="1:13">
      <c r="B4" s="753"/>
      <c r="C4" s="754"/>
      <c r="E4" s="595" t="s">
        <v>3256</v>
      </c>
      <c r="F4" s="595" t="s">
        <v>3257</v>
      </c>
      <c r="G4" s="595" t="s">
        <v>3258</v>
      </c>
      <c r="I4" s="595" t="s">
        <v>3256</v>
      </c>
      <c r="J4" s="595" t="s">
        <v>3257</v>
      </c>
      <c r="K4" s="595" t="s">
        <v>3258</v>
      </c>
      <c r="M4" s="756"/>
    </row>
    <row r="5" spans="1:13">
      <c r="B5" s="655" t="s">
        <v>3092</v>
      </c>
      <c r="C5" s="656"/>
      <c r="E5" s="657">
        <v>0</v>
      </c>
      <c r="F5" s="657">
        <v>0</v>
      </c>
      <c r="G5" s="657">
        <v>0</v>
      </c>
      <c r="I5" s="657">
        <v>0</v>
      </c>
      <c r="J5" s="657">
        <v>0</v>
      </c>
      <c r="K5" s="657">
        <v>0</v>
      </c>
      <c r="M5" s="657">
        <v>0</v>
      </c>
    </row>
    <row r="6" spans="1:13">
      <c r="B6" s="596">
        <v>1</v>
      </c>
      <c r="C6" s="597" t="s">
        <v>3259</v>
      </c>
      <c r="E6" s="598"/>
      <c r="F6" s="598">
        <v>0</v>
      </c>
      <c r="G6" s="598">
        <v>0</v>
      </c>
      <c r="I6" s="598"/>
      <c r="J6" s="598">
        <v>0</v>
      </c>
      <c r="K6" s="598">
        <v>0</v>
      </c>
      <c r="M6" s="598">
        <v>0</v>
      </c>
    </row>
    <row r="7" spans="1:13">
      <c r="B7" s="588">
        <v>2</v>
      </c>
      <c r="C7" s="599" t="s">
        <v>3260</v>
      </c>
      <c r="E7" s="600"/>
      <c r="F7" s="600">
        <v>0</v>
      </c>
      <c r="G7" s="600">
        <v>0</v>
      </c>
      <c r="I7" s="600"/>
      <c r="J7" s="600">
        <v>0</v>
      </c>
      <c r="K7" s="600">
        <v>0</v>
      </c>
      <c r="M7" s="600">
        <v>0</v>
      </c>
    </row>
    <row r="8" spans="1:13">
      <c r="B8" s="655" t="s">
        <v>3101</v>
      </c>
      <c r="C8" s="656"/>
      <c r="E8" s="657">
        <v>433301230</v>
      </c>
      <c r="F8" s="657">
        <v>26638155</v>
      </c>
      <c r="G8" s="657">
        <v>459939385</v>
      </c>
      <c r="I8" s="657">
        <v>610578998</v>
      </c>
      <c r="J8" s="657">
        <v>0</v>
      </c>
      <c r="K8" s="657">
        <v>610578998</v>
      </c>
      <c r="M8" s="657">
        <v>-150639613</v>
      </c>
    </row>
    <row r="9" spans="1:13">
      <c r="B9" s="601"/>
      <c r="C9" s="602" t="s">
        <v>1244</v>
      </c>
      <c r="E9" s="658">
        <v>0</v>
      </c>
      <c r="F9" s="658">
        <v>0</v>
      </c>
      <c r="G9" s="658">
        <v>0</v>
      </c>
      <c r="I9" s="658">
        <v>0</v>
      </c>
      <c r="J9" s="658">
        <v>0</v>
      </c>
      <c r="K9" s="658">
        <v>0</v>
      </c>
      <c r="M9" s="658">
        <v>0</v>
      </c>
    </row>
    <row r="10" spans="1:13">
      <c r="A10" s="603">
        <v>3</v>
      </c>
      <c r="B10" s="596">
        <v>3</v>
      </c>
      <c r="C10" s="597" t="s">
        <v>3261</v>
      </c>
      <c r="E10" s="659"/>
      <c r="F10" s="659">
        <v>0</v>
      </c>
      <c r="G10" s="659">
        <v>0</v>
      </c>
      <c r="I10" s="659"/>
      <c r="J10" s="659">
        <v>0</v>
      </c>
      <c r="K10" s="659">
        <v>0</v>
      </c>
      <c r="M10" s="659">
        <v>0</v>
      </c>
    </row>
    <row r="11" spans="1:13">
      <c r="A11" s="603">
        <v>4</v>
      </c>
      <c r="B11" s="588">
        <v>4</v>
      </c>
      <c r="C11" s="599" t="s">
        <v>3106</v>
      </c>
      <c r="E11" s="660"/>
      <c r="F11" s="660">
        <v>0</v>
      </c>
      <c r="G11" s="660">
        <v>0</v>
      </c>
      <c r="I11" s="660"/>
      <c r="J11" s="660">
        <v>0</v>
      </c>
      <c r="K11" s="660">
        <v>0</v>
      </c>
      <c r="M11" s="660">
        <v>0</v>
      </c>
    </row>
    <row r="12" spans="1:13">
      <c r="A12" s="603">
        <v>5</v>
      </c>
      <c r="B12" s="596">
        <v>5</v>
      </c>
      <c r="C12" s="597" t="s">
        <v>3262</v>
      </c>
      <c r="E12" s="659"/>
      <c r="F12" s="659">
        <v>0</v>
      </c>
      <c r="G12" s="659">
        <v>0</v>
      </c>
      <c r="I12" s="659"/>
      <c r="J12" s="659">
        <v>0</v>
      </c>
      <c r="K12" s="659">
        <v>0</v>
      </c>
      <c r="M12" s="659">
        <v>0</v>
      </c>
    </row>
    <row r="13" spans="1:13">
      <c r="A13" s="603">
        <v>6</v>
      </c>
      <c r="B13" s="588">
        <v>6</v>
      </c>
      <c r="C13" s="599" t="s">
        <v>3263</v>
      </c>
      <c r="E13" s="660"/>
      <c r="F13" s="660">
        <v>0</v>
      </c>
      <c r="G13" s="660">
        <v>0</v>
      </c>
      <c r="I13" s="660"/>
      <c r="J13" s="660">
        <v>0</v>
      </c>
      <c r="K13" s="660">
        <v>0</v>
      </c>
      <c r="M13" s="660">
        <v>0</v>
      </c>
    </row>
    <row r="14" spans="1:13">
      <c r="A14" s="603">
        <v>7</v>
      </c>
      <c r="B14" s="596">
        <v>7</v>
      </c>
      <c r="C14" s="597" t="s">
        <v>3114</v>
      </c>
      <c r="E14" s="659"/>
      <c r="F14" s="659">
        <v>0</v>
      </c>
      <c r="G14" s="659">
        <v>0</v>
      </c>
      <c r="I14" s="659"/>
      <c r="J14" s="659">
        <v>0</v>
      </c>
      <c r="K14" s="659">
        <v>0</v>
      </c>
      <c r="M14" s="659">
        <v>0</v>
      </c>
    </row>
    <row r="15" spans="1:13">
      <c r="A15" s="603">
        <v>0</v>
      </c>
      <c r="B15" s="601"/>
      <c r="C15" s="602" t="s">
        <v>1253</v>
      </c>
      <c r="E15" s="658">
        <v>0</v>
      </c>
      <c r="F15" s="658">
        <v>0</v>
      </c>
      <c r="G15" s="658">
        <v>0</v>
      </c>
      <c r="I15" s="658">
        <v>0</v>
      </c>
      <c r="J15" s="658">
        <v>0</v>
      </c>
      <c r="K15" s="658">
        <v>0</v>
      </c>
      <c r="M15" s="658">
        <v>0</v>
      </c>
    </row>
    <row r="16" spans="1:13">
      <c r="A16" s="603">
        <v>8</v>
      </c>
      <c r="B16" s="588">
        <v>8</v>
      </c>
      <c r="C16" s="599" t="s">
        <v>3264</v>
      </c>
      <c r="E16" s="660"/>
      <c r="F16" s="660">
        <v>0</v>
      </c>
      <c r="G16" s="660">
        <v>0</v>
      </c>
      <c r="I16" s="660"/>
      <c r="J16" s="660">
        <v>0</v>
      </c>
      <c r="K16" s="660">
        <v>0</v>
      </c>
      <c r="M16" s="660">
        <v>0</v>
      </c>
    </row>
    <row r="17" spans="1:13">
      <c r="A17" s="603">
        <v>9</v>
      </c>
      <c r="B17" s="596">
        <v>9</v>
      </c>
      <c r="C17" s="597" t="s">
        <v>3265</v>
      </c>
      <c r="E17" s="659"/>
      <c r="F17" s="659">
        <v>0</v>
      </c>
      <c r="G17" s="659">
        <v>0</v>
      </c>
      <c r="I17" s="659"/>
      <c r="J17" s="659">
        <v>0</v>
      </c>
      <c r="K17" s="659">
        <v>0</v>
      </c>
      <c r="M17" s="659">
        <v>0</v>
      </c>
    </row>
    <row r="18" spans="1:13">
      <c r="A18" s="603"/>
      <c r="B18" s="588">
        <v>10</v>
      </c>
      <c r="C18" s="599" t="s">
        <v>3122</v>
      </c>
      <c r="E18" s="660"/>
      <c r="F18" s="660">
        <v>0</v>
      </c>
      <c r="G18" s="660">
        <v>0</v>
      </c>
      <c r="I18" s="660"/>
      <c r="J18" s="660">
        <v>0</v>
      </c>
      <c r="K18" s="660">
        <v>0</v>
      </c>
      <c r="M18" s="660">
        <v>0</v>
      </c>
    </row>
    <row r="19" spans="1:13">
      <c r="A19" s="603">
        <v>11</v>
      </c>
      <c r="B19" s="596">
        <v>11</v>
      </c>
      <c r="C19" s="597" t="s">
        <v>3124</v>
      </c>
      <c r="E19" s="659"/>
      <c r="F19" s="659">
        <v>0</v>
      </c>
      <c r="G19" s="659">
        <v>0</v>
      </c>
      <c r="I19" s="659"/>
      <c r="J19" s="659">
        <v>0</v>
      </c>
      <c r="K19" s="659">
        <v>0</v>
      </c>
      <c r="M19" s="659">
        <v>0</v>
      </c>
    </row>
    <row r="20" spans="1:13">
      <c r="A20" s="603">
        <v>12</v>
      </c>
      <c r="B20" s="588">
        <v>12</v>
      </c>
      <c r="C20" s="599" t="s">
        <v>3266</v>
      </c>
      <c r="E20" s="660"/>
      <c r="F20" s="660">
        <v>0</v>
      </c>
      <c r="G20" s="660">
        <v>0</v>
      </c>
      <c r="I20" s="660"/>
      <c r="J20" s="660">
        <v>0</v>
      </c>
      <c r="K20" s="660">
        <v>0</v>
      </c>
      <c r="M20" s="660">
        <v>0</v>
      </c>
    </row>
    <row r="21" spans="1:13">
      <c r="A21" s="603">
        <v>13</v>
      </c>
      <c r="B21" s="596">
        <v>13</v>
      </c>
      <c r="C21" s="597" t="s">
        <v>3267</v>
      </c>
      <c r="E21" s="659"/>
      <c r="F21" s="659">
        <v>0</v>
      </c>
      <c r="G21" s="659">
        <v>0</v>
      </c>
      <c r="I21" s="659"/>
      <c r="J21" s="659">
        <v>0</v>
      </c>
      <c r="K21" s="659">
        <v>0</v>
      </c>
      <c r="M21" s="659">
        <v>0</v>
      </c>
    </row>
    <row r="22" spans="1:13">
      <c r="A22" s="603">
        <v>14</v>
      </c>
      <c r="B22" s="588">
        <v>14</v>
      </c>
      <c r="C22" s="599" t="s">
        <v>3268</v>
      </c>
      <c r="E22" s="660"/>
      <c r="F22" s="660">
        <v>0</v>
      </c>
      <c r="G22" s="660">
        <v>0</v>
      </c>
      <c r="I22" s="660"/>
      <c r="J22" s="660">
        <v>0</v>
      </c>
      <c r="K22" s="660">
        <v>0</v>
      </c>
      <c r="M22" s="660">
        <v>0</v>
      </c>
    </row>
    <row r="23" spans="1:13">
      <c r="A23" s="603">
        <v>15</v>
      </c>
      <c r="B23" s="596">
        <v>15</v>
      </c>
      <c r="C23" s="597" t="s">
        <v>3133</v>
      </c>
      <c r="E23" s="659"/>
      <c r="F23" s="659">
        <v>0</v>
      </c>
      <c r="G23" s="659">
        <v>0</v>
      </c>
      <c r="I23" s="659"/>
      <c r="J23" s="659">
        <v>0</v>
      </c>
      <c r="K23" s="659">
        <v>0</v>
      </c>
      <c r="M23" s="659">
        <v>0</v>
      </c>
    </row>
    <row r="24" spans="1:13">
      <c r="A24" s="603">
        <v>16</v>
      </c>
      <c r="B24" s="588">
        <v>16</v>
      </c>
      <c r="C24" s="599" t="s">
        <v>3136</v>
      </c>
      <c r="E24" s="660"/>
      <c r="F24" s="660">
        <v>0</v>
      </c>
      <c r="G24" s="660">
        <v>0</v>
      </c>
      <c r="I24" s="660"/>
      <c r="J24" s="660">
        <v>0</v>
      </c>
      <c r="K24" s="660">
        <v>0</v>
      </c>
      <c r="M24" s="660">
        <v>0</v>
      </c>
    </row>
    <row r="25" spans="1:13">
      <c r="A25" s="603">
        <v>0</v>
      </c>
      <c r="B25" s="601"/>
      <c r="C25" s="602" t="s">
        <v>3269</v>
      </c>
      <c r="E25" s="658">
        <v>0</v>
      </c>
      <c r="F25" s="658">
        <v>0</v>
      </c>
      <c r="G25" s="658">
        <v>0</v>
      </c>
      <c r="I25" s="658">
        <v>0</v>
      </c>
      <c r="J25" s="658">
        <v>0</v>
      </c>
      <c r="K25" s="658">
        <v>0</v>
      </c>
      <c r="M25" s="658">
        <v>0</v>
      </c>
    </row>
    <row r="26" spans="1:13">
      <c r="A26" s="603">
        <v>17</v>
      </c>
      <c r="B26" s="596">
        <v>17</v>
      </c>
      <c r="C26" s="597" t="s">
        <v>3270</v>
      </c>
      <c r="E26" s="659"/>
      <c r="F26" s="659">
        <v>0</v>
      </c>
      <c r="G26" s="659">
        <v>0</v>
      </c>
      <c r="I26" s="659"/>
      <c r="J26" s="659">
        <v>0</v>
      </c>
      <c r="K26" s="659">
        <v>0</v>
      </c>
      <c r="M26" s="659">
        <v>0</v>
      </c>
    </row>
    <row r="27" spans="1:13">
      <c r="A27" s="603">
        <v>18</v>
      </c>
      <c r="B27" s="588">
        <v>18</v>
      </c>
      <c r="C27" s="599" t="s">
        <v>3141</v>
      </c>
      <c r="E27" s="660"/>
      <c r="F27" s="660">
        <v>0</v>
      </c>
      <c r="G27" s="660">
        <v>0</v>
      </c>
      <c r="I27" s="660"/>
      <c r="J27" s="660">
        <v>0</v>
      </c>
      <c r="K27" s="660">
        <v>0</v>
      </c>
      <c r="M27" s="660">
        <v>0</v>
      </c>
    </row>
    <row r="28" spans="1:13">
      <c r="A28" s="603">
        <v>19</v>
      </c>
      <c r="B28" s="596">
        <v>19</v>
      </c>
      <c r="C28" s="597" t="s">
        <v>3144</v>
      </c>
      <c r="E28" s="659"/>
      <c r="F28" s="659">
        <v>0</v>
      </c>
      <c r="G28" s="659">
        <v>0</v>
      </c>
      <c r="I28" s="659"/>
      <c r="J28" s="659">
        <v>0</v>
      </c>
      <c r="K28" s="659">
        <v>0</v>
      </c>
      <c r="M28" s="659">
        <v>0</v>
      </c>
    </row>
    <row r="29" spans="1:13">
      <c r="A29" s="603">
        <v>20</v>
      </c>
      <c r="B29" s="588">
        <v>20</v>
      </c>
      <c r="C29" s="599" t="s">
        <v>3147</v>
      </c>
      <c r="E29" s="660"/>
      <c r="F29" s="660">
        <v>0</v>
      </c>
      <c r="G29" s="660">
        <v>0</v>
      </c>
      <c r="I29" s="660"/>
      <c r="J29" s="660">
        <v>0</v>
      </c>
      <c r="K29" s="660">
        <v>0</v>
      </c>
      <c r="M29" s="660">
        <v>0</v>
      </c>
    </row>
    <row r="30" spans="1:13">
      <c r="A30" s="603">
        <v>21</v>
      </c>
      <c r="B30" s="596">
        <v>21</v>
      </c>
      <c r="C30" s="597" t="s">
        <v>3271</v>
      </c>
      <c r="E30" s="659"/>
      <c r="F30" s="659">
        <v>0</v>
      </c>
      <c r="G30" s="659">
        <v>0</v>
      </c>
      <c r="I30" s="659"/>
      <c r="J30" s="659">
        <v>0</v>
      </c>
      <c r="K30" s="659">
        <v>0</v>
      </c>
      <c r="M30" s="659">
        <v>0</v>
      </c>
    </row>
    <row r="31" spans="1:13">
      <c r="A31" s="603">
        <v>22</v>
      </c>
      <c r="B31" s="588">
        <v>22</v>
      </c>
      <c r="C31" s="599" t="s">
        <v>3272</v>
      </c>
      <c r="E31" s="660"/>
      <c r="F31" s="660">
        <v>0</v>
      </c>
      <c r="G31" s="660">
        <v>0</v>
      </c>
      <c r="I31" s="660"/>
      <c r="J31" s="660">
        <v>0</v>
      </c>
      <c r="K31" s="660">
        <v>0</v>
      </c>
      <c r="M31" s="660">
        <v>0</v>
      </c>
    </row>
    <row r="32" spans="1:13">
      <c r="A32" s="603">
        <v>23</v>
      </c>
      <c r="B32" s="596">
        <v>23</v>
      </c>
      <c r="C32" s="597" t="s">
        <v>3273</v>
      </c>
      <c r="E32" s="659"/>
      <c r="F32" s="659">
        <v>0</v>
      </c>
      <c r="G32" s="659">
        <v>0</v>
      </c>
      <c r="I32" s="659"/>
      <c r="J32" s="659">
        <v>0</v>
      </c>
      <c r="K32" s="659">
        <v>0</v>
      </c>
      <c r="M32" s="659">
        <v>0</v>
      </c>
    </row>
    <row r="33" spans="1:13">
      <c r="A33" s="603">
        <v>24</v>
      </c>
      <c r="B33" s="588">
        <v>24</v>
      </c>
      <c r="C33" s="599" t="s">
        <v>3158</v>
      </c>
      <c r="E33" s="660"/>
      <c r="F33" s="660">
        <v>0</v>
      </c>
      <c r="G33" s="660">
        <v>0</v>
      </c>
      <c r="I33" s="660"/>
      <c r="J33" s="660">
        <v>0</v>
      </c>
      <c r="K33" s="660">
        <v>0</v>
      </c>
      <c r="M33" s="660">
        <v>0</v>
      </c>
    </row>
    <row r="34" spans="1:13" s="604" customFormat="1">
      <c r="A34" s="603">
        <v>25</v>
      </c>
      <c r="B34" s="596">
        <v>25</v>
      </c>
      <c r="C34" s="597" t="s">
        <v>3274</v>
      </c>
      <c r="D34" s="590"/>
      <c r="E34" s="659"/>
      <c r="F34" s="659">
        <v>0</v>
      </c>
      <c r="G34" s="659">
        <v>0</v>
      </c>
      <c r="H34" s="590"/>
      <c r="I34" s="659"/>
      <c r="J34" s="659">
        <v>0</v>
      </c>
      <c r="K34" s="659">
        <v>0</v>
      </c>
      <c r="L34" s="590"/>
      <c r="M34" s="659">
        <v>0</v>
      </c>
    </row>
    <row r="35" spans="1:13">
      <c r="A35" s="603">
        <v>26</v>
      </c>
      <c r="B35" s="588">
        <v>26</v>
      </c>
      <c r="C35" s="599" t="s">
        <v>3275</v>
      </c>
      <c r="E35" s="660"/>
      <c r="F35" s="660">
        <v>0</v>
      </c>
      <c r="G35" s="660">
        <v>0</v>
      </c>
      <c r="I35" s="660"/>
      <c r="J35" s="660">
        <v>0</v>
      </c>
      <c r="K35" s="660">
        <v>0</v>
      </c>
      <c r="M35" s="660">
        <v>0</v>
      </c>
    </row>
    <row r="36" spans="1:13">
      <c r="A36" s="603">
        <v>0</v>
      </c>
      <c r="B36" s="601"/>
      <c r="C36" s="602" t="s">
        <v>3276</v>
      </c>
      <c r="E36" s="658">
        <v>376070356</v>
      </c>
      <c r="F36" s="658">
        <v>26638155</v>
      </c>
      <c r="G36" s="658">
        <v>402708511</v>
      </c>
      <c r="I36" s="658">
        <v>542226459</v>
      </c>
      <c r="J36" s="658">
        <v>0</v>
      </c>
      <c r="K36" s="658">
        <v>542226459</v>
      </c>
      <c r="M36" s="658">
        <v>-139517948</v>
      </c>
    </row>
    <row r="37" spans="1:13">
      <c r="A37" s="603">
        <v>27</v>
      </c>
      <c r="B37" s="596">
        <v>27</v>
      </c>
      <c r="C37" s="597" t="s">
        <v>3164</v>
      </c>
      <c r="E37" s="659">
        <v>2869236</v>
      </c>
      <c r="F37" s="659">
        <v>0</v>
      </c>
      <c r="G37" s="659">
        <v>2869236</v>
      </c>
      <c r="I37" s="659"/>
      <c r="J37" s="659">
        <v>0</v>
      </c>
      <c r="K37" s="659">
        <v>0</v>
      </c>
      <c r="M37" s="659">
        <v>2869236</v>
      </c>
    </row>
    <row r="38" spans="1:13">
      <c r="A38" s="603">
        <v>28</v>
      </c>
      <c r="B38" s="588">
        <v>28</v>
      </c>
      <c r="C38" s="599" t="s">
        <v>3167</v>
      </c>
      <c r="E38" s="660">
        <v>286868106</v>
      </c>
      <c r="F38" s="660">
        <v>26638155</v>
      </c>
      <c r="G38" s="660">
        <v>313506261</v>
      </c>
      <c r="I38" s="660">
        <v>447999059</v>
      </c>
      <c r="J38" s="660">
        <v>0</v>
      </c>
      <c r="K38" s="660">
        <v>447999059</v>
      </c>
      <c r="M38" s="660">
        <v>-134492798</v>
      </c>
    </row>
    <row r="39" spans="1:13">
      <c r="A39" s="603">
        <v>29</v>
      </c>
      <c r="B39" s="596">
        <v>29</v>
      </c>
      <c r="C39" s="597" t="s">
        <v>3170</v>
      </c>
      <c r="E39" s="659"/>
      <c r="F39" s="659">
        <v>0</v>
      </c>
      <c r="G39" s="659">
        <v>0</v>
      </c>
      <c r="I39" s="659"/>
      <c r="J39" s="659">
        <v>0</v>
      </c>
      <c r="K39" s="659">
        <v>0</v>
      </c>
      <c r="M39" s="659">
        <v>0</v>
      </c>
    </row>
    <row r="40" spans="1:13">
      <c r="A40" s="603">
        <v>30</v>
      </c>
      <c r="B40" s="588">
        <v>30</v>
      </c>
      <c r="C40" s="599" t="s">
        <v>3173</v>
      </c>
      <c r="E40" s="660">
        <v>5000000</v>
      </c>
      <c r="F40" s="660">
        <v>0</v>
      </c>
      <c r="G40" s="660">
        <v>5000000</v>
      </c>
      <c r="I40" s="660">
        <v>5000000</v>
      </c>
      <c r="J40" s="660">
        <v>0</v>
      </c>
      <c r="K40" s="660">
        <v>5000000</v>
      </c>
      <c r="M40" s="660">
        <v>0</v>
      </c>
    </row>
    <row r="41" spans="1:13">
      <c r="A41" s="603">
        <v>31</v>
      </c>
      <c r="B41" s="596">
        <v>31</v>
      </c>
      <c r="C41" s="597" t="s">
        <v>3176</v>
      </c>
      <c r="E41" s="659"/>
      <c r="F41" s="659">
        <v>0</v>
      </c>
      <c r="G41" s="659">
        <v>0</v>
      </c>
      <c r="I41" s="659"/>
      <c r="J41" s="659">
        <v>0</v>
      </c>
      <c r="K41" s="659">
        <v>0</v>
      </c>
      <c r="M41" s="659">
        <v>0</v>
      </c>
    </row>
    <row r="42" spans="1:13">
      <c r="A42" s="603">
        <v>32</v>
      </c>
      <c r="B42" s="588">
        <v>32</v>
      </c>
      <c r="C42" s="599" t="s">
        <v>3178</v>
      </c>
      <c r="E42" s="660">
        <v>1594019</v>
      </c>
      <c r="F42" s="660">
        <v>0</v>
      </c>
      <c r="G42" s="660">
        <v>1594019</v>
      </c>
      <c r="I42" s="660">
        <v>1594019</v>
      </c>
      <c r="J42" s="660">
        <v>0</v>
      </c>
      <c r="K42" s="660">
        <v>1594019</v>
      </c>
      <c r="M42" s="660">
        <v>0</v>
      </c>
    </row>
    <row r="43" spans="1:13">
      <c r="A43" s="603">
        <v>33</v>
      </c>
      <c r="B43" s="596">
        <v>33</v>
      </c>
      <c r="C43" s="597" t="s">
        <v>3181</v>
      </c>
      <c r="E43" s="659"/>
      <c r="F43" s="659">
        <v>0</v>
      </c>
      <c r="G43" s="659">
        <v>0</v>
      </c>
      <c r="I43" s="659"/>
      <c r="J43" s="659">
        <v>0</v>
      </c>
      <c r="K43" s="659">
        <v>0</v>
      </c>
      <c r="M43" s="659">
        <v>0</v>
      </c>
    </row>
    <row r="44" spans="1:13">
      <c r="A44" s="603">
        <v>34</v>
      </c>
      <c r="B44" s="588">
        <v>34</v>
      </c>
      <c r="C44" s="599" t="s">
        <v>3184</v>
      </c>
      <c r="E44" s="660">
        <v>4161131</v>
      </c>
      <c r="F44" s="660">
        <v>0</v>
      </c>
      <c r="G44" s="660">
        <v>4161131</v>
      </c>
      <c r="I44" s="660">
        <v>4256086</v>
      </c>
      <c r="J44" s="660">
        <v>0</v>
      </c>
      <c r="K44" s="660">
        <v>4256086</v>
      </c>
      <c r="M44" s="660">
        <v>-94955</v>
      </c>
    </row>
    <row r="45" spans="1:13">
      <c r="A45" s="603">
        <v>35</v>
      </c>
      <c r="B45" s="596">
        <v>35</v>
      </c>
      <c r="C45" s="597" t="s">
        <v>3186</v>
      </c>
      <c r="E45" s="659">
        <v>65203621</v>
      </c>
      <c r="F45" s="659">
        <v>0</v>
      </c>
      <c r="G45" s="659">
        <v>65203621</v>
      </c>
      <c r="I45" s="659">
        <v>83377295</v>
      </c>
      <c r="J45" s="659">
        <v>0</v>
      </c>
      <c r="K45" s="659">
        <v>83377295</v>
      </c>
      <c r="M45" s="659">
        <v>-18173674</v>
      </c>
    </row>
    <row r="46" spans="1:13">
      <c r="A46" s="603">
        <v>36</v>
      </c>
      <c r="B46" s="588">
        <v>36</v>
      </c>
      <c r="C46" s="599" t="s">
        <v>3189</v>
      </c>
      <c r="E46" s="660"/>
      <c r="F46" s="660">
        <v>0</v>
      </c>
      <c r="G46" s="660">
        <v>0</v>
      </c>
      <c r="I46" s="660"/>
      <c r="J46" s="660">
        <v>0</v>
      </c>
      <c r="K46" s="660">
        <v>0</v>
      </c>
      <c r="M46" s="660">
        <v>0</v>
      </c>
    </row>
    <row r="47" spans="1:13">
      <c r="A47" s="603">
        <v>37</v>
      </c>
      <c r="B47" s="596">
        <v>37</v>
      </c>
      <c r="C47" s="597" t="s">
        <v>3277</v>
      </c>
      <c r="E47" s="659"/>
      <c r="F47" s="659">
        <v>0</v>
      </c>
      <c r="G47" s="659">
        <v>0</v>
      </c>
      <c r="I47" s="659"/>
      <c r="J47" s="659">
        <v>0</v>
      </c>
      <c r="K47" s="659">
        <v>0</v>
      </c>
      <c r="M47" s="659">
        <v>0</v>
      </c>
    </row>
    <row r="48" spans="1:13">
      <c r="A48" s="603">
        <v>38</v>
      </c>
      <c r="B48" s="588">
        <v>38</v>
      </c>
      <c r="C48" s="599" t="s">
        <v>3278</v>
      </c>
      <c r="E48" s="660"/>
      <c r="F48" s="660">
        <v>0</v>
      </c>
      <c r="G48" s="660">
        <v>0</v>
      </c>
      <c r="I48" s="660"/>
      <c r="J48" s="660">
        <v>0</v>
      </c>
      <c r="K48" s="660">
        <v>0</v>
      </c>
      <c r="M48" s="660">
        <v>0</v>
      </c>
    </row>
    <row r="49" spans="1:13">
      <c r="A49" s="603">
        <v>39</v>
      </c>
      <c r="B49" s="596">
        <v>39</v>
      </c>
      <c r="C49" s="597" t="s">
        <v>3195</v>
      </c>
      <c r="E49" s="659">
        <v>10374243</v>
      </c>
      <c r="F49" s="659">
        <v>0</v>
      </c>
      <c r="G49" s="659">
        <v>10374243</v>
      </c>
      <c r="I49" s="659"/>
      <c r="J49" s="659">
        <v>0</v>
      </c>
      <c r="K49" s="659">
        <v>0</v>
      </c>
      <c r="M49" s="659">
        <v>10374243</v>
      </c>
    </row>
    <row r="50" spans="1:13">
      <c r="A50" s="603">
        <v>40</v>
      </c>
      <c r="B50" s="588">
        <v>40</v>
      </c>
      <c r="C50" s="599" t="s">
        <v>3198</v>
      </c>
      <c r="E50" s="660"/>
      <c r="F50" s="660">
        <v>0</v>
      </c>
      <c r="G50" s="660">
        <v>0</v>
      </c>
      <c r="I50" s="660"/>
      <c r="J50" s="660">
        <v>0</v>
      </c>
      <c r="K50" s="660">
        <v>0</v>
      </c>
      <c r="M50" s="660">
        <v>0</v>
      </c>
    </row>
    <row r="51" spans="1:13">
      <c r="A51" s="603">
        <v>41</v>
      </c>
      <c r="B51" s="596">
        <v>41</v>
      </c>
      <c r="C51" s="597" t="s">
        <v>3279</v>
      </c>
      <c r="E51" s="659"/>
      <c r="F51" s="659">
        <v>0</v>
      </c>
      <c r="G51" s="659">
        <v>0</v>
      </c>
      <c r="I51" s="659"/>
      <c r="J51" s="659">
        <v>0</v>
      </c>
      <c r="K51" s="659">
        <v>0</v>
      </c>
      <c r="M51" s="659">
        <v>0</v>
      </c>
    </row>
    <row r="52" spans="1:13">
      <c r="A52" s="603"/>
      <c r="B52" s="588">
        <v>42</v>
      </c>
      <c r="C52" s="599" t="s">
        <v>3280</v>
      </c>
      <c r="E52" s="660"/>
      <c r="F52" s="660">
        <v>0</v>
      </c>
      <c r="G52" s="660">
        <v>0</v>
      </c>
      <c r="I52" s="660"/>
      <c r="J52" s="660">
        <v>0</v>
      </c>
      <c r="K52" s="660">
        <v>0</v>
      </c>
      <c r="M52" s="660">
        <v>0</v>
      </c>
    </row>
    <row r="53" spans="1:13">
      <c r="A53" s="603">
        <v>0</v>
      </c>
      <c r="B53" s="601"/>
      <c r="C53" s="602" t="s">
        <v>3281</v>
      </c>
      <c r="E53" s="658">
        <v>0</v>
      </c>
      <c r="F53" s="658">
        <v>0</v>
      </c>
      <c r="G53" s="658">
        <v>0</v>
      </c>
      <c r="I53" s="658">
        <v>3681449</v>
      </c>
      <c r="J53" s="658">
        <v>0</v>
      </c>
      <c r="K53" s="658">
        <v>3681449</v>
      </c>
      <c r="M53" s="658">
        <v>-3681449</v>
      </c>
    </row>
    <row r="54" spans="1:13">
      <c r="A54" s="603">
        <v>43</v>
      </c>
      <c r="B54" s="596">
        <v>43</v>
      </c>
      <c r="C54" s="597" t="s">
        <v>3282</v>
      </c>
      <c r="E54" s="659"/>
      <c r="F54" s="659">
        <v>0</v>
      </c>
      <c r="G54" s="659">
        <v>0</v>
      </c>
      <c r="I54" s="659">
        <v>1959843</v>
      </c>
      <c r="J54" s="659">
        <v>0</v>
      </c>
      <c r="K54" s="659">
        <v>1959843</v>
      </c>
      <c r="M54" s="659">
        <v>-1959843</v>
      </c>
    </row>
    <row r="55" spans="1:13">
      <c r="A55" s="603">
        <v>44</v>
      </c>
      <c r="B55" s="588">
        <v>44</v>
      </c>
      <c r="C55" s="599" t="s">
        <v>3283</v>
      </c>
      <c r="E55" s="660"/>
      <c r="F55" s="660">
        <v>0</v>
      </c>
      <c r="G55" s="660">
        <v>0</v>
      </c>
      <c r="I55" s="660">
        <v>73714</v>
      </c>
      <c r="J55" s="660">
        <v>0</v>
      </c>
      <c r="K55" s="660">
        <v>73714</v>
      </c>
      <c r="M55" s="660">
        <v>-73714</v>
      </c>
    </row>
    <row r="56" spans="1:13">
      <c r="A56" s="603"/>
      <c r="B56" s="596">
        <v>45</v>
      </c>
      <c r="C56" s="597" t="s">
        <v>3284</v>
      </c>
      <c r="E56" s="659"/>
      <c r="F56" s="659">
        <v>0</v>
      </c>
      <c r="G56" s="659">
        <v>0</v>
      </c>
      <c r="I56" s="659">
        <v>92143</v>
      </c>
      <c r="J56" s="659">
        <v>0</v>
      </c>
      <c r="K56" s="659">
        <v>92143</v>
      </c>
      <c r="M56" s="659">
        <v>-92143</v>
      </c>
    </row>
    <row r="57" spans="1:13">
      <c r="A57" s="603"/>
      <c r="B57" s="588">
        <v>46</v>
      </c>
      <c r="C57" s="599" t="s">
        <v>3285</v>
      </c>
      <c r="E57" s="660"/>
      <c r="F57" s="660">
        <v>0</v>
      </c>
      <c r="G57" s="660">
        <v>0</v>
      </c>
      <c r="I57" s="660">
        <v>1220125</v>
      </c>
      <c r="J57" s="660">
        <v>0</v>
      </c>
      <c r="K57" s="660">
        <v>1220125</v>
      </c>
      <c r="M57" s="660">
        <v>-1220125</v>
      </c>
    </row>
    <row r="58" spans="1:13">
      <c r="A58" s="603"/>
      <c r="B58" s="596">
        <v>47</v>
      </c>
      <c r="C58" s="597" t="s">
        <v>3286</v>
      </c>
      <c r="E58" s="659"/>
      <c r="F58" s="659">
        <v>0</v>
      </c>
      <c r="G58" s="659">
        <v>0</v>
      </c>
      <c r="I58" s="659">
        <v>46072</v>
      </c>
      <c r="J58" s="659">
        <v>0</v>
      </c>
      <c r="K58" s="659">
        <v>46072</v>
      </c>
      <c r="M58" s="659">
        <v>-46072</v>
      </c>
    </row>
    <row r="59" spans="1:13">
      <c r="A59" s="603"/>
      <c r="B59" s="588">
        <v>48</v>
      </c>
      <c r="C59" s="599" t="s">
        <v>3287</v>
      </c>
      <c r="E59" s="660"/>
      <c r="F59" s="660">
        <v>0</v>
      </c>
      <c r="G59" s="660">
        <v>0</v>
      </c>
      <c r="I59" s="660"/>
      <c r="J59" s="660">
        <v>0</v>
      </c>
      <c r="K59" s="660">
        <v>0</v>
      </c>
      <c r="M59" s="660">
        <v>0</v>
      </c>
    </row>
    <row r="60" spans="1:13">
      <c r="A60" s="603"/>
      <c r="B60" s="596">
        <v>49</v>
      </c>
      <c r="C60" s="597" t="s">
        <v>3288</v>
      </c>
      <c r="E60" s="659"/>
      <c r="F60" s="659">
        <v>0</v>
      </c>
      <c r="G60" s="659">
        <v>0</v>
      </c>
      <c r="I60" s="659">
        <v>105266</v>
      </c>
      <c r="J60" s="659">
        <v>0</v>
      </c>
      <c r="K60" s="659">
        <v>105266</v>
      </c>
      <c r="M60" s="659">
        <v>-105266</v>
      </c>
    </row>
    <row r="61" spans="1:13">
      <c r="A61" s="603"/>
      <c r="B61" s="588">
        <v>50</v>
      </c>
      <c r="C61" s="599" t="s">
        <v>3289</v>
      </c>
      <c r="E61" s="660"/>
      <c r="F61" s="660">
        <v>0</v>
      </c>
      <c r="G61" s="660">
        <v>0</v>
      </c>
      <c r="I61" s="660">
        <v>184286</v>
      </c>
      <c r="J61" s="660">
        <v>0</v>
      </c>
      <c r="K61" s="660">
        <v>184286</v>
      </c>
      <c r="M61" s="660">
        <v>-184286</v>
      </c>
    </row>
    <row r="62" spans="1:13">
      <c r="A62" s="603"/>
      <c r="B62" s="596">
        <v>51</v>
      </c>
      <c r="C62" s="597" t="s">
        <v>3218</v>
      </c>
      <c r="E62" s="659"/>
      <c r="F62" s="659">
        <v>0</v>
      </c>
      <c r="G62" s="659">
        <v>0</v>
      </c>
      <c r="I62" s="659"/>
      <c r="J62" s="659">
        <v>0</v>
      </c>
      <c r="K62" s="659">
        <v>0</v>
      </c>
      <c r="M62" s="659">
        <v>0</v>
      </c>
    </row>
    <row r="63" spans="1:13">
      <c r="A63" s="603">
        <v>0</v>
      </c>
      <c r="B63" s="601"/>
      <c r="C63" s="602" t="s">
        <v>3290</v>
      </c>
      <c r="E63" s="658">
        <v>0</v>
      </c>
      <c r="F63" s="658">
        <v>0</v>
      </c>
      <c r="G63" s="658">
        <v>0</v>
      </c>
      <c r="I63" s="658">
        <v>0</v>
      </c>
      <c r="J63" s="658">
        <v>0</v>
      </c>
      <c r="K63" s="658">
        <v>0</v>
      </c>
      <c r="M63" s="658">
        <v>0</v>
      </c>
    </row>
    <row r="64" spans="1:13">
      <c r="A64" s="603">
        <v>52</v>
      </c>
      <c r="B64" s="588">
        <v>52</v>
      </c>
      <c r="C64" s="599" t="s">
        <v>3222</v>
      </c>
      <c r="E64" s="660"/>
      <c r="F64" s="660">
        <v>0</v>
      </c>
      <c r="G64" s="660">
        <v>0</v>
      </c>
      <c r="I64" s="660"/>
      <c r="J64" s="660">
        <v>0</v>
      </c>
      <c r="K64" s="660">
        <v>0</v>
      </c>
      <c r="M64" s="660">
        <v>0</v>
      </c>
    </row>
    <row r="65" spans="1:13">
      <c r="A65" s="603">
        <v>53</v>
      </c>
      <c r="B65" s="596">
        <v>53</v>
      </c>
      <c r="C65" s="597" t="s">
        <v>3225</v>
      </c>
      <c r="E65" s="659"/>
      <c r="F65" s="659">
        <v>0</v>
      </c>
      <c r="G65" s="659">
        <v>0</v>
      </c>
      <c r="I65" s="659"/>
      <c r="J65" s="659">
        <v>0</v>
      </c>
      <c r="K65" s="659">
        <v>0</v>
      </c>
      <c r="M65" s="659">
        <v>0</v>
      </c>
    </row>
    <row r="66" spans="1:13">
      <c r="A66" s="603">
        <v>54</v>
      </c>
      <c r="B66" s="588">
        <v>54</v>
      </c>
      <c r="C66" s="599" t="s">
        <v>3291</v>
      </c>
      <c r="E66" s="660"/>
      <c r="F66" s="660">
        <v>0</v>
      </c>
      <c r="G66" s="660">
        <v>0</v>
      </c>
      <c r="I66" s="660"/>
      <c r="J66" s="660">
        <v>0</v>
      </c>
      <c r="K66" s="660">
        <v>0</v>
      </c>
      <c r="M66" s="660">
        <v>0</v>
      </c>
    </row>
    <row r="67" spans="1:13">
      <c r="A67" s="603"/>
      <c r="B67" s="601"/>
      <c r="C67" s="602" t="s">
        <v>3292</v>
      </c>
      <c r="E67" s="658">
        <v>0</v>
      </c>
      <c r="F67" s="658">
        <v>0</v>
      </c>
      <c r="G67" s="658">
        <v>0</v>
      </c>
      <c r="I67" s="658">
        <v>0</v>
      </c>
      <c r="J67" s="658">
        <v>0</v>
      </c>
      <c r="K67" s="658">
        <v>0</v>
      </c>
      <c r="M67" s="658">
        <v>0</v>
      </c>
    </row>
    <row r="68" spans="1:13">
      <c r="A68" s="603"/>
      <c r="B68" s="596">
        <v>55</v>
      </c>
      <c r="C68" s="597" t="s">
        <v>3231</v>
      </c>
      <c r="E68" s="659"/>
      <c r="F68" s="659">
        <v>0</v>
      </c>
      <c r="G68" s="659">
        <v>0</v>
      </c>
      <c r="I68" s="659"/>
      <c r="J68" s="659">
        <v>0</v>
      </c>
      <c r="K68" s="659">
        <v>0</v>
      </c>
      <c r="M68" s="659">
        <v>0</v>
      </c>
    </row>
    <row r="69" spans="1:13">
      <c r="A69" s="603"/>
      <c r="B69" s="588">
        <v>56</v>
      </c>
      <c r="C69" s="599" t="s">
        <v>3293</v>
      </c>
      <c r="E69" s="660"/>
      <c r="F69" s="660">
        <v>0</v>
      </c>
      <c r="G69" s="660">
        <v>0</v>
      </c>
      <c r="I69" s="660"/>
      <c r="J69" s="660">
        <v>0</v>
      </c>
      <c r="K69" s="660">
        <v>0</v>
      </c>
      <c r="M69" s="660">
        <v>0</v>
      </c>
    </row>
    <row r="70" spans="1:13">
      <c r="A70" s="603">
        <v>0</v>
      </c>
      <c r="B70" s="601"/>
      <c r="C70" s="602" t="s">
        <v>340</v>
      </c>
      <c r="E70" s="658">
        <v>35802298</v>
      </c>
      <c r="F70" s="658">
        <v>-32599468</v>
      </c>
      <c r="G70" s="658">
        <v>3202830</v>
      </c>
      <c r="I70" s="658">
        <v>10643046</v>
      </c>
      <c r="J70" s="658">
        <v>0</v>
      </c>
      <c r="K70" s="658">
        <v>10643046</v>
      </c>
      <c r="M70" s="658">
        <v>-7440216</v>
      </c>
    </row>
    <row r="71" spans="1:13">
      <c r="A71" s="603">
        <v>57</v>
      </c>
      <c r="B71" s="596">
        <v>57</v>
      </c>
      <c r="C71" s="597" t="s">
        <v>3294</v>
      </c>
      <c r="E71" s="659">
        <v>35802298</v>
      </c>
      <c r="F71" s="659">
        <v>-32599468</v>
      </c>
      <c r="G71" s="659">
        <v>3202830</v>
      </c>
      <c r="I71" s="659">
        <v>10643046</v>
      </c>
      <c r="J71" s="659">
        <v>0</v>
      </c>
      <c r="K71" s="659">
        <v>10643046</v>
      </c>
      <c r="M71" s="659">
        <v>-7440216</v>
      </c>
    </row>
    <row r="72" spans="1:13">
      <c r="A72" s="603">
        <v>0</v>
      </c>
      <c r="B72" s="601"/>
      <c r="C72" s="602" t="s">
        <v>3295</v>
      </c>
      <c r="E72" s="658">
        <v>0</v>
      </c>
      <c r="F72" s="658">
        <v>32599468</v>
      </c>
      <c r="G72" s="658">
        <v>32599468</v>
      </c>
      <c r="I72" s="658">
        <v>32599468</v>
      </c>
      <c r="J72" s="658">
        <v>0</v>
      </c>
      <c r="K72" s="658">
        <v>32599468</v>
      </c>
      <c r="M72" s="658">
        <v>0</v>
      </c>
    </row>
    <row r="73" spans="1:13">
      <c r="A73" s="603">
        <v>58</v>
      </c>
      <c r="B73" s="588">
        <v>58</v>
      </c>
      <c r="C73" s="599" t="s">
        <v>3296</v>
      </c>
      <c r="E73" s="660"/>
      <c r="F73" s="660">
        <v>32599468</v>
      </c>
      <c r="G73" s="660">
        <v>32599468</v>
      </c>
      <c r="I73" s="660">
        <v>32599468</v>
      </c>
      <c r="J73" s="660">
        <v>0</v>
      </c>
      <c r="K73" s="660">
        <v>32599468</v>
      </c>
      <c r="M73" s="660">
        <v>0</v>
      </c>
    </row>
    <row r="74" spans="1:13">
      <c r="A74" s="603"/>
      <c r="B74" s="601"/>
      <c r="C74" s="602" t="s">
        <v>3297</v>
      </c>
      <c r="E74" s="658">
        <v>0</v>
      </c>
      <c r="F74" s="658">
        <v>0</v>
      </c>
      <c r="G74" s="658">
        <v>0</v>
      </c>
      <c r="I74" s="658">
        <v>0</v>
      </c>
      <c r="J74" s="658">
        <v>0</v>
      </c>
      <c r="K74" s="658">
        <v>0</v>
      </c>
      <c r="M74" s="658">
        <v>0</v>
      </c>
    </row>
    <row r="75" spans="1:13">
      <c r="A75" s="603"/>
      <c r="B75" s="588">
        <v>59</v>
      </c>
      <c r="C75" s="599" t="s">
        <v>3298</v>
      </c>
      <c r="E75" s="660"/>
      <c r="F75" s="660">
        <v>0</v>
      </c>
      <c r="G75" s="660">
        <v>0</v>
      </c>
      <c r="I75" s="660"/>
      <c r="J75" s="660">
        <v>0</v>
      </c>
      <c r="K75" s="660">
        <v>0</v>
      </c>
      <c r="M75" s="660"/>
    </row>
    <row r="76" spans="1:13">
      <c r="A76" s="603"/>
      <c r="B76" s="601"/>
      <c r="C76" s="602" t="s">
        <v>3299</v>
      </c>
      <c r="E76" s="658">
        <v>0</v>
      </c>
      <c r="F76" s="658">
        <v>0</v>
      </c>
      <c r="G76" s="658">
        <v>0</v>
      </c>
      <c r="I76" s="658">
        <v>0</v>
      </c>
      <c r="J76" s="658">
        <v>0</v>
      </c>
      <c r="K76" s="658">
        <v>0</v>
      </c>
      <c r="M76" s="658">
        <v>0</v>
      </c>
    </row>
    <row r="77" spans="1:13">
      <c r="A77" s="603"/>
      <c r="B77" s="588">
        <v>60</v>
      </c>
      <c r="C77" s="599" t="s">
        <v>3300</v>
      </c>
      <c r="E77" s="660"/>
      <c r="F77" s="660">
        <v>0</v>
      </c>
      <c r="G77" s="660">
        <v>0</v>
      </c>
      <c r="I77" s="660"/>
      <c r="J77" s="660">
        <v>0</v>
      </c>
      <c r="K77" s="660">
        <v>0</v>
      </c>
      <c r="M77" s="660"/>
    </row>
    <row r="78" spans="1:13">
      <c r="A78" s="603"/>
      <c r="B78" s="601"/>
      <c r="C78" s="602" t="s">
        <v>3301</v>
      </c>
      <c r="E78" s="658">
        <v>21428576</v>
      </c>
      <c r="F78" s="658">
        <v>0</v>
      </c>
      <c r="G78" s="658">
        <v>21428576</v>
      </c>
      <c r="I78" s="658">
        <v>21428576</v>
      </c>
      <c r="J78" s="658">
        <v>0</v>
      </c>
      <c r="K78" s="658">
        <v>21428576</v>
      </c>
      <c r="M78" s="658">
        <v>0</v>
      </c>
    </row>
    <row r="79" spans="1:13">
      <c r="A79" s="603"/>
      <c r="B79" s="596">
        <v>61</v>
      </c>
      <c r="C79" s="597" t="s">
        <v>3302</v>
      </c>
      <c r="E79" s="659"/>
      <c r="F79" s="659"/>
      <c r="G79" s="659"/>
      <c r="I79" s="659"/>
      <c r="J79" s="659"/>
      <c r="K79" s="659"/>
      <c r="M79" s="659"/>
    </row>
  </sheetData>
  <mergeCells count="5">
    <mergeCell ref="B3:B4"/>
    <mergeCell ref="C3:C4"/>
    <mergeCell ref="E3:G3"/>
    <mergeCell ref="I3:K3"/>
    <mergeCell ref="M3:M4"/>
  </mergeCells>
  <hyperlinks>
    <hyperlink ref="A1" location="Sommaire!A1" display="Sommaire!A1" xr:uid="{00000000-0004-0000-2200-000000000000}"/>
  </hyperlinks>
  <pageMargins left="0.7" right="0.7" top="0.75" bottom="0.75" header="0.3" footer="0.3"/>
  <pageSetup paperSize="9" orientation="landscape"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M79"/>
  <sheetViews>
    <sheetView showGridLines="0" zoomScaleNormal="100" workbookViewId="0">
      <selection activeCell="B1" sqref="B1"/>
    </sheetView>
  </sheetViews>
  <sheetFormatPr baseColWidth="10" defaultColWidth="11.33203125" defaultRowHeight="12"/>
  <cols>
    <col min="1" max="1" width="10.1640625" style="588" bestFit="1" customWidth="1"/>
    <col min="2" max="2" width="19" style="588" bestFit="1" customWidth="1"/>
    <col min="3" max="3" width="54.5" style="605" bestFit="1" customWidth="1"/>
    <col min="4" max="4" width="0.6640625" style="590" customWidth="1"/>
    <col min="5" max="5" width="16.5" style="590" bestFit="1" customWidth="1"/>
    <col min="6" max="6" width="10.1640625" style="588" bestFit="1" customWidth="1"/>
    <col min="7" max="7" width="11.5" style="590" bestFit="1" customWidth="1"/>
    <col min="8" max="8" width="0.6640625" style="590" customWidth="1"/>
    <col min="9" max="10" width="10.5" style="590" bestFit="1" customWidth="1"/>
    <col min="11" max="11" width="11.5" style="590" bestFit="1" customWidth="1"/>
    <col min="12" max="12" width="0.6640625" style="590" customWidth="1"/>
    <col min="13" max="13" width="13.83203125" style="590" bestFit="1" customWidth="1"/>
    <col min="14" max="16384" width="11.33203125" style="590"/>
  </cols>
  <sheetData>
    <row r="1" spans="1:13" ht="24">
      <c r="A1" s="661" t="s">
        <v>140</v>
      </c>
      <c r="C1" s="589" t="s">
        <v>3249</v>
      </c>
      <c r="E1" s="591" t="s">
        <v>155</v>
      </c>
      <c r="F1" s="591" t="s">
        <v>3318</v>
      </c>
      <c r="G1" s="592"/>
      <c r="J1" s="592" t="s">
        <v>3251</v>
      </c>
      <c r="K1" s="592">
        <v>2023</v>
      </c>
    </row>
    <row r="2" spans="1:13">
      <c r="C2" s="593"/>
      <c r="F2" s="590"/>
      <c r="I2" s="590" t="s">
        <v>3252</v>
      </c>
      <c r="J2" s="594">
        <v>604.32574999999997</v>
      </c>
    </row>
    <row r="3" spans="1:13">
      <c r="B3" s="753" t="s">
        <v>143</v>
      </c>
      <c r="C3" s="754" t="s">
        <v>3253</v>
      </c>
      <c r="E3" s="755" t="s">
        <v>2084</v>
      </c>
      <c r="F3" s="755"/>
      <c r="G3" s="755"/>
      <c r="I3" s="755" t="s">
        <v>3254</v>
      </c>
      <c r="J3" s="755"/>
      <c r="K3" s="755"/>
      <c r="M3" s="756" t="s">
        <v>3255</v>
      </c>
    </row>
    <row r="4" spans="1:13">
      <c r="B4" s="753"/>
      <c r="C4" s="754"/>
      <c r="E4" s="595" t="s">
        <v>3256</v>
      </c>
      <c r="F4" s="595" t="s">
        <v>3257</v>
      </c>
      <c r="G4" s="595" t="s">
        <v>3258</v>
      </c>
      <c r="I4" s="595" t="s">
        <v>3256</v>
      </c>
      <c r="J4" s="595" t="s">
        <v>3257</v>
      </c>
      <c r="K4" s="595" t="s">
        <v>3258</v>
      </c>
      <c r="M4" s="756"/>
    </row>
    <row r="5" spans="1:13">
      <c r="B5" s="655" t="s">
        <v>3092</v>
      </c>
      <c r="C5" s="656"/>
      <c r="E5" s="657">
        <v>0</v>
      </c>
      <c r="F5" s="657">
        <v>0</v>
      </c>
      <c r="G5" s="657">
        <v>0</v>
      </c>
      <c r="I5" s="657">
        <v>0</v>
      </c>
      <c r="J5" s="657">
        <v>0</v>
      </c>
      <c r="K5" s="657">
        <v>0</v>
      </c>
      <c r="M5" s="657">
        <v>0</v>
      </c>
    </row>
    <row r="6" spans="1:13">
      <c r="B6" s="596">
        <v>1</v>
      </c>
      <c r="C6" s="597" t="s">
        <v>3259</v>
      </c>
      <c r="E6" s="598"/>
      <c r="F6" s="598">
        <v>0</v>
      </c>
      <c r="G6" s="598">
        <v>0</v>
      </c>
      <c r="I6" s="598"/>
      <c r="J6" s="598">
        <v>0</v>
      </c>
      <c r="K6" s="598">
        <v>0</v>
      </c>
      <c r="M6" s="598">
        <v>0</v>
      </c>
    </row>
    <row r="7" spans="1:13">
      <c r="B7" s="588">
        <v>2</v>
      </c>
      <c r="C7" s="599" t="s">
        <v>3260</v>
      </c>
      <c r="E7" s="600"/>
      <c r="F7" s="600">
        <v>0</v>
      </c>
      <c r="G7" s="600">
        <v>0</v>
      </c>
      <c r="I7" s="600"/>
      <c r="J7" s="600">
        <v>0</v>
      </c>
      <c r="K7" s="600">
        <v>0</v>
      </c>
      <c r="M7" s="600">
        <v>0</v>
      </c>
    </row>
    <row r="8" spans="1:13">
      <c r="B8" s="655" t="s">
        <v>3101</v>
      </c>
      <c r="C8" s="656"/>
      <c r="E8" s="657">
        <v>166907681</v>
      </c>
      <c r="F8" s="657">
        <v>0</v>
      </c>
      <c r="G8" s="657">
        <v>166907681</v>
      </c>
      <c r="I8" s="657">
        <v>63220703</v>
      </c>
      <c r="J8" s="657">
        <v>55000000</v>
      </c>
      <c r="K8" s="657">
        <v>118220703</v>
      </c>
      <c r="M8" s="657">
        <v>48686978</v>
      </c>
    </row>
    <row r="9" spans="1:13">
      <c r="B9" s="601"/>
      <c r="C9" s="602" t="s">
        <v>1244</v>
      </c>
      <c r="E9" s="658">
        <v>0</v>
      </c>
      <c r="F9" s="658">
        <v>0</v>
      </c>
      <c r="G9" s="658">
        <v>0</v>
      </c>
      <c r="I9" s="658">
        <v>0</v>
      </c>
      <c r="J9" s="658">
        <v>0</v>
      </c>
      <c r="K9" s="658">
        <v>0</v>
      </c>
      <c r="M9" s="658">
        <v>0</v>
      </c>
    </row>
    <row r="10" spans="1:13">
      <c r="A10" s="603">
        <v>3</v>
      </c>
      <c r="B10" s="596">
        <v>3</v>
      </c>
      <c r="C10" s="597" t="s">
        <v>3261</v>
      </c>
      <c r="E10" s="659"/>
      <c r="F10" s="659">
        <v>0</v>
      </c>
      <c r="G10" s="659">
        <v>0</v>
      </c>
      <c r="I10" s="659"/>
      <c r="J10" s="659">
        <v>0</v>
      </c>
      <c r="K10" s="659">
        <v>0</v>
      </c>
      <c r="M10" s="659">
        <v>0</v>
      </c>
    </row>
    <row r="11" spans="1:13">
      <c r="A11" s="603">
        <v>4</v>
      </c>
      <c r="B11" s="588">
        <v>4</v>
      </c>
      <c r="C11" s="599" t="s">
        <v>3106</v>
      </c>
      <c r="E11" s="660"/>
      <c r="F11" s="660">
        <v>0</v>
      </c>
      <c r="G11" s="660">
        <v>0</v>
      </c>
      <c r="I11" s="660"/>
      <c r="J11" s="660">
        <v>0</v>
      </c>
      <c r="K11" s="660">
        <v>0</v>
      </c>
      <c r="M11" s="660">
        <v>0</v>
      </c>
    </row>
    <row r="12" spans="1:13">
      <c r="A12" s="603">
        <v>5</v>
      </c>
      <c r="B12" s="596">
        <v>5</v>
      </c>
      <c r="C12" s="597" t="s">
        <v>3262</v>
      </c>
      <c r="E12" s="659"/>
      <c r="F12" s="659">
        <v>0</v>
      </c>
      <c r="G12" s="659">
        <v>0</v>
      </c>
      <c r="I12" s="659"/>
      <c r="J12" s="659">
        <v>0</v>
      </c>
      <c r="K12" s="659">
        <v>0</v>
      </c>
      <c r="M12" s="659">
        <v>0</v>
      </c>
    </row>
    <row r="13" spans="1:13">
      <c r="A13" s="603">
        <v>6</v>
      </c>
      <c r="B13" s="588">
        <v>6</v>
      </c>
      <c r="C13" s="599" t="s">
        <v>3263</v>
      </c>
      <c r="E13" s="660"/>
      <c r="F13" s="660">
        <v>0</v>
      </c>
      <c r="G13" s="660">
        <v>0</v>
      </c>
      <c r="I13" s="660"/>
      <c r="J13" s="660">
        <v>0</v>
      </c>
      <c r="K13" s="660">
        <v>0</v>
      </c>
      <c r="M13" s="660">
        <v>0</v>
      </c>
    </row>
    <row r="14" spans="1:13">
      <c r="A14" s="603">
        <v>7</v>
      </c>
      <c r="B14" s="596">
        <v>7</v>
      </c>
      <c r="C14" s="597" t="s">
        <v>3114</v>
      </c>
      <c r="E14" s="659"/>
      <c r="F14" s="659">
        <v>0</v>
      </c>
      <c r="G14" s="659">
        <v>0</v>
      </c>
      <c r="I14" s="659"/>
      <c r="J14" s="659">
        <v>0</v>
      </c>
      <c r="K14" s="659">
        <v>0</v>
      </c>
      <c r="M14" s="659">
        <v>0</v>
      </c>
    </row>
    <row r="15" spans="1:13">
      <c r="A15" s="603">
        <v>0</v>
      </c>
      <c r="B15" s="601"/>
      <c r="C15" s="602" t="s">
        <v>1253</v>
      </c>
      <c r="E15" s="658">
        <v>0</v>
      </c>
      <c r="F15" s="658">
        <v>0</v>
      </c>
      <c r="G15" s="658">
        <v>0</v>
      </c>
      <c r="I15" s="658">
        <v>0</v>
      </c>
      <c r="J15" s="658">
        <v>0</v>
      </c>
      <c r="K15" s="658">
        <v>0</v>
      </c>
      <c r="M15" s="658">
        <v>0</v>
      </c>
    </row>
    <row r="16" spans="1:13">
      <c r="A16" s="603">
        <v>8</v>
      </c>
      <c r="B16" s="588">
        <v>8</v>
      </c>
      <c r="C16" s="599" t="s">
        <v>3264</v>
      </c>
      <c r="E16" s="660"/>
      <c r="F16" s="660">
        <v>0</v>
      </c>
      <c r="G16" s="660">
        <v>0</v>
      </c>
      <c r="I16" s="660"/>
      <c r="J16" s="660">
        <v>0</v>
      </c>
      <c r="K16" s="660">
        <v>0</v>
      </c>
      <c r="M16" s="660">
        <v>0</v>
      </c>
    </row>
    <row r="17" spans="1:13">
      <c r="A17" s="603">
        <v>9</v>
      </c>
      <c r="B17" s="596">
        <v>9</v>
      </c>
      <c r="C17" s="597" t="s">
        <v>3265</v>
      </c>
      <c r="E17" s="659"/>
      <c r="F17" s="659">
        <v>0</v>
      </c>
      <c r="G17" s="659">
        <v>0</v>
      </c>
      <c r="I17" s="659"/>
      <c r="J17" s="659">
        <v>0</v>
      </c>
      <c r="K17" s="659">
        <v>0</v>
      </c>
      <c r="M17" s="659">
        <v>0</v>
      </c>
    </row>
    <row r="18" spans="1:13">
      <c r="A18" s="603"/>
      <c r="B18" s="588">
        <v>10</v>
      </c>
      <c r="C18" s="599" t="s">
        <v>3122</v>
      </c>
      <c r="E18" s="660"/>
      <c r="F18" s="660">
        <v>0</v>
      </c>
      <c r="G18" s="660">
        <v>0</v>
      </c>
      <c r="I18" s="660"/>
      <c r="J18" s="660">
        <v>0</v>
      </c>
      <c r="K18" s="660">
        <v>0</v>
      </c>
      <c r="M18" s="660">
        <v>0</v>
      </c>
    </row>
    <row r="19" spans="1:13">
      <c r="A19" s="603">
        <v>11</v>
      </c>
      <c r="B19" s="596">
        <v>11</v>
      </c>
      <c r="C19" s="597" t="s">
        <v>3124</v>
      </c>
      <c r="E19" s="659"/>
      <c r="F19" s="659">
        <v>0</v>
      </c>
      <c r="G19" s="659">
        <v>0</v>
      </c>
      <c r="I19" s="659"/>
      <c r="J19" s="659">
        <v>0</v>
      </c>
      <c r="K19" s="659">
        <v>0</v>
      </c>
      <c r="M19" s="659">
        <v>0</v>
      </c>
    </row>
    <row r="20" spans="1:13">
      <c r="A20" s="603">
        <v>12</v>
      </c>
      <c r="B20" s="588">
        <v>12</v>
      </c>
      <c r="C20" s="599" t="s">
        <v>3266</v>
      </c>
      <c r="E20" s="660"/>
      <c r="F20" s="660">
        <v>0</v>
      </c>
      <c r="G20" s="660">
        <v>0</v>
      </c>
      <c r="I20" s="660"/>
      <c r="J20" s="660">
        <v>0</v>
      </c>
      <c r="K20" s="660">
        <v>0</v>
      </c>
      <c r="M20" s="660">
        <v>0</v>
      </c>
    </row>
    <row r="21" spans="1:13">
      <c r="A21" s="603">
        <v>13</v>
      </c>
      <c r="B21" s="596">
        <v>13</v>
      </c>
      <c r="C21" s="597" t="s">
        <v>3267</v>
      </c>
      <c r="E21" s="659"/>
      <c r="F21" s="659">
        <v>0</v>
      </c>
      <c r="G21" s="659">
        <v>0</v>
      </c>
      <c r="I21" s="659"/>
      <c r="J21" s="659">
        <v>0</v>
      </c>
      <c r="K21" s="659">
        <v>0</v>
      </c>
      <c r="M21" s="659">
        <v>0</v>
      </c>
    </row>
    <row r="22" spans="1:13">
      <c r="A22" s="603">
        <v>14</v>
      </c>
      <c r="B22" s="588">
        <v>14</v>
      </c>
      <c r="C22" s="599" t="s">
        <v>3268</v>
      </c>
      <c r="E22" s="660"/>
      <c r="F22" s="660">
        <v>0</v>
      </c>
      <c r="G22" s="660">
        <v>0</v>
      </c>
      <c r="I22" s="660"/>
      <c r="J22" s="660">
        <v>0</v>
      </c>
      <c r="K22" s="660">
        <v>0</v>
      </c>
      <c r="M22" s="660">
        <v>0</v>
      </c>
    </row>
    <row r="23" spans="1:13">
      <c r="A23" s="603">
        <v>15</v>
      </c>
      <c r="B23" s="596">
        <v>15</v>
      </c>
      <c r="C23" s="597" t="s">
        <v>3133</v>
      </c>
      <c r="E23" s="659"/>
      <c r="F23" s="659">
        <v>0</v>
      </c>
      <c r="G23" s="659">
        <v>0</v>
      </c>
      <c r="I23" s="659"/>
      <c r="J23" s="659">
        <v>0</v>
      </c>
      <c r="K23" s="659">
        <v>0</v>
      </c>
      <c r="M23" s="659">
        <v>0</v>
      </c>
    </row>
    <row r="24" spans="1:13">
      <c r="A24" s="603">
        <v>16</v>
      </c>
      <c r="B24" s="588">
        <v>16</v>
      </c>
      <c r="C24" s="599" t="s">
        <v>3136</v>
      </c>
      <c r="E24" s="660"/>
      <c r="F24" s="660">
        <v>0</v>
      </c>
      <c r="G24" s="660">
        <v>0</v>
      </c>
      <c r="I24" s="660"/>
      <c r="J24" s="660">
        <v>0</v>
      </c>
      <c r="K24" s="660">
        <v>0</v>
      </c>
      <c r="M24" s="660">
        <v>0</v>
      </c>
    </row>
    <row r="25" spans="1:13">
      <c r="A25" s="603">
        <v>0</v>
      </c>
      <c r="B25" s="601"/>
      <c r="C25" s="602" t="s">
        <v>3269</v>
      </c>
      <c r="E25" s="658">
        <v>0</v>
      </c>
      <c r="F25" s="658">
        <v>0</v>
      </c>
      <c r="G25" s="658">
        <v>0</v>
      </c>
      <c r="I25" s="658">
        <v>0</v>
      </c>
      <c r="J25" s="658">
        <v>0</v>
      </c>
      <c r="K25" s="658">
        <v>0</v>
      </c>
      <c r="M25" s="658">
        <v>0</v>
      </c>
    </row>
    <row r="26" spans="1:13">
      <c r="A26" s="603">
        <v>17</v>
      </c>
      <c r="B26" s="596">
        <v>17</v>
      </c>
      <c r="C26" s="597" t="s">
        <v>3270</v>
      </c>
      <c r="E26" s="659"/>
      <c r="F26" s="659">
        <v>0</v>
      </c>
      <c r="G26" s="659">
        <v>0</v>
      </c>
      <c r="I26" s="659"/>
      <c r="J26" s="659">
        <v>0</v>
      </c>
      <c r="K26" s="659">
        <v>0</v>
      </c>
      <c r="M26" s="659">
        <v>0</v>
      </c>
    </row>
    <row r="27" spans="1:13">
      <c r="A27" s="603">
        <v>18</v>
      </c>
      <c r="B27" s="588">
        <v>18</v>
      </c>
      <c r="C27" s="599" t="s">
        <v>3141</v>
      </c>
      <c r="E27" s="660"/>
      <c r="F27" s="660">
        <v>0</v>
      </c>
      <c r="G27" s="660">
        <v>0</v>
      </c>
      <c r="I27" s="660"/>
      <c r="J27" s="660">
        <v>0</v>
      </c>
      <c r="K27" s="660">
        <v>0</v>
      </c>
      <c r="M27" s="660">
        <v>0</v>
      </c>
    </row>
    <row r="28" spans="1:13">
      <c r="A28" s="603">
        <v>19</v>
      </c>
      <c r="B28" s="596">
        <v>19</v>
      </c>
      <c r="C28" s="597" t="s">
        <v>3144</v>
      </c>
      <c r="E28" s="659"/>
      <c r="F28" s="659">
        <v>0</v>
      </c>
      <c r="G28" s="659">
        <v>0</v>
      </c>
      <c r="I28" s="659"/>
      <c r="J28" s="659">
        <v>0</v>
      </c>
      <c r="K28" s="659">
        <v>0</v>
      </c>
      <c r="M28" s="659">
        <v>0</v>
      </c>
    </row>
    <row r="29" spans="1:13">
      <c r="A29" s="603">
        <v>20</v>
      </c>
      <c r="B29" s="588">
        <v>20</v>
      </c>
      <c r="C29" s="599" t="s">
        <v>3147</v>
      </c>
      <c r="E29" s="660"/>
      <c r="F29" s="660">
        <v>0</v>
      </c>
      <c r="G29" s="660">
        <v>0</v>
      </c>
      <c r="I29" s="660"/>
      <c r="J29" s="660">
        <v>0</v>
      </c>
      <c r="K29" s="660">
        <v>0</v>
      </c>
      <c r="M29" s="660">
        <v>0</v>
      </c>
    </row>
    <row r="30" spans="1:13">
      <c r="A30" s="603">
        <v>21</v>
      </c>
      <c r="B30" s="596">
        <v>21</v>
      </c>
      <c r="C30" s="597" t="s">
        <v>3271</v>
      </c>
      <c r="E30" s="659"/>
      <c r="F30" s="659">
        <v>0</v>
      </c>
      <c r="G30" s="659">
        <v>0</v>
      </c>
      <c r="I30" s="659"/>
      <c r="J30" s="659">
        <v>0</v>
      </c>
      <c r="K30" s="659">
        <v>0</v>
      </c>
      <c r="M30" s="659">
        <v>0</v>
      </c>
    </row>
    <row r="31" spans="1:13">
      <c r="A31" s="603">
        <v>22</v>
      </c>
      <c r="B31" s="588">
        <v>22</v>
      </c>
      <c r="C31" s="599" t="s">
        <v>3272</v>
      </c>
      <c r="E31" s="660"/>
      <c r="F31" s="660">
        <v>0</v>
      </c>
      <c r="G31" s="660">
        <v>0</v>
      </c>
      <c r="I31" s="660"/>
      <c r="J31" s="660">
        <v>0</v>
      </c>
      <c r="K31" s="660">
        <v>0</v>
      </c>
      <c r="M31" s="660">
        <v>0</v>
      </c>
    </row>
    <row r="32" spans="1:13">
      <c r="A32" s="603">
        <v>23</v>
      </c>
      <c r="B32" s="596">
        <v>23</v>
      </c>
      <c r="C32" s="597" t="s">
        <v>3273</v>
      </c>
      <c r="E32" s="659"/>
      <c r="F32" s="659">
        <v>0</v>
      </c>
      <c r="G32" s="659">
        <v>0</v>
      </c>
      <c r="I32" s="659"/>
      <c r="J32" s="659">
        <v>0</v>
      </c>
      <c r="K32" s="659">
        <v>0</v>
      </c>
      <c r="M32" s="659">
        <v>0</v>
      </c>
    </row>
    <row r="33" spans="1:13">
      <c r="A33" s="603">
        <v>24</v>
      </c>
      <c r="B33" s="588">
        <v>24</v>
      </c>
      <c r="C33" s="599" t="s">
        <v>3158</v>
      </c>
      <c r="E33" s="660"/>
      <c r="F33" s="660">
        <v>0</v>
      </c>
      <c r="G33" s="660">
        <v>0</v>
      </c>
      <c r="I33" s="660"/>
      <c r="J33" s="660">
        <v>0</v>
      </c>
      <c r="K33" s="660">
        <v>0</v>
      </c>
      <c r="M33" s="660">
        <v>0</v>
      </c>
    </row>
    <row r="34" spans="1:13" s="604" customFormat="1">
      <c r="A34" s="603">
        <v>25</v>
      </c>
      <c r="B34" s="596">
        <v>25</v>
      </c>
      <c r="C34" s="597" t="s">
        <v>3274</v>
      </c>
      <c r="D34" s="590"/>
      <c r="E34" s="659"/>
      <c r="F34" s="659">
        <v>0</v>
      </c>
      <c r="G34" s="659">
        <v>0</v>
      </c>
      <c r="H34" s="590"/>
      <c r="I34" s="659"/>
      <c r="J34" s="659">
        <v>0</v>
      </c>
      <c r="K34" s="659">
        <v>0</v>
      </c>
      <c r="L34" s="590"/>
      <c r="M34" s="659">
        <v>0</v>
      </c>
    </row>
    <row r="35" spans="1:13">
      <c r="A35" s="603">
        <v>26</v>
      </c>
      <c r="B35" s="588">
        <v>26</v>
      </c>
      <c r="C35" s="599" t="s">
        <v>3275</v>
      </c>
      <c r="E35" s="660"/>
      <c r="F35" s="660">
        <v>0</v>
      </c>
      <c r="G35" s="660">
        <v>0</v>
      </c>
      <c r="I35" s="660"/>
      <c r="J35" s="660">
        <v>0</v>
      </c>
      <c r="K35" s="660">
        <v>0</v>
      </c>
      <c r="M35" s="660">
        <v>0</v>
      </c>
    </row>
    <row r="36" spans="1:13">
      <c r="A36" s="603">
        <v>0</v>
      </c>
      <c r="B36" s="601"/>
      <c r="C36" s="602" t="s">
        <v>3276</v>
      </c>
      <c r="E36" s="658">
        <v>59907681</v>
      </c>
      <c r="F36" s="658">
        <v>0</v>
      </c>
      <c r="G36" s="658">
        <v>59907681</v>
      </c>
      <c r="I36" s="658">
        <v>0</v>
      </c>
      <c r="J36" s="658">
        <v>0</v>
      </c>
      <c r="K36" s="658">
        <v>0</v>
      </c>
      <c r="M36" s="658">
        <v>59907681</v>
      </c>
    </row>
    <row r="37" spans="1:13">
      <c r="A37" s="603">
        <v>27</v>
      </c>
      <c r="B37" s="596">
        <v>27</v>
      </c>
      <c r="C37" s="597" t="s">
        <v>3164</v>
      </c>
      <c r="E37" s="659"/>
      <c r="F37" s="659">
        <v>0</v>
      </c>
      <c r="G37" s="659">
        <v>0</v>
      </c>
      <c r="I37" s="659"/>
      <c r="J37" s="659">
        <v>0</v>
      </c>
      <c r="K37" s="659">
        <v>0</v>
      </c>
      <c r="M37" s="659">
        <v>0</v>
      </c>
    </row>
    <row r="38" spans="1:13">
      <c r="A38" s="603">
        <v>28</v>
      </c>
      <c r="B38" s="588">
        <v>28</v>
      </c>
      <c r="C38" s="599" t="s">
        <v>3167</v>
      </c>
      <c r="E38" s="660">
        <v>59907681</v>
      </c>
      <c r="F38" s="660">
        <v>0</v>
      </c>
      <c r="G38" s="660">
        <v>59907681</v>
      </c>
      <c r="I38" s="660"/>
      <c r="J38" s="660">
        <v>0</v>
      </c>
      <c r="K38" s="660">
        <v>0</v>
      </c>
      <c r="M38" s="660">
        <v>59907681</v>
      </c>
    </row>
    <row r="39" spans="1:13">
      <c r="A39" s="603">
        <v>29</v>
      </c>
      <c r="B39" s="596">
        <v>29</v>
      </c>
      <c r="C39" s="597" t="s">
        <v>3170</v>
      </c>
      <c r="E39" s="659"/>
      <c r="F39" s="659">
        <v>0</v>
      </c>
      <c r="G39" s="659">
        <v>0</v>
      </c>
      <c r="I39" s="659"/>
      <c r="J39" s="659">
        <v>0</v>
      </c>
      <c r="K39" s="659">
        <v>0</v>
      </c>
      <c r="M39" s="659">
        <v>0</v>
      </c>
    </row>
    <row r="40" spans="1:13">
      <c r="A40" s="603">
        <v>30</v>
      </c>
      <c r="B40" s="588">
        <v>30</v>
      </c>
      <c r="C40" s="599" t="s">
        <v>3173</v>
      </c>
      <c r="E40" s="660"/>
      <c r="F40" s="660">
        <v>0</v>
      </c>
      <c r="G40" s="660">
        <v>0</v>
      </c>
      <c r="I40" s="660"/>
      <c r="J40" s="660">
        <v>0</v>
      </c>
      <c r="K40" s="660">
        <v>0</v>
      </c>
      <c r="M40" s="660">
        <v>0</v>
      </c>
    </row>
    <row r="41" spans="1:13">
      <c r="A41" s="603">
        <v>31</v>
      </c>
      <c r="B41" s="596">
        <v>31</v>
      </c>
      <c r="C41" s="597" t="s">
        <v>3176</v>
      </c>
      <c r="E41" s="659"/>
      <c r="F41" s="659">
        <v>0</v>
      </c>
      <c r="G41" s="659">
        <v>0</v>
      </c>
      <c r="I41" s="659"/>
      <c r="J41" s="659">
        <v>0</v>
      </c>
      <c r="K41" s="659">
        <v>0</v>
      </c>
      <c r="M41" s="659">
        <v>0</v>
      </c>
    </row>
    <row r="42" spans="1:13">
      <c r="A42" s="603">
        <v>32</v>
      </c>
      <c r="B42" s="588">
        <v>32</v>
      </c>
      <c r="C42" s="599" t="s">
        <v>3178</v>
      </c>
      <c r="E42" s="660"/>
      <c r="F42" s="660">
        <v>0</v>
      </c>
      <c r="G42" s="660">
        <v>0</v>
      </c>
      <c r="I42" s="660"/>
      <c r="J42" s="660">
        <v>0</v>
      </c>
      <c r="K42" s="660">
        <v>0</v>
      </c>
      <c r="M42" s="660">
        <v>0</v>
      </c>
    </row>
    <row r="43" spans="1:13">
      <c r="A43" s="603">
        <v>33</v>
      </c>
      <c r="B43" s="596">
        <v>33</v>
      </c>
      <c r="C43" s="597" t="s">
        <v>3181</v>
      </c>
      <c r="E43" s="659"/>
      <c r="F43" s="659">
        <v>0</v>
      </c>
      <c r="G43" s="659">
        <v>0</v>
      </c>
      <c r="I43" s="659"/>
      <c r="J43" s="659">
        <v>0</v>
      </c>
      <c r="K43" s="659">
        <v>0</v>
      </c>
      <c r="M43" s="659">
        <v>0</v>
      </c>
    </row>
    <row r="44" spans="1:13">
      <c r="A44" s="603">
        <v>34</v>
      </c>
      <c r="B44" s="588">
        <v>34</v>
      </c>
      <c r="C44" s="599" t="s">
        <v>3184</v>
      </c>
      <c r="E44" s="660"/>
      <c r="F44" s="660">
        <v>0</v>
      </c>
      <c r="G44" s="660">
        <v>0</v>
      </c>
      <c r="I44" s="660"/>
      <c r="J44" s="660">
        <v>0</v>
      </c>
      <c r="K44" s="660">
        <v>0</v>
      </c>
      <c r="M44" s="660">
        <v>0</v>
      </c>
    </row>
    <row r="45" spans="1:13">
      <c r="A45" s="603">
        <v>35</v>
      </c>
      <c r="B45" s="596">
        <v>35</v>
      </c>
      <c r="C45" s="597" t="s">
        <v>3186</v>
      </c>
      <c r="E45" s="659"/>
      <c r="F45" s="659">
        <v>0</v>
      </c>
      <c r="G45" s="659">
        <v>0</v>
      </c>
      <c r="I45" s="659"/>
      <c r="J45" s="659">
        <v>0</v>
      </c>
      <c r="K45" s="659">
        <v>0</v>
      </c>
      <c r="M45" s="659">
        <v>0</v>
      </c>
    </row>
    <row r="46" spans="1:13">
      <c r="A46" s="603">
        <v>36</v>
      </c>
      <c r="B46" s="588">
        <v>36</v>
      </c>
      <c r="C46" s="599" t="s">
        <v>3189</v>
      </c>
      <c r="E46" s="660"/>
      <c r="F46" s="660">
        <v>0</v>
      </c>
      <c r="G46" s="660">
        <v>0</v>
      </c>
      <c r="I46" s="660"/>
      <c r="J46" s="660">
        <v>0</v>
      </c>
      <c r="K46" s="660">
        <v>0</v>
      </c>
      <c r="M46" s="660">
        <v>0</v>
      </c>
    </row>
    <row r="47" spans="1:13">
      <c r="A47" s="603">
        <v>37</v>
      </c>
      <c r="B47" s="596">
        <v>37</v>
      </c>
      <c r="C47" s="597" t="s">
        <v>3277</v>
      </c>
      <c r="E47" s="659"/>
      <c r="F47" s="659">
        <v>0</v>
      </c>
      <c r="G47" s="659">
        <v>0</v>
      </c>
      <c r="I47" s="659"/>
      <c r="J47" s="659">
        <v>0</v>
      </c>
      <c r="K47" s="659">
        <v>0</v>
      </c>
      <c r="M47" s="659">
        <v>0</v>
      </c>
    </row>
    <row r="48" spans="1:13">
      <c r="A48" s="603">
        <v>38</v>
      </c>
      <c r="B48" s="588">
        <v>38</v>
      </c>
      <c r="C48" s="599" t="s">
        <v>3278</v>
      </c>
      <c r="E48" s="660"/>
      <c r="F48" s="660">
        <v>0</v>
      </c>
      <c r="G48" s="660">
        <v>0</v>
      </c>
      <c r="I48" s="660"/>
      <c r="J48" s="660">
        <v>0</v>
      </c>
      <c r="K48" s="660">
        <v>0</v>
      </c>
      <c r="M48" s="660">
        <v>0</v>
      </c>
    </row>
    <row r="49" spans="1:13">
      <c r="A49" s="603">
        <v>39</v>
      </c>
      <c r="B49" s="596">
        <v>39</v>
      </c>
      <c r="C49" s="597" t="s">
        <v>3195</v>
      </c>
      <c r="E49" s="659"/>
      <c r="F49" s="659">
        <v>0</v>
      </c>
      <c r="G49" s="659">
        <v>0</v>
      </c>
      <c r="I49" s="659"/>
      <c r="J49" s="659">
        <v>0</v>
      </c>
      <c r="K49" s="659">
        <v>0</v>
      </c>
      <c r="M49" s="659">
        <v>0</v>
      </c>
    </row>
    <row r="50" spans="1:13">
      <c r="A50" s="603">
        <v>40</v>
      </c>
      <c r="B50" s="588">
        <v>40</v>
      </c>
      <c r="C50" s="599" t="s">
        <v>3198</v>
      </c>
      <c r="E50" s="660"/>
      <c r="F50" s="660">
        <v>0</v>
      </c>
      <c r="G50" s="660">
        <v>0</v>
      </c>
      <c r="I50" s="660"/>
      <c r="J50" s="660">
        <v>0</v>
      </c>
      <c r="K50" s="660">
        <v>0</v>
      </c>
      <c r="M50" s="660">
        <v>0</v>
      </c>
    </row>
    <row r="51" spans="1:13">
      <c r="A51" s="603">
        <v>41</v>
      </c>
      <c r="B51" s="596">
        <v>41</v>
      </c>
      <c r="C51" s="597" t="s">
        <v>3279</v>
      </c>
      <c r="E51" s="659"/>
      <c r="F51" s="659">
        <v>0</v>
      </c>
      <c r="G51" s="659">
        <v>0</v>
      </c>
      <c r="I51" s="659"/>
      <c r="J51" s="659">
        <v>0</v>
      </c>
      <c r="K51" s="659">
        <v>0</v>
      </c>
      <c r="M51" s="659">
        <v>0</v>
      </c>
    </row>
    <row r="52" spans="1:13">
      <c r="A52" s="603"/>
      <c r="B52" s="588">
        <v>42</v>
      </c>
      <c r="C52" s="599" t="s">
        <v>3280</v>
      </c>
      <c r="E52" s="660"/>
      <c r="F52" s="660">
        <v>0</v>
      </c>
      <c r="G52" s="660">
        <v>0</v>
      </c>
      <c r="I52" s="660"/>
      <c r="J52" s="660">
        <v>0</v>
      </c>
      <c r="K52" s="660">
        <v>0</v>
      </c>
      <c r="M52" s="660">
        <v>0</v>
      </c>
    </row>
    <row r="53" spans="1:13">
      <c r="A53" s="603">
        <v>0</v>
      </c>
      <c r="B53" s="601"/>
      <c r="C53" s="602" t="s">
        <v>3281</v>
      </c>
      <c r="E53" s="658">
        <v>0</v>
      </c>
      <c r="F53" s="658">
        <v>0</v>
      </c>
      <c r="G53" s="658">
        <v>0</v>
      </c>
      <c r="I53" s="658">
        <v>10989343</v>
      </c>
      <c r="J53" s="658">
        <v>0</v>
      </c>
      <c r="K53" s="658">
        <v>10989343</v>
      </c>
      <c r="M53" s="658">
        <v>-10989343</v>
      </c>
    </row>
    <row r="54" spans="1:13">
      <c r="A54" s="603">
        <v>43</v>
      </c>
      <c r="B54" s="596">
        <v>43</v>
      </c>
      <c r="C54" s="597" t="s">
        <v>3282</v>
      </c>
      <c r="E54" s="659"/>
      <c r="F54" s="659">
        <v>0</v>
      </c>
      <c r="G54" s="659">
        <v>0</v>
      </c>
      <c r="I54" s="659">
        <v>2340268</v>
      </c>
      <c r="J54" s="659">
        <v>0</v>
      </c>
      <c r="K54" s="659">
        <v>2340268</v>
      </c>
      <c r="M54" s="659">
        <v>-2340268</v>
      </c>
    </row>
    <row r="55" spans="1:13">
      <c r="A55" s="603">
        <v>44</v>
      </c>
      <c r="B55" s="588">
        <v>44</v>
      </c>
      <c r="C55" s="599" t="s">
        <v>3283</v>
      </c>
      <c r="E55" s="660"/>
      <c r="F55" s="660">
        <v>0</v>
      </c>
      <c r="G55" s="660">
        <v>0</v>
      </c>
      <c r="I55" s="660">
        <v>2144502</v>
      </c>
      <c r="J55" s="660">
        <v>0</v>
      </c>
      <c r="K55" s="660">
        <v>2144502</v>
      </c>
      <c r="M55" s="660">
        <v>-2144502</v>
      </c>
    </row>
    <row r="56" spans="1:13">
      <c r="A56" s="603"/>
      <c r="B56" s="596">
        <v>45</v>
      </c>
      <c r="C56" s="597" t="s">
        <v>3284</v>
      </c>
      <c r="E56" s="659"/>
      <c r="F56" s="659">
        <v>0</v>
      </c>
      <c r="G56" s="659">
        <v>0</v>
      </c>
      <c r="I56" s="659">
        <v>2671931</v>
      </c>
      <c r="J56" s="659">
        <v>0</v>
      </c>
      <c r="K56" s="659">
        <v>2671931</v>
      </c>
      <c r="M56" s="659">
        <v>-2671931</v>
      </c>
    </row>
    <row r="57" spans="1:13">
      <c r="A57" s="603"/>
      <c r="B57" s="588">
        <v>46</v>
      </c>
      <c r="C57" s="599" t="s">
        <v>3285</v>
      </c>
      <c r="E57" s="660"/>
      <c r="F57" s="660">
        <v>0</v>
      </c>
      <c r="G57" s="660">
        <v>0</v>
      </c>
      <c r="I57" s="660">
        <v>903735</v>
      </c>
      <c r="J57" s="660">
        <v>0</v>
      </c>
      <c r="K57" s="660">
        <v>903735</v>
      </c>
      <c r="M57" s="660">
        <v>-903735</v>
      </c>
    </row>
    <row r="58" spans="1:13">
      <c r="A58" s="603"/>
      <c r="B58" s="596">
        <v>47</v>
      </c>
      <c r="C58" s="597" t="s">
        <v>3286</v>
      </c>
      <c r="E58" s="659"/>
      <c r="F58" s="659">
        <v>0</v>
      </c>
      <c r="G58" s="659">
        <v>0</v>
      </c>
      <c r="I58" s="659">
        <v>1340314</v>
      </c>
      <c r="J58" s="659">
        <v>0</v>
      </c>
      <c r="K58" s="659">
        <v>1340314</v>
      </c>
      <c r="M58" s="659">
        <v>-1340314</v>
      </c>
    </row>
    <row r="59" spans="1:13">
      <c r="A59" s="603"/>
      <c r="B59" s="588">
        <v>48</v>
      </c>
      <c r="C59" s="599" t="s">
        <v>3287</v>
      </c>
      <c r="E59" s="660"/>
      <c r="F59" s="660">
        <v>0</v>
      </c>
      <c r="G59" s="660">
        <v>0</v>
      </c>
      <c r="I59" s="660"/>
      <c r="J59" s="660">
        <v>0</v>
      </c>
      <c r="K59" s="660">
        <v>0</v>
      </c>
      <c r="M59" s="660">
        <v>0</v>
      </c>
    </row>
    <row r="60" spans="1:13">
      <c r="A60" s="603"/>
      <c r="B60" s="596">
        <v>49</v>
      </c>
      <c r="C60" s="597" t="s">
        <v>3288</v>
      </c>
      <c r="E60" s="659"/>
      <c r="F60" s="659">
        <v>0</v>
      </c>
      <c r="G60" s="659">
        <v>0</v>
      </c>
      <c r="I60" s="659">
        <v>111377</v>
      </c>
      <c r="J60" s="659">
        <v>0</v>
      </c>
      <c r="K60" s="659">
        <v>111377</v>
      </c>
      <c r="M60" s="659">
        <v>-111377</v>
      </c>
    </row>
    <row r="61" spans="1:13">
      <c r="A61" s="603"/>
      <c r="B61" s="588">
        <v>50</v>
      </c>
      <c r="C61" s="599" t="s">
        <v>3289</v>
      </c>
      <c r="E61" s="660"/>
      <c r="F61" s="660">
        <v>0</v>
      </c>
      <c r="G61" s="660">
        <v>0</v>
      </c>
      <c r="I61" s="660">
        <v>607765</v>
      </c>
      <c r="J61" s="660">
        <v>0</v>
      </c>
      <c r="K61" s="660">
        <v>607765</v>
      </c>
      <c r="M61" s="660">
        <v>-607765</v>
      </c>
    </row>
    <row r="62" spans="1:13">
      <c r="A62" s="603"/>
      <c r="B62" s="596">
        <v>51</v>
      </c>
      <c r="C62" s="597" t="s">
        <v>3218</v>
      </c>
      <c r="E62" s="659"/>
      <c r="F62" s="659">
        <v>0</v>
      </c>
      <c r="G62" s="659">
        <v>0</v>
      </c>
      <c r="I62" s="659">
        <v>869451</v>
      </c>
      <c r="J62" s="659">
        <v>0</v>
      </c>
      <c r="K62" s="659">
        <v>869451</v>
      </c>
      <c r="M62" s="659">
        <v>-869451</v>
      </c>
    </row>
    <row r="63" spans="1:13">
      <c r="A63" s="603">
        <v>0</v>
      </c>
      <c r="B63" s="601"/>
      <c r="C63" s="602" t="s">
        <v>3290</v>
      </c>
      <c r="E63" s="658">
        <v>0</v>
      </c>
      <c r="F63" s="658">
        <v>0</v>
      </c>
      <c r="G63" s="658">
        <v>0</v>
      </c>
      <c r="I63" s="658">
        <v>0</v>
      </c>
      <c r="J63" s="658">
        <v>0</v>
      </c>
      <c r="K63" s="658">
        <v>0</v>
      </c>
      <c r="M63" s="658">
        <v>0</v>
      </c>
    </row>
    <row r="64" spans="1:13">
      <c r="A64" s="603">
        <v>52</v>
      </c>
      <c r="B64" s="588">
        <v>52</v>
      </c>
      <c r="C64" s="599" t="s">
        <v>3222</v>
      </c>
      <c r="E64" s="660"/>
      <c r="F64" s="660">
        <v>0</v>
      </c>
      <c r="G64" s="660">
        <v>0</v>
      </c>
      <c r="I64" s="660"/>
      <c r="J64" s="660">
        <v>0</v>
      </c>
      <c r="K64" s="660">
        <v>0</v>
      </c>
      <c r="M64" s="660">
        <v>0</v>
      </c>
    </row>
    <row r="65" spans="1:13">
      <c r="A65" s="603">
        <v>53</v>
      </c>
      <c r="B65" s="596">
        <v>53</v>
      </c>
      <c r="C65" s="597" t="s">
        <v>3225</v>
      </c>
      <c r="E65" s="659"/>
      <c r="F65" s="659">
        <v>0</v>
      </c>
      <c r="G65" s="659">
        <v>0</v>
      </c>
      <c r="I65" s="659"/>
      <c r="J65" s="659">
        <v>0</v>
      </c>
      <c r="K65" s="659">
        <v>0</v>
      </c>
      <c r="M65" s="659">
        <v>0</v>
      </c>
    </row>
    <row r="66" spans="1:13">
      <c r="A66" s="603">
        <v>54</v>
      </c>
      <c r="B66" s="588">
        <v>54</v>
      </c>
      <c r="C66" s="599" t="s">
        <v>3291</v>
      </c>
      <c r="E66" s="660"/>
      <c r="F66" s="660">
        <v>0</v>
      </c>
      <c r="G66" s="660">
        <v>0</v>
      </c>
      <c r="I66" s="660"/>
      <c r="J66" s="660">
        <v>0</v>
      </c>
      <c r="K66" s="660">
        <v>0</v>
      </c>
      <c r="M66" s="660">
        <v>0</v>
      </c>
    </row>
    <row r="67" spans="1:13">
      <c r="A67" s="603"/>
      <c r="B67" s="601"/>
      <c r="C67" s="602" t="s">
        <v>3292</v>
      </c>
      <c r="E67" s="658">
        <v>0</v>
      </c>
      <c r="F67" s="658">
        <v>0</v>
      </c>
      <c r="G67" s="658">
        <v>0</v>
      </c>
      <c r="I67" s="658">
        <v>0</v>
      </c>
      <c r="J67" s="658">
        <v>0</v>
      </c>
      <c r="K67" s="658">
        <v>0</v>
      </c>
      <c r="M67" s="658">
        <v>0</v>
      </c>
    </row>
    <row r="68" spans="1:13">
      <c r="A68" s="603"/>
      <c r="B68" s="596">
        <v>55</v>
      </c>
      <c r="C68" s="597" t="s">
        <v>3231</v>
      </c>
      <c r="E68" s="659"/>
      <c r="F68" s="659">
        <v>0</v>
      </c>
      <c r="G68" s="659">
        <v>0</v>
      </c>
      <c r="I68" s="659"/>
      <c r="J68" s="659">
        <v>0</v>
      </c>
      <c r="K68" s="659">
        <v>0</v>
      </c>
      <c r="M68" s="659">
        <v>0</v>
      </c>
    </row>
    <row r="69" spans="1:13">
      <c r="A69" s="603"/>
      <c r="B69" s="588">
        <v>56</v>
      </c>
      <c r="C69" s="599" t="s">
        <v>3293</v>
      </c>
      <c r="E69" s="660"/>
      <c r="F69" s="660">
        <v>0</v>
      </c>
      <c r="G69" s="660">
        <v>0</v>
      </c>
      <c r="I69" s="660"/>
      <c r="J69" s="660">
        <v>0</v>
      </c>
      <c r="K69" s="660">
        <v>0</v>
      </c>
      <c r="M69" s="660">
        <v>0</v>
      </c>
    </row>
    <row r="70" spans="1:13">
      <c r="A70" s="603">
        <v>0</v>
      </c>
      <c r="B70" s="601"/>
      <c r="C70" s="602" t="s">
        <v>340</v>
      </c>
      <c r="E70" s="658">
        <v>0</v>
      </c>
      <c r="F70" s="658">
        <v>0</v>
      </c>
      <c r="G70" s="658">
        <v>0</v>
      </c>
      <c r="I70" s="658">
        <v>0</v>
      </c>
      <c r="J70" s="658">
        <v>0</v>
      </c>
      <c r="K70" s="658">
        <v>0</v>
      </c>
      <c r="M70" s="658">
        <v>0</v>
      </c>
    </row>
    <row r="71" spans="1:13">
      <c r="A71" s="603">
        <v>57</v>
      </c>
      <c r="B71" s="596">
        <v>57</v>
      </c>
      <c r="C71" s="597" t="s">
        <v>3294</v>
      </c>
      <c r="E71" s="659"/>
      <c r="F71" s="659">
        <v>0</v>
      </c>
      <c r="G71" s="659">
        <v>0</v>
      </c>
      <c r="I71" s="659"/>
      <c r="J71" s="659">
        <v>0</v>
      </c>
      <c r="K71" s="659">
        <v>0</v>
      </c>
      <c r="M71" s="659">
        <v>0</v>
      </c>
    </row>
    <row r="72" spans="1:13">
      <c r="A72" s="603">
        <v>0</v>
      </c>
      <c r="B72" s="601"/>
      <c r="C72" s="602" t="s">
        <v>3295</v>
      </c>
      <c r="E72" s="658">
        <v>0</v>
      </c>
      <c r="F72" s="658">
        <v>0</v>
      </c>
      <c r="G72" s="658">
        <v>0</v>
      </c>
      <c r="I72" s="658">
        <v>0</v>
      </c>
      <c r="J72" s="658">
        <v>0</v>
      </c>
      <c r="K72" s="658">
        <v>0</v>
      </c>
      <c r="M72" s="658">
        <v>0</v>
      </c>
    </row>
    <row r="73" spans="1:13">
      <c r="A73" s="603">
        <v>58</v>
      </c>
      <c r="B73" s="588">
        <v>58</v>
      </c>
      <c r="C73" s="599" t="s">
        <v>3296</v>
      </c>
      <c r="E73" s="660"/>
      <c r="F73" s="660">
        <v>0</v>
      </c>
      <c r="G73" s="660">
        <v>0</v>
      </c>
      <c r="I73" s="660"/>
      <c r="J73" s="660">
        <v>0</v>
      </c>
      <c r="K73" s="660">
        <v>0</v>
      </c>
      <c r="M73" s="660">
        <v>0</v>
      </c>
    </row>
    <row r="74" spans="1:13">
      <c r="A74" s="603"/>
      <c r="B74" s="601"/>
      <c r="C74" s="602" t="s">
        <v>3297</v>
      </c>
      <c r="E74" s="658">
        <v>0</v>
      </c>
      <c r="F74" s="658">
        <v>0</v>
      </c>
      <c r="G74" s="658">
        <v>0</v>
      </c>
      <c r="I74" s="658">
        <v>0</v>
      </c>
      <c r="J74" s="658">
        <v>0</v>
      </c>
      <c r="K74" s="658">
        <v>0</v>
      </c>
      <c r="M74" s="658">
        <v>0</v>
      </c>
    </row>
    <row r="75" spans="1:13">
      <c r="A75" s="603"/>
      <c r="B75" s="588">
        <v>59</v>
      </c>
      <c r="C75" s="599" t="s">
        <v>3298</v>
      </c>
      <c r="E75" s="660"/>
      <c r="F75" s="660">
        <v>0</v>
      </c>
      <c r="G75" s="660">
        <v>0</v>
      </c>
      <c r="I75" s="660"/>
      <c r="J75" s="660">
        <v>0</v>
      </c>
      <c r="K75" s="660">
        <v>0</v>
      </c>
      <c r="M75" s="660"/>
    </row>
    <row r="76" spans="1:13">
      <c r="A76" s="603"/>
      <c r="B76" s="601"/>
      <c r="C76" s="602" t="s">
        <v>3299</v>
      </c>
      <c r="E76" s="658">
        <v>0</v>
      </c>
      <c r="F76" s="658">
        <v>0</v>
      </c>
      <c r="G76" s="658">
        <v>0</v>
      </c>
      <c r="I76" s="658">
        <v>0</v>
      </c>
      <c r="J76" s="658">
        <v>0</v>
      </c>
      <c r="K76" s="658">
        <v>0</v>
      </c>
      <c r="M76" s="658">
        <v>0</v>
      </c>
    </row>
    <row r="77" spans="1:13">
      <c r="A77" s="603"/>
      <c r="B77" s="588">
        <v>60</v>
      </c>
      <c r="C77" s="599" t="s">
        <v>3300</v>
      </c>
      <c r="E77" s="660"/>
      <c r="F77" s="660">
        <v>0</v>
      </c>
      <c r="G77" s="660">
        <v>0</v>
      </c>
      <c r="I77" s="660"/>
      <c r="J77" s="660">
        <v>0</v>
      </c>
      <c r="K77" s="660">
        <v>0</v>
      </c>
      <c r="M77" s="660"/>
    </row>
    <row r="78" spans="1:13">
      <c r="A78" s="603"/>
      <c r="B78" s="601"/>
      <c r="C78" s="602" t="s">
        <v>3301</v>
      </c>
      <c r="E78" s="658">
        <v>107000000</v>
      </c>
      <c r="F78" s="658">
        <v>0</v>
      </c>
      <c r="G78" s="658">
        <v>107000000</v>
      </c>
      <c r="I78" s="658">
        <v>52231360</v>
      </c>
      <c r="J78" s="658">
        <v>55000000</v>
      </c>
      <c r="K78" s="658">
        <v>107231360</v>
      </c>
      <c r="M78" s="658">
        <v>-231360</v>
      </c>
    </row>
    <row r="79" spans="1:13">
      <c r="A79" s="603"/>
      <c r="B79" s="596">
        <v>61</v>
      </c>
      <c r="C79" s="597" t="s">
        <v>3302</v>
      </c>
      <c r="E79" s="659"/>
      <c r="F79" s="659"/>
      <c r="G79" s="659"/>
      <c r="I79" s="659"/>
      <c r="J79" s="659"/>
      <c r="K79" s="659"/>
      <c r="M79" s="659"/>
    </row>
  </sheetData>
  <mergeCells count="5">
    <mergeCell ref="B3:B4"/>
    <mergeCell ref="C3:C4"/>
    <mergeCell ref="E3:G3"/>
    <mergeCell ref="I3:K3"/>
    <mergeCell ref="M3:M4"/>
  </mergeCells>
  <hyperlinks>
    <hyperlink ref="A1" location="Sommaire!A1" display="Sommaire!A1" xr:uid="{00000000-0004-0000-2300-000000000000}"/>
  </hyperlinks>
  <pageMargins left="0.7" right="0.7" top="0.75" bottom="0.75" header="0.3" footer="0.3"/>
  <pageSetup paperSize="9" orientation="landscape"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M79"/>
  <sheetViews>
    <sheetView showGridLines="0" zoomScaleNormal="100" workbookViewId="0">
      <selection activeCell="B1" sqref="B1"/>
    </sheetView>
  </sheetViews>
  <sheetFormatPr baseColWidth="10" defaultColWidth="11.33203125" defaultRowHeight="12"/>
  <cols>
    <col min="1" max="1" width="10.1640625" style="588" bestFit="1" customWidth="1"/>
    <col min="2" max="2" width="19" style="588" bestFit="1" customWidth="1"/>
    <col min="3" max="3" width="54.5" style="605" bestFit="1" customWidth="1"/>
    <col min="4" max="4" width="0.6640625" style="590" customWidth="1"/>
    <col min="5" max="5" width="12.1640625" style="590" bestFit="1" customWidth="1"/>
    <col min="6" max="6" width="11.83203125" style="588" bestFit="1" customWidth="1"/>
    <col min="7" max="7" width="11.5" style="590" bestFit="1" customWidth="1"/>
    <col min="8" max="8" width="0.6640625" style="590" customWidth="1"/>
    <col min="9" max="9" width="10.6640625" style="590" bestFit="1" customWidth="1"/>
    <col min="10" max="10" width="10.1640625" style="590" bestFit="1" customWidth="1"/>
    <col min="11" max="11" width="10.6640625" style="590" bestFit="1" customWidth="1"/>
    <col min="12" max="12" width="0.6640625" style="590" customWidth="1"/>
    <col min="13" max="13" width="13.83203125" style="590" bestFit="1" customWidth="1"/>
    <col min="14" max="16384" width="11.33203125" style="590"/>
  </cols>
  <sheetData>
    <row r="1" spans="1:13" ht="24">
      <c r="A1" s="661" t="s">
        <v>140</v>
      </c>
      <c r="C1" s="589" t="s">
        <v>3249</v>
      </c>
      <c r="E1" s="591" t="s">
        <v>159</v>
      </c>
      <c r="F1" s="591" t="s">
        <v>3319</v>
      </c>
      <c r="G1" s="592"/>
      <c r="J1" s="592" t="s">
        <v>3251</v>
      </c>
      <c r="K1" s="592">
        <v>2023</v>
      </c>
    </row>
    <row r="2" spans="1:13">
      <c r="C2" s="593"/>
      <c r="F2" s="590"/>
      <c r="I2" s="590" t="s">
        <v>3252</v>
      </c>
      <c r="J2" s="594">
        <v>604.32574999999997</v>
      </c>
    </row>
    <row r="3" spans="1:13">
      <c r="B3" s="753" t="s">
        <v>143</v>
      </c>
      <c r="C3" s="754" t="s">
        <v>3253</v>
      </c>
      <c r="E3" s="755" t="s">
        <v>2084</v>
      </c>
      <c r="F3" s="755"/>
      <c r="G3" s="755"/>
      <c r="I3" s="755" t="s">
        <v>3254</v>
      </c>
      <c r="J3" s="755"/>
      <c r="K3" s="755"/>
      <c r="M3" s="756" t="s">
        <v>3255</v>
      </c>
    </row>
    <row r="4" spans="1:13">
      <c r="B4" s="753"/>
      <c r="C4" s="754"/>
      <c r="E4" s="595" t="s">
        <v>3256</v>
      </c>
      <c r="F4" s="595" t="s">
        <v>3257</v>
      </c>
      <c r="G4" s="595" t="s">
        <v>3258</v>
      </c>
      <c r="I4" s="595" t="s">
        <v>3256</v>
      </c>
      <c r="J4" s="595" t="s">
        <v>3257</v>
      </c>
      <c r="K4" s="595" t="s">
        <v>3258</v>
      </c>
      <c r="M4" s="756"/>
    </row>
    <row r="5" spans="1:13">
      <c r="B5" s="655" t="s">
        <v>3092</v>
      </c>
      <c r="C5" s="656"/>
      <c r="E5" s="657">
        <v>0</v>
      </c>
      <c r="F5" s="657">
        <v>0</v>
      </c>
      <c r="G5" s="657">
        <v>0</v>
      </c>
      <c r="I5" s="657">
        <v>0</v>
      </c>
      <c r="J5" s="657">
        <v>0</v>
      </c>
      <c r="K5" s="657">
        <v>0</v>
      </c>
      <c r="M5" s="657">
        <v>0</v>
      </c>
    </row>
    <row r="6" spans="1:13">
      <c r="B6" s="596">
        <v>1</v>
      </c>
      <c r="C6" s="597" t="s">
        <v>3259</v>
      </c>
      <c r="E6" s="598"/>
      <c r="F6" s="598">
        <v>0</v>
      </c>
      <c r="G6" s="598">
        <v>0</v>
      </c>
      <c r="I6" s="598"/>
      <c r="J6" s="598">
        <v>0</v>
      </c>
      <c r="K6" s="598">
        <v>0</v>
      </c>
      <c r="M6" s="598">
        <v>0</v>
      </c>
    </row>
    <row r="7" spans="1:13">
      <c r="B7" s="588">
        <v>2</v>
      </c>
      <c r="C7" s="599" t="s">
        <v>3260</v>
      </c>
      <c r="E7" s="600"/>
      <c r="F7" s="600">
        <v>0</v>
      </c>
      <c r="G7" s="600">
        <v>0</v>
      </c>
      <c r="I7" s="600"/>
      <c r="J7" s="600">
        <v>0</v>
      </c>
      <c r="K7" s="600">
        <v>0</v>
      </c>
      <c r="M7" s="600">
        <v>0</v>
      </c>
    </row>
    <row r="8" spans="1:13">
      <c r="B8" s="655" t="s">
        <v>3101</v>
      </c>
      <c r="C8" s="656"/>
      <c r="E8" s="657">
        <v>263237931</v>
      </c>
      <c r="F8" s="657">
        <v>0</v>
      </c>
      <c r="G8" s="657">
        <v>263237931</v>
      </c>
      <c r="I8" s="657">
        <v>26994841</v>
      </c>
      <c r="J8" s="657">
        <v>0</v>
      </c>
      <c r="K8" s="657">
        <v>26994841</v>
      </c>
      <c r="M8" s="657">
        <v>236243090</v>
      </c>
    </row>
    <row r="9" spans="1:13">
      <c r="B9" s="601"/>
      <c r="C9" s="602" t="s">
        <v>1244</v>
      </c>
      <c r="E9" s="658">
        <v>0</v>
      </c>
      <c r="F9" s="658">
        <v>0</v>
      </c>
      <c r="G9" s="658">
        <v>0</v>
      </c>
      <c r="I9" s="658">
        <v>0</v>
      </c>
      <c r="J9" s="658">
        <v>0</v>
      </c>
      <c r="K9" s="658">
        <v>0</v>
      </c>
      <c r="M9" s="658">
        <v>0</v>
      </c>
    </row>
    <row r="10" spans="1:13">
      <c r="A10" s="603">
        <v>3</v>
      </c>
      <c r="B10" s="596">
        <v>3</v>
      </c>
      <c r="C10" s="597" t="s">
        <v>3261</v>
      </c>
      <c r="E10" s="659"/>
      <c r="F10" s="659">
        <v>0</v>
      </c>
      <c r="G10" s="659">
        <v>0</v>
      </c>
      <c r="I10" s="659"/>
      <c r="J10" s="659">
        <v>0</v>
      </c>
      <c r="K10" s="659">
        <v>0</v>
      </c>
      <c r="M10" s="659">
        <v>0</v>
      </c>
    </row>
    <row r="11" spans="1:13">
      <c r="A11" s="603">
        <v>4</v>
      </c>
      <c r="B11" s="588">
        <v>4</v>
      </c>
      <c r="C11" s="599" t="s">
        <v>3106</v>
      </c>
      <c r="E11" s="660"/>
      <c r="F11" s="660">
        <v>0</v>
      </c>
      <c r="G11" s="660">
        <v>0</v>
      </c>
      <c r="I11" s="660"/>
      <c r="J11" s="660">
        <v>0</v>
      </c>
      <c r="K11" s="660">
        <v>0</v>
      </c>
      <c r="M11" s="660">
        <v>0</v>
      </c>
    </row>
    <row r="12" spans="1:13">
      <c r="A12" s="603">
        <v>5</v>
      </c>
      <c r="B12" s="596">
        <v>5</v>
      </c>
      <c r="C12" s="597" t="s">
        <v>3262</v>
      </c>
      <c r="E12" s="659"/>
      <c r="F12" s="659">
        <v>0</v>
      </c>
      <c r="G12" s="659">
        <v>0</v>
      </c>
      <c r="I12" s="659"/>
      <c r="J12" s="659">
        <v>0</v>
      </c>
      <c r="K12" s="659">
        <v>0</v>
      </c>
      <c r="M12" s="659">
        <v>0</v>
      </c>
    </row>
    <row r="13" spans="1:13">
      <c r="A13" s="603">
        <v>6</v>
      </c>
      <c r="B13" s="588">
        <v>6</v>
      </c>
      <c r="C13" s="599" t="s">
        <v>3263</v>
      </c>
      <c r="E13" s="660"/>
      <c r="F13" s="660">
        <v>0</v>
      </c>
      <c r="G13" s="660">
        <v>0</v>
      </c>
      <c r="I13" s="660"/>
      <c r="J13" s="660">
        <v>0</v>
      </c>
      <c r="K13" s="660">
        <v>0</v>
      </c>
      <c r="M13" s="660">
        <v>0</v>
      </c>
    </row>
    <row r="14" spans="1:13">
      <c r="A14" s="603">
        <v>7</v>
      </c>
      <c r="B14" s="596">
        <v>7</v>
      </c>
      <c r="C14" s="597" t="s">
        <v>3114</v>
      </c>
      <c r="E14" s="659"/>
      <c r="F14" s="659">
        <v>0</v>
      </c>
      <c r="G14" s="659">
        <v>0</v>
      </c>
      <c r="I14" s="659"/>
      <c r="J14" s="659">
        <v>0</v>
      </c>
      <c r="K14" s="659">
        <v>0</v>
      </c>
      <c r="M14" s="659">
        <v>0</v>
      </c>
    </row>
    <row r="15" spans="1:13">
      <c r="A15" s="603">
        <v>0</v>
      </c>
      <c r="B15" s="601"/>
      <c r="C15" s="602" t="s">
        <v>1253</v>
      </c>
      <c r="E15" s="658">
        <v>0</v>
      </c>
      <c r="F15" s="658">
        <v>0</v>
      </c>
      <c r="G15" s="658">
        <v>0</v>
      </c>
      <c r="I15" s="658">
        <v>0</v>
      </c>
      <c r="J15" s="658">
        <v>0</v>
      </c>
      <c r="K15" s="658">
        <v>0</v>
      </c>
      <c r="M15" s="658">
        <v>0</v>
      </c>
    </row>
    <row r="16" spans="1:13">
      <c r="A16" s="603">
        <v>8</v>
      </c>
      <c r="B16" s="588">
        <v>8</v>
      </c>
      <c r="C16" s="599" t="s">
        <v>3264</v>
      </c>
      <c r="E16" s="660"/>
      <c r="F16" s="660">
        <v>0</v>
      </c>
      <c r="G16" s="660">
        <v>0</v>
      </c>
      <c r="I16" s="660"/>
      <c r="J16" s="660">
        <v>0</v>
      </c>
      <c r="K16" s="660">
        <v>0</v>
      </c>
      <c r="M16" s="660">
        <v>0</v>
      </c>
    </row>
    <row r="17" spans="1:13">
      <c r="A17" s="603">
        <v>9</v>
      </c>
      <c r="B17" s="596">
        <v>9</v>
      </c>
      <c r="C17" s="597" t="s">
        <v>3265</v>
      </c>
      <c r="E17" s="659"/>
      <c r="F17" s="659">
        <v>0</v>
      </c>
      <c r="G17" s="659">
        <v>0</v>
      </c>
      <c r="I17" s="659"/>
      <c r="J17" s="659">
        <v>0</v>
      </c>
      <c r="K17" s="659">
        <v>0</v>
      </c>
      <c r="M17" s="659">
        <v>0</v>
      </c>
    </row>
    <row r="18" spans="1:13">
      <c r="A18" s="603"/>
      <c r="B18" s="588">
        <v>10</v>
      </c>
      <c r="C18" s="599" t="s">
        <v>3122</v>
      </c>
      <c r="E18" s="660"/>
      <c r="F18" s="660">
        <v>0</v>
      </c>
      <c r="G18" s="660">
        <v>0</v>
      </c>
      <c r="I18" s="660"/>
      <c r="J18" s="660">
        <v>0</v>
      </c>
      <c r="K18" s="660">
        <v>0</v>
      </c>
      <c r="M18" s="660">
        <v>0</v>
      </c>
    </row>
    <row r="19" spans="1:13">
      <c r="A19" s="603">
        <v>11</v>
      </c>
      <c r="B19" s="596">
        <v>11</v>
      </c>
      <c r="C19" s="597" t="s">
        <v>3124</v>
      </c>
      <c r="E19" s="659"/>
      <c r="F19" s="659">
        <v>0</v>
      </c>
      <c r="G19" s="659">
        <v>0</v>
      </c>
      <c r="I19" s="659"/>
      <c r="J19" s="659">
        <v>0</v>
      </c>
      <c r="K19" s="659">
        <v>0</v>
      </c>
      <c r="M19" s="659">
        <v>0</v>
      </c>
    </row>
    <row r="20" spans="1:13">
      <c r="A20" s="603">
        <v>12</v>
      </c>
      <c r="B20" s="588">
        <v>12</v>
      </c>
      <c r="C20" s="599" t="s">
        <v>3266</v>
      </c>
      <c r="E20" s="660"/>
      <c r="F20" s="660">
        <v>0</v>
      </c>
      <c r="G20" s="660">
        <v>0</v>
      </c>
      <c r="I20" s="660"/>
      <c r="J20" s="660">
        <v>0</v>
      </c>
      <c r="K20" s="660">
        <v>0</v>
      </c>
      <c r="M20" s="660">
        <v>0</v>
      </c>
    </row>
    <row r="21" spans="1:13">
      <c r="A21" s="603">
        <v>13</v>
      </c>
      <c r="B21" s="596">
        <v>13</v>
      </c>
      <c r="C21" s="597" t="s">
        <v>3267</v>
      </c>
      <c r="E21" s="659"/>
      <c r="F21" s="659">
        <v>0</v>
      </c>
      <c r="G21" s="659">
        <v>0</v>
      </c>
      <c r="I21" s="659"/>
      <c r="J21" s="659">
        <v>0</v>
      </c>
      <c r="K21" s="659">
        <v>0</v>
      </c>
      <c r="M21" s="659">
        <v>0</v>
      </c>
    </row>
    <row r="22" spans="1:13">
      <c r="A22" s="603">
        <v>14</v>
      </c>
      <c r="B22" s="588">
        <v>14</v>
      </c>
      <c r="C22" s="599" t="s">
        <v>3268</v>
      </c>
      <c r="E22" s="660"/>
      <c r="F22" s="660">
        <v>0</v>
      </c>
      <c r="G22" s="660">
        <v>0</v>
      </c>
      <c r="I22" s="660"/>
      <c r="J22" s="660">
        <v>0</v>
      </c>
      <c r="K22" s="660">
        <v>0</v>
      </c>
      <c r="M22" s="660">
        <v>0</v>
      </c>
    </row>
    <row r="23" spans="1:13">
      <c r="A23" s="603">
        <v>15</v>
      </c>
      <c r="B23" s="596">
        <v>15</v>
      </c>
      <c r="C23" s="597" t="s">
        <v>3133</v>
      </c>
      <c r="E23" s="659"/>
      <c r="F23" s="659">
        <v>0</v>
      </c>
      <c r="G23" s="659">
        <v>0</v>
      </c>
      <c r="I23" s="659"/>
      <c r="J23" s="659">
        <v>0</v>
      </c>
      <c r="K23" s="659">
        <v>0</v>
      </c>
      <c r="M23" s="659">
        <v>0</v>
      </c>
    </row>
    <row r="24" spans="1:13">
      <c r="A24" s="603">
        <v>16</v>
      </c>
      <c r="B24" s="588">
        <v>16</v>
      </c>
      <c r="C24" s="599" t="s">
        <v>3136</v>
      </c>
      <c r="E24" s="660"/>
      <c r="F24" s="660">
        <v>0</v>
      </c>
      <c r="G24" s="660">
        <v>0</v>
      </c>
      <c r="I24" s="660"/>
      <c r="J24" s="660">
        <v>0</v>
      </c>
      <c r="K24" s="660">
        <v>0</v>
      </c>
      <c r="M24" s="660">
        <v>0</v>
      </c>
    </row>
    <row r="25" spans="1:13">
      <c r="A25" s="603">
        <v>0</v>
      </c>
      <c r="B25" s="601"/>
      <c r="C25" s="602" t="s">
        <v>3269</v>
      </c>
      <c r="E25" s="658">
        <v>0</v>
      </c>
      <c r="F25" s="658">
        <v>0</v>
      </c>
      <c r="G25" s="658">
        <v>0</v>
      </c>
      <c r="I25" s="658">
        <v>0</v>
      </c>
      <c r="J25" s="658">
        <v>0</v>
      </c>
      <c r="K25" s="658">
        <v>0</v>
      </c>
      <c r="M25" s="658">
        <v>0</v>
      </c>
    </row>
    <row r="26" spans="1:13">
      <c r="A26" s="603">
        <v>17</v>
      </c>
      <c r="B26" s="596">
        <v>17</v>
      </c>
      <c r="C26" s="597" t="s">
        <v>3270</v>
      </c>
      <c r="E26" s="659"/>
      <c r="F26" s="659">
        <v>0</v>
      </c>
      <c r="G26" s="659">
        <v>0</v>
      </c>
      <c r="I26" s="659"/>
      <c r="J26" s="659">
        <v>0</v>
      </c>
      <c r="K26" s="659">
        <v>0</v>
      </c>
      <c r="M26" s="659">
        <v>0</v>
      </c>
    </row>
    <row r="27" spans="1:13">
      <c r="A27" s="603">
        <v>18</v>
      </c>
      <c r="B27" s="588">
        <v>18</v>
      </c>
      <c r="C27" s="599" t="s">
        <v>3141</v>
      </c>
      <c r="E27" s="660"/>
      <c r="F27" s="660">
        <v>0</v>
      </c>
      <c r="G27" s="660">
        <v>0</v>
      </c>
      <c r="I27" s="660"/>
      <c r="J27" s="660">
        <v>0</v>
      </c>
      <c r="K27" s="660">
        <v>0</v>
      </c>
      <c r="M27" s="660">
        <v>0</v>
      </c>
    </row>
    <row r="28" spans="1:13">
      <c r="A28" s="603">
        <v>19</v>
      </c>
      <c r="B28" s="596">
        <v>19</v>
      </c>
      <c r="C28" s="597" t="s">
        <v>3144</v>
      </c>
      <c r="E28" s="659"/>
      <c r="F28" s="659">
        <v>0</v>
      </c>
      <c r="G28" s="659">
        <v>0</v>
      </c>
      <c r="I28" s="659"/>
      <c r="J28" s="659">
        <v>0</v>
      </c>
      <c r="K28" s="659">
        <v>0</v>
      </c>
      <c r="M28" s="659">
        <v>0</v>
      </c>
    </row>
    <row r="29" spans="1:13">
      <c r="A29" s="603">
        <v>20</v>
      </c>
      <c r="B29" s="588">
        <v>20</v>
      </c>
      <c r="C29" s="599" t="s">
        <v>3147</v>
      </c>
      <c r="E29" s="660"/>
      <c r="F29" s="660">
        <v>0</v>
      </c>
      <c r="G29" s="660">
        <v>0</v>
      </c>
      <c r="I29" s="660"/>
      <c r="J29" s="660">
        <v>0</v>
      </c>
      <c r="K29" s="660">
        <v>0</v>
      </c>
      <c r="M29" s="660">
        <v>0</v>
      </c>
    </row>
    <row r="30" spans="1:13">
      <c r="A30" s="603">
        <v>21</v>
      </c>
      <c r="B30" s="596">
        <v>21</v>
      </c>
      <c r="C30" s="597" t="s">
        <v>3271</v>
      </c>
      <c r="E30" s="659"/>
      <c r="F30" s="659">
        <v>0</v>
      </c>
      <c r="G30" s="659">
        <v>0</v>
      </c>
      <c r="I30" s="659"/>
      <c r="J30" s="659">
        <v>0</v>
      </c>
      <c r="K30" s="659">
        <v>0</v>
      </c>
      <c r="M30" s="659">
        <v>0</v>
      </c>
    </row>
    <row r="31" spans="1:13">
      <c r="A31" s="603">
        <v>22</v>
      </c>
      <c r="B31" s="588">
        <v>22</v>
      </c>
      <c r="C31" s="599" t="s">
        <v>3272</v>
      </c>
      <c r="E31" s="660"/>
      <c r="F31" s="660">
        <v>0</v>
      </c>
      <c r="G31" s="660">
        <v>0</v>
      </c>
      <c r="I31" s="660"/>
      <c r="J31" s="660">
        <v>0</v>
      </c>
      <c r="K31" s="660">
        <v>0</v>
      </c>
      <c r="M31" s="660">
        <v>0</v>
      </c>
    </row>
    <row r="32" spans="1:13">
      <c r="A32" s="603">
        <v>23</v>
      </c>
      <c r="B32" s="596">
        <v>23</v>
      </c>
      <c r="C32" s="597" t="s">
        <v>3273</v>
      </c>
      <c r="E32" s="659"/>
      <c r="F32" s="659">
        <v>0</v>
      </c>
      <c r="G32" s="659">
        <v>0</v>
      </c>
      <c r="I32" s="659"/>
      <c r="J32" s="659">
        <v>0</v>
      </c>
      <c r="K32" s="659">
        <v>0</v>
      </c>
      <c r="M32" s="659">
        <v>0</v>
      </c>
    </row>
    <row r="33" spans="1:13">
      <c r="A33" s="603">
        <v>24</v>
      </c>
      <c r="B33" s="588">
        <v>24</v>
      </c>
      <c r="C33" s="599" t="s">
        <v>3158</v>
      </c>
      <c r="E33" s="660"/>
      <c r="F33" s="660">
        <v>0</v>
      </c>
      <c r="G33" s="660">
        <v>0</v>
      </c>
      <c r="I33" s="660"/>
      <c r="J33" s="660">
        <v>0</v>
      </c>
      <c r="K33" s="660">
        <v>0</v>
      </c>
      <c r="M33" s="660">
        <v>0</v>
      </c>
    </row>
    <row r="34" spans="1:13" s="604" customFormat="1">
      <c r="A34" s="603">
        <v>25</v>
      </c>
      <c r="B34" s="596">
        <v>25</v>
      </c>
      <c r="C34" s="597" t="s">
        <v>3274</v>
      </c>
      <c r="D34" s="590"/>
      <c r="E34" s="659"/>
      <c r="F34" s="659">
        <v>0</v>
      </c>
      <c r="G34" s="659">
        <v>0</v>
      </c>
      <c r="H34" s="590"/>
      <c r="I34" s="659"/>
      <c r="J34" s="659">
        <v>0</v>
      </c>
      <c r="K34" s="659">
        <v>0</v>
      </c>
      <c r="L34" s="590"/>
      <c r="M34" s="659">
        <v>0</v>
      </c>
    </row>
    <row r="35" spans="1:13">
      <c r="A35" s="603">
        <v>26</v>
      </c>
      <c r="B35" s="588">
        <v>26</v>
      </c>
      <c r="C35" s="599" t="s">
        <v>3275</v>
      </c>
      <c r="E35" s="660"/>
      <c r="F35" s="660">
        <v>0</v>
      </c>
      <c r="G35" s="660">
        <v>0</v>
      </c>
      <c r="I35" s="660"/>
      <c r="J35" s="660">
        <v>0</v>
      </c>
      <c r="K35" s="660">
        <v>0</v>
      </c>
      <c r="M35" s="660">
        <v>0</v>
      </c>
    </row>
    <row r="36" spans="1:13">
      <c r="A36" s="603">
        <v>0</v>
      </c>
      <c r="B36" s="601"/>
      <c r="C36" s="602" t="s">
        <v>3276</v>
      </c>
      <c r="E36" s="658">
        <v>256331331</v>
      </c>
      <c r="F36" s="658">
        <v>0</v>
      </c>
      <c r="G36" s="658">
        <v>256331331</v>
      </c>
      <c r="I36" s="658">
        <v>18906567</v>
      </c>
      <c r="J36" s="658">
        <v>0</v>
      </c>
      <c r="K36" s="658">
        <v>18906567</v>
      </c>
      <c r="M36" s="658">
        <v>237424764</v>
      </c>
    </row>
    <row r="37" spans="1:13">
      <c r="A37" s="603">
        <v>27</v>
      </c>
      <c r="B37" s="596">
        <v>27</v>
      </c>
      <c r="C37" s="597" t="s">
        <v>3164</v>
      </c>
      <c r="E37" s="659"/>
      <c r="F37" s="659">
        <v>0</v>
      </c>
      <c r="G37" s="659">
        <v>0</v>
      </c>
      <c r="I37" s="659"/>
      <c r="J37" s="659">
        <v>0</v>
      </c>
      <c r="K37" s="659">
        <v>0</v>
      </c>
      <c r="M37" s="659">
        <v>0</v>
      </c>
    </row>
    <row r="38" spans="1:13">
      <c r="A38" s="603">
        <v>28</v>
      </c>
      <c r="B38" s="588">
        <v>28</v>
      </c>
      <c r="C38" s="599" t="s">
        <v>3167</v>
      </c>
      <c r="E38" s="660">
        <v>256331331</v>
      </c>
      <c r="F38" s="660">
        <v>0</v>
      </c>
      <c r="G38" s="660">
        <v>256331331</v>
      </c>
      <c r="I38" s="660">
        <v>18906567</v>
      </c>
      <c r="J38" s="660"/>
      <c r="K38" s="660">
        <v>18906567</v>
      </c>
      <c r="M38" s="660">
        <v>237424764</v>
      </c>
    </row>
    <row r="39" spans="1:13">
      <c r="A39" s="603">
        <v>29</v>
      </c>
      <c r="B39" s="596">
        <v>29</v>
      </c>
      <c r="C39" s="597" t="s">
        <v>3170</v>
      </c>
      <c r="E39" s="659"/>
      <c r="F39" s="659">
        <v>0</v>
      </c>
      <c r="G39" s="659">
        <v>0</v>
      </c>
      <c r="I39" s="659"/>
      <c r="J39" s="659">
        <v>0</v>
      </c>
      <c r="K39" s="659">
        <v>0</v>
      </c>
      <c r="M39" s="659">
        <v>0</v>
      </c>
    </row>
    <row r="40" spans="1:13">
      <c r="A40" s="603">
        <v>30</v>
      </c>
      <c r="B40" s="588">
        <v>30</v>
      </c>
      <c r="C40" s="599" t="s">
        <v>3173</v>
      </c>
      <c r="E40" s="660"/>
      <c r="F40" s="660">
        <v>0</v>
      </c>
      <c r="G40" s="660">
        <v>0</v>
      </c>
      <c r="I40" s="660"/>
      <c r="J40" s="660">
        <v>0</v>
      </c>
      <c r="K40" s="660">
        <v>0</v>
      </c>
      <c r="M40" s="660">
        <v>0</v>
      </c>
    </row>
    <row r="41" spans="1:13">
      <c r="A41" s="603">
        <v>31</v>
      </c>
      <c r="B41" s="596">
        <v>31</v>
      </c>
      <c r="C41" s="597" t="s">
        <v>3176</v>
      </c>
      <c r="E41" s="659"/>
      <c r="F41" s="659">
        <v>0</v>
      </c>
      <c r="G41" s="659">
        <v>0</v>
      </c>
      <c r="I41" s="659"/>
      <c r="J41" s="659">
        <v>0</v>
      </c>
      <c r="K41" s="659">
        <v>0</v>
      </c>
      <c r="M41" s="659">
        <v>0</v>
      </c>
    </row>
    <row r="42" spans="1:13">
      <c r="A42" s="603">
        <v>32</v>
      </c>
      <c r="B42" s="588">
        <v>32</v>
      </c>
      <c r="C42" s="599" t="s">
        <v>3178</v>
      </c>
      <c r="E42" s="660"/>
      <c r="F42" s="660">
        <v>0</v>
      </c>
      <c r="G42" s="660">
        <v>0</v>
      </c>
      <c r="I42" s="660"/>
      <c r="J42" s="660">
        <v>0</v>
      </c>
      <c r="K42" s="660">
        <v>0</v>
      </c>
      <c r="M42" s="660">
        <v>0</v>
      </c>
    </row>
    <row r="43" spans="1:13">
      <c r="A43" s="603">
        <v>33</v>
      </c>
      <c r="B43" s="596">
        <v>33</v>
      </c>
      <c r="C43" s="597" t="s">
        <v>3181</v>
      </c>
      <c r="E43" s="659"/>
      <c r="F43" s="659">
        <v>0</v>
      </c>
      <c r="G43" s="659">
        <v>0</v>
      </c>
      <c r="I43" s="659"/>
      <c r="J43" s="659">
        <v>0</v>
      </c>
      <c r="K43" s="659">
        <v>0</v>
      </c>
      <c r="M43" s="659">
        <v>0</v>
      </c>
    </row>
    <row r="44" spans="1:13">
      <c r="A44" s="603">
        <v>34</v>
      </c>
      <c r="B44" s="588">
        <v>34</v>
      </c>
      <c r="C44" s="599" t="s">
        <v>3184</v>
      </c>
      <c r="E44" s="660"/>
      <c r="F44" s="660">
        <v>0</v>
      </c>
      <c r="G44" s="660">
        <v>0</v>
      </c>
      <c r="I44" s="660"/>
      <c r="J44" s="660">
        <v>0</v>
      </c>
      <c r="K44" s="660">
        <v>0</v>
      </c>
      <c r="M44" s="660">
        <v>0</v>
      </c>
    </row>
    <row r="45" spans="1:13">
      <c r="A45" s="603">
        <v>35</v>
      </c>
      <c r="B45" s="596">
        <v>35</v>
      </c>
      <c r="C45" s="597" t="s">
        <v>3186</v>
      </c>
      <c r="E45" s="659"/>
      <c r="F45" s="659">
        <v>0</v>
      </c>
      <c r="G45" s="659">
        <v>0</v>
      </c>
      <c r="I45" s="659"/>
      <c r="J45" s="659">
        <v>0</v>
      </c>
      <c r="K45" s="659">
        <v>0</v>
      </c>
      <c r="M45" s="659">
        <v>0</v>
      </c>
    </row>
    <row r="46" spans="1:13">
      <c r="A46" s="603">
        <v>36</v>
      </c>
      <c r="B46" s="588">
        <v>36</v>
      </c>
      <c r="C46" s="599" t="s">
        <v>3189</v>
      </c>
      <c r="E46" s="660"/>
      <c r="F46" s="660">
        <v>0</v>
      </c>
      <c r="G46" s="660">
        <v>0</v>
      </c>
      <c r="I46" s="660"/>
      <c r="J46" s="660">
        <v>0</v>
      </c>
      <c r="K46" s="660">
        <v>0</v>
      </c>
      <c r="M46" s="660">
        <v>0</v>
      </c>
    </row>
    <row r="47" spans="1:13">
      <c r="A47" s="603">
        <v>37</v>
      </c>
      <c r="B47" s="596">
        <v>37</v>
      </c>
      <c r="C47" s="597" t="s">
        <v>3277</v>
      </c>
      <c r="E47" s="659"/>
      <c r="F47" s="659">
        <v>0</v>
      </c>
      <c r="G47" s="659">
        <v>0</v>
      </c>
      <c r="I47" s="659"/>
      <c r="J47" s="659">
        <v>0</v>
      </c>
      <c r="K47" s="659">
        <v>0</v>
      </c>
      <c r="M47" s="659">
        <v>0</v>
      </c>
    </row>
    <row r="48" spans="1:13">
      <c r="A48" s="603">
        <v>38</v>
      </c>
      <c r="B48" s="588">
        <v>38</v>
      </c>
      <c r="C48" s="599" t="s">
        <v>3278</v>
      </c>
      <c r="E48" s="660"/>
      <c r="F48" s="660">
        <v>0</v>
      </c>
      <c r="G48" s="660">
        <v>0</v>
      </c>
      <c r="I48" s="660"/>
      <c r="J48" s="660">
        <v>0</v>
      </c>
      <c r="K48" s="660">
        <v>0</v>
      </c>
      <c r="M48" s="660">
        <v>0</v>
      </c>
    </row>
    <row r="49" spans="1:13">
      <c r="A49" s="603">
        <v>39</v>
      </c>
      <c r="B49" s="596">
        <v>39</v>
      </c>
      <c r="C49" s="597" t="s">
        <v>3195</v>
      </c>
      <c r="E49" s="659"/>
      <c r="F49" s="659">
        <v>0</v>
      </c>
      <c r="G49" s="659">
        <v>0</v>
      </c>
      <c r="I49" s="659"/>
      <c r="J49" s="659">
        <v>0</v>
      </c>
      <c r="K49" s="659">
        <v>0</v>
      </c>
      <c r="M49" s="659">
        <v>0</v>
      </c>
    </row>
    <row r="50" spans="1:13">
      <c r="A50" s="603">
        <v>40</v>
      </c>
      <c r="B50" s="588">
        <v>40</v>
      </c>
      <c r="C50" s="599" t="s">
        <v>3198</v>
      </c>
      <c r="E50" s="660"/>
      <c r="F50" s="660">
        <v>0</v>
      </c>
      <c r="G50" s="660">
        <v>0</v>
      </c>
      <c r="I50" s="660"/>
      <c r="J50" s="660">
        <v>0</v>
      </c>
      <c r="K50" s="660">
        <v>0</v>
      </c>
      <c r="M50" s="660">
        <v>0</v>
      </c>
    </row>
    <row r="51" spans="1:13">
      <c r="A51" s="603">
        <v>41</v>
      </c>
      <c r="B51" s="596">
        <v>41</v>
      </c>
      <c r="C51" s="597" t="s">
        <v>3279</v>
      </c>
      <c r="E51" s="659"/>
      <c r="F51" s="659">
        <v>0</v>
      </c>
      <c r="G51" s="659">
        <v>0</v>
      </c>
      <c r="I51" s="659"/>
      <c r="J51" s="659">
        <v>0</v>
      </c>
      <c r="K51" s="659">
        <v>0</v>
      </c>
      <c r="M51" s="659">
        <v>0</v>
      </c>
    </row>
    <row r="52" spans="1:13">
      <c r="A52" s="603"/>
      <c r="B52" s="588">
        <v>42</v>
      </c>
      <c r="C52" s="599" t="s">
        <v>3280</v>
      </c>
      <c r="E52" s="660"/>
      <c r="F52" s="660">
        <v>0</v>
      </c>
      <c r="G52" s="660">
        <v>0</v>
      </c>
      <c r="I52" s="660"/>
      <c r="J52" s="660">
        <v>0</v>
      </c>
      <c r="K52" s="660">
        <v>0</v>
      </c>
      <c r="M52" s="660">
        <v>0</v>
      </c>
    </row>
    <row r="53" spans="1:13">
      <c r="A53" s="603">
        <v>0</v>
      </c>
      <c r="B53" s="601"/>
      <c r="C53" s="602" t="s">
        <v>3281</v>
      </c>
      <c r="E53" s="658">
        <v>0</v>
      </c>
      <c r="F53" s="658">
        <v>0</v>
      </c>
      <c r="G53" s="658">
        <v>0</v>
      </c>
      <c r="I53" s="658">
        <v>1501804</v>
      </c>
      <c r="J53" s="658">
        <v>0</v>
      </c>
      <c r="K53" s="658">
        <v>1501804</v>
      </c>
      <c r="M53" s="658">
        <v>-1501804</v>
      </c>
    </row>
    <row r="54" spans="1:13">
      <c r="A54" s="603">
        <v>43</v>
      </c>
      <c r="B54" s="596">
        <v>43</v>
      </c>
      <c r="C54" s="597" t="s">
        <v>3282</v>
      </c>
      <c r="E54" s="659"/>
      <c r="F54" s="659">
        <v>0</v>
      </c>
      <c r="G54" s="659">
        <v>0</v>
      </c>
      <c r="I54" s="659">
        <v>744422</v>
      </c>
      <c r="J54" s="659">
        <v>0</v>
      </c>
      <c r="K54" s="659">
        <v>744422</v>
      </c>
      <c r="M54" s="659">
        <v>-744422</v>
      </c>
    </row>
    <row r="55" spans="1:13">
      <c r="A55" s="603">
        <v>44</v>
      </c>
      <c r="B55" s="588">
        <v>44</v>
      </c>
      <c r="C55" s="599" t="s">
        <v>3283</v>
      </c>
      <c r="E55" s="660"/>
      <c r="F55" s="660">
        <v>0</v>
      </c>
      <c r="G55" s="660">
        <v>0</v>
      </c>
      <c r="I55" s="660">
        <v>27948</v>
      </c>
      <c r="J55" s="660">
        <v>0</v>
      </c>
      <c r="K55" s="660">
        <v>27948</v>
      </c>
      <c r="M55" s="660">
        <v>-27948</v>
      </c>
    </row>
    <row r="56" spans="1:13">
      <c r="A56" s="603"/>
      <c r="B56" s="596">
        <v>45</v>
      </c>
      <c r="C56" s="597" t="s">
        <v>3284</v>
      </c>
      <c r="E56" s="659"/>
      <c r="F56" s="659">
        <v>0</v>
      </c>
      <c r="G56" s="659">
        <v>0</v>
      </c>
      <c r="I56" s="659">
        <v>34935</v>
      </c>
      <c r="J56" s="659">
        <v>0</v>
      </c>
      <c r="K56" s="659">
        <v>34935</v>
      </c>
      <c r="M56" s="659">
        <v>-34935</v>
      </c>
    </row>
    <row r="57" spans="1:13">
      <c r="A57" s="603"/>
      <c r="B57" s="588">
        <v>46</v>
      </c>
      <c r="C57" s="599" t="s">
        <v>3285</v>
      </c>
      <c r="E57" s="660"/>
      <c r="F57" s="660">
        <v>0</v>
      </c>
      <c r="G57" s="660">
        <v>0</v>
      </c>
      <c r="I57" s="660">
        <v>607159</v>
      </c>
      <c r="J57" s="660">
        <v>0</v>
      </c>
      <c r="K57" s="660">
        <v>607159</v>
      </c>
      <c r="M57" s="660">
        <v>-607159</v>
      </c>
    </row>
    <row r="58" spans="1:13">
      <c r="A58" s="603"/>
      <c r="B58" s="596">
        <v>47</v>
      </c>
      <c r="C58" s="597" t="s">
        <v>3286</v>
      </c>
      <c r="E58" s="659"/>
      <c r="F58" s="659">
        <v>0</v>
      </c>
      <c r="G58" s="659">
        <v>0</v>
      </c>
      <c r="I58" s="659">
        <v>17468</v>
      </c>
      <c r="J58" s="659">
        <v>0</v>
      </c>
      <c r="K58" s="659">
        <v>17468</v>
      </c>
      <c r="M58" s="659">
        <v>-17468</v>
      </c>
    </row>
    <row r="59" spans="1:13">
      <c r="A59" s="603"/>
      <c r="B59" s="588">
        <v>48</v>
      </c>
      <c r="C59" s="599" t="s">
        <v>3287</v>
      </c>
      <c r="E59" s="660"/>
      <c r="F59" s="660">
        <v>0</v>
      </c>
      <c r="G59" s="660">
        <v>0</v>
      </c>
      <c r="I59" s="660"/>
      <c r="J59" s="660">
        <v>0</v>
      </c>
      <c r="K59" s="660">
        <v>0</v>
      </c>
      <c r="M59" s="660">
        <v>0</v>
      </c>
    </row>
    <row r="60" spans="1:13">
      <c r="A60" s="603"/>
      <c r="B60" s="596">
        <v>49</v>
      </c>
      <c r="C60" s="597" t="s">
        <v>3288</v>
      </c>
      <c r="E60" s="659"/>
      <c r="F60" s="659">
        <v>0</v>
      </c>
      <c r="G60" s="659">
        <v>0</v>
      </c>
      <c r="I60" s="659"/>
      <c r="J60" s="659">
        <v>0</v>
      </c>
      <c r="K60" s="659">
        <v>0</v>
      </c>
      <c r="M60" s="659">
        <v>0</v>
      </c>
    </row>
    <row r="61" spans="1:13">
      <c r="A61" s="603"/>
      <c r="B61" s="588">
        <v>50</v>
      </c>
      <c r="C61" s="599" t="s">
        <v>3289</v>
      </c>
      <c r="E61" s="660"/>
      <c r="F61" s="660">
        <v>0</v>
      </c>
      <c r="G61" s="660">
        <v>0</v>
      </c>
      <c r="I61" s="660">
        <v>69872</v>
      </c>
      <c r="J61" s="660">
        <v>0</v>
      </c>
      <c r="K61" s="660">
        <v>69872</v>
      </c>
      <c r="M61" s="660">
        <v>-69872</v>
      </c>
    </row>
    <row r="62" spans="1:13">
      <c r="A62" s="603"/>
      <c r="B62" s="596">
        <v>51</v>
      </c>
      <c r="C62" s="597" t="s">
        <v>3218</v>
      </c>
      <c r="E62" s="659"/>
      <c r="F62" s="659">
        <v>0</v>
      </c>
      <c r="G62" s="659">
        <v>0</v>
      </c>
      <c r="I62" s="659"/>
      <c r="J62" s="659">
        <v>0</v>
      </c>
      <c r="K62" s="659">
        <v>0</v>
      </c>
      <c r="M62" s="659">
        <v>0</v>
      </c>
    </row>
    <row r="63" spans="1:13">
      <c r="A63" s="603">
        <v>0</v>
      </c>
      <c r="B63" s="601"/>
      <c r="C63" s="602" t="s">
        <v>3290</v>
      </c>
      <c r="E63" s="658">
        <v>0</v>
      </c>
      <c r="F63" s="658">
        <v>0</v>
      </c>
      <c r="G63" s="658">
        <v>0</v>
      </c>
      <c r="I63" s="658">
        <v>0</v>
      </c>
      <c r="J63" s="658">
        <v>0</v>
      </c>
      <c r="K63" s="658">
        <v>0</v>
      </c>
      <c r="M63" s="658">
        <v>0</v>
      </c>
    </row>
    <row r="64" spans="1:13">
      <c r="A64" s="603">
        <v>52</v>
      </c>
      <c r="B64" s="588">
        <v>52</v>
      </c>
      <c r="C64" s="599" t="s">
        <v>3222</v>
      </c>
      <c r="E64" s="660"/>
      <c r="F64" s="660">
        <v>0</v>
      </c>
      <c r="G64" s="660">
        <v>0</v>
      </c>
      <c r="I64" s="660"/>
      <c r="J64" s="660">
        <v>0</v>
      </c>
      <c r="K64" s="660">
        <v>0</v>
      </c>
      <c r="M64" s="660">
        <v>0</v>
      </c>
    </row>
    <row r="65" spans="1:13">
      <c r="A65" s="603">
        <v>53</v>
      </c>
      <c r="B65" s="596">
        <v>53</v>
      </c>
      <c r="C65" s="597" t="s">
        <v>3225</v>
      </c>
      <c r="E65" s="659"/>
      <c r="F65" s="659">
        <v>0</v>
      </c>
      <c r="G65" s="659">
        <v>0</v>
      </c>
      <c r="I65" s="659"/>
      <c r="J65" s="659">
        <v>0</v>
      </c>
      <c r="K65" s="659">
        <v>0</v>
      </c>
      <c r="M65" s="659">
        <v>0</v>
      </c>
    </row>
    <row r="66" spans="1:13">
      <c r="A66" s="603">
        <v>54</v>
      </c>
      <c r="B66" s="588">
        <v>54</v>
      </c>
      <c r="C66" s="599" t="s">
        <v>3291</v>
      </c>
      <c r="E66" s="660"/>
      <c r="F66" s="660">
        <v>0</v>
      </c>
      <c r="G66" s="660">
        <v>0</v>
      </c>
      <c r="I66" s="660"/>
      <c r="J66" s="660">
        <v>0</v>
      </c>
      <c r="K66" s="660">
        <v>0</v>
      </c>
      <c r="M66" s="660">
        <v>0</v>
      </c>
    </row>
    <row r="67" spans="1:13">
      <c r="A67" s="603"/>
      <c r="B67" s="601"/>
      <c r="C67" s="602" t="s">
        <v>3292</v>
      </c>
      <c r="E67" s="658">
        <v>0</v>
      </c>
      <c r="F67" s="658">
        <v>0</v>
      </c>
      <c r="G67" s="658">
        <v>0</v>
      </c>
      <c r="I67" s="658">
        <v>0</v>
      </c>
      <c r="J67" s="658">
        <v>0</v>
      </c>
      <c r="K67" s="658">
        <v>0</v>
      </c>
      <c r="M67" s="658">
        <v>0</v>
      </c>
    </row>
    <row r="68" spans="1:13">
      <c r="A68" s="603"/>
      <c r="B68" s="596">
        <v>55</v>
      </c>
      <c r="C68" s="597" t="s">
        <v>3231</v>
      </c>
      <c r="E68" s="659"/>
      <c r="F68" s="659">
        <v>0</v>
      </c>
      <c r="G68" s="659">
        <v>0</v>
      </c>
      <c r="I68" s="659"/>
      <c r="J68" s="659">
        <v>0</v>
      </c>
      <c r="K68" s="659">
        <v>0</v>
      </c>
      <c r="M68" s="659">
        <v>0</v>
      </c>
    </row>
    <row r="69" spans="1:13">
      <c r="A69" s="603"/>
      <c r="B69" s="588">
        <v>56</v>
      </c>
      <c r="C69" s="599" t="s">
        <v>3293</v>
      </c>
      <c r="E69" s="660"/>
      <c r="F69" s="660">
        <v>0</v>
      </c>
      <c r="G69" s="660">
        <v>0</v>
      </c>
      <c r="I69" s="660"/>
      <c r="J69" s="660">
        <v>0</v>
      </c>
      <c r="K69" s="660">
        <v>0</v>
      </c>
      <c r="M69" s="660">
        <v>0</v>
      </c>
    </row>
    <row r="70" spans="1:13">
      <c r="A70" s="603">
        <v>0</v>
      </c>
      <c r="B70" s="601"/>
      <c r="C70" s="602" t="s">
        <v>340</v>
      </c>
      <c r="E70" s="658">
        <v>340200</v>
      </c>
      <c r="F70" s="658">
        <v>0</v>
      </c>
      <c r="G70" s="658">
        <v>340200</v>
      </c>
      <c r="I70" s="658">
        <v>340200</v>
      </c>
      <c r="J70" s="658">
        <v>0</v>
      </c>
      <c r="K70" s="658">
        <v>340200</v>
      </c>
      <c r="M70" s="658">
        <v>0</v>
      </c>
    </row>
    <row r="71" spans="1:13">
      <c r="A71" s="603">
        <v>57</v>
      </c>
      <c r="B71" s="596">
        <v>57</v>
      </c>
      <c r="C71" s="597" t="s">
        <v>3294</v>
      </c>
      <c r="E71" s="659">
        <v>340200</v>
      </c>
      <c r="F71" s="659">
        <v>0</v>
      </c>
      <c r="G71" s="659">
        <v>340200</v>
      </c>
      <c r="I71" s="659">
        <v>340200</v>
      </c>
      <c r="J71" s="659">
        <v>0</v>
      </c>
      <c r="K71" s="659">
        <v>340200</v>
      </c>
      <c r="M71" s="659">
        <v>0</v>
      </c>
    </row>
    <row r="72" spans="1:13">
      <c r="A72" s="603">
        <v>0</v>
      </c>
      <c r="B72" s="601"/>
      <c r="C72" s="602" t="s">
        <v>3295</v>
      </c>
      <c r="E72" s="658">
        <v>6566400</v>
      </c>
      <c r="F72" s="658">
        <v>0</v>
      </c>
      <c r="G72" s="658">
        <v>6566400</v>
      </c>
      <c r="I72" s="658">
        <v>6220800</v>
      </c>
      <c r="J72" s="658">
        <v>0</v>
      </c>
      <c r="K72" s="658">
        <v>6220800</v>
      </c>
      <c r="M72" s="658">
        <v>345600</v>
      </c>
    </row>
    <row r="73" spans="1:13">
      <c r="A73" s="603">
        <v>58</v>
      </c>
      <c r="B73" s="588">
        <v>58</v>
      </c>
      <c r="C73" s="599" t="s">
        <v>3296</v>
      </c>
      <c r="E73" s="660">
        <v>6566400</v>
      </c>
      <c r="F73" s="660">
        <v>0</v>
      </c>
      <c r="G73" s="660">
        <v>6566400</v>
      </c>
      <c r="I73" s="660">
        <v>6220800</v>
      </c>
      <c r="J73" s="660">
        <v>0</v>
      </c>
      <c r="K73" s="660">
        <v>6220800</v>
      </c>
      <c r="M73" s="660">
        <v>345600</v>
      </c>
    </row>
    <row r="74" spans="1:13">
      <c r="A74" s="603"/>
      <c r="B74" s="601"/>
      <c r="C74" s="602" t="s">
        <v>3297</v>
      </c>
      <c r="E74" s="658">
        <v>0</v>
      </c>
      <c r="F74" s="658">
        <v>0</v>
      </c>
      <c r="G74" s="658">
        <v>0</v>
      </c>
      <c r="I74" s="658">
        <v>0</v>
      </c>
      <c r="J74" s="658">
        <v>0</v>
      </c>
      <c r="K74" s="658">
        <v>0</v>
      </c>
      <c r="M74" s="658">
        <v>0</v>
      </c>
    </row>
    <row r="75" spans="1:13">
      <c r="A75" s="603"/>
      <c r="B75" s="588">
        <v>59</v>
      </c>
      <c r="C75" s="599" t="s">
        <v>3298</v>
      </c>
      <c r="E75" s="660"/>
      <c r="F75" s="660">
        <v>0</v>
      </c>
      <c r="G75" s="660">
        <v>0</v>
      </c>
      <c r="I75" s="660"/>
      <c r="J75" s="660">
        <v>0</v>
      </c>
      <c r="K75" s="660">
        <v>0</v>
      </c>
      <c r="M75" s="660"/>
    </row>
    <row r="76" spans="1:13">
      <c r="A76" s="603"/>
      <c r="B76" s="601"/>
      <c r="C76" s="602" t="s">
        <v>3299</v>
      </c>
      <c r="E76" s="658">
        <v>0</v>
      </c>
      <c r="F76" s="658">
        <v>0</v>
      </c>
      <c r="G76" s="658">
        <v>0</v>
      </c>
      <c r="I76" s="658">
        <v>0</v>
      </c>
      <c r="J76" s="658">
        <v>0</v>
      </c>
      <c r="K76" s="658">
        <v>0</v>
      </c>
      <c r="M76" s="658">
        <v>0</v>
      </c>
    </row>
    <row r="77" spans="1:13">
      <c r="A77" s="603"/>
      <c r="B77" s="588">
        <v>60</v>
      </c>
      <c r="C77" s="599" t="s">
        <v>3300</v>
      </c>
      <c r="E77" s="660"/>
      <c r="F77" s="660">
        <v>0</v>
      </c>
      <c r="G77" s="660">
        <v>0</v>
      </c>
      <c r="I77" s="660"/>
      <c r="J77" s="660">
        <v>0</v>
      </c>
      <c r="K77" s="660">
        <v>0</v>
      </c>
      <c r="M77" s="660"/>
    </row>
    <row r="78" spans="1:13">
      <c r="A78" s="603"/>
      <c r="B78" s="601"/>
      <c r="C78" s="602" t="s">
        <v>3301</v>
      </c>
      <c r="E78" s="658">
        <v>0</v>
      </c>
      <c r="F78" s="658">
        <v>0</v>
      </c>
      <c r="G78" s="658">
        <v>0</v>
      </c>
      <c r="I78" s="658">
        <v>25470</v>
      </c>
      <c r="J78" s="658">
        <v>0</v>
      </c>
      <c r="K78" s="658">
        <v>25470</v>
      </c>
      <c r="M78" s="658">
        <v>-25470</v>
      </c>
    </row>
    <row r="79" spans="1:13">
      <c r="A79" s="603"/>
      <c r="B79" s="596">
        <v>61</v>
      </c>
      <c r="C79" s="597" t="s">
        <v>3302</v>
      </c>
      <c r="E79" s="659"/>
      <c r="F79" s="659"/>
      <c r="G79" s="659"/>
      <c r="I79" s="659"/>
      <c r="J79" s="659"/>
      <c r="K79" s="659"/>
      <c r="M79" s="659"/>
    </row>
  </sheetData>
  <mergeCells count="5">
    <mergeCell ref="B3:B4"/>
    <mergeCell ref="C3:C4"/>
    <mergeCell ref="E3:G3"/>
    <mergeCell ref="I3:K3"/>
    <mergeCell ref="M3:M4"/>
  </mergeCells>
  <hyperlinks>
    <hyperlink ref="A1" location="Sommaire!A1" display="Sommaire!A1" xr:uid="{00000000-0004-0000-2400-000000000000}"/>
  </hyperlinks>
  <pageMargins left="0.7" right="0.7" top="0.75" bottom="0.75" header="0.3" footer="0.3"/>
  <pageSetup paperSize="9" orientation="landscape"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M79"/>
  <sheetViews>
    <sheetView showGridLines="0" zoomScaleNormal="100" workbookViewId="0">
      <selection activeCell="B1" sqref="B1"/>
    </sheetView>
  </sheetViews>
  <sheetFormatPr baseColWidth="10" defaultColWidth="11.33203125" defaultRowHeight="12"/>
  <cols>
    <col min="1" max="1" width="10.1640625" style="588" bestFit="1" customWidth="1"/>
    <col min="2" max="2" width="19" style="588" bestFit="1" customWidth="1"/>
    <col min="3" max="3" width="54.5" style="605" bestFit="1" customWidth="1"/>
    <col min="4" max="4" width="0.6640625" style="590" customWidth="1"/>
    <col min="5" max="5" width="8.5" style="590" bestFit="1" customWidth="1"/>
    <col min="6" max="6" width="10.1640625" style="588" bestFit="1" customWidth="1"/>
    <col min="7" max="7" width="5.5" style="590" bestFit="1" customWidth="1"/>
    <col min="8" max="8" width="0.6640625" style="590" customWidth="1"/>
    <col min="9" max="9" width="11.5" style="590" bestFit="1" customWidth="1"/>
    <col min="10" max="10" width="10.1640625" style="590" bestFit="1" customWidth="1"/>
    <col min="11" max="11" width="11.5" style="590" bestFit="1" customWidth="1"/>
    <col min="12" max="12" width="0.6640625" style="590" customWidth="1"/>
    <col min="13" max="13" width="13.83203125" style="590" bestFit="1" customWidth="1"/>
    <col min="14" max="16384" width="11.33203125" style="590"/>
  </cols>
  <sheetData>
    <row r="1" spans="1:13" ht="24">
      <c r="A1" s="661" t="s">
        <v>140</v>
      </c>
      <c r="C1" s="589" t="s">
        <v>3249</v>
      </c>
      <c r="E1" s="591" t="s">
        <v>164</v>
      </c>
      <c r="F1" s="591">
        <v>3059434</v>
      </c>
      <c r="G1" s="592"/>
      <c r="J1" s="592" t="s">
        <v>3251</v>
      </c>
      <c r="K1" s="592">
        <v>2023</v>
      </c>
    </row>
    <row r="2" spans="1:13">
      <c r="C2" s="593"/>
      <c r="F2" s="590"/>
      <c r="I2" s="590" t="s">
        <v>3252</v>
      </c>
      <c r="J2" s="594">
        <v>604.32574999999997</v>
      </c>
    </row>
    <row r="3" spans="1:13">
      <c r="B3" s="753" t="s">
        <v>143</v>
      </c>
      <c r="C3" s="754" t="s">
        <v>3253</v>
      </c>
      <c r="E3" s="755" t="s">
        <v>2084</v>
      </c>
      <c r="F3" s="755"/>
      <c r="G3" s="755"/>
      <c r="I3" s="755" t="s">
        <v>3254</v>
      </c>
      <c r="J3" s="755"/>
      <c r="K3" s="755"/>
      <c r="M3" s="756" t="s">
        <v>3255</v>
      </c>
    </row>
    <row r="4" spans="1:13">
      <c r="B4" s="753"/>
      <c r="C4" s="754"/>
      <c r="E4" s="595" t="s">
        <v>3256</v>
      </c>
      <c r="F4" s="595" t="s">
        <v>3257</v>
      </c>
      <c r="G4" s="595" t="s">
        <v>3258</v>
      </c>
      <c r="I4" s="595" t="s">
        <v>3256</v>
      </c>
      <c r="J4" s="595" t="s">
        <v>3257</v>
      </c>
      <c r="K4" s="595" t="s">
        <v>3258</v>
      </c>
      <c r="M4" s="756"/>
    </row>
    <row r="5" spans="1:13">
      <c r="B5" s="655" t="s">
        <v>3092</v>
      </c>
      <c r="C5" s="656"/>
      <c r="E5" s="657">
        <v>0</v>
      </c>
      <c r="F5" s="657">
        <v>0</v>
      </c>
      <c r="G5" s="657">
        <v>0</v>
      </c>
      <c r="I5" s="657">
        <v>0</v>
      </c>
      <c r="J5" s="657">
        <v>0</v>
      </c>
      <c r="K5" s="657">
        <v>0</v>
      </c>
      <c r="M5" s="657">
        <v>0</v>
      </c>
    </row>
    <row r="6" spans="1:13">
      <c r="B6" s="596">
        <v>1</v>
      </c>
      <c r="C6" s="597" t="s">
        <v>3259</v>
      </c>
      <c r="E6" s="598"/>
      <c r="F6" s="598">
        <v>0</v>
      </c>
      <c r="G6" s="598">
        <v>0</v>
      </c>
      <c r="I6" s="598"/>
      <c r="J6" s="598">
        <v>0</v>
      </c>
      <c r="K6" s="598">
        <v>0</v>
      </c>
      <c r="M6" s="598">
        <v>0</v>
      </c>
    </row>
    <row r="7" spans="1:13">
      <c r="B7" s="588">
        <v>2</v>
      </c>
      <c r="C7" s="599" t="s">
        <v>3260</v>
      </c>
      <c r="E7" s="600"/>
      <c r="F7" s="600">
        <v>0</v>
      </c>
      <c r="G7" s="600">
        <v>0</v>
      </c>
      <c r="I7" s="600"/>
      <c r="J7" s="600">
        <v>0</v>
      </c>
      <c r="K7" s="600">
        <v>0</v>
      </c>
      <c r="M7" s="600">
        <v>0</v>
      </c>
    </row>
    <row r="8" spans="1:13">
      <c r="B8" s="655" t="s">
        <v>3101</v>
      </c>
      <c r="C8" s="656"/>
      <c r="E8" s="657">
        <v>0</v>
      </c>
      <c r="F8" s="657">
        <v>0</v>
      </c>
      <c r="G8" s="657">
        <v>0</v>
      </c>
      <c r="I8" s="657">
        <v>444380378</v>
      </c>
      <c r="J8" s="657">
        <v>0</v>
      </c>
      <c r="K8" s="657">
        <v>444380378</v>
      </c>
      <c r="M8" s="657">
        <v>-444380378</v>
      </c>
    </row>
    <row r="9" spans="1:13">
      <c r="B9" s="601"/>
      <c r="C9" s="602" t="s">
        <v>1244</v>
      </c>
      <c r="E9" s="658">
        <v>0</v>
      </c>
      <c r="F9" s="658">
        <v>0</v>
      </c>
      <c r="G9" s="658">
        <v>0</v>
      </c>
      <c r="I9" s="658">
        <v>0</v>
      </c>
      <c r="J9" s="658">
        <v>0</v>
      </c>
      <c r="K9" s="658">
        <v>0</v>
      </c>
      <c r="M9" s="658">
        <v>0</v>
      </c>
    </row>
    <row r="10" spans="1:13">
      <c r="A10" s="603">
        <v>3</v>
      </c>
      <c r="B10" s="596">
        <v>3</v>
      </c>
      <c r="C10" s="597" t="s">
        <v>3261</v>
      </c>
      <c r="E10" s="659"/>
      <c r="F10" s="659">
        <v>0</v>
      </c>
      <c r="G10" s="659">
        <v>0</v>
      </c>
      <c r="I10" s="659"/>
      <c r="J10" s="659">
        <v>0</v>
      </c>
      <c r="K10" s="659">
        <v>0</v>
      </c>
      <c r="M10" s="659">
        <v>0</v>
      </c>
    </row>
    <row r="11" spans="1:13">
      <c r="A11" s="603">
        <v>4</v>
      </c>
      <c r="B11" s="588">
        <v>4</v>
      </c>
      <c r="C11" s="599" t="s">
        <v>3106</v>
      </c>
      <c r="E11" s="660"/>
      <c r="F11" s="660">
        <v>0</v>
      </c>
      <c r="G11" s="660">
        <v>0</v>
      </c>
      <c r="I11" s="660"/>
      <c r="J11" s="660">
        <v>0</v>
      </c>
      <c r="K11" s="660">
        <v>0</v>
      </c>
      <c r="M11" s="660">
        <v>0</v>
      </c>
    </row>
    <row r="12" spans="1:13">
      <c r="A12" s="603">
        <v>5</v>
      </c>
      <c r="B12" s="596">
        <v>5</v>
      </c>
      <c r="C12" s="597" t="s">
        <v>3262</v>
      </c>
      <c r="E12" s="659"/>
      <c r="F12" s="659">
        <v>0</v>
      </c>
      <c r="G12" s="659">
        <v>0</v>
      </c>
      <c r="I12" s="659"/>
      <c r="J12" s="659">
        <v>0</v>
      </c>
      <c r="K12" s="659">
        <v>0</v>
      </c>
      <c r="M12" s="659">
        <v>0</v>
      </c>
    </row>
    <row r="13" spans="1:13">
      <c r="A13" s="603">
        <v>6</v>
      </c>
      <c r="B13" s="588">
        <v>6</v>
      </c>
      <c r="C13" s="599" t="s">
        <v>3263</v>
      </c>
      <c r="E13" s="660"/>
      <c r="F13" s="660">
        <v>0</v>
      </c>
      <c r="G13" s="660">
        <v>0</v>
      </c>
      <c r="I13" s="660"/>
      <c r="J13" s="660">
        <v>0</v>
      </c>
      <c r="K13" s="660">
        <v>0</v>
      </c>
      <c r="M13" s="660">
        <v>0</v>
      </c>
    </row>
    <row r="14" spans="1:13">
      <c r="A14" s="603">
        <v>7</v>
      </c>
      <c r="B14" s="596">
        <v>7</v>
      </c>
      <c r="C14" s="597" t="s">
        <v>3114</v>
      </c>
      <c r="E14" s="659"/>
      <c r="F14" s="659">
        <v>0</v>
      </c>
      <c r="G14" s="659">
        <v>0</v>
      </c>
      <c r="I14" s="659"/>
      <c r="J14" s="659">
        <v>0</v>
      </c>
      <c r="K14" s="659">
        <v>0</v>
      </c>
      <c r="M14" s="659">
        <v>0</v>
      </c>
    </row>
    <row r="15" spans="1:13">
      <c r="A15" s="603">
        <v>0</v>
      </c>
      <c r="B15" s="601"/>
      <c r="C15" s="602" t="s">
        <v>1253</v>
      </c>
      <c r="E15" s="658">
        <v>0</v>
      </c>
      <c r="F15" s="658">
        <v>0</v>
      </c>
      <c r="G15" s="658">
        <v>0</v>
      </c>
      <c r="I15" s="658">
        <v>442630778</v>
      </c>
      <c r="J15" s="658">
        <v>0</v>
      </c>
      <c r="K15" s="658">
        <v>442630778</v>
      </c>
      <c r="M15" s="658">
        <v>-442630778</v>
      </c>
    </row>
    <row r="16" spans="1:13">
      <c r="A16" s="603">
        <v>8</v>
      </c>
      <c r="B16" s="588">
        <v>8</v>
      </c>
      <c r="C16" s="599" t="s">
        <v>3264</v>
      </c>
      <c r="E16" s="660"/>
      <c r="F16" s="660">
        <v>0</v>
      </c>
      <c r="G16" s="660">
        <v>0</v>
      </c>
      <c r="I16" s="660"/>
      <c r="J16" s="660">
        <v>0</v>
      </c>
      <c r="K16" s="660">
        <v>0</v>
      </c>
      <c r="M16" s="660">
        <v>0</v>
      </c>
    </row>
    <row r="17" spans="1:13">
      <c r="A17" s="603">
        <v>9</v>
      </c>
      <c r="B17" s="596">
        <v>9</v>
      </c>
      <c r="C17" s="597" t="s">
        <v>3265</v>
      </c>
      <c r="E17" s="659"/>
      <c r="F17" s="659">
        <v>0</v>
      </c>
      <c r="G17" s="659">
        <v>0</v>
      </c>
      <c r="I17" s="659"/>
      <c r="J17" s="659">
        <v>0</v>
      </c>
      <c r="K17" s="659">
        <v>0</v>
      </c>
      <c r="M17" s="659">
        <v>0</v>
      </c>
    </row>
    <row r="18" spans="1:13">
      <c r="A18" s="603"/>
      <c r="B18" s="588">
        <v>10</v>
      </c>
      <c r="C18" s="599" t="s">
        <v>3122</v>
      </c>
      <c r="E18" s="660"/>
      <c r="F18" s="660">
        <v>0</v>
      </c>
      <c r="G18" s="660">
        <v>0</v>
      </c>
      <c r="I18" s="660">
        <v>350536778</v>
      </c>
      <c r="J18" s="660">
        <v>0</v>
      </c>
      <c r="K18" s="660">
        <v>350536778</v>
      </c>
      <c r="M18" s="660">
        <v>-350536778</v>
      </c>
    </row>
    <row r="19" spans="1:13">
      <c r="A19" s="603">
        <v>11</v>
      </c>
      <c r="B19" s="596">
        <v>11</v>
      </c>
      <c r="C19" s="597" t="s">
        <v>3124</v>
      </c>
      <c r="E19" s="659"/>
      <c r="F19" s="659">
        <v>0</v>
      </c>
      <c r="G19" s="659">
        <v>0</v>
      </c>
      <c r="I19" s="659"/>
      <c r="J19" s="659">
        <v>0</v>
      </c>
      <c r="K19" s="659">
        <v>0</v>
      </c>
      <c r="M19" s="659">
        <v>0</v>
      </c>
    </row>
    <row r="20" spans="1:13">
      <c r="A20" s="603">
        <v>12</v>
      </c>
      <c r="B20" s="588">
        <v>12</v>
      </c>
      <c r="C20" s="599" t="s">
        <v>3266</v>
      </c>
      <c r="E20" s="660"/>
      <c r="F20" s="660">
        <v>0</v>
      </c>
      <c r="G20" s="660">
        <v>0</v>
      </c>
      <c r="I20" s="660"/>
      <c r="J20" s="660">
        <v>0</v>
      </c>
      <c r="K20" s="660">
        <v>0</v>
      </c>
      <c r="M20" s="660">
        <v>0</v>
      </c>
    </row>
    <row r="21" spans="1:13">
      <c r="A21" s="603">
        <v>13</v>
      </c>
      <c r="B21" s="596">
        <v>13</v>
      </c>
      <c r="C21" s="597" t="s">
        <v>3267</v>
      </c>
      <c r="E21" s="659"/>
      <c r="F21" s="659">
        <v>0</v>
      </c>
      <c r="G21" s="659">
        <v>0</v>
      </c>
      <c r="I21" s="659">
        <v>92094000</v>
      </c>
      <c r="J21" s="659">
        <v>0</v>
      </c>
      <c r="K21" s="659">
        <v>92094000</v>
      </c>
      <c r="M21" s="659">
        <v>-92094000</v>
      </c>
    </row>
    <row r="22" spans="1:13">
      <c r="A22" s="603">
        <v>14</v>
      </c>
      <c r="B22" s="588">
        <v>14</v>
      </c>
      <c r="C22" s="599" t="s">
        <v>3268</v>
      </c>
      <c r="E22" s="660"/>
      <c r="F22" s="660">
        <v>0</v>
      </c>
      <c r="G22" s="660">
        <v>0</v>
      </c>
      <c r="I22" s="660"/>
      <c r="J22" s="660">
        <v>0</v>
      </c>
      <c r="K22" s="660">
        <v>0</v>
      </c>
      <c r="M22" s="660">
        <v>0</v>
      </c>
    </row>
    <row r="23" spans="1:13">
      <c r="A23" s="603">
        <v>15</v>
      </c>
      <c r="B23" s="596">
        <v>15</v>
      </c>
      <c r="C23" s="597" t="s">
        <v>3133</v>
      </c>
      <c r="E23" s="659"/>
      <c r="F23" s="659">
        <v>0</v>
      </c>
      <c r="G23" s="659">
        <v>0</v>
      </c>
      <c r="I23" s="659"/>
      <c r="J23" s="659">
        <v>0</v>
      </c>
      <c r="K23" s="659">
        <v>0</v>
      </c>
      <c r="M23" s="659">
        <v>0</v>
      </c>
    </row>
    <row r="24" spans="1:13">
      <c r="A24" s="603">
        <v>16</v>
      </c>
      <c r="B24" s="588">
        <v>16</v>
      </c>
      <c r="C24" s="599" t="s">
        <v>3136</v>
      </c>
      <c r="E24" s="660"/>
      <c r="F24" s="660">
        <v>0</v>
      </c>
      <c r="G24" s="660">
        <v>0</v>
      </c>
      <c r="I24" s="660"/>
      <c r="J24" s="660">
        <v>0</v>
      </c>
      <c r="K24" s="660">
        <v>0</v>
      </c>
      <c r="M24" s="660">
        <v>0</v>
      </c>
    </row>
    <row r="25" spans="1:13">
      <c r="A25" s="603">
        <v>0</v>
      </c>
      <c r="B25" s="601"/>
      <c r="C25" s="602" t="s">
        <v>3269</v>
      </c>
      <c r="E25" s="658">
        <v>0</v>
      </c>
      <c r="F25" s="658">
        <v>0</v>
      </c>
      <c r="G25" s="658">
        <v>0</v>
      </c>
      <c r="I25" s="658">
        <v>0</v>
      </c>
      <c r="J25" s="658">
        <v>0</v>
      </c>
      <c r="K25" s="658">
        <v>0</v>
      </c>
      <c r="M25" s="658">
        <v>0</v>
      </c>
    </row>
    <row r="26" spans="1:13">
      <c r="A26" s="603">
        <v>17</v>
      </c>
      <c r="B26" s="596">
        <v>17</v>
      </c>
      <c r="C26" s="597" t="s">
        <v>3270</v>
      </c>
      <c r="E26" s="659"/>
      <c r="F26" s="659">
        <v>0</v>
      </c>
      <c r="G26" s="659">
        <v>0</v>
      </c>
      <c r="I26" s="659"/>
      <c r="J26" s="659">
        <v>0</v>
      </c>
      <c r="K26" s="659">
        <v>0</v>
      </c>
      <c r="M26" s="659">
        <v>0</v>
      </c>
    </row>
    <row r="27" spans="1:13">
      <c r="A27" s="603">
        <v>18</v>
      </c>
      <c r="B27" s="588">
        <v>18</v>
      </c>
      <c r="C27" s="599" t="s">
        <v>3141</v>
      </c>
      <c r="E27" s="660"/>
      <c r="F27" s="660">
        <v>0</v>
      </c>
      <c r="G27" s="660">
        <v>0</v>
      </c>
      <c r="I27" s="660"/>
      <c r="J27" s="660">
        <v>0</v>
      </c>
      <c r="K27" s="660">
        <v>0</v>
      </c>
      <c r="M27" s="660">
        <v>0</v>
      </c>
    </row>
    <row r="28" spans="1:13">
      <c r="A28" s="603">
        <v>19</v>
      </c>
      <c r="B28" s="596">
        <v>19</v>
      </c>
      <c r="C28" s="597" t="s">
        <v>3144</v>
      </c>
      <c r="E28" s="659"/>
      <c r="F28" s="659">
        <v>0</v>
      </c>
      <c r="G28" s="659">
        <v>0</v>
      </c>
      <c r="I28" s="659"/>
      <c r="J28" s="659">
        <v>0</v>
      </c>
      <c r="K28" s="659">
        <v>0</v>
      </c>
      <c r="M28" s="659">
        <v>0</v>
      </c>
    </row>
    <row r="29" spans="1:13">
      <c r="A29" s="603">
        <v>20</v>
      </c>
      <c r="B29" s="588">
        <v>20</v>
      </c>
      <c r="C29" s="599" t="s">
        <v>3147</v>
      </c>
      <c r="E29" s="660"/>
      <c r="F29" s="660">
        <v>0</v>
      </c>
      <c r="G29" s="660">
        <v>0</v>
      </c>
      <c r="I29" s="660"/>
      <c r="J29" s="660">
        <v>0</v>
      </c>
      <c r="K29" s="660">
        <v>0</v>
      </c>
      <c r="M29" s="660">
        <v>0</v>
      </c>
    </row>
    <row r="30" spans="1:13">
      <c r="A30" s="603">
        <v>21</v>
      </c>
      <c r="B30" s="596">
        <v>21</v>
      </c>
      <c r="C30" s="597" t="s">
        <v>3271</v>
      </c>
      <c r="E30" s="659"/>
      <c r="F30" s="659">
        <v>0</v>
      </c>
      <c r="G30" s="659">
        <v>0</v>
      </c>
      <c r="I30" s="659"/>
      <c r="J30" s="659">
        <v>0</v>
      </c>
      <c r="K30" s="659">
        <v>0</v>
      </c>
      <c r="M30" s="659">
        <v>0</v>
      </c>
    </row>
    <row r="31" spans="1:13">
      <c r="A31" s="603">
        <v>22</v>
      </c>
      <c r="B31" s="588">
        <v>22</v>
      </c>
      <c r="C31" s="599" t="s">
        <v>3272</v>
      </c>
      <c r="E31" s="660"/>
      <c r="F31" s="660">
        <v>0</v>
      </c>
      <c r="G31" s="660">
        <v>0</v>
      </c>
      <c r="I31" s="660"/>
      <c r="J31" s="660">
        <v>0</v>
      </c>
      <c r="K31" s="660">
        <v>0</v>
      </c>
      <c r="M31" s="660">
        <v>0</v>
      </c>
    </row>
    <row r="32" spans="1:13">
      <c r="A32" s="603">
        <v>23</v>
      </c>
      <c r="B32" s="596">
        <v>23</v>
      </c>
      <c r="C32" s="597" t="s">
        <v>3273</v>
      </c>
      <c r="E32" s="659"/>
      <c r="F32" s="659">
        <v>0</v>
      </c>
      <c r="G32" s="659">
        <v>0</v>
      </c>
      <c r="I32" s="659"/>
      <c r="J32" s="659">
        <v>0</v>
      </c>
      <c r="K32" s="659">
        <v>0</v>
      </c>
      <c r="M32" s="659">
        <v>0</v>
      </c>
    </row>
    <row r="33" spans="1:13">
      <c r="A33" s="603">
        <v>24</v>
      </c>
      <c r="B33" s="588">
        <v>24</v>
      </c>
      <c r="C33" s="599" t="s">
        <v>3158</v>
      </c>
      <c r="E33" s="660"/>
      <c r="F33" s="660">
        <v>0</v>
      </c>
      <c r="G33" s="660">
        <v>0</v>
      </c>
      <c r="I33" s="660"/>
      <c r="J33" s="660">
        <v>0</v>
      </c>
      <c r="K33" s="660">
        <v>0</v>
      </c>
      <c r="M33" s="660">
        <v>0</v>
      </c>
    </row>
    <row r="34" spans="1:13" s="604" customFormat="1">
      <c r="A34" s="603">
        <v>25</v>
      </c>
      <c r="B34" s="596">
        <v>25</v>
      </c>
      <c r="C34" s="597" t="s">
        <v>3274</v>
      </c>
      <c r="D34" s="590"/>
      <c r="E34" s="659"/>
      <c r="F34" s="659">
        <v>0</v>
      </c>
      <c r="G34" s="659">
        <v>0</v>
      </c>
      <c r="H34" s="590"/>
      <c r="I34" s="659"/>
      <c r="J34" s="659">
        <v>0</v>
      </c>
      <c r="K34" s="659">
        <v>0</v>
      </c>
      <c r="L34" s="590"/>
      <c r="M34" s="659">
        <v>0</v>
      </c>
    </row>
    <row r="35" spans="1:13">
      <c r="A35" s="603">
        <v>26</v>
      </c>
      <c r="B35" s="588">
        <v>26</v>
      </c>
      <c r="C35" s="599" t="s">
        <v>3275</v>
      </c>
      <c r="E35" s="660"/>
      <c r="F35" s="660">
        <v>0</v>
      </c>
      <c r="G35" s="660">
        <v>0</v>
      </c>
      <c r="I35" s="660"/>
      <c r="J35" s="660">
        <v>0</v>
      </c>
      <c r="K35" s="660">
        <v>0</v>
      </c>
      <c r="M35" s="660">
        <v>0</v>
      </c>
    </row>
    <row r="36" spans="1:13">
      <c r="A36" s="603">
        <v>0</v>
      </c>
      <c r="B36" s="601"/>
      <c r="C36" s="602" t="s">
        <v>3276</v>
      </c>
      <c r="E36" s="658">
        <v>0</v>
      </c>
      <c r="F36" s="658">
        <v>0</v>
      </c>
      <c r="G36" s="658">
        <v>0</v>
      </c>
      <c r="I36" s="658">
        <v>0</v>
      </c>
      <c r="J36" s="658">
        <v>0</v>
      </c>
      <c r="K36" s="658">
        <v>0</v>
      </c>
      <c r="M36" s="658">
        <v>0</v>
      </c>
    </row>
    <row r="37" spans="1:13">
      <c r="A37" s="603">
        <v>27</v>
      </c>
      <c r="B37" s="596">
        <v>27</v>
      </c>
      <c r="C37" s="597" t="s">
        <v>3164</v>
      </c>
      <c r="E37" s="659"/>
      <c r="F37" s="659">
        <v>0</v>
      </c>
      <c r="G37" s="659">
        <v>0</v>
      </c>
      <c r="I37" s="659"/>
      <c r="J37" s="659">
        <v>0</v>
      </c>
      <c r="K37" s="659">
        <v>0</v>
      </c>
      <c r="M37" s="659">
        <v>0</v>
      </c>
    </row>
    <row r="38" spans="1:13">
      <c r="A38" s="603">
        <v>28</v>
      </c>
      <c r="B38" s="588">
        <v>28</v>
      </c>
      <c r="C38" s="599" t="s">
        <v>3167</v>
      </c>
      <c r="E38" s="660"/>
      <c r="F38" s="660">
        <v>0</v>
      </c>
      <c r="G38" s="660">
        <v>0</v>
      </c>
      <c r="I38" s="660"/>
      <c r="J38" s="660">
        <v>0</v>
      </c>
      <c r="K38" s="660">
        <v>0</v>
      </c>
      <c r="M38" s="660">
        <v>0</v>
      </c>
    </row>
    <row r="39" spans="1:13">
      <c r="A39" s="603">
        <v>29</v>
      </c>
      <c r="B39" s="596">
        <v>29</v>
      </c>
      <c r="C39" s="597" t="s">
        <v>3170</v>
      </c>
      <c r="E39" s="659"/>
      <c r="F39" s="659">
        <v>0</v>
      </c>
      <c r="G39" s="659">
        <v>0</v>
      </c>
      <c r="I39" s="659"/>
      <c r="J39" s="659">
        <v>0</v>
      </c>
      <c r="K39" s="659">
        <v>0</v>
      </c>
      <c r="M39" s="659">
        <v>0</v>
      </c>
    </row>
    <row r="40" spans="1:13">
      <c r="A40" s="603">
        <v>30</v>
      </c>
      <c r="B40" s="588">
        <v>30</v>
      </c>
      <c r="C40" s="599" t="s">
        <v>3173</v>
      </c>
      <c r="E40" s="660"/>
      <c r="F40" s="660">
        <v>0</v>
      </c>
      <c r="G40" s="660">
        <v>0</v>
      </c>
      <c r="I40" s="660"/>
      <c r="J40" s="660">
        <v>0</v>
      </c>
      <c r="K40" s="660">
        <v>0</v>
      </c>
      <c r="M40" s="660">
        <v>0</v>
      </c>
    </row>
    <row r="41" spans="1:13">
      <c r="A41" s="603">
        <v>31</v>
      </c>
      <c r="B41" s="596">
        <v>31</v>
      </c>
      <c r="C41" s="597" t="s">
        <v>3176</v>
      </c>
      <c r="E41" s="659"/>
      <c r="F41" s="659">
        <v>0</v>
      </c>
      <c r="G41" s="659">
        <v>0</v>
      </c>
      <c r="I41" s="659"/>
      <c r="J41" s="659">
        <v>0</v>
      </c>
      <c r="K41" s="659">
        <v>0</v>
      </c>
      <c r="M41" s="659">
        <v>0</v>
      </c>
    </row>
    <row r="42" spans="1:13">
      <c r="A42" s="603">
        <v>32</v>
      </c>
      <c r="B42" s="588">
        <v>32</v>
      </c>
      <c r="C42" s="599" t="s">
        <v>3178</v>
      </c>
      <c r="E42" s="660"/>
      <c r="F42" s="660">
        <v>0</v>
      </c>
      <c r="G42" s="660">
        <v>0</v>
      </c>
      <c r="I42" s="660"/>
      <c r="J42" s="660">
        <v>0</v>
      </c>
      <c r="K42" s="660">
        <v>0</v>
      </c>
      <c r="M42" s="660">
        <v>0</v>
      </c>
    </row>
    <row r="43" spans="1:13">
      <c r="A43" s="603">
        <v>33</v>
      </c>
      <c r="B43" s="596">
        <v>33</v>
      </c>
      <c r="C43" s="597" t="s">
        <v>3181</v>
      </c>
      <c r="E43" s="659"/>
      <c r="F43" s="659">
        <v>0</v>
      </c>
      <c r="G43" s="659">
        <v>0</v>
      </c>
      <c r="I43" s="659"/>
      <c r="J43" s="659">
        <v>0</v>
      </c>
      <c r="K43" s="659">
        <v>0</v>
      </c>
      <c r="M43" s="659">
        <v>0</v>
      </c>
    </row>
    <row r="44" spans="1:13">
      <c r="A44" s="603">
        <v>34</v>
      </c>
      <c r="B44" s="588">
        <v>34</v>
      </c>
      <c r="C44" s="599" t="s">
        <v>3184</v>
      </c>
      <c r="E44" s="660"/>
      <c r="F44" s="660">
        <v>0</v>
      </c>
      <c r="G44" s="660">
        <v>0</v>
      </c>
      <c r="I44" s="660"/>
      <c r="J44" s="660">
        <v>0</v>
      </c>
      <c r="K44" s="660">
        <v>0</v>
      </c>
      <c r="M44" s="660">
        <v>0</v>
      </c>
    </row>
    <row r="45" spans="1:13">
      <c r="A45" s="603">
        <v>35</v>
      </c>
      <c r="B45" s="596">
        <v>35</v>
      </c>
      <c r="C45" s="597" t="s">
        <v>3186</v>
      </c>
      <c r="E45" s="659"/>
      <c r="F45" s="659">
        <v>0</v>
      </c>
      <c r="G45" s="659">
        <v>0</v>
      </c>
      <c r="I45" s="659"/>
      <c r="J45" s="659">
        <v>0</v>
      </c>
      <c r="K45" s="659">
        <v>0</v>
      </c>
      <c r="M45" s="659">
        <v>0</v>
      </c>
    </row>
    <row r="46" spans="1:13">
      <c r="A46" s="603">
        <v>36</v>
      </c>
      <c r="B46" s="588">
        <v>36</v>
      </c>
      <c r="C46" s="599" t="s">
        <v>3189</v>
      </c>
      <c r="E46" s="660"/>
      <c r="F46" s="660">
        <v>0</v>
      </c>
      <c r="G46" s="660">
        <v>0</v>
      </c>
      <c r="I46" s="660"/>
      <c r="J46" s="660">
        <v>0</v>
      </c>
      <c r="K46" s="660">
        <v>0</v>
      </c>
      <c r="M46" s="660">
        <v>0</v>
      </c>
    </row>
    <row r="47" spans="1:13">
      <c r="A47" s="603">
        <v>37</v>
      </c>
      <c r="B47" s="596">
        <v>37</v>
      </c>
      <c r="C47" s="597" t="s">
        <v>3277</v>
      </c>
      <c r="E47" s="659"/>
      <c r="F47" s="659">
        <v>0</v>
      </c>
      <c r="G47" s="659">
        <v>0</v>
      </c>
      <c r="I47" s="659"/>
      <c r="J47" s="659">
        <v>0</v>
      </c>
      <c r="K47" s="659">
        <v>0</v>
      </c>
      <c r="M47" s="659">
        <v>0</v>
      </c>
    </row>
    <row r="48" spans="1:13">
      <c r="A48" s="603">
        <v>38</v>
      </c>
      <c r="B48" s="588">
        <v>38</v>
      </c>
      <c r="C48" s="599" t="s">
        <v>3278</v>
      </c>
      <c r="E48" s="660"/>
      <c r="F48" s="660">
        <v>0</v>
      </c>
      <c r="G48" s="660">
        <v>0</v>
      </c>
      <c r="I48" s="660"/>
      <c r="J48" s="660">
        <v>0</v>
      </c>
      <c r="K48" s="660">
        <v>0</v>
      </c>
      <c r="M48" s="660">
        <v>0</v>
      </c>
    </row>
    <row r="49" spans="1:13">
      <c r="A49" s="603">
        <v>39</v>
      </c>
      <c r="B49" s="596">
        <v>39</v>
      </c>
      <c r="C49" s="597" t="s">
        <v>3195</v>
      </c>
      <c r="E49" s="659"/>
      <c r="F49" s="659">
        <v>0</v>
      </c>
      <c r="G49" s="659">
        <v>0</v>
      </c>
      <c r="I49" s="659"/>
      <c r="J49" s="659">
        <v>0</v>
      </c>
      <c r="K49" s="659">
        <v>0</v>
      </c>
      <c r="M49" s="659">
        <v>0</v>
      </c>
    </row>
    <row r="50" spans="1:13">
      <c r="A50" s="603">
        <v>40</v>
      </c>
      <c r="B50" s="588">
        <v>40</v>
      </c>
      <c r="C50" s="599" t="s">
        <v>3198</v>
      </c>
      <c r="E50" s="660"/>
      <c r="F50" s="660">
        <v>0</v>
      </c>
      <c r="G50" s="660">
        <v>0</v>
      </c>
      <c r="I50" s="660"/>
      <c r="J50" s="660">
        <v>0</v>
      </c>
      <c r="K50" s="660">
        <v>0</v>
      </c>
      <c r="M50" s="660">
        <v>0</v>
      </c>
    </row>
    <row r="51" spans="1:13">
      <c r="A51" s="603">
        <v>41</v>
      </c>
      <c r="B51" s="596">
        <v>41</v>
      </c>
      <c r="C51" s="597" t="s">
        <v>3279</v>
      </c>
      <c r="E51" s="659"/>
      <c r="F51" s="659">
        <v>0</v>
      </c>
      <c r="G51" s="659">
        <v>0</v>
      </c>
      <c r="I51" s="659"/>
      <c r="J51" s="659">
        <v>0</v>
      </c>
      <c r="K51" s="659">
        <v>0</v>
      </c>
      <c r="M51" s="659">
        <v>0</v>
      </c>
    </row>
    <row r="52" spans="1:13">
      <c r="A52" s="603"/>
      <c r="B52" s="588">
        <v>42</v>
      </c>
      <c r="C52" s="599" t="s">
        <v>3280</v>
      </c>
      <c r="E52" s="660"/>
      <c r="F52" s="660">
        <v>0</v>
      </c>
      <c r="G52" s="660">
        <v>0</v>
      </c>
      <c r="I52" s="660"/>
      <c r="J52" s="660">
        <v>0</v>
      </c>
      <c r="K52" s="660">
        <v>0</v>
      </c>
      <c r="M52" s="660">
        <v>0</v>
      </c>
    </row>
    <row r="53" spans="1:13">
      <c r="A53" s="603">
        <v>0</v>
      </c>
      <c r="B53" s="601"/>
      <c r="C53" s="602" t="s">
        <v>3281</v>
      </c>
      <c r="E53" s="658">
        <v>0</v>
      </c>
      <c r="F53" s="658">
        <v>0</v>
      </c>
      <c r="G53" s="658">
        <v>0</v>
      </c>
      <c r="I53" s="658">
        <v>0</v>
      </c>
      <c r="J53" s="658">
        <v>0</v>
      </c>
      <c r="K53" s="658">
        <v>0</v>
      </c>
      <c r="M53" s="658">
        <v>0</v>
      </c>
    </row>
    <row r="54" spans="1:13">
      <c r="A54" s="603">
        <v>43</v>
      </c>
      <c r="B54" s="596">
        <v>43</v>
      </c>
      <c r="C54" s="597" t="s">
        <v>3282</v>
      </c>
      <c r="E54" s="659"/>
      <c r="F54" s="659">
        <v>0</v>
      </c>
      <c r="G54" s="659">
        <v>0</v>
      </c>
      <c r="I54" s="659"/>
      <c r="J54" s="659">
        <v>0</v>
      </c>
      <c r="K54" s="659">
        <v>0</v>
      </c>
      <c r="M54" s="659">
        <v>0</v>
      </c>
    </row>
    <row r="55" spans="1:13">
      <c r="A55" s="603">
        <v>44</v>
      </c>
      <c r="B55" s="588">
        <v>44</v>
      </c>
      <c r="C55" s="599" t="s">
        <v>3283</v>
      </c>
      <c r="E55" s="660"/>
      <c r="F55" s="660">
        <v>0</v>
      </c>
      <c r="G55" s="660">
        <v>0</v>
      </c>
      <c r="I55" s="660"/>
      <c r="J55" s="660">
        <v>0</v>
      </c>
      <c r="K55" s="660">
        <v>0</v>
      </c>
      <c r="M55" s="660">
        <v>0</v>
      </c>
    </row>
    <row r="56" spans="1:13">
      <c r="A56" s="603"/>
      <c r="B56" s="596">
        <v>45</v>
      </c>
      <c r="C56" s="597" t="s">
        <v>3284</v>
      </c>
      <c r="E56" s="659"/>
      <c r="F56" s="659">
        <v>0</v>
      </c>
      <c r="G56" s="659">
        <v>0</v>
      </c>
      <c r="I56" s="659"/>
      <c r="J56" s="659">
        <v>0</v>
      </c>
      <c r="K56" s="659">
        <v>0</v>
      </c>
      <c r="M56" s="659">
        <v>0</v>
      </c>
    </row>
    <row r="57" spans="1:13">
      <c r="A57" s="603"/>
      <c r="B57" s="588">
        <v>46</v>
      </c>
      <c r="C57" s="599" t="s">
        <v>3285</v>
      </c>
      <c r="E57" s="660"/>
      <c r="F57" s="660">
        <v>0</v>
      </c>
      <c r="G57" s="660">
        <v>0</v>
      </c>
      <c r="I57" s="660"/>
      <c r="J57" s="660">
        <v>0</v>
      </c>
      <c r="K57" s="660">
        <v>0</v>
      </c>
      <c r="M57" s="660">
        <v>0</v>
      </c>
    </row>
    <row r="58" spans="1:13">
      <c r="A58" s="603"/>
      <c r="B58" s="596">
        <v>47</v>
      </c>
      <c r="C58" s="597" t="s">
        <v>3286</v>
      </c>
      <c r="E58" s="659"/>
      <c r="F58" s="659">
        <v>0</v>
      </c>
      <c r="G58" s="659">
        <v>0</v>
      </c>
      <c r="I58" s="659"/>
      <c r="J58" s="659">
        <v>0</v>
      </c>
      <c r="K58" s="659">
        <v>0</v>
      </c>
      <c r="M58" s="659">
        <v>0</v>
      </c>
    </row>
    <row r="59" spans="1:13">
      <c r="A59" s="603"/>
      <c r="B59" s="588">
        <v>48</v>
      </c>
      <c r="C59" s="599" t="s">
        <v>3287</v>
      </c>
      <c r="E59" s="660"/>
      <c r="F59" s="660">
        <v>0</v>
      </c>
      <c r="G59" s="660">
        <v>0</v>
      </c>
      <c r="I59" s="660"/>
      <c r="J59" s="660">
        <v>0</v>
      </c>
      <c r="K59" s="660">
        <v>0</v>
      </c>
      <c r="M59" s="660">
        <v>0</v>
      </c>
    </row>
    <row r="60" spans="1:13">
      <c r="A60" s="603"/>
      <c r="B60" s="596">
        <v>49</v>
      </c>
      <c r="C60" s="597" t="s">
        <v>3288</v>
      </c>
      <c r="E60" s="659"/>
      <c r="F60" s="659">
        <v>0</v>
      </c>
      <c r="G60" s="659">
        <v>0</v>
      </c>
      <c r="I60" s="659"/>
      <c r="J60" s="659">
        <v>0</v>
      </c>
      <c r="K60" s="659">
        <v>0</v>
      </c>
      <c r="M60" s="659">
        <v>0</v>
      </c>
    </row>
    <row r="61" spans="1:13">
      <c r="A61" s="603"/>
      <c r="B61" s="588">
        <v>50</v>
      </c>
      <c r="C61" s="599" t="s">
        <v>3289</v>
      </c>
      <c r="E61" s="660"/>
      <c r="F61" s="660">
        <v>0</v>
      </c>
      <c r="G61" s="660">
        <v>0</v>
      </c>
      <c r="I61" s="660"/>
      <c r="J61" s="660">
        <v>0</v>
      </c>
      <c r="K61" s="660">
        <v>0</v>
      </c>
      <c r="M61" s="660">
        <v>0</v>
      </c>
    </row>
    <row r="62" spans="1:13">
      <c r="A62" s="603"/>
      <c r="B62" s="596">
        <v>51</v>
      </c>
      <c r="C62" s="597" t="s">
        <v>3218</v>
      </c>
      <c r="E62" s="659"/>
      <c r="F62" s="659">
        <v>0</v>
      </c>
      <c r="G62" s="659">
        <v>0</v>
      </c>
      <c r="I62" s="659"/>
      <c r="J62" s="659">
        <v>0</v>
      </c>
      <c r="K62" s="659">
        <v>0</v>
      </c>
      <c r="M62" s="659">
        <v>0</v>
      </c>
    </row>
    <row r="63" spans="1:13">
      <c r="A63" s="603">
        <v>0</v>
      </c>
      <c r="B63" s="601"/>
      <c r="C63" s="602" t="s">
        <v>3290</v>
      </c>
      <c r="E63" s="658">
        <v>0</v>
      </c>
      <c r="F63" s="658">
        <v>0</v>
      </c>
      <c r="G63" s="658">
        <v>0</v>
      </c>
      <c r="I63" s="658">
        <v>0</v>
      </c>
      <c r="J63" s="658">
        <v>0</v>
      </c>
      <c r="K63" s="658">
        <v>0</v>
      </c>
      <c r="M63" s="658">
        <v>0</v>
      </c>
    </row>
    <row r="64" spans="1:13">
      <c r="A64" s="603">
        <v>52</v>
      </c>
      <c r="B64" s="588">
        <v>52</v>
      </c>
      <c r="C64" s="599" t="s">
        <v>3222</v>
      </c>
      <c r="E64" s="660"/>
      <c r="F64" s="660">
        <v>0</v>
      </c>
      <c r="G64" s="660">
        <v>0</v>
      </c>
      <c r="I64" s="660"/>
      <c r="J64" s="660">
        <v>0</v>
      </c>
      <c r="K64" s="660">
        <v>0</v>
      </c>
      <c r="M64" s="660">
        <v>0</v>
      </c>
    </row>
    <row r="65" spans="1:13">
      <c r="A65" s="603">
        <v>53</v>
      </c>
      <c r="B65" s="596">
        <v>53</v>
      </c>
      <c r="C65" s="597" t="s">
        <v>3225</v>
      </c>
      <c r="E65" s="659"/>
      <c r="F65" s="659">
        <v>0</v>
      </c>
      <c r="G65" s="659">
        <v>0</v>
      </c>
      <c r="I65" s="659"/>
      <c r="J65" s="659">
        <v>0</v>
      </c>
      <c r="K65" s="659">
        <v>0</v>
      </c>
      <c r="M65" s="659">
        <v>0</v>
      </c>
    </row>
    <row r="66" spans="1:13">
      <c r="A66" s="603">
        <v>54</v>
      </c>
      <c r="B66" s="588">
        <v>54</v>
      </c>
      <c r="C66" s="599" t="s">
        <v>3291</v>
      </c>
      <c r="E66" s="660"/>
      <c r="F66" s="660">
        <v>0</v>
      </c>
      <c r="G66" s="660">
        <v>0</v>
      </c>
      <c r="I66" s="660"/>
      <c r="J66" s="660">
        <v>0</v>
      </c>
      <c r="K66" s="660">
        <v>0</v>
      </c>
      <c r="M66" s="660">
        <v>0</v>
      </c>
    </row>
    <row r="67" spans="1:13">
      <c r="A67" s="603"/>
      <c r="B67" s="601"/>
      <c r="C67" s="602" t="s">
        <v>3292</v>
      </c>
      <c r="E67" s="658">
        <v>0</v>
      </c>
      <c r="F67" s="658">
        <v>0</v>
      </c>
      <c r="G67" s="658">
        <v>0</v>
      </c>
      <c r="I67" s="658">
        <v>0</v>
      </c>
      <c r="J67" s="658">
        <v>0</v>
      </c>
      <c r="K67" s="658">
        <v>0</v>
      </c>
      <c r="M67" s="658">
        <v>0</v>
      </c>
    </row>
    <row r="68" spans="1:13">
      <c r="A68" s="603"/>
      <c r="B68" s="596">
        <v>55</v>
      </c>
      <c r="C68" s="597" t="s">
        <v>3231</v>
      </c>
      <c r="E68" s="659"/>
      <c r="F68" s="659">
        <v>0</v>
      </c>
      <c r="G68" s="659">
        <v>0</v>
      </c>
      <c r="I68" s="659"/>
      <c r="J68" s="659">
        <v>0</v>
      </c>
      <c r="K68" s="659">
        <v>0</v>
      </c>
      <c r="M68" s="659">
        <v>0</v>
      </c>
    </row>
    <row r="69" spans="1:13">
      <c r="A69" s="603"/>
      <c r="B69" s="588">
        <v>56</v>
      </c>
      <c r="C69" s="599" t="s">
        <v>3293</v>
      </c>
      <c r="E69" s="660"/>
      <c r="F69" s="660">
        <v>0</v>
      </c>
      <c r="G69" s="660">
        <v>0</v>
      </c>
      <c r="I69" s="660"/>
      <c r="J69" s="660">
        <v>0</v>
      </c>
      <c r="K69" s="660">
        <v>0</v>
      </c>
      <c r="M69" s="660">
        <v>0</v>
      </c>
    </row>
    <row r="70" spans="1:13">
      <c r="A70" s="603">
        <v>0</v>
      </c>
      <c r="B70" s="601"/>
      <c r="C70" s="602" t="s">
        <v>340</v>
      </c>
      <c r="E70" s="658">
        <v>0</v>
      </c>
      <c r="F70" s="658">
        <v>0</v>
      </c>
      <c r="G70" s="658">
        <v>0</v>
      </c>
      <c r="I70" s="658">
        <v>90720</v>
      </c>
      <c r="J70" s="658">
        <v>0</v>
      </c>
      <c r="K70" s="658">
        <v>90720</v>
      </c>
      <c r="M70" s="658">
        <v>-90720</v>
      </c>
    </row>
    <row r="71" spans="1:13">
      <c r="A71" s="603">
        <v>57</v>
      </c>
      <c r="B71" s="596">
        <v>57</v>
      </c>
      <c r="C71" s="597" t="s">
        <v>3294</v>
      </c>
      <c r="E71" s="659"/>
      <c r="F71" s="659">
        <v>0</v>
      </c>
      <c r="G71" s="659">
        <v>0</v>
      </c>
      <c r="I71" s="659">
        <v>90720</v>
      </c>
      <c r="J71" s="659">
        <v>0</v>
      </c>
      <c r="K71" s="659">
        <v>90720</v>
      </c>
      <c r="M71" s="659">
        <v>-90720</v>
      </c>
    </row>
    <row r="72" spans="1:13">
      <c r="A72" s="603">
        <v>0</v>
      </c>
      <c r="B72" s="601"/>
      <c r="C72" s="602" t="s">
        <v>3295</v>
      </c>
      <c r="E72" s="658">
        <v>0</v>
      </c>
      <c r="F72" s="658">
        <v>0</v>
      </c>
      <c r="G72" s="658">
        <v>0</v>
      </c>
      <c r="I72" s="658">
        <v>1658880</v>
      </c>
      <c r="J72" s="658">
        <v>0</v>
      </c>
      <c r="K72" s="658">
        <v>1658880</v>
      </c>
      <c r="M72" s="658">
        <v>-1658880</v>
      </c>
    </row>
    <row r="73" spans="1:13">
      <c r="A73" s="603">
        <v>58</v>
      </c>
      <c r="B73" s="588">
        <v>58</v>
      </c>
      <c r="C73" s="599" t="s">
        <v>3296</v>
      </c>
      <c r="E73" s="660"/>
      <c r="F73" s="660">
        <v>0</v>
      </c>
      <c r="G73" s="660">
        <v>0</v>
      </c>
      <c r="I73" s="660">
        <v>1658880</v>
      </c>
      <c r="J73" s="660">
        <v>0</v>
      </c>
      <c r="K73" s="660">
        <v>1658880</v>
      </c>
      <c r="M73" s="660">
        <v>-1658880</v>
      </c>
    </row>
    <row r="74" spans="1:13">
      <c r="A74" s="603"/>
      <c r="B74" s="601"/>
      <c r="C74" s="602" t="s">
        <v>3297</v>
      </c>
      <c r="E74" s="658">
        <v>0</v>
      </c>
      <c r="F74" s="658">
        <v>0</v>
      </c>
      <c r="G74" s="658">
        <v>0</v>
      </c>
      <c r="I74" s="658">
        <v>0</v>
      </c>
      <c r="J74" s="658">
        <v>0</v>
      </c>
      <c r="K74" s="658">
        <v>0</v>
      </c>
      <c r="M74" s="658">
        <v>0</v>
      </c>
    </row>
    <row r="75" spans="1:13">
      <c r="A75" s="603"/>
      <c r="B75" s="588">
        <v>59</v>
      </c>
      <c r="C75" s="599" t="s">
        <v>3298</v>
      </c>
      <c r="E75" s="660"/>
      <c r="F75" s="660">
        <v>0</v>
      </c>
      <c r="G75" s="660">
        <v>0</v>
      </c>
      <c r="I75" s="660"/>
      <c r="J75" s="660">
        <v>0</v>
      </c>
      <c r="K75" s="660">
        <v>0</v>
      </c>
      <c r="M75" s="660"/>
    </row>
    <row r="76" spans="1:13">
      <c r="A76" s="603"/>
      <c r="B76" s="601"/>
      <c r="C76" s="602" t="s">
        <v>3299</v>
      </c>
      <c r="E76" s="658">
        <v>0</v>
      </c>
      <c r="F76" s="658">
        <v>0</v>
      </c>
      <c r="G76" s="658">
        <v>0</v>
      </c>
      <c r="I76" s="658">
        <v>0</v>
      </c>
      <c r="J76" s="658">
        <v>0</v>
      </c>
      <c r="K76" s="658">
        <v>0</v>
      </c>
      <c r="M76" s="658">
        <v>0</v>
      </c>
    </row>
    <row r="77" spans="1:13">
      <c r="A77" s="603"/>
      <c r="B77" s="588">
        <v>60</v>
      </c>
      <c r="C77" s="599" t="s">
        <v>3300</v>
      </c>
      <c r="E77" s="660"/>
      <c r="F77" s="660">
        <v>0</v>
      </c>
      <c r="G77" s="660">
        <v>0</v>
      </c>
      <c r="I77" s="660"/>
      <c r="J77" s="660">
        <v>0</v>
      </c>
      <c r="K77" s="660">
        <v>0</v>
      </c>
      <c r="M77" s="660"/>
    </row>
    <row r="78" spans="1:13">
      <c r="A78" s="603"/>
      <c r="B78" s="601"/>
      <c r="C78" s="602" t="s">
        <v>3301</v>
      </c>
      <c r="E78" s="658">
        <v>0</v>
      </c>
      <c r="F78" s="658">
        <v>0</v>
      </c>
      <c r="G78" s="658">
        <v>0</v>
      </c>
      <c r="I78" s="658">
        <v>0</v>
      </c>
      <c r="J78" s="658">
        <v>0</v>
      </c>
      <c r="K78" s="658">
        <v>0</v>
      </c>
      <c r="M78" s="658">
        <v>0</v>
      </c>
    </row>
    <row r="79" spans="1:13">
      <c r="A79" s="603"/>
      <c r="B79" s="596">
        <v>61</v>
      </c>
      <c r="C79" s="597" t="s">
        <v>3302</v>
      </c>
      <c r="E79" s="659"/>
      <c r="F79" s="659"/>
      <c r="G79" s="659"/>
      <c r="I79" s="659"/>
      <c r="J79" s="659"/>
      <c r="K79" s="659"/>
      <c r="M79" s="659"/>
    </row>
  </sheetData>
  <mergeCells count="5">
    <mergeCell ref="B3:B4"/>
    <mergeCell ref="C3:C4"/>
    <mergeCell ref="E3:G3"/>
    <mergeCell ref="I3:K3"/>
    <mergeCell ref="M3:M4"/>
  </mergeCells>
  <hyperlinks>
    <hyperlink ref="A1" location="Sommaire!A1" display="Sommaire!A1" xr:uid="{00000000-0004-0000-2500-000000000000}"/>
  </hyperlinks>
  <pageMargins left="0.7" right="0.7" top="0.75" bottom="0.75" header="0.3" footer="0.3"/>
  <pageSetup paperSize="9" orientation="landscape"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M79"/>
  <sheetViews>
    <sheetView showGridLines="0" zoomScaleNormal="100" workbookViewId="0">
      <selection activeCell="B1" sqref="B1"/>
    </sheetView>
  </sheetViews>
  <sheetFormatPr baseColWidth="10" defaultColWidth="11.33203125" defaultRowHeight="12"/>
  <cols>
    <col min="1" max="1" width="10.1640625" style="588" bestFit="1" customWidth="1"/>
    <col min="2" max="2" width="19" style="588" bestFit="1" customWidth="1"/>
    <col min="3" max="3" width="54.5" style="605" bestFit="1" customWidth="1"/>
    <col min="4" max="4" width="0.6640625" style="590" customWidth="1"/>
    <col min="5" max="5" width="14" style="590" bestFit="1" customWidth="1"/>
    <col min="6" max="6" width="10.1640625" style="588" bestFit="1" customWidth="1"/>
    <col min="7" max="7" width="11.5" style="590" bestFit="1" customWidth="1"/>
    <col min="8" max="8" width="0.6640625" style="590" customWidth="1"/>
    <col min="9" max="9" width="11.5" style="590" bestFit="1" customWidth="1"/>
    <col min="10" max="10" width="10.6640625" style="590" bestFit="1" customWidth="1"/>
    <col min="11" max="11" width="11.5" style="590" bestFit="1" customWidth="1"/>
    <col min="12" max="12" width="0.6640625" style="590" customWidth="1"/>
    <col min="13" max="13" width="13.83203125" style="590" bestFit="1" customWidth="1"/>
    <col min="14" max="16384" width="11.33203125" style="590"/>
  </cols>
  <sheetData>
    <row r="1" spans="1:13" ht="14.5">
      <c r="A1" s="661" t="s">
        <v>140</v>
      </c>
      <c r="C1" s="589" t="s">
        <v>3249</v>
      </c>
      <c r="E1" s="591" t="s">
        <v>3247</v>
      </c>
      <c r="F1" s="607">
        <v>6501383</v>
      </c>
      <c r="G1" s="592"/>
      <c r="J1" s="592" t="s">
        <v>3251</v>
      </c>
      <c r="K1" s="592">
        <v>2023</v>
      </c>
    </row>
    <row r="2" spans="1:13">
      <c r="C2" s="593"/>
      <c r="F2" s="590"/>
      <c r="I2" s="590" t="s">
        <v>3252</v>
      </c>
      <c r="J2" s="594">
        <v>604.32574999999997</v>
      </c>
    </row>
    <row r="3" spans="1:13">
      <c r="B3" s="753" t="s">
        <v>143</v>
      </c>
      <c r="C3" s="754" t="s">
        <v>3253</v>
      </c>
      <c r="E3" s="755" t="s">
        <v>2084</v>
      </c>
      <c r="F3" s="755"/>
      <c r="G3" s="755"/>
      <c r="I3" s="755" t="s">
        <v>3254</v>
      </c>
      <c r="J3" s="755"/>
      <c r="K3" s="755"/>
      <c r="M3" s="756" t="s">
        <v>3255</v>
      </c>
    </row>
    <row r="4" spans="1:13">
      <c r="B4" s="753"/>
      <c r="C4" s="754"/>
      <c r="E4" s="595" t="s">
        <v>3256</v>
      </c>
      <c r="F4" s="595" t="s">
        <v>3257</v>
      </c>
      <c r="G4" s="595" t="s">
        <v>3258</v>
      </c>
      <c r="I4" s="595" t="s">
        <v>3256</v>
      </c>
      <c r="J4" s="595" t="s">
        <v>3257</v>
      </c>
      <c r="K4" s="595" t="s">
        <v>3258</v>
      </c>
      <c r="M4" s="756"/>
    </row>
    <row r="5" spans="1:13">
      <c r="B5" s="655" t="s">
        <v>3092</v>
      </c>
      <c r="C5" s="656"/>
      <c r="E5" s="657">
        <v>0</v>
      </c>
      <c r="F5" s="657">
        <v>0</v>
      </c>
      <c r="G5" s="657">
        <v>0</v>
      </c>
      <c r="I5" s="657">
        <v>0</v>
      </c>
      <c r="J5" s="657">
        <v>0</v>
      </c>
      <c r="K5" s="657">
        <v>0</v>
      </c>
      <c r="M5" s="657">
        <v>0</v>
      </c>
    </row>
    <row r="6" spans="1:13">
      <c r="B6" s="596">
        <v>1</v>
      </c>
      <c r="C6" s="597" t="s">
        <v>3259</v>
      </c>
      <c r="E6" s="598"/>
      <c r="F6" s="598">
        <v>0</v>
      </c>
      <c r="G6" s="598">
        <v>0</v>
      </c>
      <c r="I6" s="598"/>
      <c r="J6" s="598">
        <v>0</v>
      </c>
      <c r="K6" s="598">
        <v>0</v>
      </c>
      <c r="M6" s="598">
        <v>0</v>
      </c>
    </row>
    <row r="7" spans="1:13">
      <c r="B7" s="588">
        <v>2</v>
      </c>
      <c r="C7" s="599" t="s">
        <v>3260</v>
      </c>
      <c r="E7" s="600"/>
      <c r="F7" s="600">
        <v>0</v>
      </c>
      <c r="G7" s="600">
        <v>0</v>
      </c>
      <c r="I7" s="600"/>
      <c r="J7" s="600">
        <v>0</v>
      </c>
      <c r="K7" s="600">
        <v>0</v>
      </c>
      <c r="M7" s="600">
        <v>0</v>
      </c>
    </row>
    <row r="8" spans="1:13">
      <c r="B8" s="655" t="s">
        <v>3101</v>
      </c>
      <c r="C8" s="656"/>
      <c r="E8" s="657">
        <v>696053333.96375</v>
      </c>
      <c r="F8" s="657">
        <v>0</v>
      </c>
      <c r="G8" s="657">
        <v>696053333.96375</v>
      </c>
      <c r="I8" s="657">
        <v>665334116</v>
      </c>
      <c r="J8" s="657">
        <v>31295008.963749997</v>
      </c>
      <c r="K8" s="657">
        <v>696629124.96375</v>
      </c>
      <c r="M8" s="657">
        <v>-575791</v>
      </c>
    </row>
    <row r="9" spans="1:13">
      <c r="B9" s="601"/>
      <c r="C9" s="602" t="s">
        <v>1244</v>
      </c>
      <c r="E9" s="658">
        <v>0</v>
      </c>
      <c r="F9" s="658">
        <v>0</v>
      </c>
      <c r="G9" s="658">
        <v>0</v>
      </c>
      <c r="I9" s="658">
        <v>0</v>
      </c>
      <c r="J9" s="658">
        <v>0</v>
      </c>
      <c r="K9" s="658">
        <v>0</v>
      </c>
      <c r="M9" s="658">
        <v>0</v>
      </c>
    </row>
    <row r="10" spans="1:13">
      <c r="A10" s="603">
        <v>3</v>
      </c>
      <c r="B10" s="596">
        <v>3</v>
      </c>
      <c r="C10" s="597" t="s">
        <v>3261</v>
      </c>
      <c r="E10" s="659"/>
      <c r="F10" s="659">
        <v>0</v>
      </c>
      <c r="G10" s="659">
        <v>0</v>
      </c>
      <c r="I10" s="659"/>
      <c r="J10" s="659">
        <v>0</v>
      </c>
      <c r="K10" s="659">
        <v>0</v>
      </c>
      <c r="M10" s="659">
        <v>0</v>
      </c>
    </row>
    <row r="11" spans="1:13">
      <c r="A11" s="603">
        <v>4</v>
      </c>
      <c r="B11" s="588">
        <v>4</v>
      </c>
      <c r="C11" s="599" t="s">
        <v>3106</v>
      </c>
      <c r="E11" s="660"/>
      <c r="F11" s="660">
        <v>0</v>
      </c>
      <c r="G11" s="660">
        <v>0</v>
      </c>
      <c r="I11" s="660"/>
      <c r="J11" s="660">
        <v>0</v>
      </c>
      <c r="K11" s="660">
        <v>0</v>
      </c>
      <c r="M11" s="660">
        <v>0</v>
      </c>
    </row>
    <row r="12" spans="1:13">
      <c r="A12" s="603">
        <v>5</v>
      </c>
      <c r="B12" s="596">
        <v>5</v>
      </c>
      <c r="C12" s="597" t="s">
        <v>3262</v>
      </c>
      <c r="E12" s="659"/>
      <c r="F12" s="659">
        <v>0</v>
      </c>
      <c r="G12" s="659">
        <v>0</v>
      </c>
      <c r="I12" s="659"/>
      <c r="J12" s="659">
        <v>0</v>
      </c>
      <c r="K12" s="659">
        <v>0</v>
      </c>
      <c r="M12" s="659">
        <v>0</v>
      </c>
    </row>
    <row r="13" spans="1:13">
      <c r="A13" s="603">
        <v>6</v>
      </c>
      <c r="B13" s="588">
        <v>6</v>
      </c>
      <c r="C13" s="599" t="s">
        <v>3263</v>
      </c>
      <c r="E13" s="660"/>
      <c r="F13" s="660">
        <v>0</v>
      </c>
      <c r="G13" s="660">
        <v>0</v>
      </c>
      <c r="I13" s="660"/>
      <c r="J13" s="660">
        <v>0</v>
      </c>
      <c r="K13" s="660">
        <v>0</v>
      </c>
      <c r="M13" s="660">
        <v>0</v>
      </c>
    </row>
    <row r="14" spans="1:13">
      <c r="A14" s="603">
        <v>7</v>
      </c>
      <c r="B14" s="596">
        <v>7</v>
      </c>
      <c r="C14" s="597" t="s">
        <v>3114</v>
      </c>
      <c r="E14" s="659"/>
      <c r="F14" s="659">
        <v>0</v>
      </c>
      <c r="G14" s="659">
        <v>0</v>
      </c>
      <c r="I14" s="659"/>
      <c r="J14" s="659">
        <v>0</v>
      </c>
      <c r="K14" s="659">
        <v>0</v>
      </c>
      <c r="M14" s="659">
        <v>0</v>
      </c>
    </row>
    <row r="15" spans="1:13">
      <c r="A15" s="603">
        <v>0</v>
      </c>
      <c r="B15" s="601"/>
      <c r="C15" s="602" t="s">
        <v>1253</v>
      </c>
      <c r="E15" s="658">
        <v>696053333.96375</v>
      </c>
      <c r="F15" s="658">
        <v>0</v>
      </c>
      <c r="G15" s="658">
        <v>696053333.96375</v>
      </c>
      <c r="I15" s="658">
        <v>665177330</v>
      </c>
      <c r="J15" s="658">
        <v>31295008.963749997</v>
      </c>
      <c r="K15" s="658">
        <v>696472338.96375</v>
      </c>
      <c r="M15" s="658">
        <v>-419005</v>
      </c>
    </row>
    <row r="16" spans="1:13">
      <c r="A16" s="603">
        <v>8</v>
      </c>
      <c r="B16" s="588">
        <v>8</v>
      </c>
      <c r="C16" s="599" t="s">
        <v>3264</v>
      </c>
      <c r="E16" s="660"/>
      <c r="F16" s="660">
        <v>0</v>
      </c>
      <c r="G16" s="660">
        <v>0</v>
      </c>
      <c r="I16" s="660"/>
      <c r="J16" s="660">
        <v>0</v>
      </c>
      <c r="K16" s="660">
        <v>0</v>
      </c>
      <c r="M16" s="660">
        <v>0</v>
      </c>
    </row>
    <row r="17" spans="1:13">
      <c r="A17" s="603">
        <v>9</v>
      </c>
      <c r="B17" s="596">
        <v>9</v>
      </c>
      <c r="C17" s="597" t="s">
        <v>3265</v>
      </c>
      <c r="E17" s="659"/>
      <c r="F17" s="659">
        <v>0</v>
      </c>
      <c r="G17" s="659">
        <v>0</v>
      </c>
      <c r="I17" s="659"/>
      <c r="J17" s="659">
        <v>0</v>
      </c>
      <c r="K17" s="659">
        <v>0</v>
      </c>
      <c r="M17" s="659">
        <v>0</v>
      </c>
    </row>
    <row r="18" spans="1:13">
      <c r="A18" s="603"/>
      <c r="B18" s="588">
        <v>10</v>
      </c>
      <c r="C18" s="599" t="s">
        <v>3122</v>
      </c>
      <c r="E18" s="660">
        <v>664758325</v>
      </c>
      <c r="F18" s="660">
        <v>0</v>
      </c>
      <c r="G18" s="660">
        <v>664758325</v>
      </c>
      <c r="I18" s="660">
        <v>665177330</v>
      </c>
      <c r="J18" s="660">
        <v>0</v>
      </c>
      <c r="K18" s="660">
        <v>665177330</v>
      </c>
      <c r="M18" s="660">
        <v>-419005</v>
      </c>
    </row>
    <row r="19" spans="1:13">
      <c r="A19" s="603">
        <v>11</v>
      </c>
      <c r="B19" s="596">
        <v>11</v>
      </c>
      <c r="C19" s="597" t="s">
        <v>3124</v>
      </c>
      <c r="E19" s="659"/>
      <c r="F19" s="659">
        <v>0</v>
      </c>
      <c r="G19" s="659">
        <v>0</v>
      </c>
      <c r="I19" s="659"/>
      <c r="J19" s="659">
        <v>0</v>
      </c>
      <c r="K19" s="659">
        <v>0</v>
      </c>
      <c r="M19" s="659">
        <v>0</v>
      </c>
    </row>
    <row r="20" spans="1:13">
      <c r="A20" s="603">
        <v>12</v>
      </c>
      <c r="B20" s="588">
        <v>12</v>
      </c>
      <c r="C20" s="599" t="s">
        <v>3266</v>
      </c>
      <c r="E20" s="660"/>
      <c r="F20" s="660">
        <v>0</v>
      </c>
      <c r="G20" s="660">
        <v>0</v>
      </c>
      <c r="I20" s="660"/>
      <c r="J20" s="660">
        <v>0</v>
      </c>
      <c r="K20" s="660">
        <v>0</v>
      </c>
      <c r="M20" s="660">
        <v>0</v>
      </c>
    </row>
    <row r="21" spans="1:13">
      <c r="A21" s="603">
        <v>13</v>
      </c>
      <c r="B21" s="596">
        <v>13</v>
      </c>
      <c r="C21" s="597" t="s">
        <v>3267</v>
      </c>
      <c r="E21" s="659">
        <v>31295008.963749997</v>
      </c>
      <c r="F21" s="659">
        <v>0</v>
      </c>
      <c r="G21" s="659">
        <v>31295008.963749997</v>
      </c>
      <c r="I21" s="659"/>
      <c r="J21" s="659">
        <v>31295008.963749997</v>
      </c>
      <c r="K21" s="659">
        <v>31295008.963749997</v>
      </c>
      <c r="M21" s="659">
        <v>0</v>
      </c>
    </row>
    <row r="22" spans="1:13">
      <c r="A22" s="603">
        <v>14</v>
      </c>
      <c r="B22" s="588">
        <v>14</v>
      </c>
      <c r="C22" s="599" t="s">
        <v>3268</v>
      </c>
      <c r="E22" s="660"/>
      <c r="F22" s="660">
        <v>0</v>
      </c>
      <c r="G22" s="660">
        <v>0</v>
      </c>
      <c r="I22" s="660"/>
      <c r="J22" s="660">
        <v>0</v>
      </c>
      <c r="K22" s="660">
        <v>0</v>
      </c>
      <c r="M22" s="660">
        <v>0</v>
      </c>
    </row>
    <row r="23" spans="1:13">
      <c r="A23" s="603">
        <v>15</v>
      </c>
      <c r="B23" s="596">
        <v>15</v>
      </c>
      <c r="C23" s="597" t="s">
        <v>3133</v>
      </c>
      <c r="E23" s="659"/>
      <c r="F23" s="659">
        <v>0</v>
      </c>
      <c r="G23" s="659">
        <v>0</v>
      </c>
      <c r="I23" s="659"/>
      <c r="J23" s="659">
        <v>0</v>
      </c>
      <c r="K23" s="659">
        <v>0</v>
      </c>
      <c r="M23" s="659">
        <v>0</v>
      </c>
    </row>
    <row r="24" spans="1:13">
      <c r="A24" s="603">
        <v>16</v>
      </c>
      <c r="B24" s="588">
        <v>16</v>
      </c>
      <c r="C24" s="599" t="s">
        <v>3136</v>
      </c>
      <c r="E24" s="660"/>
      <c r="F24" s="660">
        <v>0</v>
      </c>
      <c r="G24" s="660">
        <v>0</v>
      </c>
      <c r="I24" s="660"/>
      <c r="J24" s="660">
        <v>0</v>
      </c>
      <c r="K24" s="660">
        <v>0</v>
      </c>
      <c r="M24" s="660">
        <v>0</v>
      </c>
    </row>
    <row r="25" spans="1:13">
      <c r="A25" s="603">
        <v>0</v>
      </c>
      <c r="B25" s="601"/>
      <c r="C25" s="602" t="s">
        <v>3269</v>
      </c>
      <c r="E25" s="658">
        <v>0</v>
      </c>
      <c r="F25" s="658">
        <v>0</v>
      </c>
      <c r="G25" s="658">
        <v>0</v>
      </c>
      <c r="I25" s="658">
        <v>0</v>
      </c>
      <c r="J25" s="658">
        <v>0</v>
      </c>
      <c r="K25" s="658">
        <v>0</v>
      </c>
      <c r="M25" s="658">
        <v>0</v>
      </c>
    </row>
    <row r="26" spans="1:13">
      <c r="A26" s="603">
        <v>17</v>
      </c>
      <c r="B26" s="596">
        <v>17</v>
      </c>
      <c r="C26" s="597" t="s">
        <v>3270</v>
      </c>
      <c r="E26" s="659"/>
      <c r="F26" s="659">
        <v>0</v>
      </c>
      <c r="G26" s="659">
        <v>0</v>
      </c>
      <c r="I26" s="659"/>
      <c r="J26" s="659">
        <v>0</v>
      </c>
      <c r="K26" s="659">
        <v>0</v>
      </c>
      <c r="M26" s="659">
        <v>0</v>
      </c>
    </row>
    <row r="27" spans="1:13">
      <c r="A27" s="603">
        <v>18</v>
      </c>
      <c r="B27" s="588">
        <v>18</v>
      </c>
      <c r="C27" s="599" t="s">
        <v>3141</v>
      </c>
      <c r="E27" s="660"/>
      <c r="F27" s="660">
        <v>0</v>
      </c>
      <c r="G27" s="660">
        <v>0</v>
      </c>
      <c r="I27" s="660"/>
      <c r="J27" s="660">
        <v>0</v>
      </c>
      <c r="K27" s="660">
        <v>0</v>
      </c>
      <c r="M27" s="660">
        <v>0</v>
      </c>
    </row>
    <row r="28" spans="1:13">
      <c r="A28" s="603">
        <v>19</v>
      </c>
      <c r="B28" s="596">
        <v>19</v>
      </c>
      <c r="C28" s="597" t="s">
        <v>3144</v>
      </c>
      <c r="E28" s="659"/>
      <c r="F28" s="659">
        <v>0</v>
      </c>
      <c r="G28" s="659">
        <v>0</v>
      </c>
      <c r="I28" s="659"/>
      <c r="J28" s="659">
        <v>0</v>
      </c>
      <c r="K28" s="659">
        <v>0</v>
      </c>
      <c r="M28" s="659">
        <v>0</v>
      </c>
    </row>
    <row r="29" spans="1:13">
      <c r="A29" s="603">
        <v>20</v>
      </c>
      <c r="B29" s="588">
        <v>20</v>
      </c>
      <c r="C29" s="599" t="s">
        <v>3147</v>
      </c>
      <c r="E29" s="660"/>
      <c r="F29" s="660">
        <v>0</v>
      </c>
      <c r="G29" s="660">
        <v>0</v>
      </c>
      <c r="I29" s="660"/>
      <c r="J29" s="660">
        <v>0</v>
      </c>
      <c r="K29" s="660">
        <v>0</v>
      </c>
      <c r="M29" s="660">
        <v>0</v>
      </c>
    </row>
    <row r="30" spans="1:13">
      <c r="A30" s="603">
        <v>21</v>
      </c>
      <c r="B30" s="596">
        <v>21</v>
      </c>
      <c r="C30" s="597" t="s">
        <v>3271</v>
      </c>
      <c r="E30" s="659"/>
      <c r="F30" s="659">
        <v>0</v>
      </c>
      <c r="G30" s="659">
        <v>0</v>
      </c>
      <c r="I30" s="659"/>
      <c r="J30" s="659">
        <v>0</v>
      </c>
      <c r="K30" s="659">
        <v>0</v>
      </c>
      <c r="M30" s="659">
        <v>0</v>
      </c>
    </row>
    <row r="31" spans="1:13">
      <c r="A31" s="603">
        <v>22</v>
      </c>
      <c r="B31" s="588">
        <v>22</v>
      </c>
      <c r="C31" s="599" t="s">
        <v>3272</v>
      </c>
      <c r="E31" s="660"/>
      <c r="F31" s="660">
        <v>0</v>
      </c>
      <c r="G31" s="660">
        <v>0</v>
      </c>
      <c r="I31" s="660"/>
      <c r="J31" s="660">
        <v>0</v>
      </c>
      <c r="K31" s="660">
        <v>0</v>
      </c>
      <c r="M31" s="660">
        <v>0</v>
      </c>
    </row>
    <row r="32" spans="1:13">
      <c r="A32" s="603">
        <v>23</v>
      </c>
      <c r="B32" s="596">
        <v>23</v>
      </c>
      <c r="C32" s="597" t="s">
        <v>3273</v>
      </c>
      <c r="E32" s="659"/>
      <c r="F32" s="659">
        <v>0</v>
      </c>
      <c r="G32" s="659">
        <v>0</v>
      </c>
      <c r="I32" s="659"/>
      <c r="J32" s="659">
        <v>0</v>
      </c>
      <c r="K32" s="659">
        <v>0</v>
      </c>
      <c r="M32" s="659">
        <v>0</v>
      </c>
    </row>
    <row r="33" spans="1:13">
      <c r="A33" s="603">
        <v>24</v>
      </c>
      <c r="B33" s="588">
        <v>24</v>
      </c>
      <c r="C33" s="599" t="s">
        <v>3158</v>
      </c>
      <c r="E33" s="660"/>
      <c r="F33" s="660">
        <v>0</v>
      </c>
      <c r="G33" s="660">
        <v>0</v>
      </c>
      <c r="I33" s="660"/>
      <c r="J33" s="660">
        <v>0</v>
      </c>
      <c r="K33" s="660">
        <v>0</v>
      </c>
      <c r="M33" s="660">
        <v>0</v>
      </c>
    </row>
    <row r="34" spans="1:13" s="604" customFormat="1">
      <c r="A34" s="603">
        <v>25</v>
      </c>
      <c r="B34" s="596">
        <v>25</v>
      </c>
      <c r="C34" s="597" t="s">
        <v>3274</v>
      </c>
      <c r="D34" s="590"/>
      <c r="E34" s="659"/>
      <c r="F34" s="659">
        <v>0</v>
      </c>
      <c r="G34" s="659">
        <v>0</v>
      </c>
      <c r="H34" s="590"/>
      <c r="I34" s="659"/>
      <c r="J34" s="659">
        <v>0</v>
      </c>
      <c r="K34" s="659">
        <v>0</v>
      </c>
      <c r="L34" s="590"/>
      <c r="M34" s="659">
        <v>0</v>
      </c>
    </row>
    <row r="35" spans="1:13">
      <c r="A35" s="603">
        <v>26</v>
      </c>
      <c r="B35" s="588">
        <v>26</v>
      </c>
      <c r="C35" s="599" t="s">
        <v>3275</v>
      </c>
      <c r="E35" s="660"/>
      <c r="F35" s="660">
        <v>0</v>
      </c>
      <c r="G35" s="660">
        <v>0</v>
      </c>
      <c r="I35" s="660"/>
      <c r="J35" s="660">
        <v>0</v>
      </c>
      <c r="K35" s="660">
        <v>0</v>
      </c>
      <c r="M35" s="660">
        <v>0</v>
      </c>
    </row>
    <row r="36" spans="1:13">
      <c r="A36" s="603">
        <v>0</v>
      </c>
      <c r="B36" s="601"/>
      <c r="C36" s="602" t="s">
        <v>3276</v>
      </c>
      <c r="E36" s="658">
        <v>0</v>
      </c>
      <c r="F36" s="658">
        <v>0</v>
      </c>
      <c r="G36" s="658">
        <v>0</v>
      </c>
      <c r="I36" s="658">
        <v>0</v>
      </c>
      <c r="J36" s="658">
        <v>0</v>
      </c>
      <c r="K36" s="658">
        <v>0</v>
      </c>
      <c r="M36" s="658">
        <v>0</v>
      </c>
    </row>
    <row r="37" spans="1:13">
      <c r="A37" s="603">
        <v>27</v>
      </c>
      <c r="B37" s="596">
        <v>27</v>
      </c>
      <c r="C37" s="597" t="s">
        <v>3164</v>
      </c>
      <c r="E37" s="659"/>
      <c r="F37" s="659">
        <v>0</v>
      </c>
      <c r="G37" s="659">
        <v>0</v>
      </c>
      <c r="I37" s="659"/>
      <c r="J37" s="659">
        <v>0</v>
      </c>
      <c r="K37" s="659">
        <v>0</v>
      </c>
      <c r="M37" s="659">
        <v>0</v>
      </c>
    </row>
    <row r="38" spans="1:13">
      <c r="A38" s="603">
        <v>28</v>
      </c>
      <c r="B38" s="588">
        <v>28</v>
      </c>
      <c r="C38" s="599" t="s">
        <v>3167</v>
      </c>
      <c r="E38" s="660"/>
      <c r="F38" s="660">
        <v>0</v>
      </c>
      <c r="G38" s="660">
        <v>0</v>
      </c>
      <c r="I38" s="660"/>
      <c r="J38" s="660">
        <v>0</v>
      </c>
      <c r="K38" s="660">
        <v>0</v>
      </c>
      <c r="M38" s="660">
        <v>0</v>
      </c>
    </row>
    <row r="39" spans="1:13">
      <c r="A39" s="603">
        <v>29</v>
      </c>
      <c r="B39" s="596">
        <v>29</v>
      </c>
      <c r="C39" s="597" t="s">
        <v>3170</v>
      </c>
      <c r="E39" s="659"/>
      <c r="F39" s="659">
        <v>0</v>
      </c>
      <c r="G39" s="659">
        <v>0</v>
      </c>
      <c r="I39" s="659"/>
      <c r="J39" s="659">
        <v>0</v>
      </c>
      <c r="K39" s="659">
        <v>0</v>
      </c>
      <c r="M39" s="659">
        <v>0</v>
      </c>
    </row>
    <row r="40" spans="1:13">
      <c r="A40" s="603">
        <v>30</v>
      </c>
      <c r="B40" s="588">
        <v>30</v>
      </c>
      <c r="C40" s="599" t="s">
        <v>3173</v>
      </c>
      <c r="E40" s="660"/>
      <c r="F40" s="660">
        <v>0</v>
      </c>
      <c r="G40" s="660">
        <v>0</v>
      </c>
      <c r="I40" s="660"/>
      <c r="J40" s="660">
        <v>0</v>
      </c>
      <c r="K40" s="660">
        <v>0</v>
      </c>
      <c r="M40" s="660">
        <v>0</v>
      </c>
    </row>
    <row r="41" spans="1:13">
      <c r="A41" s="603">
        <v>31</v>
      </c>
      <c r="B41" s="596">
        <v>31</v>
      </c>
      <c r="C41" s="597" t="s">
        <v>3176</v>
      </c>
      <c r="E41" s="659"/>
      <c r="F41" s="659">
        <v>0</v>
      </c>
      <c r="G41" s="659">
        <v>0</v>
      </c>
      <c r="I41" s="659"/>
      <c r="J41" s="659">
        <v>0</v>
      </c>
      <c r="K41" s="659">
        <v>0</v>
      </c>
      <c r="M41" s="659">
        <v>0</v>
      </c>
    </row>
    <row r="42" spans="1:13">
      <c r="A42" s="603">
        <v>32</v>
      </c>
      <c r="B42" s="588">
        <v>32</v>
      </c>
      <c r="C42" s="599" t="s">
        <v>3178</v>
      </c>
      <c r="E42" s="660"/>
      <c r="F42" s="660">
        <v>0</v>
      </c>
      <c r="G42" s="660">
        <v>0</v>
      </c>
      <c r="I42" s="660"/>
      <c r="J42" s="660">
        <v>0</v>
      </c>
      <c r="K42" s="660">
        <v>0</v>
      </c>
      <c r="M42" s="660">
        <v>0</v>
      </c>
    </row>
    <row r="43" spans="1:13">
      <c r="A43" s="603">
        <v>33</v>
      </c>
      <c r="B43" s="596">
        <v>33</v>
      </c>
      <c r="C43" s="597" t="s">
        <v>3181</v>
      </c>
      <c r="E43" s="659"/>
      <c r="F43" s="659">
        <v>0</v>
      </c>
      <c r="G43" s="659">
        <v>0</v>
      </c>
      <c r="I43" s="659"/>
      <c r="J43" s="659">
        <v>0</v>
      </c>
      <c r="K43" s="659">
        <v>0</v>
      </c>
      <c r="M43" s="659">
        <v>0</v>
      </c>
    </row>
    <row r="44" spans="1:13">
      <c r="A44" s="603">
        <v>34</v>
      </c>
      <c r="B44" s="588">
        <v>34</v>
      </c>
      <c r="C44" s="599" t="s">
        <v>3184</v>
      </c>
      <c r="E44" s="660"/>
      <c r="F44" s="660">
        <v>0</v>
      </c>
      <c r="G44" s="660">
        <v>0</v>
      </c>
      <c r="I44" s="660"/>
      <c r="J44" s="660">
        <v>0</v>
      </c>
      <c r="K44" s="660">
        <v>0</v>
      </c>
      <c r="M44" s="660">
        <v>0</v>
      </c>
    </row>
    <row r="45" spans="1:13">
      <c r="A45" s="603">
        <v>35</v>
      </c>
      <c r="B45" s="596">
        <v>35</v>
      </c>
      <c r="C45" s="597" t="s">
        <v>3186</v>
      </c>
      <c r="E45" s="659"/>
      <c r="F45" s="659">
        <v>0</v>
      </c>
      <c r="G45" s="659">
        <v>0</v>
      </c>
      <c r="I45" s="659"/>
      <c r="J45" s="659">
        <v>0</v>
      </c>
      <c r="K45" s="659">
        <v>0</v>
      </c>
      <c r="M45" s="659">
        <v>0</v>
      </c>
    </row>
    <row r="46" spans="1:13">
      <c r="A46" s="603">
        <v>36</v>
      </c>
      <c r="B46" s="588">
        <v>36</v>
      </c>
      <c r="C46" s="599" t="s">
        <v>3189</v>
      </c>
      <c r="E46" s="660"/>
      <c r="F46" s="660">
        <v>0</v>
      </c>
      <c r="G46" s="660">
        <v>0</v>
      </c>
      <c r="I46" s="660"/>
      <c r="J46" s="660">
        <v>0</v>
      </c>
      <c r="K46" s="660">
        <v>0</v>
      </c>
      <c r="M46" s="660">
        <v>0</v>
      </c>
    </row>
    <row r="47" spans="1:13">
      <c r="A47" s="603">
        <v>37</v>
      </c>
      <c r="B47" s="596">
        <v>37</v>
      </c>
      <c r="C47" s="597" t="s">
        <v>3277</v>
      </c>
      <c r="E47" s="659"/>
      <c r="F47" s="659">
        <v>0</v>
      </c>
      <c r="G47" s="659">
        <v>0</v>
      </c>
      <c r="I47" s="659"/>
      <c r="J47" s="659">
        <v>0</v>
      </c>
      <c r="K47" s="659">
        <v>0</v>
      </c>
      <c r="M47" s="659">
        <v>0</v>
      </c>
    </row>
    <row r="48" spans="1:13">
      <c r="A48" s="603">
        <v>38</v>
      </c>
      <c r="B48" s="588">
        <v>38</v>
      </c>
      <c r="C48" s="599" t="s">
        <v>3278</v>
      </c>
      <c r="E48" s="660"/>
      <c r="F48" s="660">
        <v>0</v>
      </c>
      <c r="G48" s="660">
        <v>0</v>
      </c>
      <c r="I48" s="660"/>
      <c r="J48" s="660">
        <v>0</v>
      </c>
      <c r="K48" s="660">
        <v>0</v>
      </c>
      <c r="M48" s="660">
        <v>0</v>
      </c>
    </row>
    <row r="49" spans="1:13">
      <c r="A49" s="603">
        <v>39</v>
      </c>
      <c r="B49" s="596">
        <v>39</v>
      </c>
      <c r="C49" s="597" t="s">
        <v>3195</v>
      </c>
      <c r="E49" s="659"/>
      <c r="F49" s="659">
        <v>0</v>
      </c>
      <c r="G49" s="659">
        <v>0</v>
      </c>
      <c r="I49" s="659"/>
      <c r="J49" s="659">
        <v>0</v>
      </c>
      <c r="K49" s="659">
        <v>0</v>
      </c>
      <c r="M49" s="659">
        <v>0</v>
      </c>
    </row>
    <row r="50" spans="1:13">
      <c r="A50" s="603">
        <v>40</v>
      </c>
      <c r="B50" s="588">
        <v>40</v>
      </c>
      <c r="C50" s="599" t="s">
        <v>3198</v>
      </c>
      <c r="E50" s="660"/>
      <c r="F50" s="660">
        <v>0</v>
      </c>
      <c r="G50" s="660">
        <v>0</v>
      </c>
      <c r="I50" s="660"/>
      <c r="J50" s="660">
        <v>0</v>
      </c>
      <c r="K50" s="660">
        <v>0</v>
      </c>
      <c r="M50" s="660">
        <v>0</v>
      </c>
    </row>
    <row r="51" spans="1:13">
      <c r="A51" s="603">
        <v>41</v>
      </c>
      <c r="B51" s="596">
        <v>41</v>
      </c>
      <c r="C51" s="597" t="s">
        <v>3279</v>
      </c>
      <c r="E51" s="659"/>
      <c r="F51" s="659">
        <v>0</v>
      </c>
      <c r="G51" s="659">
        <v>0</v>
      </c>
      <c r="I51" s="659"/>
      <c r="J51" s="659">
        <v>0</v>
      </c>
      <c r="K51" s="659">
        <v>0</v>
      </c>
      <c r="M51" s="659">
        <v>0</v>
      </c>
    </row>
    <row r="52" spans="1:13">
      <c r="A52" s="603"/>
      <c r="B52" s="588">
        <v>42</v>
      </c>
      <c r="C52" s="599" t="s">
        <v>3280</v>
      </c>
      <c r="E52" s="660"/>
      <c r="F52" s="660">
        <v>0</v>
      </c>
      <c r="G52" s="660">
        <v>0</v>
      </c>
      <c r="I52" s="660"/>
      <c r="J52" s="660">
        <v>0</v>
      </c>
      <c r="K52" s="660">
        <v>0</v>
      </c>
      <c r="M52" s="660">
        <v>0</v>
      </c>
    </row>
    <row r="53" spans="1:13">
      <c r="A53" s="603">
        <v>0</v>
      </c>
      <c r="B53" s="601"/>
      <c r="C53" s="602" t="s">
        <v>3281</v>
      </c>
      <c r="E53" s="658">
        <v>0</v>
      </c>
      <c r="F53" s="658">
        <v>0</v>
      </c>
      <c r="G53" s="658">
        <v>0</v>
      </c>
      <c r="I53" s="658">
        <v>156786</v>
      </c>
      <c r="J53" s="658">
        <v>0</v>
      </c>
      <c r="K53" s="658">
        <v>156786</v>
      </c>
      <c r="M53" s="658">
        <v>-156786</v>
      </c>
    </row>
    <row r="54" spans="1:13">
      <c r="A54" s="603">
        <v>43</v>
      </c>
      <c r="B54" s="596">
        <v>43</v>
      </c>
      <c r="C54" s="597" t="s">
        <v>3282</v>
      </c>
      <c r="E54" s="659"/>
      <c r="F54" s="659">
        <v>0</v>
      </c>
      <c r="G54" s="659">
        <v>0</v>
      </c>
      <c r="I54" s="659">
        <v>75919</v>
      </c>
      <c r="J54" s="659">
        <v>0</v>
      </c>
      <c r="K54" s="659">
        <v>75919</v>
      </c>
      <c r="M54" s="659">
        <v>-75919</v>
      </c>
    </row>
    <row r="55" spans="1:13">
      <c r="A55" s="603">
        <v>44</v>
      </c>
      <c r="B55" s="588">
        <v>44</v>
      </c>
      <c r="C55" s="599" t="s">
        <v>3283</v>
      </c>
      <c r="E55" s="660"/>
      <c r="F55" s="660">
        <v>0</v>
      </c>
      <c r="G55" s="660">
        <v>0</v>
      </c>
      <c r="I55" s="660">
        <v>7976</v>
      </c>
      <c r="J55" s="660">
        <v>0</v>
      </c>
      <c r="K55" s="660">
        <v>7976</v>
      </c>
      <c r="M55" s="660">
        <v>-7976</v>
      </c>
    </row>
    <row r="56" spans="1:13">
      <c r="A56" s="603"/>
      <c r="B56" s="596">
        <v>45</v>
      </c>
      <c r="C56" s="597" t="s">
        <v>3284</v>
      </c>
      <c r="E56" s="659"/>
      <c r="F56" s="659">
        <v>0</v>
      </c>
      <c r="G56" s="659">
        <v>0</v>
      </c>
      <c r="I56" s="659">
        <v>9970</v>
      </c>
      <c r="J56" s="659">
        <v>0</v>
      </c>
      <c r="K56" s="659">
        <v>9970</v>
      </c>
      <c r="M56" s="659">
        <v>-9970</v>
      </c>
    </row>
    <row r="57" spans="1:13">
      <c r="A57" s="603"/>
      <c r="B57" s="588">
        <v>46</v>
      </c>
      <c r="C57" s="599" t="s">
        <v>3285</v>
      </c>
      <c r="E57" s="660"/>
      <c r="F57" s="660">
        <v>0</v>
      </c>
      <c r="G57" s="660">
        <v>0</v>
      </c>
      <c r="I57" s="660">
        <v>37997</v>
      </c>
      <c r="J57" s="660">
        <v>0</v>
      </c>
      <c r="K57" s="660">
        <v>37997</v>
      </c>
      <c r="M57" s="660">
        <v>-37997</v>
      </c>
    </row>
    <row r="58" spans="1:13">
      <c r="A58" s="603"/>
      <c r="B58" s="596">
        <v>47</v>
      </c>
      <c r="C58" s="597" t="s">
        <v>3286</v>
      </c>
      <c r="E58" s="659"/>
      <c r="F58" s="659">
        <v>0</v>
      </c>
      <c r="G58" s="659">
        <v>0</v>
      </c>
      <c r="I58" s="659">
        <v>4985</v>
      </c>
      <c r="J58" s="659">
        <v>0</v>
      </c>
      <c r="K58" s="659">
        <v>4985</v>
      </c>
      <c r="M58" s="659">
        <v>-4985</v>
      </c>
    </row>
    <row r="59" spans="1:13">
      <c r="A59" s="603"/>
      <c r="B59" s="588">
        <v>48</v>
      </c>
      <c r="C59" s="599" t="s">
        <v>3287</v>
      </c>
      <c r="E59" s="660"/>
      <c r="F59" s="660">
        <v>0</v>
      </c>
      <c r="G59" s="660">
        <v>0</v>
      </c>
      <c r="I59" s="660"/>
      <c r="J59" s="660">
        <v>0</v>
      </c>
      <c r="K59" s="660">
        <v>0</v>
      </c>
      <c r="M59" s="660">
        <v>0</v>
      </c>
    </row>
    <row r="60" spans="1:13">
      <c r="A60" s="603"/>
      <c r="B60" s="596">
        <v>49</v>
      </c>
      <c r="C60" s="597" t="s">
        <v>3288</v>
      </c>
      <c r="E60" s="659"/>
      <c r="F60" s="659">
        <v>0</v>
      </c>
      <c r="G60" s="659">
        <v>0</v>
      </c>
      <c r="I60" s="659"/>
      <c r="J60" s="659">
        <v>0</v>
      </c>
      <c r="K60" s="659">
        <v>0</v>
      </c>
      <c r="M60" s="659">
        <v>0</v>
      </c>
    </row>
    <row r="61" spans="1:13">
      <c r="A61" s="603"/>
      <c r="B61" s="588">
        <v>50</v>
      </c>
      <c r="C61" s="599" t="s">
        <v>3289</v>
      </c>
      <c r="E61" s="660"/>
      <c r="F61" s="660">
        <v>0</v>
      </c>
      <c r="G61" s="660">
        <v>0</v>
      </c>
      <c r="I61" s="660">
        <v>19939</v>
      </c>
      <c r="J61" s="660">
        <v>0</v>
      </c>
      <c r="K61" s="660">
        <v>19939</v>
      </c>
      <c r="M61" s="660">
        <v>-19939</v>
      </c>
    </row>
    <row r="62" spans="1:13">
      <c r="A62" s="603"/>
      <c r="B62" s="596">
        <v>51</v>
      </c>
      <c r="C62" s="597" t="s">
        <v>3218</v>
      </c>
      <c r="E62" s="659"/>
      <c r="F62" s="659">
        <v>0</v>
      </c>
      <c r="G62" s="659">
        <v>0</v>
      </c>
      <c r="I62" s="659"/>
      <c r="J62" s="659">
        <v>0</v>
      </c>
      <c r="K62" s="659">
        <v>0</v>
      </c>
      <c r="M62" s="659">
        <v>0</v>
      </c>
    </row>
    <row r="63" spans="1:13">
      <c r="A63" s="603">
        <v>0</v>
      </c>
      <c r="B63" s="601"/>
      <c r="C63" s="602" t="s">
        <v>3290</v>
      </c>
      <c r="E63" s="658">
        <v>0</v>
      </c>
      <c r="F63" s="658">
        <v>0</v>
      </c>
      <c r="G63" s="658">
        <v>0</v>
      </c>
      <c r="I63" s="658">
        <v>0</v>
      </c>
      <c r="J63" s="658">
        <v>0</v>
      </c>
      <c r="K63" s="658">
        <v>0</v>
      </c>
      <c r="M63" s="658">
        <v>0</v>
      </c>
    </row>
    <row r="64" spans="1:13">
      <c r="A64" s="603">
        <v>52</v>
      </c>
      <c r="B64" s="588">
        <v>52</v>
      </c>
      <c r="C64" s="599" t="s">
        <v>3222</v>
      </c>
      <c r="E64" s="660"/>
      <c r="F64" s="660">
        <v>0</v>
      </c>
      <c r="G64" s="660">
        <v>0</v>
      </c>
      <c r="I64" s="660"/>
      <c r="J64" s="660">
        <v>0</v>
      </c>
      <c r="K64" s="660">
        <v>0</v>
      </c>
      <c r="M64" s="660">
        <v>0</v>
      </c>
    </row>
    <row r="65" spans="1:13">
      <c r="A65" s="603">
        <v>53</v>
      </c>
      <c r="B65" s="596">
        <v>53</v>
      </c>
      <c r="C65" s="597" t="s">
        <v>3225</v>
      </c>
      <c r="E65" s="659"/>
      <c r="F65" s="659">
        <v>0</v>
      </c>
      <c r="G65" s="659">
        <v>0</v>
      </c>
      <c r="I65" s="659"/>
      <c r="J65" s="659">
        <v>0</v>
      </c>
      <c r="K65" s="659">
        <v>0</v>
      </c>
      <c r="M65" s="659">
        <v>0</v>
      </c>
    </row>
    <row r="66" spans="1:13">
      <c r="A66" s="603">
        <v>54</v>
      </c>
      <c r="B66" s="588">
        <v>54</v>
      </c>
      <c r="C66" s="599" t="s">
        <v>3291</v>
      </c>
      <c r="E66" s="660"/>
      <c r="F66" s="660">
        <v>0</v>
      </c>
      <c r="G66" s="660">
        <v>0</v>
      </c>
      <c r="I66" s="660"/>
      <c r="J66" s="660">
        <v>0</v>
      </c>
      <c r="K66" s="660">
        <v>0</v>
      </c>
      <c r="M66" s="660">
        <v>0</v>
      </c>
    </row>
    <row r="67" spans="1:13">
      <c r="A67" s="603"/>
      <c r="B67" s="601"/>
      <c r="C67" s="602" t="s">
        <v>3292</v>
      </c>
      <c r="E67" s="658">
        <v>0</v>
      </c>
      <c r="F67" s="658">
        <v>0</v>
      </c>
      <c r="G67" s="658">
        <v>0</v>
      </c>
      <c r="I67" s="658">
        <v>0</v>
      </c>
      <c r="J67" s="658">
        <v>0</v>
      </c>
      <c r="K67" s="658">
        <v>0</v>
      </c>
      <c r="M67" s="658">
        <v>0</v>
      </c>
    </row>
    <row r="68" spans="1:13">
      <c r="A68" s="603"/>
      <c r="B68" s="596">
        <v>55</v>
      </c>
      <c r="C68" s="597" t="s">
        <v>3231</v>
      </c>
      <c r="E68" s="659"/>
      <c r="F68" s="659">
        <v>0</v>
      </c>
      <c r="G68" s="659">
        <v>0</v>
      </c>
      <c r="I68" s="659"/>
      <c r="J68" s="659">
        <v>0</v>
      </c>
      <c r="K68" s="659">
        <v>0</v>
      </c>
      <c r="M68" s="659">
        <v>0</v>
      </c>
    </row>
    <row r="69" spans="1:13">
      <c r="A69" s="603"/>
      <c r="B69" s="588">
        <v>56</v>
      </c>
      <c r="C69" s="599" t="s">
        <v>3293</v>
      </c>
      <c r="E69" s="660"/>
      <c r="F69" s="660">
        <v>0</v>
      </c>
      <c r="G69" s="660">
        <v>0</v>
      </c>
      <c r="I69" s="660"/>
      <c r="J69" s="660">
        <v>0</v>
      </c>
      <c r="K69" s="660">
        <v>0</v>
      </c>
      <c r="M69" s="660">
        <v>0</v>
      </c>
    </row>
    <row r="70" spans="1:13">
      <c r="A70" s="603">
        <v>0</v>
      </c>
      <c r="B70" s="601"/>
      <c r="C70" s="602" t="s">
        <v>340</v>
      </c>
      <c r="E70" s="658">
        <v>0</v>
      </c>
      <c r="F70" s="658">
        <v>0</v>
      </c>
      <c r="G70" s="658">
        <v>0</v>
      </c>
      <c r="I70" s="658">
        <v>0</v>
      </c>
      <c r="J70" s="658">
        <v>0</v>
      </c>
      <c r="K70" s="658">
        <v>0</v>
      </c>
      <c r="M70" s="658">
        <v>0</v>
      </c>
    </row>
    <row r="71" spans="1:13">
      <c r="A71" s="603">
        <v>57</v>
      </c>
      <c r="B71" s="596">
        <v>57</v>
      </c>
      <c r="C71" s="597" t="s">
        <v>3294</v>
      </c>
      <c r="E71" s="659"/>
      <c r="F71" s="659">
        <v>0</v>
      </c>
      <c r="G71" s="659">
        <v>0</v>
      </c>
      <c r="I71" s="659"/>
      <c r="J71" s="659">
        <v>0</v>
      </c>
      <c r="K71" s="659">
        <v>0</v>
      </c>
      <c r="M71" s="659">
        <v>0</v>
      </c>
    </row>
    <row r="72" spans="1:13">
      <c r="A72" s="603">
        <v>0</v>
      </c>
      <c r="B72" s="601"/>
      <c r="C72" s="602" t="s">
        <v>3295</v>
      </c>
      <c r="E72" s="658">
        <v>0</v>
      </c>
      <c r="F72" s="658">
        <v>0</v>
      </c>
      <c r="G72" s="658">
        <v>0</v>
      </c>
      <c r="I72" s="658">
        <v>0</v>
      </c>
      <c r="J72" s="658">
        <v>0</v>
      </c>
      <c r="K72" s="658">
        <v>0</v>
      </c>
      <c r="M72" s="658">
        <v>0</v>
      </c>
    </row>
    <row r="73" spans="1:13">
      <c r="A73" s="603">
        <v>58</v>
      </c>
      <c r="B73" s="588">
        <v>58</v>
      </c>
      <c r="C73" s="599" t="s">
        <v>3296</v>
      </c>
      <c r="E73" s="660"/>
      <c r="F73" s="660">
        <v>0</v>
      </c>
      <c r="G73" s="660">
        <v>0</v>
      </c>
      <c r="I73" s="660"/>
      <c r="J73" s="660">
        <v>0</v>
      </c>
      <c r="K73" s="660">
        <v>0</v>
      </c>
      <c r="M73" s="660">
        <v>0</v>
      </c>
    </row>
    <row r="74" spans="1:13">
      <c r="A74" s="603"/>
      <c r="B74" s="601"/>
      <c r="C74" s="602" t="s">
        <v>3297</v>
      </c>
      <c r="E74" s="658">
        <v>0</v>
      </c>
      <c r="F74" s="658">
        <v>0</v>
      </c>
      <c r="G74" s="658">
        <v>0</v>
      </c>
      <c r="I74" s="658">
        <v>0</v>
      </c>
      <c r="J74" s="658">
        <v>0</v>
      </c>
      <c r="K74" s="658">
        <v>0</v>
      </c>
      <c r="M74" s="658">
        <v>0</v>
      </c>
    </row>
    <row r="75" spans="1:13">
      <c r="A75" s="603"/>
      <c r="B75" s="588">
        <v>59</v>
      </c>
      <c r="C75" s="599" t="s">
        <v>3298</v>
      </c>
      <c r="E75" s="660"/>
      <c r="F75" s="660">
        <v>0</v>
      </c>
      <c r="G75" s="660">
        <v>0</v>
      </c>
      <c r="I75" s="660"/>
      <c r="J75" s="660">
        <v>0</v>
      </c>
      <c r="K75" s="660">
        <v>0</v>
      </c>
      <c r="M75" s="660"/>
    </row>
    <row r="76" spans="1:13">
      <c r="A76" s="603"/>
      <c r="B76" s="601"/>
      <c r="C76" s="602" t="s">
        <v>3299</v>
      </c>
      <c r="E76" s="658">
        <v>0</v>
      </c>
      <c r="F76" s="658">
        <v>0</v>
      </c>
      <c r="G76" s="658">
        <v>0</v>
      </c>
      <c r="I76" s="658">
        <v>0</v>
      </c>
      <c r="J76" s="658">
        <v>0</v>
      </c>
      <c r="K76" s="658">
        <v>0</v>
      </c>
      <c r="M76" s="658">
        <v>0</v>
      </c>
    </row>
    <row r="77" spans="1:13">
      <c r="A77" s="603"/>
      <c r="B77" s="588">
        <v>60</v>
      </c>
      <c r="C77" s="599" t="s">
        <v>3300</v>
      </c>
      <c r="E77" s="660"/>
      <c r="F77" s="660">
        <v>0</v>
      </c>
      <c r="G77" s="660">
        <v>0</v>
      </c>
      <c r="I77" s="660"/>
      <c r="J77" s="660">
        <v>0</v>
      </c>
      <c r="K77" s="660">
        <v>0</v>
      </c>
      <c r="M77" s="660"/>
    </row>
    <row r="78" spans="1:13">
      <c r="A78" s="603"/>
      <c r="B78" s="601"/>
      <c r="C78" s="602" t="s">
        <v>3301</v>
      </c>
      <c r="E78" s="658">
        <v>0</v>
      </c>
      <c r="F78" s="658">
        <v>0</v>
      </c>
      <c r="G78" s="658">
        <v>0</v>
      </c>
      <c r="I78" s="658">
        <v>0</v>
      </c>
      <c r="J78" s="658">
        <v>0</v>
      </c>
      <c r="K78" s="658">
        <v>0</v>
      </c>
      <c r="M78" s="658">
        <v>0</v>
      </c>
    </row>
    <row r="79" spans="1:13">
      <c r="A79" s="603"/>
      <c r="B79" s="596">
        <v>61</v>
      </c>
      <c r="C79" s="597" t="s">
        <v>3302</v>
      </c>
      <c r="E79" s="659"/>
      <c r="F79" s="659"/>
      <c r="G79" s="659"/>
      <c r="I79" s="659"/>
      <c r="J79" s="659"/>
      <c r="K79" s="659"/>
      <c r="M79" s="659"/>
    </row>
  </sheetData>
  <mergeCells count="5">
    <mergeCell ref="B3:B4"/>
    <mergeCell ref="C3:C4"/>
    <mergeCell ref="E3:G3"/>
    <mergeCell ref="I3:K3"/>
    <mergeCell ref="M3:M4"/>
  </mergeCells>
  <hyperlinks>
    <hyperlink ref="A1" location="Sommaire!A1" display="Sommaire!A1" xr:uid="{00000000-0004-0000-2600-000000000000}"/>
  </hyperlinks>
  <pageMargins left="0.7" right="0.7" top="0.75" bottom="0.75" header="0.3" footer="0.3"/>
  <pageSetup paperSize="9" orientation="landscape"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M79"/>
  <sheetViews>
    <sheetView showGridLines="0" zoomScaleNormal="100" workbookViewId="0">
      <selection activeCell="B1" sqref="B1"/>
    </sheetView>
  </sheetViews>
  <sheetFormatPr baseColWidth="10" defaultColWidth="11.33203125" defaultRowHeight="12"/>
  <cols>
    <col min="1" max="1" width="10.1640625" style="588" bestFit="1" customWidth="1"/>
    <col min="2" max="2" width="19" style="588" bestFit="1" customWidth="1"/>
    <col min="3" max="3" width="54.5" style="605" bestFit="1" customWidth="1"/>
    <col min="4" max="4" width="0.6640625" style="590" customWidth="1"/>
    <col min="5" max="5" width="13.6640625" style="590" bestFit="1" customWidth="1"/>
    <col min="6" max="6" width="11.5" style="588" bestFit="1" customWidth="1"/>
    <col min="7" max="7" width="13.6640625" style="590" bestFit="1" customWidth="1"/>
    <col min="8" max="8" width="0.6640625" style="590" customWidth="1"/>
    <col min="9" max="10" width="12.83203125" style="590" bestFit="1" customWidth="1"/>
    <col min="11" max="11" width="13.6640625" style="590" bestFit="1" customWidth="1"/>
    <col min="12" max="12" width="0.6640625" style="590" customWidth="1"/>
    <col min="13" max="13" width="13.83203125" style="590" bestFit="1" customWidth="1"/>
    <col min="14" max="16384" width="11.33203125" style="590"/>
  </cols>
  <sheetData>
    <row r="1" spans="1:13" ht="24">
      <c r="A1" s="661" t="s">
        <v>140</v>
      </c>
      <c r="C1" s="589" t="s">
        <v>3249</v>
      </c>
      <c r="E1" s="591" t="s">
        <v>3248</v>
      </c>
      <c r="F1" s="591" t="s">
        <v>3320</v>
      </c>
      <c r="G1" s="592"/>
      <c r="J1" s="592" t="s">
        <v>3251</v>
      </c>
      <c r="K1" s="592">
        <v>2023</v>
      </c>
    </row>
    <row r="2" spans="1:13">
      <c r="C2" s="593"/>
      <c r="F2" s="590"/>
      <c r="I2" s="590" t="s">
        <v>3252</v>
      </c>
      <c r="J2" s="594">
        <v>604.32574999999997</v>
      </c>
    </row>
    <row r="3" spans="1:13">
      <c r="B3" s="753" t="s">
        <v>143</v>
      </c>
      <c r="C3" s="754" t="s">
        <v>3253</v>
      </c>
      <c r="E3" s="755" t="s">
        <v>2084</v>
      </c>
      <c r="F3" s="755"/>
      <c r="G3" s="755"/>
      <c r="I3" s="755" t="s">
        <v>3254</v>
      </c>
      <c r="J3" s="755"/>
      <c r="K3" s="755"/>
      <c r="M3" s="756" t="s">
        <v>3255</v>
      </c>
    </row>
    <row r="4" spans="1:13">
      <c r="B4" s="753"/>
      <c r="C4" s="754"/>
      <c r="E4" s="595" t="s">
        <v>3256</v>
      </c>
      <c r="F4" s="595" t="s">
        <v>3257</v>
      </c>
      <c r="G4" s="595" t="s">
        <v>3258</v>
      </c>
      <c r="I4" s="595" t="s">
        <v>3256</v>
      </c>
      <c r="J4" s="595" t="s">
        <v>3257</v>
      </c>
      <c r="K4" s="595" t="s">
        <v>3258</v>
      </c>
      <c r="M4" s="756"/>
    </row>
    <row r="5" spans="1:13">
      <c r="B5" s="655" t="s">
        <v>3092</v>
      </c>
      <c r="C5" s="656"/>
      <c r="E5" s="657">
        <v>0</v>
      </c>
      <c r="F5" s="657">
        <v>0</v>
      </c>
      <c r="G5" s="657">
        <v>0</v>
      </c>
      <c r="I5" s="657">
        <v>0</v>
      </c>
      <c r="J5" s="657">
        <v>0</v>
      </c>
      <c r="K5" s="657">
        <v>0</v>
      </c>
      <c r="M5" s="657">
        <v>0</v>
      </c>
    </row>
    <row r="6" spans="1:13">
      <c r="B6" s="596">
        <v>1</v>
      </c>
      <c r="C6" s="597" t="s">
        <v>3259</v>
      </c>
      <c r="E6" s="598"/>
      <c r="F6" s="598">
        <v>0</v>
      </c>
      <c r="G6" s="598">
        <v>0</v>
      </c>
      <c r="I6" s="598"/>
      <c r="J6" s="598">
        <v>0</v>
      </c>
      <c r="K6" s="598">
        <v>0</v>
      </c>
      <c r="M6" s="598">
        <v>0</v>
      </c>
    </row>
    <row r="7" spans="1:13">
      <c r="B7" s="588">
        <v>2</v>
      </c>
      <c r="C7" s="599" t="s">
        <v>3260</v>
      </c>
      <c r="E7" s="600"/>
      <c r="F7" s="600">
        <v>0</v>
      </c>
      <c r="G7" s="600">
        <v>0</v>
      </c>
      <c r="I7" s="600"/>
      <c r="J7" s="600">
        <v>0</v>
      </c>
      <c r="K7" s="600">
        <v>0</v>
      </c>
      <c r="M7" s="600">
        <v>0</v>
      </c>
    </row>
    <row r="8" spans="1:13">
      <c r="B8" s="655" t="s">
        <v>3101</v>
      </c>
      <c r="C8" s="656"/>
      <c r="E8" s="657">
        <v>15483383028</v>
      </c>
      <c r="F8" s="657">
        <v>29324180</v>
      </c>
      <c r="G8" s="657">
        <v>15512707208</v>
      </c>
      <c r="I8" s="657">
        <v>8209088323</v>
      </c>
      <c r="J8" s="657">
        <v>7363599728</v>
      </c>
      <c r="K8" s="657">
        <v>15572688051</v>
      </c>
      <c r="M8" s="657">
        <v>-59980843</v>
      </c>
    </row>
    <row r="9" spans="1:13">
      <c r="B9" s="601"/>
      <c r="C9" s="602" t="s">
        <v>1244</v>
      </c>
      <c r="E9" s="658">
        <v>0</v>
      </c>
      <c r="F9" s="658">
        <v>0</v>
      </c>
      <c r="G9" s="658">
        <v>0</v>
      </c>
      <c r="I9" s="658">
        <v>0</v>
      </c>
      <c r="J9" s="658">
        <v>0</v>
      </c>
      <c r="K9" s="658">
        <v>0</v>
      </c>
      <c r="M9" s="658">
        <v>0</v>
      </c>
    </row>
    <row r="10" spans="1:13">
      <c r="A10" s="603">
        <v>3</v>
      </c>
      <c r="B10" s="596">
        <v>3</v>
      </c>
      <c r="C10" s="597" t="s">
        <v>3261</v>
      </c>
      <c r="E10" s="659"/>
      <c r="F10" s="659">
        <v>0</v>
      </c>
      <c r="G10" s="659">
        <v>0</v>
      </c>
      <c r="I10" s="659"/>
      <c r="J10" s="659">
        <v>0</v>
      </c>
      <c r="K10" s="659">
        <v>0</v>
      </c>
      <c r="M10" s="659">
        <v>0</v>
      </c>
    </row>
    <row r="11" spans="1:13">
      <c r="A11" s="603">
        <v>4</v>
      </c>
      <c r="B11" s="588">
        <v>4</v>
      </c>
      <c r="C11" s="599" t="s">
        <v>3106</v>
      </c>
      <c r="E11" s="660"/>
      <c r="F11" s="660">
        <v>0</v>
      </c>
      <c r="G11" s="660">
        <v>0</v>
      </c>
      <c r="I11" s="660"/>
      <c r="J11" s="660">
        <v>0</v>
      </c>
      <c r="K11" s="660">
        <v>0</v>
      </c>
      <c r="M11" s="660">
        <v>0</v>
      </c>
    </row>
    <row r="12" spans="1:13">
      <c r="A12" s="603">
        <v>5</v>
      </c>
      <c r="B12" s="596">
        <v>5</v>
      </c>
      <c r="C12" s="597" t="s">
        <v>3262</v>
      </c>
      <c r="E12" s="659"/>
      <c r="F12" s="659">
        <v>0</v>
      </c>
      <c r="G12" s="659">
        <v>0</v>
      </c>
      <c r="I12" s="659"/>
      <c r="J12" s="659">
        <v>0</v>
      </c>
      <c r="K12" s="659">
        <v>0</v>
      </c>
      <c r="M12" s="659">
        <v>0</v>
      </c>
    </row>
    <row r="13" spans="1:13">
      <c r="A13" s="603">
        <v>6</v>
      </c>
      <c r="B13" s="588">
        <v>6</v>
      </c>
      <c r="C13" s="599" t="s">
        <v>3263</v>
      </c>
      <c r="E13" s="660"/>
      <c r="F13" s="660">
        <v>0</v>
      </c>
      <c r="G13" s="660">
        <v>0</v>
      </c>
      <c r="I13" s="660"/>
      <c r="J13" s="660">
        <v>0</v>
      </c>
      <c r="K13" s="660">
        <v>0</v>
      </c>
      <c r="M13" s="660">
        <v>0</v>
      </c>
    </row>
    <row r="14" spans="1:13">
      <c r="A14" s="603">
        <v>7</v>
      </c>
      <c r="B14" s="596">
        <v>7</v>
      </c>
      <c r="C14" s="597" t="s">
        <v>3114</v>
      </c>
      <c r="E14" s="659"/>
      <c r="F14" s="659">
        <v>0</v>
      </c>
      <c r="G14" s="659">
        <v>0</v>
      </c>
      <c r="I14" s="659"/>
      <c r="J14" s="659">
        <v>0</v>
      </c>
      <c r="K14" s="659">
        <v>0</v>
      </c>
      <c r="M14" s="659">
        <v>0</v>
      </c>
    </row>
    <row r="15" spans="1:13">
      <c r="A15" s="603">
        <v>0</v>
      </c>
      <c r="B15" s="601"/>
      <c r="C15" s="602" t="s">
        <v>1253</v>
      </c>
      <c r="E15" s="658">
        <v>367932000</v>
      </c>
      <c r="F15" s="658">
        <v>29324180</v>
      </c>
      <c r="G15" s="658">
        <v>397256180</v>
      </c>
      <c r="I15" s="658">
        <v>397256180</v>
      </c>
      <c r="J15" s="658">
        <v>0</v>
      </c>
      <c r="K15" s="658">
        <v>397256180</v>
      </c>
      <c r="M15" s="658">
        <v>0</v>
      </c>
    </row>
    <row r="16" spans="1:13">
      <c r="A16" s="603">
        <v>8</v>
      </c>
      <c r="B16" s="588">
        <v>8</v>
      </c>
      <c r="C16" s="599" t="s">
        <v>3264</v>
      </c>
      <c r="E16" s="660">
        <v>367932000</v>
      </c>
      <c r="F16" s="660">
        <v>-367932000</v>
      </c>
      <c r="G16" s="660">
        <v>0</v>
      </c>
      <c r="I16" s="660"/>
      <c r="J16" s="660">
        <v>0</v>
      </c>
      <c r="K16" s="660">
        <v>0</v>
      </c>
      <c r="M16" s="660">
        <v>0</v>
      </c>
    </row>
    <row r="17" spans="1:13">
      <c r="A17" s="603">
        <v>9</v>
      </c>
      <c r="B17" s="596">
        <v>9</v>
      </c>
      <c r="C17" s="597" t="s">
        <v>3265</v>
      </c>
      <c r="E17" s="659"/>
      <c r="F17" s="659">
        <v>0</v>
      </c>
      <c r="G17" s="659">
        <v>0</v>
      </c>
      <c r="I17" s="659"/>
      <c r="J17" s="659">
        <v>0</v>
      </c>
      <c r="K17" s="659">
        <v>0</v>
      </c>
      <c r="M17" s="659">
        <v>0</v>
      </c>
    </row>
    <row r="18" spans="1:13">
      <c r="A18" s="603"/>
      <c r="B18" s="588">
        <v>10</v>
      </c>
      <c r="C18" s="599" t="s">
        <v>3122</v>
      </c>
      <c r="E18" s="660"/>
      <c r="F18" s="660">
        <v>397256180</v>
      </c>
      <c r="G18" s="660">
        <v>397256180</v>
      </c>
      <c r="I18" s="660">
        <v>397256180</v>
      </c>
      <c r="J18" s="660">
        <v>0</v>
      </c>
      <c r="K18" s="660">
        <v>397256180</v>
      </c>
      <c r="M18" s="660">
        <v>0</v>
      </c>
    </row>
    <row r="19" spans="1:13">
      <c r="A19" s="603">
        <v>11</v>
      </c>
      <c r="B19" s="596">
        <v>11</v>
      </c>
      <c r="C19" s="597" t="s">
        <v>3124</v>
      </c>
      <c r="E19" s="659"/>
      <c r="F19" s="659">
        <v>0</v>
      </c>
      <c r="G19" s="659">
        <v>0</v>
      </c>
      <c r="I19" s="659"/>
      <c r="J19" s="659">
        <v>0</v>
      </c>
      <c r="K19" s="659">
        <v>0</v>
      </c>
      <c r="M19" s="659">
        <v>0</v>
      </c>
    </row>
    <row r="20" spans="1:13">
      <c r="A20" s="603">
        <v>12</v>
      </c>
      <c r="B20" s="588">
        <v>12</v>
      </c>
      <c r="C20" s="599" t="s">
        <v>3266</v>
      </c>
      <c r="E20" s="660"/>
      <c r="F20" s="660">
        <v>0</v>
      </c>
      <c r="G20" s="660">
        <v>0</v>
      </c>
      <c r="I20" s="660"/>
      <c r="J20" s="660">
        <v>0</v>
      </c>
      <c r="K20" s="660">
        <v>0</v>
      </c>
      <c r="M20" s="660">
        <v>0</v>
      </c>
    </row>
    <row r="21" spans="1:13">
      <c r="A21" s="603">
        <v>13</v>
      </c>
      <c r="B21" s="596">
        <v>13</v>
      </c>
      <c r="C21" s="597" t="s">
        <v>3267</v>
      </c>
      <c r="E21" s="659"/>
      <c r="F21" s="659">
        <v>0</v>
      </c>
      <c r="G21" s="659">
        <v>0</v>
      </c>
      <c r="I21" s="659"/>
      <c r="J21" s="659">
        <v>0</v>
      </c>
      <c r="K21" s="659">
        <v>0</v>
      </c>
      <c r="M21" s="659">
        <v>0</v>
      </c>
    </row>
    <row r="22" spans="1:13">
      <c r="A22" s="603">
        <v>14</v>
      </c>
      <c r="B22" s="588">
        <v>14</v>
      </c>
      <c r="C22" s="599" t="s">
        <v>3268</v>
      </c>
      <c r="E22" s="660"/>
      <c r="F22" s="660">
        <v>0</v>
      </c>
      <c r="G22" s="660">
        <v>0</v>
      </c>
      <c r="I22" s="660"/>
      <c r="J22" s="660">
        <v>0</v>
      </c>
      <c r="K22" s="660">
        <v>0</v>
      </c>
      <c r="M22" s="660">
        <v>0</v>
      </c>
    </row>
    <row r="23" spans="1:13">
      <c r="A23" s="603">
        <v>15</v>
      </c>
      <c r="B23" s="596">
        <v>15</v>
      </c>
      <c r="C23" s="597" t="s">
        <v>3133</v>
      </c>
      <c r="E23" s="659"/>
      <c r="F23" s="659">
        <v>0</v>
      </c>
      <c r="G23" s="659">
        <v>0</v>
      </c>
      <c r="I23" s="659"/>
      <c r="J23" s="659">
        <v>0</v>
      </c>
      <c r="K23" s="659">
        <v>0</v>
      </c>
      <c r="M23" s="659">
        <v>0</v>
      </c>
    </row>
    <row r="24" spans="1:13">
      <c r="A24" s="603">
        <v>16</v>
      </c>
      <c r="B24" s="588">
        <v>16</v>
      </c>
      <c r="C24" s="599" t="s">
        <v>3136</v>
      </c>
      <c r="E24" s="660"/>
      <c r="F24" s="660">
        <v>0</v>
      </c>
      <c r="G24" s="660">
        <v>0</v>
      </c>
      <c r="I24" s="660"/>
      <c r="J24" s="660">
        <v>0</v>
      </c>
      <c r="K24" s="660">
        <v>0</v>
      </c>
      <c r="M24" s="660">
        <v>0</v>
      </c>
    </row>
    <row r="25" spans="1:13">
      <c r="A25" s="603">
        <v>0</v>
      </c>
      <c r="B25" s="601"/>
      <c r="C25" s="602" t="s">
        <v>3269</v>
      </c>
      <c r="E25" s="658">
        <v>0</v>
      </c>
      <c r="F25" s="658">
        <v>0</v>
      </c>
      <c r="G25" s="658">
        <v>0</v>
      </c>
      <c r="I25" s="658">
        <v>0</v>
      </c>
      <c r="J25" s="658">
        <v>0</v>
      </c>
      <c r="K25" s="658">
        <v>0</v>
      </c>
      <c r="M25" s="658">
        <v>0</v>
      </c>
    </row>
    <row r="26" spans="1:13">
      <c r="A26" s="603">
        <v>17</v>
      </c>
      <c r="B26" s="596">
        <v>17</v>
      </c>
      <c r="C26" s="597" t="s">
        <v>3270</v>
      </c>
      <c r="E26" s="659"/>
      <c r="F26" s="659">
        <v>0</v>
      </c>
      <c r="G26" s="659">
        <v>0</v>
      </c>
      <c r="I26" s="659"/>
      <c r="J26" s="659">
        <v>0</v>
      </c>
      <c r="K26" s="659">
        <v>0</v>
      </c>
      <c r="M26" s="659">
        <v>0</v>
      </c>
    </row>
    <row r="27" spans="1:13">
      <c r="A27" s="603">
        <v>18</v>
      </c>
      <c r="B27" s="588">
        <v>18</v>
      </c>
      <c r="C27" s="599" t="s">
        <v>3141</v>
      </c>
      <c r="E27" s="660"/>
      <c r="F27" s="660">
        <v>0</v>
      </c>
      <c r="G27" s="660">
        <v>0</v>
      </c>
      <c r="I27" s="660"/>
      <c r="J27" s="660">
        <v>0</v>
      </c>
      <c r="K27" s="660">
        <v>0</v>
      </c>
      <c r="M27" s="660">
        <v>0</v>
      </c>
    </row>
    <row r="28" spans="1:13">
      <c r="A28" s="603">
        <v>19</v>
      </c>
      <c r="B28" s="596">
        <v>19</v>
      </c>
      <c r="C28" s="597" t="s">
        <v>3144</v>
      </c>
      <c r="E28" s="659"/>
      <c r="F28" s="659">
        <v>0</v>
      </c>
      <c r="G28" s="659">
        <v>0</v>
      </c>
      <c r="I28" s="659"/>
      <c r="J28" s="659">
        <v>0</v>
      </c>
      <c r="K28" s="659">
        <v>0</v>
      </c>
      <c r="M28" s="659">
        <v>0</v>
      </c>
    </row>
    <row r="29" spans="1:13">
      <c r="A29" s="603">
        <v>20</v>
      </c>
      <c r="B29" s="588">
        <v>20</v>
      </c>
      <c r="C29" s="599" t="s">
        <v>3147</v>
      </c>
      <c r="E29" s="660"/>
      <c r="F29" s="660">
        <v>0</v>
      </c>
      <c r="G29" s="660">
        <v>0</v>
      </c>
      <c r="I29" s="660"/>
      <c r="J29" s="660">
        <v>0</v>
      </c>
      <c r="K29" s="660">
        <v>0</v>
      </c>
      <c r="M29" s="660">
        <v>0</v>
      </c>
    </row>
    <row r="30" spans="1:13">
      <c r="A30" s="603">
        <v>21</v>
      </c>
      <c r="B30" s="596">
        <v>21</v>
      </c>
      <c r="C30" s="597" t="s">
        <v>3271</v>
      </c>
      <c r="E30" s="659"/>
      <c r="F30" s="659">
        <v>0</v>
      </c>
      <c r="G30" s="659">
        <v>0</v>
      </c>
      <c r="I30" s="659"/>
      <c r="J30" s="659">
        <v>0</v>
      </c>
      <c r="K30" s="659">
        <v>0</v>
      </c>
      <c r="M30" s="659">
        <v>0</v>
      </c>
    </row>
    <row r="31" spans="1:13">
      <c r="A31" s="603">
        <v>22</v>
      </c>
      <c r="B31" s="588">
        <v>22</v>
      </c>
      <c r="C31" s="599" t="s">
        <v>3272</v>
      </c>
      <c r="E31" s="660"/>
      <c r="F31" s="660">
        <v>0</v>
      </c>
      <c r="G31" s="660">
        <v>0</v>
      </c>
      <c r="I31" s="660"/>
      <c r="J31" s="660">
        <v>0</v>
      </c>
      <c r="K31" s="660">
        <v>0</v>
      </c>
      <c r="M31" s="660">
        <v>0</v>
      </c>
    </row>
    <row r="32" spans="1:13">
      <c r="A32" s="603">
        <v>23</v>
      </c>
      <c r="B32" s="596">
        <v>23</v>
      </c>
      <c r="C32" s="597" t="s">
        <v>3273</v>
      </c>
      <c r="E32" s="659"/>
      <c r="F32" s="659">
        <v>0</v>
      </c>
      <c r="G32" s="659">
        <v>0</v>
      </c>
      <c r="I32" s="659"/>
      <c r="J32" s="659">
        <v>0</v>
      </c>
      <c r="K32" s="659">
        <v>0</v>
      </c>
      <c r="M32" s="659">
        <v>0</v>
      </c>
    </row>
    <row r="33" spans="1:13">
      <c r="A33" s="603">
        <v>24</v>
      </c>
      <c r="B33" s="588">
        <v>24</v>
      </c>
      <c r="C33" s="599" t="s">
        <v>3158</v>
      </c>
      <c r="E33" s="660"/>
      <c r="F33" s="660">
        <v>0</v>
      </c>
      <c r="G33" s="660">
        <v>0</v>
      </c>
      <c r="I33" s="660"/>
      <c r="J33" s="660">
        <v>0</v>
      </c>
      <c r="K33" s="660">
        <v>0</v>
      </c>
      <c r="M33" s="660">
        <v>0</v>
      </c>
    </row>
    <row r="34" spans="1:13" s="604" customFormat="1">
      <c r="A34" s="603">
        <v>25</v>
      </c>
      <c r="B34" s="596">
        <v>25</v>
      </c>
      <c r="C34" s="597" t="s">
        <v>3274</v>
      </c>
      <c r="D34" s="590"/>
      <c r="E34" s="659"/>
      <c r="F34" s="659">
        <v>0</v>
      </c>
      <c r="G34" s="659">
        <v>0</v>
      </c>
      <c r="H34" s="590"/>
      <c r="I34" s="659"/>
      <c r="J34" s="659">
        <v>0</v>
      </c>
      <c r="K34" s="659">
        <v>0</v>
      </c>
      <c r="L34" s="590"/>
      <c r="M34" s="659">
        <v>0</v>
      </c>
    </row>
    <row r="35" spans="1:13">
      <c r="A35" s="603">
        <v>26</v>
      </c>
      <c r="B35" s="588">
        <v>26</v>
      </c>
      <c r="C35" s="599" t="s">
        <v>3275</v>
      </c>
      <c r="E35" s="660"/>
      <c r="F35" s="660">
        <v>0</v>
      </c>
      <c r="G35" s="660">
        <v>0</v>
      </c>
      <c r="I35" s="660"/>
      <c r="J35" s="660">
        <v>0</v>
      </c>
      <c r="K35" s="660">
        <v>0</v>
      </c>
      <c r="M35" s="660">
        <v>0</v>
      </c>
    </row>
    <row r="36" spans="1:13">
      <c r="A36" s="603">
        <v>0</v>
      </c>
      <c r="B36" s="601"/>
      <c r="C36" s="602" t="s">
        <v>3276</v>
      </c>
      <c r="E36" s="658">
        <v>14961496529</v>
      </c>
      <c r="F36" s="658">
        <v>0</v>
      </c>
      <c r="G36" s="658">
        <v>14961496529</v>
      </c>
      <c r="I36" s="658">
        <v>7597886529</v>
      </c>
      <c r="J36" s="658">
        <v>7363599728</v>
      </c>
      <c r="K36" s="658">
        <v>14961486257</v>
      </c>
      <c r="M36" s="658">
        <v>10272</v>
      </c>
    </row>
    <row r="37" spans="1:13">
      <c r="A37" s="603">
        <v>27</v>
      </c>
      <c r="B37" s="596">
        <v>27</v>
      </c>
      <c r="C37" s="597" t="s">
        <v>3164</v>
      </c>
      <c r="E37" s="659"/>
      <c r="F37" s="659">
        <v>0</v>
      </c>
      <c r="G37" s="659">
        <v>0</v>
      </c>
      <c r="I37" s="659"/>
      <c r="J37" s="659">
        <v>0</v>
      </c>
      <c r="K37" s="659">
        <v>0</v>
      </c>
      <c r="M37" s="659">
        <v>0</v>
      </c>
    </row>
    <row r="38" spans="1:13">
      <c r="A38" s="603">
        <v>28</v>
      </c>
      <c r="B38" s="588">
        <v>28</v>
      </c>
      <c r="C38" s="599" t="s">
        <v>3167</v>
      </c>
      <c r="E38" s="660">
        <v>10908120813</v>
      </c>
      <c r="F38" s="660">
        <v>0</v>
      </c>
      <c r="G38" s="660">
        <v>10908120813</v>
      </c>
      <c r="I38" s="660">
        <v>7347744047</v>
      </c>
      <c r="J38" s="660">
        <v>3560376766</v>
      </c>
      <c r="K38" s="660">
        <v>10908120813</v>
      </c>
      <c r="M38" s="660">
        <v>0</v>
      </c>
    </row>
    <row r="39" spans="1:13">
      <c r="A39" s="603">
        <v>29</v>
      </c>
      <c r="B39" s="596">
        <v>29</v>
      </c>
      <c r="C39" s="597" t="s">
        <v>3170</v>
      </c>
      <c r="E39" s="659"/>
      <c r="F39" s="659">
        <v>0</v>
      </c>
      <c r="G39" s="659">
        <v>0</v>
      </c>
      <c r="I39" s="659"/>
      <c r="J39" s="659">
        <v>0</v>
      </c>
      <c r="K39" s="659">
        <v>0</v>
      </c>
      <c r="M39" s="659">
        <v>0</v>
      </c>
    </row>
    <row r="40" spans="1:13">
      <c r="A40" s="603">
        <v>30</v>
      </c>
      <c r="B40" s="588">
        <v>30</v>
      </c>
      <c r="C40" s="599" t="s">
        <v>3173</v>
      </c>
      <c r="E40" s="660"/>
      <c r="F40" s="660">
        <v>0</v>
      </c>
      <c r="G40" s="660">
        <v>0</v>
      </c>
      <c r="I40" s="660"/>
      <c r="J40" s="660">
        <v>0</v>
      </c>
      <c r="K40" s="660">
        <v>0</v>
      </c>
      <c r="M40" s="660">
        <v>0</v>
      </c>
    </row>
    <row r="41" spans="1:13">
      <c r="A41" s="603">
        <v>31</v>
      </c>
      <c r="B41" s="596">
        <v>31</v>
      </c>
      <c r="C41" s="597" t="s">
        <v>3176</v>
      </c>
      <c r="E41" s="659"/>
      <c r="F41" s="659">
        <v>0</v>
      </c>
      <c r="G41" s="659">
        <v>0</v>
      </c>
      <c r="I41" s="659"/>
      <c r="J41" s="659">
        <v>0</v>
      </c>
      <c r="K41" s="659">
        <v>0</v>
      </c>
      <c r="M41" s="659">
        <v>0</v>
      </c>
    </row>
    <row r="42" spans="1:13">
      <c r="A42" s="603">
        <v>32</v>
      </c>
      <c r="B42" s="588">
        <v>32</v>
      </c>
      <c r="C42" s="599" t="s">
        <v>3178</v>
      </c>
      <c r="E42" s="660">
        <v>4025260507</v>
      </c>
      <c r="F42" s="660">
        <v>0</v>
      </c>
      <c r="G42" s="660">
        <v>4025260507</v>
      </c>
      <c r="I42" s="660">
        <v>222037545</v>
      </c>
      <c r="J42" s="660">
        <v>3803222962</v>
      </c>
      <c r="K42" s="660">
        <v>4025260507</v>
      </c>
      <c r="M42" s="660">
        <v>0</v>
      </c>
    </row>
    <row r="43" spans="1:13">
      <c r="A43" s="603">
        <v>33</v>
      </c>
      <c r="B43" s="596">
        <v>33</v>
      </c>
      <c r="C43" s="597" t="s">
        <v>3181</v>
      </c>
      <c r="E43" s="659"/>
      <c r="F43" s="659">
        <v>0</v>
      </c>
      <c r="G43" s="659">
        <v>0</v>
      </c>
      <c r="I43" s="659"/>
      <c r="J43" s="659">
        <v>0</v>
      </c>
      <c r="K43" s="659">
        <v>0</v>
      </c>
      <c r="M43" s="659">
        <v>0</v>
      </c>
    </row>
    <row r="44" spans="1:13">
      <c r="A44" s="603">
        <v>34</v>
      </c>
      <c r="B44" s="588">
        <v>34</v>
      </c>
      <c r="C44" s="599" t="s">
        <v>3184</v>
      </c>
      <c r="E44" s="660">
        <v>28115209</v>
      </c>
      <c r="F44" s="660">
        <v>0</v>
      </c>
      <c r="G44" s="660">
        <v>28115209</v>
      </c>
      <c r="I44" s="660">
        <v>28104937</v>
      </c>
      <c r="J44" s="660">
        <v>0</v>
      </c>
      <c r="K44" s="660">
        <v>28104937</v>
      </c>
      <c r="M44" s="660">
        <v>10272</v>
      </c>
    </row>
    <row r="45" spans="1:13">
      <c r="A45" s="603">
        <v>35</v>
      </c>
      <c r="B45" s="596">
        <v>35</v>
      </c>
      <c r="C45" s="597" t="s">
        <v>3186</v>
      </c>
      <c r="E45" s="659"/>
      <c r="F45" s="659">
        <v>0</v>
      </c>
      <c r="G45" s="659">
        <v>0</v>
      </c>
      <c r="I45" s="659"/>
      <c r="J45" s="659">
        <v>0</v>
      </c>
      <c r="K45" s="659">
        <v>0</v>
      </c>
      <c r="M45" s="659">
        <v>0</v>
      </c>
    </row>
    <row r="46" spans="1:13">
      <c r="A46" s="603">
        <v>36</v>
      </c>
      <c r="B46" s="588">
        <v>36</v>
      </c>
      <c r="C46" s="599" t="s">
        <v>3189</v>
      </c>
      <c r="E46" s="660"/>
      <c r="F46" s="660">
        <v>0</v>
      </c>
      <c r="G46" s="660">
        <v>0</v>
      </c>
      <c r="I46" s="660"/>
      <c r="J46" s="660">
        <v>0</v>
      </c>
      <c r="K46" s="660">
        <v>0</v>
      </c>
      <c r="M46" s="660">
        <v>0</v>
      </c>
    </row>
    <row r="47" spans="1:13">
      <c r="A47" s="603">
        <v>37</v>
      </c>
      <c r="B47" s="596">
        <v>37</v>
      </c>
      <c r="C47" s="597" t="s">
        <v>3277</v>
      </c>
      <c r="E47" s="659"/>
      <c r="F47" s="659">
        <v>0</v>
      </c>
      <c r="G47" s="659">
        <v>0</v>
      </c>
      <c r="I47" s="659"/>
      <c r="J47" s="659">
        <v>0</v>
      </c>
      <c r="K47" s="659">
        <v>0</v>
      </c>
      <c r="M47" s="659">
        <v>0</v>
      </c>
    </row>
    <row r="48" spans="1:13">
      <c r="A48" s="603">
        <v>38</v>
      </c>
      <c r="B48" s="588">
        <v>38</v>
      </c>
      <c r="C48" s="599" t="s">
        <v>3278</v>
      </c>
      <c r="E48" s="660"/>
      <c r="F48" s="660">
        <v>0</v>
      </c>
      <c r="G48" s="660">
        <v>0</v>
      </c>
      <c r="I48" s="660"/>
      <c r="J48" s="660">
        <v>0</v>
      </c>
      <c r="K48" s="660">
        <v>0</v>
      </c>
      <c r="M48" s="660">
        <v>0</v>
      </c>
    </row>
    <row r="49" spans="1:13">
      <c r="A49" s="603">
        <v>39</v>
      </c>
      <c r="B49" s="596">
        <v>39</v>
      </c>
      <c r="C49" s="597" t="s">
        <v>3195</v>
      </c>
      <c r="E49" s="659"/>
      <c r="F49" s="659">
        <v>0</v>
      </c>
      <c r="G49" s="659">
        <v>0</v>
      </c>
      <c r="I49" s="659"/>
      <c r="J49" s="659">
        <v>0</v>
      </c>
      <c r="K49" s="659">
        <v>0</v>
      </c>
      <c r="M49" s="659">
        <v>0</v>
      </c>
    </row>
    <row r="50" spans="1:13">
      <c r="A50" s="603">
        <v>40</v>
      </c>
      <c r="B50" s="588">
        <v>40</v>
      </c>
      <c r="C50" s="599" t="s">
        <v>3198</v>
      </c>
      <c r="E50" s="660"/>
      <c r="F50" s="660">
        <v>0</v>
      </c>
      <c r="G50" s="660">
        <v>0</v>
      </c>
      <c r="I50" s="660"/>
      <c r="J50" s="660">
        <v>0</v>
      </c>
      <c r="K50" s="660">
        <v>0</v>
      </c>
      <c r="M50" s="660">
        <v>0</v>
      </c>
    </row>
    <row r="51" spans="1:13">
      <c r="A51" s="603">
        <v>41</v>
      </c>
      <c r="B51" s="596">
        <v>41</v>
      </c>
      <c r="C51" s="597" t="s">
        <v>3279</v>
      </c>
      <c r="E51" s="659"/>
      <c r="F51" s="659">
        <v>0</v>
      </c>
      <c r="G51" s="659">
        <v>0</v>
      </c>
      <c r="I51" s="659"/>
      <c r="J51" s="659">
        <v>0</v>
      </c>
      <c r="K51" s="659">
        <v>0</v>
      </c>
      <c r="M51" s="659">
        <v>0</v>
      </c>
    </row>
    <row r="52" spans="1:13">
      <c r="A52" s="603"/>
      <c r="B52" s="588">
        <v>42</v>
      </c>
      <c r="C52" s="599" t="s">
        <v>3280</v>
      </c>
      <c r="E52" s="660"/>
      <c r="F52" s="660">
        <v>0</v>
      </c>
      <c r="G52" s="660">
        <v>0</v>
      </c>
      <c r="I52" s="660"/>
      <c r="J52" s="660">
        <v>0</v>
      </c>
      <c r="K52" s="660">
        <v>0</v>
      </c>
      <c r="M52" s="660">
        <v>0</v>
      </c>
    </row>
    <row r="53" spans="1:13">
      <c r="A53" s="603">
        <v>0</v>
      </c>
      <c r="B53" s="601"/>
      <c r="C53" s="602" t="s">
        <v>3281</v>
      </c>
      <c r="E53" s="658">
        <v>0</v>
      </c>
      <c r="F53" s="658">
        <v>0</v>
      </c>
      <c r="G53" s="658">
        <v>0</v>
      </c>
      <c r="I53" s="658">
        <v>67029604</v>
      </c>
      <c r="J53" s="658">
        <v>0</v>
      </c>
      <c r="K53" s="658">
        <v>67029604</v>
      </c>
      <c r="M53" s="658">
        <v>-67029604</v>
      </c>
    </row>
    <row r="54" spans="1:13">
      <c r="A54" s="603">
        <v>43</v>
      </c>
      <c r="B54" s="596">
        <v>43</v>
      </c>
      <c r="C54" s="597" t="s">
        <v>3282</v>
      </c>
      <c r="E54" s="659"/>
      <c r="F54" s="659">
        <v>0</v>
      </c>
      <c r="G54" s="659">
        <v>0</v>
      </c>
      <c r="I54" s="659">
        <v>36523537</v>
      </c>
      <c r="J54" s="659">
        <v>0</v>
      </c>
      <c r="K54" s="659">
        <v>36523537</v>
      </c>
      <c r="M54" s="659">
        <v>-36523537</v>
      </c>
    </row>
    <row r="55" spans="1:13">
      <c r="A55" s="603">
        <v>44</v>
      </c>
      <c r="B55" s="588">
        <v>44</v>
      </c>
      <c r="C55" s="599" t="s">
        <v>3283</v>
      </c>
      <c r="E55" s="660"/>
      <c r="F55" s="660">
        <v>0</v>
      </c>
      <c r="G55" s="660">
        <v>0</v>
      </c>
      <c r="I55" s="660">
        <v>1610076</v>
      </c>
      <c r="J55" s="660">
        <v>0</v>
      </c>
      <c r="K55" s="660">
        <v>1610076</v>
      </c>
      <c r="M55" s="660">
        <v>-1610076</v>
      </c>
    </row>
    <row r="56" spans="1:13">
      <c r="A56" s="603"/>
      <c r="B56" s="596">
        <v>45</v>
      </c>
      <c r="C56" s="597" t="s">
        <v>3284</v>
      </c>
      <c r="E56" s="659"/>
      <c r="F56" s="659">
        <v>0</v>
      </c>
      <c r="G56" s="659">
        <v>0</v>
      </c>
      <c r="I56" s="659">
        <v>2012597</v>
      </c>
      <c r="J56" s="659">
        <v>0</v>
      </c>
      <c r="K56" s="659">
        <v>2012597</v>
      </c>
      <c r="M56" s="659">
        <v>-2012597</v>
      </c>
    </row>
    <row r="57" spans="1:13">
      <c r="A57" s="603"/>
      <c r="B57" s="588">
        <v>46</v>
      </c>
      <c r="C57" s="599" t="s">
        <v>3285</v>
      </c>
      <c r="E57" s="660"/>
      <c r="F57" s="660">
        <v>0</v>
      </c>
      <c r="G57" s="660">
        <v>0</v>
      </c>
      <c r="I57" s="660">
        <v>21688090</v>
      </c>
      <c r="J57" s="660">
        <v>0</v>
      </c>
      <c r="K57" s="660">
        <v>21688090</v>
      </c>
      <c r="M57" s="660">
        <v>-21688090</v>
      </c>
    </row>
    <row r="58" spans="1:13">
      <c r="A58" s="603"/>
      <c r="B58" s="596">
        <v>47</v>
      </c>
      <c r="C58" s="597" t="s">
        <v>3286</v>
      </c>
      <c r="E58" s="659"/>
      <c r="F58" s="659">
        <v>0</v>
      </c>
      <c r="G58" s="659">
        <v>0</v>
      </c>
      <c r="I58" s="659">
        <v>1006300</v>
      </c>
      <c r="J58" s="659">
        <v>0</v>
      </c>
      <c r="K58" s="659">
        <v>1006300</v>
      </c>
      <c r="M58" s="659">
        <v>-1006300</v>
      </c>
    </row>
    <row r="59" spans="1:13">
      <c r="A59" s="603"/>
      <c r="B59" s="588">
        <v>48</v>
      </c>
      <c r="C59" s="599" t="s">
        <v>3287</v>
      </c>
      <c r="E59" s="660"/>
      <c r="F59" s="660">
        <v>0</v>
      </c>
      <c r="G59" s="660">
        <v>0</v>
      </c>
      <c r="I59" s="660">
        <v>163811</v>
      </c>
      <c r="J59" s="660">
        <v>0</v>
      </c>
      <c r="K59" s="660">
        <v>163811</v>
      </c>
      <c r="M59" s="660">
        <v>-163811</v>
      </c>
    </row>
    <row r="60" spans="1:13">
      <c r="A60" s="603"/>
      <c r="B60" s="596">
        <v>49</v>
      </c>
      <c r="C60" s="597" t="s">
        <v>3288</v>
      </c>
      <c r="E60" s="659"/>
      <c r="F60" s="659">
        <v>0</v>
      </c>
      <c r="G60" s="659">
        <v>0</v>
      </c>
      <c r="I60" s="659"/>
      <c r="J60" s="659">
        <v>0</v>
      </c>
      <c r="K60" s="659">
        <v>0</v>
      </c>
      <c r="M60" s="659">
        <v>0</v>
      </c>
    </row>
    <row r="61" spans="1:13">
      <c r="A61" s="603"/>
      <c r="B61" s="588">
        <v>50</v>
      </c>
      <c r="C61" s="599" t="s">
        <v>3289</v>
      </c>
      <c r="E61" s="660"/>
      <c r="F61" s="660">
        <v>0</v>
      </c>
      <c r="G61" s="660">
        <v>0</v>
      </c>
      <c r="I61" s="660">
        <v>4025193</v>
      </c>
      <c r="J61" s="660">
        <v>0</v>
      </c>
      <c r="K61" s="660">
        <v>4025193</v>
      </c>
      <c r="M61" s="660">
        <v>-4025193</v>
      </c>
    </row>
    <row r="62" spans="1:13">
      <c r="A62" s="603"/>
      <c r="B62" s="596">
        <v>51</v>
      </c>
      <c r="C62" s="597" t="s">
        <v>3218</v>
      </c>
      <c r="E62" s="659"/>
      <c r="F62" s="659">
        <v>0</v>
      </c>
      <c r="G62" s="659">
        <v>0</v>
      </c>
      <c r="I62" s="659"/>
      <c r="J62" s="659">
        <v>0</v>
      </c>
      <c r="K62" s="659">
        <v>0</v>
      </c>
      <c r="M62" s="659">
        <v>0</v>
      </c>
    </row>
    <row r="63" spans="1:13">
      <c r="A63" s="603">
        <v>0</v>
      </c>
      <c r="B63" s="601"/>
      <c r="C63" s="602" t="s">
        <v>3290</v>
      </c>
      <c r="E63" s="658">
        <v>0</v>
      </c>
      <c r="F63" s="658">
        <v>0</v>
      </c>
      <c r="G63" s="658">
        <v>0</v>
      </c>
      <c r="I63" s="658">
        <v>0</v>
      </c>
      <c r="J63" s="658">
        <v>0</v>
      </c>
      <c r="K63" s="658">
        <v>0</v>
      </c>
      <c r="M63" s="658">
        <v>0</v>
      </c>
    </row>
    <row r="64" spans="1:13">
      <c r="A64" s="603">
        <v>52</v>
      </c>
      <c r="B64" s="588">
        <v>52</v>
      </c>
      <c r="C64" s="599" t="s">
        <v>3222</v>
      </c>
      <c r="E64" s="660"/>
      <c r="F64" s="660">
        <v>0</v>
      </c>
      <c r="G64" s="660">
        <v>0</v>
      </c>
      <c r="I64" s="660"/>
      <c r="J64" s="660">
        <v>0</v>
      </c>
      <c r="K64" s="660">
        <v>0</v>
      </c>
      <c r="M64" s="660">
        <v>0</v>
      </c>
    </row>
    <row r="65" spans="1:13">
      <c r="A65" s="603">
        <v>53</v>
      </c>
      <c r="B65" s="596">
        <v>53</v>
      </c>
      <c r="C65" s="597" t="s">
        <v>3225</v>
      </c>
      <c r="E65" s="659"/>
      <c r="F65" s="659">
        <v>0</v>
      </c>
      <c r="G65" s="659">
        <v>0</v>
      </c>
      <c r="I65" s="659"/>
      <c r="J65" s="659">
        <v>0</v>
      </c>
      <c r="K65" s="659">
        <v>0</v>
      </c>
      <c r="M65" s="659">
        <v>0</v>
      </c>
    </row>
    <row r="66" spans="1:13">
      <c r="A66" s="603">
        <v>54</v>
      </c>
      <c r="B66" s="588">
        <v>54</v>
      </c>
      <c r="C66" s="599" t="s">
        <v>3291</v>
      </c>
      <c r="E66" s="660"/>
      <c r="F66" s="660">
        <v>0</v>
      </c>
      <c r="G66" s="660">
        <v>0</v>
      </c>
      <c r="I66" s="660"/>
      <c r="J66" s="660">
        <v>0</v>
      </c>
      <c r="K66" s="660">
        <v>0</v>
      </c>
      <c r="M66" s="660">
        <v>0</v>
      </c>
    </row>
    <row r="67" spans="1:13">
      <c r="A67" s="603"/>
      <c r="B67" s="601"/>
      <c r="C67" s="602" t="s">
        <v>3292</v>
      </c>
      <c r="E67" s="658">
        <v>0</v>
      </c>
      <c r="F67" s="658">
        <v>0</v>
      </c>
      <c r="G67" s="658">
        <v>0</v>
      </c>
      <c r="I67" s="658">
        <v>0</v>
      </c>
      <c r="J67" s="658">
        <v>0</v>
      </c>
      <c r="K67" s="658">
        <v>0</v>
      </c>
      <c r="M67" s="658">
        <v>0</v>
      </c>
    </row>
    <row r="68" spans="1:13">
      <c r="A68" s="603"/>
      <c r="B68" s="596">
        <v>55</v>
      </c>
      <c r="C68" s="597" t="s">
        <v>3231</v>
      </c>
      <c r="E68" s="659"/>
      <c r="F68" s="659">
        <v>0</v>
      </c>
      <c r="G68" s="659">
        <v>0</v>
      </c>
      <c r="I68" s="659"/>
      <c r="J68" s="659">
        <v>0</v>
      </c>
      <c r="K68" s="659">
        <v>0</v>
      </c>
      <c r="M68" s="659">
        <v>0</v>
      </c>
    </row>
    <row r="69" spans="1:13">
      <c r="A69" s="603"/>
      <c r="B69" s="588">
        <v>56</v>
      </c>
      <c r="C69" s="599" t="s">
        <v>3293</v>
      </c>
      <c r="E69" s="660"/>
      <c r="F69" s="660">
        <v>0</v>
      </c>
      <c r="G69" s="660">
        <v>0</v>
      </c>
      <c r="I69" s="660"/>
      <c r="J69" s="660">
        <v>0</v>
      </c>
      <c r="K69" s="660">
        <v>0</v>
      </c>
      <c r="M69" s="660">
        <v>0</v>
      </c>
    </row>
    <row r="70" spans="1:13">
      <c r="A70" s="603">
        <v>0</v>
      </c>
      <c r="B70" s="601"/>
      <c r="C70" s="602" t="s">
        <v>340</v>
      </c>
      <c r="E70" s="658">
        <v>7983360</v>
      </c>
      <c r="F70" s="658">
        <v>0</v>
      </c>
      <c r="G70" s="658">
        <v>7983360</v>
      </c>
      <c r="I70" s="658">
        <v>7838133</v>
      </c>
      <c r="J70" s="658">
        <v>0</v>
      </c>
      <c r="K70" s="658">
        <v>7838133</v>
      </c>
      <c r="M70" s="658">
        <v>145227</v>
      </c>
    </row>
    <row r="71" spans="1:13">
      <c r="A71" s="603">
        <v>57</v>
      </c>
      <c r="B71" s="596">
        <v>57</v>
      </c>
      <c r="C71" s="597" t="s">
        <v>3294</v>
      </c>
      <c r="E71" s="659">
        <v>7983360</v>
      </c>
      <c r="F71" s="659">
        <v>0</v>
      </c>
      <c r="G71" s="659">
        <v>7983360</v>
      </c>
      <c r="I71" s="659">
        <v>7838133</v>
      </c>
      <c r="J71" s="659">
        <v>0</v>
      </c>
      <c r="K71" s="659">
        <v>7838133</v>
      </c>
      <c r="M71" s="659">
        <v>145227</v>
      </c>
    </row>
    <row r="72" spans="1:13">
      <c r="A72" s="603">
        <v>0</v>
      </c>
      <c r="B72" s="601"/>
      <c r="C72" s="602" t="s">
        <v>3295</v>
      </c>
      <c r="E72" s="658">
        <v>145971139</v>
      </c>
      <c r="F72" s="658">
        <v>0</v>
      </c>
      <c r="G72" s="658">
        <v>145971139</v>
      </c>
      <c r="I72" s="658">
        <v>137257171</v>
      </c>
      <c r="J72" s="658">
        <v>0</v>
      </c>
      <c r="K72" s="658">
        <v>137257171</v>
      </c>
      <c r="M72" s="658">
        <v>8713968</v>
      </c>
    </row>
    <row r="73" spans="1:13">
      <c r="A73" s="603">
        <v>58</v>
      </c>
      <c r="B73" s="588">
        <v>58</v>
      </c>
      <c r="C73" s="599" t="s">
        <v>3296</v>
      </c>
      <c r="E73" s="660">
        <v>145971139</v>
      </c>
      <c r="F73" s="660">
        <v>0</v>
      </c>
      <c r="G73" s="660">
        <v>145971139</v>
      </c>
      <c r="I73" s="660">
        <v>137257171</v>
      </c>
      <c r="J73" s="660">
        <v>0</v>
      </c>
      <c r="K73" s="660">
        <v>137257171</v>
      </c>
      <c r="M73" s="660">
        <v>8713968</v>
      </c>
    </row>
    <row r="74" spans="1:13">
      <c r="A74" s="603"/>
      <c r="B74" s="601"/>
      <c r="C74" s="602" t="s">
        <v>3297</v>
      </c>
      <c r="E74" s="658">
        <v>0</v>
      </c>
      <c r="F74" s="658">
        <v>0</v>
      </c>
      <c r="G74" s="658">
        <v>0</v>
      </c>
      <c r="I74" s="658">
        <v>0</v>
      </c>
      <c r="J74" s="658">
        <v>0</v>
      </c>
      <c r="K74" s="658">
        <v>0</v>
      </c>
      <c r="M74" s="658">
        <v>0</v>
      </c>
    </row>
    <row r="75" spans="1:13">
      <c r="A75" s="603"/>
      <c r="B75" s="588">
        <v>59</v>
      </c>
      <c r="C75" s="599" t="s">
        <v>3298</v>
      </c>
      <c r="E75" s="660"/>
      <c r="F75" s="660">
        <v>0</v>
      </c>
      <c r="G75" s="660">
        <v>0</v>
      </c>
      <c r="I75" s="660"/>
      <c r="J75" s="660">
        <v>0</v>
      </c>
      <c r="K75" s="660">
        <v>0</v>
      </c>
      <c r="M75" s="660"/>
    </row>
    <row r="76" spans="1:13">
      <c r="A76" s="603"/>
      <c r="B76" s="601"/>
      <c r="C76" s="602" t="s">
        <v>3299</v>
      </c>
      <c r="E76" s="658">
        <v>0</v>
      </c>
      <c r="F76" s="658">
        <v>0</v>
      </c>
      <c r="G76" s="658">
        <v>0</v>
      </c>
      <c r="I76" s="658">
        <v>0</v>
      </c>
      <c r="J76" s="658">
        <v>0</v>
      </c>
      <c r="K76" s="658">
        <v>0</v>
      </c>
      <c r="M76" s="658">
        <v>0</v>
      </c>
    </row>
    <row r="77" spans="1:13">
      <c r="A77" s="603"/>
      <c r="B77" s="588">
        <v>60</v>
      </c>
      <c r="C77" s="599" t="s">
        <v>3300</v>
      </c>
      <c r="E77" s="660"/>
      <c r="F77" s="660">
        <v>0</v>
      </c>
      <c r="G77" s="660">
        <v>0</v>
      </c>
      <c r="I77" s="660"/>
      <c r="J77" s="660">
        <v>0</v>
      </c>
      <c r="K77" s="660">
        <v>0</v>
      </c>
      <c r="M77" s="660"/>
    </row>
    <row r="78" spans="1:13">
      <c r="A78" s="603"/>
      <c r="B78" s="601"/>
      <c r="C78" s="602" t="s">
        <v>3301</v>
      </c>
      <c r="E78" s="658">
        <v>0</v>
      </c>
      <c r="F78" s="658">
        <v>0</v>
      </c>
      <c r="G78" s="658">
        <v>0</v>
      </c>
      <c r="I78" s="658">
        <v>1820706</v>
      </c>
      <c r="J78" s="658">
        <v>0</v>
      </c>
      <c r="K78" s="658">
        <v>1820706</v>
      </c>
      <c r="M78" s="658">
        <v>-1820706</v>
      </c>
    </row>
    <row r="79" spans="1:13">
      <c r="A79" s="603"/>
      <c r="B79" s="596">
        <v>61</v>
      </c>
      <c r="C79" s="597" t="s">
        <v>3302</v>
      </c>
      <c r="E79" s="659"/>
      <c r="F79" s="659"/>
      <c r="G79" s="659"/>
      <c r="I79" s="659"/>
      <c r="J79" s="659"/>
      <c r="K79" s="659"/>
      <c r="M79" s="659"/>
    </row>
  </sheetData>
  <mergeCells count="5">
    <mergeCell ref="B3:B4"/>
    <mergeCell ref="C3:C4"/>
    <mergeCell ref="E3:G3"/>
    <mergeCell ref="I3:K3"/>
    <mergeCell ref="M3:M4"/>
  </mergeCells>
  <hyperlinks>
    <hyperlink ref="A1" location="Sommaire!A1" display="Sommaire!A1" xr:uid="{00000000-0004-0000-2700-000000000000}"/>
  </hyperlinks>
  <pageMargins left="0.7" right="0.7" top="0.75" bottom="0.75" header="0.3" footer="0.3"/>
  <pageSetup paperSize="9" orientation="landscape"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M79"/>
  <sheetViews>
    <sheetView showGridLines="0" zoomScaleNormal="100" workbookViewId="0">
      <selection activeCell="B1" sqref="B1"/>
    </sheetView>
  </sheetViews>
  <sheetFormatPr baseColWidth="10" defaultColWidth="11.33203125" defaultRowHeight="12"/>
  <cols>
    <col min="1" max="1" width="10.1640625" style="588" bestFit="1" customWidth="1"/>
    <col min="2" max="2" width="19" style="588" bestFit="1" customWidth="1"/>
    <col min="3" max="3" width="54.5" style="605" bestFit="1" customWidth="1"/>
    <col min="4" max="4" width="0.6640625" style="590" customWidth="1"/>
    <col min="5" max="5" width="12.83203125" style="590" bestFit="1" customWidth="1"/>
    <col min="6" max="6" width="11.5" style="588" bestFit="1" customWidth="1"/>
    <col min="7" max="7" width="12.83203125" style="590" bestFit="1" customWidth="1"/>
    <col min="8" max="8" width="0.6640625" style="590" customWidth="1"/>
    <col min="9" max="9" width="12.83203125" style="590" bestFit="1" customWidth="1"/>
    <col min="10" max="10" width="12.6640625" style="590" bestFit="1" customWidth="1"/>
    <col min="11" max="11" width="12.83203125" style="590" bestFit="1" customWidth="1"/>
    <col min="12" max="12" width="0.6640625" style="590" customWidth="1"/>
    <col min="13" max="13" width="13.83203125" style="590" bestFit="1" customWidth="1"/>
    <col min="14" max="16384" width="11.33203125" style="590"/>
  </cols>
  <sheetData>
    <row r="1" spans="1:13" ht="24">
      <c r="A1" s="661" t="s">
        <v>140</v>
      </c>
      <c r="C1" s="589" t="s">
        <v>3249</v>
      </c>
      <c r="E1" s="591" t="s">
        <v>591</v>
      </c>
      <c r="F1" s="607">
        <v>6011291</v>
      </c>
      <c r="G1" s="592"/>
      <c r="J1" s="592" t="s">
        <v>3251</v>
      </c>
      <c r="K1" s="592">
        <v>2023</v>
      </c>
    </row>
    <row r="2" spans="1:13">
      <c r="C2" s="593"/>
      <c r="F2" s="590"/>
      <c r="I2" s="590" t="s">
        <v>3252</v>
      </c>
      <c r="J2" s="594">
        <v>604.32574999999997</v>
      </c>
    </row>
    <row r="3" spans="1:13">
      <c r="B3" s="753" t="s">
        <v>143</v>
      </c>
      <c r="C3" s="754" t="s">
        <v>3253</v>
      </c>
      <c r="E3" s="755" t="s">
        <v>2084</v>
      </c>
      <c r="F3" s="755"/>
      <c r="G3" s="755"/>
      <c r="I3" s="755" t="s">
        <v>3254</v>
      </c>
      <c r="J3" s="755"/>
      <c r="K3" s="755"/>
      <c r="M3" s="756" t="s">
        <v>3255</v>
      </c>
    </row>
    <row r="4" spans="1:13">
      <c r="B4" s="753"/>
      <c r="C4" s="754"/>
      <c r="E4" s="595" t="s">
        <v>3256</v>
      </c>
      <c r="F4" s="595" t="s">
        <v>3257</v>
      </c>
      <c r="G4" s="595" t="s">
        <v>3258</v>
      </c>
      <c r="I4" s="595" t="s">
        <v>3256</v>
      </c>
      <c r="J4" s="595" t="s">
        <v>3257</v>
      </c>
      <c r="K4" s="595" t="s">
        <v>3258</v>
      </c>
      <c r="M4" s="756"/>
    </row>
    <row r="5" spans="1:13">
      <c r="B5" s="655" t="s">
        <v>3092</v>
      </c>
      <c r="C5" s="656"/>
      <c r="E5" s="657">
        <v>0</v>
      </c>
      <c r="F5" s="657">
        <v>0</v>
      </c>
      <c r="G5" s="657">
        <v>0</v>
      </c>
      <c r="I5" s="657">
        <v>0</v>
      </c>
      <c r="J5" s="657">
        <v>0</v>
      </c>
      <c r="K5" s="657">
        <v>0</v>
      </c>
      <c r="M5" s="657">
        <v>0</v>
      </c>
    </row>
    <row r="6" spans="1:13">
      <c r="B6" s="596">
        <v>1</v>
      </c>
      <c r="C6" s="597" t="s">
        <v>3259</v>
      </c>
      <c r="E6" s="598"/>
      <c r="F6" s="598">
        <v>0</v>
      </c>
      <c r="G6" s="598">
        <v>0</v>
      </c>
      <c r="I6" s="598"/>
      <c r="J6" s="598">
        <v>0</v>
      </c>
      <c r="K6" s="598">
        <v>0</v>
      </c>
      <c r="M6" s="598">
        <v>0</v>
      </c>
    </row>
    <row r="7" spans="1:13">
      <c r="B7" s="588">
        <v>2</v>
      </c>
      <c r="C7" s="599" t="s">
        <v>3260</v>
      </c>
      <c r="E7" s="600"/>
      <c r="F7" s="600">
        <v>0</v>
      </c>
      <c r="G7" s="600">
        <v>0</v>
      </c>
      <c r="I7" s="600"/>
      <c r="J7" s="600">
        <v>0</v>
      </c>
      <c r="K7" s="600">
        <v>0</v>
      </c>
      <c r="M7" s="600">
        <v>0</v>
      </c>
    </row>
    <row r="8" spans="1:13">
      <c r="B8" s="655" t="s">
        <v>3101</v>
      </c>
      <c r="C8" s="656"/>
      <c r="E8" s="657">
        <v>13936243381</v>
      </c>
      <c r="F8" s="657">
        <v>-388138980</v>
      </c>
      <c r="G8" s="657">
        <v>13548104401</v>
      </c>
      <c r="I8" s="657">
        <v>11449617425</v>
      </c>
      <c r="J8" s="657">
        <v>1718566150</v>
      </c>
      <c r="K8" s="657">
        <v>13168183575</v>
      </c>
      <c r="M8" s="657">
        <v>379920826</v>
      </c>
    </row>
    <row r="9" spans="1:13">
      <c r="B9" s="601"/>
      <c r="C9" s="602" t="s">
        <v>1244</v>
      </c>
      <c r="E9" s="658">
        <v>0</v>
      </c>
      <c r="F9" s="658">
        <v>0</v>
      </c>
      <c r="G9" s="658">
        <v>0</v>
      </c>
      <c r="I9" s="658">
        <v>0</v>
      </c>
      <c r="J9" s="658">
        <v>0</v>
      </c>
      <c r="K9" s="658">
        <v>0</v>
      </c>
      <c r="M9" s="658">
        <v>0</v>
      </c>
    </row>
    <row r="10" spans="1:13">
      <c r="A10" s="603">
        <v>3</v>
      </c>
      <c r="B10" s="596">
        <v>3</v>
      </c>
      <c r="C10" s="597" t="s">
        <v>3261</v>
      </c>
      <c r="E10" s="659"/>
      <c r="F10" s="659">
        <v>0</v>
      </c>
      <c r="G10" s="659">
        <v>0</v>
      </c>
      <c r="I10" s="659"/>
      <c r="J10" s="659">
        <v>0</v>
      </c>
      <c r="K10" s="659">
        <v>0</v>
      </c>
      <c r="M10" s="659">
        <v>0</v>
      </c>
    </row>
    <row r="11" spans="1:13">
      <c r="A11" s="603">
        <v>4</v>
      </c>
      <c r="B11" s="588">
        <v>4</v>
      </c>
      <c r="C11" s="599" t="s">
        <v>3106</v>
      </c>
      <c r="E11" s="660"/>
      <c r="F11" s="660">
        <v>0</v>
      </c>
      <c r="G11" s="660">
        <v>0</v>
      </c>
      <c r="I11" s="660"/>
      <c r="J11" s="660">
        <v>0</v>
      </c>
      <c r="K11" s="660">
        <v>0</v>
      </c>
      <c r="M11" s="660">
        <v>0</v>
      </c>
    </row>
    <row r="12" spans="1:13">
      <c r="A12" s="603">
        <v>5</v>
      </c>
      <c r="B12" s="596">
        <v>5</v>
      </c>
      <c r="C12" s="597" t="s">
        <v>3262</v>
      </c>
      <c r="E12" s="659"/>
      <c r="F12" s="659">
        <v>0</v>
      </c>
      <c r="G12" s="659">
        <v>0</v>
      </c>
      <c r="I12" s="659"/>
      <c r="J12" s="659">
        <v>0</v>
      </c>
      <c r="K12" s="659">
        <v>0</v>
      </c>
      <c r="M12" s="659">
        <v>0</v>
      </c>
    </row>
    <row r="13" spans="1:13">
      <c r="A13" s="603">
        <v>6</v>
      </c>
      <c r="B13" s="588">
        <v>6</v>
      </c>
      <c r="C13" s="599" t="s">
        <v>3263</v>
      </c>
      <c r="E13" s="660"/>
      <c r="F13" s="660">
        <v>0</v>
      </c>
      <c r="G13" s="660">
        <v>0</v>
      </c>
      <c r="I13" s="660"/>
      <c r="J13" s="660">
        <v>0</v>
      </c>
      <c r="K13" s="660">
        <v>0</v>
      </c>
      <c r="M13" s="660">
        <v>0</v>
      </c>
    </row>
    <row r="14" spans="1:13">
      <c r="A14" s="603">
        <v>7</v>
      </c>
      <c r="B14" s="596">
        <v>7</v>
      </c>
      <c r="C14" s="597" t="s">
        <v>3114</v>
      </c>
      <c r="E14" s="659"/>
      <c r="F14" s="659">
        <v>0</v>
      </c>
      <c r="G14" s="659">
        <v>0</v>
      </c>
      <c r="I14" s="659"/>
      <c r="J14" s="659">
        <v>0</v>
      </c>
      <c r="K14" s="659">
        <v>0</v>
      </c>
      <c r="M14" s="659">
        <v>0</v>
      </c>
    </row>
    <row r="15" spans="1:13">
      <c r="A15" s="603">
        <v>0</v>
      </c>
      <c r="B15" s="601"/>
      <c r="C15" s="602" t="s">
        <v>1253</v>
      </c>
      <c r="E15" s="658">
        <v>313472250</v>
      </c>
      <c r="F15" s="658">
        <v>0</v>
      </c>
      <c r="G15" s="658">
        <v>313472250</v>
      </c>
      <c r="I15" s="658">
        <v>312545825</v>
      </c>
      <c r="J15" s="658">
        <v>0</v>
      </c>
      <c r="K15" s="658">
        <v>312545825</v>
      </c>
      <c r="M15" s="658">
        <v>926425</v>
      </c>
    </row>
    <row r="16" spans="1:13">
      <c r="A16" s="603">
        <v>8</v>
      </c>
      <c r="B16" s="588">
        <v>8</v>
      </c>
      <c r="C16" s="599" t="s">
        <v>3264</v>
      </c>
      <c r="E16" s="660"/>
      <c r="F16" s="660">
        <v>0</v>
      </c>
      <c r="G16" s="660">
        <v>0</v>
      </c>
      <c r="I16" s="660"/>
      <c r="J16" s="660">
        <v>0</v>
      </c>
      <c r="K16" s="660">
        <v>0</v>
      </c>
      <c r="M16" s="660">
        <v>0</v>
      </c>
    </row>
    <row r="17" spans="1:13">
      <c r="A17" s="603">
        <v>9</v>
      </c>
      <c r="B17" s="596">
        <v>9</v>
      </c>
      <c r="C17" s="597" t="s">
        <v>3265</v>
      </c>
      <c r="E17" s="659"/>
      <c r="F17" s="659">
        <v>0</v>
      </c>
      <c r="G17" s="659">
        <v>0</v>
      </c>
      <c r="I17" s="659"/>
      <c r="J17" s="659">
        <v>0</v>
      </c>
      <c r="K17" s="659">
        <v>0</v>
      </c>
      <c r="M17" s="659">
        <v>0</v>
      </c>
    </row>
    <row r="18" spans="1:13">
      <c r="A18" s="603"/>
      <c r="B18" s="588">
        <v>10</v>
      </c>
      <c r="C18" s="599" t="s">
        <v>3122</v>
      </c>
      <c r="E18" s="660">
        <v>299250000</v>
      </c>
      <c r="F18" s="660">
        <v>0</v>
      </c>
      <c r="G18" s="660">
        <v>299250000</v>
      </c>
      <c r="I18" s="660">
        <v>312545825</v>
      </c>
      <c r="J18" s="660">
        <v>-14222250</v>
      </c>
      <c r="K18" s="660">
        <v>298323575</v>
      </c>
      <c r="M18" s="660">
        <v>926425</v>
      </c>
    </row>
    <row r="19" spans="1:13">
      <c r="A19" s="603">
        <v>11</v>
      </c>
      <c r="B19" s="596">
        <v>11</v>
      </c>
      <c r="C19" s="597" t="s">
        <v>3124</v>
      </c>
      <c r="E19" s="659"/>
      <c r="F19" s="659">
        <v>0</v>
      </c>
      <c r="G19" s="659">
        <v>0</v>
      </c>
      <c r="I19" s="659"/>
      <c r="J19" s="659">
        <v>0</v>
      </c>
      <c r="K19" s="659">
        <v>0</v>
      </c>
      <c r="M19" s="659">
        <v>0</v>
      </c>
    </row>
    <row r="20" spans="1:13">
      <c r="A20" s="603">
        <v>12</v>
      </c>
      <c r="B20" s="588">
        <v>12</v>
      </c>
      <c r="C20" s="599" t="s">
        <v>3266</v>
      </c>
      <c r="E20" s="660"/>
      <c r="F20" s="660">
        <v>0</v>
      </c>
      <c r="G20" s="660">
        <v>0</v>
      </c>
      <c r="I20" s="660"/>
      <c r="J20" s="660">
        <v>0</v>
      </c>
      <c r="K20" s="660">
        <v>0</v>
      </c>
      <c r="M20" s="660">
        <v>0</v>
      </c>
    </row>
    <row r="21" spans="1:13">
      <c r="A21" s="603">
        <v>13</v>
      </c>
      <c r="B21" s="596">
        <v>13</v>
      </c>
      <c r="C21" s="597" t="s">
        <v>3267</v>
      </c>
      <c r="E21" s="659">
        <v>14222250</v>
      </c>
      <c r="F21" s="659">
        <v>0</v>
      </c>
      <c r="G21" s="659">
        <v>14222250</v>
      </c>
      <c r="I21" s="659"/>
      <c r="J21" s="659">
        <v>14222250</v>
      </c>
      <c r="K21" s="659">
        <v>14222250</v>
      </c>
      <c r="M21" s="659">
        <v>0</v>
      </c>
    </row>
    <row r="22" spans="1:13">
      <c r="A22" s="603">
        <v>14</v>
      </c>
      <c r="B22" s="588">
        <v>14</v>
      </c>
      <c r="C22" s="599" t="s">
        <v>3268</v>
      </c>
      <c r="E22" s="660"/>
      <c r="F22" s="660">
        <v>0</v>
      </c>
      <c r="G22" s="660">
        <v>0</v>
      </c>
      <c r="I22" s="660"/>
      <c r="J22" s="660">
        <v>0</v>
      </c>
      <c r="K22" s="660">
        <v>0</v>
      </c>
      <c r="M22" s="660">
        <v>0</v>
      </c>
    </row>
    <row r="23" spans="1:13">
      <c r="A23" s="603">
        <v>15</v>
      </c>
      <c r="B23" s="596">
        <v>15</v>
      </c>
      <c r="C23" s="597" t="s">
        <v>3133</v>
      </c>
      <c r="E23" s="659"/>
      <c r="F23" s="659">
        <v>0</v>
      </c>
      <c r="G23" s="659">
        <v>0</v>
      </c>
      <c r="I23" s="659"/>
      <c r="J23" s="659">
        <v>0</v>
      </c>
      <c r="K23" s="659">
        <v>0</v>
      </c>
      <c r="M23" s="659">
        <v>0</v>
      </c>
    </row>
    <row r="24" spans="1:13">
      <c r="A24" s="603">
        <v>16</v>
      </c>
      <c r="B24" s="588">
        <v>16</v>
      </c>
      <c r="C24" s="599" t="s">
        <v>3136</v>
      </c>
      <c r="E24" s="660"/>
      <c r="F24" s="660">
        <v>0</v>
      </c>
      <c r="G24" s="660">
        <v>0</v>
      </c>
      <c r="I24" s="660"/>
      <c r="J24" s="660">
        <v>0</v>
      </c>
      <c r="K24" s="660">
        <v>0</v>
      </c>
      <c r="M24" s="660">
        <v>0</v>
      </c>
    </row>
    <row r="25" spans="1:13">
      <c r="A25" s="603">
        <v>0</v>
      </c>
      <c r="B25" s="601"/>
      <c r="C25" s="602" t="s">
        <v>3269</v>
      </c>
      <c r="E25" s="658">
        <v>0</v>
      </c>
      <c r="F25" s="658">
        <v>0</v>
      </c>
      <c r="G25" s="658">
        <v>0</v>
      </c>
      <c r="I25" s="658">
        <v>0</v>
      </c>
      <c r="J25" s="658">
        <v>0</v>
      </c>
      <c r="K25" s="658">
        <v>0</v>
      </c>
      <c r="M25" s="658">
        <v>0</v>
      </c>
    </row>
    <row r="26" spans="1:13">
      <c r="A26" s="603">
        <v>17</v>
      </c>
      <c r="B26" s="596">
        <v>17</v>
      </c>
      <c r="C26" s="597" t="s">
        <v>3270</v>
      </c>
      <c r="E26" s="659"/>
      <c r="F26" s="659">
        <v>0</v>
      </c>
      <c r="G26" s="659">
        <v>0</v>
      </c>
      <c r="I26" s="659"/>
      <c r="J26" s="659">
        <v>0</v>
      </c>
      <c r="K26" s="659">
        <v>0</v>
      </c>
      <c r="M26" s="659">
        <v>0</v>
      </c>
    </row>
    <row r="27" spans="1:13">
      <c r="A27" s="603">
        <v>18</v>
      </c>
      <c r="B27" s="588">
        <v>18</v>
      </c>
      <c r="C27" s="599" t="s">
        <v>3141</v>
      </c>
      <c r="E27" s="660"/>
      <c r="F27" s="660">
        <v>0</v>
      </c>
      <c r="G27" s="660">
        <v>0</v>
      </c>
      <c r="I27" s="660"/>
      <c r="J27" s="660">
        <v>0</v>
      </c>
      <c r="K27" s="660">
        <v>0</v>
      </c>
      <c r="M27" s="660">
        <v>0</v>
      </c>
    </row>
    <row r="28" spans="1:13">
      <c r="A28" s="603">
        <v>19</v>
      </c>
      <c r="B28" s="596">
        <v>19</v>
      </c>
      <c r="C28" s="597" t="s">
        <v>3144</v>
      </c>
      <c r="E28" s="659"/>
      <c r="F28" s="659">
        <v>0</v>
      </c>
      <c r="G28" s="659">
        <v>0</v>
      </c>
      <c r="I28" s="659"/>
      <c r="J28" s="659">
        <v>0</v>
      </c>
      <c r="K28" s="659">
        <v>0</v>
      </c>
      <c r="M28" s="659">
        <v>0</v>
      </c>
    </row>
    <row r="29" spans="1:13">
      <c r="A29" s="603">
        <v>20</v>
      </c>
      <c r="B29" s="588">
        <v>20</v>
      </c>
      <c r="C29" s="599" t="s">
        <v>3147</v>
      </c>
      <c r="E29" s="660"/>
      <c r="F29" s="660">
        <v>0</v>
      </c>
      <c r="G29" s="660">
        <v>0</v>
      </c>
      <c r="I29" s="660"/>
      <c r="J29" s="660">
        <v>0</v>
      </c>
      <c r="K29" s="660">
        <v>0</v>
      </c>
      <c r="M29" s="660">
        <v>0</v>
      </c>
    </row>
    <row r="30" spans="1:13">
      <c r="A30" s="603">
        <v>21</v>
      </c>
      <c r="B30" s="596">
        <v>21</v>
      </c>
      <c r="C30" s="597" t="s">
        <v>3271</v>
      </c>
      <c r="E30" s="659"/>
      <c r="F30" s="659">
        <v>0</v>
      </c>
      <c r="G30" s="659">
        <v>0</v>
      </c>
      <c r="I30" s="659"/>
      <c r="J30" s="659">
        <v>0</v>
      </c>
      <c r="K30" s="659">
        <v>0</v>
      </c>
      <c r="M30" s="659">
        <v>0</v>
      </c>
    </row>
    <row r="31" spans="1:13">
      <c r="A31" s="603">
        <v>22</v>
      </c>
      <c r="B31" s="588">
        <v>22</v>
      </c>
      <c r="C31" s="599" t="s">
        <v>3272</v>
      </c>
      <c r="E31" s="660"/>
      <c r="F31" s="660">
        <v>0</v>
      </c>
      <c r="G31" s="660">
        <v>0</v>
      </c>
      <c r="I31" s="660"/>
      <c r="J31" s="660">
        <v>0</v>
      </c>
      <c r="K31" s="660">
        <v>0</v>
      </c>
      <c r="M31" s="660">
        <v>0</v>
      </c>
    </row>
    <row r="32" spans="1:13">
      <c r="A32" s="603">
        <v>23</v>
      </c>
      <c r="B32" s="596">
        <v>23</v>
      </c>
      <c r="C32" s="597" t="s">
        <v>3273</v>
      </c>
      <c r="E32" s="659"/>
      <c r="F32" s="659">
        <v>0</v>
      </c>
      <c r="G32" s="659">
        <v>0</v>
      </c>
      <c r="I32" s="659"/>
      <c r="J32" s="659">
        <v>0</v>
      </c>
      <c r="K32" s="659">
        <v>0</v>
      </c>
      <c r="M32" s="659">
        <v>0</v>
      </c>
    </row>
    <row r="33" spans="1:13">
      <c r="A33" s="603">
        <v>24</v>
      </c>
      <c r="B33" s="588">
        <v>24</v>
      </c>
      <c r="C33" s="599" t="s">
        <v>3158</v>
      </c>
      <c r="E33" s="660"/>
      <c r="F33" s="660">
        <v>0</v>
      </c>
      <c r="G33" s="660">
        <v>0</v>
      </c>
      <c r="I33" s="660"/>
      <c r="J33" s="660">
        <v>0</v>
      </c>
      <c r="K33" s="660">
        <v>0</v>
      </c>
      <c r="M33" s="660">
        <v>0</v>
      </c>
    </row>
    <row r="34" spans="1:13" s="604" customFormat="1">
      <c r="A34" s="603">
        <v>25</v>
      </c>
      <c r="B34" s="596">
        <v>25</v>
      </c>
      <c r="C34" s="597" t="s">
        <v>3274</v>
      </c>
      <c r="D34" s="590"/>
      <c r="E34" s="659"/>
      <c r="F34" s="659">
        <v>0</v>
      </c>
      <c r="G34" s="659">
        <v>0</v>
      </c>
      <c r="H34" s="590"/>
      <c r="I34" s="659"/>
      <c r="J34" s="659">
        <v>0</v>
      </c>
      <c r="K34" s="659">
        <v>0</v>
      </c>
      <c r="L34" s="590"/>
      <c r="M34" s="659">
        <v>0</v>
      </c>
    </row>
    <row r="35" spans="1:13">
      <c r="A35" s="603">
        <v>26</v>
      </c>
      <c r="B35" s="588">
        <v>26</v>
      </c>
      <c r="C35" s="599" t="s">
        <v>3275</v>
      </c>
      <c r="E35" s="660"/>
      <c r="F35" s="660">
        <v>0</v>
      </c>
      <c r="G35" s="660">
        <v>0</v>
      </c>
      <c r="I35" s="660"/>
      <c r="J35" s="660">
        <v>0</v>
      </c>
      <c r="K35" s="660">
        <v>0</v>
      </c>
      <c r="M35" s="660">
        <v>0</v>
      </c>
    </row>
    <row r="36" spans="1:13">
      <c r="A36" s="603">
        <v>0</v>
      </c>
      <c r="B36" s="601"/>
      <c r="C36" s="602" t="s">
        <v>3276</v>
      </c>
      <c r="E36" s="658">
        <v>9877301497</v>
      </c>
      <c r="F36" s="658">
        <v>0</v>
      </c>
      <c r="G36" s="658">
        <v>9877301497</v>
      </c>
      <c r="I36" s="658">
        <v>8158468732</v>
      </c>
      <c r="J36" s="658">
        <v>1718566150</v>
      </c>
      <c r="K36" s="658">
        <v>9877034882</v>
      </c>
      <c r="M36" s="658">
        <v>266615</v>
      </c>
    </row>
    <row r="37" spans="1:13">
      <c r="A37" s="603">
        <v>27</v>
      </c>
      <c r="B37" s="596">
        <v>27</v>
      </c>
      <c r="C37" s="597" t="s">
        <v>3164</v>
      </c>
      <c r="E37" s="659"/>
      <c r="F37" s="659">
        <v>0</v>
      </c>
      <c r="G37" s="659">
        <v>0</v>
      </c>
      <c r="I37" s="659"/>
      <c r="J37" s="659">
        <v>0</v>
      </c>
      <c r="K37" s="659">
        <v>0</v>
      </c>
      <c r="M37" s="659">
        <v>0</v>
      </c>
    </row>
    <row r="38" spans="1:13">
      <c r="A38" s="603">
        <v>28</v>
      </c>
      <c r="B38" s="588">
        <v>28</v>
      </c>
      <c r="C38" s="599" t="s">
        <v>3167</v>
      </c>
      <c r="E38" s="660">
        <v>5040924148</v>
      </c>
      <c r="F38" s="660">
        <v>0</v>
      </c>
      <c r="G38" s="660">
        <v>5040924148</v>
      </c>
      <c r="I38" s="660">
        <v>4232196628</v>
      </c>
      <c r="J38" s="660">
        <v>808460905</v>
      </c>
      <c r="K38" s="660">
        <v>5040657533</v>
      </c>
      <c r="M38" s="660">
        <v>266615</v>
      </c>
    </row>
    <row r="39" spans="1:13">
      <c r="A39" s="603">
        <v>29</v>
      </c>
      <c r="B39" s="596">
        <v>29</v>
      </c>
      <c r="C39" s="597" t="s">
        <v>3170</v>
      </c>
      <c r="E39" s="659"/>
      <c r="F39" s="659">
        <v>0</v>
      </c>
      <c r="G39" s="659">
        <v>0</v>
      </c>
      <c r="I39" s="659"/>
      <c r="J39" s="659">
        <v>0</v>
      </c>
      <c r="K39" s="659">
        <v>0</v>
      </c>
      <c r="M39" s="659">
        <v>0</v>
      </c>
    </row>
    <row r="40" spans="1:13">
      <c r="A40" s="603">
        <v>30</v>
      </c>
      <c r="B40" s="588">
        <v>30</v>
      </c>
      <c r="C40" s="599" t="s">
        <v>3173</v>
      </c>
      <c r="E40" s="660"/>
      <c r="F40" s="660">
        <v>0</v>
      </c>
      <c r="G40" s="660">
        <v>0</v>
      </c>
      <c r="I40" s="660"/>
      <c r="J40" s="660">
        <v>0</v>
      </c>
      <c r="K40" s="660">
        <v>0</v>
      </c>
      <c r="M40" s="660">
        <v>0</v>
      </c>
    </row>
    <row r="41" spans="1:13">
      <c r="A41" s="603">
        <v>31</v>
      </c>
      <c r="B41" s="596">
        <v>31</v>
      </c>
      <c r="C41" s="597" t="s">
        <v>3176</v>
      </c>
      <c r="E41" s="659"/>
      <c r="F41" s="659">
        <v>0</v>
      </c>
      <c r="G41" s="659">
        <v>0</v>
      </c>
      <c r="I41" s="659"/>
      <c r="J41" s="659">
        <v>0</v>
      </c>
      <c r="K41" s="659">
        <v>0</v>
      </c>
      <c r="M41" s="659">
        <v>0</v>
      </c>
    </row>
    <row r="42" spans="1:13">
      <c r="A42" s="603">
        <v>32</v>
      </c>
      <c r="B42" s="588">
        <v>32</v>
      </c>
      <c r="C42" s="599" t="s">
        <v>3178</v>
      </c>
      <c r="E42" s="660">
        <v>4834381070</v>
      </c>
      <c r="F42" s="660">
        <v>0</v>
      </c>
      <c r="G42" s="660">
        <v>4834381070</v>
      </c>
      <c r="I42" s="660">
        <v>3924275825</v>
      </c>
      <c r="J42" s="660">
        <v>910105245</v>
      </c>
      <c r="K42" s="660">
        <v>4834381070</v>
      </c>
      <c r="M42" s="660">
        <v>0</v>
      </c>
    </row>
    <row r="43" spans="1:13">
      <c r="A43" s="603">
        <v>33</v>
      </c>
      <c r="B43" s="596">
        <v>33</v>
      </c>
      <c r="C43" s="597" t="s">
        <v>3181</v>
      </c>
      <c r="E43" s="659"/>
      <c r="F43" s="659">
        <v>0</v>
      </c>
      <c r="G43" s="659">
        <v>0</v>
      </c>
      <c r="I43" s="659"/>
      <c r="J43" s="659">
        <v>0</v>
      </c>
      <c r="K43" s="659">
        <v>0</v>
      </c>
      <c r="M43" s="659">
        <v>0</v>
      </c>
    </row>
    <row r="44" spans="1:13">
      <c r="A44" s="603">
        <v>34</v>
      </c>
      <c r="B44" s="588">
        <v>34</v>
      </c>
      <c r="C44" s="599" t="s">
        <v>3184</v>
      </c>
      <c r="E44" s="660">
        <v>1996279</v>
      </c>
      <c r="F44" s="660">
        <v>0</v>
      </c>
      <c r="G44" s="660">
        <v>1996279</v>
      </c>
      <c r="I44" s="660">
        <v>1996279</v>
      </c>
      <c r="J44" s="660">
        <v>0</v>
      </c>
      <c r="K44" s="660">
        <v>1996279</v>
      </c>
      <c r="M44" s="660">
        <v>0</v>
      </c>
    </row>
    <row r="45" spans="1:13">
      <c r="A45" s="603">
        <v>35</v>
      </c>
      <c r="B45" s="596">
        <v>35</v>
      </c>
      <c r="C45" s="597" t="s">
        <v>3186</v>
      </c>
      <c r="E45" s="659"/>
      <c r="F45" s="659">
        <v>0</v>
      </c>
      <c r="G45" s="659">
        <v>0</v>
      </c>
      <c r="I45" s="659"/>
      <c r="J45" s="659">
        <v>0</v>
      </c>
      <c r="K45" s="659">
        <v>0</v>
      </c>
      <c r="M45" s="659">
        <v>0</v>
      </c>
    </row>
    <row r="46" spans="1:13">
      <c r="A46" s="603">
        <v>36</v>
      </c>
      <c r="B46" s="588">
        <v>36</v>
      </c>
      <c r="C46" s="599" t="s">
        <v>3189</v>
      </c>
      <c r="E46" s="660"/>
      <c r="F46" s="660">
        <v>0</v>
      </c>
      <c r="G46" s="660">
        <v>0</v>
      </c>
      <c r="I46" s="660"/>
      <c r="J46" s="660">
        <v>0</v>
      </c>
      <c r="K46" s="660">
        <v>0</v>
      </c>
      <c r="M46" s="660">
        <v>0</v>
      </c>
    </row>
    <row r="47" spans="1:13">
      <c r="A47" s="603">
        <v>37</v>
      </c>
      <c r="B47" s="596">
        <v>37</v>
      </c>
      <c r="C47" s="597" t="s">
        <v>3277</v>
      </c>
      <c r="E47" s="659"/>
      <c r="F47" s="659">
        <v>0</v>
      </c>
      <c r="G47" s="659">
        <v>0</v>
      </c>
      <c r="I47" s="659"/>
      <c r="J47" s="659">
        <v>0</v>
      </c>
      <c r="K47" s="659">
        <v>0</v>
      </c>
      <c r="M47" s="659">
        <v>0</v>
      </c>
    </row>
    <row r="48" spans="1:13">
      <c r="A48" s="603">
        <v>38</v>
      </c>
      <c r="B48" s="588">
        <v>38</v>
      </c>
      <c r="C48" s="599" t="s">
        <v>3278</v>
      </c>
      <c r="E48" s="660"/>
      <c r="F48" s="660">
        <v>0</v>
      </c>
      <c r="G48" s="660">
        <v>0</v>
      </c>
      <c r="I48" s="660"/>
      <c r="J48" s="660">
        <v>0</v>
      </c>
      <c r="K48" s="660">
        <v>0</v>
      </c>
      <c r="M48" s="660">
        <v>0</v>
      </c>
    </row>
    <row r="49" spans="1:13">
      <c r="A49" s="603">
        <v>39</v>
      </c>
      <c r="B49" s="596">
        <v>39</v>
      </c>
      <c r="C49" s="597" t="s">
        <v>3195</v>
      </c>
      <c r="E49" s="659"/>
      <c r="F49" s="659">
        <v>0</v>
      </c>
      <c r="G49" s="659">
        <v>0</v>
      </c>
      <c r="I49" s="659"/>
      <c r="J49" s="659">
        <v>0</v>
      </c>
      <c r="K49" s="659">
        <v>0</v>
      </c>
      <c r="M49" s="659">
        <v>0</v>
      </c>
    </row>
    <row r="50" spans="1:13">
      <c r="A50" s="603">
        <v>40</v>
      </c>
      <c r="B50" s="588">
        <v>40</v>
      </c>
      <c r="C50" s="599" t="s">
        <v>3198</v>
      </c>
      <c r="E50" s="660"/>
      <c r="F50" s="660">
        <v>0</v>
      </c>
      <c r="G50" s="660">
        <v>0</v>
      </c>
      <c r="I50" s="660"/>
      <c r="J50" s="660">
        <v>0</v>
      </c>
      <c r="K50" s="660">
        <v>0</v>
      </c>
      <c r="M50" s="660">
        <v>0</v>
      </c>
    </row>
    <row r="51" spans="1:13">
      <c r="A51" s="603">
        <v>41</v>
      </c>
      <c r="B51" s="596">
        <v>41</v>
      </c>
      <c r="C51" s="597" t="s">
        <v>3279</v>
      </c>
      <c r="E51" s="659"/>
      <c r="F51" s="659">
        <v>0</v>
      </c>
      <c r="G51" s="659">
        <v>0</v>
      </c>
      <c r="I51" s="659"/>
      <c r="J51" s="659">
        <v>0</v>
      </c>
      <c r="K51" s="659">
        <v>0</v>
      </c>
      <c r="M51" s="659">
        <v>0</v>
      </c>
    </row>
    <row r="52" spans="1:13">
      <c r="A52" s="603"/>
      <c r="B52" s="588">
        <v>42</v>
      </c>
      <c r="C52" s="599" t="s">
        <v>3280</v>
      </c>
      <c r="E52" s="660"/>
      <c r="F52" s="660">
        <v>0</v>
      </c>
      <c r="G52" s="660">
        <v>0</v>
      </c>
      <c r="I52" s="660"/>
      <c r="J52" s="660">
        <v>0</v>
      </c>
      <c r="K52" s="660">
        <v>0</v>
      </c>
      <c r="M52" s="660">
        <v>0</v>
      </c>
    </row>
    <row r="53" spans="1:13">
      <c r="A53" s="603">
        <v>0</v>
      </c>
      <c r="B53" s="601"/>
      <c r="C53" s="602" t="s">
        <v>3281</v>
      </c>
      <c r="E53" s="658">
        <v>3646276705</v>
      </c>
      <c r="F53" s="658">
        <v>-388138980</v>
      </c>
      <c r="G53" s="658">
        <v>3258137725</v>
      </c>
      <c r="I53" s="658">
        <v>2878544047</v>
      </c>
      <c r="J53" s="658">
        <v>0</v>
      </c>
      <c r="K53" s="658">
        <v>2878544047</v>
      </c>
      <c r="M53" s="658">
        <v>379593678</v>
      </c>
    </row>
    <row r="54" spans="1:13">
      <c r="A54" s="603">
        <v>43</v>
      </c>
      <c r="B54" s="596">
        <v>43</v>
      </c>
      <c r="C54" s="597" t="s">
        <v>3282</v>
      </c>
      <c r="E54" s="659"/>
      <c r="F54" s="659">
        <v>0</v>
      </c>
      <c r="G54" s="659">
        <v>0</v>
      </c>
      <c r="I54" s="659">
        <v>3205309</v>
      </c>
      <c r="J54" s="659">
        <v>0</v>
      </c>
      <c r="K54" s="659">
        <v>3205309</v>
      </c>
      <c r="M54" s="659">
        <v>-3205309</v>
      </c>
    </row>
    <row r="55" spans="1:13">
      <c r="A55" s="603">
        <v>44</v>
      </c>
      <c r="B55" s="588">
        <v>44</v>
      </c>
      <c r="C55" s="599" t="s">
        <v>3283</v>
      </c>
      <c r="E55" s="660"/>
      <c r="F55" s="660">
        <v>0</v>
      </c>
      <c r="G55" s="660">
        <v>0</v>
      </c>
      <c r="I55" s="660">
        <v>999002239</v>
      </c>
      <c r="J55" s="660">
        <v>0</v>
      </c>
      <c r="K55" s="660">
        <v>999002239</v>
      </c>
      <c r="M55" s="660">
        <v>-999002239</v>
      </c>
    </row>
    <row r="56" spans="1:13">
      <c r="A56" s="603"/>
      <c r="B56" s="596">
        <v>45</v>
      </c>
      <c r="C56" s="597" t="s">
        <v>3284</v>
      </c>
      <c r="E56" s="659"/>
      <c r="F56" s="659">
        <v>0</v>
      </c>
      <c r="G56" s="659">
        <v>0</v>
      </c>
      <c r="I56" s="659">
        <v>1248752786</v>
      </c>
      <c r="J56" s="659">
        <v>0</v>
      </c>
      <c r="K56" s="659">
        <v>1248752786</v>
      </c>
      <c r="M56" s="659">
        <v>-1248752786</v>
      </c>
    </row>
    <row r="57" spans="1:13">
      <c r="A57" s="603"/>
      <c r="B57" s="588">
        <v>46</v>
      </c>
      <c r="C57" s="599" t="s">
        <v>3285</v>
      </c>
      <c r="E57" s="660">
        <v>3646276705</v>
      </c>
      <c r="F57" s="660">
        <v>-388138980</v>
      </c>
      <c r="G57" s="660">
        <v>3258137725</v>
      </c>
      <c r="I57" s="660">
        <v>2915754</v>
      </c>
      <c r="J57" s="660">
        <v>0</v>
      </c>
      <c r="K57" s="660">
        <v>2915754</v>
      </c>
      <c r="M57" s="660">
        <v>3255221971</v>
      </c>
    </row>
    <row r="58" spans="1:13">
      <c r="A58" s="603"/>
      <c r="B58" s="596">
        <v>47</v>
      </c>
      <c r="C58" s="597" t="s">
        <v>3286</v>
      </c>
      <c r="E58" s="659"/>
      <c r="F58" s="659">
        <v>0</v>
      </c>
      <c r="G58" s="659">
        <v>0</v>
      </c>
      <c r="I58" s="659">
        <v>624376384</v>
      </c>
      <c r="J58" s="659">
        <v>0</v>
      </c>
      <c r="K58" s="659">
        <v>624376384</v>
      </c>
      <c r="M58" s="659">
        <v>-624376384</v>
      </c>
    </row>
    <row r="59" spans="1:13">
      <c r="A59" s="603"/>
      <c r="B59" s="588">
        <v>48</v>
      </c>
      <c r="C59" s="599" t="s">
        <v>3287</v>
      </c>
      <c r="E59" s="660"/>
      <c r="F59" s="660">
        <v>0</v>
      </c>
      <c r="G59" s="660">
        <v>0</v>
      </c>
      <c r="I59" s="660"/>
      <c r="J59" s="660">
        <v>0</v>
      </c>
      <c r="K59" s="660">
        <v>0</v>
      </c>
      <c r="M59" s="660">
        <v>0</v>
      </c>
    </row>
    <row r="60" spans="1:13">
      <c r="A60" s="603"/>
      <c r="B60" s="596">
        <v>49</v>
      </c>
      <c r="C60" s="597" t="s">
        <v>3288</v>
      </c>
      <c r="E60" s="659"/>
      <c r="F60" s="659">
        <v>0</v>
      </c>
      <c r="G60" s="659">
        <v>0</v>
      </c>
      <c r="I60" s="659"/>
      <c r="J60" s="659">
        <v>0</v>
      </c>
      <c r="K60" s="659">
        <v>0</v>
      </c>
      <c r="M60" s="659">
        <v>0</v>
      </c>
    </row>
    <row r="61" spans="1:13">
      <c r="A61" s="603"/>
      <c r="B61" s="588">
        <v>50</v>
      </c>
      <c r="C61" s="599" t="s">
        <v>3289</v>
      </c>
      <c r="E61" s="660"/>
      <c r="F61" s="660">
        <v>0</v>
      </c>
      <c r="G61" s="660">
        <v>0</v>
      </c>
      <c r="I61" s="660">
        <v>291575</v>
      </c>
      <c r="J61" s="660">
        <v>0</v>
      </c>
      <c r="K61" s="660">
        <v>291575</v>
      </c>
      <c r="M61" s="660">
        <v>-291575</v>
      </c>
    </row>
    <row r="62" spans="1:13">
      <c r="A62" s="603"/>
      <c r="B62" s="596">
        <v>51</v>
      </c>
      <c r="C62" s="597" t="s">
        <v>3218</v>
      </c>
      <c r="E62" s="659"/>
      <c r="F62" s="659">
        <v>0</v>
      </c>
      <c r="G62" s="659">
        <v>0</v>
      </c>
      <c r="I62" s="659"/>
      <c r="J62" s="659">
        <v>0</v>
      </c>
      <c r="K62" s="659">
        <v>0</v>
      </c>
      <c r="M62" s="659">
        <v>0</v>
      </c>
    </row>
    <row r="63" spans="1:13">
      <c r="A63" s="603">
        <v>0</v>
      </c>
      <c r="B63" s="601"/>
      <c r="C63" s="602" t="s">
        <v>3290</v>
      </c>
      <c r="E63" s="658">
        <v>0</v>
      </c>
      <c r="F63" s="658">
        <v>0</v>
      </c>
      <c r="G63" s="658">
        <v>0</v>
      </c>
      <c r="I63" s="658">
        <v>0</v>
      </c>
      <c r="J63" s="658">
        <v>0</v>
      </c>
      <c r="K63" s="658">
        <v>0</v>
      </c>
      <c r="M63" s="658">
        <v>0</v>
      </c>
    </row>
    <row r="64" spans="1:13">
      <c r="A64" s="603">
        <v>52</v>
      </c>
      <c r="B64" s="588">
        <v>52</v>
      </c>
      <c r="C64" s="599" t="s">
        <v>3222</v>
      </c>
      <c r="E64" s="660"/>
      <c r="F64" s="660">
        <v>0</v>
      </c>
      <c r="G64" s="660">
        <v>0</v>
      </c>
      <c r="I64" s="660"/>
      <c r="J64" s="660">
        <v>0</v>
      </c>
      <c r="K64" s="660">
        <v>0</v>
      </c>
      <c r="M64" s="660">
        <v>0</v>
      </c>
    </row>
    <row r="65" spans="1:13">
      <c r="A65" s="603">
        <v>53</v>
      </c>
      <c r="B65" s="596">
        <v>53</v>
      </c>
      <c r="C65" s="597" t="s">
        <v>3225</v>
      </c>
      <c r="E65" s="659"/>
      <c r="F65" s="659">
        <v>0</v>
      </c>
      <c r="G65" s="659">
        <v>0</v>
      </c>
      <c r="I65" s="659"/>
      <c r="J65" s="659">
        <v>0</v>
      </c>
      <c r="K65" s="659">
        <v>0</v>
      </c>
      <c r="M65" s="659">
        <v>0</v>
      </c>
    </row>
    <row r="66" spans="1:13">
      <c r="A66" s="603">
        <v>54</v>
      </c>
      <c r="B66" s="588">
        <v>54</v>
      </c>
      <c r="C66" s="599" t="s">
        <v>3291</v>
      </c>
      <c r="E66" s="660"/>
      <c r="F66" s="660">
        <v>0</v>
      </c>
      <c r="G66" s="660">
        <v>0</v>
      </c>
      <c r="I66" s="660"/>
      <c r="J66" s="660">
        <v>0</v>
      </c>
      <c r="K66" s="660">
        <v>0</v>
      </c>
      <c r="M66" s="660">
        <v>0</v>
      </c>
    </row>
    <row r="67" spans="1:13">
      <c r="A67" s="603"/>
      <c r="B67" s="601"/>
      <c r="C67" s="602" t="s">
        <v>3292</v>
      </c>
      <c r="E67" s="658">
        <v>0</v>
      </c>
      <c r="F67" s="658">
        <v>0</v>
      </c>
      <c r="G67" s="658">
        <v>0</v>
      </c>
      <c r="I67" s="658">
        <v>0</v>
      </c>
      <c r="J67" s="658">
        <v>0</v>
      </c>
      <c r="K67" s="658">
        <v>0</v>
      </c>
      <c r="M67" s="658">
        <v>0</v>
      </c>
    </row>
    <row r="68" spans="1:13">
      <c r="A68" s="603"/>
      <c r="B68" s="596">
        <v>55</v>
      </c>
      <c r="C68" s="597" t="s">
        <v>3231</v>
      </c>
      <c r="E68" s="659"/>
      <c r="F68" s="659">
        <v>0</v>
      </c>
      <c r="G68" s="659">
        <v>0</v>
      </c>
      <c r="I68" s="659"/>
      <c r="J68" s="659">
        <v>0</v>
      </c>
      <c r="K68" s="659">
        <v>0</v>
      </c>
      <c r="M68" s="659">
        <v>0</v>
      </c>
    </row>
    <row r="69" spans="1:13">
      <c r="A69" s="603"/>
      <c r="B69" s="588">
        <v>56</v>
      </c>
      <c r="C69" s="599" t="s">
        <v>3293</v>
      </c>
      <c r="E69" s="660"/>
      <c r="F69" s="660">
        <v>0</v>
      </c>
      <c r="G69" s="660">
        <v>0</v>
      </c>
      <c r="I69" s="660"/>
      <c r="J69" s="660">
        <v>0</v>
      </c>
      <c r="K69" s="660">
        <v>0</v>
      </c>
      <c r="M69" s="660">
        <v>0</v>
      </c>
    </row>
    <row r="70" spans="1:13">
      <c r="A70" s="603">
        <v>0</v>
      </c>
      <c r="B70" s="601"/>
      <c r="C70" s="602" t="s">
        <v>340</v>
      </c>
      <c r="E70" s="658">
        <v>5194100</v>
      </c>
      <c r="F70" s="658">
        <v>0</v>
      </c>
      <c r="G70" s="658">
        <v>5194100</v>
      </c>
      <c r="I70" s="658">
        <v>5194100</v>
      </c>
      <c r="J70" s="658">
        <v>0</v>
      </c>
      <c r="K70" s="658">
        <v>5194100</v>
      </c>
      <c r="M70" s="658">
        <v>0</v>
      </c>
    </row>
    <row r="71" spans="1:13">
      <c r="A71" s="603">
        <v>57</v>
      </c>
      <c r="B71" s="596">
        <v>57</v>
      </c>
      <c r="C71" s="597" t="s">
        <v>3294</v>
      </c>
      <c r="E71" s="659">
        <v>5194100</v>
      </c>
      <c r="F71" s="659">
        <v>0</v>
      </c>
      <c r="G71" s="659">
        <v>5194100</v>
      </c>
      <c r="I71" s="659">
        <v>5194100</v>
      </c>
      <c r="J71" s="659">
        <v>0</v>
      </c>
      <c r="K71" s="659">
        <v>5194100</v>
      </c>
      <c r="M71" s="659">
        <v>0</v>
      </c>
    </row>
    <row r="72" spans="1:13">
      <c r="A72" s="603">
        <v>0</v>
      </c>
      <c r="B72" s="601"/>
      <c r="C72" s="602" t="s">
        <v>3295</v>
      </c>
      <c r="E72" s="658">
        <v>93998829</v>
      </c>
      <c r="F72" s="658">
        <v>0</v>
      </c>
      <c r="G72" s="658">
        <v>93998829</v>
      </c>
      <c r="I72" s="658">
        <v>93998829</v>
      </c>
      <c r="J72" s="658">
        <v>0</v>
      </c>
      <c r="K72" s="658">
        <v>93998829</v>
      </c>
      <c r="M72" s="658">
        <v>0</v>
      </c>
    </row>
    <row r="73" spans="1:13">
      <c r="A73" s="603">
        <v>58</v>
      </c>
      <c r="B73" s="588">
        <v>58</v>
      </c>
      <c r="C73" s="599" t="s">
        <v>3296</v>
      </c>
      <c r="E73" s="660">
        <v>93998829</v>
      </c>
      <c r="F73" s="660">
        <v>0</v>
      </c>
      <c r="G73" s="660">
        <v>93998829</v>
      </c>
      <c r="I73" s="660">
        <v>93998829</v>
      </c>
      <c r="J73" s="660">
        <v>0</v>
      </c>
      <c r="K73" s="660">
        <v>93998829</v>
      </c>
      <c r="M73" s="660">
        <v>0</v>
      </c>
    </row>
    <row r="74" spans="1:13">
      <c r="A74" s="603"/>
      <c r="B74" s="601"/>
      <c r="C74" s="602" t="s">
        <v>3297</v>
      </c>
      <c r="E74" s="658">
        <v>0</v>
      </c>
      <c r="F74" s="658">
        <v>0</v>
      </c>
      <c r="G74" s="658">
        <v>0</v>
      </c>
      <c r="I74" s="658">
        <v>0</v>
      </c>
      <c r="J74" s="658">
        <v>0</v>
      </c>
      <c r="K74" s="658">
        <v>0</v>
      </c>
      <c r="M74" s="658">
        <v>0</v>
      </c>
    </row>
    <row r="75" spans="1:13">
      <c r="A75" s="603"/>
      <c r="B75" s="588">
        <v>59</v>
      </c>
      <c r="C75" s="599" t="s">
        <v>3298</v>
      </c>
      <c r="E75" s="660"/>
      <c r="F75" s="660">
        <v>0</v>
      </c>
      <c r="G75" s="660">
        <v>0</v>
      </c>
      <c r="I75" s="660"/>
      <c r="J75" s="660">
        <v>0</v>
      </c>
      <c r="K75" s="660">
        <v>0</v>
      </c>
      <c r="M75" s="660"/>
    </row>
    <row r="76" spans="1:13">
      <c r="A76" s="603"/>
      <c r="B76" s="601"/>
      <c r="C76" s="602" t="s">
        <v>3299</v>
      </c>
      <c r="E76" s="658">
        <v>0</v>
      </c>
      <c r="F76" s="658">
        <v>0</v>
      </c>
      <c r="G76" s="658">
        <v>0</v>
      </c>
      <c r="I76" s="658">
        <v>0</v>
      </c>
      <c r="J76" s="658">
        <v>0</v>
      </c>
      <c r="K76" s="658">
        <v>0</v>
      </c>
      <c r="M76" s="658">
        <v>0</v>
      </c>
    </row>
    <row r="77" spans="1:13">
      <c r="A77" s="603"/>
      <c r="B77" s="588">
        <v>60</v>
      </c>
      <c r="C77" s="599" t="s">
        <v>3300</v>
      </c>
      <c r="E77" s="660"/>
      <c r="F77" s="660">
        <v>0</v>
      </c>
      <c r="G77" s="660">
        <v>0</v>
      </c>
      <c r="I77" s="660"/>
      <c r="J77" s="660">
        <v>0</v>
      </c>
      <c r="K77" s="660">
        <v>0</v>
      </c>
      <c r="M77" s="660"/>
    </row>
    <row r="78" spans="1:13">
      <c r="A78" s="603"/>
      <c r="B78" s="601"/>
      <c r="C78" s="602" t="s">
        <v>3301</v>
      </c>
      <c r="E78" s="658">
        <v>0</v>
      </c>
      <c r="F78" s="658">
        <v>0</v>
      </c>
      <c r="G78" s="658">
        <v>0</v>
      </c>
      <c r="I78" s="658">
        <v>865892</v>
      </c>
      <c r="J78" s="658">
        <v>0</v>
      </c>
      <c r="K78" s="658">
        <v>865892</v>
      </c>
      <c r="M78" s="658">
        <v>-865892</v>
      </c>
    </row>
    <row r="79" spans="1:13">
      <c r="A79" s="603"/>
      <c r="B79" s="596">
        <v>61</v>
      </c>
      <c r="C79" s="597" t="s">
        <v>3302</v>
      </c>
      <c r="E79" s="659"/>
      <c r="F79" s="659"/>
      <c r="G79" s="659"/>
      <c r="I79" s="659"/>
      <c r="J79" s="659"/>
      <c r="K79" s="659"/>
      <c r="M79" s="659"/>
    </row>
  </sheetData>
  <mergeCells count="5">
    <mergeCell ref="B3:B4"/>
    <mergeCell ref="C3:C4"/>
    <mergeCell ref="E3:G3"/>
    <mergeCell ref="I3:K3"/>
    <mergeCell ref="M3:M4"/>
  </mergeCells>
  <hyperlinks>
    <hyperlink ref="A1" location="Sommaire!A1" display="Sommaire!A1" xr:uid="{00000000-0004-0000-2800-000000000000}"/>
  </hyperlinks>
  <pageMargins left="0.7" right="0.7" top="0.75" bottom="0.75" header="0.3" footer="0.3"/>
  <pageSetup paperSize="9" orientation="landscape"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Feuil22"/>
  <dimension ref="A1:D124"/>
  <sheetViews>
    <sheetView showGridLines="0" workbookViewId="0"/>
  </sheetViews>
  <sheetFormatPr baseColWidth="10" defaultColWidth="11" defaultRowHeight="13.5"/>
  <cols>
    <col min="1" max="1" width="16.6640625" style="542" customWidth="1"/>
    <col min="2" max="2" width="57.33203125" style="542" bestFit="1" customWidth="1"/>
    <col min="3" max="3" width="23.33203125" style="542" bestFit="1" customWidth="1"/>
    <col min="4" max="4" width="20" style="542" bestFit="1" customWidth="1"/>
    <col min="5" max="6" width="11" style="542"/>
    <col min="7" max="7" width="16" style="542" bestFit="1" customWidth="1"/>
    <col min="8" max="16384" width="11" style="542"/>
  </cols>
  <sheetData>
    <row r="1" spans="1:4" ht="14.5">
      <c r="A1" s="560" t="s">
        <v>140</v>
      </c>
    </row>
    <row r="2" spans="1:4" s="272" customFormat="1" ht="20.5">
      <c r="A2" s="216" t="s">
        <v>3321</v>
      </c>
    </row>
    <row r="4" spans="1:4" ht="14" thickBot="1">
      <c r="A4" s="543" t="s">
        <v>2125</v>
      </c>
      <c r="B4" s="543" t="s">
        <v>144</v>
      </c>
      <c r="C4" s="543" t="s">
        <v>3322</v>
      </c>
      <c r="D4" s="544" t="s">
        <v>3323</v>
      </c>
    </row>
    <row r="5" spans="1:4" ht="14.5">
      <c r="A5" s="663" t="s">
        <v>2125</v>
      </c>
      <c r="B5" s="663" t="s">
        <v>191</v>
      </c>
      <c r="C5" s="663" t="s">
        <v>265</v>
      </c>
      <c r="D5" s="664">
        <v>123843218357</v>
      </c>
    </row>
    <row r="6" spans="1:4" ht="14.5">
      <c r="A6" s="665" t="s">
        <v>2125</v>
      </c>
      <c r="B6" s="665" t="s">
        <v>187</v>
      </c>
      <c r="C6" s="665" t="s">
        <v>265</v>
      </c>
      <c r="D6" s="666">
        <v>45138166712</v>
      </c>
    </row>
    <row r="7" spans="1:4" ht="14.5">
      <c r="A7" s="663" t="s">
        <v>2125</v>
      </c>
      <c r="B7" s="663" t="s">
        <v>195</v>
      </c>
      <c r="C7" s="663" t="s">
        <v>265</v>
      </c>
      <c r="D7" s="664">
        <v>43135109589</v>
      </c>
    </row>
    <row r="8" spans="1:4" ht="14.5">
      <c r="A8" s="665" t="s">
        <v>2125</v>
      </c>
      <c r="B8" s="665" t="s">
        <v>206</v>
      </c>
      <c r="C8" s="665" t="s">
        <v>265</v>
      </c>
      <c r="D8" s="666">
        <v>30245122790</v>
      </c>
    </row>
    <row r="9" spans="1:4" ht="14.5">
      <c r="A9" s="663" t="s">
        <v>2125</v>
      </c>
      <c r="B9" s="663" t="s">
        <v>199</v>
      </c>
      <c r="C9" s="663" t="s">
        <v>265</v>
      </c>
      <c r="D9" s="664">
        <v>26075109610</v>
      </c>
    </row>
    <row r="10" spans="1:4" ht="14.5">
      <c r="A10" s="665" t="s">
        <v>2125</v>
      </c>
      <c r="B10" s="665" t="s">
        <v>210</v>
      </c>
      <c r="C10" s="665" t="s">
        <v>265</v>
      </c>
      <c r="D10" s="666">
        <v>20757046295</v>
      </c>
    </row>
    <row r="11" spans="1:4" ht="14.5">
      <c r="A11" s="663" t="s">
        <v>2125</v>
      </c>
      <c r="B11" s="663" t="s">
        <v>3248</v>
      </c>
      <c r="C11" s="663" t="s">
        <v>3324</v>
      </c>
      <c r="D11" s="664">
        <v>15025543783</v>
      </c>
    </row>
    <row r="12" spans="1:4" ht="14.5">
      <c r="A12" s="665" t="s">
        <v>2125</v>
      </c>
      <c r="B12" s="665" t="s">
        <v>214</v>
      </c>
      <c r="C12" s="665" t="s">
        <v>265</v>
      </c>
      <c r="D12" s="666">
        <v>13414305740</v>
      </c>
    </row>
    <row r="13" spans="1:4" ht="14.5">
      <c r="A13" s="663" t="s">
        <v>2125</v>
      </c>
      <c r="B13" s="663" t="s">
        <v>591</v>
      </c>
      <c r="C13" s="663" t="s">
        <v>3324</v>
      </c>
      <c r="D13" s="664">
        <v>9884313412</v>
      </c>
    </row>
    <row r="14" spans="1:4" ht="14.5">
      <c r="A14" s="665" t="s">
        <v>2125</v>
      </c>
      <c r="B14" s="665" t="s">
        <v>219</v>
      </c>
      <c r="C14" s="665" t="s">
        <v>265</v>
      </c>
      <c r="D14" s="666">
        <v>5205324917</v>
      </c>
    </row>
    <row r="15" spans="1:4" ht="14.5">
      <c r="A15" s="663" t="s">
        <v>2125</v>
      </c>
      <c r="B15" s="663" t="s">
        <v>256</v>
      </c>
      <c r="C15" s="663" t="s">
        <v>265</v>
      </c>
      <c r="D15" s="664">
        <v>3324127369</v>
      </c>
    </row>
    <row r="16" spans="1:4" ht="14.5">
      <c r="A16" s="665" t="s">
        <v>2125</v>
      </c>
      <c r="B16" s="665" t="s">
        <v>252</v>
      </c>
      <c r="C16" s="665" t="s">
        <v>265</v>
      </c>
      <c r="D16" s="666">
        <v>3269409417</v>
      </c>
    </row>
    <row r="17" spans="1:4" ht="14.5">
      <c r="A17" s="663" t="s">
        <v>2125</v>
      </c>
      <c r="B17" s="663" t="s">
        <v>224</v>
      </c>
      <c r="C17" s="663" t="s">
        <v>265</v>
      </c>
      <c r="D17" s="664">
        <v>791789236</v>
      </c>
    </row>
    <row r="18" spans="1:4" ht="14.5">
      <c r="A18" s="665" t="s">
        <v>2125</v>
      </c>
      <c r="B18" s="665" t="s">
        <v>246</v>
      </c>
      <c r="C18" s="665" t="s">
        <v>265</v>
      </c>
      <c r="D18" s="666">
        <v>621489618</v>
      </c>
    </row>
    <row r="19" spans="1:4" ht="14.5">
      <c r="A19" s="663" t="s">
        <v>2125</v>
      </c>
      <c r="B19" s="663" t="s">
        <v>235</v>
      </c>
      <c r="C19" s="663" t="s">
        <v>265</v>
      </c>
      <c r="D19" s="664">
        <v>588465510</v>
      </c>
    </row>
    <row r="20" spans="1:4" ht="14.5">
      <c r="A20" s="665" t="s">
        <v>2125</v>
      </c>
      <c r="B20" s="665" t="s">
        <v>153</v>
      </c>
      <c r="C20" s="665" t="s">
        <v>3324</v>
      </c>
      <c r="D20" s="666">
        <v>567124555</v>
      </c>
    </row>
    <row r="21" spans="1:4" ht="14.5">
      <c r="A21" s="663" t="s">
        <v>3325</v>
      </c>
      <c r="B21" s="663" t="s">
        <v>3326</v>
      </c>
      <c r="C21" s="663" t="s">
        <v>265</v>
      </c>
      <c r="D21" s="664">
        <v>558220700</v>
      </c>
    </row>
    <row r="22" spans="1:4" ht="14.5">
      <c r="A22" s="665" t="s">
        <v>3325</v>
      </c>
      <c r="B22" s="665" t="s">
        <v>3327</v>
      </c>
      <c r="C22" s="665" t="s">
        <v>265</v>
      </c>
      <c r="D22" s="666">
        <v>492645956</v>
      </c>
    </row>
    <row r="23" spans="1:4" ht="14.5">
      <c r="A23" s="663" t="s">
        <v>2125</v>
      </c>
      <c r="B23" s="663" t="s">
        <v>203</v>
      </c>
      <c r="C23" s="663" t="s">
        <v>265</v>
      </c>
      <c r="D23" s="664">
        <v>399438496</v>
      </c>
    </row>
    <row r="24" spans="1:4" ht="14.5">
      <c r="A24" s="665" t="s">
        <v>3325</v>
      </c>
      <c r="B24" s="665" t="s">
        <v>3328</v>
      </c>
      <c r="C24" s="665" t="s">
        <v>265</v>
      </c>
      <c r="D24" s="666">
        <v>380759335</v>
      </c>
    </row>
    <row r="25" spans="1:4" ht="14.5">
      <c r="A25" s="663" t="s">
        <v>2125</v>
      </c>
      <c r="B25" s="663" t="s">
        <v>260</v>
      </c>
      <c r="C25" s="663" t="s">
        <v>265</v>
      </c>
      <c r="D25" s="664">
        <v>339669351</v>
      </c>
    </row>
    <row r="26" spans="1:4" ht="14.5">
      <c r="A26" s="665" t="s">
        <v>2125</v>
      </c>
      <c r="B26" s="665" t="s">
        <v>242</v>
      </c>
      <c r="C26" s="665" t="s">
        <v>265</v>
      </c>
      <c r="D26" s="666">
        <v>246421196</v>
      </c>
    </row>
    <row r="27" spans="1:4" ht="14.5">
      <c r="A27" s="663" t="s">
        <v>2125</v>
      </c>
      <c r="B27" s="663" t="s">
        <v>239</v>
      </c>
      <c r="C27" s="663" t="s">
        <v>265</v>
      </c>
      <c r="D27" s="664">
        <v>240048953</v>
      </c>
    </row>
    <row r="28" spans="1:4" ht="14.5">
      <c r="A28" s="665" t="s">
        <v>3325</v>
      </c>
      <c r="B28" s="665" t="s">
        <v>3329</v>
      </c>
      <c r="C28" s="665" t="s">
        <v>265</v>
      </c>
      <c r="D28" s="666">
        <v>166869667</v>
      </c>
    </row>
    <row r="29" spans="1:4" ht="14.5">
      <c r="A29" s="663" t="s">
        <v>2125</v>
      </c>
      <c r="B29" s="663" t="s">
        <v>231</v>
      </c>
      <c r="C29" s="663" t="s">
        <v>265</v>
      </c>
      <c r="D29" s="664">
        <v>149115795</v>
      </c>
    </row>
    <row r="30" spans="1:4" ht="14.5">
      <c r="A30" s="665" t="s">
        <v>3325</v>
      </c>
      <c r="B30" s="665" t="s">
        <v>3330</v>
      </c>
      <c r="C30" s="665" t="s">
        <v>265</v>
      </c>
      <c r="D30" s="666">
        <v>114860427</v>
      </c>
    </row>
    <row r="31" spans="1:4" ht="14.5">
      <c r="A31" s="663" t="s">
        <v>3325</v>
      </c>
      <c r="B31" s="663" t="s">
        <v>277</v>
      </c>
      <c r="C31" s="663" t="s">
        <v>265</v>
      </c>
      <c r="D31" s="664">
        <v>105671867</v>
      </c>
    </row>
    <row r="32" spans="1:4" ht="14.5">
      <c r="A32" s="665" t="s">
        <v>3325</v>
      </c>
      <c r="B32" s="665" t="s">
        <v>3331</v>
      </c>
      <c r="C32" s="665" t="s">
        <v>265</v>
      </c>
      <c r="D32" s="666">
        <v>84889996</v>
      </c>
    </row>
    <row r="33" spans="1:4" ht="14.5">
      <c r="A33" s="663" t="s">
        <v>3325</v>
      </c>
      <c r="B33" s="663" t="s">
        <v>3332</v>
      </c>
      <c r="C33" s="663" t="s">
        <v>265</v>
      </c>
      <c r="D33" s="664">
        <v>80000000</v>
      </c>
    </row>
    <row r="34" spans="1:4" ht="14.5">
      <c r="A34" s="665" t="s">
        <v>3325</v>
      </c>
      <c r="B34" s="665" t="s">
        <v>3333</v>
      </c>
      <c r="C34" s="665" t="s">
        <v>265</v>
      </c>
      <c r="D34" s="666">
        <v>65337319</v>
      </c>
    </row>
    <row r="35" spans="1:4" ht="14.5">
      <c r="A35" s="663" t="s">
        <v>3325</v>
      </c>
      <c r="B35" s="663" t="s">
        <v>328</v>
      </c>
      <c r="C35" s="663" t="s">
        <v>265</v>
      </c>
      <c r="D35" s="664">
        <v>64520390</v>
      </c>
    </row>
    <row r="36" spans="1:4" ht="14.5">
      <c r="A36" s="665" t="s">
        <v>3325</v>
      </c>
      <c r="B36" s="665" t="s">
        <v>496</v>
      </c>
      <c r="C36" s="665" t="s">
        <v>265</v>
      </c>
      <c r="D36" s="666">
        <v>55621826</v>
      </c>
    </row>
    <row r="37" spans="1:4" ht="14.5">
      <c r="A37" s="663" t="s">
        <v>3325</v>
      </c>
      <c r="B37" s="663" t="s">
        <v>3334</v>
      </c>
      <c r="C37" s="663" t="s">
        <v>265</v>
      </c>
      <c r="D37" s="664">
        <v>48837247</v>
      </c>
    </row>
    <row r="38" spans="1:4" ht="14.5">
      <c r="A38" s="665" t="s">
        <v>3325</v>
      </c>
      <c r="B38" s="665" t="s">
        <v>3335</v>
      </c>
      <c r="C38" s="665" t="s">
        <v>265</v>
      </c>
      <c r="D38" s="666">
        <v>43089347</v>
      </c>
    </row>
    <row r="39" spans="1:4" ht="14.5">
      <c r="A39" s="663" t="s">
        <v>3325</v>
      </c>
      <c r="B39" s="663" t="s">
        <v>3336</v>
      </c>
      <c r="C39" s="663" t="s">
        <v>265</v>
      </c>
      <c r="D39" s="664">
        <v>41616550</v>
      </c>
    </row>
    <row r="40" spans="1:4" ht="14.5">
      <c r="A40" s="665" t="s">
        <v>3325</v>
      </c>
      <c r="B40" s="665" t="s">
        <v>3337</v>
      </c>
      <c r="C40" s="665" t="s">
        <v>265</v>
      </c>
      <c r="D40" s="666">
        <v>38298086</v>
      </c>
    </row>
    <row r="41" spans="1:4" ht="14.5">
      <c r="A41" s="663" t="s">
        <v>3325</v>
      </c>
      <c r="B41" s="663" t="s">
        <v>3338</v>
      </c>
      <c r="C41" s="663" t="s">
        <v>265</v>
      </c>
      <c r="D41" s="664">
        <v>32165500</v>
      </c>
    </row>
    <row r="42" spans="1:4" ht="14.5">
      <c r="A42" s="665" t="s">
        <v>3325</v>
      </c>
      <c r="B42" s="665" t="s">
        <v>3339</v>
      </c>
      <c r="C42" s="665" t="s">
        <v>265</v>
      </c>
      <c r="D42" s="666">
        <v>30350000</v>
      </c>
    </row>
    <row r="43" spans="1:4" ht="14.5">
      <c r="A43" s="663" t="s">
        <v>3325</v>
      </c>
      <c r="B43" s="663" t="s">
        <v>3340</v>
      </c>
      <c r="C43" s="663" t="s">
        <v>265</v>
      </c>
      <c r="D43" s="664">
        <v>28491469</v>
      </c>
    </row>
    <row r="44" spans="1:4" ht="14.5">
      <c r="A44" s="665" t="s">
        <v>3325</v>
      </c>
      <c r="B44" s="665" t="s">
        <v>3341</v>
      </c>
      <c r="C44" s="665" t="s">
        <v>265</v>
      </c>
      <c r="D44" s="666">
        <v>27500000</v>
      </c>
    </row>
    <row r="45" spans="1:4" ht="14.5">
      <c r="A45" s="663" t="s">
        <v>2125</v>
      </c>
      <c r="B45" s="663" t="s">
        <v>183</v>
      </c>
      <c r="C45" s="663" t="s">
        <v>265</v>
      </c>
      <c r="D45" s="664">
        <v>27327383</v>
      </c>
    </row>
    <row r="46" spans="1:4" ht="14.5">
      <c r="A46" s="665" t="s">
        <v>3325</v>
      </c>
      <c r="B46" s="665" t="s">
        <v>3342</v>
      </c>
      <c r="C46" s="665" t="s">
        <v>265</v>
      </c>
      <c r="D46" s="666">
        <v>21235000</v>
      </c>
    </row>
    <row r="47" spans="1:4" ht="14.5">
      <c r="A47" s="663" t="s">
        <v>2125</v>
      </c>
      <c r="B47" s="663" t="s">
        <v>159</v>
      </c>
      <c r="C47" s="663" t="s">
        <v>3324</v>
      </c>
      <c r="D47" s="664">
        <v>20353490</v>
      </c>
    </row>
    <row r="48" spans="1:4" ht="14.5">
      <c r="A48" s="665" t="s">
        <v>3325</v>
      </c>
      <c r="B48" s="665" t="s">
        <v>3343</v>
      </c>
      <c r="C48" s="665" t="s">
        <v>265</v>
      </c>
      <c r="D48" s="666">
        <v>20032614</v>
      </c>
    </row>
    <row r="49" spans="1:4" ht="14.5">
      <c r="A49" s="663" t="s">
        <v>3325</v>
      </c>
      <c r="B49" s="663" t="s">
        <v>3344</v>
      </c>
      <c r="C49" s="663" t="s">
        <v>265</v>
      </c>
      <c r="D49" s="664">
        <v>20003500</v>
      </c>
    </row>
    <row r="50" spans="1:4" ht="14.5">
      <c r="A50" s="665" t="s">
        <v>3325</v>
      </c>
      <c r="B50" s="665" t="s">
        <v>3345</v>
      </c>
      <c r="C50" s="665" t="s">
        <v>265</v>
      </c>
      <c r="D50" s="666">
        <v>19500000</v>
      </c>
    </row>
    <row r="51" spans="1:4" ht="14.5">
      <c r="A51" s="663" t="s">
        <v>3325</v>
      </c>
      <c r="B51" s="663" t="s">
        <v>3346</v>
      </c>
      <c r="C51" s="663" t="s">
        <v>265</v>
      </c>
      <c r="D51" s="664">
        <v>18000000</v>
      </c>
    </row>
    <row r="52" spans="1:4" ht="14.5">
      <c r="A52" s="665" t="s">
        <v>3325</v>
      </c>
      <c r="B52" s="665" t="s">
        <v>3347</v>
      </c>
      <c r="C52" s="665" t="s">
        <v>265</v>
      </c>
      <c r="D52" s="666">
        <v>17324500</v>
      </c>
    </row>
    <row r="53" spans="1:4" ht="14.5">
      <c r="A53" s="663" t="s">
        <v>3325</v>
      </c>
      <c r="B53" s="663" t="s">
        <v>426</v>
      </c>
      <c r="C53" s="663" t="s">
        <v>265</v>
      </c>
      <c r="D53" s="664">
        <v>16123997</v>
      </c>
    </row>
    <row r="54" spans="1:4" ht="14.5">
      <c r="A54" s="665" t="s">
        <v>3325</v>
      </c>
      <c r="B54" s="665" t="s">
        <v>3348</v>
      </c>
      <c r="C54" s="665" t="s">
        <v>265</v>
      </c>
      <c r="D54" s="666">
        <v>15075500</v>
      </c>
    </row>
    <row r="55" spans="1:4" ht="14.5">
      <c r="A55" s="663" t="s">
        <v>3325</v>
      </c>
      <c r="B55" s="663" t="s">
        <v>3349</v>
      </c>
      <c r="C55" s="663" t="s">
        <v>265</v>
      </c>
      <c r="D55" s="664">
        <v>14767622</v>
      </c>
    </row>
    <row r="56" spans="1:4" ht="14.5">
      <c r="A56" s="665" t="s">
        <v>3325</v>
      </c>
      <c r="B56" s="665" t="s">
        <v>3350</v>
      </c>
      <c r="C56" s="665" t="s">
        <v>265</v>
      </c>
      <c r="D56" s="666">
        <v>12324577</v>
      </c>
    </row>
    <row r="57" spans="1:4" ht="14.5">
      <c r="A57" s="663" t="s">
        <v>3325</v>
      </c>
      <c r="B57" s="663" t="s">
        <v>3351</v>
      </c>
      <c r="C57" s="663" t="s">
        <v>265</v>
      </c>
      <c r="D57" s="664">
        <v>12010000</v>
      </c>
    </row>
    <row r="58" spans="1:4" ht="14.5">
      <c r="A58" s="665" t="s">
        <v>3325</v>
      </c>
      <c r="B58" s="665" t="s">
        <v>3352</v>
      </c>
      <c r="C58" s="665" t="s">
        <v>265</v>
      </c>
      <c r="D58" s="666">
        <v>10713325</v>
      </c>
    </row>
    <row r="59" spans="1:4" ht="14.5">
      <c r="A59" s="663" t="s">
        <v>3325</v>
      </c>
      <c r="B59" s="663" t="s">
        <v>3353</v>
      </c>
      <c r="C59" s="663" t="s">
        <v>265</v>
      </c>
      <c r="D59" s="664">
        <v>9995175</v>
      </c>
    </row>
    <row r="60" spans="1:4" ht="14.5">
      <c r="A60" s="665" t="s">
        <v>3325</v>
      </c>
      <c r="B60" s="665" t="s">
        <v>3354</v>
      </c>
      <c r="C60" s="665" t="s">
        <v>265</v>
      </c>
      <c r="D60" s="666">
        <v>9493200</v>
      </c>
    </row>
    <row r="61" spans="1:4" ht="14.5">
      <c r="A61" s="663" t="s">
        <v>3325</v>
      </c>
      <c r="B61" s="663" t="s">
        <v>3355</v>
      </c>
      <c r="C61" s="663" t="s">
        <v>3324</v>
      </c>
      <c r="D61" s="664">
        <v>9080859</v>
      </c>
    </row>
    <row r="62" spans="1:4" ht="14.5">
      <c r="A62" s="665" t="s">
        <v>3325</v>
      </c>
      <c r="B62" s="665" t="s">
        <v>3356</v>
      </c>
      <c r="C62" s="665" t="s">
        <v>265</v>
      </c>
      <c r="D62" s="666">
        <v>9000000</v>
      </c>
    </row>
    <row r="63" spans="1:4" ht="14.5">
      <c r="A63" s="663" t="s">
        <v>3325</v>
      </c>
      <c r="B63" s="663" t="s">
        <v>3357</v>
      </c>
      <c r="C63" s="663" t="s">
        <v>265</v>
      </c>
      <c r="D63" s="664">
        <v>9000000</v>
      </c>
    </row>
    <row r="64" spans="1:4" ht="14.5">
      <c r="A64" s="665" t="s">
        <v>3325</v>
      </c>
      <c r="B64" s="665" t="s">
        <v>3358</v>
      </c>
      <c r="C64" s="665" t="s">
        <v>265</v>
      </c>
      <c r="D64" s="666">
        <v>8713960</v>
      </c>
    </row>
    <row r="65" spans="1:4" ht="14.5">
      <c r="A65" s="663" t="s">
        <v>3325</v>
      </c>
      <c r="B65" s="663" t="s">
        <v>3359</v>
      </c>
      <c r="C65" s="663" t="s">
        <v>265</v>
      </c>
      <c r="D65" s="664">
        <v>8324500</v>
      </c>
    </row>
    <row r="66" spans="1:4" ht="14.5">
      <c r="A66" s="665" t="s">
        <v>3325</v>
      </c>
      <c r="B66" s="665" t="s">
        <v>3360</v>
      </c>
      <c r="C66" s="665" t="s">
        <v>265</v>
      </c>
      <c r="D66" s="666">
        <v>8135772</v>
      </c>
    </row>
    <row r="67" spans="1:4" ht="14.5">
      <c r="A67" s="663" t="s">
        <v>3325</v>
      </c>
      <c r="B67" s="663" t="s">
        <v>3361</v>
      </c>
      <c r="C67" s="663" t="s">
        <v>265</v>
      </c>
      <c r="D67" s="664">
        <v>8106000</v>
      </c>
    </row>
    <row r="68" spans="1:4" ht="14.5">
      <c r="A68" s="665" t="s">
        <v>3325</v>
      </c>
      <c r="B68" s="665" t="s">
        <v>3362</v>
      </c>
      <c r="C68" s="665" t="s">
        <v>265</v>
      </c>
      <c r="D68" s="666">
        <v>7008000</v>
      </c>
    </row>
    <row r="69" spans="1:4" ht="14.5">
      <c r="A69" s="663" t="s">
        <v>3325</v>
      </c>
      <c r="B69" s="663" t="s">
        <v>3363</v>
      </c>
      <c r="C69" s="663" t="s">
        <v>265</v>
      </c>
      <c r="D69" s="664">
        <v>6733115</v>
      </c>
    </row>
    <row r="70" spans="1:4" ht="14.5">
      <c r="A70" s="665" t="s">
        <v>3325</v>
      </c>
      <c r="B70" s="665" t="s">
        <v>3364</v>
      </c>
      <c r="C70" s="665" t="s">
        <v>265</v>
      </c>
      <c r="D70" s="666">
        <v>6700000</v>
      </c>
    </row>
    <row r="71" spans="1:4" ht="14.5">
      <c r="A71" s="663" t="s">
        <v>3325</v>
      </c>
      <c r="B71" s="663" t="s">
        <v>3365</v>
      </c>
      <c r="C71" s="663" t="s">
        <v>265</v>
      </c>
      <c r="D71" s="664">
        <v>6698066</v>
      </c>
    </row>
    <row r="72" spans="1:4" ht="14.5">
      <c r="A72" s="665" t="s">
        <v>3325</v>
      </c>
      <c r="B72" s="665" t="s">
        <v>396</v>
      </c>
      <c r="C72" s="665" t="s">
        <v>265</v>
      </c>
      <c r="D72" s="666">
        <v>6500000</v>
      </c>
    </row>
    <row r="73" spans="1:4" ht="14.5">
      <c r="A73" s="663" t="s">
        <v>3325</v>
      </c>
      <c r="B73" s="663" t="s">
        <v>3366</v>
      </c>
      <c r="C73" s="663" t="s">
        <v>265</v>
      </c>
      <c r="D73" s="664">
        <v>6485000</v>
      </c>
    </row>
    <row r="74" spans="1:4" ht="14.5">
      <c r="A74" s="665" t="s">
        <v>3325</v>
      </c>
      <c r="B74" s="665" t="s">
        <v>3367</v>
      </c>
      <c r="C74" s="665" t="s">
        <v>265</v>
      </c>
      <c r="D74" s="666">
        <v>6050500</v>
      </c>
    </row>
    <row r="75" spans="1:4" ht="14.5">
      <c r="A75" s="663" t="s">
        <v>3325</v>
      </c>
      <c r="B75" s="663" t="s">
        <v>3368</v>
      </c>
      <c r="C75" s="663" t="s">
        <v>265</v>
      </c>
      <c r="D75" s="664">
        <v>5980000</v>
      </c>
    </row>
    <row r="76" spans="1:4" ht="14.5">
      <c r="A76" s="665" t="s">
        <v>3325</v>
      </c>
      <c r="B76" s="665" t="s">
        <v>3369</v>
      </c>
      <c r="C76" s="665" t="s">
        <v>265</v>
      </c>
      <c r="D76" s="666">
        <v>5265900</v>
      </c>
    </row>
    <row r="77" spans="1:4" ht="14.5">
      <c r="A77" s="663" t="s">
        <v>3325</v>
      </c>
      <c r="B77" s="663" t="s">
        <v>3370</v>
      </c>
      <c r="C77" s="663" t="s">
        <v>265</v>
      </c>
      <c r="D77" s="664">
        <v>5078720</v>
      </c>
    </row>
    <row r="78" spans="1:4" ht="14.5">
      <c r="A78" s="665" t="s">
        <v>2125</v>
      </c>
      <c r="B78" s="665" t="s">
        <v>155</v>
      </c>
      <c r="C78" s="665" t="s">
        <v>3324</v>
      </c>
      <c r="D78" s="666">
        <v>4832596</v>
      </c>
    </row>
    <row r="79" spans="1:4" ht="14.5">
      <c r="A79" s="663" t="s">
        <v>3325</v>
      </c>
      <c r="B79" s="663" t="s">
        <v>3371</v>
      </c>
      <c r="C79" s="663" t="s">
        <v>265</v>
      </c>
      <c r="D79" s="664">
        <v>4732000</v>
      </c>
    </row>
    <row r="80" spans="1:4" ht="14.5">
      <c r="A80" s="665" t="s">
        <v>3325</v>
      </c>
      <c r="B80" s="665" t="s">
        <v>3372</v>
      </c>
      <c r="C80" s="665" t="s">
        <v>265</v>
      </c>
      <c r="D80" s="666">
        <v>4522600</v>
      </c>
    </row>
    <row r="81" spans="1:4" ht="14.5">
      <c r="A81" s="663" t="s">
        <v>3325</v>
      </c>
      <c r="B81" s="663" t="s">
        <v>3373</v>
      </c>
      <c r="C81" s="663" t="s">
        <v>265</v>
      </c>
      <c r="D81" s="664">
        <v>4471550</v>
      </c>
    </row>
    <row r="82" spans="1:4" ht="14.5">
      <c r="A82" s="665" t="s">
        <v>3325</v>
      </c>
      <c r="B82" s="665" t="s">
        <v>3374</v>
      </c>
      <c r="C82" s="665" t="s">
        <v>265</v>
      </c>
      <c r="D82" s="666">
        <v>3184942</v>
      </c>
    </row>
    <row r="83" spans="1:4" ht="14.5">
      <c r="A83" s="663" t="s">
        <v>3325</v>
      </c>
      <c r="B83" s="663" t="s">
        <v>3375</v>
      </c>
      <c r="C83" s="663" t="s">
        <v>265</v>
      </c>
      <c r="D83" s="664">
        <v>3136888</v>
      </c>
    </row>
    <row r="84" spans="1:4" ht="14.5">
      <c r="A84" s="665" t="s">
        <v>3325</v>
      </c>
      <c r="B84" s="665" t="s">
        <v>3376</v>
      </c>
      <c r="C84" s="665" t="s">
        <v>265</v>
      </c>
      <c r="D84" s="666">
        <v>3076870</v>
      </c>
    </row>
    <row r="85" spans="1:4" ht="14.5">
      <c r="A85" s="663" t="s">
        <v>3325</v>
      </c>
      <c r="B85" s="663" t="s">
        <v>3377</v>
      </c>
      <c r="C85" s="663" t="s">
        <v>265</v>
      </c>
      <c r="D85" s="664">
        <v>3000000</v>
      </c>
    </row>
    <row r="86" spans="1:4" ht="14.5">
      <c r="A86" s="665" t="s">
        <v>3325</v>
      </c>
      <c r="B86" s="665" t="s">
        <v>3378</v>
      </c>
      <c r="C86" s="665" t="s">
        <v>265</v>
      </c>
      <c r="D86" s="666">
        <v>3000000</v>
      </c>
    </row>
    <row r="87" spans="1:4" ht="14.5">
      <c r="A87" s="663" t="s">
        <v>3325</v>
      </c>
      <c r="B87" s="663" t="s">
        <v>3379</v>
      </c>
      <c r="C87" s="663" t="s">
        <v>265</v>
      </c>
      <c r="D87" s="664">
        <v>2817066</v>
      </c>
    </row>
    <row r="88" spans="1:4" ht="14.5">
      <c r="A88" s="665" t="s">
        <v>3325</v>
      </c>
      <c r="B88" s="665" t="s">
        <v>3380</v>
      </c>
      <c r="C88" s="665" t="s">
        <v>265</v>
      </c>
      <c r="D88" s="666">
        <v>2755407</v>
      </c>
    </row>
    <row r="89" spans="1:4" ht="14.5">
      <c r="A89" s="663" t="s">
        <v>3325</v>
      </c>
      <c r="B89" s="663" t="s">
        <v>3381</v>
      </c>
      <c r="C89" s="663" t="s">
        <v>265</v>
      </c>
      <c r="D89" s="664">
        <v>2697417</v>
      </c>
    </row>
    <row r="90" spans="1:4" ht="14.5">
      <c r="A90" s="665" t="s">
        <v>3325</v>
      </c>
      <c r="B90" s="665" t="s">
        <v>3382</v>
      </c>
      <c r="C90" s="665" t="s">
        <v>265</v>
      </c>
      <c r="D90" s="666">
        <v>2633500</v>
      </c>
    </row>
    <row r="91" spans="1:4" ht="14.5">
      <c r="A91" s="663" t="s">
        <v>3325</v>
      </c>
      <c r="B91" s="663" t="s">
        <v>3383</v>
      </c>
      <c r="C91" s="663" t="s">
        <v>265</v>
      </c>
      <c r="D91" s="664">
        <v>2565000</v>
      </c>
    </row>
    <row r="92" spans="1:4" ht="14.5">
      <c r="A92" s="665" t="s">
        <v>3325</v>
      </c>
      <c r="B92" s="665" t="s">
        <v>3384</v>
      </c>
      <c r="C92" s="665" t="s">
        <v>265</v>
      </c>
      <c r="D92" s="666">
        <v>2489754</v>
      </c>
    </row>
    <row r="93" spans="1:4" ht="14.5">
      <c r="A93" s="663" t="s">
        <v>3325</v>
      </c>
      <c r="B93" s="663" t="s">
        <v>3385</v>
      </c>
      <c r="C93" s="663" t="s">
        <v>265</v>
      </c>
      <c r="D93" s="664">
        <v>2400000</v>
      </c>
    </row>
    <row r="94" spans="1:4" ht="14.5">
      <c r="A94" s="665" t="s">
        <v>3325</v>
      </c>
      <c r="B94" s="665" t="s">
        <v>3386</v>
      </c>
      <c r="C94" s="665" t="s">
        <v>265</v>
      </c>
      <c r="D94" s="666">
        <v>2222502</v>
      </c>
    </row>
    <row r="95" spans="1:4" ht="14.5">
      <c r="A95" s="663" t="s">
        <v>3325</v>
      </c>
      <c r="B95" s="663" t="s">
        <v>3387</v>
      </c>
      <c r="C95" s="663" t="s">
        <v>265</v>
      </c>
      <c r="D95" s="664">
        <v>2100761</v>
      </c>
    </row>
    <row r="96" spans="1:4" ht="14.5">
      <c r="A96" s="665" t="s">
        <v>3325</v>
      </c>
      <c r="B96" s="665" t="s">
        <v>3388</v>
      </c>
      <c r="C96" s="665" t="s">
        <v>265</v>
      </c>
      <c r="D96" s="666">
        <v>2091500</v>
      </c>
    </row>
    <row r="97" spans="1:4" ht="14.5">
      <c r="A97" s="663" t="s">
        <v>3325</v>
      </c>
      <c r="B97" s="663" t="s">
        <v>3389</v>
      </c>
      <c r="C97" s="663" t="s">
        <v>265</v>
      </c>
      <c r="D97" s="664">
        <v>1922000</v>
      </c>
    </row>
    <row r="98" spans="1:4" ht="14.5">
      <c r="A98" s="665" t="s">
        <v>3325</v>
      </c>
      <c r="B98" s="665" t="s">
        <v>3390</v>
      </c>
      <c r="C98" s="665" t="s">
        <v>265</v>
      </c>
      <c r="D98" s="666">
        <v>1801026</v>
      </c>
    </row>
    <row r="99" spans="1:4" ht="14.5">
      <c r="A99" s="663" t="s">
        <v>3325</v>
      </c>
      <c r="B99" s="663" t="s">
        <v>3391</v>
      </c>
      <c r="C99" s="663" t="s">
        <v>265</v>
      </c>
      <c r="D99" s="664">
        <v>1430000</v>
      </c>
    </row>
    <row r="100" spans="1:4" ht="14.5">
      <c r="A100" s="665" t="s">
        <v>3325</v>
      </c>
      <c r="B100" s="665" t="s">
        <v>3392</v>
      </c>
      <c r="C100" s="665" t="s">
        <v>265</v>
      </c>
      <c r="D100" s="666">
        <v>1400000</v>
      </c>
    </row>
    <row r="101" spans="1:4" ht="14.5">
      <c r="A101" s="663" t="s">
        <v>3325</v>
      </c>
      <c r="B101" s="663" t="s">
        <v>3393</v>
      </c>
      <c r="C101" s="663" t="s">
        <v>265</v>
      </c>
      <c r="D101" s="664">
        <v>1361160</v>
      </c>
    </row>
    <row r="102" spans="1:4" ht="14.5">
      <c r="A102" s="665" t="s">
        <v>3325</v>
      </c>
      <c r="B102" s="665" t="s">
        <v>3394</v>
      </c>
      <c r="C102" s="665" t="s">
        <v>265</v>
      </c>
      <c r="D102" s="666">
        <v>1275690</v>
      </c>
    </row>
    <row r="103" spans="1:4" ht="14.5">
      <c r="A103" s="663" t="s">
        <v>3325</v>
      </c>
      <c r="B103" s="663" t="s">
        <v>3395</v>
      </c>
      <c r="C103" s="663" t="s">
        <v>265</v>
      </c>
      <c r="D103" s="664">
        <v>1221600</v>
      </c>
    </row>
    <row r="104" spans="1:4" ht="14.5">
      <c r="A104" s="665" t="s">
        <v>3325</v>
      </c>
      <c r="B104" s="665" t="s">
        <v>3396</v>
      </c>
      <c r="C104" s="665" t="s">
        <v>265</v>
      </c>
      <c r="D104" s="666">
        <v>1200000</v>
      </c>
    </row>
    <row r="105" spans="1:4" ht="14.5">
      <c r="A105" s="663" t="s">
        <v>3325</v>
      </c>
      <c r="B105" s="663" t="s">
        <v>3397</v>
      </c>
      <c r="C105" s="663" t="s">
        <v>265</v>
      </c>
      <c r="D105" s="664">
        <v>1170506</v>
      </c>
    </row>
    <row r="106" spans="1:4" ht="14.5">
      <c r="A106" s="665" t="s">
        <v>3325</v>
      </c>
      <c r="B106" s="665" t="s">
        <v>3398</v>
      </c>
      <c r="C106" s="665" t="s">
        <v>265</v>
      </c>
      <c r="D106" s="666">
        <v>1067688</v>
      </c>
    </row>
    <row r="107" spans="1:4" ht="14.5">
      <c r="A107" s="663" t="s">
        <v>3325</v>
      </c>
      <c r="B107" s="663" t="s">
        <v>3399</v>
      </c>
      <c r="C107" s="663" t="s">
        <v>265</v>
      </c>
      <c r="D107" s="664">
        <v>1000000</v>
      </c>
    </row>
    <row r="108" spans="1:4" ht="14.5">
      <c r="A108" s="665" t="s">
        <v>3325</v>
      </c>
      <c r="B108" s="665" t="s">
        <v>3400</v>
      </c>
      <c r="C108" s="665" t="s">
        <v>265</v>
      </c>
      <c r="D108" s="666">
        <v>1000000</v>
      </c>
    </row>
    <row r="109" spans="1:4" ht="14.5">
      <c r="A109" s="663" t="s">
        <v>3325</v>
      </c>
      <c r="B109" s="663" t="s">
        <v>3401</v>
      </c>
      <c r="C109" s="663" t="s">
        <v>265</v>
      </c>
      <c r="D109" s="664">
        <v>995996</v>
      </c>
    </row>
    <row r="110" spans="1:4" ht="14.5">
      <c r="A110" s="665" t="s">
        <v>3325</v>
      </c>
      <c r="B110" s="665" t="s">
        <v>3402</v>
      </c>
      <c r="C110" s="665" t="s">
        <v>265</v>
      </c>
      <c r="D110" s="666">
        <v>840000</v>
      </c>
    </row>
    <row r="111" spans="1:4" ht="14.5">
      <c r="A111" s="663" t="s">
        <v>3325</v>
      </c>
      <c r="B111" s="663" t="s">
        <v>3403</v>
      </c>
      <c r="C111" s="663" t="s">
        <v>265</v>
      </c>
      <c r="D111" s="664">
        <v>668620</v>
      </c>
    </row>
    <row r="112" spans="1:4" ht="14.5">
      <c r="A112" s="665" t="s">
        <v>3325</v>
      </c>
      <c r="B112" s="665" t="s">
        <v>3404</v>
      </c>
      <c r="C112" s="665" t="s">
        <v>265</v>
      </c>
      <c r="D112" s="666">
        <v>650000</v>
      </c>
    </row>
    <row r="113" spans="1:4" ht="14.5">
      <c r="A113" s="663" t="s">
        <v>3325</v>
      </c>
      <c r="B113" s="663" t="s">
        <v>3405</v>
      </c>
      <c r="C113" s="663" t="s">
        <v>265</v>
      </c>
      <c r="D113" s="664">
        <v>600000</v>
      </c>
    </row>
    <row r="114" spans="1:4" ht="14.5">
      <c r="A114" s="665" t="s">
        <v>3325</v>
      </c>
      <c r="B114" s="665" t="s">
        <v>3406</v>
      </c>
      <c r="C114" s="665" t="s">
        <v>265</v>
      </c>
      <c r="D114" s="666">
        <v>572280</v>
      </c>
    </row>
    <row r="115" spans="1:4" ht="14.5">
      <c r="A115" s="663" t="s">
        <v>3325</v>
      </c>
      <c r="B115" s="663" t="s">
        <v>3407</v>
      </c>
      <c r="C115" s="663" t="s">
        <v>265</v>
      </c>
      <c r="D115" s="664">
        <v>508865</v>
      </c>
    </row>
    <row r="116" spans="1:4" ht="14.5">
      <c r="A116" s="665" t="s">
        <v>3325</v>
      </c>
      <c r="B116" s="665" t="s">
        <v>561</v>
      </c>
      <c r="C116" s="665" t="s">
        <v>265</v>
      </c>
      <c r="D116" s="666">
        <v>500000</v>
      </c>
    </row>
    <row r="117" spans="1:4" ht="14.5">
      <c r="A117" s="663" t="s">
        <v>3325</v>
      </c>
      <c r="B117" s="663" t="s">
        <v>3408</v>
      </c>
      <c r="C117" s="663" t="s">
        <v>3324</v>
      </c>
      <c r="D117" s="664">
        <v>402000</v>
      </c>
    </row>
    <row r="118" spans="1:4" ht="14.5">
      <c r="A118" s="665" t="s">
        <v>3325</v>
      </c>
      <c r="B118" s="665" t="s">
        <v>3409</v>
      </c>
      <c r="C118" s="665" t="s">
        <v>265</v>
      </c>
      <c r="D118" s="666">
        <v>390000</v>
      </c>
    </row>
    <row r="119" spans="1:4" ht="14.5">
      <c r="A119" s="663" t="s">
        <v>3325</v>
      </c>
      <c r="B119" s="663" t="s">
        <v>3410</v>
      </c>
      <c r="C119" s="663" t="s">
        <v>265</v>
      </c>
      <c r="D119" s="664">
        <v>389026</v>
      </c>
    </row>
    <row r="120" spans="1:4" ht="14.5">
      <c r="A120" s="665" t="s">
        <v>3325</v>
      </c>
      <c r="B120" s="665" t="s">
        <v>3411</v>
      </c>
      <c r="C120" s="665" t="s">
        <v>265</v>
      </c>
      <c r="D120" s="666">
        <v>323000</v>
      </c>
    </row>
    <row r="121" spans="1:4" ht="14.5">
      <c r="A121" s="663" t="s">
        <v>3325</v>
      </c>
      <c r="B121" s="663" t="s">
        <v>3412</v>
      </c>
      <c r="C121" s="663" t="s">
        <v>265</v>
      </c>
      <c r="D121" s="664">
        <v>200000</v>
      </c>
    </row>
    <row r="122" spans="1:4" ht="14.5">
      <c r="A122" s="665" t="s">
        <v>3325</v>
      </c>
      <c r="B122" s="665" t="s">
        <v>3413</v>
      </c>
      <c r="C122" s="665" t="s">
        <v>265</v>
      </c>
      <c r="D122" s="666">
        <v>169180</v>
      </c>
    </row>
    <row r="123" spans="1:4" ht="14.5">
      <c r="A123" s="663" t="s">
        <v>2125</v>
      </c>
      <c r="B123" s="663" t="s">
        <v>3247</v>
      </c>
      <c r="C123" s="663" t="s">
        <v>3324</v>
      </c>
      <c r="D123" s="664">
        <v>133855</v>
      </c>
    </row>
    <row r="124" spans="1:4">
      <c r="A124" s="667"/>
      <c r="B124" s="667"/>
      <c r="C124" s="667"/>
      <c r="D124" s="668">
        <f>SUM(D5:D123)</f>
        <v>346189169503</v>
      </c>
    </row>
  </sheetData>
  <hyperlinks>
    <hyperlink ref="A1" location="Sommaire!A1" display="Sommaire!A1" xr:uid="{00000000-0004-0000-29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Feuil23"/>
  <dimension ref="A1:D41"/>
  <sheetViews>
    <sheetView workbookViewId="0"/>
  </sheetViews>
  <sheetFormatPr baseColWidth="10" defaultColWidth="11" defaultRowHeight="13.5"/>
  <cols>
    <col min="1" max="1" width="7" style="542" customWidth="1"/>
    <col min="2" max="2" width="83.1640625" style="542" bestFit="1" customWidth="1"/>
    <col min="3" max="3" width="7.33203125" style="542" bestFit="1" customWidth="1"/>
    <col min="4" max="4" width="22" style="542" bestFit="1" customWidth="1"/>
    <col min="5" max="16384" width="11" style="542"/>
  </cols>
  <sheetData>
    <row r="1" spans="1:4" ht="14.5">
      <c r="A1" s="560" t="s">
        <v>140</v>
      </c>
    </row>
    <row r="2" spans="1:4" s="272" customFormat="1" ht="20.5">
      <c r="B2" s="216" t="s">
        <v>3414</v>
      </c>
    </row>
    <row r="4" spans="1:4" ht="34.5" customHeight="1" thickBot="1">
      <c r="B4" s="543" t="s">
        <v>3093</v>
      </c>
      <c r="C4" s="543" t="s">
        <v>3415</v>
      </c>
      <c r="D4" s="543" t="s">
        <v>3416</v>
      </c>
    </row>
    <row r="5" spans="1:4">
      <c r="B5" s="550" t="s">
        <v>3173</v>
      </c>
      <c r="C5" s="550" t="s">
        <v>3276</v>
      </c>
      <c r="D5" s="551">
        <v>62727665742</v>
      </c>
    </row>
    <row r="6" spans="1:4">
      <c r="B6" s="552" t="s">
        <v>3164</v>
      </c>
      <c r="C6" s="552" t="s">
        <v>3276</v>
      </c>
      <c r="D6" s="553">
        <v>50789970820</v>
      </c>
    </row>
    <row r="7" spans="1:4">
      <c r="B7" s="550" t="s">
        <v>3261</v>
      </c>
      <c r="C7" s="550" t="s">
        <v>3417</v>
      </c>
      <c r="D7" s="551">
        <v>47199495932</v>
      </c>
    </row>
    <row r="8" spans="1:4">
      <c r="B8" s="552" t="s">
        <v>3167</v>
      </c>
      <c r="C8" s="552" t="s">
        <v>3276</v>
      </c>
      <c r="D8" s="553">
        <v>45859664010</v>
      </c>
    </row>
    <row r="9" spans="1:4">
      <c r="B9" s="550" t="s">
        <v>3273</v>
      </c>
      <c r="C9" s="550" t="s">
        <v>3269</v>
      </c>
      <c r="D9" s="551">
        <v>29852407029</v>
      </c>
    </row>
    <row r="10" spans="1:4">
      <c r="B10" s="552" t="s">
        <v>3285</v>
      </c>
      <c r="C10" s="552" t="s">
        <v>3281</v>
      </c>
      <c r="D10" s="553">
        <v>21364927199</v>
      </c>
    </row>
    <row r="11" spans="1:4">
      <c r="B11" s="550" t="s">
        <v>3198</v>
      </c>
      <c r="C11" s="550" t="s">
        <v>3276</v>
      </c>
      <c r="D11" s="551">
        <v>20883206994</v>
      </c>
    </row>
    <row r="12" spans="1:4">
      <c r="B12" s="552" t="s">
        <v>3170</v>
      </c>
      <c r="C12" s="552" t="s">
        <v>3276</v>
      </c>
      <c r="D12" s="553">
        <v>16831732581</v>
      </c>
    </row>
    <row r="13" spans="1:4">
      <c r="B13" s="550" t="s">
        <v>3280</v>
      </c>
      <c r="C13" s="550" t="s">
        <v>3276</v>
      </c>
      <c r="D13" s="551">
        <v>13922137996</v>
      </c>
    </row>
    <row r="14" spans="1:4">
      <c r="B14" s="552" t="s">
        <v>3178</v>
      </c>
      <c r="C14" s="552" t="s">
        <v>3276</v>
      </c>
      <c r="D14" s="553">
        <v>12745512007</v>
      </c>
    </row>
    <row r="15" spans="1:4">
      <c r="B15" s="550" t="s">
        <v>3282</v>
      </c>
      <c r="C15" s="550" t="s">
        <v>3281</v>
      </c>
      <c r="D15" s="551">
        <v>12649190918</v>
      </c>
    </row>
    <row r="16" spans="1:4">
      <c r="B16" s="552" t="s">
        <v>3218</v>
      </c>
      <c r="C16" s="552" t="s">
        <v>3281</v>
      </c>
      <c r="D16" s="553">
        <v>2554408692</v>
      </c>
    </row>
    <row r="17" spans="2:4">
      <c r="B17" s="550" t="s">
        <v>3275</v>
      </c>
      <c r="C17" s="550" t="s">
        <v>3269</v>
      </c>
      <c r="D17" s="551">
        <v>1776772256</v>
      </c>
    </row>
    <row r="18" spans="2:4">
      <c r="B18" s="552" t="s">
        <v>3222</v>
      </c>
      <c r="C18" s="552" t="s">
        <v>3290</v>
      </c>
      <c r="D18" s="553">
        <v>1235902225</v>
      </c>
    </row>
    <row r="19" spans="2:4">
      <c r="B19" s="550" t="s">
        <v>3195</v>
      </c>
      <c r="C19" s="550" t="s">
        <v>3276</v>
      </c>
      <c r="D19" s="551">
        <v>924546967</v>
      </c>
    </row>
    <row r="20" spans="2:4">
      <c r="B20" s="552" t="s">
        <v>3114</v>
      </c>
      <c r="C20" s="552" t="s">
        <v>3417</v>
      </c>
      <c r="D20" s="553">
        <v>723021990</v>
      </c>
    </row>
    <row r="21" spans="2:4">
      <c r="B21" s="550" t="s">
        <v>3184</v>
      </c>
      <c r="C21" s="550" t="s">
        <v>3276</v>
      </c>
      <c r="D21" s="551">
        <v>705231145</v>
      </c>
    </row>
    <row r="22" spans="2:4">
      <c r="B22" s="552" t="s">
        <v>3141</v>
      </c>
      <c r="C22" s="552" t="s">
        <v>3269</v>
      </c>
      <c r="D22" s="553">
        <v>700210162</v>
      </c>
    </row>
    <row r="23" spans="2:4">
      <c r="B23" s="550" t="s">
        <v>3186</v>
      </c>
      <c r="C23" s="550" t="s">
        <v>3276</v>
      </c>
      <c r="D23" s="551">
        <v>678785759</v>
      </c>
    </row>
    <row r="24" spans="2:4">
      <c r="B24" s="552" t="s">
        <v>3181</v>
      </c>
      <c r="C24" s="552" t="s">
        <v>3276</v>
      </c>
      <c r="D24" s="553">
        <v>589975356</v>
      </c>
    </row>
    <row r="25" spans="2:4">
      <c r="B25" s="550" t="s">
        <v>3289</v>
      </c>
      <c r="C25" s="550" t="s">
        <v>3281</v>
      </c>
      <c r="D25" s="551">
        <v>585874719</v>
      </c>
    </row>
    <row r="26" spans="2:4">
      <c r="B26" s="552" t="s">
        <v>3293</v>
      </c>
      <c r="C26" s="552" t="s">
        <v>3292</v>
      </c>
      <c r="D26" s="553">
        <v>430416334.99999994</v>
      </c>
    </row>
    <row r="27" spans="2:4">
      <c r="B27" s="550" t="s">
        <v>3231</v>
      </c>
      <c r="C27" s="550" t="s">
        <v>3292</v>
      </c>
      <c r="D27" s="551">
        <v>96346175.000000015</v>
      </c>
    </row>
    <row r="28" spans="2:4">
      <c r="B28" s="552" t="s">
        <v>3302</v>
      </c>
      <c r="C28" s="552" t="s">
        <v>3281</v>
      </c>
      <c r="D28" s="553">
        <v>65730409</v>
      </c>
    </row>
    <row r="29" spans="2:4">
      <c r="B29" s="550" t="s">
        <v>3262</v>
      </c>
      <c r="C29" s="550" t="s">
        <v>3417</v>
      </c>
      <c r="D29" s="551">
        <v>60941000</v>
      </c>
    </row>
    <row r="30" spans="2:4">
      <c r="B30" s="552" t="s">
        <v>3288</v>
      </c>
      <c r="C30" s="552" t="s">
        <v>3281</v>
      </c>
      <c r="D30" s="553">
        <v>57624046</v>
      </c>
    </row>
    <row r="31" spans="2:4">
      <c r="B31" s="550" t="s">
        <v>3302</v>
      </c>
      <c r="C31" s="550" t="s">
        <v>3269</v>
      </c>
      <c r="D31" s="551">
        <v>50271367</v>
      </c>
    </row>
    <row r="32" spans="2:4">
      <c r="B32" s="552" t="s">
        <v>3418</v>
      </c>
      <c r="C32" s="552" t="s">
        <v>3269</v>
      </c>
      <c r="D32" s="553">
        <v>41166550</v>
      </c>
    </row>
    <row r="33" spans="2:4">
      <c r="B33" s="550" t="s">
        <v>3278</v>
      </c>
      <c r="C33" s="550" t="s">
        <v>3276</v>
      </c>
      <c r="D33" s="551">
        <v>34053586</v>
      </c>
    </row>
    <row r="34" spans="2:4">
      <c r="B34" s="552" t="s">
        <v>3419</v>
      </c>
      <c r="C34" s="552" t="s">
        <v>3269</v>
      </c>
      <c r="D34" s="553">
        <v>32684500</v>
      </c>
    </row>
    <row r="35" spans="2:4">
      <c r="B35" s="550" t="s">
        <v>3420</v>
      </c>
      <c r="C35" s="550" t="s">
        <v>3269</v>
      </c>
      <c r="D35" s="551">
        <v>9493200</v>
      </c>
    </row>
    <row r="36" spans="2:4">
      <c r="B36" s="552" t="s">
        <v>3421</v>
      </c>
      <c r="C36" s="552" t="s">
        <v>3269</v>
      </c>
      <c r="D36" s="553">
        <v>3586888</v>
      </c>
    </row>
    <row r="37" spans="2:4">
      <c r="B37" s="550" t="s">
        <v>3302</v>
      </c>
      <c r="C37" s="550" t="s">
        <v>3276</v>
      </c>
      <c r="D37" s="551">
        <v>3307500</v>
      </c>
    </row>
    <row r="38" spans="2:4">
      <c r="B38" s="552" t="s">
        <v>3419</v>
      </c>
      <c r="C38" s="552" t="s">
        <v>3276</v>
      </c>
      <c r="D38" s="553">
        <v>1657448</v>
      </c>
    </row>
    <row r="39" spans="2:4" ht="14" thickBot="1">
      <c r="B39" s="550" t="s">
        <v>3422</v>
      </c>
      <c r="C39" s="550" t="s">
        <v>3269</v>
      </c>
      <c r="D39" s="551">
        <v>1250000</v>
      </c>
    </row>
    <row r="40" spans="2:4" ht="14.5" thickTop="1" thickBot="1">
      <c r="B40" s="757" t="s">
        <v>1246</v>
      </c>
      <c r="C40" s="757"/>
      <c r="D40" s="549">
        <f>SUM(D5:D39)</f>
        <v>346189169503</v>
      </c>
    </row>
    <row r="41" spans="2:4" ht="14" thickTop="1"/>
  </sheetData>
  <mergeCells count="1">
    <mergeCell ref="B40:C40"/>
  </mergeCells>
  <hyperlinks>
    <hyperlink ref="A1" location="Sommaire!A1" display="Sommaire!A1" xr:uid="{00000000-0004-0000-2A00-000000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Feuil24"/>
  <dimension ref="A1:D160"/>
  <sheetViews>
    <sheetView workbookViewId="0"/>
  </sheetViews>
  <sheetFormatPr baseColWidth="10" defaultColWidth="11.33203125" defaultRowHeight="13.5"/>
  <cols>
    <col min="1" max="1" width="17.6640625" style="554" customWidth="1"/>
    <col min="2" max="2" width="75.1640625" style="554" bestFit="1" customWidth="1"/>
    <col min="3" max="3" width="20.33203125" style="554" bestFit="1" customWidth="1"/>
    <col min="4" max="4" width="19" style="554" bestFit="1" customWidth="1"/>
    <col min="5" max="16384" width="11.33203125" style="554"/>
  </cols>
  <sheetData>
    <row r="1" spans="1:4" ht="14.5">
      <c r="A1" s="560" t="s">
        <v>140</v>
      </c>
    </row>
    <row r="2" spans="1:4" s="555" customFormat="1" ht="23">
      <c r="A2" s="216" t="s">
        <v>3423</v>
      </c>
    </row>
    <row r="4" spans="1:4" ht="28.5" customHeight="1" thickBot="1">
      <c r="A4" s="543" t="s">
        <v>2125</v>
      </c>
      <c r="B4" s="543" t="s">
        <v>144</v>
      </c>
      <c r="C4" s="543" t="s">
        <v>3322</v>
      </c>
      <c r="D4" s="543" t="s">
        <v>3323</v>
      </c>
    </row>
    <row r="5" spans="1:4">
      <c r="A5" s="545" t="s">
        <v>2125</v>
      </c>
      <c r="B5" s="545" t="s">
        <v>191</v>
      </c>
      <c r="C5" s="545" t="s">
        <v>265</v>
      </c>
      <c r="D5" s="546">
        <v>127291968565.71243</v>
      </c>
    </row>
    <row r="6" spans="1:4">
      <c r="A6" s="547" t="s">
        <v>2125</v>
      </c>
      <c r="B6" s="547" t="s">
        <v>187</v>
      </c>
      <c r="C6" s="547" t="s">
        <v>265</v>
      </c>
      <c r="D6" s="548">
        <v>46190344703</v>
      </c>
    </row>
    <row r="7" spans="1:4">
      <c r="A7" s="545" t="s">
        <v>2125</v>
      </c>
      <c r="B7" s="545" t="s">
        <v>195</v>
      </c>
      <c r="C7" s="545" t="s">
        <v>265</v>
      </c>
      <c r="D7" s="546">
        <v>44594952341</v>
      </c>
    </row>
    <row r="8" spans="1:4">
      <c r="A8" s="547" t="s">
        <v>2125</v>
      </c>
      <c r="B8" s="547" t="s">
        <v>206</v>
      </c>
      <c r="C8" s="547" t="s">
        <v>265</v>
      </c>
      <c r="D8" s="548">
        <v>40095367040</v>
      </c>
    </row>
    <row r="9" spans="1:4">
      <c r="A9" s="545" t="s">
        <v>2125</v>
      </c>
      <c r="B9" s="545" t="s">
        <v>199</v>
      </c>
      <c r="C9" s="545" t="s">
        <v>265</v>
      </c>
      <c r="D9" s="546">
        <v>27747383486.599998</v>
      </c>
    </row>
    <row r="10" spans="1:4">
      <c r="A10" s="547" t="s">
        <v>2125</v>
      </c>
      <c r="B10" s="547" t="s">
        <v>210</v>
      </c>
      <c r="C10" s="547" t="s">
        <v>265</v>
      </c>
      <c r="D10" s="548">
        <v>22235640569</v>
      </c>
    </row>
    <row r="11" spans="1:4">
      <c r="A11" s="545" t="s">
        <v>2125</v>
      </c>
      <c r="B11" s="545" t="s">
        <v>3248</v>
      </c>
      <c r="C11" s="545" t="s">
        <v>3324</v>
      </c>
      <c r="D11" s="546">
        <v>17620698489.244751</v>
      </c>
    </row>
    <row r="12" spans="1:4">
      <c r="A12" s="547" t="s">
        <v>2125</v>
      </c>
      <c r="B12" s="547" t="s">
        <v>214</v>
      </c>
      <c r="C12" s="547" t="s">
        <v>265</v>
      </c>
      <c r="D12" s="548">
        <v>15314751563.49</v>
      </c>
    </row>
    <row r="13" spans="1:4">
      <c r="A13" s="545" t="s">
        <v>2125</v>
      </c>
      <c r="B13" s="545" t="s">
        <v>591</v>
      </c>
      <c r="C13" s="545" t="s">
        <v>3324</v>
      </c>
      <c r="D13" s="546">
        <v>13342946463</v>
      </c>
    </row>
    <row r="14" spans="1:4">
      <c r="A14" s="547" t="s">
        <v>2125</v>
      </c>
      <c r="B14" s="547" t="s">
        <v>219</v>
      </c>
      <c r="C14" s="547" t="s">
        <v>265</v>
      </c>
      <c r="D14" s="548">
        <v>5601643028</v>
      </c>
    </row>
    <row r="15" spans="1:4">
      <c r="A15" s="545" t="s">
        <v>2125</v>
      </c>
      <c r="B15" s="545" t="s">
        <v>256</v>
      </c>
      <c r="C15" s="545" t="s">
        <v>265</v>
      </c>
      <c r="D15" s="546">
        <v>3651288216</v>
      </c>
    </row>
    <row r="16" spans="1:4">
      <c r="A16" s="547" t="s">
        <v>2125</v>
      </c>
      <c r="B16" s="547" t="s">
        <v>252</v>
      </c>
      <c r="C16" s="547" t="s">
        <v>265</v>
      </c>
      <c r="D16" s="548">
        <v>3547634538</v>
      </c>
    </row>
    <row r="17" spans="1:4">
      <c r="A17" s="545" t="s">
        <v>2125</v>
      </c>
      <c r="B17" s="545" t="s">
        <v>224</v>
      </c>
      <c r="C17" s="545" t="s">
        <v>265</v>
      </c>
      <c r="D17" s="546">
        <v>2041371241</v>
      </c>
    </row>
    <row r="18" spans="1:4">
      <c r="A18" s="547" t="s">
        <v>2125</v>
      </c>
      <c r="B18" s="547" t="s">
        <v>235</v>
      </c>
      <c r="C18" s="547" t="s">
        <v>265</v>
      </c>
      <c r="D18" s="548">
        <v>870003900</v>
      </c>
    </row>
    <row r="19" spans="1:4">
      <c r="A19" s="545" t="s">
        <v>2125</v>
      </c>
      <c r="B19" s="545" t="s">
        <v>3247</v>
      </c>
      <c r="C19" s="545" t="s">
        <v>3324</v>
      </c>
      <c r="D19" s="546">
        <v>789216624.96375</v>
      </c>
    </row>
    <row r="20" spans="1:4">
      <c r="A20" s="547" t="s">
        <v>3325</v>
      </c>
      <c r="B20" s="547" t="s">
        <v>3326</v>
      </c>
      <c r="C20" s="547" t="s">
        <v>265</v>
      </c>
      <c r="D20" s="548">
        <v>727068276</v>
      </c>
    </row>
    <row r="21" spans="1:4">
      <c r="A21" s="545" t="s">
        <v>2125</v>
      </c>
      <c r="B21" s="545" t="s">
        <v>246</v>
      </c>
      <c r="C21" s="545" t="s">
        <v>265</v>
      </c>
      <c r="D21" s="546">
        <v>695887602</v>
      </c>
    </row>
    <row r="22" spans="1:4">
      <c r="A22" s="547" t="s">
        <v>2125</v>
      </c>
      <c r="B22" s="547" t="s">
        <v>153</v>
      </c>
      <c r="C22" s="547" t="s">
        <v>3324</v>
      </c>
      <c r="D22" s="548">
        <v>623108998</v>
      </c>
    </row>
    <row r="23" spans="1:4">
      <c r="A23" s="545" t="s">
        <v>2125</v>
      </c>
      <c r="B23" s="545" t="s">
        <v>203</v>
      </c>
      <c r="C23" s="545" t="s">
        <v>265</v>
      </c>
      <c r="D23" s="546">
        <v>532865431</v>
      </c>
    </row>
    <row r="24" spans="1:4">
      <c r="A24" s="547" t="s">
        <v>2125</v>
      </c>
      <c r="B24" s="547" t="s">
        <v>239</v>
      </c>
      <c r="C24" s="547" t="s">
        <v>265</v>
      </c>
      <c r="D24" s="548">
        <v>521778974.5</v>
      </c>
    </row>
    <row r="25" spans="1:4">
      <c r="A25" s="545" t="s">
        <v>2125</v>
      </c>
      <c r="B25" s="545" t="s">
        <v>228</v>
      </c>
      <c r="C25" s="545" t="s">
        <v>265</v>
      </c>
      <c r="D25" s="546">
        <v>515416870</v>
      </c>
    </row>
    <row r="26" spans="1:4">
      <c r="A26" s="547" t="s">
        <v>3325</v>
      </c>
      <c r="B26" s="547" t="s">
        <v>3327</v>
      </c>
      <c r="C26" s="547" t="s">
        <v>265</v>
      </c>
      <c r="D26" s="548">
        <v>492645956</v>
      </c>
    </row>
    <row r="27" spans="1:4">
      <c r="A27" s="545" t="s">
        <v>2125</v>
      </c>
      <c r="B27" s="545" t="s">
        <v>242</v>
      </c>
      <c r="C27" s="545" t="s">
        <v>265</v>
      </c>
      <c r="D27" s="546">
        <v>489943514</v>
      </c>
    </row>
    <row r="28" spans="1:4">
      <c r="A28" s="547" t="s">
        <v>2125</v>
      </c>
      <c r="B28" s="547" t="s">
        <v>231</v>
      </c>
      <c r="C28" s="547" t="s">
        <v>265</v>
      </c>
      <c r="D28" s="548">
        <v>464988257</v>
      </c>
    </row>
    <row r="29" spans="1:4">
      <c r="A29" s="545" t="s">
        <v>2125</v>
      </c>
      <c r="B29" s="545" t="s">
        <v>164</v>
      </c>
      <c r="C29" s="545" t="s">
        <v>3324</v>
      </c>
      <c r="D29" s="546">
        <v>444380378</v>
      </c>
    </row>
    <row r="30" spans="1:4">
      <c r="A30" s="547" t="s">
        <v>3325</v>
      </c>
      <c r="B30" s="547" t="s">
        <v>3328</v>
      </c>
      <c r="C30" s="547" t="s">
        <v>265</v>
      </c>
      <c r="D30" s="548">
        <v>380759335</v>
      </c>
    </row>
    <row r="31" spans="1:4">
      <c r="A31" s="545" t="s">
        <v>3325</v>
      </c>
      <c r="B31" s="545" t="s">
        <v>3359</v>
      </c>
      <c r="C31" s="545" t="s">
        <v>265</v>
      </c>
      <c r="D31" s="546">
        <v>352441020</v>
      </c>
    </row>
    <row r="32" spans="1:4">
      <c r="A32" s="547" t="s">
        <v>2125</v>
      </c>
      <c r="B32" s="547" t="s">
        <v>260</v>
      </c>
      <c r="C32" s="547" t="s">
        <v>265</v>
      </c>
      <c r="D32" s="548">
        <v>350405639</v>
      </c>
    </row>
    <row r="33" spans="1:4">
      <c r="A33" s="545" t="s">
        <v>3325</v>
      </c>
      <c r="B33" s="545" t="s">
        <v>3331</v>
      </c>
      <c r="C33" s="545" t="s">
        <v>265</v>
      </c>
      <c r="D33" s="546">
        <v>222168552</v>
      </c>
    </row>
    <row r="34" spans="1:4">
      <c r="A34" s="547" t="s">
        <v>2125</v>
      </c>
      <c r="B34" s="547" t="s">
        <v>159</v>
      </c>
      <c r="C34" s="547" t="s">
        <v>3324</v>
      </c>
      <c r="D34" s="548">
        <v>219573054</v>
      </c>
    </row>
    <row r="35" spans="1:4">
      <c r="A35" s="545" t="s">
        <v>3325</v>
      </c>
      <c r="B35" s="545" t="s">
        <v>3329</v>
      </c>
      <c r="C35" s="545" t="s">
        <v>265</v>
      </c>
      <c r="D35" s="546">
        <v>166869667</v>
      </c>
    </row>
    <row r="36" spans="1:4">
      <c r="A36" s="547" t="s">
        <v>3325</v>
      </c>
      <c r="B36" s="547" t="s">
        <v>3338</v>
      </c>
      <c r="C36" s="547" t="s">
        <v>265</v>
      </c>
      <c r="D36" s="548">
        <v>143994149</v>
      </c>
    </row>
    <row r="37" spans="1:4">
      <c r="A37" s="545" t="s">
        <v>2125</v>
      </c>
      <c r="B37" s="545" t="s">
        <v>155</v>
      </c>
      <c r="C37" s="545" t="s">
        <v>3324</v>
      </c>
      <c r="D37" s="546">
        <v>118220703</v>
      </c>
    </row>
    <row r="38" spans="1:4">
      <c r="A38" s="547" t="s">
        <v>3325</v>
      </c>
      <c r="B38" s="547" t="s">
        <v>3330</v>
      </c>
      <c r="C38" s="547" t="s">
        <v>265</v>
      </c>
      <c r="D38" s="548">
        <v>114860427</v>
      </c>
    </row>
    <row r="39" spans="1:4">
      <c r="A39" s="545" t="s">
        <v>3325</v>
      </c>
      <c r="B39" s="545" t="s">
        <v>277</v>
      </c>
      <c r="C39" s="545" t="s">
        <v>265</v>
      </c>
      <c r="D39" s="546">
        <v>105671867</v>
      </c>
    </row>
    <row r="40" spans="1:4">
      <c r="A40" s="547" t="s">
        <v>3325</v>
      </c>
      <c r="B40" s="547" t="s">
        <v>3332</v>
      </c>
      <c r="C40" s="547" t="s">
        <v>265</v>
      </c>
      <c r="D40" s="548">
        <v>80000000</v>
      </c>
    </row>
    <row r="41" spans="1:4">
      <c r="A41" s="545" t="s">
        <v>3325</v>
      </c>
      <c r="B41" s="545" t="s">
        <v>311</v>
      </c>
      <c r="C41" s="545" t="s">
        <v>265</v>
      </c>
      <c r="D41" s="546">
        <v>73765867</v>
      </c>
    </row>
    <row r="42" spans="1:4">
      <c r="A42" s="547" t="s">
        <v>3325</v>
      </c>
      <c r="B42" s="547" t="s">
        <v>3336</v>
      </c>
      <c r="C42" s="547" t="s">
        <v>265</v>
      </c>
      <c r="D42" s="548">
        <v>71253019</v>
      </c>
    </row>
    <row r="43" spans="1:4">
      <c r="A43" s="545" t="s">
        <v>3325</v>
      </c>
      <c r="B43" s="545" t="s">
        <v>3333</v>
      </c>
      <c r="C43" s="545" t="s">
        <v>265</v>
      </c>
      <c r="D43" s="546">
        <v>65337319</v>
      </c>
    </row>
    <row r="44" spans="1:4">
      <c r="A44" s="547" t="s">
        <v>3325</v>
      </c>
      <c r="B44" s="547" t="s">
        <v>328</v>
      </c>
      <c r="C44" s="547" t="s">
        <v>265</v>
      </c>
      <c r="D44" s="548">
        <v>64520390</v>
      </c>
    </row>
    <row r="45" spans="1:4">
      <c r="A45" s="545" t="s">
        <v>3325</v>
      </c>
      <c r="B45" s="545" t="s">
        <v>496</v>
      </c>
      <c r="C45" s="545" t="s">
        <v>265</v>
      </c>
      <c r="D45" s="546">
        <v>55621826</v>
      </c>
    </row>
    <row r="46" spans="1:4">
      <c r="A46" s="547" t="s">
        <v>3325</v>
      </c>
      <c r="B46" s="547" t="s">
        <v>3334</v>
      </c>
      <c r="C46" s="547" t="s">
        <v>265</v>
      </c>
      <c r="D46" s="548">
        <v>54486568</v>
      </c>
    </row>
    <row r="47" spans="1:4">
      <c r="A47" s="545" t="s">
        <v>3325</v>
      </c>
      <c r="B47" s="545" t="s">
        <v>3335</v>
      </c>
      <c r="C47" s="545" t="s">
        <v>265</v>
      </c>
      <c r="D47" s="546">
        <v>43089347</v>
      </c>
    </row>
    <row r="48" spans="1:4">
      <c r="A48" s="547" t="s">
        <v>3325</v>
      </c>
      <c r="B48" s="547" t="s">
        <v>3424</v>
      </c>
      <c r="C48" s="547" t="s">
        <v>265</v>
      </c>
      <c r="D48" s="548">
        <v>42508467</v>
      </c>
    </row>
    <row r="49" spans="1:4">
      <c r="A49" s="545" t="s">
        <v>3325</v>
      </c>
      <c r="B49" s="545" t="s">
        <v>3337</v>
      </c>
      <c r="C49" s="545" t="s">
        <v>265</v>
      </c>
      <c r="D49" s="546">
        <v>38298086</v>
      </c>
    </row>
    <row r="50" spans="1:4">
      <c r="A50" s="547" t="s">
        <v>3325</v>
      </c>
      <c r="B50" s="547" t="s">
        <v>3425</v>
      </c>
      <c r="C50" s="547" t="s">
        <v>265</v>
      </c>
      <c r="D50" s="548">
        <v>35855834</v>
      </c>
    </row>
    <row r="51" spans="1:4">
      <c r="A51" s="545" t="s">
        <v>3325</v>
      </c>
      <c r="B51" s="545" t="s">
        <v>3426</v>
      </c>
      <c r="C51" s="545" t="s">
        <v>265</v>
      </c>
      <c r="D51" s="546">
        <v>34932579</v>
      </c>
    </row>
    <row r="52" spans="1:4">
      <c r="A52" s="547" t="s">
        <v>3325</v>
      </c>
      <c r="B52" s="547" t="s">
        <v>3427</v>
      </c>
      <c r="C52" s="547" t="s">
        <v>265</v>
      </c>
      <c r="D52" s="548">
        <v>31226257</v>
      </c>
    </row>
    <row r="53" spans="1:4">
      <c r="A53" s="545" t="s">
        <v>3325</v>
      </c>
      <c r="B53" s="545" t="s">
        <v>3339</v>
      </c>
      <c r="C53" s="545" t="s">
        <v>265</v>
      </c>
      <c r="D53" s="546">
        <v>30350000</v>
      </c>
    </row>
    <row r="54" spans="1:4">
      <c r="A54" s="547" t="s">
        <v>3325</v>
      </c>
      <c r="B54" s="547" t="s">
        <v>3428</v>
      </c>
      <c r="C54" s="547" t="s">
        <v>265</v>
      </c>
      <c r="D54" s="548">
        <v>30233182</v>
      </c>
    </row>
    <row r="55" spans="1:4">
      <c r="A55" s="545" t="s">
        <v>2125</v>
      </c>
      <c r="B55" s="545" t="s">
        <v>183</v>
      </c>
      <c r="C55" s="545" t="s">
        <v>265</v>
      </c>
      <c r="D55" s="546">
        <v>29437106</v>
      </c>
    </row>
    <row r="56" spans="1:4">
      <c r="A56" s="547" t="s">
        <v>3325</v>
      </c>
      <c r="B56" s="547" t="s">
        <v>3340</v>
      </c>
      <c r="C56" s="547" t="s">
        <v>265</v>
      </c>
      <c r="D56" s="548">
        <v>28491469</v>
      </c>
    </row>
    <row r="57" spans="1:4">
      <c r="A57" s="545" t="s">
        <v>3325</v>
      </c>
      <c r="B57" s="545" t="s">
        <v>3341</v>
      </c>
      <c r="C57" s="545" t="s">
        <v>265</v>
      </c>
      <c r="D57" s="546">
        <v>27500000</v>
      </c>
    </row>
    <row r="58" spans="1:4">
      <c r="A58" s="547" t="s">
        <v>3325</v>
      </c>
      <c r="B58" s="547" t="s">
        <v>3429</v>
      </c>
      <c r="C58" s="547" t="s">
        <v>265</v>
      </c>
      <c r="D58" s="548">
        <v>24731677</v>
      </c>
    </row>
    <row r="59" spans="1:4">
      <c r="A59" s="545" t="s">
        <v>3325</v>
      </c>
      <c r="B59" s="545" t="s">
        <v>3342</v>
      </c>
      <c r="C59" s="545" t="s">
        <v>265</v>
      </c>
      <c r="D59" s="546">
        <v>21235000</v>
      </c>
    </row>
    <row r="60" spans="1:4">
      <c r="A60" s="547" t="s">
        <v>3325</v>
      </c>
      <c r="B60" s="547" t="s">
        <v>3343</v>
      </c>
      <c r="C60" s="547" t="s">
        <v>265</v>
      </c>
      <c r="D60" s="548">
        <v>20032614</v>
      </c>
    </row>
    <row r="61" spans="1:4">
      <c r="A61" s="545" t="s">
        <v>3325</v>
      </c>
      <c r="B61" s="545" t="s">
        <v>3344</v>
      </c>
      <c r="C61" s="545" t="s">
        <v>265</v>
      </c>
      <c r="D61" s="546">
        <v>20003500</v>
      </c>
    </row>
    <row r="62" spans="1:4">
      <c r="A62" s="547" t="s">
        <v>3325</v>
      </c>
      <c r="B62" s="547" t="s">
        <v>3345</v>
      </c>
      <c r="C62" s="547" t="s">
        <v>265</v>
      </c>
      <c r="D62" s="548">
        <v>19500000</v>
      </c>
    </row>
    <row r="63" spans="1:4">
      <c r="A63" s="545" t="s">
        <v>3325</v>
      </c>
      <c r="B63" s="545" t="s">
        <v>3346</v>
      </c>
      <c r="C63" s="545" t="s">
        <v>265</v>
      </c>
      <c r="D63" s="546">
        <v>18000000</v>
      </c>
    </row>
    <row r="64" spans="1:4">
      <c r="A64" s="547" t="s">
        <v>3325</v>
      </c>
      <c r="B64" s="547" t="s">
        <v>3347</v>
      </c>
      <c r="C64" s="547" t="s">
        <v>265</v>
      </c>
      <c r="D64" s="548">
        <v>17324500</v>
      </c>
    </row>
    <row r="65" spans="1:4">
      <c r="A65" s="545" t="s">
        <v>3325</v>
      </c>
      <c r="B65" s="545" t="s">
        <v>426</v>
      </c>
      <c r="C65" s="545" t="s">
        <v>265</v>
      </c>
      <c r="D65" s="546">
        <v>16123997</v>
      </c>
    </row>
    <row r="66" spans="1:4">
      <c r="A66" s="547" t="s">
        <v>3325</v>
      </c>
      <c r="B66" s="547" t="s">
        <v>3348</v>
      </c>
      <c r="C66" s="547" t="s">
        <v>265</v>
      </c>
      <c r="D66" s="548">
        <v>15075500</v>
      </c>
    </row>
    <row r="67" spans="1:4">
      <c r="A67" s="545" t="s">
        <v>3325</v>
      </c>
      <c r="B67" s="545" t="s">
        <v>3349</v>
      </c>
      <c r="C67" s="545" t="s">
        <v>265</v>
      </c>
      <c r="D67" s="546">
        <v>14767622</v>
      </c>
    </row>
    <row r="68" spans="1:4">
      <c r="A68" s="547" t="s">
        <v>3325</v>
      </c>
      <c r="B68" s="547" t="s">
        <v>3430</v>
      </c>
      <c r="C68" s="547" t="s">
        <v>265</v>
      </c>
      <c r="D68" s="548">
        <v>13712847</v>
      </c>
    </row>
    <row r="69" spans="1:4">
      <c r="A69" s="545" t="s">
        <v>3325</v>
      </c>
      <c r="B69" s="545" t="s">
        <v>3431</v>
      </c>
      <c r="C69" s="545" t="s">
        <v>265</v>
      </c>
      <c r="D69" s="546">
        <v>12786635</v>
      </c>
    </row>
    <row r="70" spans="1:4">
      <c r="A70" s="547" t="s">
        <v>3325</v>
      </c>
      <c r="B70" s="547" t="s">
        <v>3350</v>
      </c>
      <c r="C70" s="547" t="s">
        <v>265</v>
      </c>
      <c r="D70" s="548">
        <v>12324577</v>
      </c>
    </row>
    <row r="71" spans="1:4">
      <c r="A71" s="545" t="s">
        <v>3325</v>
      </c>
      <c r="B71" s="545" t="s">
        <v>3351</v>
      </c>
      <c r="C71" s="545" t="s">
        <v>265</v>
      </c>
      <c r="D71" s="546">
        <v>12010000</v>
      </c>
    </row>
    <row r="72" spans="1:4">
      <c r="A72" s="547" t="s">
        <v>3325</v>
      </c>
      <c r="B72" s="547" t="s">
        <v>3432</v>
      </c>
      <c r="C72" s="547" t="s">
        <v>265</v>
      </c>
      <c r="D72" s="548">
        <v>11933678</v>
      </c>
    </row>
    <row r="73" spans="1:4">
      <c r="A73" s="545" t="s">
        <v>3325</v>
      </c>
      <c r="B73" s="545" t="s">
        <v>3433</v>
      </c>
      <c r="C73" s="545" t="s">
        <v>265</v>
      </c>
      <c r="D73" s="546">
        <v>11164650</v>
      </c>
    </row>
    <row r="74" spans="1:4">
      <c r="A74" s="547" t="s">
        <v>3325</v>
      </c>
      <c r="B74" s="547" t="s">
        <v>3352</v>
      </c>
      <c r="C74" s="547" t="s">
        <v>265</v>
      </c>
      <c r="D74" s="548">
        <v>10713325</v>
      </c>
    </row>
    <row r="75" spans="1:4">
      <c r="A75" s="545" t="s">
        <v>3325</v>
      </c>
      <c r="B75" s="545" t="s">
        <v>3353</v>
      </c>
      <c r="C75" s="545" t="s">
        <v>265</v>
      </c>
      <c r="D75" s="546">
        <v>9995175</v>
      </c>
    </row>
    <row r="76" spans="1:4">
      <c r="A76" s="547" t="s">
        <v>3325</v>
      </c>
      <c r="B76" s="547" t="s">
        <v>3360</v>
      </c>
      <c r="C76" s="547" t="s">
        <v>265</v>
      </c>
      <c r="D76" s="548">
        <v>9852163</v>
      </c>
    </row>
    <row r="77" spans="1:4">
      <c r="A77" s="545" t="s">
        <v>3325</v>
      </c>
      <c r="B77" s="545" t="s">
        <v>3434</v>
      </c>
      <c r="C77" s="545" t="s">
        <v>265</v>
      </c>
      <c r="D77" s="546">
        <v>9531266</v>
      </c>
    </row>
    <row r="78" spans="1:4">
      <c r="A78" s="547" t="s">
        <v>3325</v>
      </c>
      <c r="B78" s="547" t="s">
        <v>3354</v>
      </c>
      <c r="C78" s="547" t="s">
        <v>265</v>
      </c>
      <c r="D78" s="548">
        <v>9493200</v>
      </c>
    </row>
    <row r="79" spans="1:4">
      <c r="A79" s="545" t="s">
        <v>3325</v>
      </c>
      <c r="B79" s="545" t="s">
        <v>3355</v>
      </c>
      <c r="C79" s="545" t="s">
        <v>3324</v>
      </c>
      <c r="D79" s="546">
        <v>9080859</v>
      </c>
    </row>
    <row r="80" spans="1:4">
      <c r="A80" s="547" t="s">
        <v>3325</v>
      </c>
      <c r="B80" s="547" t="s">
        <v>3435</v>
      </c>
      <c r="C80" s="547" t="s">
        <v>265</v>
      </c>
      <c r="D80" s="548">
        <v>9009350</v>
      </c>
    </row>
    <row r="81" spans="1:4">
      <c r="A81" s="545" t="s">
        <v>3325</v>
      </c>
      <c r="B81" s="545" t="s">
        <v>3356</v>
      </c>
      <c r="C81" s="545" t="s">
        <v>265</v>
      </c>
      <c r="D81" s="546">
        <v>9000000</v>
      </c>
    </row>
    <row r="82" spans="1:4">
      <c r="A82" s="547" t="s">
        <v>3325</v>
      </c>
      <c r="B82" s="547" t="s">
        <v>3357</v>
      </c>
      <c r="C82" s="547" t="s">
        <v>265</v>
      </c>
      <c r="D82" s="548">
        <v>9000000</v>
      </c>
    </row>
    <row r="83" spans="1:4">
      <c r="A83" s="545" t="s">
        <v>3325</v>
      </c>
      <c r="B83" s="545" t="s">
        <v>3358</v>
      </c>
      <c r="C83" s="545" t="s">
        <v>265</v>
      </c>
      <c r="D83" s="546">
        <v>8713960</v>
      </c>
    </row>
    <row r="84" spans="1:4">
      <c r="A84" s="547" t="s">
        <v>3325</v>
      </c>
      <c r="B84" s="547" t="s">
        <v>3361</v>
      </c>
      <c r="C84" s="547" t="s">
        <v>265</v>
      </c>
      <c r="D84" s="548">
        <v>8106000</v>
      </c>
    </row>
    <row r="85" spans="1:4">
      <c r="A85" s="545" t="s">
        <v>3325</v>
      </c>
      <c r="B85" s="545" t="s">
        <v>3373</v>
      </c>
      <c r="C85" s="545" t="s">
        <v>265</v>
      </c>
      <c r="D85" s="546">
        <v>7401496</v>
      </c>
    </row>
    <row r="86" spans="1:4">
      <c r="A86" s="547" t="s">
        <v>3325</v>
      </c>
      <c r="B86" s="547" t="s">
        <v>3363</v>
      </c>
      <c r="C86" s="547" t="s">
        <v>265</v>
      </c>
      <c r="D86" s="548">
        <v>7080784</v>
      </c>
    </row>
    <row r="87" spans="1:4">
      <c r="A87" s="545" t="s">
        <v>3325</v>
      </c>
      <c r="B87" s="545" t="s">
        <v>3436</v>
      </c>
      <c r="C87" s="545" t="s">
        <v>265</v>
      </c>
      <c r="D87" s="546">
        <v>7034727</v>
      </c>
    </row>
    <row r="88" spans="1:4">
      <c r="A88" s="547" t="s">
        <v>3325</v>
      </c>
      <c r="B88" s="547" t="s">
        <v>3362</v>
      </c>
      <c r="C88" s="547" t="s">
        <v>265</v>
      </c>
      <c r="D88" s="548">
        <v>7008000</v>
      </c>
    </row>
    <row r="89" spans="1:4">
      <c r="A89" s="545" t="s">
        <v>3325</v>
      </c>
      <c r="B89" s="545" t="s">
        <v>411</v>
      </c>
      <c r="C89" s="545" t="s">
        <v>265</v>
      </c>
      <c r="D89" s="546">
        <v>6893669</v>
      </c>
    </row>
    <row r="90" spans="1:4">
      <c r="A90" s="547" t="s">
        <v>3325</v>
      </c>
      <c r="B90" s="547" t="s">
        <v>3437</v>
      </c>
      <c r="C90" s="547" t="s">
        <v>265</v>
      </c>
      <c r="D90" s="548">
        <v>6770539</v>
      </c>
    </row>
    <row r="91" spans="1:4">
      <c r="A91" s="545" t="s">
        <v>3325</v>
      </c>
      <c r="B91" s="545" t="s">
        <v>3364</v>
      </c>
      <c r="C91" s="545" t="s">
        <v>265</v>
      </c>
      <c r="D91" s="546">
        <v>6700000</v>
      </c>
    </row>
    <row r="92" spans="1:4">
      <c r="A92" s="547" t="s">
        <v>3325</v>
      </c>
      <c r="B92" s="547" t="s">
        <v>3365</v>
      </c>
      <c r="C92" s="547" t="s">
        <v>265</v>
      </c>
      <c r="D92" s="548">
        <v>6698066</v>
      </c>
    </row>
    <row r="93" spans="1:4">
      <c r="A93" s="545" t="s">
        <v>3325</v>
      </c>
      <c r="B93" s="545" t="s">
        <v>396</v>
      </c>
      <c r="C93" s="545" t="s">
        <v>265</v>
      </c>
      <c r="D93" s="546">
        <v>6500000</v>
      </c>
    </row>
    <row r="94" spans="1:4">
      <c r="A94" s="547" t="s">
        <v>3325</v>
      </c>
      <c r="B94" s="547" t="s">
        <v>3366</v>
      </c>
      <c r="C94" s="547" t="s">
        <v>265</v>
      </c>
      <c r="D94" s="548">
        <v>6485000</v>
      </c>
    </row>
    <row r="95" spans="1:4">
      <c r="A95" s="545" t="s">
        <v>3325</v>
      </c>
      <c r="B95" s="545" t="s">
        <v>3367</v>
      </c>
      <c r="C95" s="545" t="s">
        <v>265</v>
      </c>
      <c r="D95" s="546">
        <v>6050500</v>
      </c>
    </row>
    <row r="96" spans="1:4">
      <c r="A96" s="547" t="s">
        <v>3325</v>
      </c>
      <c r="B96" s="547" t="s">
        <v>3368</v>
      </c>
      <c r="C96" s="547" t="s">
        <v>265</v>
      </c>
      <c r="D96" s="548">
        <v>5980000</v>
      </c>
    </row>
    <row r="97" spans="1:4">
      <c r="A97" s="545" t="s">
        <v>3325</v>
      </c>
      <c r="B97" s="545" t="s">
        <v>3438</v>
      </c>
      <c r="C97" s="545" t="s">
        <v>265</v>
      </c>
      <c r="D97" s="546">
        <v>5898428</v>
      </c>
    </row>
    <row r="98" spans="1:4">
      <c r="A98" s="547" t="s">
        <v>3325</v>
      </c>
      <c r="B98" s="547" t="s">
        <v>3384</v>
      </c>
      <c r="C98" s="547" t="s">
        <v>265</v>
      </c>
      <c r="D98" s="548">
        <v>5743464</v>
      </c>
    </row>
    <row r="99" spans="1:4">
      <c r="A99" s="545" t="s">
        <v>3325</v>
      </c>
      <c r="B99" s="545" t="s">
        <v>3439</v>
      </c>
      <c r="C99" s="545" t="s">
        <v>265</v>
      </c>
      <c r="D99" s="546">
        <v>5427313</v>
      </c>
    </row>
    <row r="100" spans="1:4">
      <c r="A100" s="547" t="s">
        <v>3325</v>
      </c>
      <c r="B100" s="547" t="s">
        <v>3377</v>
      </c>
      <c r="C100" s="547" t="s">
        <v>265</v>
      </c>
      <c r="D100" s="548">
        <v>5368286</v>
      </c>
    </row>
    <row r="101" spans="1:4">
      <c r="A101" s="545" t="s">
        <v>3325</v>
      </c>
      <c r="B101" s="545" t="s">
        <v>3369</v>
      </c>
      <c r="C101" s="545" t="s">
        <v>265</v>
      </c>
      <c r="D101" s="546">
        <v>5326380</v>
      </c>
    </row>
    <row r="102" spans="1:4">
      <c r="A102" s="547" t="s">
        <v>3325</v>
      </c>
      <c r="B102" s="547" t="s">
        <v>509</v>
      </c>
      <c r="C102" s="547" t="s">
        <v>265</v>
      </c>
      <c r="D102" s="548">
        <v>5256894</v>
      </c>
    </row>
    <row r="103" spans="1:4">
      <c r="A103" s="545" t="s">
        <v>3325</v>
      </c>
      <c r="B103" s="545" t="s">
        <v>3370</v>
      </c>
      <c r="C103" s="545" t="s">
        <v>265</v>
      </c>
      <c r="D103" s="546">
        <v>5078720</v>
      </c>
    </row>
    <row r="104" spans="1:4">
      <c r="A104" s="547" t="s">
        <v>3325</v>
      </c>
      <c r="B104" s="547" t="s">
        <v>3440</v>
      </c>
      <c r="C104" s="547" t="s">
        <v>265</v>
      </c>
      <c r="D104" s="548">
        <v>5010447</v>
      </c>
    </row>
    <row r="105" spans="1:4">
      <c r="A105" s="545" t="s">
        <v>3325</v>
      </c>
      <c r="B105" s="545" t="s">
        <v>3371</v>
      </c>
      <c r="C105" s="545" t="s">
        <v>265</v>
      </c>
      <c r="D105" s="546">
        <v>4732000</v>
      </c>
    </row>
    <row r="106" spans="1:4">
      <c r="A106" s="547" t="s">
        <v>3325</v>
      </c>
      <c r="B106" s="547" t="s">
        <v>3372</v>
      </c>
      <c r="C106" s="547" t="s">
        <v>265</v>
      </c>
      <c r="D106" s="548">
        <v>4522600</v>
      </c>
    </row>
    <row r="107" spans="1:4">
      <c r="A107" s="545" t="s">
        <v>3325</v>
      </c>
      <c r="B107" s="545" t="s">
        <v>567</v>
      </c>
      <c r="C107" s="545" t="s">
        <v>265</v>
      </c>
      <c r="D107" s="546">
        <v>3665882</v>
      </c>
    </row>
    <row r="108" spans="1:4">
      <c r="A108" s="547" t="s">
        <v>3325</v>
      </c>
      <c r="B108" s="547" t="s">
        <v>3374</v>
      </c>
      <c r="C108" s="547" t="s">
        <v>265</v>
      </c>
      <c r="D108" s="548">
        <v>3184942</v>
      </c>
    </row>
    <row r="109" spans="1:4">
      <c r="A109" s="545" t="s">
        <v>3325</v>
      </c>
      <c r="B109" s="545" t="s">
        <v>3375</v>
      </c>
      <c r="C109" s="545" t="s">
        <v>265</v>
      </c>
      <c r="D109" s="546">
        <v>3136888</v>
      </c>
    </row>
    <row r="110" spans="1:4">
      <c r="A110" s="547" t="s">
        <v>3325</v>
      </c>
      <c r="B110" s="547" t="s">
        <v>3376</v>
      </c>
      <c r="C110" s="547" t="s">
        <v>265</v>
      </c>
      <c r="D110" s="548">
        <v>3076870</v>
      </c>
    </row>
    <row r="111" spans="1:4">
      <c r="A111" s="545" t="s">
        <v>3325</v>
      </c>
      <c r="B111" s="545" t="s">
        <v>3379</v>
      </c>
      <c r="C111" s="545" t="s">
        <v>265</v>
      </c>
      <c r="D111" s="546">
        <v>3065502</v>
      </c>
    </row>
    <row r="112" spans="1:4">
      <c r="A112" s="547" t="s">
        <v>3325</v>
      </c>
      <c r="B112" s="547" t="s">
        <v>3378</v>
      </c>
      <c r="C112" s="547" t="s">
        <v>265</v>
      </c>
      <c r="D112" s="548">
        <v>3000000</v>
      </c>
    </row>
    <row r="113" spans="1:4">
      <c r="A113" s="545" t="s">
        <v>3325</v>
      </c>
      <c r="B113" s="545" t="s">
        <v>3441</v>
      </c>
      <c r="C113" s="545" t="s">
        <v>265</v>
      </c>
      <c r="D113" s="546">
        <v>2808561</v>
      </c>
    </row>
    <row r="114" spans="1:4">
      <c r="A114" s="547" t="s">
        <v>3325</v>
      </c>
      <c r="B114" s="547" t="s">
        <v>3390</v>
      </c>
      <c r="C114" s="547" t="s">
        <v>265</v>
      </c>
      <c r="D114" s="548">
        <v>2756974</v>
      </c>
    </row>
    <row r="115" spans="1:4">
      <c r="A115" s="545" t="s">
        <v>3325</v>
      </c>
      <c r="B115" s="545" t="s">
        <v>3380</v>
      </c>
      <c r="C115" s="545" t="s">
        <v>265</v>
      </c>
      <c r="D115" s="546">
        <v>2755407</v>
      </c>
    </row>
    <row r="116" spans="1:4">
      <c r="A116" s="547" t="s">
        <v>3325</v>
      </c>
      <c r="B116" s="547" t="s">
        <v>3381</v>
      </c>
      <c r="C116" s="547" t="s">
        <v>265</v>
      </c>
      <c r="D116" s="548">
        <v>2697417</v>
      </c>
    </row>
    <row r="117" spans="1:4">
      <c r="A117" s="545" t="s">
        <v>3325</v>
      </c>
      <c r="B117" s="545" t="s">
        <v>3382</v>
      </c>
      <c r="C117" s="545" t="s">
        <v>265</v>
      </c>
      <c r="D117" s="546">
        <v>2633500</v>
      </c>
    </row>
    <row r="118" spans="1:4">
      <c r="A118" s="547" t="s">
        <v>3325</v>
      </c>
      <c r="B118" s="547" t="s">
        <v>3383</v>
      </c>
      <c r="C118" s="547" t="s">
        <v>265</v>
      </c>
      <c r="D118" s="548">
        <v>2565000</v>
      </c>
    </row>
    <row r="119" spans="1:4">
      <c r="A119" s="545" t="s">
        <v>3325</v>
      </c>
      <c r="B119" s="545" t="s">
        <v>3385</v>
      </c>
      <c r="C119" s="545" t="s">
        <v>265</v>
      </c>
      <c r="D119" s="546">
        <v>2400000</v>
      </c>
    </row>
    <row r="120" spans="1:4">
      <c r="A120" s="547" t="s">
        <v>3325</v>
      </c>
      <c r="B120" s="547" t="s">
        <v>3442</v>
      </c>
      <c r="C120" s="547" t="s">
        <v>265</v>
      </c>
      <c r="D120" s="548">
        <v>2395684</v>
      </c>
    </row>
    <row r="121" spans="1:4">
      <c r="A121" s="545" t="s">
        <v>3325</v>
      </c>
      <c r="B121" s="545" t="s">
        <v>3387</v>
      </c>
      <c r="C121" s="545" t="s">
        <v>265</v>
      </c>
      <c r="D121" s="546">
        <v>2318248</v>
      </c>
    </row>
    <row r="122" spans="1:4">
      <c r="A122" s="547" t="s">
        <v>3325</v>
      </c>
      <c r="B122" s="547" t="s">
        <v>3386</v>
      </c>
      <c r="C122" s="547" t="s">
        <v>265</v>
      </c>
      <c r="D122" s="548">
        <v>2222502</v>
      </c>
    </row>
    <row r="123" spans="1:4">
      <c r="A123" s="545" t="s">
        <v>3325</v>
      </c>
      <c r="B123" s="545" t="s">
        <v>3388</v>
      </c>
      <c r="C123" s="545" t="s">
        <v>265</v>
      </c>
      <c r="D123" s="546">
        <v>2091500</v>
      </c>
    </row>
    <row r="124" spans="1:4">
      <c r="A124" s="547" t="s">
        <v>3325</v>
      </c>
      <c r="B124" s="547" t="s">
        <v>3443</v>
      </c>
      <c r="C124" s="547" t="s">
        <v>265</v>
      </c>
      <c r="D124" s="548">
        <v>1971853</v>
      </c>
    </row>
    <row r="125" spans="1:4">
      <c r="A125" s="545" t="s">
        <v>3325</v>
      </c>
      <c r="B125" s="545" t="s">
        <v>3389</v>
      </c>
      <c r="C125" s="545" t="s">
        <v>265</v>
      </c>
      <c r="D125" s="546">
        <v>1922000</v>
      </c>
    </row>
    <row r="126" spans="1:4">
      <c r="A126" s="547" t="s">
        <v>3325</v>
      </c>
      <c r="B126" s="547" t="s">
        <v>3444</v>
      </c>
      <c r="C126" s="547" t="s">
        <v>265</v>
      </c>
      <c r="D126" s="548">
        <v>1818031</v>
      </c>
    </row>
    <row r="127" spans="1:4">
      <c r="A127" s="545" t="s">
        <v>3325</v>
      </c>
      <c r="B127" s="545" t="s">
        <v>3391</v>
      </c>
      <c r="C127" s="545" t="s">
        <v>265</v>
      </c>
      <c r="D127" s="546">
        <v>1430000</v>
      </c>
    </row>
    <row r="128" spans="1:4">
      <c r="A128" s="547" t="s">
        <v>3325</v>
      </c>
      <c r="B128" s="547" t="s">
        <v>3392</v>
      </c>
      <c r="C128" s="547" t="s">
        <v>265</v>
      </c>
      <c r="D128" s="548">
        <v>1400000</v>
      </c>
    </row>
    <row r="129" spans="1:4">
      <c r="A129" s="545" t="s">
        <v>3325</v>
      </c>
      <c r="B129" s="545" t="s">
        <v>3393</v>
      </c>
      <c r="C129" s="545" t="s">
        <v>265</v>
      </c>
      <c r="D129" s="546">
        <v>1361160</v>
      </c>
    </row>
    <row r="130" spans="1:4">
      <c r="A130" s="547" t="s">
        <v>3325</v>
      </c>
      <c r="B130" s="547" t="s">
        <v>3445</v>
      </c>
      <c r="C130" s="547" t="s">
        <v>265</v>
      </c>
      <c r="D130" s="548">
        <v>1348518</v>
      </c>
    </row>
    <row r="131" spans="1:4">
      <c r="A131" s="545" t="s">
        <v>3325</v>
      </c>
      <c r="B131" s="545" t="s">
        <v>3394</v>
      </c>
      <c r="C131" s="545" t="s">
        <v>265</v>
      </c>
      <c r="D131" s="546">
        <v>1275690</v>
      </c>
    </row>
    <row r="132" spans="1:4">
      <c r="A132" s="547" t="s">
        <v>3325</v>
      </c>
      <c r="B132" s="547" t="s">
        <v>3395</v>
      </c>
      <c r="C132" s="547" t="s">
        <v>265</v>
      </c>
      <c r="D132" s="548">
        <v>1221600</v>
      </c>
    </row>
    <row r="133" spans="1:4">
      <c r="A133" s="545" t="s">
        <v>3325</v>
      </c>
      <c r="B133" s="545" t="s">
        <v>3396</v>
      </c>
      <c r="C133" s="545" t="s">
        <v>265</v>
      </c>
      <c r="D133" s="546">
        <v>1200000</v>
      </c>
    </row>
    <row r="134" spans="1:4">
      <c r="A134" s="547" t="s">
        <v>3325</v>
      </c>
      <c r="B134" s="547" t="s">
        <v>3397</v>
      </c>
      <c r="C134" s="547" t="s">
        <v>265</v>
      </c>
      <c r="D134" s="548">
        <v>1170506</v>
      </c>
    </row>
    <row r="135" spans="1:4">
      <c r="A135" s="545" t="s">
        <v>3325</v>
      </c>
      <c r="B135" s="545" t="s">
        <v>3398</v>
      </c>
      <c r="C135" s="545" t="s">
        <v>265</v>
      </c>
      <c r="D135" s="546">
        <v>1133424</v>
      </c>
    </row>
    <row r="136" spans="1:4">
      <c r="A136" s="547" t="s">
        <v>2125</v>
      </c>
      <c r="B136" s="547" t="s">
        <v>223</v>
      </c>
      <c r="C136" s="547" t="s">
        <v>265</v>
      </c>
      <c r="D136" s="548">
        <v>1070319</v>
      </c>
    </row>
    <row r="137" spans="1:4">
      <c r="A137" s="545" t="s">
        <v>3325</v>
      </c>
      <c r="B137" s="545" t="s">
        <v>3399</v>
      </c>
      <c r="C137" s="545" t="s">
        <v>265</v>
      </c>
      <c r="D137" s="546">
        <v>1000000</v>
      </c>
    </row>
    <row r="138" spans="1:4">
      <c r="A138" s="547" t="s">
        <v>3325</v>
      </c>
      <c r="B138" s="547" t="s">
        <v>3400</v>
      </c>
      <c r="C138" s="547" t="s">
        <v>265</v>
      </c>
      <c r="D138" s="548">
        <v>1000000</v>
      </c>
    </row>
    <row r="139" spans="1:4">
      <c r="A139" s="545" t="s">
        <v>3325</v>
      </c>
      <c r="B139" s="545" t="s">
        <v>3401</v>
      </c>
      <c r="C139" s="545" t="s">
        <v>265</v>
      </c>
      <c r="D139" s="546">
        <v>995996</v>
      </c>
    </row>
    <row r="140" spans="1:4">
      <c r="A140" s="547" t="s">
        <v>3325</v>
      </c>
      <c r="B140" s="547" t="s">
        <v>3402</v>
      </c>
      <c r="C140" s="547" t="s">
        <v>265</v>
      </c>
      <c r="D140" s="548">
        <v>840000</v>
      </c>
    </row>
    <row r="141" spans="1:4">
      <c r="A141" s="545" t="s">
        <v>3325</v>
      </c>
      <c r="B141" s="545" t="s">
        <v>3446</v>
      </c>
      <c r="C141" s="545" t="s">
        <v>265</v>
      </c>
      <c r="D141" s="546">
        <v>771120</v>
      </c>
    </row>
    <row r="142" spans="1:4">
      <c r="A142" s="547" t="s">
        <v>3325</v>
      </c>
      <c r="B142" s="547" t="s">
        <v>3447</v>
      </c>
      <c r="C142" s="547" t="s">
        <v>265</v>
      </c>
      <c r="D142" s="548">
        <v>691685</v>
      </c>
    </row>
    <row r="143" spans="1:4">
      <c r="A143" s="545" t="s">
        <v>3325</v>
      </c>
      <c r="B143" s="545" t="s">
        <v>3448</v>
      </c>
      <c r="C143" s="545" t="s">
        <v>265</v>
      </c>
      <c r="D143" s="546">
        <v>677040</v>
      </c>
    </row>
    <row r="144" spans="1:4">
      <c r="A144" s="547" t="s">
        <v>3325</v>
      </c>
      <c r="B144" s="547" t="s">
        <v>3403</v>
      </c>
      <c r="C144" s="547" t="s">
        <v>265</v>
      </c>
      <c r="D144" s="548">
        <v>668620</v>
      </c>
    </row>
    <row r="145" spans="1:4">
      <c r="A145" s="545" t="s">
        <v>3325</v>
      </c>
      <c r="B145" s="545" t="s">
        <v>3404</v>
      </c>
      <c r="C145" s="545" t="s">
        <v>265</v>
      </c>
      <c r="D145" s="546">
        <v>650000</v>
      </c>
    </row>
    <row r="146" spans="1:4">
      <c r="A146" s="547" t="s">
        <v>3325</v>
      </c>
      <c r="B146" s="547" t="s">
        <v>3405</v>
      </c>
      <c r="C146" s="547" t="s">
        <v>265</v>
      </c>
      <c r="D146" s="548">
        <v>600000</v>
      </c>
    </row>
    <row r="147" spans="1:4">
      <c r="A147" s="545" t="s">
        <v>3325</v>
      </c>
      <c r="B147" s="545" t="s">
        <v>3406</v>
      </c>
      <c r="C147" s="545" t="s">
        <v>265</v>
      </c>
      <c r="D147" s="546">
        <v>572280</v>
      </c>
    </row>
    <row r="148" spans="1:4">
      <c r="A148" s="547" t="s">
        <v>3325</v>
      </c>
      <c r="B148" s="547" t="s">
        <v>3407</v>
      </c>
      <c r="C148" s="547" t="s">
        <v>265</v>
      </c>
      <c r="D148" s="548">
        <v>508865</v>
      </c>
    </row>
    <row r="149" spans="1:4">
      <c r="A149" s="545" t="s">
        <v>3325</v>
      </c>
      <c r="B149" s="545" t="s">
        <v>3449</v>
      </c>
      <c r="C149" s="545" t="s">
        <v>265</v>
      </c>
      <c r="D149" s="546">
        <v>505260</v>
      </c>
    </row>
    <row r="150" spans="1:4">
      <c r="A150" s="547" t="s">
        <v>3325</v>
      </c>
      <c r="B150" s="547" t="s">
        <v>561</v>
      </c>
      <c r="C150" s="547" t="s">
        <v>265</v>
      </c>
      <c r="D150" s="548">
        <v>500000</v>
      </c>
    </row>
    <row r="151" spans="1:4">
      <c r="A151" s="545" t="s">
        <v>3325</v>
      </c>
      <c r="B151" s="545" t="s">
        <v>3408</v>
      </c>
      <c r="C151" s="545" t="s">
        <v>3324</v>
      </c>
      <c r="D151" s="546">
        <v>402000</v>
      </c>
    </row>
    <row r="152" spans="1:4">
      <c r="A152" s="547" t="s">
        <v>3325</v>
      </c>
      <c r="B152" s="547" t="s">
        <v>3409</v>
      </c>
      <c r="C152" s="547" t="s">
        <v>265</v>
      </c>
      <c r="D152" s="548">
        <v>390000</v>
      </c>
    </row>
    <row r="153" spans="1:4">
      <c r="A153" s="545" t="s">
        <v>3325</v>
      </c>
      <c r="B153" s="545" t="s">
        <v>3410</v>
      </c>
      <c r="C153" s="545" t="s">
        <v>265</v>
      </c>
      <c r="D153" s="546">
        <v>389026</v>
      </c>
    </row>
    <row r="154" spans="1:4">
      <c r="A154" s="547" t="s">
        <v>3325</v>
      </c>
      <c r="B154" s="547" t="s">
        <v>3411</v>
      </c>
      <c r="C154" s="547" t="s">
        <v>265</v>
      </c>
      <c r="D154" s="548">
        <v>323000</v>
      </c>
    </row>
    <row r="155" spans="1:4">
      <c r="A155" s="545" t="s">
        <v>3325</v>
      </c>
      <c r="B155" s="545" t="s">
        <v>3450</v>
      </c>
      <c r="C155" s="545" t="s">
        <v>265</v>
      </c>
      <c r="D155" s="546">
        <v>241392</v>
      </c>
    </row>
    <row r="156" spans="1:4">
      <c r="A156" s="547" t="s">
        <v>3325</v>
      </c>
      <c r="B156" s="547" t="s">
        <v>3412</v>
      </c>
      <c r="C156" s="547" t="s">
        <v>265</v>
      </c>
      <c r="D156" s="548">
        <v>200000</v>
      </c>
    </row>
    <row r="157" spans="1:4">
      <c r="A157" s="545" t="s">
        <v>3325</v>
      </c>
      <c r="B157" s="545" t="s">
        <v>3451</v>
      </c>
      <c r="C157" s="545" t="s">
        <v>265</v>
      </c>
      <c r="D157" s="546">
        <v>171749</v>
      </c>
    </row>
    <row r="158" spans="1:4" ht="14" thickBot="1">
      <c r="A158" s="547" t="s">
        <v>3325</v>
      </c>
      <c r="B158" s="547" t="s">
        <v>3413</v>
      </c>
      <c r="C158" s="547" t="s">
        <v>265</v>
      </c>
      <c r="D158" s="548">
        <v>169180</v>
      </c>
    </row>
    <row r="159" spans="1:4" ht="14.5" thickTop="1" thickBot="1">
      <c r="B159" s="757" t="s">
        <v>1246</v>
      </c>
      <c r="C159" s="757"/>
      <c r="D159" s="549">
        <f>SUM(D5:D158)</f>
        <v>380028721353.51093</v>
      </c>
    </row>
    <row r="160" spans="1:4" ht="14" thickTop="1"/>
  </sheetData>
  <mergeCells count="1">
    <mergeCell ref="B159:C159"/>
  </mergeCells>
  <hyperlinks>
    <hyperlink ref="A1" location="Sommaire!A1" display="Sommaire!A1" xr:uid="{00000000-0004-0000-2B00-00000000000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Feuil25"/>
  <dimension ref="A1:C57"/>
  <sheetViews>
    <sheetView workbookViewId="0"/>
  </sheetViews>
  <sheetFormatPr baseColWidth="10" defaultColWidth="11" defaultRowHeight="13.5"/>
  <cols>
    <col min="1" max="1" width="58" style="554" bestFit="1" customWidth="1"/>
    <col min="2" max="2" width="23.6640625" style="554" bestFit="1" customWidth="1"/>
    <col min="3" max="3" width="19" style="554" bestFit="1" customWidth="1"/>
    <col min="4" max="16384" width="11" style="554"/>
  </cols>
  <sheetData>
    <row r="1" spans="1:3" ht="14.5">
      <c r="A1" s="560" t="s">
        <v>140</v>
      </c>
    </row>
    <row r="2" spans="1:3" s="280" customFormat="1" ht="20.5">
      <c r="A2" s="562" t="s">
        <v>3452</v>
      </c>
    </row>
    <row r="4" spans="1:3" ht="24" customHeight="1" thickBot="1">
      <c r="A4" s="543" t="s">
        <v>3093</v>
      </c>
      <c r="B4" s="543" t="s">
        <v>3415</v>
      </c>
      <c r="C4" s="543" t="s">
        <v>3323</v>
      </c>
    </row>
    <row r="5" spans="1:3">
      <c r="A5" s="545" t="s">
        <v>3173</v>
      </c>
      <c r="B5" s="545" t="s">
        <v>3276</v>
      </c>
      <c r="C5" s="546">
        <v>62727665742</v>
      </c>
    </row>
    <row r="6" spans="1:3">
      <c r="A6" s="547" t="s">
        <v>3164</v>
      </c>
      <c r="B6" s="547" t="s">
        <v>3276</v>
      </c>
      <c r="C6" s="548">
        <v>50789970820</v>
      </c>
    </row>
    <row r="7" spans="1:3">
      <c r="A7" s="545" t="s">
        <v>3261</v>
      </c>
      <c r="B7" s="545" t="s">
        <v>3417</v>
      </c>
      <c r="C7" s="546">
        <v>47199495932</v>
      </c>
    </row>
    <row r="8" spans="1:3">
      <c r="A8" s="547" t="s">
        <v>3167</v>
      </c>
      <c r="B8" s="547" t="s">
        <v>3276</v>
      </c>
      <c r="C8" s="548">
        <v>45859664010</v>
      </c>
    </row>
    <row r="9" spans="1:3">
      <c r="A9" s="545" t="s">
        <v>3273</v>
      </c>
      <c r="B9" s="545" t="s">
        <v>3269</v>
      </c>
      <c r="C9" s="546">
        <v>29852407029</v>
      </c>
    </row>
    <row r="10" spans="1:3">
      <c r="A10" s="547" t="s">
        <v>3285</v>
      </c>
      <c r="B10" s="547" t="s">
        <v>3281</v>
      </c>
      <c r="C10" s="548">
        <v>21364927199</v>
      </c>
    </row>
    <row r="11" spans="1:3">
      <c r="A11" s="545" t="s">
        <v>3198</v>
      </c>
      <c r="B11" s="545" t="s">
        <v>3276</v>
      </c>
      <c r="C11" s="546">
        <v>20883206994</v>
      </c>
    </row>
    <row r="12" spans="1:3">
      <c r="A12" s="547" t="s">
        <v>3170</v>
      </c>
      <c r="B12" s="547" t="s">
        <v>3276</v>
      </c>
      <c r="C12" s="548">
        <v>16831732581</v>
      </c>
    </row>
    <row r="13" spans="1:3">
      <c r="A13" s="545" t="s">
        <v>3280</v>
      </c>
      <c r="B13" s="545" t="s">
        <v>3276</v>
      </c>
      <c r="C13" s="546">
        <v>13922137996</v>
      </c>
    </row>
    <row r="14" spans="1:3">
      <c r="A14" s="547" t="s">
        <v>3178</v>
      </c>
      <c r="B14" s="547" t="s">
        <v>3276</v>
      </c>
      <c r="C14" s="548">
        <v>12745512007</v>
      </c>
    </row>
    <row r="15" spans="1:3">
      <c r="A15" s="545" t="s">
        <v>3282</v>
      </c>
      <c r="B15" s="545" t="s">
        <v>3281</v>
      </c>
      <c r="C15" s="546">
        <v>12649190918</v>
      </c>
    </row>
    <row r="16" spans="1:3">
      <c r="A16" s="547" t="s">
        <v>17</v>
      </c>
      <c r="B16" s="547" t="s">
        <v>17</v>
      </c>
      <c r="C16" s="548">
        <v>9543372478.244751</v>
      </c>
    </row>
    <row r="17" spans="1:3">
      <c r="A17" s="545" t="s">
        <v>3296</v>
      </c>
      <c r="B17" s="545" t="s">
        <v>3295</v>
      </c>
      <c r="C17" s="546">
        <v>5791267055</v>
      </c>
    </row>
    <row r="18" spans="1:3">
      <c r="A18" s="547" t="s">
        <v>15</v>
      </c>
      <c r="B18" s="547" t="s">
        <v>15</v>
      </c>
      <c r="C18" s="548">
        <v>4368304153.96</v>
      </c>
    </row>
    <row r="19" spans="1:3">
      <c r="A19" s="545" t="s">
        <v>13</v>
      </c>
      <c r="B19" s="545" t="s">
        <v>13</v>
      </c>
      <c r="C19" s="546">
        <v>3034940275.132431</v>
      </c>
    </row>
    <row r="20" spans="1:3">
      <c r="A20" s="547" t="s">
        <v>3218</v>
      </c>
      <c r="B20" s="547" t="s">
        <v>3281</v>
      </c>
      <c r="C20" s="548">
        <v>2554408692</v>
      </c>
    </row>
    <row r="21" spans="1:3">
      <c r="A21" s="545" t="s">
        <v>3284</v>
      </c>
      <c r="B21" s="545" t="s">
        <v>3281</v>
      </c>
      <c r="C21" s="546">
        <v>2205358375</v>
      </c>
    </row>
    <row r="22" spans="1:3">
      <c r="A22" s="547" t="s">
        <v>3294</v>
      </c>
      <c r="B22" s="547" t="s">
        <v>340</v>
      </c>
      <c r="C22" s="548">
        <v>1823375233</v>
      </c>
    </row>
    <row r="23" spans="1:3">
      <c r="A23" s="545" t="s">
        <v>3275</v>
      </c>
      <c r="B23" s="545" t="s">
        <v>3269</v>
      </c>
      <c r="C23" s="546">
        <v>1776772256</v>
      </c>
    </row>
    <row r="24" spans="1:3">
      <c r="A24" s="547" t="s">
        <v>3283</v>
      </c>
      <c r="B24" s="547" t="s">
        <v>3281</v>
      </c>
      <c r="C24" s="548">
        <v>1764352497</v>
      </c>
    </row>
    <row r="25" spans="1:3">
      <c r="A25" s="545" t="s">
        <v>3122</v>
      </c>
      <c r="B25" s="545" t="s">
        <v>1253</v>
      </c>
      <c r="C25" s="546">
        <v>1711293863</v>
      </c>
    </row>
    <row r="26" spans="1:3">
      <c r="A26" s="547" t="s">
        <v>3106</v>
      </c>
      <c r="B26" s="547" t="s">
        <v>3417</v>
      </c>
      <c r="C26" s="548">
        <v>1342209390.21</v>
      </c>
    </row>
    <row r="27" spans="1:3">
      <c r="A27" s="545" t="s">
        <v>3222</v>
      </c>
      <c r="B27" s="545" t="s">
        <v>3290</v>
      </c>
      <c r="C27" s="546">
        <v>1235902225</v>
      </c>
    </row>
    <row r="28" spans="1:3">
      <c r="A28" s="547" t="s">
        <v>3286</v>
      </c>
      <c r="B28" s="547" t="s">
        <v>3281</v>
      </c>
      <c r="C28" s="548">
        <v>1102574613</v>
      </c>
    </row>
    <row r="29" spans="1:3">
      <c r="A29" s="545" t="s">
        <v>3195</v>
      </c>
      <c r="B29" s="545" t="s">
        <v>3276</v>
      </c>
      <c r="C29" s="546">
        <v>924546967</v>
      </c>
    </row>
    <row r="30" spans="1:3">
      <c r="A30" s="547" t="s">
        <v>3293</v>
      </c>
      <c r="B30" s="547" t="s">
        <v>3292</v>
      </c>
      <c r="C30" s="548">
        <v>853803670</v>
      </c>
    </row>
    <row r="31" spans="1:3">
      <c r="A31" s="545" t="s">
        <v>3114</v>
      </c>
      <c r="B31" s="545" t="s">
        <v>3417</v>
      </c>
      <c r="C31" s="546">
        <v>723021990</v>
      </c>
    </row>
    <row r="32" spans="1:3">
      <c r="A32" s="547" t="s">
        <v>3184</v>
      </c>
      <c r="B32" s="547" t="s">
        <v>3276</v>
      </c>
      <c r="C32" s="548">
        <v>705231145</v>
      </c>
    </row>
    <row r="33" spans="1:3">
      <c r="A33" s="545" t="s">
        <v>3141</v>
      </c>
      <c r="B33" s="545" t="s">
        <v>3269</v>
      </c>
      <c r="C33" s="546">
        <v>700210162</v>
      </c>
    </row>
    <row r="34" spans="1:3">
      <c r="A34" s="547" t="s">
        <v>3186</v>
      </c>
      <c r="B34" s="547" t="s">
        <v>3276</v>
      </c>
      <c r="C34" s="548">
        <v>678785759</v>
      </c>
    </row>
    <row r="35" spans="1:3">
      <c r="A35" s="545" t="s">
        <v>3181</v>
      </c>
      <c r="B35" s="545" t="s">
        <v>3276</v>
      </c>
      <c r="C35" s="546">
        <v>589975356</v>
      </c>
    </row>
    <row r="36" spans="1:3">
      <c r="A36" s="547" t="s">
        <v>3289</v>
      </c>
      <c r="B36" s="547" t="s">
        <v>3281</v>
      </c>
      <c r="C36" s="548">
        <v>585874719</v>
      </c>
    </row>
    <row r="37" spans="1:3">
      <c r="A37" s="545" t="s">
        <v>3291</v>
      </c>
      <c r="B37" s="545" t="s">
        <v>3290</v>
      </c>
      <c r="C37" s="546">
        <v>245586564</v>
      </c>
    </row>
    <row r="38" spans="1:3">
      <c r="A38" s="547" t="s">
        <v>3287</v>
      </c>
      <c r="B38" s="547" t="s">
        <v>3281</v>
      </c>
      <c r="C38" s="548">
        <v>238182139</v>
      </c>
    </row>
    <row r="39" spans="1:3">
      <c r="A39" s="545" t="s">
        <v>3267</v>
      </c>
      <c r="B39" s="545" t="s">
        <v>1253</v>
      </c>
      <c r="C39" s="546">
        <v>137611258.96375</v>
      </c>
    </row>
    <row r="40" spans="1:3">
      <c r="A40" s="547" t="s">
        <v>3302</v>
      </c>
      <c r="B40" s="547" t="s">
        <v>1253</v>
      </c>
      <c r="C40" s="548">
        <v>107231360</v>
      </c>
    </row>
    <row r="41" spans="1:3">
      <c r="A41" s="545" t="s">
        <v>3231</v>
      </c>
      <c r="B41" s="545" t="s">
        <v>3292</v>
      </c>
      <c r="C41" s="546">
        <v>96346175.00000003</v>
      </c>
    </row>
    <row r="42" spans="1:3">
      <c r="A42" s="547" t="s">
        <v>3302</v>
      </c>
      <c r="B42" s="547" t="s">
        <v>3281</v>
      </c>
      <c r="C42" s="548">
        <v>65730409</v>
      </c>
    </row>
    <row r="43" spans="1:3">
      <c r="A43" s="545" t="s">
        <v>3262</v>
      </c>
      <c r="B43" s="545" t="s">
        <v>3417</v>
      </c>
      <c r="C43" s="546">
        <v>60941000</v>
      </c>
    </row>
    <row r="44" spans="1:3">
      <c r="A44" s="547" t="s">
        <v>3288</v>
      </c>
      <c r="B44" s="547" t="s">
        <v>3281</v>
      </c>
      <c r="C44" s="548">
        <v>57624046</v>
      </c>
    </row>
    <row r="45" spans="1:3">
      <c r="A45" s="545" t="s">
        <v>3302</v>
      </c>
      <c r="B45" s="545" t="s">
        <v>3269</v>
      </c>
      <c r="C45" s="546">
        <v>50271367</v>
      </c>
    </row>
    <row r="46" spans="1:3">
      <c r="A46" s="547" t="s">
        <v>3418</v>
      </c>
      <c r="B46" s="547" t="s">
        <v>3269</v>
      </c>
      <c r="C46" s="548">
        <v>41166550</v>
      </c>
    </row>
    <row r="47" spans="1:3">
      <c r="A47" s="545" t="s">
        <v>3278</v>
      </c>
      <c r="B47" s="545" t="s">
        <v>3276</v>
      </c>
      <c r="C47" s="546">
        <v>34053586</v>
      </c>
    </row>
    <row r="48" spans="1:3">
      <c r="A48" s="547" t="s">
        <v>3419</v>
      </c>
      <c r="B48" s="547" t="s">
        <v>3269</v>
      </c>
      <c r="C48" s="548">
        <v>32684500</v>
      </c>
    </row>
    <row r="49" spans="1:3">
      <c r="A49" s="545" t="s">
        <v>3420</v>
      </c>
      <c r="B49" s="545" t="s">
        <v>3269</v>
      </c>
      <c r="C49" s="546">
        <v>9493200</v>
      </c>
    </row>
    <row r="50" spans="1:3">
      <c r="A50" s="547" t="s">
        <v>3421</v>
      </c>
      <c r="B50" s="547" t="s">
        <v>3269</v>
      </c>
      <c r="C50" s="548">
        <v>3586888</v>
      </c>
    </row>
    <row r="51" spans="1:3">
      <c r="A51" s="545" t="s">
        <v>3302</v>
      </c>
      <c r="B51" s="545" t="s">
        <v>3276</v>
      </c>
      <c r="C51" s="546">
        <v>3307500</v>
      </c>
    </row>
    <row r="52" spans="1:3">
      <c r="A52" s="547" t="s">
        <v>3419</v>
      </c>
      <c r="B52" s="547" t="s">
        <v>3276</v>
      </c>
      <c r="C52" s="548">
        <v>1657448</v>
      </c>
    </row>
    <row r="53" spans="1:3">
      <c r="A53" s="545" t="s">
        <v>3422</v>
      </c>
      <c r="B53" s="545" t="s">
        <v>3269</v>
      </c>
      <c r="C53" s="546">
        <v>1250000</v>
      </c>
    </row>
    <row r="54" spans="1:3">
      <c r="A54" s="547" t="s">
        <v>3271</v>
      </c>
      <c r="B54" s="547" t="s">
        <v>3269</v>
      </c>
      <c r="C54" s="548">
        <v>505260</v>
      </c>
    </row>
    <row r="55" spans="1:3" ht="14" thickBot="1"/>
    <row r="56" spans="1:3" ht="14.5" thickTop="1" thickBot="1">
      <c r="A56" s="757" t="s">
        <v>1246</v>
      </c>
      <c r="B56" s="757"/>
      <c r="C56" s="549">
        <f>SUM(C5:C54)</f>
        <v>380028721353.51099</v>
      </c>
    </row>
    <row r="57" spans="1:3" ht="14" thickTop="1"/>
  </sheetData>
  <mergeCells count="1">
    <mergeCell ref="A56:B56"/>
  </mergeCells>
  <hyperlinks>
    <hyperlink ref="A1" location="Sommaire!A1" display="Sommaire!A1" xr:uid="{00000000-0004-0000-2C00-000000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Feuil26"/>
  <dimension ref="A1:E225"/>
  <sheetViews>
    <sheetView workbookViewId="0"/>
  </sheetViews>
  <sheetFormatPr baseColWidth="10" defaultColWidth="11" defaultRowHeight="13.5"/>
  <cols>
    <col min="1" max="1" width="79.6640625" style="542" bestFit="1" customWidth="1"/>
    <col min="2" max="2" width="68.33203125" style="542" bestFit="1" customWidth="1"/>
    <col min="3" max="3" width="23.33203125" style="542" bestFit="1" customWidth="1"/>
    <col min="4" max="4" width="6.5" style="542" bestFit="1" customWidth="1"/>
    <col min="5" max="5" width="16.6640625" style="669" bestFit="1" customWidth="1"/>
    <col min="6" max="16384" width="11" style="542"/>
  </cols>
  <sheetData>
    <row r="1" spans="1:5" ht="14.5">
      <c r="A1" s="560" t="s">
        <v>140</v>
      </c>
    </row>
    <row r="2" spans="1:5" s="272" customFormat="1" ht="20.5">
      <c r="A2" s="216" t="s">
        <v>3453</v>
      </c>
      <c r="E2" s="670"/>
    </row>
    <row r="4" spans="1:5" ht="14" thickBot="1">
      <c r="A4" s="556" t="s">
        <v>144</v>
      </c>
      <c r="B4" s="556" t="s">
        <v>3093</v>
      </c>
      <c r="C4" s="556" t="s">
        <v>3322</v>
      </c>
      <c r="D4" s="556" t="s">
        <v>3415</v>
      </c>
      <c r="E4" s="671" t="s">
        <v>3323</v>
      </c>
    </row>
    <row r="5" spans="1:5">
      <c r="A5" s="545" t="s">
        <v>3326</v>
      </c>
      <c r="B5" s="545" t="s">
        <v>3261</v>
      </c>
      <c r="C5" s="545" t="s">
        <v>265</v>
      </c>
      <c r="D5" s="545" t="s">
        <v>3417</v>
      </c>
      <c r="E5" s="672">
        <v>516563700</v>
      </c>
    </row>
    <row r="6" spans="1:5">
      <c r="A6" s="547" t="s">
        <v>3327</v>
      </c>
      <c r="B6" s="547" t="s">
        <v>3261</v>
      </c>
      <c r="C6" s="547" t="s">
        <v>265</v>
      </c>
      <c r="D6" s="547" t="s">
        <v>3417</v>
      </c>
      <c r="E6" s="673">
        <v>489266411</v>
      </c>
    </row>
    <row r="7" spans="1:5">
      <c r="A7" s="545" t="s">
        <v>3359</v>
      </c>
      <c r="B7" s="545" t="s">
        <v>3294</v>
      </c>
      <c r="C7" s="545" t="s">
        <v>265</v>
      </c>
      <c r="D7" s="545" t="s">
        <v>340</v>
      </c>
      <c r="E7" s="672">
        <v>344116520</v>
      </c>
    </row>
    <row r="8" spans="1:5">
      <c r="A8" s="547" t="s">
        <v>3328</v>
      </c>
      <c r="B8" s="547" t="s">
        <v>3293</v>
      </c>
      <c r="C8" s="547" t="s">
        <v>265</v>
      </c>
      <c r="D8" s="547" t="s">
        <v>3292</v>
      </c>
      <c r="E8" s="673">
        <v>312481892.15228599</v>
      </c>
    </row>
    <row r="9" spans="1:5">
      <c r="A9" s="545" t="s">
        <v>3326</v>
      </c>
      <c r="B9" s="545" t="s">
        <v>3294</v>
      </c>
      <c r="C9" s="545" t="s">
        <v>265</v>
      </c>
      <c r="D9" s="545" t="s">
        <v>340</v>
      </c>
      <c r="E9" s="672">
        <v>168847576</v>
      </c>
    </row>
    <row r="10" spans="1:5">
      <c r="A10" s="547" t="s">
        <v>3331</v>
      </c>
      <c r="B10" s="547" t="s">
        <v>3294</v>
      </c>
      <c r="C10" s="547" t="s">
        <v>265</v>
      </c>
      <c r="D10" s="547" t="s">
        <v>340</v>
      </c>
      <c r="E10" s="673">
        <v>137278556</v>
      </c>
    </row>
    <row r="11" spans="1:5">
      <c r="A11" s="545" t="s">
        <v>3329</v>
      </c>
      <c r="B11" s="545" t="s">
        <v>3173</v>
      </c>
      <c r="C11" s="545" t="s">
        <v>265</v>
      </c>
      <c r="D11" s="545" t="s">
        <v>3276</v>
      </c>
      <c r="E11" s="672">
        <v>112901394</v>
      </c>
    </row>
    <row r="12" spans="1:5">
      <c r="A12" s="547" t="s">
        <v>3338</v>
      </c>
      <c r="B12" s="547" t="s">
        <v>3294</v>
      </c>
      <c r="C12" s="547" t="s">
        <v>265</v>
      </c>
      <c r="D12" s="547" t="s">
        <v>340</v>
      </c>
      <c r="E12" s="673">
        <v>111828649</v>
      </c>
    </row>
    <row r="13" spans="1:5">
      <c r="A13" s="545" t="s">
        <v>277</v>
      </c>
      <c r="B13" s="545" t="s">
        <v>3167</v>
      </c>
      <c r="C13" s="545" t="s">
        <v>265</v>
      </c>
      <c r="D13" s="545" t="s">
        <v>3276</v>
      </c>
      <c r="E13" s="672">
        <v>102786812</v>
      </c>
    </row>
    <row r="14" spans="1:5">
      <c r="A14" s="547" t="s">
        <v>3331</v>
      </c>
      <c r="B14" s="547" t="s">
        <v>3261</v>
      </c>
      <c r="C14" s="547" t="s">
        <v>265</v>
      </c>
      <c r="D14" s="547" t="s">
        <v>3417</v>
      </c>
      <c r="E14" s="673">
        <v>84889996</v>
      </c>
    </row>
    <row r="15" spans="1:5">
      <c r="A15" s="545" t="s">
        <v>3332</v>
      </c>
      <c r="B15" s="545" t="s">
        <v>3114</v>
      </c>
      <c r="C15" s="545" t="s">
        <v>265</v>
      </c>
      <c r="D15" s="545" t="s">
        <v>3417</v>
      </c>
      <c r="E15" s="672">
        <v>80000000</v>
      </c>
    </row>
    <row r="16" spans="1:5">
      <c r="A16" s="547" t="s">
        <v>311</v>
      </c>
      <c r="B16" s="547" t="s">
        <v>3296</v>
      </c>
      <c r="C16" s="547" t="s">
        <v>265</v>
      </c>
      <c r="D16" s="547" t="s">
        <v>3295</v>
      </c>
      <c r="E16" s="673">
        <v>73765867</v>
      </c>
    </row>
    <row r="17" spans="1:5">
      <c r="A17" s="545" t="s">
        <v>3330</v>
      </c>
      <c r="B17" s="545" t="s">
        <v>3167</v>
      </c>
      <c r="C17" s="545" t="s">
        <v>265</v>
      </c>
      <c r="D17" s="545" t="s">
        <v>3276</v>
      </c>
      <c r="E17" s="672">
        <v>70614973</v>
      </c>
    </row>
    <row r="18" spans="1:5">
      <c r="A18" s="547" t="s">
        <v>3328</v>
      </c>
      <c r="B18" s="547" t="s">
        <v>3231</v>
      </c>
      <c r="C18" s="547" t="s">
        <v>265</v>
      </c>
      <c r="D18" s="547" t="s">
        <v>3292</v>
      </c>
      <c r="E18" s="673">
        <v>68277442.847714007</v>
      </c>
    </row>
    <row r="19" spans="1:5">
      <c r="A19" s="545" t="s">
        <v>3333</v>
      </c>
      <c r="B19" s="545" t="s">
        <v>3261</v>
      </c>
      <c r="C19" s="545" t="s">
        <v>265</v>
      </c>
      <c r="D19" s="545" t="s">
        <v>3417</v>
      </c>
      <c r="E19" s="672">
        <v>65337319</v>
      </c>
    </row>
    <row r="20" spans="1:5">
      <c r="A20" s="547" t="s">
        <v>3334</v>
      </c>
      <c r="B20" s="547" t="s">
        <v>3261</v>
      </c>
      <c r="C20" s="547" t="s">
        <v>265</v>
      </c>
      <c r="D20" s="547" t="s">
        <v>3417</v>
      </c>
      <c r="E20" s="673">
        <v>48837247</v>
      </c>
    </row>
    <row r="21" spans="1:5">
      <c r="A21" s="545" t="s">
        <v>496</v>
      </c>
      <c r="B21" s="545" t="s">
        <v>3167</v>
      </c>
      <c r="C21" s="545" t="s">
        <v>265</v>
      </c>
      <c r="D21" s="545" t="s">
        <v>3276</v>
      </c>
      <c r="E21" s="672">
        <v>46899324</v>
      </c>
    </row>
    <row r="22" spans="1:5">
      <c r="A22" s="547" t="s">
        <v>3335</v>
      </c>
      <c r="B22" s="547" t="s">
        <v>3261</v>
      </c>
      <c r="C22" s="547" t="s">
        <v>265</v>
      </c>
      <c r="D22" s="547" t="s">
        <v>3417</v>
      </c>
      <c r="E22" s="673">
        <v>43089347</v>
      </c>
    </row>
    <row r="23" spans="1:5">
      <c r="A23" s="545" t="s">
        <v>3424</v>
      </c>
      <c r="B23" s="545" t="s">
        <v>3296</v>
      </c>
      <c r="C23" s="545" t="s">
        <v>265</v>
      </c>
      <c r="D23" s="545" t="s">
        <v>3295</v>
      </c>
      <c r="E23" s="672">
        <v>42508467</v>
      </c>
    </row>
    <row r="24" spans="1:5">
      <c r="A24" s="547" t="s">
        <v>328</v>
      </c>
      <c r="B24" s="547" t="s">
        <v>3167</v>
      </c>
      <c r="C24" s="547" t="s">
        <v>265</v>
      </c>
      <c r="D24" s="547" t="s">
        <v>3276</v>
      </c>
      <c r="E24" s="673">
        <v>42310695</v>
      </c>
    </row>
    <row r="25" spans="1:5">
      <c r="A25" s="545" t="s">
        <v>3336</v>
      </c>
      <c r="B25" s="545" t="s">
        <v>3418</v>
      </c>
      <c r="C25" s="545" t="s">
        <v>265</v>
      </c>
      <c r="D25" s="545" t="s">
        <v>3269</v>
      </c>
      <c r="E25" s="672">
        <v>41166550</v>
      </c>
    </row>
    <row r="26" spans="1:5">
      <c r="A26" s="547" t="s">
        <v>3425</v>
      </c>
      <c r="B26" s="547" t="s">
        <v>3296</v>
      </c>
      <c r="C26" s="547" t="s">
        <v>265</v>
      </c>
      <c r="D26" s="547" t="s">
        <v>3295</v>
      </c>
      <c r="E26" s="673">
        <v>35855834</v>
      </c>
    </row>
    <row r="27" spans="1:5">
      <c r="A27" s="545" t="s">
        <v>3426</v>
      </c>
      <c r="B27" s="545" t="s">
        <v>3296</v>
      </c>
      <c r="C27" s="545" t="s">
        <v>265</v>
      </c>
      <c r="D27" s="545" t="s">
        <v>3295</v>
      </c>
      <c r="E27" s="672">
        <v>34932579</v>
      </c>
    </row>
    <row r="28" spans="1:5">
      <c r="A28" s="547" t="s">
        <v>3330</v>
      </c>
      <c r="B28" s="547" t="s">
        <v>3184</v>
      </c>
      <c r="C28" s="547" t="s">
        <v>265</v>
      </c>
      <c r="D28" s="547" t="s">
        <v>3276</v>
      </c>
      <c r="E28" s="673">
        <v>33035035</v>
      </c>
    </row>
    <row r="29" spans="1:5">
      <c r="A29" s="545" t="s">
        <v>3329</v>
      </c>
      <c r="B29" s="545" t="s">
        <v>3167</v>
      </c>
      <c r="C29" s="545" t="s">
        <v>265</v>
      </c>
      <c r="D29" s="545" t="s">
        <v>3276</v>
      </c>
      <c r="E29" s="672">
        <v>31507948</v>
      </c>
    </row>
    <row r="30" spans="1:5">
      <c r="A30" s="547" t="s">
        <v>3427</v>
      </c>
      <c r="B30" s="547" t="s">
        <v>3296</v>
      </c>
      <c r="C30" s="547" t="s">
        <v>265</v>
      </c>
      <c r="D30" s="547" t="s">
        <v>3295</v>
      </c>
      <c r="E30" s="673">
        <v>31226257</v>
      </c>
    </row>
    <row r="31" spans="1:5">
      <c r="A31" s="545" t="s">
        <v>3339</v>
      </c>
      <c r="B31" s="545" t="s">
        <v>3114</v>
      </c>
      <c r="C31" s="545" t="s">
        <v>265</v>
      </c>
      <c r="D31" s="545" t="s">
        <v>3417</v>
      </c>
      <c r="E31" s="672">
        <v>30350000</v>
      </c>
    </row>
    <row r="32" spans="1:5">
      <c r="A32" s="547" t="s">
        <v>3428</v>
      </c>
      <c r="B32" s="547" t="s">
        <v>3296</v>
      </c>
      <c r="C32" s="547" t="s">
        <v>265</v>
      </c>
      <c r="D32" s="547" t="s">
        <v>3295</v>
      </c>
      <c r="E32" s="673">
        <v>30233182</v>
      </c>
    </row>
    <row r="33" spans="1:5">
      <c r="A33" s="545" t="s">
        <v>3326</v>
      </c>
      <c r="B33" s="545" t="s">
        <v>3293</v>
      </c>
      <c r="C33" s="545" t="s">
        <v>265</v>
      </c>
      <c r="D33" s="545" t="s">
        <v>3292</v>
      </c>
      <c r="E33" s="672">
        <v>30083697.673824195</v>
      </c>
    </row>
    <row r="34" spans="1:5">
      <c r="A34" s="547" t="s">
        <v>3336</v>
      </c>
      <c r="B34" s="547" t="s">
        <v>3294</v>
      </c>
      <c r="C34" s="547" t="s">
        <v>265</v>
      </c>
      <c r="D34" s="547" t="s">
        <v>340</v>
      </c>
      <c r="E34" s="673">
        <v>29636469</v>
      </c>
    </row>
    <row r="35" spans="1:5">
      <c r="A35" s="545" t="s">
        <v>3338</v>
      </c>
      <c r="B35" s="545" t="s">
        <v>3261</v>
      </c>
      <c r="C35" s="545" t="s">
        <v>265</v>
      </c>
      <c r="D35" s="545" t="s">
        <v>3417</v>
      </c>
      <c r="E35" s="672">
        <v>26150000</v>
      </c>
    </row>
    <row r="36" spans="1:5">
      <c r="A36" s="547" t="s">
        <v>3341</v>
      </c>
      <c r="B36" s="547" t="s">
        <v>3114</v>
      </c>
      <c r="C36" s="547" t="s">
        <v>265</v>
      </c>
      <c r="D36" s="547" t="s">
        <v>3417</v>
      </c>
      <c r="E36" s="673">
        <v>25000000</v>
      </c>
    </row>
    <row r="37" spans="1:5">
      <c r="A37" s="545" t="s">
        <v>3429</v>
      </c>
      <c r="B37" s="545" t="s">
        <v>3296</v>
      </c>
      <c r="C37" s="545" t="s">
        <v>265</v>
      </c>
      <c r="D37" s="545" t="s">
        <v>3295</v>
      </c>
      <c r="E37" s="672">
        <v>24731677</v>
      </c>
    </row>
    <row r="38" spans="1:5">
      <c r="A38" s="547" t="s">
        <v>3337</v>
      </c>
      <c r="B38" s="547" t="s">
        <v>3261</v>
      </c>
      <c r="C38" s="547" t="s">
        <v>265</v>
      </c>
      <c r="D38" s="547" t="s">
        <v>3417</v>
      </c>
      <c r="E38" s="673">
        <v>23298086</v>
      </c>
    </row>
    <row r="39" spans="1:5">
      <c r="A39" s="545" t="s">
        <v>3329</v>
      </c>
      <c r="B39" s="545" t="s">
        <v>3164</v>
      </c>
      <c r="C39" s="545" t="s">
        <v>265</v>
      </c>
      <c r="D39" s="545" t="s">
        <v>3276</v>
      </c>
      <c r="E39" s="672">
        <v>22460325</v>
      </c>
    </row>
    <row r="40" spans="1:5">
      <c r="A40" s="547" t="s">
        <v>3340</v>
      </c>
      <c r="B40" s="547" t="s">
        <v>3167</v>
      </c>
      <c r="C40" s="547" t="s">
        <v>265</v>
      </c>
      <c r="D40" s="547" t="s">
        <v>3276</v>
      </c>
      <c r="E40" s="673">
        <v>21663039</v>
      </c>
    </row>
    <row r="41" spans="1:5">
      <c r="A41" s="545" t="s">
        <v>3342</v>
      </c>
      <c r="B41" s="545" t="s">
        <v>3114</v>
      </c>
      <c r="C41" s="545" t="s">
        <v>265</v>
      </c>
      <c r="D41" s="545" t="s">
        <v>3417</v>
      </c>
      <c r="E41" s="672">
        <v>21235000</v>
      </c>
    </row>
    <row r="42" spans="1:5">
      <c r="A42" s="547" t="s">
        <v>328</v>
      </c>
      <c r="B42" s="547" t="s">
        <v>3173</v>
      </c>
      <c r="C42" s="547" t="s">
        <v>265</v>
      </c>
      <c r="D42" s="547" t="s">
        <v>3276</v>
      </c>
      <c r="E42" s="673">
        <v>20453998</v>
      </c>
    </row>
    <row r="43" spans="1:5">
      <c r="A43" s="545" t="s">
        <v>3345</v>
      </c>
      <c r="B43" s="545" t="s">
        <v>3419</v>
      </c>
      <c r="C43" s="545" t="s">
        <v>265</v>
      </c>
      <c r="D43" s="545" t="s">
        <v>3269</v>
      </c>
      <c r="E43" s="672">
        <v>19500000</v>
      </c>
    </row>
    <row r="44" spans="1:5">
      <c r="A44" s="547" t="s">
        <v>3344</v>
      </c>
      <c r="B44" s="547" t="s">
        <v>3293</v>
      </c>
      <c r="C44" s="547" t="s">
        <v>265</v>
      </c>
      <c r="D44" s="547" t="s">
        <v>3292</v>
      </c>
      <c r="E44" s="673">
        <v>16416489.2494842</v>
      </c>
    </row>
    <row r="45" spans="1:5">
      <c r="A45" s="545" t="s">
        <v>426</v>
      </c>
      <c r="B45" s="545" t="s">
        <v>3167</v>
      </c>
      <c r="C45" s="545" t="s">
        <v>265</v>
      </c>
      <c r="D45" s="545" t="s">
        <v>3276</v>
      </c>
      <c r="E45" s="672">
        <v>16123997</v>
      </c>
    </row>
    <row r="46" spans="1:5">
      <c r="A46" s="547" t="s">
        <v>3337</v>
      </c>
      <c r="B46" s="547" t="s">
        <v>3114</v>
      </c>
      <c r="C46" s="547" t="s">
        <v>265</v>
      </c>
      <c r="D46" s="547" t="s">
        <v>3417</v>
      </c>
      <c r="E46" s="673">
        <v>15000000</v>
      </c>
    </row>
    <row r="47" spans="1:5">
      <c r="A47" s="545" t="s">
        <v>3346</v>
      </c>
      <c r="B47" s="545" t="s">
        <v>3293</v>
      </c>
      <c r="C47" s="545" t="s">
        <v>265</v>
      </c>
      <c r="D47" s="545" t="s">
        <v>3292</v>
      </c>
      <c r="E47" s="672">
        <v>14772255.1798793</v>
      </c>
    </row>
    <row r="48" spans="1:5">
      <c r="A48" s="547" t="s">
        <v>3349</v>
      </c>
      <c r="B48" s="547" t="s">
        <v>3275</v>
      </c>
      <c r="C48" s="547" t="s">
        <v>265</v>
      </c>
      <c r="D48" s="547" t="s">
        <v>3269</v>
      </c>
      <c r="E48" s="673">
        <v>14767622</v>
      </c>
    </row>
    <row r="49" spans="1:5">
      <c r="A49" s="545" t="s">
        <v>3347</v>
      </c>
      <c r="B49" s="545" t="s">
        <v>3293</v>
      </c>
      <c r="C49" s="545" t="s">
        <v>265</v>
      </c>
      <c r="D49" s="545" t="s">
        <v>3292</v>
      </c>
      <c r="E49" s="672">
        <v>14217885.270212164</v>
      </c>
    </row>
    <row r="50" spans="1:5">
      <c r="A50" s="547" t="s">
        <v>3430</v>
      </c>
      <c r="B50" s="547" t="s">
        <v>3296</v>
      </c>
      <c r="C50" s="547" t="s">
        <v>265</v>
      </c>
      <c r="D50" s="547" t="s">
        <v>3295</v>
      </c>
      <c r="E50" s="673">
        <v>13712847</v>
      </c>
    </row>
    <row r="51" spans="1:5">
      <c r="A51" s="545" t="s">
        <v>3431</v>
      </c>
      <c r="B51" s="545" t="s">
        <v>3296</v>
      </c>
      <c r="C51" s="545" t="s">
        <v>265</v>
      </c>
      <c r="D51" s="545" t="s">
        <v>3295</v>
      </c>
      <c r="E51" s="672">
        <v>12786635</v>
      </c>
    </row>
    <row r="52" spans="1:5">
      <c r="A52" s="547" t="s">
        <v>3432</v>
      </c>
      <c r="B52" s="547" t="s">
        <v>3296</v>
      </c>
      <c r="C52" s="547" t="s">
        <v>265</v>
      </c>
      <c r="D52" s="547" t="s">
        <v>3295</v>
      </c>
      <c r="E52" s="673">
        <v>11933678</v>
      </c>
    </row>
    <row r="53" spans="1:5">
      <c r="A53" s="545" t="s">
        <v>3343</v>
      </c>
      <c r="B53" s="545" t="s">
        <v>3114</v>
      </c>
      <c r="C53" s="545" t="s">
        <v>265</v>
      </c>
      <c r="D53" s="545" t="s">
        <v>3417</v>
      </c>
      <c r="E53" s="672">
        <v>11087955</v>
      </c>
    </row>
    <row r="54" spans="1:5">
      <c r="A54" s="547" t="s">
        <v>3352</v>
      </c>
      <c r="B54" s="547" t="s">
        <v>3114</v>
      </c>
      <c r="C54" s="547" t="s">
        <v>265</v>
      </c>
      <c r="D54" s="547" t="s">
        <v>3417</v>
      </c>
      <c r="E54" s="673">
        <v>10713325</v>
      </c>
    </row>
    <row r="55" spans="1:5">
      <c r="A55" s="545" t="s">
        <v>3330</v>
      </c>
      <c r="B55" s="545" t="s">
        <v>3173</v>
      </c>
      <c r="C55" s="545" t="s">
        <v>265</v>
      </c>
      <c r="D55" s="545" t="s">
        <v>3276</v>
      </c>
      <c r="E55" s="672">
        <v>10000100</v>
      </c>
    </row>
    <row r="56" spans="1:5">
      <c r="A56" s="547" t="s">
        <v>3351</v>
      </c>
      <c r="B56" s="547" t="s">
        <v>3293</v>
      </c>
      <c r="C56" s="547" t="s">
        <v>265</v>
      </c>
      <c r="D56" s="547" t="s">
        <v>3292</v>
      </c>
      <c r="E56" s="673">
        <v>9856376.9283528011</v>
      </c>
    </row>
    <row r="57" spans="1:5">
      <c r="A57" s="545" t="s">
        <v>3434</v>
      </c>
      <c r="B57" s="545" t="s">
        <v>3294</v>
      </c>
      <c r="C57" s="545" t="s">
        <v>265</v>
      </c>
      <c r="D57" s="545" t="s">
        <v>340</v>
      </c>
      <c r="E57" s="672">
        <v>9531266</v>
      </c>
    </row>
    <row r="58" spans="1:5">
      <c r="A58" s="547" t="s">
        <v>3354</v>
      </c>
      <c r="B58" s="547" t="s">
        <v>3420</v>
      </c>
      <c r="C58" s="547" t="s">
        <v>265</v>
      </c>
      <c r="D58" s="547" t="s">
        <v>3269</v>
      </c>
      <c r="E58" s="673">
        <v>9493200</v>
      </c>
    </row>
    <row r="59" spans="1:5">
      <c r="A59" s="545" t="s">
        <v>3355</v>
      </c>
      <c r="B59" s="545" t="s">
        <v>3167</v>
      </c>
      <c r="C59" s="545" t="s">
        <v>3324</v>
      </c>
      <c r="D59" s="545" t="s">
        <v>3276</v>
      </c>
      <c r="E59" s="672">
        <v>9080859</v>
      </c>
    </row>
    <row r="60" spans="1:5">
      <c r="A60" s="547" t="s">
        <v>3435</v>
      </c>
      <c r="B60" s="547" t="s">
        <v>3296</v>
      </c>
      <c r="C60" s="547" t="s">
        <v>265</v>
      </c>
      <c r="D60" s="547" t="s">
        <v>3295</v>
      </c>
      <c r="E60" s="673">
        <v>9009350</v>
      </c>
    </row>
    <row r="61" spans="1:5">
      <c r="A61" s="545" t="s">
        <v>3343</v>
      </c>
      <c r="B61" s="545" t="s">
        <v>3261</v>
      </c>
      <c r="C61" s="545" t="s">
        <v>265</v>
      </c>
      <c r="D61" s="545" t="s">
        <v>3417</v>
      </c>
      <c r="E61" s="672">
        <v>8944659</v>
      </c>
    </row>
    <row r="62" spans="1:5">
      <c r="A62" s="547" t="s">
        <v>3358</v>
      </c>
      <c r="B62" s="547" t="s">
        <v>3261</v>
      </c>
      <c r="C62" s="547" t="s">
        <v>265</v>
      </c>
      <c r="D62" s="547" t="s">
        <v>3417</v>
      </c>
      <c r="E62" s="673">
        <v>8713960</v>
      </c>
    </row>
    <row r="63" spans="1:5">
      <c r="A63" s="545" t="s">
        <v>3348</v>
      </c>
      <c r="B63" s="545" t="s">
        <v>3261</v>
      </c>
      <c r="C63" s="545" t="s">
        <v>265</v>
      </c>
      <c r="D63" s="545" t="s">
        <v>3417</v>
      </c>
      <c r="E63" s="672">
        <v>8569000</v>
      </c>
    </row>
    <row r="64" spans="1:5">
      <c r="A64" s="547" t="s">
        <v>3359</v>
      </c>
      <c r="B64" s="547" t="s">
        <v>3261</v>
      </c>
      <c r="C64" s="547" t="s">
        <v>265</v>
      </c>
      <c r="D64" s="547" t="s">
        <v>3417</v>
      </c>
      <c r="E64" s="673">
        <v>8324500</v>
      </c>
    </row>
    <row r="65" spans="1:5">
      <c r="A65" s="545" t="s">
        <v>3353</v>
      </c>
      <c r="B65" s="545" t="s">
        <v>3293</v>
      </c>
      <c r="C65" s="545" t="s">
        <v>265</v>
      </c>
      <c r="D65" s="545" t="s">
        <v>3292</v>
      </c>
      <c r="E65" s="672">
        <v>8202848.6481972272</v>
      </c>
    </row>
    <row r="66" spans="1:5">
      <c r="A66" s="547" t="s">
        <v>3360</v>
      </c>
      <c r="B66" s="547" t="s">
        <v>3261</v>
      </c>
      <c r="C66" s="547" t="s">
        <v>265</v>
      </c>
      <c r="D66" s="547" t="s">
        <v>3417</v>
      </c>
      <c r="E66" s="673">
        <v>8135772</v>
      </c>
    </row>
    <row r="67" spans="1:5">
      <c r="A67" s="545" t="s">
        <v>3357</v>
      </c>
      <c r="B67" s="545" t="s">
        <v>3114</v>
      </c>
      <c r="C67" s="545" t="s">
        <v>265</v>
      </c>
      <c r="D67" s="545" t="s">
        <v>3417</v>
      </c>
      <c r="E67" s="672">
        <v>7500000</v>
      </c>
    </row>
    <row r="68" spans="1:5">
      <c r="A68" s="547" t="s">
        <v>3356</v>
      </c>
      <c r="B68" s="547" t="s">
        <v>3293</v>
      </c>
      <c r="C68" s="547" t="s">
        <v>265</v>
      </c>
      <c r="D68" s="547" t="s">
        <v>3292</v>
      </c>
      <c r="E68" s="673">
        <v>7386127.5899396501</v>
      </c>
    </row>
    <row r="69" spans="1:5">
      <c r="A69" s="545" t="s">
        <v>3436</v>
      </c>
      <c r="B69" s="545" t="s">
        <v>3296</v>
      </c>
      <c r="C69" s="545" t="s">
        <v>265</v>
      </c>
      <c r="D69" s="545" t="s">
        <v>3295</v>
      </c>
      <c r="E69" s="672">
        <v>7034727</v>
      </c>
    </row>
    <row r="70" spans="1:5">
      <c r="A70" s="547" t="s">
        <v>411</v>
      </c>
      <c r="B70" s="547" t="s">
        <v>3296</v>
      </c>
      <c r="C70" s="547" t="s">
        <v>265</v>
      </c>
      <c r="D70" s="547" t="s">
        <v>3295</v>
      </c>
      <c r="E70" s="673">
        <v>6893669</v>
      </c>
    </row>
    <row r="71" spans="1:5">
      <c r="A71" s="545" t="s">
        <v>3437</v>
      </c>
      <c r="B71" s="545" t="s">
        <v>3296</v>
      </c>
      <c r="C71" s="545" t="s">
        <v>265</v>
      </c>
      <c r="D71" s="545" t="s">
        <v>3295</v>
      </c>
      <c r="E71" s="672">
        <v>6770539</v>
      </c>
    </row>
    <row r="72" spans="1:5">
      <c r="A72" s="547" t="s">
        <v>3364</v>
      </c>
      <c r="B72" s="547" t="s">
        <v>3261</v>
      </c>
      <c r="C72" s="547" t="s">
        <v>265</v>
      </c>
      <c r="D72" s="547" t="s">
        <v>3417</v>
      </c>
      <c r="E72" s="673">
        <v>6700000</v>
      </c>
    </row>
    <row r="73" spans="1:5">
      <c r="A73" s="545" t="s">
        <v>496</v>
      </c>
      <c r="B73" s="545" t="s">
        <v>3173</v>
      </c>
      <c r="C73" s="545" t="s">
        <v>265</v>
      </c>
      <c r="D73" s="545" t="s">
        <v>3276</v>
      </c>
      <c r="E73" s="672">
        <v>6667446</v>
      </c>
    </row>
    <row r="74" spans="1:5">
      <c r="A74" s="547" t="s">
        <v>3326</v>
      </c>
      <c r="B74" s="547" t="s">
        <v>3231</v>
      </c>
      <c r="C74" s="547" t="s">
        <v>265</v>
      </c>
      <c r="D74" s="547" t="s">
        <v>3292</v>
      </c>
      <c r="E74" s="673">
        <v>6573302.3261758052</v>
      </c>
    </row>
    <row r="75" spans="1:5">
      <c r="A75" s="545" t="s">
        <v>3350</v>
      </c>
      <c r="B75" s="545" t="s">
        <v>3167</v>
      </c>
      <c r="C75" s="545" t="s">
        <v>265</v>
      </c>
      <c r="D75" s="545" t="s">
        <v>3276</v>
      </c>
      <c r="E75" s="672">
        <v>6124750</v>
      </c>
    </row>
    <row r="76" spans="1:5">
      <c r="A76" s="547" t="s">
        <v>3367</v>
      </c>
      <c r="B76" s="547" t="s">
        <v>3419</v>
      </c>
      <c r="C76" s="547" t="s">
        <v>265</v>
      </c>
      <c r="D76" s="547" t="s">
        <v>3269</v>
      </c>
      <c r="E76" s="673">
        <v>6050500</v>
      </c>
    </row>
    <row r="77" spans="1:5">
      <c r="A77" s="545" t="s">
        <v>3363</v>
      </c>
      <c r="B77" s="545" t="s">
        <v>3261</v>
      </c>
      <c r="C77" s="545" t="s">
        <v>265</v>
      </c>
      <c r="D77" s="545" t="s">
        <v>3417</v>
      </c>
      <c r="E77" s="672">
        <v>6017420</v>
      </c>
    </row>
    <row r="78" spans="1:5">
      <c r="A78" s="547" t="s">
        <v>3438</v>
      </c>
      <c r="B78" s="547" t="s">
        <v>3296</v>
      </c>
      <c r="C78" s="547" t="s">
        <v>265</v>
      </c>
      <c r="D78" s="547" t="s">
        <v>3295</v>
      </c>
      <c r="E78" s="673">
        <v>5898428</v>
      </c>
    </row>
    <row r="79" spans="1:5">
      <c r="A79" s="545" t="s">
        <v>3362</v>
      </c>
      <c r="B79" s="545" t="s">
        <v>3293</v>
      </c>
      <c r="C79" s="545" t="s">
        <v>265</v>
      </c>
      <c r="D79" s="545" t="s">
        <v>3292</v>
      </c>
      <c r="E79" s="672">
        <v>5751331.3500330076</v>
      </c>
    </row>
    <row r="80" spans="1:5">
      <c r="A80" s="547" t="s">
        <v>3334</v>
      </c>
      <c r="B80" s="547" t="s">
        <v>3294</v>
      </c>
      <c r="C80" s="547" t="s">
        <v>265</v>
      </c>
      <c r="D80" s="547" t="s">
        <v>340</v>
      </c>
      <c r="E80" s="673">
        <v>5649321</v>
      </c>
    </row>
    <row r="81" spans="1:5">
      <c r="A81" s="545" t="s">
        <v>3361</v>
      </c>
      <c r="B81" s="545" t="s">
        <v>3114</v>
      </c>
      <c r="C81" s="545" t="s">
        <v>265</v>
      </c>
      <c r="D81" s="545" t="s">
        <v>3417</v>
      </c>
      <c r="E81" s="672">
        <v>5606000</v>
      </c>
    </row>
    <row r="82" spans="1:5">
      <c r="A82" s="547" t="s">
        <v>3439</v>
      </c>
      <c r="B82" s="547" t="s">
        <v>3294</v>
      </c>
      <c r="C82" s="547" t="s">
        <v>265</v>
      </c>
      <c r="D82" s="547" t="s">
        <v>340</v>
      </c>
      <c r="E82" s="673">
        <v>5427313</v>
      </c>
    </row>
    <row r="83" spans="1:5">
      <c r="A83" s="545" t="s">
        <v>3369</v>
      </c>
      <c r="B83" s="545" t="s">
        <v>3261</v>
      </c>
      <c r="C83" s="545" t="s">
        <v>265</v>
      </c>
      <c r="D83" s="545" t="s">
        <v>3417</v>
      </c>
      <c r="E83" s="672">
        <v>5265900</v>
      </c>
    </row>
    <row r="84" spans="1:5">
      <c r="A84" s="547" t="s">
        <v>509</v>
      </c>
      <c r="B84" s="547" t="s">
        <v>3296</v>
      </c>
      <c r="C84" s="547" t="s">
        <v>265</v>
      </c>
      <c r="D84" s="547" t="s">
        <v>3295</v>
      </c>
      <c r="E84" s="673">
        <v>5256894</v>
      </c>
    </row>
    <row r="85" spans="1:5">
      <c r="A85" s="545" t="s">
        <v>3370</v>
      </c>
      <c r="B85" s="545" t="s">
        <v>3261</v>
      </c>
      <c r="C85" s="545" t="s">
        <v>265</v>
      </c>
      <c r="D85" s="545" t="s">
        <v>3417</v>
      </c>
      <c r="E85" s="672">
        <v>5078720</v>
      </c>
    </row>
    <row r="86" spans="1:5">
      <c r="A86" s="547" t="s">
        <v>3440</v>
      </c>
      <c r="B86" s="547" t="s">
        <v>3296</v>
      </c>
      <c r="C86" s="547" t="s">
        <v>265</v>
      </c>
      <c r="D86" s="547" t="s">
        <v>3295</v>
      </c>
      <c r="E86" s="673">
        <v>5010447</v>
      </c>
    </row>
    <row r="87" spans="1:5">
      <c r="A87" s="545" t="s">
        <v>3348</v>
      </c>
      <c r="B87" s="545" t="s">
        <v>3262</v>
      </c>
      <c r="C87" s="545" t="s">
        <v>265</v>
      </c>
      <c r="D87" s="545" t="s">
        <v>3417</v>
      </c>
      <c r="E87" s="672">
        <v>5000000</v>
      </c>
    </row>
    <row r="88" spans="1:5">
      <c r="A88" s="547" t="s">
        <v>3326</v>
      </c>
      <c r="B88" s="547" t="s">
        <v>3262</v>
      </c>
      <c r="C88" s="547" t="s">
        <v>265</v>
      </c>
      <c r="D88" s="547" t="s">
        <v>3417</v>
      </c>
      <c r="E88" s="673">
        <v>5000000</v>
      </c>
    </row>
    <row r="89" spans="1:5">
      <c r="A89" s="545" t="s">
        <v>3350</v>
      </c>
      <c r="B89" s="545" t="s">
        <v>3173</v>
      </c>
      <c r="C89" s="545" t="s">
        <v>265</v>
      </c>
      <c r="D89" s="545" t="s">
        <v>3276</v>
      </c>
      <c r="E89" s="672">
        <v>5000000</v>
      </c>
    </row>
    <row r="90" spans="1:5">
      <c r="A90" s="547" t="s">
        <v>3365</v>
      </c>
      <c r="B90" s="547" t="s">
        <v>3173</v>
      </c>
      <c r="C90" s="547" t="s">
        <v>265</v>
      </c>
      <c r="D90" s="547" t="s">
        <v>3276</v>
      </c>
      <c r="E90" s="673">
        <v>5000000</v>
      </c>
    </row>
    <row r="91" spans="1:5">
      <c r="A91" s="545" t="s">
        <v>396</v>
      </c>
      <c r="B91" s="545" t="s">
        <v>3114</v>
      </c>
      <c r="C91" s="545" t="s">
        <v>265</v>
      </c>
      <c r="D91" s="545" t="s">
        <v>3417</v>
      </c>
      <c r="E91" s="672">
        <v>5000000</v>
      </c>
    </row>
    <row r="92" spans="1:5">
      <c r="A92" s="547" t="s">
        <v>3368</v>
      </c>
      <c r="B92" s="547" t="s">
        <v>3293</v>
      </c>
      <c r="C92" s="547" t="s">
        <v>265</v>
      </c>
      <c r="D92" s="547" t="s">
        <v>3292</v>
      </c>
      <c r="E92" s="673">
        <v>4907671.4430932347</v>
      </c>
    </row>
    <row r="93" spans="1:5">
      <c r="A93" s="545" t="s">
        <v>3371</v>
      </c>
      <c r="B93" s="545" t="s">
        <v>3419</v>
      </c>
      <c r="C93" s="545" t="s">
        <v>265</v>
      </c>
      <c r="D93" s="545" t="s">
        <v>3269</v>
      </c>
      <c r="E93" s="672">
        <v>4732000</v>
      </c>
    </row>
    <row r="94" spans="1:5">
      <c r="A94" s="547" t="s">
        <v>3340</v>
      </c>
      <c r="B94" s="547" t="s">
        <v>3173</v>
      </c>
      <c r="C94" s="547" t="s">
        <v>265</v>
      </c>
      <c r="D94" s="547" t="s">
        <v>3276</v>
      </c>
      <c r="E94" s="673">
        <v>4707107</v>
      </c>
    </row>
    <row r="95" spans="1:5">
      <c r="A95" s="545" t="s">
        <v>3433</v>
      </c>
      <c r="B95" s="545" t="s">
        <v>3284</v>
      </c>
      <c r="C95" s="545" t="s">
        <v>265</v>
      </c>
      <c r="D95" s="545" t="s">
        <v>3281</v>
      </c>
      <c r="E95" s="672">
        <v>4565292</v>
      </c>
    </row>
    <row r="96" spans="1:5">
      <c r="A96" s="547" t="s">
        <v>3372</v>
      </c>
      <c r="B96" s="547" t="s">
        <v>3261</v>
      </c>
      <c r="C96" s="547" t="s">
        <v>265</v>
      </c>
      <c r="D96" s="547" t="s">
        <v>3417</v>
      </c>
      <c r="E96" s="673">
        <v>4522600</v>
      </c>
    </row>
    <row r="97" spans="1:5">
      <c r="A97" s="545" t="s">
        <v>3366</v>
      </c>
      <c r="B97" s="545" t="s">
        <v>3261</v>
      </c>
      <c r="C97" s="545" t="s">
        <v>265</v>
      </c>
      <c r="D97" s="545" t="s">
        <v>3417</v>
      </c>
      <c r="E97" s="672">
        <v>4485000</v>
      </c>
    </row>
    <row r="98" spans="1:5">
      <c r="A98" s="547" t="s">
        <v>3373</v>
      </c>
      <c r="B98" s="547" t="s">
        <v>3261</v>
      </c>
      <c r="C98" s="547" t="s">
        <v>265</v>
      </c>
      <c r="D98" s="547" t="s">
        <v>3417</v>
      </c>
      <c r="E98" s="673">
        <v>4471550</v>
      </c>
    </row>
    <row r="99" spans="1:5">
      <c r="A99" s="545" t="s">
        <v>3338</v>
      </c>
      <c r="B99" s="545" t="s">
        <v>3262</v>
      </c>
      <c r="C99" s="545" t="s">
        <v>265</v>
      </c>
      <c r="D99" s="545" t="s">
        <v>3417</v>
      </c>
      <c r="E99" s="672">
        <v>4000000</v>
      </c>
    </row>
    <row r="100" spans="1:5">
      <c r="A100" s="547" t="s">
        <v>567</v>
      </c>
      <c r="B100" s="547" t="s">
        <v>3296</v>
      </c>
      <c r="C100" s="547" t="s">
        <v>265</v>
      </c>
      <c r="D100" s="547" t="s">
        <v>3295</v>
      </c>
      <c r="E100" s="673">
        <v>3665882</v>
      </c>
    </row>
    <row r="101" spans="1:5">
      <c r="A101" s="545" t="s">
        <v>3433</v>
      </c>
      <c r="B101" s="545" t="s">
        <v>3283</v>
      </c>
      <c r="C101" s="545" t="s">
        <v>265</v>
      </c>
      <c r="D101" s="545" t="s">
        <v>3281</v>
      </c>
      <c r="E101" s="672">
        <v>3652236</v>
      </c>
    </row>
    <row r="102" spans="1:5">
      <c r="A102" s="547" t="s">
        <v>3344</v>
      </c>
      <c r="B102" s="547" t="s">
        <v>3231</v>
      </c>
      <c r="C102" s="547" t="s">
        <v>265</v>
      </c>
      <c r="D102" s="547" t="s">
        <v>3292</v>
      </c>
      <c r="E102" s="673">
        <v>3587010.7505158</v>
      </c>
    </row>
    <row r="103" spans="1:5">
      <c r="A103" s="545" t="s">
        <v>3327</v>
      </c>
      <c r="B103" s="545" t="s">
        <v>3114</v>
      </c>
      <c r="C103" s="545" t="s">
        <v>265</v>
      </c>
      <c r="D103" s="545" t="s">
        <v>3417</v>
      </c>
      <c r="E103" s="672">
        <v>3379545</v>
      </c>
    </row>
    <row r="104" spans="1:5">
      <c r="A104" s="547" t="s">
        <v>3346</v>
      </c>
      <c r="B104" s="547" t="s">
        <v>3231</v>
      </c>
      <c r="C104" s="547" t="s">
        <v>265</v>
      </c>
      <c r="D104" s="547" t="s">
        <v>3292</v>
      </c>
      <c r="E104" s="673">
        <v>3227744.8201206997</v>
      </c>
    </row>
    <row r="105" spans="1:5">
      <c r="A105" s="545" t="s">
        <v>3375</v>
      </c>
      <c r="B105" s="545" t="s">
        <v>3421</v>
      </c>
      <c r="C105" s="545" t="s">
        <v>265</v>
      </c>
      <c r="D105" s="545" t="s">
        <v>3269</v>
      </c>
      <c r="E105" s="672">
        <v>3136888</v>
      </c>
    </row>
    <row r="106" spans="1:5">
      <c r="A106" s="547" t="s">
        <v>3347</v>
      </c>
      <c r="B106" s="547" t="s">
        <v>3231</v>
      </c>
      <c r="C106" s="547" t="s">
        <v>265</v>
      </c>
      <c r="D106" s="547" t="s">
        <v>3292</v>
      </c>
      <c r="E106" s="673">
        <v>3106614.7297878359</v>
      </c>
    </row>
    <row r="107" spans="1:5">
      <c r="A107" s="545" t="s">
        <v>3377</v>
      </c>
      <c r="B107" s="545" t="s">
        <v>3114</v>
      </c>
      <c r="C107" s="545" t="s">
        <v>265</v>
      </c>
      <c r="D107" s="545" t="s">
        <v>3417</v>
      </c>
      <c r="E107" s="672">
        <v>3000000</v>
      </c>
    </row>
    <row r="108" spans="1:5">
      <c r="A108" s="547" t="s">
        <v>3373</v>
      </c>
      <c r="B108" s="547" t="s">
        <v>3294</v>
      </c>
      <c r="C108" s="547" t="s">
        <v>265</v>
      </c>
      <c r="D108" s="547" t="s">
        <v>340</v>
      </c>
      <c r="E108" s="673">
        <v>2929946</v>
      </c>
    </row>
    <row r="109" spans="1:5">
      <c r="A109" s="545" t="s">
        <v>277</v>
      </c>
      <c r="B109" s="545" t="s">
        <v>3184</v>
      </c>
      <c r="C109" s="545" t="s">
        <v>265</v>
      </c>
      <c r="D109" s="545" t="s">
        <v>3276</v>
      </c>
      <c r="E109" s="672">
        <v>2885055</v>
      </c>
    </row>
    <row r="110" spans="1:5">
      <c r="A110" s="547" t="s">
        <v>3441</v>
      </c>
      <c r="B110" s="547" t="s">
        <v>3296</v>
      </c>
      <c r="C110" s="547" t="s">
        <v>265</v>
      </c>
      <c r="D110" s="547" t="s">
        <v>3295</v>
      </c>
      <c r="E110" s="673">
        <v>2808561</v>
      </c>
    </row>
    <row r="111" spans="1:5">
      <c r="A111" s="545" t="s">
        <v>3380</v>
      </c>
      <c r="B111" s="545" t="s">
        <v>3167</v>
      </c>
      <c r="C111" s="545" t="s">
        <v>265</v>
      </c>
      <c r="D111" s="545" t="s">
        <v>3276</v>
      </c>
      <c r="E111" s="672">
        <v>2713303</v>
      </c>
    </row>
    <row r="112" spans="1:5">
      <c r="A112" s="547" t="s">
        <v>3383</v>
      </c>
      <c r="B112" s="547" t="s">
        <v>3261</v>
      </c>
      <c r="C112" s="547" t="s">
        <v>265</v>
      </c>
      <c r="D112" s="547" t="s">
        <v>3417</v>
      </c>
      <c r="E112" s="673">
        <v>2565000</v>
      </c>
    </row>
    <row r="113" spans="1:5">
      <c r="A113" s="545" t="s">
        <v>3381</v>
      </c>
      <c r="B113" s="545" t="s">
        <v>3167</v>
      </c>
      <c r="C113" s="545" t="s">
        <v>265</v>
      </c>
      <c r="D113" s="545" t="s">
        <v>3276</v>
      </c>
      <c r="E113" s="672">
        <v>2539617</v>
      </c>
    </row>
    <row r="114" spans="1:5">
      <c r="A114" s="547" t="s">
        <v>3361</v>
      </c>
      <c r="B114" s="547" t="s">
        <v>3262</v>
      </c>
      <c r="C114" s="547" t="s">
        <v>265</v>
      </c>
      <c r="D114" s="547" t="s">
        <v>3417</v>
      </c>
      <c r="E114" s="673">
        <v>2500000</v>
      </c>
    </row>
    <row r="115" spans="1:5">
      <c r="A115" s="545" t="s">
        <v>3341</v>
      </c>
      <c r="B115" s="545" t="s">
        <v>3262</v>
      </c>
      <c r="C115" s="545" t="s">
        <v>265</v>
      </c>
      <c r="D115" s="545" t="s">
        <v>3417</v>
      </c>
      <c r="E115" s="672">
        <v>2500000</v>
      </c>
    </row>
    <row r="116" spans="1:5">
      <c r="A116" s="547" t="s">
        <v>3378</v>
      </c>
      <c r="B116" s="547" t="s">
        <v>3293</v>
      </c>
      <c r="C116" s="547" t="s">
        <v>265</v>
      </c>
      <c r="D116" s="547" t="s">
        <v>3292</v>
      </c>
      <c r="E116" s="673">
        <v>2462042.5299798837</v>
      </c>
    </row>
    <row r="117" spans="1:5">
      <c r="A117" s="545" t="s">
        <v>3385</v>
      </c>
      <c r="B117" s="545" t="s">
        <v>3261</v>
      </c>
      <c r="C117" s="545" t="s">
        <v>265</v>
      </c>
      <c r="D117" s="545" t="s">
        <v>3417</v>
      </c>
      <c r="E117" s="672">
        <v>2400000</v>
      </c>
    </row>
    <row r="118" spans="1:5">
      <c r="A118" s="547" t="s">
        <v>3442</v>
      </c>
      <c r="B118" s="547" t="s">
        <v>3296</v>
      </c>
      <c r="C118" s="547" t="s">
        <v>265</v>
      </c>
      <c r="D118" s="547" t="s">
        <v>3295</v>
      </c>
      <c r="E118" s="673">
        <v>2395684</v>
      </c>
    </row>
    <row r="119" spans="1:5">
      <c r="A119" s="545" t="s">
        <v>3377</v>
      </c>
      <c r="B119" s="545" t="s">
        <v>3294</v>
      </c>
      <c r="C119" s="545" t="s">
        <v>265</v>
      </c>
      <c r="D119" s="545" t="s">
        <v>340</v>
      </c>
      <c r="E119" s="672">
        <v>2368286</v>
      </c>
    </row>
    <row r="120" spans="1:5">
      <c r="A120" s="547" t="s">
        <v>3433</v>
      </c>
      <c r="B120" s="547" t="s">
        <v>3286</v>
      </c>
      <c r="C120" s="547" t="s">
        <v>265</v>
      </c>
      <c r="D120" s="547" t="s">
        <v>3281</v>
      </c>
      <c r="E120" s="673">
        <v>2282646</v>
      </c>
    </row>
    <row r="121" spans="1:5">
      <c r="A121" s="545" t="s">
        <v>3386</v>
      </c>
      <c r="B121" s="545" t="s">
        <v>3184</v>
      </c>
      <c r="C121" s="545" t="s">
        <v>265</v>
      </c>
      <c r="D121" s="545" t="s">
        <v>3276</v>
      </c>
      <c r="E121" s="672">
        <v>2222502</v>
      </c>
    </row>
    <row r="122" spans="1:5">
      <c r="A122" s="547" t="s">
        <v>3382</v>
      </c>
      <c r="B122" s="547" t="s">
        <v>3293</v>
      </c>
      <c r="C122" s="547" t="s">
        <v>265</v>
      </c>
      <c r="D122" s="547" t="s">
        <v>3292</v>
      </c>
      <c r="E122" s="673">
        <v>2161263.0009006746</v>
      </c>
    </row>
    <row r="123" spans="1:5">
      <c r="A123" s="545" t="s">
        <v>3351</v>
      </c>
      <c r="B123" s="545" t="s">
        <v>3231</v>
      </c>
      <c r="C123" s="545" t="s">
        <v>265</v>
      </c>
      <c r="D123" s="545" t="s">
        <v>3292</v>
      </c>
      <c r="E123" s="672">
        <v>2153623.0716471989</v>
      </c>
    </row>
    <row r="124" spans="1:5">
      <c r="A124" s="547" t="s">
        <v>3374</v>
      </c>
      <c r="B124" s="547" t="s">
        <v>3167</v>
      </c>
      <c r="C124" s="547" t="s">
        <v>265</v>
      </c>
      <c r="D124" s="547" t="s">
        <v>3276</v>
      </c>
      <c r="E124" s="673">
        <v>2143253</v>
      </c>
    </row>
    <row r="125" spans="1:5">
      <c r="A125" s="545" t="s">
        <v>3379</v>
      </c>
      <c r="B125" s="545" t="s">
        <v>3282</v>
      </c>
      <c r="C125" s="545" t="s">
        <v>265</v>
      </c>
      <c r="D125" s="545" t="s">
        <v>3281</v>
      </c>
      <c r="E125" s="672">
        <v>2060952</v>
      </c>
    </row>
    <row r="126" spans="1:5">
      <c r="A126" s="547" t="s">
        <v>496</v>
      </c>
      <c r="B126" s="547" t="s">
        <v>3184</v>
      </c>
      <c r="C126" s="547" t="s">
        <v>265</v>
      </c>
      <c r="D126" s="547" t="s">
        <v>3276</v>
      </c>
      <c r="E126" s="673">
        <v>2055056</v>
      </c>
    </row>
    <row r="127" spans="1:5">
      <c r="A127" s="545" t="s">
        <v>3338</v>
      </c>
      <c r="B127" s="545" t="s">
        <v>3114</v>
      </c>
      <c r="C127" s="545" t="s">
        <v>265</v>
      </c>
      <c r="D127" s="545" t="s">
        <v>3417</v>
      </c>
      <c r="E127" s="672">
        <v>2015500</v>
      </c>
    </row>
    <row r="128" spans="1:5">
      <c r="A128" s="547" t="s">
        <v>3366</v>
      </c>
      <c r="B128" s="547" t="s">
        <v>3262</v>
      </c>
      <c r="C128" s="547" t="s">
        <v>265</v>
      </c>
      <c r="D128" s="547" t="s">
        <v>3417</v>
      </c>
      <c r="E128" s="673">
        <v>2000000</v>
      </c>
    </row>
    <row r="129" spans="1:5">
      <c r="A129" s="545" t="s">
        <v>3443</v>
      </c>
      <c r="B129" s="545" t="s">
        <v>3296</v>
      </c>
      <c r="C129" s="545" t="s">
        <v>265</v>
      </c>
      <c r="D129" s="545" t="s">
        <v>3295</v>
      </c>
      <c r="E129" s="672">
        <v>1971853</v>
      </c>
    </row>
    <row r="130" spans="1:5">
      <c r="A130" s="547" t="s">
        <v>3444</v>
      </c>
      <c r="B130" s="547" t="s">
        <v>3296</v>
      </c>
      <c r="C130" s="547" t="s">
        <v>265</v>
      </c>
      <c r="D130" s="547" t="s">
        <v>3295</v>
      </c>
      <c r="E130" s="673">
        <v>1818031</v>
      </c>
    </row>
    <row r="131" spans="1:5">
      <c r="A131" s="545" t="s">
        <v>3353</v>
      </c>
      <c r="B131" s="545" t="s">
        <v>3231</v>
      </c>
      <c r="C131" s="545" t="s">
        <v>265</v>
      </c>
      <c r="D131" s="545" t="s">
        <v>3292</v>
      </c>
      <c r="E131" s="672">
        <v>1792326.3518027728</v>
      </c>
    </row>
    <row r="132" spans="1:5">
      <c r="A132" s="547" t="s">
        <v>328</v>
      </c>
      <c r="B132" s="547" t="s">
        <v>3164</v>
      </c>
      <c r="C132" s="547" t="s">
        <v>265</v>
      </c>
      <c r="D132" s="547" t="s">
        <v>3276</v>
      </c>
      <c r="E132" s="673">
        <v>1755697</v>
      </c>
    </row>
    <row r="133" spans="1:5">
      <c r="A133" s="545" t="s">
        <v>3388</v>
      </c>
      <c r="B133" s="545" t="s">
        <v>3293</v>
      </c>
      <c r="C133" s="545" t="s">
        <v>265</v>
      </c>
      <c r="D133" s="545" t="s">
        <v>3292</v>
      </c>
      <c r="E133" s="672">
        <v>1716453.9838176421</v>
      </c>
    </row>
    <row r="134" spans="1:5">
      <c r="A134" s="547" t="s">
        <v>3360</v>
      </c>
      <c r="B134" s="547" t="s">
        <v>3294</v>
      </c>
      <c r="C134" s="547" t="s">
        <v>265</v>
      </c>
      <c r="D134" s="547" t="s">
        <v>340</v>
      </c>
      <c r="E134" s="673">
        <v>1716391</v>
      </c>
    </row>
    <row r="135" spans="1:5">
      <c r="A135" s="545" t="s">
        <v>3365</v>
      </c>
      <c r="B135" s="545" t="s">
        <v>3167</v>
      </c>
      <c r="C135" s="545" t="s">
        <v>265</v>
      </c>
      <c r="D135" s="545" t="s">
        <v>3276</v>
      </c>
      <c r="E135" s="672">
        <v>1698066</v>
      </c>
    </row>
    <row r="136" spans="1:5">
      <c r="A136" s="547" t="s">
        <v>3376</v>
      </c>
      <c r="B136" s="547" t="s">
        <v>3167</v>
      </c>
      <c r="C136" s="547" t="s">
        <v>265</v>
      </c>
      <c r="D136" s="547" t="s">
        <v>3276</v>
      </c>
      <c r="E136" s="673">
        <v>1654506</v>
      </c>
    </row>
    <row r="137" spans="1:5">
      <c r="A137" s="545" t="s">
        <v>3340</v>
      </c>
      <c r="B137" s="545" t="s">
        <v>3419</v>
      </c>
      <c r="C137" s="545" t="s">
        <v>265</v>
      </c>
      <c r="D137" s="545" t="s">
        <v>3276</v>
      </c>
      <c r="E137" s="672">
        <v>1632448</v>
      </c>
    </row>
    <row r="138" spans="1:5">
      <c r="A138" s="547" t="s">
        <v>3384</v>
      </c>
      <c r="B138" s="547" t="s">
        <v>3282</v>
      </c>
      <c r="C138" s="547" t="s">
        <v>265</v>
      </c>
      <c r="D138" s="547" t="s">
        <v>3281</v>
      </c>
      <c r="E138" s="673">
        <v>1624812</v>
      </c>
    </row>
    <row r="139" spans="1:5">
      <c r="A139" s="545" t="s">
        <v>3356</v>
      </c>
      <c r="B139" s="545" t="s">
        <v>3231</v>
      </c>
      <c r="C139" s="545" t="s">
        <v>265</v>
      </c>
      <c r="D139" s="545" t="s">
        <v>3292</v>
      </c>
      <c r="E139" s="672">
        <v>1613872.4100603499</v>
      </c>
    </row>
    <row r="140" spans="1:5">
      <c r="A140" s="547" t="s">
        <v>3387</v>
      </c>
      <c r="B140" s="547" t="s">
        <v>3282</v>
      </c>
      <c r="C140" s="547" t="s">
        <v>265</v>
      </c>
      <c r="D140" s="547" t="s">
        <v>3281</v>
      </c>
      <c r="E140" s="673">
        <v>1536907</v>
      </c>
    </row>
    <row r="141" spans="1:5">
      <c r="A141" s="545" t="s">
        <v>3348</v>
      </c>
      <c r="B141" s="545" t="s">
        <v>3114</v>
      </c>
      <c r="C141" s="545" t="s">
        <v>265</v>
      </c>
      <c r="D141" s="545" t="s">
        <v>3417</v>
      </c>
      <c r="E141" s="672">
        <v>1506500</v>
      </c>
    </row>
    <row r="142" spans="1:5">
      <c r="A142" s="547" t="s">
        <v>396</v>
      </c>
      <c r="B142" s="547" t="s">
        <v>3262</v>
      </c>
      <c r="C142" s="547" t="s">
        <v>265</v>
      </c>
      <c r="D142" s="547" t="s">
        <v>3417</v>
      </c>
      <c r="E142" s="673">
        <v>1500000</v>
      </c>
    </row>
    <row r="143" spans="1:5">
      <c r="A143" s="545" t="s">
        <v>3357</v>
      </c>
      <c r="B143" s="545" t="s">
        <v>3262</v>
      </c>
      <c r="C143" s="545" t="s">
        <v>265</v>
      </c>
      <c r="D143" s="545" t="s">
        <v>3417</v>
      </c>
      <c r="E143" s="672">
        <v>1500000</v>
      </c>
    </row>
    <row r="144" spans="1:5">
      <c r="A144" s="547" t="s">
        <v>3391</v>
      </c>
      <c r="B144" s="547" t="s">
        <v>3114</v>
      </c>
      <c r="C144" s="547" t="s">
        <v>265</v>
      </c>
      <c r="D144" s="547" t="s">
        <v>3417</v>
      </c>
      <c r="E144" s="673">
        <v>1430000</v>
      </c>
    </row>
    <row r="145" spans="1:5">
      <c r="A145" s="545" t="s">
        <v>3384</v>
      </c>
      <c r="B145" s="545" t="s">
        <v>3284</v>
      </c>
      <c r="C145" s="545" t="s">
        <v>265</v>
      </c>
      <c r="D145" s="545" t="s">
        <v>3281</v>
      </c>
      <c r="E145" s="672">
        <v>1414656</v>
      </c>
    </row>
    <row r="146" spans="1:5">
      <c r="A146" s="547" t="s">
        <v>3393</v>
      </c>
      <c r="B146" s="547" t="s">
        <v>3261</v>
      </c>
      <c r="C146" s="547" t="s">
        <v>265</v>
      </c>
      <c r="D146" s="547" t="s">
        <v>3417</v>
      </c>
      <c r="E146" s="673">
        <v>1361160</v>
      </c>
    </row>
    <row r="147" spans="1:5">
      <c r="A147" s="545" t="s">
        <v>3445</v>
      </c>
      <c r="B147" s="545" t="s">
        <v>3296</v>
      </c>
      <c r="C147" s="545" t="s">
        <v>265</v>
      </c>
      <c r="D147" s="545" t="s">
        <v>3295</v>
      </c>
      <c r="E147" s="672">
        <v>1348518</v>
      </c>
    </row>
    <row r="148" spans="1:5">
      <c r="A148" s="547" t="s">
        <v>3362</v>
      </c>
      <c r="B148" s="547" t="s">
        <v>3231</v>
      </c>
      <c r="C148" s="547" t="s">
        <v>265</v>
      </c>
      <c r="D148" s="547" t="s">
        <v>3292</v>
      </c>
      <c r="E148" s="673">
        <v>1256668.6499669924</v>
      </c>
    </row>
    <row r="149" spans="1:5">
      <c r="A149" s="545" t="s">
        <v>3392</v>
      </c>
      <c r="B149" s="545" t="s">
        <v>3422</v>
      </c>
      <c r="C149" s="545" t="s">
        <v>265</v>
      </c>
      <c r="D149" s="545" t="s">
        <v>3269</v>
      </c>
      <c r="E149" s="672">
        <v>1250000</v>
      </c>
    </row>
    <row r="150" spans="1:5">
      <c r="A150" s="547" t="s">
        <v>3395</v>
      </c>
      <c r="B150" s="547" t="s">
        <v>3261</v>
      </c>
      <c r="C150" s="547" t="s">
        <v>265</v>
      </c>
      <c r="D150" s="547" t="s">
        <v>3417</v>
      </c>
      <c r="E150" s="673">
        <v>1221600</v>
      </c>
    </row>
    <row r="151" spans="1:5">
      <c r="A151" s="545" t="s">
        <v>3330</v>
      </c>
      <c r="B151" s="545" t="s">
        <v>3164</v>
      </c>
      <c r="C151" s="545" t="s">
        <v>265</v>
      </c>
      <c r="D151" s="545" t="s">
        <v>3276</v>
      </c>
      <c r="E151" s="672">
        <v>1210319</v>
      </c>
    </row>
    <row r="152" spans="1:5">
      <c r="A152" s="547" t="s">
        <v>3396</v>
      </c>
      <c r="B152" s="547" t="s">
        <v>3419</v>
      </c>
      <c r="C152" s="547" t="s">
        <v>265</v>
      </c>
      <c r="D152" s="547" t="s">
        <v>3269</v>
      </c>
      <c r="E152" s="673">
        <v>1200000</v>
      </c>
    </row>
    <row r="153" spans="1:5">
      <c r="A153" s="545" t="s">
        <v>3350</v>
      </c>
      <c r="B153" s="545" t="s">
        <v>3184</v>
      </c>
      <c r="C153" s="545" t="s">
        <v>265</v>
      </c>
      <c r="D153" s="545" t="s">
        <v>3276</v>
      </c>
      <c r="E153" s="672">
        <v>1199827</v>
      </c>
    </row>
    <row r="154" spans="1:5">
      <c r="A154" s="547" t="s">
        <v>3384</v>
      </c>
      <c r="B154" s="547" t="s">
        <v>3283</v>
      </c>
      <c r="C154" s="547" t="s">
        <v>265</v>
      </c>
      <c r="D154" s="547" t="s">
        <v>3281</v>
      </c>
      <c r="E154" s="673">
        <v>1131726</v>
      </c>
    </row>
    <row r="155" spans="1:5">
      <c r="A155" s="545" t="s">
        <v>3397</v>
      </c>
      <c r="B155" s="545" t="s">
        <v>3184</v>
      </c>
      <c r="C155" s="545" t="s">
        <v>265</v>
      </c>
      <c r="D155" s="545" t="s">
        <v>3276</v>
      </c>
      <c r="E155" s="672">
        <v>1076047</v>
      </c>
    </row>
    <row r="156" spans="1:5">
      <c r="A156" s="547" t="s">
        <v>3368</v>
      </c>
      <c r="B156" s="547" t="s">
        <v>3231</v>
      </c>
      <c r="C156" s="547" t="s">
        <v>265</v>
      </c>
      <c r="D156" s="547" t="s">
        <v>3292</v>
      </c>
      <c r="E156" s="673">
        <v>1072328.5569067653</v>
      </c>
    </row>
    <row r="157" spans="1:5">
      <c r="A157" s="545" t="s">
        <v>3374</v>
      </c>
      <c r="B157" s="545" t="s">
        <v>3184</v>
      </c>
      <c r="C157" s="545" t="s">
        <v>265</v>
      </c>
      <c r="D157" s="545" t="s">
        <v>3276</v>
      </c>
      <c r="E157" s="672">
        <v>1041689</v>
      </c>
    </row>
    <row r="158" spans="1:5">
      <c r="A158" s="547" t="s">
        <v>3389</v>
      </c>
      <c r="B158" s="547" t="s">
        <v>3262</v>
      </c>
      <c r="C158" s="547" t="s">
        <v>265</v>
      </c>
      <c r="D158" s="547" t="s">
        <v>3417</v>
      </c>
      <c r="E158" s="673">
        <v>1000000</v>
      </c>
    </row>
    <row r="159" spans="1:5">
      <c r="A159" s="545" t="s">
        <v>3399</v>
      </c>
      <c r="B159" s="545" t="s">
        <v>3262</v>
      </c>
      <c r="C159" s="545" t="s">
        <v>265</v>
      </c>
      <c r="D159" s="545" t="s">
        <v>3417</v>
      </c>
      <c r="E159" s="672">
        <v>1000000</v>
      </c>
    </row>
    <row r="160" spans="1:5">
      <c r="A160" s="547" t="s">
        <v>3400</v>
      </c>
      <c r="B160" s="547" t="s">
        <v>3261</v>
      </c>
      <c r="C160" s="547" t="s">
        <v>265</v>
      </c>
      <c r="D160" s="547" t="s">
        <v>3417</v>
      </c>
      <c r="E160" s="673">
        <v>1000000</v>
      </c>
    </row>
    <row r="161" spans="1:5">
      <c r="A161" s="545" t="s">
        <v>3401</v>
      </c>
      <c r="B161" s="545" t="s">
        <v>3167</v>
      </c>
      <c r="C161" s="545" t="s">
        <v>265</v>
      </c>
      <c r="D161" s="545" t="s">
        <v>3276</v>
      </c>
      <c r="E161" s="672">
        <v>995996</v>
      </c>
    </row>
    <row r="162" spans="1:5">
      <c r="A162" s="547" t="s">
        <v>3376</v>
      </c>
      <c r="B162" s="547" t="s">
        <v>3184</v>
      </c>
      <c r="C162" s="547" t="s">
        <v>265</v>
      </c>
      <c r="D162" s="547" t="s">
        <v>3276</v>
      </c>
      <c r="E162" s="673">
        <v>961002</v>
      </c>
    </row>
    <row r="163" spans="1:5">
      <c r="A163" s="545" t="s">
        <v>3390</v>
      </c>
      <c r="B163" s="545" t="s">
        <v>3296</v>
      </c>
      <c r="C163" s="545" t="s">
        <v>265</v>
      </c>
      <c r="D163" s="545" t="s">
        <v>3295</v>
      </c>
      <c r="E163" s="672">
        <v>955948</v>
      </c>
    </row>
    <row r="164" spans="1:5">
      <c r="A164" s="547" t="s">
        <v>3389</v>
      </c>
      <c r="B164" s="547" t="s">
        <v>3261</v>
      </c>
      <c r="C164" s="547" t="s">
        <v>265</v>
      </c>
      <c r="D164" s="547" t="s">
        <v>3417</v>
      </c>
      <c r="E164" s="673">
        <v>922000</v>
      </c>
    </row>
    <row r="165" spans="1:5">
      <c r="A165" s="545" t="s">
        <v>3402</v>
      </c>
      <c r="B165" s="545" t="s">
        <v>3261</v>
      </c>
      <c r="C165" s="545" t="s">
        <v>265</v>
      </c>
      <c r="D165" s="545" t="s">
        <v>3417</v>
      </c>
      <c r="E165" s="672">
        <v>840000</v>
      </c>
    </row>
    <row r="166" spans="1:5">
      <c r="A166" s="547" t="s">
        <v>3390</v>
      </c>
      <c r="B166" s="547" t="s">
        <v>3167</v>
      </c>
      <c r="C166" s="547" t="s">
        <v>265</v>
      </c>
      <c r="D166" s="547" t="s">
        <v>3276</v>
      </c>
      <c r="E166" s="673">
        <v>802570</v>
      </c>
    </row>
    <row r="167" spans="1:5">
      <c r="A167" s="545" t="s">
        <v>3446</v>
      </c>
      <c r="B167" s="545" t="s">
        <v>3294</v>
      </c>
      <c r="C167" s="545" t="s">
        <v>265</v>
      </c>
      <c r="D167" s="545" t="s">
        <v>340</v>
      </c>
      <c r="E167" s="672">
        <v>771120</v>
      </c>
    </row>
    <row r="168" spans="1:5">
      <c r="A168" s="547" t="s">
        <v>3394</v>
      </c>
      <c r="B168" s="547" t="s">
        <v>3261</v>
      </c>
      <c r="C168" s="547" t="s">
        <v>265</v>
      </c>
      <c r="D168" s="547" t="s">
        <v>3417</v>
      </c>
      <c r="E168" s="673">
        <v>750000</v>
      </c>
    </row>
    <row r="169" spans="1:5">
      <c r="A169" s="545" t="s">
        <v>3363</v>
      </c>
      <c r="B169" s="545" t="s">
        <v>3114</v>
      </c>
      <c r="C169" s="545" t="s">
        <v>265</v>
      </c>
      <c r="D169" s="545" t="s">
        <v>3417</v>
      </c>
      <c r="E169" s="672">
        <v>715695</v>
      </c>
    </row>
    <row r="170" spans="1:5">
      <c r="A170" s="547" t="s">
        <v>3384</v>
      </c>
      <c r="B170" s="547" t="s">
        <v>3286</v>
      </c>
      <c r="C170" s="547" t="s">
        <v>265</v>
      </c>
      <c r="D170" s="547" t="s">
        <v>3281</v>
      </c>
      <c r="E170" s="673">
        <v>707328</v>
      </c>
    </row>
    <row r="171" spans="1:5">
      <c r="A171" s="545" t="s">
        <v>3447</v>
      </c>
      <c r="B171" s="545" t="s">
        <v>3296</v>
      </c>
      <c r="C171" s="545" t="s">
        <v>265</v>
      </c>
      <c r="D171" s="545" t="s">
        <v>3295</v>
      </c>
      <c r="E171" s="672">
        <v>691685</v>
      </c>
    </row>
    <row r="172" spans="1:5">
      <c r="A172" s="547" t="s">
        <v>3390</v>
      </c>
      <c r="B172" s="547" t="s">
        <v>3184</v>
      </c>
      <c r="C172" s="547" t="s">
        <v>265</v>
      </c>
      <c r="D172" s="547" t="s">
        <v>3276</v>
      </c>
      <c r="E172" s="673">
        <v>684659</v>
      </c>
    </row>
    <row r="173" spans="1:5">
      <c r="A173" s="545" t="s">
        <v>3448</v>
      </c>
      <c r="B173" s="545" t="s">
        <v>3296</v>
      </c>
      <c r="C173" s="545" t="s">
        <v>265</v>
      </c>
      <c r="D173" s="545" t="s">
        <v>3295</v>
      </c>
      <c r="E173" s="672">
        <v>677040</v>
      </c>
    </row>
    <row r="174" spans="1:5">
      <c r="A174" s="547" t="s">
        <v>3403</v>
      </c>
      <c r="B174" s="547" t="s">
        <v>3173</v>
      </c>
      <c r="C174" s="547" t="s">
        <v>265</v>
      </c>
      <c r="D174" s="547" t="s">
        <v>3276</v>
      </c>
      <c r="E174" s="673">
        <v>668620</v>
      </c>
    </row>
    <row r="175" spans="1:5">
      <c r="A175" s="545" t="s">
        <v>3433</v>
      </c>
      <c r="B175" s="545" t="s">
        <v>3287</v>
      </c>
      <c r="C175" s="545" t="s">
        <v>265</v>
      </c>
      <c r="D175" s="545" t="s">
        <v>3281</v>
      </c>
      <c r="E175" s="672">
        <v>664476</v>
      </c>
    </row>
    <row r="176" spans="1:5">
      <c r="A176" s="547" t="s">
        <v>3404</v>
      </c>
      <c r="B176" s="547" t="s">
        <v>3419</v>
      </c>
      <c r="C176" s="547" t="s">
        <v>265</v>
      </c>
      <c r="D176" s="547" t="s">
        <v>3269</v>
      </c>
      <c r="E176" s="673">
        <v>650000</v>
      </c>
    </row>
    <row r="177" spans="1:5">
      <c r="A177" s="545" t="s">
        <v>3405</v>
      </c>
      <c r="B177" s="545" t="s">
        <v>3261</v>
      </c>
      <c r="C177" s="545" t="s">
        <v>265</v>
      </c>
      <c r="D177" s="545" t="s">
        <v>3417</v>
      </c>
      <c r="E177" s="672">
        <v>600000</v>
      </c>
    </row>
    <row r="178" spans="1:5">
      <c r="A178" s="547" t="s">
        <v>3398</v>
      </c>
      <c r="B178" s="547" t="s">
        <v>3285</v>
      </c>
      <c r="C178" s="547" t="s">
        <v>265</v>
      </c>
      <c r="D178" s="547" t="s">
        <v>3281</v>
      </c>
      <c r="E178" s="673">
        <v>586638</v>
      </c>
    </row>
    <row r="179" spans="1:5">
      <c r="A179" s="545" t="s">
        <v>3406</v>
      </c>
      <c r="B179" s="545" t="s">
        <v>3261</v>
      </c>
      <c r="C179" s="545" t="s">
        <v>265</v>
      </c>
      <c r="D179" s="545" t="s">
        <v>3417</v>
      </c>
      <c r="E179" s="672">
        <v>572280</v>
      </c>
    </row>
    <row r="180" spans="1:5">
      <c r="A180" s="547" t="s">
        <v>3379</v>
      </c>
      <c r="B180" s="547" t="s">
        <v>3285</v>
      </c>
      <c r="C180" s="547" t="s">
        <v>265</v>
      </c>
      <c r="D180" s="547" t="s">
        <v>3281</v>
      </c>
      <c r="E180" s="673">
        <v>540084</v>
      </c>
    </row>
    <row r="181" spans="1:5">
      <c r="A181" s="545" t="s">
        <v>3378</v>
      </c>
      <c r="B181" s="545" t="s">
        <v>3231</v>
      </c>
      <c r="C181" s="545" t="s">
        <v>265</v>
      </c>
      <c r="D181" s="545" t="s">
        <v>3292</v>
      </c>
      <c r="E181" s="672">
        <v>537957.47002011631</v>
      </c>
    </row>
    <row r="182" spans="1:5">
      <c r="A182" s="547" t="s">
        <v>3407</v>
      </c>
      <c r="B182" s="547" t="s">
        <v>3261</v>
      </c>
      <c r="C182" s="547" t="s">
        <v>265</v>
      </c>
      <c r="D182" s="547" t="s">
        <v>3417</v>
      </c>
      <c r="E182" s="673">
        <v>508865</v>
      </c>
    </row>
    <row r="183" spans="1:5">
      <c r="A183" s="545" t="s">
        <v>3449</v>
      </c>
      <c r="B183" s="545" t="s">
        <v>3271</v>
      </c>
      <c r="C183" s="545" t="s">
        <v>265</v>
      </c>
      <c r="D183" s="545" t="s">
        <v>3269</v>
      </c>
      <c r="E183" s="672">
        <v>505260</v>
      </c>
    </row>
    <row r="184" spans="1:5">
      <c r="A184" s="547" t="s">
        <v>561</v>
      </c>
      <c r="B184" s="547" t="s">
        <v>3173</v>
      </c>
      <c r="C184" s="547" t="s">
        <v>265</v>
      </c>
      <c r="D184" s="547" t="s">
        <v>3276</v>
      </c>
      <c r="E184" s="673">
        <v>500000</v>
      </c>
    </row>
    <row r="185" spans="1:5">
      <c r="A185" s="545" t="s">
        <v>3340</v>
      </c>
      <c r="B185" s="545" t="s">
        <v>3184</v>
      </c>
      <c r="C185" s="545" t="s">
        <v>265</v>
      </c>
      <c r="D185" s="545" t="s">
        <v>3276</v>
      </c>
      <c r="E185" s="672">
        <v>488875</v>
      </c>
    </row>
    <row r="186" spans="1:5">
      <c r="A186" s="547" t="s">
        <v>3382</v>
      </c>
      <c r="B186" s="547" t="s">
        <v>3231</v>
      </c>
      <c r="C186" s="547" t="s">
        <v>265</v>
      </c>
      <c r="D186" s="547" t="s">
        <v>3292</v>
      </c>
      <c r="E186" s="673">
        <v>472236.99909932539</v>
      </c>
    </row>
    <row r="187" spans="1:5">
      <c r="A187" s="545" t="s">
        <v>3394</v>
      </c>
      <c r="B187" s="545" t="s">
        <v>3173</v>
      </c>
      <c r="C187" s="545" t="s">
        <v>265</v>
      </c>
      <c r="D187" s="545" t="s">
        <v>3276</v>
      </c>
      <c r="E187" s="672">
        <v>465151</v>
      </c>
    </row>
    <row r="188" spans="1:5">
      <c r="A188" s="547" t="s">
        <v>3376</v>
      </c>
      <c r="B188" s="547" t="s">
        <v>3173</v>
      </c>
      <c r="C188" s="547" t="s">
        <v>265</v>
      </c>
      <c r="D188" s="547" t="s">
        <v>3276</v>
      </c>
      <c r="E188" s="673">
        <v>461362</v>
      </c>
    </row>
    <row r="189" spans="1:5">
      <c r="A189" s="545" t="s">
        <v>3336</v>
      </c>
      <c r="B189" s="545" t="s">
        <v>3421</v>
      </c>
      <c r="C189" s="545" t="s">
        <v>265</v>
      </c>
      <c r="D189" s="545" t="s">
        <v>3269</v>
      </c>
      <c r="E189" s="672">
        <v>450000</v>
      </c>
    </row>
    <row r="190" spans="1:5">
      <c r="A190" s="547" t="s">
        <v>3384</v>
      </c>
      <c r="B190" s="547" t="s">
        <v>3289</v>
      </c>
      <c r="C190" s="547" t="s">
        <v>265</v>
      </c>
      <c r="D190" s="547" t="s">
        <v>3281</v>
      </c>
      <c r="E190" s="673">
        <v>439152</v>
      </c>
    </row>
    <row r="191" spans="1:5">
      <c r="A191" s="545" t="s">
        <v>3384</v>
      </c>
      <c r="B191" s="545" t="s">
        <v>3285</v>
      </c>
      <c r="C191" s="545" t="s">
        <v>265</v>
      </c>
      <c r="D191" s="545" t="s">
        <v>3281</v>
      </c>
      <c r="E191" s="672">
        <v>425790</v>
      </c>
    </row>
    <row r="192" spans="1:5">
      <c r="A192" s="547" t="s">
        <v>3398</v>
      </c>
      <c r="B192" s="547" t="s">
        <v>3282</v>
      </c>
      <c r="C192" s="547" t="s">
        <v>265</v>
      </c>
      <c r="D192" s="547" t="s">
        <v>3281</v>
      </c>
      <c r="E192" s="673">
        <v>407724</v>
      </c>
    </row>
    <row r="193" spans="1:5">
      <c r="A193" s="545" t="s">
        <v>3387</v>
      </c>
      <c r="B193" s="545" t="s">
        <v>3285</v>
      </c>
      <c r="C193" s="545" t="s">
        <v>265</v>
      </c>
      <c r="D193" s="545" t="s">
        <v>3281</v>
      </c>
      <c r="E193" s="672">
        <v>402753</v>
      </c>
    </row>
    <row r="194" spans="1:5">
      <c r="A194" s="547" t="s">
        <v>3408</v>
      </c>
      <c r="B194" s="547" t="s">
        <v>3419</v>
      </c>
      <c r="C194" s="547" t="s">
        <v>3324</v>
      </c>
      <c r="D194" s="547" t="s">
        <v>3269</v>
      </c>
      <c r="E194" s="673">
        <v>402000</v>
      </c>
    </row>
    <row r="195" spans="1:5">
      <c r="A195" s="545" t="s">
        <v>3409</v>
      </c>
      <c r="B195" s="545" t="s">
        <v>3261</v>
      </c>
      <c r="C195" s="545" t="s">
        <v>265</v>
      </c>
      <c r="D195" s="545" t="s">
        <v>3417</v>
      </c>
      <c r="E195" s="672">
        <v>390000</v>
      </c>
    </row>
    <row r="196" spans="1:5">
      <c r="A196" s="547" t="s">
        <v>3410</v>
      </c>
      <c r="B196" s="547" t="s">
        <v>3184</v>
      </c>
      <c r="C196" s="547" t="s">
        <v>265</v>
      </c>
      <c r="D196" s="547" t="s">
        <v>3276</v>
      </c>
      <c r="E196" s="673">
        <v>389026</v>
      </c>
    </row>
    <row r="197" spans="1:5">
      <c r="A197" s="545" t="s">
        <v>3388</v>
      </c>
      <c r="B197" s="545" t="s">
        <v>3231</v>
      </c>
      <c r="C197" s="545" t="s">
        <v>265</v>
      </c>
      <c r="D197" s="545" t="s">
        <v>3292</v>
      </c>
      <c r="E197" s="672">
        <v>375046.01618235791</v>
      </c>
    </row>
    <row r="198" spans="1:5">
      <c r="A198" s="547" t="s">
        <v>3363</v>
      </c>
      <c r="B198" s="547" t="s">
        <v>3294</v>
      </c>
      <c r="C198" s="547" t="s">
        <v>265</v>
      </c>
      <c r="D198" s="547" t="s">
        <v>340</v>
      </c>
      <c r="E198" s="673">
        <v>347669</v>
      </c>
    </row>
    <row r="199" spans="1:5">
      <c r="A199" s="545" t="s">
        <v>3411</v>
      </c>
      <c r="B199" s="545" t="s">
        <v>3261</v>
      </c>
      <c r="C199" s="545" t="s">
        <v>265</v>
      </c>
      <c r="D199" s="545" t="s">
        <v>3417</v>
      </c>
      <c r="E199" s="672">
        <v>323000</v>
      </c>
    </row>
    <row r="200" spans="1:5">
      <c r="A200" s="547" t="s">
        <v>3390</v>
      </c>
      <c r="B200" s="547" t="s">
        <v>3173</v>
      </c>
      <c r="C200" s="547" t="s">
        <v>265</v>
      </c>
      <c r="D200" s="547" t="s">
        <v>3276</v>
      </c>
      <c r="E200" s="673">
        <v>313797</v>
      </c>
    </row>
    <row r="201" spans="1:5">
      <c r="A201" s="545" t="s">
        <v>3450</v>
      </c>
      <c r="B201" s="545" t="s">
        <v>3287</v>
      </c>
      <c r="C201" s="545" t="s">
        <v>265</v>
      </c>
      <c r="D201" s="545" t="s">
        <v>3281</v>
      </c>
      <c r="E201" s="672">
        <v>241392</v>
      </c>
    </row>
    <row r="202" spans="1:5">
      <c r="A202" s="547" t="s">
        <v>3379</v>
      </c>
      <c r="B202" s="547" t="s">
        <v>3289</v>
      </c>
      <c r="C202" s="547" t="s">
        <v>265</v>
      </c>
      <c r="D202" s="547" t="s">
        <v>3281</v>
      </c>
      <c r="E202" s="673">
        <v>216030</v>
      </c>
    </row>
    <row r="203" spans="1:5">
      <c r="A203" s="545" t="s">
        <v>3412</v>
      </c>
      <c r="B203" s="545" t="s">
        <v>3261</v>
      </c>
      <c r="C203" s="545" t="s">
        <v>265</v>
      </c>
      <c r="D203" s="545" t="s">
        <v>3417</v>
      </c>
      <c r="E203" s="672">
        <v>200000</v>
      </c>
    </row>
    <row r="204" spans="1:5">
      <c r="A204" s="547" t="s">
        <v>3451</v>
      </c>
      <c r="B204" s="547" t="s">
        <v>3296</v>
      </c>
      <c r="C204" s="547" t="s">
        <v>265</v>
      </c>
      <c r="D204" s="547" t="s">
        <v>3295</v>
      </c>
      <c r="E204" s="673">
        <v>171749</v>
      </c>
    </row>
    <row r="205" spans="1:5">
      <c r="A205" s="545" t="s">
        <v>3387</v>
      </c>
      <c r="B205" s="545" t="s">
        <v>3289</v>
      </c>
      <c r="C205" s="545" t="s">
        <v>265</v>
      </c>
      <c r="D205" s="545" t="s">
        <v>3281</v>
      </c>
      <c r="E205" s="672">
        <v>161101</v>
      </c>
    </row>
    <row r="206" spans="1:5">
      <c r="A206" s="547" t="s">
        <v>3381</v>
      </c>
      <c r="B206" s="547" t="s">
        <v>3184</v>
      </c>
      <c r="C206" s="547" t="s">
        <v>265</v>
      </c>
      <c r="D206" s="547" t="s">
        <v>3276</v>
      </c>
      <c r="E206" s="673">
        <v>157800</v>
      </c>
    </row>
    <row r="207" spans="1:5">
      <c r="A207" s="545" t="s">
        <v>3392</v>
      </c>
      <c r="B207" s="545" t="s">
        <v>3419</v>
      </c>
      <c r="C207" s="545" t="s">
        <v>265</v>
      </c>
      <c r="D207" s="545" t="s">
        <v>3269</v>
      </c>
      <c r="E207" s="672">
        <v>150000</v>
      </c>
    </row>
    <row r="208" spans="1:5">
      <c r="A208" s="547" t="s">
        <v>3413</v>
      </c>
      <c r="B208" s="547" t="s">
        <v>3184</v>
      </c>
      <c r="C208" s="547" t="s">
        <v>265</v>
      </c>
      <c r="D208" s="547" t="s">
        <v>3276</v>
      </c>
      <c r="E208" s="673">
        <v>110000</v>
      </c>
    </row>
    <row r="209" spans="1:5">
      <c r="A209" s="545" t="s">
        <v>3379</v>
      </c>
      <c r="B209" s="545" t="s">
        <v>3284</v>
      </c>
      <c r="C209" s="545" t="s">
        <v>265</v>
      </c>
      <c r="D209" s="545" t="s">
        <v>3281</v>
      </c>
      <c r="E209" s="672">
        <v>108018</v>
      </c>
    </row>
    <row r="210" spans="1:5">
      <c r="A210" s="547" t="s">
        <v>3379</v>
      </c>
      <c r="B210" s="547" t="s">
        <v>3283</v>
      </c>
      <c r="C210" s="547" t="s">
        <v>265</v>
      </c>
      <c r="D210" s="547" t="s">
        <v>3281</v>
      </c>
      <c r="E210" s="673">
        <v>86412</v>
      </c>
    </row>
    <row r="211" spans="1:5">
      <c r="A211" s="545" t="s">
        <v>3387</v>
      </c>
      <c r="B211" s="545" t="s">
        <v>3284</v>
      </c>
      <c r="C211" s="545" t="s">
        <v>265</v>
      </c>
      <c r="D211" s="545" t="s">
        <v>3281</v>
      </c>
      <c r="E211" s="672">
        <v>80551</v>
      </c>
    </row>
    <row r="212" spans="1:5">
      <c r="A212" s="547" t="s">
        <v>3398</v>
      </c>
      <c r="B212" s="547" t="s">
        <v>3289</v>
      </c>
      <c r="C212" s="547" t="s">
        <v>265</v>
      </c>
      <c r="D212" s="547" t="s">
        <v>3281</v>
      </c>
      <c r="E212" s="673">
        <v>73326</v>
      </c>
    </row>
    <row r="213" spans="1:5">
      <c r="A213" s="545" t="s">
        <v>3397</v>
      </c>
      <c r="B213" s="545" t="s">
        <v>3167</v>
      </c>
      <c r="C213" s="545" t="s">
        <v>265</v>
      </c>
      <c r="D213" s="545" t="s">
        <v>3276</v>
      </c>
      <c r="E213" s="672">
        <v>69459</v>
      </c>
    </row>
    <row r="214" spans="1:5">
      <c r="A214" s="547" t="s">
        <v>3387</v>
      </c>
      <c r="B214" s="547" t="s">
        <v>3283</v>
      </c>
      <c r="C214" s="547" t="s">
        <v>265</v>
      </c>
      <c r="D214" s="547" t="s">
        <v>3281</v>
      </c>
      <c r="E214" s="673">
        <v>64441</v>
      </c>
    </row>
    <row r="215" spans="1:5">
      <c r="A215" s="545" t="s">
        <v>3394</v>
      </c>
      <c r="B215" s="545" t="s">
        <v>3184</v>
      </c>
      <c r="C215" s="545" t="s">
        <v>265</v>
      </c>
      <c r="D215" s="545" t="s">
        <v>3276</v>
      </c>
      <c r="E215" s="672">
        <v>60539</v>
      </c>
    </row>
    <row r="216" spans="1:5">
      <c r="A216" s="547" t="s">
        <v>3369</v>
      </c>
      <c r="B216" s="547" t="s">
        <v>3294</v>
      </c>
      <c r="C216" s="547" t="s">
        <v>265</v>
      </c>
      <c r="D216" s="547" t="s">
        <v>340</v>
      </c>
      <c r="E216" s="673">
        <v>60480</v>
      </c>
    </row>
    <row r="217" spans="1:5">
      <c r="A217" s="545" t="s">
        <v>3413</v>
      </c>
      <c r="B217" s="545" t="s">
        <v>3167</v>
      </c>
      <c r="C217" s="545" t="s">
        <v>265</v>
      </c>
      <c r="D217" s="545" t="s">
        <v>3276</v>
      </c>
      <c r="E217" s="672">
        <v>59180</v>
      </c>
    </row>
    <row r="218" spans="1:5">
      <c r="A218" s="547" t="s">
        <v>3379</v>
      </c>
      <c r="B218" s="547" t="s">
        <v>3286</v>
      </c>
      <c r="C218" s="547" t="s">
        <v>265</v>
      </c>
      <c r="D218" s="547" t="s">
        <v>3281</v>
      </c>
      <c r="E218" s="673">
        <v>54006</v>
      </c>
    </row>
    <row r="219" spans="1:5">
      <c r="A219" s="545" t="s">
        <v>3380</v>
      </c>
      <c r="B219" s="545" t="s">
        <v>3184</v>
      </c>
      <c r="C219" s="545" t="s">
        <v>265</v>
      </c>
      <c r="D219" s="545" t="s">
        <v>3276</v>
      </c>
      <c r="E219" s="672">
        <v>42104</v>
      </c>
    </row>
    <row r="220" spans="1:5">
      <c r="A220" s="547" t="s">
        <v>3387</v>
      </c>
      <c r="B220" s="547" t="s">
        <v>3286</v>
      </c>
      <c r="C220" s="547" t="s">
        <v>265</v>
      </c>
      <c r="D220" s="547" t="s">
        <v>3281</v>
      </c>
      <c r="E220" s="673">
        <v>40275</v>
      </c>
    </row>
    <row r="221" spans="1:5">
      <c r="A221" s="545" t="s">
        <v>3387</v>
      </c>
      <c r="B221" s="545" t="s">
        <v>3287</v>
      </c>
      <c r="C221" s="545" t="s">
        <v>265</v>
      </c>
      <c r="D221" s="545" t="s">
        <v>3281</v>
      </c>
      <c r="E221" s="672">
        <v>32220</v>
      </c>
    </row>
    <row r="222" spans="1:5">
      <c r="A222" s="547" t="s">
        <v>3398</v>
      </c>
      <c r="B222" s="547" t="s">
        <v>3284</v>
      </c>
      <c r="C222" s="547" t="s">
        <v>265</v>
      </c>
      <c r="D222" s="547" t="s">
        <v>3281</v>
      </c>
      <c r="E222" s="673">
        <v>29334</v>
      </c>
    </row>
    <row r="223" spans="1:5">
      <c r="A223" s="545" t="s">
        <v>3397</v>
      </c>
      <c r="B223" s="545" t="s">
        <v>3419</v>
      </c>
      <c r="C223" s="545" t="s">
        <v>265</v>
      </c>
      <c r="D223" s="545" t="s">
        <v>3276</v>
      </c>
      <c r="E223" s="672">
        <v>25000</v>
      </c>
    </row>
    <row r="224" spans="1:5">
      <c r="A224" s="547" t="s">
        <v>3398</v>
      </c>
      <c r="B224" s="547" t="s">
        <v>3283</v>
      </c>
      <c r="C224" s="547" t="s">
        <v>265</v>
      </c>
      <c r="D224" s="547" t="s">
        <v>3281</v>
      </c>
      <c r="E224" s="673">
        <v>23466</v>
      </c>
    </row>
    <row r="225" spans="1:5">
      <c r="A225" s="545" t="s">
        <v>3398</v>
      </c>
      <c r="B225" s="545" t="s">
        <v>3287</v>
      </c>
      <c r="C225" s="545" t="s">
        <v>265</v>
      </c>
      <c r="D225" s="545" t="s">
        <v>3281</v>
      </c>
      <c r="E225" s="672">
        <v>12936</v>
      </c>
    </row>
  </sheetData>
  <hyperlinks>
    <hyperlink ref="A1" location="Sommaire!A1" display="Sommaire!A1" xr:uid="{00000000-0004-0000-2D00-00000000000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Feuil27"/>
  <dimension ref="A1:F71"/>
  <sheetViews>
    <sheetView workbookViewId="0"/>
  </sheetViews>
  <sheetFormatPr baseColWidth="10" defaultColWidth="10" defaultRowHeight="12.5"/>
  <cols>
    <col min="1" max="1" width="2.5" style="27" bestFit="1" customWidth="1"/>
    <col min="2" max="2" width="6.6640625" style="46" customWidth="1"/>
    <col min="3" max="3" width="65" style="74" bestFit="1" customWidth="1"/>
    <col min="4" max="6" width="12.33203125" style="45" customWidth="1"/>
    <col min="7" max="16384" width="10" style="45"/>
  </cols>
  <sheetData>
    <row r="1" spans="1:6" ht="14.5">
      <c r="B1" s="560" t="s">
        <v>140</v>
      </c>
      <c r="C1" s="47"/>
    </row>
    <row r="2" spans="1:6" ht="19">
      <c r="B2" s="562" t="s">
        <v>3454</v>
      </c>
      <c r="C2" s="47"/>
    </row>
    <row r="3" spans="1:6" ht="13">
      <c r="C3" s="47"/>
    </row>
    <row r="4" spans="1:6" ht="26.5" thickBot="1">
      <c r="B4" s="75" t="s">
        <v>143</v>
      </c>
      <c r="C4" s="76" t="s">
        <v>3253</v>
      </c>
      <c r="D4" s="76" t="s">
        <v>3455</v>
      </c>
      <c r="E4" s="76" t="s">
        <v>3456</v>
      </c>
      <c r="F4" s="76" t="s">
        <v>3457</v>
      </c>
    </row>
    <row r="5" spans="1:6" ht="14" thickTop="1" thickBot="1">
      <c r="B5" s="49" t="s">
        <v>3092</v>
      </c>
      <c r="C5" s="50"/>
      <c r="D5" s="50"/>
      <c r="E5" s="50"/>
      <c r="F5" s="50"/>
    </row>
    <row r="6" spans="1:6" ht="13" thickTop="1">
      <c r="B6" s="52">
        <v>1</v>
      </c>
      <c r="C6" s="53" t="s">
        <v>3259</v>
      </c>
      <c r="D6" s="53"/>
      <c r="E6" s="53"/>
      <c r="F6" s="54"/>
    </row>
    <row r="7" spans="1:6" ht="13" thickBot="1">
      <c r="B7" s="65">
        <v>2</v>
      </c>
      <c r="C7" s="66" t="s">
        <v>3260</v>
      </c>
      <c r="D7" s="66"/>
      <c r="E7" s="66"/>
      <c r="F7" s="67"/>
    </row>
    <row r="8" spans="1:6" ht="14" thickTop="1" thickBot="1">
      <c r="B8" s="49" t="s">
        <v>3101</v>
      </c>
      <c r="C8" s="50"/>
      <c r="D8" s="50"/>
      <c r="E8" s="50"/>
      <c r="F8" s="50"/>
    </row>
    <row r="9" spans="1:6" ht="13" thickTop="1">
      <c r="A9" s="51">
        <v>3</v>
      </c>
      <c r="B9" s="52">
        <v>3</v>
      </c>
      <c r="C9" s="53" t="s">
        <v>3261</v>
      </c>
      <c r="D9" s="53" t="s">
        <v>1244</v>
      </c>
      <c r="E9" s="53"/>
      <c r="F9" s="54"/>
    </row>
    <row r="10" spans="1:6">
      <c r="A10" s="51">
        <v>4</v>
      </c>
      <c r="B10" s="55">
        <v>4</v>
      </c>
      <c r="C10" s="27" t="s">
        <v>3106</v>
      </c>
      <c r="D10" s="27" t="s">
        <v>1244</v>
      </c>
      <c r="E10" s="27"/>
      <c r="F10" s="56"/>
    </row>
    <row r="11" spans="1:6">
      <c r="A11" s="51">
        <v>5</v>
      </c>
      <c r="B11" s="57">
        <v>5</v>
      </c>
      <c r="C11" s="26" t="s">
        <v>3262</v>
      </c>
      <c r="D11" s="26" t="s">
        <v>1244</v>
      </c>
      <c r="E11" s="26"/>
      <c r="F11" s="58"/>
    </row>
    <row r="12" spans="1:6">
      <c r="A12" s="51">
        <v>6</v>
      </c>
      <c r="B12" s="55">
        <v>6</v>
      </c>
      <c r="C12" s="27" t="s">
        <v>3263</v>
      </c>
      <c r="D12" s="27" t="s">
        <v>1244</v>
      </c>
      <c r="E12" s="27"/>
      <c r="F12" s="56"/>
    </row>
    <row r="13" spans="1:6" ht="13" thickBot="1">
      <c r="A13" s="51">
        <v>7</v>
      </c>
      <c r="B13" s="59">
        <v>7</v>
      </c>
      <c r="C13" s="60" t="s">
        <v>3114</v>
      </c>
      <c r="D13" s="60" t="s">
        <v>1244</v>
      </c>
      <c r="E13" s="60"/>
      <c r="F13" s="61"/>
    </row>
    <row r="14" spans="1:6" ht="13" thickTop="1">
      <c r="A14" s="51">
        <v>8</v>
      </c>
      <c r="B14" s="62">
        <v>8</v>
      </c>
      <c r="C14" s="63" t="s">
        <v>3264</v>
      </c>
      <c r="D14" s="63" t="s">
        <v>1253</v>
      </c>
      <c r="E14" s="63"/>
      <c r="F14" s="64"/>
    </row>
    <row r="15" spans="1:6">
      <c r="A15" s="51">
        <v>9</v>
      </c>
      <c r="B15" s="57">
        <v>9</v>
      </c>
      <c r="C15" s="26" t="s">
        <v>3265</v>
      </c>
      <c r="D15" s="26" t="s">
        <v>1253</v>
      </c>
      <c r="E15" s="26"/>
      <c r="F15" s="58"/>
    </row>
    <row r="16" spans="1:6">
      <c r="A16" s="51"/>
      <c r="B16" s="55">
        <v>10</v>
      </c>
      <c r="C16" s="27" t="s">
        <v>3122</v>
      </c>
      <c r="D16" s="27" t="s">
        <v>1253</v>
      </c>
      <c r="E16" s="27"/>
      <c r="F16" s="56"/>
    </row>
    <row r="17" spans="1:6">
      <c r="A17" s="51">
        <v>11</v>
      </c>
      <c r="B17" s="57">
        <v>11</v>
      </c>
      <c r="C17" s="26" t="s">
        <v>3124</v>
      </c>
      <c r="D17" s="26" t="s">
        <v>1253</v>
      </c>
      <c r="E17" s="26"/>
      <c r="F17" s="58"/>
    </row>
    <row r="18" spans="1:6">
      <c r="A18" s="51">
        <v>12</v>
      </c>
      <c r="B18" s="55">
        <v>12</v>
      </c>
      <c r="C18" s="27" t="s">
        <v>3266</v>
      </c>
      <c r="D18" s="27" t="s">
        <v>1253</v>
      </c>
      <c r="E18" s="27"/>
      <c r="F18" s="56"/>
    </row>
    <row r="19" spans="1:6">
      <c r="A19" s="51">
        <v>13</v>
      </c>
      <c r="B19" s="57">
        <v>13</v>
      </c>
      <c r="C19" s="26" t="s">
        <v>3267</v>
      </c>
      <c r="D19" s="26" t="s">
        <v>1253</v>
      </c>
      <c r="E19" s="26"/>
      <c r="F19" s="58"/>
    </row>
    <row r="20" spans="1:6">
      <c r="A20" s="51">
        <v>14</v>
      </c>
      <c r="B20" s="55">
        <v>14</v>
      </c>
      <c r="C20" s="27" t="s">
        <v>3268</v>
      </c>
      <c r="D20" s="27" t="s">
        <v>1253</v>
      </c>
      <c r="E20" s="27"/>
      <c r="F20" s="56"/>
    </row>
    <row r="21" spans="1:6">
      <c r="A21" s="51">
        <v>15</v>
      </c>
      <c r="B21" s="57">
        <v>15</v>
      </c>
      <c r="C21" s="26" t="s">
        <v>3133</v>
      </c>
      <c r="D21" s="26" t="s">
        <v>1253</v>
      </c>
      <c r="E21" s="26"/>
      <c r="F21" s="58"/>
    </row>
    <row r="22" spans="1:6" ht="13" thickBot="1">
      <c r="A22" s="51">
        <v>16</v>
      </c>
      <c r="B22" s="65">
        <v>16</v>
      </c>
      <c r="C22" s="66" t="s">
        <v>3136</v>
      </c>
      <c r="D22" s="66" t="s">
        <v>1253</v>
      </c>
      <c r="E22" s="66"/>
      <c r="F22" s="67"/>
    </row>
    <row r="23" spans="1:6" ht="13" thickTop="1">
      <c r="A23" s="51">
        <v>17</v>
      </c>
      <c r="B23" s="52">
        <v>17</v>
      </c>
      <c r="C23" s="53" t="s">
        <v>3270</v>
      </c>
      <c r="D23" s="53" t="s">
        <v>3269</v>
      </c>
      <c r="E23" s="53"/>
      <c r="F23" s="54"/>
    </row>
    <row r="24" spans="1:6">
      <c r="A24" s="51">
        <v>18</v>
      </c>
      <c r="B24" s="55">
        <v>18</v>
      </c>
      <c r="C24" s="27" t="s">
        <v>3141</v>
      </c>
      <c r="D24" s="27" t="s">
        <v>3269</v>
      </c>
      <c r="E24" s="27"/>
      <c r="F24" s="56"/>
    </row>
    <row r="25" spans="1:6">
      <c r="A25" s="51">
        <v>19</v>
      </c>
      <c r="B25" s="57">
        <v>19</v>
      </c>
      <c r="C25" s="26" t="s">
        <v>3144</v>
      </c>
      <c r="D25" s="26" t="s">
        <v>3269</v>
      </c>
      <c r="E25" s="26"/>
      <c r="F25" s="58"/>
    </row>
    <row r="26" spans="1:6">
      <c r="A26" s="51">
        <v>20</v>
      </c>
      <c r="B26" s="55">
        <v>20</v>
      </c>
      <c r="C26" s="27" t="s">
        <v>3147</v>
      </c>
      <c r="D26" s="27" t="s">
        <v>3269</v>
      </c>
      <c r="E26" s="27"/>
      <c r="F26" s="56"/>
    </row>
    <row r="27" spans="1:6">
      <c r="A27" s="51">
        <v>21</v>
      </c>
      <c r="B27" s="57">
        <v>21</v>
      </c>
      <c r="C27" s="26" t="s">
        <v>3271</v>
      </c>
      <c r="D27" s="26" t="s">
        <v>3269</v>
      </c>
      <c r="E27" s="26"/>
      <c r="F27" s="58"/>
    </row>
    <row r="28" spans="1:6">
      <c r="A28" s="51">
        <v>22</v>
      </c>
      <c r="B28" s="55">
        <v>22</v>
      </c>
      <c r="C28" s="27" t="s">
        <v>3272</v>
      </c>
      <c r="D28" s="27" t="s">
        <v>3269</v>
      </c>
      <c r="E28" s="27"/>
      <c r="F28" s="56"/>
    </row>
    <row r="29" spans="1:6">
      <c r="A29" s="51">
        <v>23</v>
      </c>
      <c r="B29" s="57">
        <v>23</v>
      </c>
      <c r="C29" s="26" t="s">
        <v>3273</v>
      </c>
      <c r="D29" s="26" t="s">
        <v>3269</v>
      </c>
      <c r="E29" s="26"/>
      <c r="F29" s="58"/>
    </row>
    <row r="30" spans="1:6">
      <c r="A30" s="51">
        <v>24</v>
      </c>
      <c r="B30" s="55">
        <v>24</v>
      </c>
      <c r="C30" s="27" t="s">
        <v>3158</v>
      </c>
      <c r="D30" s="27" t="s">
        <v>3269</v>
      </c>
      <c r="E30" s="27"/>
      <c r="F30" s="56"/>
    </row>
    <row r="31" spans="1:6" s="44" customFormat="1">
      <c r="A31" s="51">
        <v>25</v>
      </c>
      <c r="B31" s="57">
        <v>25</v>
      </c>
      <c r="C31" s="26" t="s">
        <v>3274</v>
      </c>
      <c r="D31" s="26" t="s">
        <v>3269</v>
      </c>
      <c r="E31" s="26"/>
      <c r="F31" s="58"/>
    </row>
    <row r="32" spans="1:6" ht="13" thickBot="1">
      <c r="A32" s="51">
        <v>26</v>
      </c>
      <c r="B32" s="65">
        <v>26</v>
      </c>
      <c r="C32" s="66" t="s">
        <v>3275</v>
      </c>
      <c r="D32" s="66" t="s">
        <v>3269</v>
      </c>
      <c r="E32" s="66"/>
      <c r="F32" s="67"/>
    </row>
    <row r="33" spans="1:6" ht="13" thickTop="1">
      <c r="A33" s="51">
        <v>27</v>
      </c>
      <c r="B33" s="52">
        <v>27</v>
      </c>
      <c r="C33" s="53" t="s">
        <v>3164</v>
      </c>
      <c r="D33" s="53" t="s">
        <v>3276</v>
      </c>
      <c r="E33" s="53"/>
      <c r="F33" s="54"/>
    </row>
    <row r="34" spans="1:6">
      <c r="A34" s="51">
        <v>28</v>
      </c>
      <c r="B34" s="55">
        <v>28</v>
      </c>
      <c r="C34" s="27" t="s">
        <v>3167</v>
      </c>
      <c r="D34" s="27" t="s">
        <v>3276</v>
      </c>
      <c r="E34" s="27"/>
      <c r="F34" s="56"/>
    </row>
    <row r="35" spans="1:6">
      <c r="A35" s="51">
        <v>29</v>
      </c>
      <c r="B35" s="57">
        <v>29</v>
      </c>
      <c r="C35" s="26" t="s">
        <v>3170</v>
      </c>
      <c r="D35" s="26" t="s">
        <v>3276</v>
      </c>
      <c r="E35" s="26"/>
      <c r="F35" s="58"/>
    </row>
    <row r="36" spans="1:6">
      <c r="A36" s="51">
        <v>30</v>
      </c>
      <c r="B36" s="55">
        <v>30</v>
      </c>
      <c r="C36" s="27" t="s">
        <v>3173</v>
      </c>
      <c r="D36" s="27" t="s">
        <v>3276</v>
      </c>
      <c r="E36" s="27"/>
      <c r="F36" s="56"/>
    </row>
    <row r="37" spans="1:6">
      <c r="A37" s="51">
        <v>31</v>
      </c>
      <c r="B37" s="57">
        <v>31</v>
      </c>
      <c r="C37" s="26" t="s">
        <v>3176</v>
      </c>
      <c r="D37" s="26" t="s">
        <v>3276</v>
      </c>
      <c r="E37" s="26"/>
      <c r="F37" s="58"/>
    </row>
    <row r="38" spans="1:6">
      <c r="A38" s="51">
        <v>32</v>
      </c>
      <c r="B38" s="55">
        <v>32</v>
      </c>
      <c r="C38" s="27" t="s">
        <v>3178</v>
      </c>
      <c r="D38" s="27" t="s">
        <v>3276</v>
      </c>
      <c r="E38" s="27"/>
      <c r="F38" s="56"/>
    </row>
    <row r="39" spans="1:6">
      <c r="A39" s="51">
        <v>33</v>
      </c>
      <c r="B39" s="57">
        <v>33</v>
      </c>
      <c r="C39" s="26" t="s">
        <v>3181</v>
      </c>
      <c r="D39" s="26" t="s">
        <v>3276</v>
      </c>
      <c r="E39" s="26"/>
      <c r="F39" s="58"/>
    </row>
    <row r="40" spans="1:6">
      <c r="A40" s="51">
        <v>34</v>
      </c>
      <c r="B40" s="55">
        <v>34</v>
      </c>
      <c r="C40" s="27" t="s">
        <v>3184</v>
      </c>
      <c r="D40" s="27" t="s">
        <v>3276</v>
      </c>
      <c r="E40" s="27"/>
      <c r="F40" s="56"/>
    </row>
    <row r="41" spans="1:6">
      <c r="A41" s="51">
        <v>35</v>
      </c>
      <c r="B41" s="57">
        <v>35</v>
      </c>
      <c r="C41" s="26" t="s">
        <v>3186</v>
      </c>
      <c r="D41" s="26" t="s">
        <v>3276</v>
      </c>
      <c r="E41" s="26"/>
      <c r="F41" s="58"/>
    </row>
    <row r="42" spans="1:6">
      <c r="A42" s="51">
        <v>36</v>
      </c>
      <c r="B42" s="55">
        <v>36</v>
      </c>
      <c r="C42" s="27" t="s">
        <v>3189</v>
      </c>
      <c r="D42" s="27" t="s">
        <v>3276</v>
      </c>
      <c r="E42" s="27"/>
      <c r="F42" s="56"/>
    </row>
    <row r="43" spans="1:6">
      <c r="A43" s="51">
        <v>37</v>
      </c>
      <c r="B43" s="57">
        <v>37</v>
      </c>
      <c r="C43" s="26" t="s">
        <v>3277</v>
      </c>
      <c r="D43" s="26" t="s">
        <v>3276</v>
      </c>
      <c r="E43" s="26"/>
      <c r="F43" s="58"/>
    </row>
    <row r="44" spans="1:6">
      <c r="A44" s="51">
        <v>38</v>
      </c>
      <c r="B44" s="55">
        <v>38</v>
      </c>
      <c r="C44" s="27" t="s">
        <v>3278</v>
      </c>
      <c r="D44" s="27" t="s">
        <v>3276</v>
      </c>
      <c r="E44" s="27"/>
      <c r="F44" s="56"/>
    </row>
    <row r="45" spans="1:6">
      <c r="A45" s="51">
        <v>39</v>
      </c>
      <c r="B45" s="57">
        <v>39</v>
      </c>
      <c r="C45" s="26" t="s">
        <v>3195</v>
      </c>
      <c r="D45" s="26" t="s">
        <v>3276</v>
      </c>
      <c r="E45" s="26"/>
      <c r="F45" s="58"/>
    </row>
    <row r="46" spans="1:6">
      <c r="A46" s="51">
        <v>40</v>
      </c>
      <c r="B46" s="55">
        <v>40</v>
      </c>
      <c r="C46" s="27" t="s">
        <v>3198</v>
      </c>
      <c r="D46" s="27" t="s">
        <v>3276</v>
      </c>
      <c r="E46" s="27"/>
      <c r="F46" s="56"/>
    </row>
    <row r="47" spans="1:6">
      <c r="A47" s="51">
        <v>41</v>
      </c>
      <c r="B47" s="57">
        <v>41</v>
      </c>
      <c r="C47" s="26" t="s">
        <v>3279</v>
      </c>
      <c r="D47" s="26" t="s">
        <v>3276</v>
      </c>
      <c r="E47" s="26"/>
      <c r="F47" s="58"/>
    </row>
    <row r="48" spans="1:6" ht="13" thickBot="1">
      <c r="A48" s="51"/>
      <c r="B48" s="65">
        <v>42</v>
      </c>
      <c r="C48" s="66" t="s">
        <v>3280</v>
      </c>
      <c r="D48" s="66" t="s">
        <v>3276</v>
      </c>
      <c r="E48" s="66"/>
      <c r="F48" s="67"/>
    </row>
    <row r="49" spans="1:6" ht="13" thickTop="1">
      <c r="A49" s="51">
        <v>43</v>
      </c>
      <c r="B49" s="52">
        <v>43</v>
      </c>
      <c r="C49" s="53" t="s">
        <v>3282</v>
      </c>
      <c r="D49" s="53" t="s">
        <v>3281</v>
      </c>
      <c r="E49" s="53"/>
      <c r="F49" s="54"/>
    </row>
    <row r="50" spans="1:6">
      <c r="A50" s="51">
        <v>44</v>
      </c>
      <c r="B50" s="55">
        <v>44</v>
      </c>
      <c r="C50" s="27" t="s">
        <v>3283</v>
      </c>
      <c r="D50" s="27" t="s">
        <v>3281</v>
      </c>
      <c r="E50" s="27"/>
      <c r="F50" s="56"/>
    </row>
    <row r="51" spans="1:6">
      <c r="A51" s="51"/>
      <c r="B51" s="57">
        <v>45</v>
      </c>
      <c r="C51" s="26" t="s">
        <v>3284</v>
      </c>
      <c r="D51" s="26" t="s">
        <v>3281</v>
      </c>
      <c r="E51" s="26"/>
      <c r="F51" s="58"/>
    </row>
    <row r="52" spans="1:6">
      <c r="A52" s="51"/>
      <c r="B52" s="55">
        <v>46</v>
      </c>
      <c r="C52" s="27" t="s">
        <v>3285</v>
      </c>
      <c r="D52" s="27" t="s">
        <v>3281</v>
      </c>
      <c r="E52" s="27"/>
      <c r="F52" s="56"/>
    </row>
    <row r="53" spans="1:6">
      <c r="A53" s="51"/>
      <c r="B53" s="57">
        <v>47</v>
      </c>
      <c r="C53" s="26" t="s">
        <v>3286</v>
      </c>
      <c r="D53" s="26" t="s">
        <v>3281</v>
      </c>
      <c r="E53" s="26"/>
      <c r="F53" s="58"/>
    </row>
    <row r="54" spans="1:6">
      <c r="A54" s="51"/>
      <c r="B54" s="55">
        <v>48</v>
      </c>
      <c r="C54" s="27" t="s">
        <v>3287</v>
      </c>
      <c r="D54" s="27" t="s">
        <v>3281</v>
      </c>
      <c r="E54" s="27"/>
      <c r="F54" s="56"/>
    </row>
    <row r="55" spans="1:6">
      <c r="A55" s="51"/>
      <c r="B55" s="57">
        <v>49</v>
      </c>
      <c r="C55" s="26" t="s">
        <v>3288</v>
      </c>
      <c r="D55" s="26" t="s">
        <v>3281</v>
      </c>
      <c r="E55" s="26"/>
      <c r="F55" s="58"/>
    </row>
    <row r="56" spans="1:6">
      <c r="A56" s="51"/>
      <c r="B56" s="55">
        <v>50</v>
      </c>
      <c r="C56" s="27" t="s">
        <v>3289</v>
      </c>
      <c r="D56" s="27" t="s">
        <v>3281</v>
      </c>
      <c r="E56" s="27"/>
      <c r="F56" s="56"/>
    </row>
    <row r="57" spans="1:6" ht="13" thickBot="1">
      <c r="A57" s="51"/>
      <c r="B57" s="59">
        <v>51</v>
      </c>
      <c r="C57" s="60" t="s">
        <v>3218</v>
      </c>
      <c r="D57" s="60" t="s">
        <v>3281</v>
      </c>
      <c r="E57" s="60"/>
      <c r="F57" s="61"/>
    </row>
    <row r="58" spans="1:6" ht="13" thickTop="1">
      <c r="A58" s="51">
        <v>52</v>
      </c>
      <c r="B58" s="62">
        <v>52</v>
      </c>
      <c r="C58" s="63" t="s">
        <v>3222</v>
      </c>
      <c r="D58" s="63" t="s">
        <v>3290</v>
      </c>
      <c r="E58" s="63"/>
      <c r="F58" s="64"/>
    </row>
    <row r="59" spans="1:6">
      <c r="A59" s="51">
        <v>53</v>
      </c>
      <c r="B59" s="57">
        <v>53</v>
      </c>
      <c r="C59" s="26" t="s">
        <v>3225</v>
      </c>
      <c r="D59" s="26" t="s">
        <v>3290</v>
      </c>
      <c r="E59" s="26"/>
      <c r="F59" s="58"/>
    </row>
    <row r="60" spans="1:6" ht="13" thickBot="1">
      <c r="A60" s="51">
        <v>54</v>
      </c>
      <c r="B60" s="65">
        <v>54</v>
      </c>
      <c r="C60" s="66" t="s">
        <v>3291</v>
      </c>
      <c r="D60" s="66" t="s">
        <v>3290</v>
      </c>
      <c r="E60" s="66"/>
      <c r="F60" s="67"/>
    </row>
    <row r="61" spans="1:6" ht="13" thickTop="1">
      <c r="A61" s="51"/>
      <c r="B61" s="52">
        <v>55</v>
      </c>
      <c r="C61" s="53" t="s">
        <v>3231</v>
      </c>
      <c r="D61" s="53" t="s">
        <v>3292</v>
      </c>
      <c r="E61" s="53"/>
      <c r="F61" s="54"/>
    </row>
    <row r="62" spans="1:6" ht="13" thickBot="1">
      <c r="A62" s="51"/>
      <c r="B62" s="65">
        <v>56</v>
      </c>
      <c r="C62" s="66" t="s">
        <v>3293</v>
      </c>
      <c r="D62" s="66" t="s">
        <v>3292</v>
      </c>
      <c r="E62" s="66"/>
      <c r="F62" s="67"/>
    </row>
    <row r="63" spans="1:6" ht="13.5" thickTop="1" thickBot="1">
      <c r="A63" s="51">
        <v>57</v>
      </c>
      <c r="B63" s="68">
        <v>57</v>
      </c>
      <c r="C63" s="69" t="s">
        <v>3294</v>
      </c>
      <c r="D63" s="69" t="s">
        <v>340</v>
      </c>
      <c r="E63" s="69"/>
      <c r="F63" s="70"/>
    </row>
    <row r="64" spans="1:6" ht="13.5" thickTop="1" thickBot="1">
      <c r="A64" s="51">
        <v>58</v>
      </c>
      <c r="B64" s="71">
        <v>58</v>
      </c>
      <c r="C64" s="72" t="s">
        <v>3296</v>
      </c>
      <c r="D64" s="72" t="s">
        <v>3295</v>
      </c>
      <c r="E64" s="72"/>
      <c r="F64" s="73"/>
    </row>
    <row r="65" spans="1:6" ht="13.5" thickTop="1" thickBot="1">
      <c r="A65" s="51"/>
      <c r="B65" s="68">
        <v>59</v>
      </c>
      <c r="C65" s="69" t="s">
        <v>3298</v>
      </c>
      <c r="D65" s="69" t="s">
        <v>3297</v>
      </c>
      <c r="E65" s="69"/>
      <c r="F65" s="70"/>
    </row>
    <row r="66" spans="1:6" ht="13.5" thickTop="1" thickBot="1">
      <c r="A66" s="51">
        <v>60</v>
      </c>
      <c r="B66" s="71">
        <v>60</v>
      </c>
      <c r="C66" s="72" t="s">
        <v>3300</v>
      </c>
      <c r="D66" s="72" t="s">
        <v>3299</v>
      </c>
      <c r="E66" s="72"/>
      <c r="F66" s="73"/>
    </row>
    <row r="67" spans="1:6" ht="13.5" thickTop="1" thickBot="1">
      <c r="B67" s="68">
        <v>61</v>
      </c>
      <c r="C67" s="69" t="s">
        <v>3302</v>
      </c>
      <c r="D67" s="69" t="s">
        <v>3458</v>
      </c>
      <c r="E67" s="69"/>
      <c r="F67" s="70"/>
    </row>
    <row r="68" spans="1:6" ht="13" thickTop="1">
      <c r="B68" s="62">
        <v>62</v>
      </c>
      <c r="C68" s="63" t="s">
        <v>13</v>
      </c>
      <c r="D68" s="63" t="s">
        <v>3458</v>
      </c>
      <c r="E68" s="63"/>
      <c r="F68" s="64"/>
    </row>
    <row r="69" spans="1:6">
      <c r="B69" s="57">
        <v>63</v>
      </c>
      <c r="C69" s="26" t="s">
        <v>15</v>
      </c>
      <c r="D69" s="26" t="s">
        <v>3458</v>
      </c>
      <c r="E69" s="26"/>
      <c r="F69" s="58"/>
    </row>
    <row r="70" spans="1:6" ht="13" thickBot="1">
      <c r="B70" s="65">
        <v>64</v>
      </c>
      <c r="C70" s="66" t="s">
        <v>17</v>
      </c>
      <c r="D70" s="66" t="s">
        <v>3458</v>
      </c>
      <c r="E70" s="66"/>
      <c r="F70" s="67"/>
    </row>
    <row r="71" spans="1:6" ht="13" thickTop="1"/>
  </sheetData>
  <hyperlinks>
    <hyperlink ref="B1" location="Sommaire!A1" display="Sommaire!A1" xr:uid="{00000000-0004-0000-2E00-000000000000}"/>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Feuil28" filterMode="1"/>
  <dimension ref="A1:J162"/>
  <sheetViews>
    <sheetView workbookViewId="0">
      <selection activeCell="C153" sqref="A1:J162"/>
    </sheetView>
  </sheetViews>
  <sheetFormatPr baseColWidth="10" defaultColWidth="11" defaultRowHeight="12"/>
  <cols>
    <col min="1" max="1" width="6.6640625" style="215" customWidth="1"/>
    <col min="2" max="2" width="24.33203125" style="215" bestFit="1" customWidth="1"/>
    <col min="3" max="3" width="54.33203125" style="215" bestFit="1" customWidth="1"/>
    <col min="4" max="4" width="6.6640625" style="215" bestFit="1" customWidth="1"/>
    <col min="5" max="5" width="14.6640625" style="215" bestFit="1" customWidth="1"/>
    <col min="6" max="6" width="5.33203125" style="215" bestFit="1" customWidth="1"/>
    <col min="7" max="7" width="6" style="215" bestFit="1" customWidth="1"/>
    <col min="8" max="8" width="9.33203125" style="215" bestFit="1" customWidth="1"/>
    <col min="9" max="9" width="9.5" style="215" bestFit="1" customWidth="1"/>
    <col min="10" max="10" width="51.33203125" style="215" bestFit="1" customWidth="1"/>
    <col min="11" max="16384" width="11" style="215"/>
  </cols>
  <sheetData>
    <row r="1" spans="1:10" ht="14.5">
      <c r="A1" s="566" t="s">
        <v>140</v>
      </c>
    </row>
    <row r="2" spans="1:10" s="272" customFormat="1" ht="20.5">
      <c r="A2" s="562" t="s">
        <v>3459</v>
      </c>
    </row>
    <row r="4" spans="1:10" ht="24.5" thickBot="1">
      <c r="A4" s="396" t="s">
        <v>2124</v>
      </c>
      <c r="B4" s="396" t="s">
        <v>2125</v>
      </c>
      <c r="C4" s="396" t="s">
        <v>2084</v>
      </c>
      <c r="D4" s="396" t="s">
        <v>2126</v>
      </c>
      <c r="E4" s="396" t="s">
        <v>2127</v>
      </c>
      <c r="F4" s="396" t="s">
        <v>2128</v>
      </c>
      <c r="G4" s="396" t="s">
        <v>2129</v>
      </c>
      <c r="H4" s="396" t="s">
        <v>2130</v>
      </c>
      <c r="I4" s="396" t="s">
        <v>3460</v>
      </c>
      <c r="J4" s="396" t="s">
        <v>2132</v>
      </c>
    </row>
    <row r="5" spans="1:10" ht="12.5" hidden="1" thickTop="1">
      <c r="A5" s="567">
        <v>108</v>
      </c>
      <c r="B5" s="563" t="s">
        <v>2148</v>
      </c>
      <c r="C5" s="563" t="s">
        <v>2295</v>
      </c>
      <c r="D5" s="563" t="s">
        <v>2135</v>
      </c>
      <c r="E5" s="563" t="s">
        <v>2169</v>
      </c>
      <c r="F5" s="563" t="s">
        <v>2155</v>
      </c>
      <c r="G5" s="563">
        <v>2023</v>
      </c>
      <c r="H5" s="397">
        <v>45000</v>
      </c>
      <c r="I5" s="397">
        <v>46826</v>
      </c>
      <c r="J5" s="563" t="s">
        <v>2296</v>
      </c>
    </row>
    <row r="6" spans="1:10" ht="12.5" hidden="1" thickTop="1">
      <c r="A6" s="568">
        <v>109</v>
      </c>
      <c r="B6" s="564" t="s">
        <v>2148</v>
      </c>
      <c r="C6" s="564" t="s">
        <v>2215</v>
      </c>
      <c r="D6" s="564" t="s">
        <v>2135</v>
      </c>
      <c r="E6" s="564" t="s">
        <v>2216</v>
      </c>
      <c r="F6" s="564" t="s">
        <v>2155</v>
      </c>
      <c r="G6" s="564">
        <v>2023</v>
      </c>
      <c r="H6" s="398">
        <v>45034</v>
      </c>
      <c r="I6" s="398">
        <v>46860</v>
      </c>
      <c r="J6" s="564" t="s">
        <v>2242</v>
      </c>
    </row>
    <row r="7" spans="1:10" ht="12.5" hidden="1" thickTop="1">
      <c r="A7" s="569">
        <v>110</v>
      </c>
      <c r="B7" s="565" t="s">
        <v>2148</v>
      </c>
      <c r="C7" s="565" t="s">
        <v>2215</v>
      </c>
      <c r="D7" s="565" t="s">
        <v>2135</v>
      </c>
      <c r="E7" s="565" t="s">
        <v>2136</v>
      </c>
      <c r="F7" s="565" t="s">
        <v>2155</v>
      </c>
      <c r="G7" s="565">
        <v>2023</v>
      </c>
      <c r="H7" s="399">
        <v>45034</v>
      </c>
      <c r="I7" s="399">
        <v>46860</v>
      </c>
      <c r="J7" s="565" t="s">
        <v>2148</v>
      </c>
    </row>
    <row r="8" spans="1:10" ht="12.5" hidden="1" thickTop="1">
      <c r="A8" s="568">
        <v>111</v>
      </c>
      <c r="B8" s="564" t="s">
        <v>2148</v>
      </c>
      <c r="C8" s="564" t="s">
        <v>2215</v>
      </c>
      <c r="D8" s="564" t="s">
        <v>2135</v>
      </c>
      <c r="E8" s="564" t="s">
        <v>2136</v>
      </c>
      <c r="F8" s="564" t="s">
        <v>2155</v>
      </c>
      <c r="G8" s="564">
        <v>2023</v>
      </c>
      <c r="H8" s="398">
        <v>45040</v>
      </c>
      <c r="I8" s="398">
        <v>46866</v>
      </c>
      <c r="J8" s="564" t="s">
        <v>2245</v>
      </c>
    </row>
    <row r="9" spans="1:10" ht="12.5" hidden="1" thickTop="1">
      <c r="A9" s="569">
        <v>112</v>
      </c>
      <c r="B9" s="565" t="s">
        <v>2148</v>
      </c>
      <c r="C9" s="565" t="s">
        <v>2297</v>
      </c>
      <c r="D9" s="565" t="s">
        <v>2135</v>
      </c>
      <c r="E9" s="565" t="s">
        <v>2153</v>
      </c>
      <c r="F9" s="565" t="s">
        <v>2155</v>
      </c>
      <c r="G9" s="565">
        <v>2023</v>
      </c>
      <c r="H9" s="399">
        <v>45054</v>
      </c>
      <c r="I9" s="399">
        <v>46880</v>
      </c>
      <c r="J9" s="565" t="s">
        <v>2150</v>
      </c>
    </row>
    <row r="10" spans="1:10" ht="12.5" hidden="1" thickTop="1">
      <c r="A10" s="568">
        <v>113</v>
      </c>
      <c r="B10" s="564" t="s">
        <v>2148</v>
      </c>
      <c r="C10" s="564" t="s">
        <v>2298</v>
      </c>
      <c r="D10" s="564" t="s">
        <v>2135</v>
      </c>
      <c r="E10" s="564" t="s">
        <v>2169</v>
      </c>
      <c r="F10" s="564" t="s">
        <v>2155</v>
      </c>
      <c r="G10" s="564">
        <v>2023</v>
      </c>
      <c r="H10" s="398">
        <v>45065</v>
      </c>
      <c r="I10" s="398">
        <v>46891</v>
      </c>
      <c r="J10" s="564" t="s">
        <v>2299</v>
      </c>
    </row>
    <row r="11" spans="1:10" ht="12.5" hidden="1" thickTop="1">
      <c r="A11" s="569">
        <v>114</v>
      </c>
      <c r="B11" s="565" t="s">
        <v>2148</v>
      </c>
      <c r="C11" s="565" t="s">
        <v>2300</v>
      </c>
      <c r="D11" s="565" t="s">
        <v>2135</v>
      </c>
      <c r="E11" s="565" t="s">
        <v>2263</v>
      </c>
      <c r="F11" s="565" t="s">
        <v>2155</v>
      </c>
      <c r="G11" s="565">
        <v>2023</v>
      </c>
      <c r="H11" s="399">
        <v>45090</v>
      </c>
      <c r="I11" s="399">
        <v>46916</v>
      </c>
      <c r="J11" s="565" t="s">
        <v>2148</v>
      </c>
    </row>
    <row r="12" spans="1:10" ht="12.5" hidden="1" thickTop="1">
      <c r="A12" s="568">
        <v>115</v>
      </c>
      <c r="B12" s="564" t="s">
        <v>2148</v>
      </c>
      <c r="C12" s="564" t="s">
        <v>2301</v>
      </c>
      <c r="D12" s="564" t="s">
        <v>2135</v>
      </c>
      <c r="E12" s="564" t="s">
        <v>2136</v>
      </c>
      <c r="F12" s="564" t="s">
        <v>2155</v>
      </c>
      <c r="G12" s="564">
        <v>2023</v>
      </c>
      <c r="H12" s="398">
        <v>45103</v>
      </c>
      <c r="I12" s="398">
        <v>46929</v>
      </c>
      <c r="J12" s="564" t="s">
        <v>2245</v>
      </c>
    </row>
    <row r="13" spans="1:10" ht="12.5" hidden="1" thickTop="1">
      <c r="A13" s="569">
        <v>116</v>
      </c>
      <c r="B13" s="565" t="s">
        <v>2148</v>
      </c>
      <c r="C13" s="565" t="s">
        <v>2302</v>
      </c>
      <c r="D13" s="565" t="s">
        <v>2135</v>
      </c>
      <c r="E13" s="565" t="s">
        <v>2136</v>
      </c>
      <c r="F13" s="565" t="s">
        <v>2155</v>
      </c>
      <c r="G13" s="565">
        <v>2023</v>
      </c>
      <c r="H13" s="399">
        <v>45104</v>
      </c>
      <c r="I13" s="399">
        <v>46930</v>
      </c>
      <c r="J13" s="565" t="s">
        <v>2303</v>
      </c>
    </row>
    <row r="14" spans="1:10" ht="12.5" hidden="1" thickTop="1">
      <c r="A14" s="568">
        <v>119</v>
      </c>
      <c r="B14" s="564" t="s">
        <v>2148</v>
      </c>
      <c r="C14" s="564" t="s">
        <v>2305</v>
      </c>
      <c r="D14" s="564" t="s">
        <v>2135</v>
      </c>
      <c r="E14" s="564" t="s">
        <v>2169</v>
      </c>
      <c r="F14" s="564" t="s">
        <v>2155</v>
      </c>
      <c r="G14" s="564">
        <v>2023</v>
      </c>
      <c r="H14" s="398">
        <v>45169</v>
      </c>
      <c r="I14" s="398">
        <v>46995</v>
      </c>
      <c r="J14" s="564" t="s">
        <v>2150</v>
      </c>
    </row>
    <row r="15" spans="1:10" ht="12.5" hidden="1" thickTop="1">
      <c r="A15" s="569">
        <v>120</v>
      </c>
      <c r="B15" s="565" t="s">
        <v>2148</v>
      </c>
      <c r="C15" s="565" t="s">
        <v>2273</v>
      </c>
      <c r="D15" s="565" t="s">
        <v>2135</v>
      </c>
      <c r="E15" s="565" t="s">
        <v>2169</v>
      </c>
      <c r="F15" s="565" t="s">
        <v>2155</v>
      </c>
      <c r="G15" s="565">
        <v>2023</v>
      </c>
      <c r="H15" s="399">
        <v>45184</v>
      </c>
      <c r="I15" s="399">
        <v>47010</v>
      </c>
      <c r="J15" s="565" t="s">
        <v>2306</v>
      </c>
    </row>
    <row r="16" spans="1:10" ht="12.5" hidden="1" thickTop="1">
      <c r="A16" s="568">
        <v>121</v>
      </c>
      <c r="B16" s="564" t="s">
        <v>2148</v>
      </c>
      <c r="C16" s="564" t="s">
        <v>2307</v>
      </c>
      <c r="D16" s="564" t="s">
        <v>2135</v>
      </c>
      <c r="E16" s="564" t="s">
        <v>2169</v>
      </c>
      <c r="F16" s="564" t="s">
        <v>2155</v>
      </c>
      <c r="G16" s="564">
        <v>2023</v>
      </c>
      <c r="H16" s="398">
        <v>45184</v>
      </c>
      <c r="I16" s="398">
        <v>47010</v>
      </c>
      <c r="J16" s="564" t="s">
        <v>2306</v>
      </c>
    </row>
    <row r="17" spans="1:10" ht="12.5" hidden="1" thickTop="1">
      <c r="A17" s="569">
        <v>122</v>
      </c>
      <c r="B17" s="565" t="s">
        <v>2148</v>
      </c>
      <c r="C17" s="565" t="s">
        <v>2302</v>
      </c>
      <c r="D17" s="565" t="s">
        <v>2135</v>
      </c>
      <c r="E17" s="565" t="s">
        <v>2136</v>
      </c>
      <c r="F17" s="565" t="s">
        <v>2155</v>
      </c>
      <c r="G17" s="565">
        <v>2023</v>
      </c>
      <c r="H17" s="399">
        <v>45196</v>
      </c>
      <c r="I17" s="399">
        <v>47022</v>
      </c>
      <c r="J17" s="565" t="s">
        <v>2142</v>
      </c>
    </row>
    <row r="18" spans="1:10" ht="12.5" hidden="1" thickTop="1">
      <c r="A18" s="568">
        <v>123</v>
      </c>
      <c r="B18" s="564" t="s">
        <v>2148</v>
      </c>
      <c r="C18" s="564" t="s">
        <v>2264</v>
      </c>
      <c r="D18" s="564" t="s">
        <v>2135</v>
      </c>
      <c r="E18" s="564" t="s">
        <v>2169</v>
      </c>
      <c r="F18" s="564" t="s">
        <v>2155</v>
      </c>
      <c r="G18" s="564">
        <v>2023</v>
      </c>
      <c r="H18" s="398">
        <v>45267</v>
      </c>
      <c r="I18" s="398">
        <v>47093</v>
      </c>
      <c r="J18" s="564" t="s">
        <v>2299</v>
      </c>
    </row>
    <row r="19" spans="1:10" ht="12.5" hidden="1" thickTop="1">
      <c r="A19" s="569">
        <v>124</v>
      </c>
      <c r="B19" s="565" t="s">
        <v>2308</v>
      </c>
      <c r="C19" s="565" t="s">
        <v>2309</v>
      </c>
      <c r="D19" s="565" t="s">
        <v>2135</v>
      </c>
      <c r="E19" s="565" t="s">
        <v>2169</v>
      </c>
      <c r="F19" s="565" t="s">
        <v>2155</v>
      </c>
      <c r="G19" s="565">
        <v>2023</v>
      </c>
      <c r="H19" s="399">
        <v>45287</v>
      </c>
      <c r="I19" s="399">
        <v>47113</v>
      </c>
      <c r="J19" s="565" t="s">
        <v>2306</v>
      </c>
    </row>
    <row r="20" spans="1:10" ht="12.5" hidden="1" thickTop="1">
      <c r="A20" s="568">
        <v>161</v>
      </c>
      <c r="B20" s="564" t="s">
        <v>2148</v>
      </c>
      <c r="C20" s="564" t="s">
        <v>2370</v>
      </c>
      <c r="D20" s="564" t="s">
        <v>2315</v>
      </c>
      <c r="E20" s="564" t="s">
        <v>2141</v>
      </c>
      <c r="F20" s="564" t="s">
        <v>2155</v>
      </c>
      <c r="G20" s="564">
        <v>2023</v>
      </c>
      <c r="H20" s="398">
        <v>44930</v>
      </c>
      <c r="I20" s="398">
        <v>45294</v>
      </c>
      <c r="J20" s="564" t="s">
        <v>2158</v>
      </c>
    </row>
    <row r="21" spans="1:10" ht="12.5" hidden="1" thickTop="1">
      <c r="A21" s="569">
        <v>164</v>
      </c>
      <c r="B21" s="565" t="s">
        <v>2375</v>
      </c>
      <c r="C21" s="565" t="s">
        <v>2376</v>
      </c>
      <c r="D21" s="565" t="s">
        <v>2315</v>
      </c>
      <c r="E21" s="565" t="s">
        <v>2324</v>
      </c>
      <c r="F21" s="565" t="s">
        <v>2155</v>
      </c>
      <c r="G21" s="565">
        <v>2023</v>
      </c>
      <c r="H21" s="399">
        <v>44957</v>
      </c>
      <c r="I21" s="399">
        <v>45321</v>
      </c>
      <c r="J21" s="565" t="s">
        <v>2190</v>
      </c>
    </row>
    <row r="22" spans="1:10" ht="12.5" hidden="1" thickTop="1">
      <c r="A22" s="568">
        <v>166</v>
      </c>
      <c r="B22" s="564" t="s">
        <v>2378</v>
      </c>
      <c r="C22" s="564" t="s">
        <v>2379</v>
      </c>
      <c r="D22" s="564" t="s">
        <v>2315</v>
      </c>
      <c r="E22" s="564" t="s">
        <v>2324</v>
      </c>
      <c r="F22" s="564" t="s">
        <v>2155</v>
      </c>
      <c r="G22" s="564">
        <v>2023</v>
      </c>
      <c r="H22" s="398">
        <v>44971</v>
      </c>
      <c r="I22" s="398">
        <v>45335</v>
      </c>
      <c r="J22" s="564" t="s">
        <v>2325</v>
      </c>
    </row>
    <row r="23" spans="1:10" ht="12.5" hidden="1" thickTop="1">
      <c r="A23" s="569">
        <v>167</v>
      </c>
      <c r="B23" s="565" t="s">
        <v>2348</v>
      </c>
      <c r="C23" s="565" t="s">
        <v>2380</v>
      </c>
      <c r="D23" s="565" t="s">
        <v>2315</v>
      </c>
      <c r="E23" s="565" t="s">
        <v>2324</v>
      </c>
      <c r="F23" s="565" t="s">
        <v>2155</v>
      </c>
      <c r="G23" s="565">
        <v>2023</v>
      </c>
      <c r="H23" s="399">
        <v>44973</v>
      </c>
      <c r="I23" s="399">
        <v>45337</v>
      </c>
      <c r="J23" s="565" t="s">
        <v>2325</v>
      </c>
    </row>
    <row r="24" spans="1:10" ht="12.5" hidden="1" thickTop="1">
      <c r="A24" s="568">
        <v>168</v>
      </c>
      <c r="B24" s="564" t="s">
        <v>2148</v>
      </c>
      <c r="C24" s="564" t="s">
        <v>2381</v>
      </c>
      <c r="D24" s="564" t="s">
        <v>2315</v>
      </c>
      <c r="E24" s="564" t="s">
        <v>2324</v>
      </c>
      <c r="F24" s="564" t="s">
        <v>2155</v>
      </c>
      <c r="G24" s="564">
        <v>2023</v>
      </c>
      <c r="H24" s="398">
        <v>44980</v>
      </c>
      <c r="I24" s="398">
        <v>45344</v>
      </c>
      <c r="J24" s="564" t="s">
        <v>2342</v>
      </c>
    </row>
    <row r="25" spans="1:10" ht="12.5" hidden="1" thickTop="1">
      <c r="A25" s="569">
        <v>170</v>
      </c>
      <c r="B25" s="565" t="s">
        <v>2383</v>
      </c>
      <c r="C25" s="565" t="s">
        <v>2384</v>
      </c>
      <c r="D25" s="565" t="s">
        <v>2315</v>
      </c>
      <c r="E25" s="565" t="s">
        <v>2324</v>
      </c>
      <c r="F25" s="565" t="s">
        <v>2155</v>
      </c>
      <c r="G25" s="565">
        <v>2023</v>
      </c>
      <c r="H25" s="399">
        <v>44994</v>
      </c>
      <c r="I25" s="399">
        <v>45359</v>
      </c>
      <c r="J25" s="565" t="s">
        <v>2385</v>
      </c>
    </row>
    <row r="26" spans="1:10" ht="12.5" hidden="1" thickTop="1">
      <c r="A26" s="568">
        <v>171</v>
      </c>
      <c r="B26" s="564" t="s">
        <v>2386</v>
      </c>
      <c r="C26" s="564" t="s">
        <v>2384</v>
      </c>
      <c r="D26" s="564" t="s">
        <v>2315</v>
      </c>
      <c r="E26" s="564" t="s">
        <v>2324</v>
      </c>
      <c r="F26" s="564" t="s">
        <v>2155</v>
      </c>
      <c r="G26" s="564">
        <v>2023</v>
      </c>
      <c r="H26" s="398">
        <v>44994</v>
      </c>
      <c r="I26" s="398">
        <v>45359</v>
      </c>
      <c r="J26" s="564" t="s">
        <v>2387</v>
      </c>
    </row>
    <row r="27" spans="1:10" ht="12.5" hidden="1" thickTop="1">
      <c r="A27" s="569">
        <v>172</v>
      </c>
      <c r="B27" s="565" t="s">
        <v>2388</v>
      </c>
      <c r="C27" s="565" t="s">
        <v>2384</v>
      </c>
      <c r="D27" s="565" t="s">
        <v>2315</v>
      </c>
      <c r="E27" s="565" t="s">
        <v>2324</v>
      </c>
      <c r="F27" s="565" t="s">
        <v>2155</v>
      </c>
      <c r="G27" s="565">
        <v>2023</v>
      </c>
      <c r="H27" s="399">
        <v>44994</v>
      </c>
      <c r="I27" s="399">
        <v>45359</v>
      </c>
      <c r="J27" s="565" t="s">
        <v>2389</v>
      </c>
    </row>
    <row r="28" spans="1:10" ht="12.5" hidden="1" thickTop="1">
      <c r="A28" s="568">
        <v>173</v>
      </c>
      <c r="B28" s="564" t="s">
        <v>2350</v>
      </c>
      <c r="C28" s="564" t="s">
        <v>2390</v>
      </c>
      <c r="D28" s="564" t="s">
        <v>2315</v>
      </c>
      <c r="E28" s="564" t="s">
        <v>2324</v>
      </c>
      <c r="F28" s="564" t="s">
        <v>2155</v>
      </c>
      <c r="G28" s="564">
        <v>2023</v>
      </c>
      <c r="H28" s="398">
        <v>44994</v>
      </c>
      <c r="I28" s="398">
        <v>45359</v>
      </c>
      <c r="J28" s="564" t="s">
        <v>2325</v>
      </c>
    </row>
    <row r="29" spans="1:10" ht="12.5" hidden="1" thickTop="1">
      <c r="A29" s="569">
        <v>174</v>
      </c>
      <c r="B29" s="565" t="s">
        <v>2391</v>
      </c>
      <c r="C29" s="565" t="s">
        <v>2392</v>
      </c>
      <c r="D29" s="565" t="s">
        <v>2315</v>
      </c>
      <c r="E29" s="565" t="s">
        <v>2324</v>
      </c>
      <c r="F29" s="565" t="s">
        <v>2155</v>
      </c>
      <c r="G29" s="565">
        <v>2023</v>
      </c>
      <c r="H29" s="399">
        <v>44995</v>
      </c>
      <c r="I29" s="399">
        <v>45360</v>
      </c>
      <c r="J29" s="565" t="s">
        <v>2325</v>
      </c>
    </row>
    <row r="30" spans="1:10" ht="12.5" hidden="1" thickTop="1">
      <c r="A30" s="568">
        <v>175</v>
      </c>
      <c r="B30" s="564" t="s">
        <v>2393</v>
      </c>
      <c r="C30" s="564" t="s">
        <v>2384</v>
      </c>
      <c r="D30" s="564" t="s">
        <v>2315</v>
      </c>
      <c r="E30" s="564" t="s">
        <v>2324</v>
      </c>
      <c r="F30" s="564" t="s">
        <v>2155</v>
      </c>
      <c r="G30" s="564">
        <v>2023</v>
      </c>
      <c r="H30" s="398">
        <v>45009</v>
      </c>
      <c r="I30" s="398">
        <v>45374</v>
      </c>
      <c r="J30" s="564" t="s">
        <v>2394</v>
      </c>
    </row>
    <row r="31" spans="1:10" ht="12.5" hidden="1" thickTop="1">
      <c r="A31" s="569">
        <v>176</v>
      </c>
      <c r="B31" s="565" t="s">
        <v>2395</v>
      </c>
      <c r="C31" s="565" t="s">
        <v>2396</v>
      </c>
      <c r="D31" s="565" t="s">
        <v>2315</v>
      </c>
      <c r="E31" s="565" t="s">
        <v>2324</v>
      </c>
      <c r="F31" s="565" t="s">
        <v>2155</v>
      </c>
      <c r="G31" s="565">
        <v>2023</v>
      </c>
      <c r="H31" s="399">
        <v>45016</v>
      </c>
      <c r="I31" s="399">
        <v>45381</v>
      </c>
      <c r="J31" s="565" t="s">
        <v>2325</v>
      </c>
    </row>
    <row r="32" spans="1:10" ht="12.5" hidden="1" thickTop="1">
      <c r="A32" s="568">
        <v>178</v>
      </c>
      <c r="B32" s="564" t="s">
        <v>2165</v>
      </c>
      <c r="C32" s="564" t="s">
        <v>2400</v>
      </c>
      <c r="D32" s="564" t="s">
        <v>2315</v>
      </c>
      <c r="E32" s="564" t="s">
        <v>2216</v>
      </c>
      <c r="F32" s="564" t="s">
        <v>2155</v>
      </c>
      <c r="G32" s="564">
        <v>2023</v>
      </c>
      <c r="H32" s="398">
        <v>45028</v>
      </c>
      <c r="I32" s="398">
        <v>45393</v>
      </c>
      <c r="J32" s="564" t="s">
        <v>2142</v>
      </c>
    </row>
    <row r="33" spans="1:10" ht="12.5" hidden="1" thickTop="1">
      <c r="A33" s="569">
        <v>182</v>
      </c>
      <c r="B33" s="565" t="s">
        <v>954</v>
      </c>
      <c r="C33" s="565" t="s">
        <v>2405</v>
      </c>
      <c r="D33" s="565" t="s">
        <v>2315</v>
      </c>
      <c r="E33" s="565" t="s">
        <v>2250</v>
      </c>
      <c r="F33" s="565" t="s">
        <v>2155</v>
      </c>
      <c r="G33" s="565">
        <v>2023</v>
      </c>
      <c r="H33" s="399">
        <v>45057</v>
      </c>
      <c r="I33" s="399">
        <v>45422</v>
      </c>
      <c r="J33" s="565" t="s">
        <v>2148</v>
      </c>
    </row>
    <row r="34" spans="1:10" ht="12.5" hidden="1" thickTop="1">
      <c r="A34" s="568">
        <v>183</v>
      </c>
      <c r="B34" s="564" t="s">
        <v>2406</v>
      </c>
      <c r="C34" s="564" t="s">
        <v>2407</v>
      </c>
      <c r="D34" s="564" t="s">
        <v>2315</v>
      </c>
      <c r="E34" s="564" t="s">
        <v>2324</v>
      </c>
      <c r="F34" s="564" t="s">
        <v>2155</v>
      </c>
      <c r="G34" s="564">
        <v>2023</v>
      </c>
      <c r="H34" s="398">
        <v>45063</v>
      </c>
      <c r="I34" s="398">
        <v>45428</v>
      </c>
      <c r="J34" s="564" t="s">
        <v>2408</v>
      </c>
    </row>
    <row r="35" spans="1:10" ht="12.5" hidden="1" thickTop="1">
      <c r="A35" s="569">
        <v>186</v>
      </c>
      <c r="B35" s="565" t="s">
        <v>2413</v>
      </c>
      <c r="C35" s="565" t="s">
        <v>2269</v>
      </c>
      <c r="D35" s="565" t="s">
        <v>2315</v>
      </c>
      <c r="E35" s="565" t="s">
        <v>2216</v>
      </c>
      <c r="F35" s="565" t="s">
        <v>2155</v>
      </c>
      <c r="G35" s="565">
        <v>2023</v>
      </c>
      <c r="H35" s="399">
        <v>45077</v>
      </c>
      <c r="I35" s="399">
        <v>45442</v>
      </c>
      <c r="J35" s="565" t="s">
        <v>2257</v>
      </c>
    </row>
    <row r="36" spans="1:10" ht="12.5" hidden="1" thickTop="1">
      <c r="A36" s="568">
        <v>187</v>
      </c>
      <c r="B36" s="564" t="s">
        <v>2391</v>
      </c>
      <c r="C36" s="564" t="s">
        <v>2414</v>
      </c>
      <c r="D36" s="564" t="s">
        <v>2315</v>
      </c>
      <c r="E36" s="564" t="s">
        <v>2324</v>
      </c>
      <c r="F36" s="564" t="s">
        <v>2155</v>
      </c>
      <c r="G36" s="564">
        <v>2023</v>
      </c>
      <c r="H36" s="398">
        <v>45089</v>
      </c>
      <c r="I36" s="398">
        <v>45454</v>
      </c>
      <c r="J36" s="564" t="s">
        <v>2325</v>
      </c>
    </row>
    <row r="37" spans="1:10" ht="12.5" hidden="1" thickTop="1">
      <c r="A37" s="569">
        <v>188</v>
      </c>
      <c r="B37" s="565" t="s">
        <v>2415</v>
      </c>
      <c r="C37" s="565" t="s">
        <v>2416</v>
      </c>
      <c r="D37" s="565" t="s">
        <v>2315</v>
      </c>
      <c r="E37" s="565" t="s">
        <v>2216</v>
      </c>
      <c r="F37" s="565" t="s">
        <v>2155</v>
      </c>
      <c r="G37" s="565">
        <v>2023</v>
      </c>
      <c r="H37" s="399">
        <v>45090</v>
      </c>
      <c r="I37" s="399">
        <v>45455</v>
      </c>
      <c r="J37" s="565" t="s">
        <v>2142</v>
      </c>
    </row>
    <row r="38" spans="1:10" ht="12.5" hidden="1" thickTop="1">
      <c r="A38" s="568">
        <v>189</v>
      </c>
      <c r="B38" s="564" t="s">
        <v>2313</v>
      </c>
      <c r="C38" s="564" t="s">
        <v>2417</v>
      </c>
      <c r="D38" s="564" t="s">
        <v>2315</v>
      </c>
      <c r="E38" s="564" t="s">
        <v>2216</v>
      </c>
      <c r="F38" s="564" t="s">
        <v>2155</v>
      </c>
      <c r="G38" s="564">
        <v>2023</v>
      </c>
      <c r="H38" s="398">
        <v>45090</v>
      </c>
      <c r="I38" s="398">
        <v>45455</v>
      </c>
      <c r="J38" s="564" t="s">
        <v>2142</v>
      </c>
    </row>
    <row r="39" spans="1:10" ht="12.5" hidden="1" thickTop="1">
      <c r="A39" s="569">
        <v>190</v>
      </c>
      <c r="B39" s="565" t="s">
        <v>2418</v>
      </c>
      <c r="C39" s="565" t="s">
        <v>2419</v>
      </c>
      <c r="D39" s="565" t="s">
        <v>2315</v>
      </c>
      <c r="E39" s="565" t="s">
        <v>2324</v>
      </c>
      <c r="F39" s="565" t="s">
        <v>2155</v>
      </c>
      <c r="G39" s="565">
        <v>2023</v>
      </c>
      <c r="H39" s="399">
        <v>45092</v>
      </c>
      <c r="I39" s="399">
        <v>45457</v>
      </c>
      <c r="J39" s="565" t="s">
        <v>2420</v>
      </c>
    </row>
    <row r="40" spans="1:10" ht="12.5" hidden="1" thickTop="1">
      <c r="A40" s="568">
        <v>191</v>
      </c>
      <c r="B40" s="564" t="s">
        <v>2421</v>
      </c>
      <c r="C40" s="564" t="s">
        <v>2422</v>
      </c>
      <c r="D40" s="564" t="s">
        <v>2315</v>
      </c>
      <c r="E40" s="564" t="s">
        <v>2324</v>
      </c>
      <c r="F40" s="564" t="s">
        <v>2155</v>
      </c>
      <c r="G40" s="564">
        <v>2023</v>
      </c>
      <c r="H40" s="398">
        <v>45093</v>
      </c>
      <c r="I40" s="398">
        <v>45458</v>
      </c>
      <c r="J40" s="564" t="s">
        <v>2423</v>
      </c>
    </row>
    <row r="41" spans="1:10" ht="12.5" hidden="1" thickTop="1">
      <c r="A41" s="569">
        <v>192</v>
      </c>
      <c r="B41" s="565" t="s">
        <v>2424</v>
      </c>
      <c r="C41" s="565" t="s">
        <v>2422</v>
      </c>
      <c r="D41" s="565" t="s">
        <v>2315</v>
      </c>
      <c r="E41" s="565" t="s">
        <v>2324</v>
      </c>
      <c r="F41" s="565" t="s">
        <v>2155</v>
      </c>
      <c r="G41" s="565">
        <v>2023</v>
      </c>
      <c r="H41" s="399">
        <v>45093</v>
      </c>
      <c r="I41" s="399">
        <v>45458</v>
      </c>
      <c r="J41" s="565" t="s">
        <v>2423</v>
      </c>
    </row>
    <row r="42" spans="1:10" ht="12.5" hidden="1" thickTop="1">
      <c r="A42" s="568">
        <v>193</v>
      </c>
      <c r="B42" s="564" t="s">
        <v>2425</v>
      </c>
      <c r="C42" s="564" t="s">
        <v>2426</v>
      </c>
      <c r="D42" s="564" t="s">
        <v>2315</v>
      </c>
      <c r="E42" s="564" t="s">
        <v>2324</v>
      </c>
      <c r="F42" s="564" t="s">
        <v>2155</v>
      </c>
      <c r="G42" s="564">
        <v>2023</v>
      </c>
      <c r="H42" s="398">
        <v>45099</v>
      </c>
      <c r="I42" s="398">
        <v>45464</v>
      </c>
      <c r="J42" s="564" t="s">
        <v>2192</v>
      </c>
    </row>
    <row r="43" spans="1:10" ht="12.5" hidden="1" thickTop="1">
      <c r="A43" s="569">
        <v>195</v>
      </c>
      <c r="B43" s="565" t="s">
        <v>2378</v>
      </c>
      <c r="C43" s="565" t="s">
        <v>2429</v>
      </c>
      <c r="D43" s="565" t="s">
        <v>2315</v>
      </c>
      <c r="E43" s="565" t="s">
        <v>2324</v>
      </c>
      <c r="F43" s="565" t="s">
        <v>2155</v>
      </c>
      <c r="G43" s="565">
        <v>2023</v>
      </c>
      <c r="H43" s="399">
        <v>45117</v>
      </c>
      <c r="I43" s="399">
        <v>45482</v>
      </c>
      <c r="J43" s="565" t="s">
        <v>2325</v>
      </c>
    </row>
    <row r="44" spans="1:10" ht="12.5" hidden="1" thickTop="1">
      <c r="A44" s="568">
        <v>196</v>
      </c>
      <c r="B44" s="564" t="s">
        <v>2148</v>
      </c>
      <c r="C44" s="564" t="s">
        <v>2336</v>
      </c>
      <c r="D44" s="564" t="s">
        <v>2315</v>
      </c>
      <c r="E44" s="564" t="s">
        <v>2324</v>
      </c>
      <c r="F44" s="564" t="s">
        <v>2155</v>
      </c>
      <c r="G44" s="564">
        <v>2023</v>
      </c>
      <c r="H44" s="398">
        <v>45142</v>
      </c>
      <c r="I44" s="398">
        <v>45507</v>
      </c>
      <c r="J44" s="564" t="s">
        <v>2420</v>
      </c>
    </row>
    <row r="45" spans="1:10" ht="12.5" hidden="1" thickTop="1">
      <c r="A45" s="569">
        <v>197</v>
      </c>
      <c r="B45" s="565" t="s">
        <v>2430</v>
      </c>
      <c r="C45" s="565" t="s">
        <v>2431</v>
      </c>
      <c r="D45" s="565" t="s">
        <v>2315</v>
      </c>
      <c r="E45" s="565" t="s">
        <v>2324</v>
      </c>
      <c r="F45" s="565" t="s">
        <v>2155</v>
      </c>
      <c r="G45" s="565">
        <v>2023</v>
      </c>
      <c r="H45" s="399">
        <v>45145</v>
      </c>
      <c r="I45" s="399">
        <v>45510</v>
      </c>
      <c r="J45" s="565" t="s">
        <v>2325</v>
      </c>
    </row>
    <row r="46" spans="1:10" ht="12.5" hidden="1" thickTop="1">
      <c r="A46" s="568">
        <v>198</v>
      </c>
      <c r="B46" s="564" t="s">
        <v>890</v>
      </c>
      <c r="C46" s="564" t="s">
        <v>2432</v>
      </c>
      <c r="D46" s="564" t="s">
        <v>2315</v>
      </c>
      <c r="E46" s="564" t="s">
        <v>2250</v>
      </c>
      <c r="F46" s="564" t="s">
        <v>2155</v>
      </c>
      <c r="G46" s="564">
        <v>2023</v>
      </c>
      <c r="H46" s="398">
        <v>45152</v>
      </c>
      <c r="I46" s="398">
        <v>45517</v>
      </c>
      <c r="J46" s="564" t="s">
        <v>2251</v>
      </c>
    </row>
    <row r="47" spans="1:10" ht="12.5" hidden="1" thickTop="1">
      <c r="A47" s="569">
        <v>199</v>
      </c>
      <c r="B47" s="565" t="s">
        <v>2433</v>
      </c>
      <c r="C47" s="565" t="s">
        <v>2434</v>
      </c>
      <c r="D47" s="565" t="s">
        <v>2315</v>
      </c>
      <c r="E47" s="565" t="s">
        <v>2216</v>
      </c>
      <c r="F47" s="565" t="s">
        <v>2155</v>
      </c>
      <c r="G47" s="565">
        <v>2023</v>
      </c>
      <c r="H47" s="399">
        <v>45163</v>
      </c>
      <c r="I47" s="399">
        <v>45528</v>
      </c>
      <c r="J47" s="565" t="s">
        <v>2408</v>
      </c>
    </row>
    <row r="48" spans="1:10" ht="12.5" hidden="1" thickTop="1">
      <c r="A48" s="568">
        <v>200</v>
      </c>
      <c r="B48" s="564" t="s">
        <v>2435</v>
      </c>
      <c r="C48" s="564" t="s">
        <v>2436</v>
      </c>
      <c r="D48" s="564" t="s">
        <v>2315</v>
      </c>
      <c r="E48" s="564" t="s">
        <v>2324</v>
      </c>
      <c r="F48" s="564" t="s">
        <v>2155</v>
      </c>
      <c r="G48" s="564">
        <v>2023</v>
      </c>
      <c r="H48" s="398">
        <v>45163</v>
      </c>
      <c r="I48" s="398">
        <v>45528</v>
      </c>
      <c r="J48" s="564" t="s">
        <v>2148</v>
      </c>
    </row>
    <row r="49" spans="1:10" ht="12.5" hidden="1" thickTop="1">
      <c r="A49" s="569">
        <v>203</v>
      </c>
      <c r="B49" s="565" t="s">
        <v>2439</v>
      </c>
      <c r="C49" s="565" t="s">
        <v>2440</v>
      </c>
      <c r="D49" s="565" t="s">
        <v>2315</v>
      </c>
      <c r="E49" s="565" t="s">
        <v>2324</v>
      </c>
      <c r="F49" s="565" t="s">
        <v>2155</v>
      </c>
      <c r="G49" s="565">
        <v>2023</v>
      </c>
      <c r="H49" s="399">
        <v>45183</v>
      </c>
      <c r="I49" s="399">
        <v>45548</v>
      </c>
      <c r="J49" s="565" t="s">
        <v>2192</v>
      </c>
    </row>
    <row r="50" spans="1:10" ht="12.5" hidden="1" thickTop="1">
      <c r="A50" s="568">
        <v>204</v>
      </c>
      <c r="B50" s="564" t="s">
        <v>2441</v>
      </c>
      <c r="C50" s="564" t="s">
        <v>2442</v>
      </c>
      <c r="D50" s="564" t="s">
        <v>2315</v>
      </c>
      <c r="E50" s="564" t="s">
        <v>2324</v>
      </c>
      <c r="F50" s="564" t="s">
        <v>2155</v>
      </c>
      <c r="G50" s="564">
        <v>2023</v>
      </c>
      <c r="H50" s="398">
        <v>45185</v>
      </c>
      <c r="I50" s="398">
        <v>45550</v>
      </c>
      <c r="J50" s="564" t="s">
        <v>2192</v>
      </c>
    </row>
    <row r="51" spans="1:10" ht="12.5" hidden="1" thickTop="1">
      <c r="A51" s="569">
        <v>205</v>
      </c>
      <c r="B51" s="565" t="s">
        <v>2148</v>
      </c>
      <c r="C51" s="565" t="s">
        <v>2443</v>
      </c>
      <c r="D51" s="565" t="s">
        <v>2315</v>
      </c>
      <c r="E51" s="565" t="s">
        <v>2153</v>
      </c>
      <c r="F51" s="565" t="s">
        <v>2155</v>
      </c>
      <c r="G51" s="565">
        <v>2023</v>
      </c>
      <c r="H51" s="399">
        <v>45187</v>
      </c>
      <c r="I51" s="399">
        <v>45552</v>
      </c>
      <c r="J51" s="565" t="s">
        <v>2444</v>
      </c>
    </row>
    <row r="52" spans="1:10" ht="12.5" hidden="1" thickTop="1">
      <c r="A52" s="568">
        <v>206</v>
      </c>
      <c r="B52" s="564" t="s">
        <v>2445</v>
      </c>
      <c r="C52" s="564" t="s">
        <v>2446</v>
      </c>
      <c r="D52" s="564" t="s">
        <v>2315</v>
      </c>
      <c r="E52" s="564" t="s">
        <v>2216</v>
      </c>
      <c r="F52" s="564" t="s">
        <v>2155</v>
      </c>
      <c r="G52" s="564">
        <v>2023</v>
      </c>
      <c r="H52" s="398">
        <v>45189</v>
      </c>
      <c r="I52" s="398">
        <v>45554</v>
      </c>
      <c r="J52" s="564" t="s">
        <v>2447</v>
      </c>
    </row>
    <row r="53" spans="1:10" ht="12.5" hidden="1" thickTop="1">
      <c r="A53" s="569">
        <v>207</v>
      </c>
      <c r="B53" s="565" t="s">
        <v>2448</v>
      </c>
      <c r="C53" s="565" t="s">
        <v>2449</v>
      </c>
      <c r="D53" s="565" t="s">
        <v>2315</v>
      </c>
      <c r="E53" s="565" t="s">
        <v>2216</v>
      </c>
      <c r="F53" s="565" t="s">
        <v>2155</v>
      </c>
      <c r="G53" s="565">
        <v>2023</v>
      </c>
      <c r="H53" s="399">
        <v>45209</v>
      </c>
      <c r="I53" s="399">
        <v>45574</v>
      </c>
      <c r="J53" s="565" t="s">
        <v>2142</v>
      </c>
    </row>
    <row r="54" spans="1:10" ht="12.5" hidden="1" thickTop="1">
      <c r="A54" s="568">
        <v>208</v>
      </c>
      <c r="B54" s="564" t="s">
        <v>2450</v>
      </c>
      <c r="C54" s="564" t="s">
        <v>2451</v>
      </c>
      <c r="D54" s="564" t="s">
        <v>2315</v>
      </c>
      <c r="E54" s="564" t="s">
        <v>2324</v>
      </c>
      <c r="F54" s="564" t="s">
        <v>2155</v>
      </c>
      <c r="G54" s="564">
        <v>2023</v>
      </c>
      <c r="H54" s="398">
        <v>45211</v>
      </c>
      <c r="I54" s="398">
        <v>45576</v>
      </c>
      <c r="J54" s="564" t="s">
        <v>2325</v>
      </c>
    </row>
    <row r="55" spans="1:10" ht="12.5" hidden="1" thickTop="1">
      <c r="A55" s="569">
        <v>209</v>
      </c>
      <c r="B55" s="565" t="s">
        <v>2148</v>
      </c>
      <c r="C55" s="565" t="s">
        <v>2452</v>
      </c>
      <c r="D55" s="565" t="s">
        <v>2315</v>
      </c>
      <c r="E55" s="565" t="s">
        <v>2141</v>
      </c>
      <c r="F55" s="565" t="s">
        <v>2155</v>
      </c>
      <c r="G55" s="565">
        <v>2023</v>
      </c>
      <c r="H55" s="399">
        <v>45216</v>
      </c>
      <c r="I55" s="399">
        <v>45581</v>
      </c>
      <c r="J55" s="565" t="s">
        <v>2170</v>
      </c>
    </row>
    <row r="56" spans="1:10" ht="12.5" hidden="1" thickTop="1">
      <c r="A56" s="568">
        <v>210</v>
      </c>
      <c r="B56" s="564" t="s">
        <v>2148</v>
      </c>
      <c r="C56" s="564" t="s">
        <v>2443</v>
      </c>
      <c r="D56" s="564" t="s">
        <v>2315</v>
      </c>
      <c r="E56" s="564" t="s">
        <v>2216</v>
      </c>
      <c r="F56" s="564" t="s">
        <v>2155</v>
      </c>
      <c r="G56" s="564">
        <v>2023</v>
      </c>
      <c r="H56" s="398">
        <v>45216</v>
      </c>
      <c r="I56" s="398">
        <v>45581</v>
      </c>
      <c r="J56" s="564" t="s">
        <v>2257</v>
      </c>
    </row>
    <row r="57" spans="1:10" ht="12.5" hidden="1" thickTop="1">
      <c r="A57" s="569">
        <v>212</v>
      </c>
      <c r="B57" s="565" t="s">
        <v>2454</v>
      </c>
      <c r="C57" s="565" t="s">
        <v>2455</v>
      </c>
      <c r="D57" s="565" t="s">
        <v>2315</v>
      </c>
      <c r="E57" s="565" t="s">
        <v>2141</v>
      </c>
      <c r="F57" s="565" t="s">
        <v>2155</v>
      </c>
      <c r="G57" s="565">
        <v>2023</v>
      </c>
      <c r="H57" s="399">
        <v>45226</v>
      </c>
      <c r="I57" s="399">
        <v>45591</v>
      </c>
      <c r="J57" s="565" t="s">
        <v>2142</v>
      </c>
    </row>
    <row r="58" spans="1:10" ht="12.5" hidden="1" thickTop="1">
      <c r="A58" s="568">
        <v>213</v>
      </c>
      <c r="B58" s="564" t="s">
        <v>2456</v>
      </c>
      <c r="C58" s="564" t="s">
        <v>2370</v>
      </c>
      <c r="D58" s="564" t="s">
        <v>2315</v>
      </c>
      <c r="E58" s="564" t="s">
        <v>2141</v>
      </c>
      <c r="F58" s="564" t="s">
        <v>2155</v>
      </c>
      <c r="G58" s="564">
        <v>2023</v>
      </c>
      <c r="H58" s="398">
        <v>45230</v>
      </c>
      <c r="I58" s="398">
        <v>45595</v>
      </c>
      <c r="J58" s="564" t="s">
        <v>2235</v>
      </c>
    </row>
    <row r="59" spans="1:10" ht="12.5" hidden="1" thickTop="1">
      <c r="A59" s="569">
        <v>214</v>
      </c>
      <c r="B59" s="565" t="s">
        <v>2457</v>
      </c>
      <c r="C59" s="565" t="s">
        <v>2458</v>
      </c>
      <c r="D59" s="565" t="s">
        <v>2315</v>
      </c>
      <c r="E59" s="565" t="s">
        <v>2249</v>
      </c>
      <c r="F59" s="565" t="s">
        <v>2155</v>
      </c>
      <c r="G59" s="565">
        <v>2023</v>
      </c>
      <c r="H59" s="399">
        <v>45230</v>
      </c>
      <c r="I59" s="399">
        <v>45595</v>
      </c>
      <c r="J59" s="565" t="s">
        <v>2170</v>
      </c>
    </row>
    <row r="60" spans="1:10" ht="12.5" hidden="1" thickTop="1">
      <c r="A60" s="568">
        <v>215</v>
      </c>
      <c r="B60" s="564" t="s">
        <v>2459</v>
      </c>
      <c r="C60" s="564" t="s">
        <v>2458</v>
      </c>
      <c r="D60" s="564" t="s">
        <v>2315</v>
      </c>
      <c r="E60" s="564" t="s">
        <v>2141</v>
      </c>
      <c r="F60" s="564" t="s">
        <v>2155</v>
      </c>
      <c r="G60" s="564">
        <v>2023</v>
      </c>
      <c r="H60" s="398">
        <v>45230</v>
      </c>
      <c r="I60" s="398">
        <v>45595</v>
      </c>
      <c r="J60" s="564" t="s">
        <v>2460</v>
      </c>
    </row>
    <row r="61" spans="1:10" ht="12.5" hidden="1" thickTop="1">
      <c r="A61" s="569">
        <v>216</v>
      </c>
      <c r="B61" s="565" t="s">
        <v>2461</v>
      </c>
      <c r="C61" s="565" t="s">
        <v>2462</v>
      </c>
      <c r="D61" s="565" t="s">
        <v>2315</v>
      </c>
      <c r="E61" s="565" t="s">
        <v>2216</v>
      </c>
      <c r="F61" s="565" t="s">
        <v>2155</v>
      </c>
      <c r="G61" s="565">
        <v>2023</v>
      </c>
      <c r="H61" s="399">
        <v>45236</v>
      </c>
      <c r="I61" s="399">
        <v>45601</v>
      </c>
      <c r="J61" s="565" t="s">
        <v>2142</v>
      </c>
    </row>
    <row r="62" spans="1:10" ht="12.5" hidden="1" thickTop="1">
      <c r="A62" s="568">
        <v>217</v>
      </c>
      <c r="B62" s="564" t="s">
        <v>2463</v>
      </c>
      <c r="C62" s="564" t="s">
        <v>2464</v>
      </c>
      <c r="D62" s="564" t="s">
        <v>2315</v>
      </c>
      <c r="E62" s="564" t="s">
        <v>2324</v>
      </c>
      <c r="F62" s="564" t="s">
        <v>2155</v>
      </c>
      <c r="G62" s="564">
        <v>2023</v>
      </c>
      <c r="H62" s="398">
        <v>45239</v>
      </c>
      <c r="I62" s="398">
        <v>45604</v>
      </c>
      <c r="J62" s="564" t="s">
        <v>2465</v>
      </c>
    </row>
    <row r="63" spans="1:10" ht="12.5" hidden="1" thickTop="1">
      <c r="A63" s="569">
        <v>218</v>
      </c>
      <c r="B63" s="565" t="s">
        <v>2466</v>
      </c>
      <c r="C63" s="565" t="s">
        <v>2467</v>
      </c>
      <c r="D63" s="565" t="s">
        <v>2315</v>
      </c>
      <c r="E63" s="565" t="s">
        <v>2249</v>
      </c>
      <c r="F63" s="565" t="s">
        <v>2155</v>
      </c>
      <c r="G63" s="565">
        <v>2023</v>
      </c>
      <c r="H63" s="399">
        <v>45240</v>
      </c>
      <c r="I63" s="399">
        <v>45605</v>
      </c>
      <c r="J63" s="565" t="s">
        <v>2468</v>
      </c>
    </row>
    <row r="64" spans="1:10" ht="12.5" hidden="1" thickTop="1">
      <c r="A64" s="568">
        <v>223</v>
      </c>
      <c r="B64" s="564" t="s">
        <v>2469</v>
      </c>
      <c r="C64" s="564" t="s">
        <v>2470</v>
      </c>
      <c r="D64" s="564" t="s">
        <v>2315</v>
      </c>
      <c r="E64" s="564" t="s">
        <v>2324</v>
      </c>
      <c r="F64" s="564" t="s">
        <v>2155</v>
      </c>
      <c r="G64" s="564">
        <v>2023</v>
      </c>
      <c r="H64" s="398">
        <v>45246</v>
      </c>
      <c r="I64" s="398">
        <v>45611</v>
      </c>
      <c r="J64" s="564" t="s">
        <v>2471</v>
      </c>
    </row>
    <row r="65" spans="1:10" ht="12.5" hidden="1" thickTop="1">
      <c r="A65" s="569">
        <v>224</v>
      </c>
      <c r="B65" s="565" t="s">
        <v>2472</v>
      </c>
      <c r="C65" s="565" t="s">
        <v>2473</v>
      </c>
      <c r="D65" s="565" t="s">
        <v>2315</v>
      </c>
      <c r="E65" s="565" t="s">
        <v>2324</v>
      </c>
      <c r="F65" s="565" t="s">
        <v>2155</v>
      </c>
      <c r="G65" s="565">
        <v>2023</v>
      </c>
      <c r="H65" s="399">
        <v>45247</v>
      </c>
      <c r="I65" s="399">
        <v>45612</v>
      </c>
      <c r="J65" s="565" t="s">
        <v>2474</v>
      </c>
    </row>
    <row r="66" spans="1:10" ht="12.5" hidden="1" thickTop="1">
      <c r="A66" s="568">
        <v>225</v>
      </c>
      <c r="B66" s="564" t="s">
        <v>2475</v>
      </c>
      <c r="C66" s="564" t="s">
        <v>2476</v>
      </c>
      <c r="D66" s="564" t="s">
        <v>2315</v>
      </c>
      <c r="E66" s="564" t="s">
        <v>2324</v>
      </c>
      <c r="F66" s="564" t="s">
        <v>2155</v>
      </c>
      <c r="G66" s="564">
        <v>2023</v>
      </c>
      <c r="H66" s="398">
        <v>45251</v>
      </c>
      <c r="I66" s="398">
        <v>45616</v>
      </c>
      <c r="J66" s="564" t="s">
        <v>2477</v>
      </c>
    </row>
    <row r="67" spans="1:10" ht="12.5" hidden="1" thickTop="1">
      <c r="A67" s="569">
        <v>226</v>
      </c>
      <c r="B67" s="565" t="s">
        <v>2478</v>
      </c>
      <c r="C67" s="565" t="s">
        <v>2368</v>
      </c>
      <c r="D67" s="565" t="s">
        <v>2315</v>
      </c>
      <c r="E67" s="565" t="s">
        <v>2324</v>
      </c>
      <c r="F67" s="565" t="s">
        <v>2155</v>
      </c>
      <c r="G67" s="565">
        <v>2023</v>
      </c>
      <c r="H67" s="399">
        <v>45254</v>
      </c>
      <c r="I67" s="399">
        <v>45619</v>
      </c>
      <c r="J67" s="565" t="s">
        <v>2325</v>
      </c>
    </row>
    <row r="68" spans="1:10" ht="12.5" hidden="1" thickTop="1">
      <c r="A68" s="568">
        <v>227</v>
      </c>
      <c r="B68" s="564" t="s">
        <v>2479</v>
      </c>
      <c r="C68" s="564" t="s">
        <v>2480</v>
      </c>
      <c r="D68" s="564" t="s">
        <v>2315</v>
      </c>
      <c r="E68" s="564" t="s">
        <v>2216</v>
      </c>
      <c r="F68" s="564" t="s">
        <v>2155</v>
      </c>
      <c r="G68" s="564">
        <v>2023</v>
      </c>
      <c r="H68" s="398">
        <v>45259</v>
      </c>
      <c r="I68" s="398">
        <v>45624</v>
      </c>
      <c r="J68" s="564" t="s">
        <v>2481</v>
      </c>
    </row>
    <row r="69" spans="1:10" ht="12.5" hidden="1" thickTop="1">
      <c r="A69" s="569">
        <v>228</v>
      </c>
      <c r="B69" s="565" t="s">
        <v>2482</v>
      </c>
      <c r="C69" s="565" t="s">
        <v>2483</v>
      </c>
      <c r="D69" s="565" t="s">
        <v>2315</v>
      </c>
      <c r="E69" s="565" t="s">
        <v>2324</v>
      </c>
      <c r="F69" s="565" t="s">
        <v>2155</v>
      </c>
      <c r="G69" s="565">
        <v>2023</v>
      </c>
      <c r="H69" s="399">
        <v>45267</v>
      </c>
      <c r="I69" s="399">
        <v>45632</v>
      </c>
      <c r="J69" s="565" t="s">
        <v>2325</v>
      </c>
    </row>
    <row r="70" spans="1:10" ht="12.5" hidden="1" thickTop="1">
      <c r="A70" s="568">
        <v>229</v>
      </c>
      <c r="B70" s="564" t="s">
        <v>2484</v>
      </c>
      <c r="C70" s="564" t="s">
        <v>2485</v>
      </c>
      <c r="D70" s="564" t="s">
        <v>2315</v>
      </c>
      <c r="E70" s="564" t="s">
        <v>2324</v>
      </c>
      <c r="F70" s="564" t="s">
        <v>2155</v>
      </c>
      <c r="G70" s="564">
        <v>2023</v>
      </c>
      <c r="H70" s="398">
        <v>45268</v>
      </c>
      <c r="I70" s="398">
        <v>45633</v>
      </c>
      <c r="J70" s="564" t="s">
        <v>2325</v>
      </c>
    </row>
    <row r="71" spans="1:10" ht="12.5" hidden="1" thickTop="1">
      <c r="A71" s="569">
        <v>230</v>
      </c>
      <c r="B71" s="565" t="s">
        <v>2486</v>
      </c>
      <c r="C71" s="565" t="s">
        <v>2485</v>
      </c>
      <c r="D71" s="565" t="s">
        <v>2315</v>
      </c>
      <c r="E71" s="565" t="s">
        <v>2324</v>
      </c>
      <c r="F71" s="565" t="s">
        <v>2155</v>
      </c>
      <c r="G71" s="565">
        <v>2023</v>
      </c>
      <c r="H71" s="399">
        <v>45268</v>
      </c>
      <c r="I71" s="399">
        <v>45633</v>
      </c>
      <c r="J71" s="565" t="s">
        <v>2342</v>
      </c>
    </row>
    <row r="72" spans="1:10" ht="12.5" hidden="1" thickTop="1">
      <c r="A72" s="568">
        <v>232</v>
      </c>
      <c r="B72" s="564" t="s">
        <v>2489</v>
      </c>
      <c r="C72" s="564" t="s">
        <v>2429</v>
      </c>
      <c r="D72" s="564" t="s">
        <v>2315</v>
      </c>
      <c r="E72" s="564" t="s">
        <v>2324</v>
      </c>
      <c r="F72" s="564" t="s">
        <v>2155</v>
      </c>
      <c r="G72" s="564">
        <v>2023</v>
      </c>
      <c r="H72" s="398">
        <v>45286</v>
      </c>
      <c r="I72" s="398">
        <v>45651</v>
      </c>
      <c r="J72" s="564" t="s">
        <v>2325</v>
      </c>
    </row>
    <row r="73" spans="1:10" ht="12.5" hidden="1" thickTop="1">
      <c r="A73" s="569">
        <v>239</v>
      </c>
      <c r="B73" s="565" t="s">
        <v>2509</v>
      </c>
      <c r="C73" s="565" t="s">
        <v>2510</v>
      </c>
      <c r="D73" s="565" t="s">
        <v>2504</v>
      </c>
      <c r="E73" s="565" t="s">
        <v>2324</v>
      </c>
      <c r="F73" s="565" t="s">
        <v>2155</v>
      </c>
      <c r="G73" s="565">
        <v>2023</v>
      </c>
      <c r="H73" s="399">
        <v>45044</v>
      </c>
      <c r="I73" s="399">
        <v>45409</v>
      </c>
      <c r="J73" s="565" t="s">
        <v>2511</v>
      </c>
    </row>
    <row r="74" spans="1:10" ht="12.5" hidden="1" thickTop="1">
      <c r="A74" s="568">
        <v>240</v>
      </c>
      <c r="B74" s="564" t="s">
        <v>2512</v>
      </c>
      <c r="C74" s="564" t="s">
        <v>2513</v>
      </c>
      <c r="D74" s="564" t="s">
        <v>2504</v>
      </c>
      <c r="E74" s="564" t="s">
        <v>2324</v>
      </c>
      <c r="F74" s="564" t="s">
        <v>2155</v>
      </c>
      <c r="G74" s="564">
        <v>2023</v>
      </c>
      <c r="H74" s="398">
        <v>45145</v>
      </c>
      <c r="I74" s="398">
        <v>45510</v>
      </c>
      <c r="J74" s="564" t="s">
        <v>2148</v>
      </c>
    </row>
    <row r="75" spans="1:10" ht="12.5" hidden="1" thickTop="1">
      <c r="A75" s="569">
        <v>241</v>
      </c>
      <c r="B75" s="565" t="s">
        <v>2514</v>
      </c>
      <c r="C75" s="565" t="s">
        <v>2515</v>
      </c>
      <c r="D75" s="565" t="s">
        <v>2504</v>
      </c>
      <c r="E75" s="565" t="s">
        <v>2324</v>
      </c>
      <c r="F75" s="565" t="s">
        <v>2155</v>
      </c>
      <c r="G75" s="565">
        <v>2023</v>
      </c>
      <c r="H75" s="399">
        <v>45286</v>
      </c>
      <c r="I75" s="399">
        <v>45651</v>
      </c>
      <c r="J75" s="565" t="s">
        <v>2516</v>
      </c>
    </row>
    <row r="76" spans="1:10" ht="12.5" hidden="1" thickTop="1">
      <c r="A76" s="568">
        <v>283</v>
      </c>
      <c r="B76" s="564" t="s">
        <v>2557</v>
      </c>
      <c r="C76" s="564" t="s">
        <v>2558</v>
      </c>
      <c r="D76" s="564" t="s">
        <v>2518</v>
      </c>
      <c r="E76" s="564" t="s">
        <v>2519</v>
      </c>
      <c r="F76" s="564" t="s">
        <v>2155</v>
      </c>
      <c r="G76" s="564">
        <v>2023</v>
      </c>
      <c r="H76" s="398">
        <v>45194</v>
      </c>
      <c r="I76" s="398">
        <v>45559</v>
      </c>
      <c r="J76" s="564" t="s">
        <v>2420</v>
      </c>
    </row>
    <row r="77" spans="1:10" ht="12.5" hidden="1" thickTop="1">
      <c r="A77" s="569">
        <v>340</v>
      </c>
      <c r="B77" s="565" t="s">
        <v>2148</v>
      </c>
      <c r="C77" s="565" t="s">
        <v>2610</v>
      </c>
      <c r="D77" s="565" t="s">
        <v>2518</v>
      </c>
      <c r="E77" s="565" t="s">
        <v>2519</v>
      </c>
      <c r="F77" s="565" t="s">
        <v>2155</v>
      </c>
      <c r="G77" s="565">
        <v>2023</v>
      </c>
      <c r="H77" s="399">
        <v>44930</v>
      </c>
      <c r="I77" s="399">
        <v>46755</v>
      </c>
      <c r="J77" s="565" t="s">
        <v>2529</v>
      </c>
    </row>
    <row r="78" spans="1:10" ht="12.5" hidden="1" thickTop="1">
      <c r="A78" s="568">
        <v>341</v>
      </c>
      <c r="B78" s="564" t="s">
        <v>2148</v>
      </c>
      <c r="C78" s="564" t="s">
        <v>2611</v>
      </c>
      <c r="D78" s="564" t="s">
        <v>2518</v>
      </c>
      <c r="E78" s="564" t="s">
        <v>2519</v>
      </c>
      <c r="F78" s="564" t="s">
        <v>2155</v>
      </c>
      <c r="G78" s="564">
        <v>2023</v>
      </c>
      <c r="H78" s="398">
        <v>44930</v>
      </c>
      <c r="I78" s="398">
        <v>46755</v>
      </c>
      <c r="J78" s="564" t="s">
        <v>2529</v>
      </c>
    </row>
    <row r="79" spans="1:10" ht="12.5" hidden="1" thickTop="1">
      <c r="A79" s="569">
        <v>342</v>
      </c>
      <c r="B79" s="565" t="s">
        <v>2148</v>
      </c>
      <c r="C79" s="565" t="s">
        <v>2612</v>
      </c>
      <c r="D79" s="565" t="s">
        <v>2518</v>
      </c>
      <c r="E79" s="565" t="s">
        <v>2519</v>
      </c>
      <c r="F79" s="565" t="s">
        <v>2155</v>
      </c>
      <c r="G79" s="565">
        <v>2023</v>
      </c>
      <c r="H79" s="399">
        <v>44957</v>
      </c>
      <c r="I79" s="399">
        <v>46782</v>
      </c>
      <c r="J79" s="565" t="s">
        <v>2529</v>
      </c>
    </row>
    <row r="80" spans="1:10" ht="12.5" hidden="1" thickTop="1">
      <c r="A80" s="568">
        <v>346</v>
      </c>
      <c r="B80" s="564" t="s">
        <v>2148</v>
      </c>
      <c r="C80" s="564" t="s">
        <v>2616</v>
      </c>
      <c r="D80" s="564" t="s">
        <v>2518</v>
      </c>
      <c r="E80" s="564" t="s">
        <v>2519</v>
      </c>
      <c r="F80" s="564" t="s">
        <v>2155</v>
      </c>
      <c r="G80" s="564">
        <v>2023</v>
      </c>
      <c r="H80" s="398">
        <v>45055</v>
      </c>
      <c r="I80" s="398">
        <v>46881</v>
      </c>
      <c r="J80" s="564" t="s">
        <v>2529</v>
      </c>
    </row>
    <row r="81" spans="1:10" ht="12.5" hidden="1" thickTop="1">
      <c r="A81" s="569">
        <v>347</v>
      </c>
      <c r="B81" s="565" t="s">
        <v>2617</v>
      </c>
      <c r="C81" s="565" t="s">
        <v>2618</v>
      </c>
      <c r="D81" s="565" t="s">
        <v>2518</v>
      </c>
      <c r="E81" s="565" t="s">
        <v>2519</v>
      </c>
      <c r="F81" s="565" t="s">
        <v>2155</v>
      </c>
      <c r="G81" s="565">
        <v>2023</v>
      </c>
      <c r="H81" s="399">
        <v>45057</v>
      </c>
      <c r="I81" s="399">
        <v>46883</v>
      </c>
      <c r="J81" s="565" t="s">
        <v>2529</v>
      </c>
    </row>
    <row r="82" spans="1:10" ht="12.5" hidden="1" thickTop="1">
      <c r="A82" s="568">
        <v>349</v>
      </c>
      <c r="B82" s="564" t="s">
        <v>2148</v>
      </c>
      <c r="C82" s="564" t="s">
        <v>2620</v>
      </c>
      <c r="D82" s="564" t="s">
        <v>2518</v>
      </c>
      <c r="E82" s="564" t="s">
        <v>2519</v>
      </c>
      <c r="F82" s="564" t="s">
        <v>2155</v>
      </c>
      <c r="G82" s="564">
        <v>2023</v>
      </c>
      <c r="H82" s="398">
        <v>45090</v>
      </c>
      <c r="I82" s="398">
        <v>46916</v>
      </c>
      <c r="J82" s="564" t="s">
        <v>2420</v>
      </c>
    </row>
    <row r="83" spans="1:10" ht="12.5" hidden="1" thickTop="1">
      <c r="A83" s="569">
        <v>350</v>
      </c>
      <c r="B83" s="565" t="s">
        <v>2148</v>
      </c>
      <c r="C83" s="565" t="s">
        <v>2621</v>
      </c>
      <c r="D83" s="565" t="s">
        <v>2518</v>
      </c>
      <c r="E83" s="565" t="s">
        <v>2519</v>
      </c>
      <c r="F83" s="565" t="s">
        <v>2155</v>
      </c>
      <c r="G83" s="565">
        <v>2023</v>
      </c>
      <c r="H83" s="399">
        <v>45090</v>
      </c>
      <c r="I83" s="399">
        <v>46916</v>
      </c>
      <c r="J83" s="565" t="s">
        <v>2420</v>
      </c>
    </row>
    <row r="84" spans="1:10" ht="12.5" hidden="1" thickTop="1">
      <c r="A84" s="568">
        <v>351</v>
      </c>
      <c r="B84" s="564" t="s">
        <v>2148</v>
      </c>
      <c r="C84" s="564" t="s">
        <v>2622</v>
      </c>
      <c r="D84" s="564" t="s">
        <v>2518</v>
      </c>
      <c r="E84" s="564" t="s">
        <v>2519</v>
      </c>
      <c r="F84" s="564" t="s">
        <v>2155</v>
      </c>
      <c r="G84" s="564">
        <v>2023</v>
      </c>
      <c r="H84" s="398">
        <v>45145</v>
      </c>
      <c r="I84" s="398">
        <v>46971</v>
      </c>
      <c r="J84" s="564" t="s">
        <v>2529</v>
      </c>
    </row>
    <row r="85" spans="1:10" ht="12.5" hidden="1" thickTop="1">
      <c r="A85" s="569">
        <v>352</v>
      </c>
      <c r="B85" s="565" t="s">
        <v>2148</v>
      </c>
      <c r="C85" s="565" t="s">
        <v>2286</v>
      </c>
      <c r="D85" s="565" t="s">
        <v>2518</v>
      </c>
      <c r="E85" s="565" t="s">
        <v>2519</v>
      </c>
      <c r="F85" s="565" t="s">
        <v>2155</v>
      </c>
      <c r="G85" s="565">
        <v>2023</v>
      </c>
      <c r="H85" s="399">
        <v>45145</v>
      </c>
      <c r="I85" s="399">
        <v>46971</v>
      </c>
      <c r="J85" s="565" t="s">
        <v>2529</v>
      </c>
    </row>
    <row r="86" spans="1:10" ht="12.5" hidden="1" thickTop="1">
      <c r="A86" s="568">
        <v>353</v>
      </c>
      <c r="B86" s="564" t="s">
        <v>2148</v>
      </c>
      <c r="C86" s="564" t="s">
        <v>2623</v>
      </c>
      <c r="D86" s="564" t="s">
        <v>2518</v>
      </c>
      <c r="E86" s="564" t="s">
        <v>2519</v>
      </c>
      <c r="F86" s="564" t="s">
        <v>2155</v>
      </c>
      <c r="G86" s="564">
        <v>2023</v>
      </c>
      <c r="H86" s="398">
        <v>45169</v>
      </c>
      <c r="I86" s="398">
        <v>46995</v>
      </c>
      <c r="J86" s="564" t="s">
        <v>2529</v>
      </c>
    </row>
    <row r="87" spans="1:10" ht="12.5" hidden="1" thickTop="1">
      <c r="A87" s="569">
        <v>354</v>
      </c>
      <c r="B87" s="565" t="s">
        <v>2557</v>
      </c>
      <c r="C87" s="565" t="s">
        <v>2624</v>
      </c>
      <c r="D87" s="565" t="s">
        <v>2518</v>
      </c>
      <c r="E87" s="565" t="s">
        <v>2519</v>
      </c>
      <c r="F87" s="565" t="s">
        <v>2155</v>
      </c>
      <c r="G87" s="565">
        <v>2023</v>
      </c>
      <c r="H87" s="399">
        <v>45194</v>
      </c>
      <c r="I87" s="399">
        <v>47020</v>
      </c>
      <c r="J87" s="565" t="s">
        <v>2420</v>
      </c>
    </row>
    <row r="88" spans="1:10" ht="12.5" hidden="1" thickTop="1">
      <c r="A88" s="568">
        <v>355</v>
      </c>
      <c r="B88" s="564" t="s">
        <v>2557</v>
      </c>
      <c r="C88" s="564" t="s">
        <v>2625</v>
      </c>
      <c r="D88" s="564" t="s">
        <v>2518</v>
      </c>
      <c r="E88" s="564" t="s">
        <v>2519</v>
      </c>
      <c r="F88" s="564" t="s">
        <v>2155</v>
      </c>
      <c r="G88" s="564">
        <v>2023</v>
      </c>
      <c r="H88" s="398">
        <v>45195</v>
      </c>
      <c r="I88" s="398">
        <v>47021</v>
      </c>
      <c r="J88" s="564" t="s">
        <v>2420</v>
      </c>
    </row>
    <row r="89" spans="1:10" ht="12.5" hidden="1" thickTop="1">
      <c r="A89" s="569">
        <v>357</v>
      </c>
      <c r="B89" s="565" t="s">
        <v>686</v>
      </c>
      <c r="C89" s="565" t="s">
        <v>2627</v>
      </c>
      <c r="D89" s="565" t="s">
        <v>2518</v>
      </c>
      <c r="E89" s="565" t="s">
        <v>2519</v>
      </c>
      <c r="F89" s="565" t="s">
        <v>2155</v>
      </c>
      <c r="G89" s="565">
        <v>2023</v>
      </c>
      <c r="H89" s="399">
        <v>45202</v>
      </c>
      <c r="I89" s="399">
        <v>47028</v>
      </c>
      <c r="J89" s="565" t="s">
        <v>2420</v>
      </c>
    </row>
    <row r="90" spans="1:10" ht="12.5" hidden="1" thickTop="1">
      <c r="A90" s="568">
        <v>358</v>
      </c>
      <c r="B90" s="564" t="s">
        <v>686</v>
      </c>
      <c r="C90" s="564" t="s">
        <v>2628</v>
      </c>
      <c r="D90" s="564" t="s">
        <v>2518</v>
      </c>
      <c r="E90" s="564" t="s">
        <v>2519</v>
      </c>
      <c r="F90" s="564" t="s">
        <v>2155</v>
      </c>
      <c r="G90" s="564">
        <v>2023</v>
      </c>
      <c r="H90" s="398">
        <v>45252</v>
      </c>
      <c r="I90" s="398">
        <v>47078</v>
      </c>
      <c r="J90" s="564" t="s">
        <v>2420</v>
      </c>
    </row>
    <row r="91" spans="1:10" ht="12.5" hidden="1" thickTop="1">
      <c r="A91" s="569">
        <v>359</v>
      </c>
      <c r="B91" s="565" t="s">
        <v>2566</v>
      </c>
      <c r="C91" s="565" t="s">
        <v>2629</v>
      </c>
      <c r="D91" s="565" t="s">
        <v>2518</v>
      </c>
      <c r="E91" s="565" t="s">
        <v>2519</v>
      </c>
      <c r="F91" s="565" t="s">
        <v>2155</v>
      </c>
      <c r="G91" s="565">
        <v>2023</v>
      </c>
      <c r="H91" s="399">
        <v>45259</v>
      </c>
      <c r="I91" s="399">
        <v>47085</v>
      </c>
      <c r="J91" s="565" t="s">
        <v>2529</v>
      </c>
    </row>
    <row r="92" spans="1:10" ht="12.5" hidden="1" thickTop="1">
      <c r="A92" s="568">
        <v>360</v>
      </c>
      <c r="B92" s="564" t="s">
        <v>2526</v>
      </c>
      <c r="C92" s="564" t="s">
        <v>2630</v>
      </c>
      <c r="D92" s="564" t="s">
        <v>2518</v>
      </c>
      <c r="E92" s="564" t="s">
        <v>2324</v>
      </c>
      <c r="F92" s="564" t="s">
        <v>2155</v>
      </c>
      <c r="G92" s="564">
        <v>2023</v>
      </c>
      <c r="H92" s="398">
        <v>45287</v>
      </c>
      <c r="I92" s="398">
        <v>47113</v>
      </c>
      <c r="J92" s="564" t="s">
        <v>2529</v>
      </c>
    </row>
    <row r="93" spans="1:10" ht="12.5" hidden="1" thickTop="1">
      <c r="A93" s="569">
        <v>361</v>
      </c>
      <c r="B93" s="565" t="s">
        <v>686</v>
      </c>
      <c r="C93" s="565" t="s">
        <v>2631</v>
      </c>
      <c r="D93" s="565" t="s">
        <v>2518</v>
      </c>
      <c r="E93" s="565" t="s">
        <v>2519</v>
      </c>
      <c r="F93" s="565" t="s">
        <v>2155</v>
      </c>
      <c r="G93" s="565">
        <v>2023</v>
      </c>
      <c r="H93" s="399">
        <v>45287</v>
      </c>
      <c r="I93" s="399">
        <v>47113</v>
      </c>
      <c r="J93" s="565" t="s">
        <v>2420</v>
      </c>
    </row>
    <row r="94" spans="1:10" ht="12.5" hidden="1" thickTop="1">
      <c r="A94" s="568">
        <v>424</v>
      </c>
      <c r="B94" s="564" t="s">
        <v>2734</v>
      </c>
      <c r="C94" s="564" t="s">
        <v>2735</v>
      </c>
      <c r="D94" s="564" t="s">
        <v>2633</v>
      </c>
      <c r="E94" s="564" t="s">
        <v>2634</v>
      </c>
      <c r="F94" s="564" t="s">
        <v>2155</v>
      </c>
      <c r="G94" s="564">
        <v>2023</v>
      </c>
      <c r="H94" s="398">
        <v>44959</v>
      </c>
      <c r="I94" s="398">
        <v>46054</v>
      </c>
      <c r="J94" s="564" t="s">
        <v>2648</v>
      </c>
    </row>
    <row r="95" spans="1:10" ht="12.5" hidden="1" thickTop="1">
      <c r="A95" s="569">
        <v>425</v>
      </c>
      <c r="B95" s="565" t="s">
        <v>2736</v>
      </c>
      <c r="C95" s="565" t="s">
        <v>2737</v>
      </c>
      <c r="D95" s="565" t="s">
        <v>2633</v>
      </c>
      <c r="E95" s="565" t="s">
        <v>2634</v>
      </c>
      <c r="F95" s="565" t="s">
        <v>2155</v>
      </c>
      <c r="G95" s="565">
        <v>2023</v>
      </c>
      <c r="H95" s="399">
        <v>44991</v>
      </c>
      <c r="I95" s="399">
        <v>46086</v>
      </c>
      <c r="J95" s="565" t="s">
        <v>2648</v>
      </c>
    </row>
    <row r="96" spans="1:10" ht="12.5" hidden="1" thickTop="1">
      <c r="A96" s="568">
        <v>426</v>
      </c>
      <c r="B96" s="564" t="s">
        <v>2738</v>
      </c>
      <c r="C96" s="564" t="s">
        <v>2737</v>
      </c>
      <c r="D96" s="564" t="s">
        <v>2633</v>
      </c>
      <c r="E96" s="564" t="s">
        <v>2634</v>
      </c>
      <c r="F96" s="564" t="s">
        <v>2155</v>
      </c>
      <c r="G96" s="564">
        <v>2023</v>
      </c>
      <c r="H96" s="398">
        <v>44991</v>
      </c>
      <c r="I96" s="398">
        <v>46086</v>
      </c>
      <c r="J96" s="564" t="s">
        <v>2648</v>
      </c>
    </row>
    <row r="97" spans="1:10" ht="12.5" hidden="1" thickTop="1">
      <c r="A97" s="569">
        <v>427</v>
      </c>
      <c r="B97" s="565" t="s">
        <v>2739</v>
      </c>
      <c r="C97" s="565" t="s">
        <v>2740</v>
      </c>
      <c r="D97" s="565" t="s">
        <v>2633</v>
      </c>
      <c r="E97" s="565" t="s">
        <v>2634</v>
      </c>
      <c r="F97" s="565" t="s">
        <v>2155</v>
      </c>
      <c r="G97" s="565">
        <v>2023</v>
      </c>
      <c r="H97" s="399">
        <v>45000</v>
      </c>
      <c r="I97" s="399">
        <v>46095</v>
      </c>
      <c r="J97" s="565" t="s">
        <v>2178</v>
      </c>
    </row>
    <row r="98" spans="1:10" ht="12.5" hidden="1" thickTop="1">
      <c r="A98" s="568">
        <v>428</v>
      </c>
      <c r="B98" s="564" t="s">
        <v>2148</v>
      </c>
      <c r="C98" s="564" t="s">
        <v>2741</v>
      </c>
      <c r="D98" s="564" t="s">
        <v>2633</v>
      </c>
      <c r="E98" s="564" t="s">
        <v>2634</v>
      </c>
      <c r="F98" s="564" t="s">
        <v>2155</v>
      </c>
      <c r="G98" s="564">
        <v>2023</v>
      </c>
      <c r="H98" s="398">
        <v>45000</v>
      </c>
      <c r="I98" s="398">
        <v>46095</v>
      </c>
      <c r="J98" s="564" t="s">
        <v>2648</v>
      </c>
    </row>
    <row r="99" spans="1:10" ht="12.5" hidden="1" thickTop="1">
      <c r="A99" s="569">
        <v>429</v>
      </c>
      <c r="B99" s="565" t="s">
        <v>2148</v>
      </c>
      <c r="C99" s="565" t="s">
        <v>2742</v>
      </c>
      <c r="D99" s="565" t="s">
        <v>2633</v>
      </c>
      <c r="E99" s="565" t="s">
        <v>2634</v>
      </c>
      <c r="F99" s="565" t="s">
        <v>2155</v>
      </c>
      <c r="G99" s="565">
        <v>2023</v>
      </c>
      <c r="H99" s="399">
        <v>45006</v>
      </c>
      <c r="I99" s="399">
        <v>46101</v>
      </c>
      <c r="J99" s="565" t="s">
        <v>2648</v>
      </c>
    </row>
    <row r="100" spans="1:10" ht="12.5" hidden="1" thickTop="1">
      <c r="A100" s="568">
        <v>430</v>
      </c>
      <c r="B100" s="564" t="s">
        <v>2743</v>
      </c>
      <c r="C100" s="564" t="s">
        <v>2709</v>
      </c>
      <c r="D100" s="564" t="s">
        <v>2633</v>
      </c>
      <c r="E100" s="564" t="s">
        <v>2634</v>
      </c>
      <c r="F100" s="564" t="s">
        <v>2155</v>
      </c>
      <c r="G100" s="564">
        <v>2023</v>
      </c>
      <c r="H100" s="398">
        <v>45028</v>
      </c>
      <c r="I100" s="398">
        <v>46123</v>
      </c>
      <c r="J100" s="564" t="s">
        <v>2648</v>
      </c>
    </row>
    <row r="101" spans="1:10" ht="12.5" hidden="1" thickTop="1">
      <c r="A101" s="569">
        <v>431</v>
      </c>
      <c r="B101" s="565" t="s">
        <v>2744</v>
      </c>
      <c r="C101" s="565" t="s">
        <v>2709</v>
      </c>
      <c r="D101" s="565" t="s">
        <v>2633</v>
      </c>
      <c r="E101" s="565" t="s">
        <v>2634</v>
      </c>
      <c r="F101" s="565" t="s">
        <v>2155</v>
      </c>
      <c r="G101" s="565">
        <v>2023</v>
      </c>
      <c r="H101" s="399">
        <v>45028</v>
      </c>
      <c r="I101" s="399">
        <v>46123</v>
      </c>
      <c r="J101" s="565" t="s">
        <v>2733</v>
      </c>
    </row>
    <row r="102" spans="1:10" ht="12.5" hidden="1" thickTop="1">
      <c r="A102" s="568">
        <v>432</v>
      </c>
      <c r="B102" s="564" t="s">
        <v>2722</v>
      </c>
      <c r="C102" s="564" t="s">
        <v>2709</v>
      </c>
      <c r="D102" s="564" t="s">
        <v>2633</v>
      </c>
      <c r="E102" s="564" t="s">
        <v>2634</v>
      </c>
      <c r="F102" s="564" t="s">
        <v>2155</v>
      </c>
      <c r="G102" s="564">
        <v>2023</v>
      </c>
      <c r="H102" s="398">
        <v>45028</v>
      </c>
      <c r="I102" s="398">
        <v>46123</v>
      </c>
      <c r="J102" s="564" t="s">
        <v>2170</v>
      </c>
    </row>
    <row r="103" spans="1:10" ht="12.5" hidden="1" thickTop="1">
      <c r="A103" s="569">
        <v>433</v>
      </c>
      <c r="B103" s="565" t="s">
        <v>2720</v>
      </c>
      <c r="C103" s="565" t="s">
        <v>2745</v>
      </c>
      <c r="D103" s="565" t="s">
        <v>2633</v>
      </c>
      <c r="E103" s="565" t="s">
        <v>2634</v>
      </c>
      <c r="F103" s="565" t="s">
        <v>2155</v>
      </c>
      <c r="G103" s="565">
        <v>2023</v>
      </c>
      <c r="H103" s="399">
        <v>45030</v>
      </c>
      <c r="I103" s="399">
        <v>46125</v>
      </c>
      <c r="J103" s="565" t="s">
        <v>2170</v>
      </c>
    </row>
    <row r="104" spans="1:10" ht="12.5" hidden="1" thickTop="1">
      <c r="A104" s="568">
        <v>434</v>
      </c>
      <c r="B104" s="564" t="s">
        <v>2746</v>
      </c>
      <c r="C104" s="564" t="s">
        <v>2747</v>
      </c>
      <c r="D104" s="564" t="s">
        <v>2633</v>
      </c>
      <c r="E104" s="564" t="s">
        <v>2634</v>
      </c>
      <c r="F104" s="564" t="s">
        <v>2155</v>
      </c>
      <c r="G104" s="564">
        <v>2023</v>
      </c>
      <c r="H104" s="398">
        <v>45041</v>
      </c>
      <c r="I104" s="398">
        <v>46136</v>
      </c>
      <c r="J104" s="564" t="s">
        <v>2748</v>
      </c>
    </row>
    <row r="105" spans="1:10" ht="12.5" hidden="1" thickTop="1">
      <c r="A105" s="569">
        <v>435</v>
      </c>
      <c r="B105" s="565" t="s">
        <v>2148</v>
      </c>
      <c r="C105" s="565" t="s">
        <v>2749</v>
      </c>
      <c r="D105" s="565" t="s">
        <v>2633</v>
      </c>
      <c r="E105" s="565" t="s">
        <v>2634</v>
      </c>
      <c r="F105" s="565" t="s">
        <v>2155</v>
      </c>
      <c r="G105" s="565">
        <v>2023</v>
      </c>
      <c r="H105" s="399">
        <v>45041</v>
      </c>
      <c r="I105" s="399">
        <v>46136</v>
      </c>
      <c r="J105" s="565" t="s">
        <v>2170</v>
      </c>
    </row>
    <row r="106" spans="1:10" ht="12.5" hidden="1" thickTop="1">
      <c r="A106" s="568">
        <v>436</v>
      </c>
      <c r="B106" s="564" t="s">
        <v>2750</v>
      </c>
      <c r="C106" s="564" t="s">
        <v>2751</v>
      </c>
      <c r="D106" s="564" t="s">
        <v>2633</v>
      </c>
      <c r="E106" s="564" t="s">
        <v>2634</v>
      </c>
      <c r="F106" s="564" t="s">
        <v>2155</v>
      </c>
      <c r="G106" s="564">
        <v>2023</v>
      </c>
      <c r="H106" s="398">
        <v>45041</v>
      </c>
      <c r="I106" s="398">
        <v>46136</v>
      </c>
      <c r="J106" s="564" t="s">
        <v>2170</v>
      </c>
    </row>
    <row r="107" spans="1:10" ht="12.5" hidden="1" thickTop="1">
      <c r="A107" s="569">
        <v>437</v>
      </c>
      <c r="B107" s="565" t="s">
        <v>2752</v>
      </c>
      <c r="C107" s="565" t="s">
        <v>2753</v>
      </c>
      <c r="D107" s="565" t="s">
        <v>2633</v>
      </c>
      <c r="E107" s="565" t="s">
        <v>2634</v>
      </c>
      <c r="F107" s="565" t="s">
        <v>2155</v>
      </c>
      <c r="G107" s="565">
        <v>2023</v>
      </c>
      <c r="H107" s="399">
        <v>45041</v>
      </c>
      <c r="I107" s="399">
        <v>46136</v>
      </c>
      <c r="J107" s="565" t="s">
        <v>2178</v>
      </c>
    </row>
    <row r="108" spans="1:10" ht="12.5" hidden="1" thickTop="1">
      <c r="A108" s="568">
        <v>438</v>
      </c>
      <c r="B108" s="564" t="s">
        <v>2754</v>
      </c>
      <c r="C108" s="564" t="s">
        <v>2735</v>
      </c>
      <c r="D108" s="564" t="s">
        <v>2633</v>
      </c>
      <c r="E108" s="564" t="s">
        <v>2634</v>
      </c>
      <c r="F108" s="564" t="s">
        <v>2155</v>
      </c>
      <c r="G108" s="564">
        <v>2023</v>
      </c>
      <c r="H108" s="398">
        <v>45041</v>
      </c>
      <c r="I108" s="398">
        <v>46136</v>
      </c>
      <c r="J108" s="564" t="s">
        <v>2648</v>
      </c>
    </row>
    <row r="109" spans="1:10" ht="12.5" hidden="1" thickTop="1">
      <c r="A109" s="569">
        <v>439</v>
      </c>
      <c r="B109" s="565" t="s">
        <v>2148</v>
      </c>
      <c r="C109" s="565" t="s">
        <v>2755</v>
      </c>
      <c r="D109" s="565" t="s">
        <v>2633</v>
      </c>
      <c r="E109" s="565" t="s">
        <v>2634</v>
      </c>
      <c r="F109" s="565" t="s">
        <v>2155</v>
      </c>
      <c r="G109" s="565">
        <v>2023</v>
      </c>
      <c r="H109" s="399">
        <v>45055</v>
      </c>
      <c r="I109" s="399">
        <v>46150</v>
      </c>
      <c r="J109" s="565" t="s">
        <v>2170</v>
      </c>
    </row>
    <row r="110" spans="1:10" ht="12.5" hidden="1" thickTop="1">
      <c r="A110" s="568">
        <v>440</v>
      </c>
      <c r="B110" s="564" t="s">
        <v>2756</v>
      </c>
      <c r="C110" s="564" t="s">
        <v>2757</v>
      </c>
      <c r="D110" s="564" t="s">
        <v>2633</v>
      </c>
      <c r="E110" s="564" t="s">
        <v>2634</v>
      </c>
      <c r="F110" s="564" t="s">
        <v>2155</v>
      </c>
      <c r="G110" s="564">
        <v>2023</v>
      </c>
      <c r="H110" s="398">
        <v>45070</v>
      </c>
      <c r="I110" s="398">
        <v>46165</v>
      </c>
      <c r="J110" s="564" t="s">
        <v>2178</v>
      </c>
    </row>
    <row r="111" spans="1:10" ht="12.5" hidden="1" thickTop="1">
      <c r="A111" s="569">
        <v>441</v>
      </c>
      <c r="B111" s="565" t="s">
        <v>2148</v>
      </c>
      <c r="C111" s="565" t="s">
        <v>2758</v>
      </c>
      <c r="D111" s="565" t="s">
        <v>2633</v>
      </c>
      <c r="E111" s="565" t="s">
        <v>2634</v>
      </c>
      <c r="F111" s="565" t="s">
        <v>2155</v>
      </c>
      <c r="G111" s="565">
        <v>2023</v>
      </c>
      <c r="H111" s="399">
        <v>45070</v>
      </c>
      <c r="I111" s="399">
        <v>46165</v>
      </c>
      <c r="J111" s="565" t="s">
        <v>2251</v>
      </c>
    </row>
    <row r="112" spans="1:10" ht="12.5" hidden="1" thickTop="1">
      <c r="A112" s="568">
        <v>442</v>
      </c>
      <c r="B112" s="564" t="s">
        <v>2148</v>
      </c>
      <c r="C112" s="564" t="s">
        <v>2294</v>
      </c>
      <c r="D112" s="564" t="s">
        <v>2633</v>
      </c>
      <c r="E112" s="564" t="s">
        <v>2634</v>
      </c>
      <c r="F112" s="564" t="s">
        <v>2155</v>
      </c>
      <c r="G112" s="564">
        <v>2023</v>
      </c>
      <c r="H112" s="398">
        <v>45080</v>
      </c>
      <c r="I112" s="398">
        <v>46175</v>
      </c>
      <c r="J112" s="564" t="s">
        <v>2170</v>
      </c>
    </row>
    <row r="113" spans="1:10" ht="12.5" hidden="1" thickTop="1">
      <c r="A113" s="569">
        <v>443</v>
      </c>
      <c r="B113" s="565" t="s">
        <v>2759</v>
      </c>
      <c r="C113" s="565" t="s">
        <v>2760</v>
      </c>
      <c r="D113" s="565" t="s">
        <v>2633</v>
      </c>
      <c r="E113" s="565" t="s">
        <v>2634</v>
      </c>
      <c r="F113" s="565" t="s">
        <v>2155</v>
      </c>
      <c r="G113" s="565">
        <v>2023</v>
      </c>
      <c r="H113" s="399">
        <v>45083</v>
      </c>
      <c r="I113" s="399">
        <v>46178</v>
      </c>
      <c r="J113" s="565" t="s">
        <v>2648</v>
      </c>
    </row>
    <row r="114" spans="1:10" ht="12.5" hidden="1" thickTop="1">
      <c r="A114" s="568">
        <v>444</v>
      </c>
      <c r="B114" s="564" t="s">
        <v>2148</v>
      </c>
      <c r="C114" s="564" t="s">
        <v>2761</v>
      </c>
      <c r="D114" s="564" t="s">
        <v>2633</v>
      </c>
      <c r="E114" s="564" t="s">
        <v>2634</v>
      </c>
      <c r="F114" s="564" t="s">
        <v>2155</v>
      </c>
      <c r="G114" s="564">
        <v>2023</v>
      </c>
      <c r="H114" s="398">
        <v>45090</v>
      </c>
      <c r="I114" s="398">
        <v>46185</v>
      </c>
      <c r="J114" s="564" t="s">
        <v>2675</v>
      </c>
    </row>
    <row r="115" spans="1:10" ht="12.5" hidden="1" thickTop="1">
      <c r="A115" s="569">
        <v>445</v>
      </c>
      <c r="B115" s="565" t="s">
        <v>2723</v>
      </c>
      <c r="C115" s="565" t="s">
        <v>2762</v>
      </c>
      <c r="D115" s="565" t="s">
        <v>2633</v>
      </c>
      <c r="E115" s="565" t="s">
        <v>2634</v>
      </c>
      <c r="F115" s="565" t="s">
        <v>2155</v>
      </c>
      <c r="G115" s="565">
        <v>2023</v>
      </c>
      <c r="H115" s="399">
        <v>45090</v>
      </c>
      <c r="I115" s="399">
        <v>46185</v>
      </c>
      <c r="J115" s="565" t="s">
        <v>2648</v>
      </c>
    </row>
    <row r="116" spans="1:10" ht="12.5" hidden="1" thickTop="1">
      <c r="A116" s="568">
        <v>446</v>
      </c>
      <c r="B116" s="564" t="s">
        <v>2756</v>
      </c>
      <c r="C116" s="564" t="s">
        <v>2594</v>
      </c>
      <c r="D116" s="564" t="s">
        <v>2633</v>
      </c>
      <c r="E116" s="564" t="s">
        <v>2634</v>
      </c>
      <c r="F116" s="564" t="s">
        <v>2155</v>
      </c>
      <c r="G116" s="564">
        <v>2023</v>
      </c>
      <c r="H116" s="398">
        <v>45097</v>
      </c>
      <c r="I116" s="398">
        <v>46192</v>
      </c>
      <c r="J116" s="564" t="s">
        <v>2716</v>
      </c>
    </row>
    <row r="117" spans="1:10" ht="12.5" hidden="1" thickTop="1">
      <c r="A117" s="569">
        <v>447</v>
      </c>
      <c r="B117" s="565" t="s">
        <v>2763</v>
      </c>
      <c r="C117" s="565" t="s">
        <v>2764</v>
      </c>
      <c r="D117" s="565" t="s">
        <v>2633</v>
      </c>
      <c r="E117" s="565" t="s">
        <v>2634</v>
      </c>
      <c r="F117" s="565" t="s">
        <v>2155</v>
      </c>
      <c r="G117" s="565">
        <v>2023</v>
      </c>
      <c r="H117" s="399">
        <v>45099</v>
      </c>
      <c r="I117" s="399">
        <v>46194</v>
      </c>
      <c r="J117" s="565" t="s">
        <v>2251</v>
      </c>
    </row>
    <row r="118" spans="1:10" ht="12.5" hidden="1" thickTop="1">
      <c r="A118" s="568">
        <v>448</v>
      </c>
      <c r="B118" s="564" t="s">
        <v>2765</v>
      </c>
      <c r="C118" s="564" t="s">
        <v>2766</v>
      </c>
      <c r="D118" s="564" t="s">
        <v>2633</v>
      </c>
      <c r="E118" s="564" t="s">
        <v>2634</v>
      </c>
      <c r="F118" s="564" t="s">
        <v>2155</v>
      </c>
      <c r="G118" s="564">
        <v>2023</v>
      </c>
      <c r="H118" s="398">
        <v>45103</v>
      </c>
      <c r="I118" s="398">
        <v>46198</v>
      </c>
      <c r="J118" s="564" t="s">
        <v>2251</v>
      </c>
    </row>
    <row r="119" spans="1:10" ht="12.5" hidden="1" thickTop="1">
      <c r="A119" s="569">
        <v>449</v>
      </c>
      <c r="B119" s="565" t="s">
        <v>2148</v>
      </c>
      <c r="C119" s="565" t="s">
        <v>2767</v>
      </c>
      <c r="D119" s="565" t="s">
        <v>2633</v>
      </c>
      <c r="E119" s="565" t="s">
        <v>2634</v>
      </c>
      <c r="F119" s="565" t="s">
        <v>2155</v>
      </c>
      <c r="G119" s="565">
        <v>2023</v>
      </c>
      <c r="H119" s="399">
        <v>45103</v>
      </c>
      <c r="I119" s="399">
        <v>46198</v>
      </c>
      <c r="J119" s="565" t="s">
        <v>2251</v>
      </c>
    </row>
    <row r="120" spans="1:10" ht="12.5" hidden="1" thickTop="1">
      <c r="A120" s="568">
        <v>450</v>
      </c>
      <c r="B120" s="564" t="s">
        <v>2768</v>
      </c>
      <c r="C120" s="564" t="s">
        <v>2769</v>
      </c>
      <c r="D120" s="564" t="s">
        <v>2633</v>
      </c>
      <c r="E120" s="564" t="s">
        <v>2634</v>
      </c>
      <c r="F120" s="564" t="s">
        <v>2155</v>
      </c>
      <c r="G120" s="564">
        <v>2023</v>
      </c>
      <c r="H120" s="398">
        <v>45117</v>
      </c>
      <c r="I120" s="398">
        <v>46212</v>
      </c>
      <c r="J120" s="564" t="s">
        <v>2770</v>
      </c>
    </row>
    <row r="121" spans="1:10" ht="12.5" hidden="1" thickTop="1">
      <c r="A121" s="569">
        <v>451</v>
      </c>
      <c r="B121" s="565" t="s">
        <v>2771</v>
      </c>
      <c r="C121" s="565" t="s">
        <v>2772</v>
      </c>
      <c r="D121" s="565" t="s">
        <v>2633</v>
      </c>
      <c r="E121" s="565" t="s">
        <v>2634</v>
      </c>
      <c r="F121" s="565" t="s">
        <v>2155</v>
      </c>
      <c r="G121" s="565">
        <v>2023</v>
      </c>
      <c r="H121" s="399">
        <v>45134</v>
      </c>
      <c r="I121" s="399">
        <v>46229</v>
      </c>
      <c r="J121" s="565" t="s">
        <v>2170</v>
      </c>
    </row>
    <row r="122" spans="1:10" ht="12.5" hidden="1" thickTop="1">
      <c r="A122" s="568">
        <v>452</v>
      </c>
      <c r="B122" s="564" t="s">
        <v>2773</v>
      </c>
      <c r="C122" s="564" t="s">
        <v>2774</v>
      </c>
      <c r="D122" s="564" t="s">
        <v>2633</v>
      </c>
      <c r="E122" s="564" t="s">
        <v>2634</v>
      </c>
      <c r="F122" s="564" t="s">
        <v>2155</v>
      </c>
      <c r="G122" s="564">
        <v>2023</v>
      </c>
      <c r="H122" s="398">
        <v>45189</v>
      </c>
      <c r="I122" s="398">
        <v>46284</v>
      </c>
      <c r="J122" s="564" t="s">
        <v>2251</v>
      </c>
    </row>
    <row r="123" spans="1:10" ht="12.5" hidden="1" thickTop="1">
      <c r="A123" s="569">
        <v>453</v>
      </c>
      <c r="B123" s="565" t="s">
        <v>2720</v>
      </c>
      <c r="C123" s="565" t="s">
        <v>2775</v>
      </c>
      <c r="D123" s="565" t="s">
        <v>2633</v>
      </c>
      <c r="E123" s="565" t="s">
        <v>2634</v>
      </c>
      <c r="F123" s="565" t="s">
        <v>2155</v>
      </c>
      <c r="G123" s="565">
        <v>2023</v>
      </c>
      <c r="H123" s="399">
        <v>45194</v>
      </c>
      <c r="I123" s="399">
        <v>46289</v>
      </c>
      <c r="J123" s="565" t="s">
        <v>2648</v>
      </c>
    </row>
    <row r="124" spans="1:10" ht="12.5" hidden="1" thickTop="1">
      <c r="A124" s="568">
        <v>454</v>
      </c>
      <c r="B124" s="564" t="s">
        <v>2776</v>
      </c>
      <c r="C124" s="564" t="s">
        <v>2777</v>
      </c>
      <c r="D124" s="564" t="s">
        <v>2633</v>
      </c>
      <c r="E124" s="564" t="s">
        <v>2634</v>
      </c>
      <c r="F124" s="564" t="s">
        <v>2155</v>
      </c>
      <c r="G124" s="564">
        <v>2023</v>
      </c>
      <c r="H124" s="398">
        <v>45196</v>
      </c>
      <c r="I124" s="398">
        <v>46291</v>
      </c>
      <c r="J124" s="564" t="s">
        <v>2251</v>
      </c>
    </row>
    <row r="125" spans="1:10" ht="12.5" hidden="1" thickTop="1">
      <c r="A125" s="569">
        <v>455</v>
      </c>
      <c r="B125" s="565" t="s">
        <v>2723</v>
      </c>
      <c r="C125" s="565" t="s">
        <v>2777</v>
      </c>
      <c r="D125" s="565" t="s">
        <v>2633</v>
      </c>
      <c r="E125" s="565" t="s">
        <v>2634</v>
      </c>
      <c r="F125" s="565" t="s">
        <v>2155</v>
      </c>
      <c r="G125" s="565">
        <v>2023</v>
      </c>
      <c r="H125" s="399">
        <v>45196</v>
      </c>
      <c r="I125" s="399">
        <v>46291</v>
      </c>
      <c r="J125" s="565" t="s">
        <v>2251</v>
      </c>
    </row>
    <row r="126" spans="1:10" ht="12.5" hidden="1" thickTop="1">
      <c r="A126" s="568">
        <v>456</v>
      </c>
      <c r="B126" s="564" t="s">
        <v>2778</v>
      </c>
      <c r="C126" s="564" t="s">
        <v>2779</v>
      </c>
      <c r="D126" s="564" t="s">
        <v>2633</v>
      </c>
      <c r="E126" s="564" t="s">
        <v>2634</v>
      </c>
      <c r="F126" s="564" t="s">
        <v>2155</v>
      </c>
      <c r="G126" s="564">
        <v>2023</v>
      </c>
      <c r="H126" s="398">
        <v>45202</v>
      </c>
      <c r="I126" s="398">
        <v>46297</v>
      </c>
      <c r="J126" s="564" t="s">
        <v>2648</v>
      </c>
    </row>
    <row r="127" spans="1:10" ht="12.5" hidden="1" thickTop="1">
      <c r="A127" s="569">
        <v>457</v>
      </c>
      <c r="B127" s="565" t="s">
        <v>2780</v>
      </c>
      <c r="C127" s="565" t="s">
        <v>2779</v>
      </c>
      <c r="D127" s="565" t="s">
        <v>2633</v>
      </c>
      <c r="E127" s="565" t="s">
        <v>2634</v>
      </c>
      <c r="F127" s="565" t="s">
        <v>2155</v>
      </c>
      <c r="G127" s="565">
        <v>2023</v>
      </c>
      <c r="H127" s="399">
        <v>45202</v>
      </c>
      <c r="I127" s="399">
        <v>46297</v>
      </c>
      <c r="J127" s="565" t="s">
        <v>2251</v>
      </c>
    </row>
    <row r="128" spans="1:10" ht="12.5" hidden="1" thickTop="1">
      <c r="A128" s="568">
        <v>458</v>
      </c>
      <c r="B128" s="564" t="s">
        <v>2722</v>
      </c>
      <c r="C128" s="564" t="s">
        <v>2781</v>
      </c>
      <c r="D128" s="564" t="s">
        <v>2633</v>
      </c>
      <c r="E128" s="564" t="s">
        <v>2634</v>
      </c>
      <c r="F128" s="564" t="s">
        <v>2155</v>
      </c>
      <c r="G128" s="564">
        <v>2023</v>
      </c>
      <c r="H128" s="398">
        <v>45230</v>
      </c>
      <c r="I128" s="398">
        <v>46325</v>
      </c>
      <c r="J128" s="564" t="s">
        <v>2782</v>
      </c>
    </row>
    <row r="129" spans="1:10" ht="12.5" hidden="1" thickTop="1">
      <c r="A129" s="569">
        <v>459</v>
      </c>
      <c r="B129" s="565" t="s">
        <v>2722</v>
      </c>
      <c r="C129" s="565" t="s">
        <v>2783</v>
      </c>
      <c r="D129" s="565" t="s">
        <v>2633</v>
      </c>
      <c r="E129" s="565" t="s">
        <v>2634</v>
      </c>
      <c r="F129" s="565" t="s">
        <v>2155</v>
      </c>
      <c r="G129" s="565">
        <v>2023</v>
      </c>
      <c r="H129" s="399">
        <v>45236</v>
      </c>
      <c r="I129" s="399">
        <v>46331</v>
      </c>
      <c r="J129" s="565" t="s">
        <v>2251</v>
      </c>
    </row>
    <row r="130" spans="1:10" ht="12.5" hidden="1" thickTop="1">
      <c r="A130" s="568">
        <v>460</v>
      </c>
      <c r="B130" s="564" t="s">
        <v>2148</v>
      </c>
      <c r="C130" s="564" t="s">
        <v>2783</v>
      </c>
      <c r="D130" s="564" t="s">
        <v>2633</v>
      </c>
      <c r="E130" s="564" t="s">
        <v>2634</v>
      </c>
      <c r="F130" s="564" t="s">
        <v>2155</v>
      </c>
      <c r="G130" s="564">
        <v>2023</v>
      </c>
      <c r="H130" s="398">
        <v>45267</v>
      </c>
      <c r="I130" s="398">
        <v>46362</v>
      </c>
      <c r="J130" s="564" t="s">
        <v>2648</v>
      </c>
    </row>
    <row r="131" spans="1:10" ht="12.5" hidden="1" thickTop="1">
      <c r="A131" s="569">
        <v>461</v>
      </c>
      <c r="B131" s="565" t="s">
        <v>2776</v>
      </c>
      <c r="C131" s="565" t="s">
        <v>2784</v>
      </c>
      <c r="D131" s="565" t="s">
        <v>2633</v>
      </c>
      <c r="E131" s="565" t="s">
        <v>2634</v>
      </c>
      <c r="F131" s="565" t="s">
        <v>2155</v>
      </c>
      <c r="G131" s="565">
        <v>2023</v>
      </c>
      <c r="H131" s="399">
        <v>45275</v>
      </c>
      <c r="I131" s="399">
        <v>46370</v>
      </c>
      <c r="J131" s="565" t="s">
        <v>2648</v>
      </c>
    </row>
    <row r="132" spans="1:10" ht="12.5" hidden="1" thickTop="1">
      <c r="A132" s="568">
        <v>462</v>
      </c>
      <c r="B132" s="564" t="s">
        <v>2776</v>
      </c>
      <c r="C132" s="564" t="s">
        <v>2785</v>
      </c>
      <c r="D132" s="564" t="s">
        <v>2633</v>
      </c>
      <c r="E132" s="564" t="s">
        <v>2634</v>
      </c>
      <c r="F132" s="564" t="s">
        <v>2155</v>
      </c>
      <c r="G132" s="564">
        <v>2023</v>
      </c>
      <c r="H132" s="398">
        <v>45287</v>
      </c>
      <c r="I132" s="398">
        <v>46382</v>
      </c>
      <c r="J132" s="564" t="s">
        <v>2251</v>
      </c>
    </row>
    <row r="133" spans="1:10" ht="12.5" hidden="1" thickTop="1">
      <c r="A133" s="569">
        <v>463</v>
      </c>
      <c r="B133" s="565" t="s">
        <v>2148</v>
      </c>
      <c r="C133" s="565" t="s">
        <v>2786</v>
      </c>
      <c r="D133" s="565" t="s">
        <v>2633</v>
      </c>
      <c r="E133" s="565" t="s">
        <v>2634</v>
      </c>
      <c r="F133" s="565" t="s">
        <v>2155</v>
      </c>
      <c r="G133" s="565">
        <v>2023</v>
      </c>
      <c r="H133" s="399">
        <v>45287</v>
      </c>
      <c r="I133" s="399">
        <v>46382</v>
      </c>
      <c r="J133" s="565" t="s">
        <v>2251</v>
      </c>
    </row>
    <row r="134" spans="1:10" ht="12.5" hidden="1" thickTop="1">
      <c r="A134" s="568">
        <v>464</v>
      </c>
      <c r="B134" s="564" t="s">
        <v>2148</v>
      </c>
      <c r="C134" s="564" t="s">
        <v>2787</v>
      </c>
      <c r="D134" s="564" t="s">
        <v>2633</v>
      </c>
      <c r="E134" s="564" t="s">
        <v>2634</v>
      </c>
      <c r="F134" s="564" t="s">
        <v>2155</v>
      </c>
      <c r="G134" s="564">
        <v>2023</v>
      </c>
      <c r="H134" s="398">
        <v>45289</v>
      </c>
      <c r="I134" s="398">
        <v>46384</v>
      </c>
      <c r="J134" s="564" t="s">
        <v>2648</v>
      </c>
    </row>
    <row r="135" spans="1:10" ht="12.5" hidden="1" thickTop="1">
      <c r="A135" s="569">
        <v>483</v>
      </c>
      <c r="B135" s="565" t="s">
        <v>2820</v>
      </c>
      <c r="C135" s="565" t="s">
        <v>2821</v>
      </c>
      <c r="D135" s="565" t="s">
        <v>2792</v>
      </c>
      <c r="E135" s="565" t="s">
        <v>2796</v>
      </c>
      <c r="F135" s="565" t="s">
        <v>2155</v>
      </c>
      <c r="G135" s="565">
        <v>2023</v>
      </c>
      <c r="H135" s="399">
        <v>44977</v>
      </c>
      <c r="I135" s="399">
        <v>46802</v>
      </c>
      <c r="J135" s="565" t="s">
        <v>2822</v>
      </c>
    </row>
    <row r="136" spans="1:10" ht="12.5" hidden="1" thickTop="1">
      <c r="A136" s="568">
        <v>484</v>
      </c>
      <c r="B136" s="564" t="s">
        <v>2693</v>
      </c>
      <c r="C136" s="564" t="s">
        <v>2823</v>
      </c>
      <c r="D136" s="564" t="s">
        <v>2792</v>
      </c>
      <c r="E136" s="564" t="s">
        <v>2634</v>
      </c>
      <c r="F136" s="564" t="s">
        <v>2155</v>
      </c>
      <c r="G136" s="564">
        <v>2023</v>
      </c>
      <c r="H136" s="398">
        <v>45028</v>
      </c>
      <c r="I136" s="398">
        <v>46854</v>
      </c>
      <c r="J136" s="564" t="s">
        <v>2716</v>
      </c>
    </row>
    <row r="137" spans="1:10" ht="12.5" hidden="1" thickTop="1">
      <c r="A137" s="569">
        <v>485</v>
      </c>
      <c r="B137" s="565" t="s">
        <v>2824</v>
      </c>
      <c r="C137" s="565" t="s">
        <v>2825</v>
      </c>
      <c r="D137" s="565" t="s">
        <v>2792</v>
      </c>
      <c r="E137" s="565" t="s">
        <v>2634</v>
      </c>
      <c r="F137" s="565" t="s">
        <v>2155</v>
      </c>
      <c r="G137" s="565">
        <v>2023</v>
      </c>
      <c r="H137" s="399">
        <v>45145</v>
      </c>
      <c r="I137" s="399">
        <v>46971</v>
      </c>
      <c r="J137" s="565" t="s">
        <v>2770</v>
      </c>
    </row>
    <row r="138" spans="1:10" ht="12.5" hidden="1" thickTop="1">
      <c r="A138" s="568">
        <v>486</v>
      </c>
      <c r="B138" s="564" t="s">
        <v>2826</v>
      </c>
      <c r="C138" s="564" t="s">
        <v>2827</v>
      </c>
      <c r="D138" s="564" t="s">
        <v>2792</v>
      </c>
      <c r="E138" s="564" t="s">
        <v>2634</v>
      </c>
      <c r="F138" s="564" t="s">
        <v>2155</v>
      </c>
      <c r="G138" s="564">
        <v>2023</v>
      </c>
      <c r="H138" s="398">
        <v>45224</v>
      </c>
      <c r="I138" s="398">
        <v>47050</v>
      </c>
      <c r="J138" s="564" t="s">
        <v>2675</v>
      </c>
    </row>
    <row r="139" spans="1:10" ht="12.5" hidden="1" thickTop="1">
      <c r="A139" s="569">
        <v>487</v>
      </c>
      <c r="B139" s="565" t="s">
        <v>2828</v>
      </c>
      <c r="C139" s="565" t="s">
        <v>2827</v>
      </c>
      <c r="D139" s="565" t="s">
        <v>2792</v>
      </c>
      <c r="E139" s="565" t="s">
        <v>2634</v>
      </c>
      <c r="F139" s="565" t="s">
        <v>2155</v>
      </c>
      <c r="G139" s="565">
        <v>2023</v>
      </c>
      <c r="H139" s="399">
        <v>45226</v>
      </c>
      <c r="I139" s="399">
        <v>47052</v>
      </c>
      <c r="J139" s="565" t="s">
        <v>2675</v>
      </c>
    </row>
    <row r="140" spans="1:10" ht="12.5" hidden="1" thickTop="1">
      <c r="A140" s="568">
        <v>488</v>
      </c>
      <c r="B140" s="564" t="s">
        <v>2148</v>
      </c>
      <c r="C140" s="564" t="s">
        <v>2829</v>
      </c>
      <c r="D140" s="564" t="s">
        <v>2830</v>
      </c>
      <c r="E140" s="564" t="s">
        <v>2634</v>
      </c>
      <c r="F140" s="564" t="s">
        <v>2831</v>
      </c>
      <c r="G140" s="564">
        <v>2023</v>
      </c>
      <c r="H140" s="398">
        <v>45048</v>
      </c>
      <c r="I140" s="398">
        <v>45231</v>
      </c>
      <c r="J140" s="564" t="s">
        <v>2251</v>
      </c>
    </row>
    <row r="141" spans="1:10" ht="12.5" hidden="1" thickTop="1">
      <c r="A141" s="569">
        <v>489</v>
      </c>
      <c r="B141" s="565" t="s">
        <v>2148</v>
      </c>
      <c r="C141" s="565" t="s">
        <v>2832</v>
      </c>
      <c r="D141" s="565" t="s">
        <v>2830</v>
      </c>
      <c r="E141" s="565" t="s">
        <v>2793</v>
      </c>
      <c r="F141" s="565" t="s">
        <v>2155</v>
      </c>
      <c r="G141" s="565">
        <v>2023</v>
      </c>
      <c r="H141" s="399">
        <v>45230</v>
      </c>
      <c r="I141" s="399">
        <v>45411</v>
      </c>
      <c r="J141" s="565" t="s">
        <v>2204</v>
      </c>
    </row>
    <row r="142" spans="1:10" ht="12.5" hidden="1" thickTop="1">
      <c r="A142" s="568">
        <v>490</v>
      </c>
      <c r="B142" s="564" t="s">
        <v>2165</v>
      </c>
      <c r="C142" s="564" t="s">
        <v>2215</v>
      </c>
      <c r="D142" s="564" t="s">
        <v>2830</v>
      </c>
      <c r="E142" s="564" t="s">
        <v>2263</v>
      </c>
      <c r="F142" s="564" t="s">
        <v>2155</v>
      </c>
      <c r="G142" s="564">
        <v>2023</v>
      </c>
      <c r="H142" s="398">
        <v>45253</v>
      </c>
      <c r="I142" s="398">
        <v>45434</v>
      </c>
      <c r="J142" s="564" t="s">
        <v>2142</v>
      </c>
    </row>
    <row r="143" spans="1:10" ht="12.5" hidden="1" thickTop="1">
      <c r="A143" s="569">
        <v>491</v>
      </c>
      <c r="B143" s="565" t="s">
        <v>2148</v>
      </c>
      <c r="C143" s="565" t="s">
        <v>2225</v>
      </c>
      <c r="D143" s="565" t="s">
        <v>2830</v>
      </c>
      <c r="E143" s="565" t="s">
        <v>2169</v>
      </c>
      <c r="F143" s="565" t="s">
        <v>2155</v>
      </c>
      <c r="G143" s="565">
        <v>2023</v>
      </c>
      <c r="H143" s="399">
        <v>45279</v>
      </c>
      <c r="I143" s="399">
        <v>45461</v>
      </c>
      <c r="J143" s="565" t="s">
        <v>2299</v>
      </c>
    </row>
    <row r="144" spans="1:10" ht="12.5" hidden="1" thickTop="1">
      <c r="A144" s="568">
        <v>494</v>
      </c>
      <c r="B144" s="564" t="s">
        <v>2148</v>
      </c>
      <c r="C144" s="564" t="s">
        <v>2838</v>
      </c>
      <c r="D144" s="564" t="s">
        <v>2830</v>
      </c>
      <c r="E144" s="564" t="s">
        <v>2634</v>
      </c>
      <c r="F144" s="564" t="s">
        <v>2155</v>
      </c>
      <c r="G144" s="564">
        <v>2023</v>
      </c>
      <c r="H144" s="398">
        <v>45183</v>
      </c>
      <c r="I144" s="398">
        <v>45364</v>
      </c>
      <c r="J144" s="564" t="s">
        <v>2675</v>
      </c>
    </row>
    <row r="145" spans="1:10" ht="12.5" thickTop="1">
      <c r="A145" s="569">
        <v>598</v>
      </c>
      <c r="B145" s="565" t="s">
        <v>3049</v>
      </c>
      <c r="C145" s="565" t="s">
        <v>3050</v>
      </c>
      <c r="D145" s="565" t="s">
        <v>2926</v>
      </c>
      <c r="E145" s="565" t="s">
        <v>2817</v>
      </c>
      <c r="F145" s="565" t="s">
        <v>2155</v>
      </c>
      <c r="G145" s="565">
        <v>2023</v>
      </c>
      <c r="H145" s="399">
        <v>44950</v>
      </c>
      <c r="I145" s="399">
        <v>46410</v>
      </c>
      <c r="J145" s="565" t="s">
        <v>2251</v>
      </c>
    </row>
    <row r="146" spans="1:10">
      <c r="A146" s="568">
        <v>599</v>
      </c>
      <c r="B146" s="564" t="s">
        <v>3051</v>
      </c>
      <c r="C146" s="564" t="s">
        <v>3050</v>
      </c>
      <c r="D146" s="564" t="s">
        <v>2926</v>
      </c>
      <c r="E146" s="564" t="s">
        <v>2817</v>
      </c>
      <c r="F146" s="564" t="s">
        <v>2155</v>
      </c>
      <c r="G146" s="564">
        <v>2023</v>
      </c>
      <c r="H146" s="398">
        <v>44950</v>
      </c>
      <c r="I146" s="398">
        <v>46410</v>
      </c>
      <c r="J146" s="564" t="s">
        <v>3052</v>
      </c>
    </row>
    <row r="147" spans="1:10">
      <c r="A147" s="569">
        <v>600</v>
      </c>
      <c r="B147" s="565" t="s">
        <v>890</v>
      </c>
      <c r="C147" s="565" t="s">
        <v>3053</v>
      </c>
      <c r="D147" s="565" t="s">
        <v>2926</v>
      </c>
      <c r="E147" s="565" t="s">
        <v>2817</v>
      </c>
      <c r="F147" s="565" t="s">
        <v>2155</v>
      </c>
      <c r="G147" s="565">
        <v>2023</v>
      </c>
      <c r="H147" s="399">
        <v>44956</v>
      </c>
      <c r="I147" s="399">
        <v>46416</v>
      </c>
      <c r="J147" s="565" t="s">
        <v>3054</v>
      </c>
    </row>
    <row r="148" spans="1:10">
      <c r="A148" s="568">
        <v>601</v>
      </c>
      <c r="B148" s="564" t="s">
        <v>3055</v>
      </c>
      <c r="C148" s="564" t="s">
        <v>3056</v>
      </c>
      <c r="D148" s="564" t="s">
        <v>2926</v>
      </c>
      <c r="E148" s="564" t="s">
        <v>2812</v>
      </c>
      <c r="F148" s="564" t="s">
        <v>2155</v>
      </c>
      <c r="G148" s="564">
        <v>2023</v>
      </c>
      <c r="H148" s="398">
        <v>44958</v>
      </c>
      <c r="I148" s="398">
        <v>46418</v>
      </c>
      <c r="J148" s="564" t="s">
        <v>3057</v>
      </c>
    </row>
    <row r="149" spans="1:10">
      <c r="A149" s="569">
        <v>602</v>
      </c>
      <c r="B149" s="565" t="s">
        <v>3058</v>
      </c>
      <c r="C149" s="565" t="s">
        <v>3059</v>
      </c>
      <c r="D149" s="565" t="s">
        <v>2926</v>
      </c>
      <c r="E149" s="565" t="s">
        <v>2817</v>
      </c>
      <c r="F149" s="565" t="s">
        <v>2155</v>
      </c>
      <c r="G149" s="565">
        <v>2023</v>
      </c>
      <c r="H149" s="399">
        <v>44959</v>
      </c>
      <c r="I149" s="399">
        <v>46419</v>
      </c>
      <c r="J149" s="565" t="s">
        <v>2733</v>
      </c>
    </row>
    <row r="150" spans="1:10">
      <c r="A150" s="568">
        <v>603</v>
      </c>
      <c r="B150" s="564" t="s">
        <v>3060</v>
      </c>
      <c r="C150" s="564" t="s">
        <v>3061</v>
      </c>
      <c r="D150" s="564" t="s">
        <v>2926</v>
      </c>
      <c r="E150" s="564" t="s">
        <v>2634</v>
      </c>
      <c r="F150" s="564" t="s">
        <v>2155</v>
      </c>
      <c r="G150" s="564">
        <v>2023</v>
      </c>
      <c r="H150" s="398">
        <v>44959</v>
      </c>
      <c r="I150" s="398">
        <v>46419</v>
      </c>
      <c r="J150" s="564" t="s">
        <v>2148</v>
      </c>
    </row>
    <row r="151" spans="1:10">
      <c r="A151" s="569">
        <v>605</v>
      </c>
      <c r="B151" s="565" t="s">
        <v>3064</v>
      </c>
      <c r="C151" s="565" t="s">
        <v>3065</v>
      </c>
      <c r="D151" s="565" t="s">
        <v>2926</v>
      </c>
      <c r="E151" s="565" t="s">
        <v>2634</v>
      </c>
      <c r="F151" s="565" t="s">
        <v>2155</v>
      </c>
      <c r="G151" s="565">
        <v>2023</v>
      </c>
      <c r="H151" s="399">
        <v>44977</v>
      </c>
      <c r="I151" s="399">
        <v>46437</v>
      </c>
      <c r="J151" s="565" t="s">
        <v>3066</v>
      </c>
    </row>
    <row r="152" spans="1:10">
      <c r="A152" s="568">
        <v>606</v>
      </c>
      <c r="B152" s="564" t="s">
        <v>3067</v>
      </c>
      <c r="C152" s="564" t="s">
        <v>2726</v>
      </c>
      <c r="D152" s="564" t="s">
        <v>2926</v>
      </c>
      <c r="E152" s="564" t="s">
        <v>2634</v>
      </c>
      <c r="F152" s="564" t="s">
        <v>2155</v>
      </c>
      <c r="G152" s="564">
        <v>2023</v>
      </c>
      <c r="H152" s="398">
        <v>45006</v>
      </c>
      <c r="I152" s="398">
        <v>46466</v>
      </c>
      <c r="J152" s="564" t="s">
        <v>2648</v>
      </c>
    </row>
    <row r="153" spans="1:10">
      <c r="A153" s="569">
        <v>607</v>
      </c>
      <c r="B153" s="565" t="s">
        <v>3068</v>
      </c>
      <c r="C153" s="565" t="s">
        <v>3069</v>
      </c>
      <c r="D153" s="565" t="s">
        <v>2926</v>
      </c>
      <c r="E153" s="565" t="s">
        <v>2817</v>
      </c>
      <c r="F153" s="565" t="s">
        <v>2155</v>
      </c>
      <c r="G153" s="565">
        <v>2023</v>
      </c>
      <c r="H153" s="399">
        <v>45070</v>
      </c>
      <c r="I153" s="399">
        <v>46530</v>
      </c>
      <c r="J153" s="565" t="s">
        <v>3070</v>
      </c>
    </row>
    <row r="154" spans="1:10">
      <c r="A154" s="568">
        <v>608</v>
      </c>
      <c r="B154" s="564" t="s">
        <v>3071</v>
      </c>
      <c r="C154" s="564" t="s">
        <v>3072</v>
      </c>
      <c r="D154" s="564" t="s">
        <v>2926</v>
      </c>
      <c r="E154" s="564" t="s">
        <v>2817</v>
      </c>
      <c r="F154" s="564" t="s">
        <v>2155</v>
      </c>
      <c r="G154" s="564">
        <v>2023</v>
      </c>
      <c r="H154" s="398">
        <v>45070</v>
      </c>
      <c r="I154" s="398">
        <v>46530</v>
      </c>
      <c r="J154" s="564" t="s">
        <v>3073</v>
      </c>
    </row>
    <row r="155" spans="1:10">
      <c r="A155" s="569">
        <v>609</v>
      </c>
      <c r="B155" s="565" t="s">
        <v>3074</v>
      </c>
      <c r="C155" s="565" t="s">
        <v>2827</v>
      </c>
      <c r="D155" s="565" t="s">
        <v>2926</v>
      </c>
      <c r="E155" s="565" t="s">
        <v>2634</v>
      </c>
      <c r="F155" s="565" t="s">
        <v>2155</v>
      </c>
      <c r="G155" s="565">
        <v>2023</v>
      </c>
      <c r="H155" s="399">
        <v>45112</v>
      </c>
      <c r="I155" s="399">
        <v>46572</v>
      </c>
      <c r="J155" s="565" t="s">
        <v>2675</v>
      </c>
    </row>
    <row r="156" spans="1:10">
      <c r="A156" s="568">
        <v>610</v>
      </c>
      <c r="B156" s="564" t="s">
        <v>2148</v>
      </c>
      <c r="C156" s="564" t="s">
        <v>2795</v>
      </c>
      <c r="D156" s="564" t="s">
        <v>2926</v>
      </c>
      <c r="E156" s="564" t="s">
        <v>2796</v>
      </c>
      <c r="F156" s="564" t="s">
        <v>2155</v>
      </c>
      <c r="G156" s="564">
        <v>2023</v>
      </c>
      <c r="H156" s="398">
        <v>45112</v>
      </c>
      <c r="I156" s="398">
        <v>46572</v>
      </c>
      <c r="J156" s="564" t="s">
        <v>2797</v>
      </c>
    </row>
    <row r="157" spans="1:10">
      <c r="A157" s="569">
        <v>611</v>
      </c>
      <c r="B157" s="565" t="s">
        <v>3075</v>
      </c>
      <c r="C157" s="565" t="s">
        <v>3076</v>
      </c>
      <c r="D157" s="565" t="s">
        <v>2926</v>
      </c>
      <c r="E157" s="565" t="s">
        <v>2634</v>
      </c>
      <c r="F157" s="565" t="s">
        <v>2155</v>
      </c>
      <c r="G157" s="565">
        <v>2023</v>
      </c>
      <c r="H157" s="399">
        <v>45113</v>
      </c>
      <c r="I157" s="399">
        <v>46573</v>
      </c>
      <c r="J157" s="565" t="s">
        <v>2890</v>
      </c>
    </row>
    <row r="158" spans="1:10">
      <c r="A158" s="568">
        <v>612</v>
      </c>
      <c r="B158" s="564" t="s">
        <v>3077</v>
      </c>
      <c r="C158" s="564" t="s">
        <v>3078</v>
      </c>
      <c r="D158" s="564" t="s">
        <v>2926</v>
      </c>
      <c r="E158" s="564" t="s">
        <v>2704</v>
      </c>
      <c r="F158" s="564" t="s">
        <v>2155</v>
      </c>
      <c r="G158" s="564">
        <v>2023</v>
      </c>
      <c r="H158" s="398">
        <v>45117</v>
      </c>
      <c r="I158" s="398">
        <v>46577</v>
      </c>
      <c r="J158" s="564" t="s">
        <v>2733</v>
      </c>
    </row>
    <row r="159" spans="1:10">
      <c r="A159" s="569">
        <v>613</v>
      </c>
      <c r="B159" s="565" t="s">
        <v>3079</v>
      </c>
      <c r="C159" s="565" t="s">
        <v>3080</v>
      </c>
      <c r="D159" s="565" t="s">
        <v>2926</v>
      </c>
      <c r="E159" s="565" t="s">
        <v>2634</v>
      </c>
      <c r="F159" s="565" t="s">
        <v>2155</v>
      </c>
      <c r="G159" s="565">
        <v>2023</v>
      </c>
      <c r="H159" s="399">
        <v>45195</v>
      </c>
      <c r="I159" s="399">
        <v>46655</v>
      </c>
      <c r="J159" s="565" t="s">
        <v>2716</v>
      </c>
    </row>
    <row r="160" spans="1:10">
      <c r="A160" s="568">
        <v>614</v>
      </c>
      <c r="B160" s="564" t="s">
        <v>3081</v>
      </c>
      <c r="C160" s="564" t="s">
        <v>3082</v>
      </c>
      <c r="D160" s="564" t="s">
        <v>2926</v>
      </c>
      <c r="E160" s="564" t="s">
        <v>2634</v>
      </c>
      <c r="F160" s="564" t="s">
        <v>2155</v>
      </c>
      <c r="G160" s="564">
        <v>2023</v>
      </c>
      <c r="H160" s="398">
        <v>45195</v>
      </c>
      <c r="I160" s="398">
        <v>46655</v>
      </c>
      <c r="J160" s="564" t="s">
        <v>2961</v>
      </c>
    </row>
    <row r="161" spans="1:10">
      <c r="A161" s="569">
        <v>615</v>
      </c>
      <c r="B161" s="565" t="s">
        <v>3083</v>
      </c>
      <c r="C161" s="565" t="s">
        <v>3084</v>
      </c>
      <c r="D161" s="565" t="s">
        <v>2926</v>
      </c>
      <c r="E161" s="565" t="s">
        <v>2634</v>
      </c>
      <c r="F161" s="565" t="s">
        <v>2155</v>
      </c>
      <c r="G161" s="565">
        <v>2023</v>
      </c>
      <c r="H161" s="399">
        <v>45259</v>
      </c>
      <c r="I161" s="399">
        <v>46719</v>
      </c>
      <c r="J161" s="565" t="s">
        <v>3085</v>
      </c>
    </row>
    <row r="162" spans="1:10">
      <c r="A162" s="568">
        <v>616</v>
      </c>
      <c r="B162" s="564" t="s">
        <v>3086</v>
      </c>
      <c r="C162" s="564" t="s">
        <v>2992</v>
      </c>
      <c r="D162" s="564" t="s">
        <v>2926</v>
      </c>
      <c r="E162" s="564" t="s">
        <v>2634</v>
      </c>
      <c r="F162" s="564" t="s">
        <v>2155</v>
      </c>
      <c r="G162" s="564">
        <v>2023</v>
      </c>
      <c r="H162" s="398">
        <v>45260</v>
      </c>
      <c r="I162" s="398">
        <v>46720</v>
      </c>
      <c r="J162" s="564" t="s">
        <v>2976</v>
      </c>
    </row>
  </sheetData>
  <autoFilter ref="A4:J162" xr:uid="{00000000-0009-0000-0000-00002F000000}">
    <filterColumn colId="3">
      <filters>
        <filter val="PR"/>
      </filters>
    </filterColumn>
  </autoFilter>
  <hyperlinks>
    <hyperlink ref="A1" location="Sommaire!A1" display="Sommaire!A1" xr:uid="{00000000-0004-0000-2F00-00000000000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Feuil29"/>
  <dimension ref="A1:J13"/>
  <sheetViews>
    <sheetView workbookViewId="0"/>
  </sheetViews>
  <sheetFormatPr baseColWidth="10" defaultColWidth="11" defaultRowHeight="12"/>
  <cols>
    <col min="1" max="1" width="6.6640625" style="215" customWidth="1"/>
    <col min="2" max="2" width="14.33203125" style="215" bestFit="1" customWidth="1"/>
    <col min="3" max="3" width="51.1640625" style="215" bestFit="1" customWidth="1"/>
    <col min="4" max="4" width="5.1640625" style="215" bestFit="1" customWidth="1"/>
    <col min="5" max="5" width="10.1640625" style="215" bestFit="1" customWidth="1"/>
    <col min="6" max="6" width="18.33203125" style="215" bestFit="1" customWidth="1"/>
    <col min="7" max="7" width="6" style="215" bestFit="1" customWidth="1"/>
    <col min="8" max="8" width="9.33203125" style="215" bestFit="1" customWidth="1"/>
    <col min="9" max="9" width="9.5" style="215" bestFit="1" customWidth="1"/>
    <col min="10" max="10" width="20.6640625" style="215" bestFit="1" customWidth="1"/>
    <col min="11" max="16384" width="11" style="215"/>
  </cols>
  <sheetData>
    <row r="1" spans="1:10" ht="14.5">
      <c r="A1" s="566" t="s">
        <v>140</v>
      </c>
    </row>
    <row r="2" spans="1:10" s="272" customFormat="1" ht="20.5">
      <c r="A2" s="216" t="s">
        <v>3461</v>
      </c>
    </row>
    <row r="4" spans="1:10" ht="24.5" thickBot="1">
      <c r="A4" s="396" t="s">
        <v>2124</v>
      </c>
      <c r="B4" s="396" t="s">
        <v>2125</v>
      </c>
      <c r="C4" s="396" t="s">
        <v>2084</v>
      </c>
      <c r="D4" s="396" t="s">
        <v>2126</v>
      </c>
      <c r="E4" s="396" t="s">
        <v>2127</v>
      </c>
      <c r="F4" s="396" t="s">
        <v>2128</v>
      </c>
      <c r="G4" s="396" t="s">
        <v>2129</v>
      </c>
      <c r="H4" s="396" t="s">
        <v>2130</v>
      </c>
      <c r="I4" s="396" t="s">
        <v>3460</v>
      </c>
      <c r="J4" s="396" t="s">
        <v>2132</v>
      </c>
    </row>
    <row r="5" spans="1:10" ht="12.5" thickTop="1">
      <c r="A5" s="567">
        <v>165</v>
      </c>
      <c r="B5" s="563" t="s">
        <v>2284</v>
      </c>
      <c r="C5" s="563" t="s">
        <v>2377</v>
      </c>
      <c r="D5" s="563" t="s">
        <v>2315</v>
      </c>
      <c r="E5" s="563" t="s">
        <v>2324</v>
      </c>
      <c r="F5" s="563" t="s">
        <v>2137</v>
      </c>
      <c r="G5" s="563">
        <v>2023</v>
      </c>
      <c r="H5" s="397">
        <v>44971</v>
      </c>
      <c r="I5" s="397">
        <v>45335</v>
      </c>
      <c r="J5" s="563" t="s">
        <v>2192</v>
      </c>
    </row>
    <row r="6" spans="1:10">
      <c r="A6" s="568">
        <v>169</v>
      </c>
      <c r="B6" s="564" t="s">
        <v>2326</v>
      </c>
      <c r="C6" s="564" t="s">
        <v>2382</v>
      </c>
      <c r="D6" s="564" t="s">
        <v>2315</v>
      </c>
      <c r="E6" s="564" t="s">
        <v>2324</v>
      </c>
      <c r="F6" s="564" t="s">
        <v>2137</v>
      </c>
      <c r="G6" s="564">
        <v>2023</v>
      </c>
      <c r="H6" s="398">
        <v>44992</v>
      </c>
      <c r="I6" s="398">
        <v>45357</v>
      </c>
      <c r="J6" s="564" t="s">
        <v>2142</v>
      </c>
    </row>
    <row r="7" spans="1:10">
      <c r="A7" s="569">
        <v>177</v>
      </c>
      <c r="B7" s="565" t="s">
        <v>2397</v>
      </c>
      <c r="C7" s="565" t="s">
        <v>2398</v>
      </c>
      <c r="D7" s="565" t="s">
        <v>2315</v>
      </c>
      <c r="E7" s="565" t="s">
        <v>2141</v>
      </c>
      <c r="F7" s="565" t="s">
        <v>2137</v>
      </c>
      <c r="G7" s="565">
        <v>2023</v>
      </c>
      <c r="H7" s="399">
        <v>45019</v>
      </c>
      <c r="I7" s="399">
        <v>45384</v>
      </c>
      <c r="J7" s="565" t="s">
        <v>2399</v>
      </c>
    </row>
    <row r="8" spans="1:10">
      <c r="A8" s="568">
        <v>179</v>
      </c>
      <c r="B8" s="564" t="s">
        <v>2401</v>
      </c>
      <c r="C8" s="564" t="s">
        <v>2238</v>
      </c>
      <c r="D8" s="564" t="s">
        <v>2315</v>
      </c>
      <c r="E8" s="564" t="s">
        <v>2324</v>
      </c>
      <c r="F8" s="564" t="s">
        <v>2137</v>
      </c>
      <c r="G8" s="564">
        <v>2023</v>
      </c>
      <c r="H8" s="398">
        <v>45030</v>
      </c>
      <c r="I8" s="398">
        <v>45395</v>
      </c>
      <c r="J8" s="564" t="s">
        <v>2325</v>
      </c>
    </row>
    <row r="9" spans="1:10">
      <c r="A9" s="569">
        <v>180</v>
      </c>
      <c r="B9" s="565" t="s">
        <v>2348</v>
      </c>
      <c r="C9" s="565" t="s">
        <v>2402</v>
      </c>
      <c r="D9" s="565" t="s">
        <v>2315</v>
      </c>
      <c r="E9" s="565" t="s">
        <v>2324</v>
      </c>
      <c r="F9" s="565" t="s">
        <v>2137</v>
      </c>
      <c r="G9" s="565">
        <v>2023</v>
      </c>
      <c r="H9" s="399">
        <v>45041</v>
      </c>
      <c r="I9" s="399">
        <v>45406</v>
      </c>
      <c r="J9" s="565" t="s">
        <v>2325</v>
      </c>
    </row>
    <row r="10" spans="1:10">
      <c r="A10" s="568">
        <v>181</v>
      </c>
      <c r="B10" s="564" t="s">
        <v>2403</v>
      </c>
      <c r="C10" s="564" t="s">
        <v>2404</v>
      </c>
      <c r="D10" s="564" t="s">
        <v>2315</v>
      </c>
      <c r="E10" s="564" t="s">
        <v>2324</v>
      </c>
      <c r="F10" s="564" t="s">
        <v>2137</v>
      </c>
      <c r="G10" s="564">
        <v>2023</v>
      </c>
      <c r="H10" s="398">
        <v>45044</v>
      </c>
      <c r="I10" s="398">
        <v>45409</v>
      </c>
      <c r="J10" s="564" t="s">
        <v>2194</v>
      </c>
    </row>
    <row r="11" spans="1:10">
      <c r="A11" s="569">
        <v>184</v>
      </c>
      <c r="B11" s="565" t="s">
        <v>2378</v>
      </c>
      <c r="C11" s="565" t="s">
        <v>2409</v>
      </c>
      <c r="D11" s="565" t="s">
        <v>2315</v>
      </c>
      <c r="E11" s="565" t="s">
        <v>2324</v>
      </c>
      <c r="F11" s="565" t="s">
        <v>2137</v>
      </c>
      <c r="G11" s="565">
        <v>2023</v>
      </c>
      <c r="H11" s="399">
        <v>45063</v>
      </c>
      <c r="I11" s="399">
        <v>45428</v>
      </c>
      <c r="J11" s="565" t="s">
        <v>2325</v>
      </c>
    </row>
    <row r="12" spans="1:10">
      <c r="A12" s="568">
        <v>185</v>
      </c>
      <c r="B12" s="564" t="s">
        <v>2410</v>
      </c>
      <c r="C12" s="564" t="s">
        <v>2411</v>
      </c>
      <c r="D12" s="564" t="s">
        <v>2315</v>
      </c>
      <c r="E12" s="564" t="s">
        <v>2141</v>
      </c>
      <c r="F12" s="564" t="s">
        <v>2137</v>
      </c>
      <c r="G12" s="564">
        <v>2023</v>
      </c>
      <c r="H12" s="398">
        <v>45065</v>
      </c>
      <c r="I12" s="398">
        <v>45430</v>
      </c>
      <c r="J12" s="564" t="s">
        <v>2412</v>
      </c>
    </row>
    <row r="13" spans="1:10">
      <c r="A13" s="569">
        <v>211</v>
      </c>
      <c r="B13" s="565" t="s">
        <v>2453</v>
      </c>
      <c r="C13" s="565" t="s">
        <v>2400</v>
      </c>
      <c r="D13" s="565" t="s">
        <v>2315</v>
      </c>
      <c r="E13" s="565" t="s">
        <v>2216</v>
      </c>
      <c r="F13" s="565" t="s">
        <v>2137</v>
      </c>
      <c r="G13" s="565">
        <v>2023</v>
      </c>
      <c r="H13" s="399">
        <v>45217</v>
      </c>
      <c r="I13" s="399">
        <v>45582</v>
      </c>
      <c r="J13" s="565" t="s">
        <v>2142</v>
      </c>
    </row>
  </sheetData>
  <hyperlinks>
    <hyperlink ref="A1" location="Sommaire!A1" display="Sommaire!A1" xr:uid="{00000000-0004-0000-3000-000000000000}"/>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Feuil30"/>
  <dimension ref="A1:I9"/>
  <sheetViews>
    <sheetView workbookViewId="0"/>
  </sheetViews>
  <sheetFormatPr baseColWidth="10" defaultColWidth="11" defaultRowHeight="12"/>
  <cols>
    <col min="1" max="1" width="19.6640625" style="223" customWidth="1"/>
    <col min="2" max="2" width="15" style="223" bestFit="1" customWidth="1"/>
    <col min="3" max="3" width="24" style="223" bestFit="1" customWidth="1"/>
    <col min="4" max="4" width="20.6640625" style="223" bestFit="1" customWidth="1"/>
    <col min="5" max="5" width="22" style="223" bestFit="1" customWidth="1"/>
    <col min="6" max="6" width="14" style="223" bestFit="1" customWidth="1"/>
    <col min="7" max="7" width="13" style="223" bestFit="1" customWidth="1"/>
    <col min="8" max="8" width="20.33203125" style="223" bestFit="1" customWidth="1"/>
    <col min="9" max="9" width="35.33203125" style="223" bestFit="1" customWidth="1"/>
    <col min="10" max="16384" width="11" style="215"/>
  </cols>
  <sheetData>
    <row r="1" spans="1:9" ht="14.5">
      <c r="A1" s="560" t="s">
        <v>140</v>
      </c>
    </row>
    <row r="2" spans="1:9" s="272" customFormat="1" ht="20.5">
      <c r="A2" s="216" t="s">
        <v>3462</v>
      </c>
      <c r="B2" s="218"/>
      <c r="C2" s="395"/>
      <c r="D2" s="395"/>
      <c r="E2" s="395"/>
      <c r="F2" s="395"/>
      <c r="G2" s="395"/>
      <c r="H2" s="395"/>
      <c r="I2" s="395"/>
    </row>
    <row r="4" spans="1:9" ht="24.5" thickBot="1">
      <c r="A4" s="390" t="s">
        <v>3463</v>
      </c>
      <c r="B4" s="390" t="s">
        <v>3464</v>
      </c>
      <c r="C4" s="390" t="s">
        <v>3465</v>
      </c>
      <c r="D4" s="390" t="s">
        <v>3466</v>
      </c>
      <c r="E4" s="390" t="s">
        <v>3467</v>
      </c>
      <c r="F4" s="390" t="s">
        <v>3468</v>
      </c>
      <c r="G4" s="390" t="s">
        <v>3469</v>
      </c>
      <c r="H4" s="390" t="s">
        <v>3470</v>
      </c>
      <c r="I4" s="390" t="s">
        <v>3471</v>
      </c>
    </row>
    <row r="5" spans="1:9" ht="24.5" thickTop="1">
      <c r="A5" s="391" t="s">
        <v>2143</v>
      </c>
      <c r="B5" s="392">
        <v>45034</v>
      </c>
      <c r="C5" s="391" t="s">
        <v>3472</v>
      </c>
      <c r="D5" s="391" t="s">
        <v>3473</v>
      </c>
      <c r="E5" s="391" t="s">
        <v>3474</v>
      </c>
      <c r="F5" s="391" t="s">
        <v>3475</v>
      </c>
      <c r="G5" s="391"/>
      <c r="H5" s="391"/>
      <c r="I5" s="391"/>
    </row>
    <row r="6" spans="1:9">
      <c r="A6" s="393" t="s">
        <v>3476</v>
      </c>
      <c r="B6" s="394">
        <v>45145</v>
      </c>
      <c r="C6" s="393" t="s">
        <v>3477</v>
      </c>
      <c r="D6" s="393">
        <v>6829107</v>
      </c>
      <c r="E6" s="393" t="s">
        <v>3478</v>
      </c>
      <c r="F6" s="393" t="s">
        <v>3479</v>
      </c>
      <c r="G6" s="393"/>
      <c r="H6" s="393"/>
      <c r="I6" s="393"/>
    </row>
    <row r="7" spans="1:9">
      <c r="A7" s="391" t="s">
        <v>3476</v>
      </c>
      <c r="B7" s="392">
        <v>45177</v>
      </c>
      <c r="C7" s="391" t="s">
        <v>3480</v>
      </c>
      <c r="D7" s="391" t="s">
        <v>3481</v>
      </c>
      <c r="E7" s="391" t="s">
        <v>3482</v>
      </c>
      <c r="F7" s="391" t="s">
        <v>3479</v>
      </c>
      <c r="G7" s="391"/>
      <c r="H7" s="391"/>
      <c r="I7" s="391"/>
    </row>
    <row r="8" spans="1:9">
      <c r="A8" s="393" t="s">
        <v>3476</v>
      </c>
      <c r="B8" s="394">
        <v>45055</v>
      </c>
      <c r="C8" s="393" t="s">
        <v>3483</v>
      </c>
      <c r="D8" s="393">
        <v>2181692</v>
      </c>
      <c r="E8" s="393" t="s">
        <v>3484</v>
      </c>
      <c r="F8" s="393" t="s">
        <v>3475</v>
      </c>
      <c r="G8" s="393"/>
      <c r="H8" s="393"/>
      <c r="I8" s="393"/>
    </row>
    <row r="9" spans="1:9" ht="24">
      <c r="A9" s="391" t="s">
        <v>2929</v>
      </c>
      <c r="B9" s="392">
        <v>45147</v>
      </c>
      <c r="C9" s="391" t="s">
        <v>3485</v>
      </c>
      <c r="D9" s="391" t="s">
        <v>3486</v>
      </c>
      <c r="E9" s="391" t="s">
        <v>3487</v>
      </c>
      <c r="F9" s="391" t="s">
        <v>3475</v>
      </c>
      <c r="G9" s="391"/>
      <c r="H9" s="391"/>
      <c r="I9" s="391"/>
    </row>
  </sheetData>
  <hyperlinks>
    <hyperlink ref="A1" location="Sommaire!A1" display="Sommaire!A1" xr:uid="{00000000-0004-0000-3100-000000000000}"/>
  </hyperlinks>
  <pageMargins left="0.7" right="0.7" top="0.75" bottom="0.75" header="0.3" footer="0.3"/>
  <tableParts count="1">
    <tablePart r:id="rId1"/>
  </tablePart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Feuil31"/>
  <dimension ref="A1:AY379"/>
  <sheetViews>
    <sheetView workbookViewId="0"/>
  </sheetViews>
  <sheetFormatPr baseColWidth="10" defaultColWidth="10" defaultRowHeight="12"/>
  <cols>
    <col min="1" max="1" width="2.33203125" style="4" bestFit="1" customWidth="1"/>
    <col min="2" max="2" width="43.33203125" style="4" bestFit="1" customWidth="1"/>
    <col min="3" max="3" width="58.6640625" style="4" bestFit="1" customWidth="1"/>
    <col min="4" max="4" width="18" style="4" bestFit="1" customWidth="1"/>
    <col min="5" max="5" width="82.5" style="4" bestFit="1" customWidth="1"/>
    <col min="6" max="6" width="7.33203125" style="2" bestFit="1" customWidth="1"/>
    <col min="7" max="7" width="17.6640625" style="2" bestFit="1" customWidth="1"/>
    <col min="8" max="8" width="17.5" style="3" bestFit="1" customWidth="1"/>
    <col min="9" max="9" width="11.6640625" style="3" bestFit="1" customWidth="1"/>
    <col min="10" max="10" width="15" style="3" bestFit="1" customWidth="1"/>
    <col min="11" max="11" width="12.5" style="3" bestFit="1" customWidth="1"/>
    <col min="12" max="12" width="13.33203125" style="3" bestFit="1" customWidth="1"/>
    <col min="13" max="13" width="12.5" style="3" bestFit="1" customWidth="1"/>
    <col min="14" max="15" width="12.33203125" style="3" bestFit="1" customWidth="1"/>
    <col min="16" max="16384" width="10" style="3"/>
  </cols>
  <sheetData>
    <row r="1" spans="1:15" ht="14.5">
      <c r="B1" s="560" t="s">
        <v>140</v>
      </c>
    </row>
    <row r="2" spans="1:15" s="453" customFormat="1" ht="20.5">
      <c r="A2" s="452" t="s">
        <v>3488</v>
      </c>
      <c r="B2" s="448"/>
      <c r="C2" s="454"/>
      <c r="D2" s="454"/>
      <c r="E2" s="454"/>
      <c r="F2" s="455"/>
      <c r="G2" s="455"/>
    </row>
    <row r="3" spans="1:15">
      <c r="B3" s="3"/>
    </row>
    <row r="4" spans="1:15" s="448" customFormat="1" ht="19">
      <c r="A4" s="451" t="s">
        <v>3489</v>
      </c>
      <c r="C4" s="449"/>
      <c r="D4" s="449"/>
      <c r="E4" s="449"/>
      <c r="F4" s="450"/>
      <c r="G4" s="450"/>
    </row>
    <row r="6" spans="1:15" s="424" customFormat="1" ht="72.5" thickBot="1">
      <c r="A6" s="423" t="s">
        <v>143</v>
      </c>
      <c r="B6" s="423" t="s">
        <v>144</v>
      </c>
      <c r="C6" s="423" t="s">
        <v>3490</v>
      </c>
      <c r="D6" s="423" t="s">
        <v>3491</v>
      </c>
      <c r="E6" s="423" t="s">
        <v>3492</v>
      </c>
      <c r="F6" s="14" t="s">
        <v>3493</v>
      </c>
      <c r="G6" s="14" t="s">
        <v>3494</v>
      </c>
      <c r="H6" s="7" t="s">
        <v>3495</v>
      </c>
      <c r="I6" s="7" t="s">
        <v>3496</v>
      </c>
      <c r="J6" s="7" t="s">
        <v>3323</v>
      </c>
      <c r="K6" s="7" t="s">
        <v>3497</v>
      </c>
      <c r="L6" s="7" t="s">
        <v>3323</v>
      </c>
      <c r="M6" s="7" t="s">
        <v>3497</v>
      </c>
      <c r="N6" s="7" t="s">
        <v>3323</v>
      </c>
      <c r="O6" s="7" t="s">
        <v>3498</v>
      </c>
    </row>
    <row r="7" spans="1:15">
      <c r="A7" s="760">
        <v>1</v>
      </c>
      <c r="B7" s="425" t="s">
        <v>153</v>
      </c>
      <c r="C7" s="13" t="s">
        <v>3499</v>
      </c>
      <c r="D7" s="102">
        <v>6649729</v>
      </c>
      <c r="E7" s="426" t="s">
        <v>3500</v>
      </c>
      <c r="F7" s="106">
        <v>0</v>
      </c>
      <c r="G7" s="102">
        <v>73700100</v>
      </c>
      <c r="H7" s="9"/>
      <c r="I7" s="9"/>
      <c r="J7" s="9"/>
      <c r="K7" s="9"/>
      <c r="L7" s="9"/>
      <c r="M7" s="9"/>
      <c r="N7" s="9"/>
      <c r="O7" s="9"/>
    </row>
    <row r="8" spans="1:15">
      <c r="A8" s="759"/>
      <c r="B8" s="427" t="s">
        <v>153</v>
      </c>
      <c r="C8" s="13" t="s">
        <v>3501</v>
      </c>
      <c r="D8" s="102">
        <v>4956275</v>
      </c>
      <c r="E8" s="426" t="s">
        <v>3502</v>
      </c>
      <c r="F8" s="106">
        <v>0</v>
      </c>
      <c r="G8" s="102">
        <v>63360000</v>
      </c>
      <c r="H8" s="9"/>
      <c r="I8" s="9"/>
      <c r="J8" s="9"/>
      <c r="K8" s="9"/>
      <c r="L8" s="9"/>
      <c r="M8" s="9"/>
      <c r="N8" s="9"/>
      <c r="O8" s="9"/>
    </row>
    <row r="9" spans="1:15">
      <c r="A9" s="759"/>
      <c r="B9" s="427" t="s">
        <v>153</v>
      </c>
      <c r="C9" s="13" t="s">
        <v>3503</v>
      </c>
      <c r="D9" s="102"/>
      <c r="E9" s="426" t="s">
        <v>3504</v>
      </c>
      <c r="F9" s="106"/>
      <c r="G9" s="102"/>
      <c r="H9" s="9"/>
      <c r="I9" s="9"/>
      <c r="J9" s="9"/>
      <c r="K9" s="9"/>
      <c r="L9" s="9"/>
      <c r="M9" s="9"/>
      <c r="N9" s="9"/>
      <c r="O9" s="9"/>
    </row>
    <row r="10" spans="1:15">
      <c r="A10" s="759"/>
      <c r="B10" s="427" t="s">
        <v>153</v>
      </c>
      <c r="C10" s="13" t="s">
        <v>3505</v>
      </c>
      <c r="D10" s="102">
        <v>2083913</v>
      </c>
      <c r="E10" s="426" t="s">
        <v>3506</v>
      </c>
      <c r="F10" s="106">
        <v>0</v>
      </c>
      <c r="G10" s="102">
        <v>42008000</v>
      </c>
      <c r="H10" s="9"/>
      <c r="I10" s="9"/>
      <c r="J10" s="9"/>
      <c r="K10" s="9"/>
      <c r="L10" s="9"/>
      <c r="M10" s="9"/>
      <c r="N10" s="9"/>
      <c r="O10" s="9"/>
    </row>
    <row r="11" spans="1:15">
      <c r="A11" s="759"/>
      <c r="B11" s="427" t="s">
        <v>153</v>
      </c>
      <c r="C11" s="13" t="s">
        <v>3507</v>
      </c>
      <c r="D11" s="102">
        <v>14001</v>
      </c>
      <c r="E11" s="426" t="s">
        <v>3508</v>
      </c>
      <c r="F11" s="106">
        <v>0</v>
      </c>
      <c r="G11" s="102">
        <v>33477186</v>
      </c>
      <c r="H11" s="9"/>
      <c r="I11" s="9"/>
      <c r="J11" s="9"/>
      <c r="K11" s="9"/>
      <c r="L11" s="9"/>
      <c r="M11" s="9"/>
      <c r="N11" s="9"/>
      <c r="O11" s="9"/>
    </row>
    <row r="12" spans="1:15">
      <c r="A12" s="759"/>
      <c r="B12" s="427" t="s">
        <v>153</v>
      </c>
      <c r="C12" s="13" t="s">
        <v>3509</v>
      </c>
      <c r="D12" s="102">
        <v>2010734</v>
      </c>
      <c r="E12" s="426" t="s">
        <v>3510</v>
      </c>
      <c r="F12" s="106">
        <v>0</v>
      </c>
      <c r="G12" s="102">
        <v>37157397</v>
      </c>
      <c r="H12" s="9"/>
      <c r="I12" s="9"/>
      <c r="J12" s="9"/>
      <c r="K12" s="9"/>
      <c r="L12" s="9"/>
      <c r="M12" s="9"/>
      <c r="N12" s="9"/>
      <c r="O12" s="9"/>
    </row>
    <row r="13" spans="1:15">
      <c r="A13" s="759"/>
      <c r="B13" s="427" t="s">
        <v>153</v>
      </c>
      <c r="C13" s="13" t="s">
        <v>3511</v>
      </c>
      <c r="D13" s="102">
        <v>2553958</v>
      </c>
      <c r="E13" s="426" t="s">
        <v>3512</v>
      </c>
      <c r="F13" s="106">
        <v>0</v>
      </c>
      <c r="G13" s="102">
        <v>74592000</v>
      </c>
      <c r="H13" s="9"/>
      <c r="I13" s="9"/>
      <c r="J13" s="9"/>
      <c r="K13" s="9"/>
      <c r="L13" s="9"/>
      <c r="M13" s="9"/>
      <c r="N13" s="9"/>
      <c r="O13" s="9"/>
    </row>
    <row r="14" spans="1:15">
      <c r="A14" s="759"/>
      <c r="B14" s="427" t="s">
        <v>153</v>
      </c>
      <c r="C14" s="13" t="s">
        <v>3513</v>
      </c>
      <c r="D14" s="102"/>
      <c r="E14" s="13"/>
      <c r="F14" s="102">
        <v>1</v>
      </c>
      <c r="G14" s="102">
        <v>2000000000</v>
      </c>
      <c r="H14" s="9"/>
      <c r="I14" s="9"/>
      <c r="J14" s="9"/>
      <c r="K14" s="9"/>
      <c r="L14" s="9"/>
      <c r="M14" s="9"/>
      <c r="N14" s="9"/>
      <c r="O14" s="9"/>
    </row>
    <row r="15" spans="1:15">
      <c r="A15" s="759"/>
      <c r="B15" s="427" t="s">
        <v>153</v>
      </c>
      <c r="C15" s="13" t="s">
        <v>3514</v>
      </c>
      <c r="D15" s="102">
        <v>0</v>
      </c>
      <c r="E15" s="13">
        <v>0</v>
      </c>
      <c r="F15" s="106">
        <v>0</v>
      </c>
      <c r="G15" s="102">
        <v>0</v>
      </c>
      <c r="H15" s="9"/>
      <c r="I15" s="9"/>
      <c r="J15" s="9"/>
      <c r="K15" s="9"/>
      <c r="L15" s="9"/>
      <c r="M15" s="9"/>
      <c r="N15" s="9"/>
      <c r="O15" s="9"/>
    </row>
    <row r="16" spans="1:15">
      <c r="A16" s="33"/>
      <c r="B16" s="427" t="s">
        <v>153</v>
      </c>
      <c r="C16" s="13" t="s">
        <v>3515</v>
      </c>
      <c r="D16" s="102"/>
      <c r="E16" s="13"/>
      <c r="F16" s="106"/>
      <c r="G16" s="102">
        <v>536820249</v>
      </c>
      <c r="H16" s="9"/>
      <c r="I16" s="9"/>
      <c r="J16" s="9"/>
      <c r="K16" s="9"/>
      <c r="L16" s="9"/>
      <c r="M16" s="9"/>
      <c r="N16" s="9"/>
      <c r="O16" s="9"/>
    </row>
    <row r="17" spans="1:15">
      <c r="A17" s="758">
        <v>2</v>
      </c>
      <c r="B17" s="428" t="s">
        <v>155</v>
      </c>
      <c r="C17" s="3" t="s">
        <v>3507</v>
      </c>
      <c r="D17" s="429">
        <v>14001</v>
      </c>
      <c r="E17" s="3" t="s">
        <v>3516</v>
      </c>
      <c r="F17" s="108">
        <v>1</v>
      </c>
      <c r="G17" s="108">
        <v>5755400</v>
      </c>
      <c r="H17" s="4"/>
      <c r="I17" s="4"/>
      <c r="J17" s="108"/>
      <c r="K17" s="4"/>
      <c r="L17" s="430">
        <v>5755400</v>
      </c>
      <c r="M17" s="4"/>
      <c r="N17" s="4"/>
      <c r="O17" s="4"/>
    </row>
    <row r="18" spans="1:15">
      <c r="A18" s="758"/>
      <c r="B18" s="428" t="s">
        <v>155</v>
      </c>
      <c r="C18" s="3" t="s">
        <v>3517</v>
      </c>
      <c r="D18" s="429">
        <v>7744530</v>
      </c>
      <c r="E18" s="3" t="s">
        <v>3518</v>
      </c>
      <c r="F18" s="108">
        <v>1</v>
      </c>
      <c r="G18" s="108">
        <v>31439</v>
      </c>
      <c r="H18" s="4"/>
      <c r="I18" s="4"/>
      <c r="J18" s="108">
        <v>203767</v>
      </c>
      <c r="K18" s="4"/>
      <c r="L18" s="430">
        <v>31439</v>
      </c>
      <c r="M18" s="4"/>
      <c r="N18" s="4"/>
      <c r="O18" s="4"/>
    </row>
    <row r="19" spans="1:15">
      <c r="A19" s="758"/>
      <c r="B19" s="428" t="s">
        <v>155</v>
      </c>
      <c r="C19" s="3" t="s">
        <v>3509</v>
      </c>
      <c r="D19" s="429">
        <v>186061</v>
      </c>
      <c r="E19" s="3" t="s">
        <v>3519</v>
      </c>
      <c r="F19" s="108">
        <v>1</v>
      </c>
      <c r="G19" s="108">
        <v>15722700</v>
      </c>
      <c r="H19" s="4"/>
      <c r="I19" s="4"/>
      <c r="J19" s="108">
        <v>7682800</v>
      </c>
      <c r="K19" s="4"/>
      <c r="L19" s="430">
        <v>15722700</v>
      </c>
      <c r="M19" s="4"/>
      <c r="N19" s="4"/>
      <c r="O19" s="4"/>
    </row>
    <row r="20" spans="1:15">
      <c r="A20" s="758"/>
      <c r="B20" s="428" t="s">
        <v>155</v>
      </c>
      <c r="C20" s="3" t="s">
        <v>3520</v>
      </c>
      <c r="D20" s="429">
        <v>2822618</v>
      </c>
      <c r="E20" s="3" t="s">
        <v>3521</v>
      </c>
      <c r="F20" s="108">
        <v>1</v>
      </c>
      <c r="G20" s="108">
        <v>29304000</v>
      </c>
      <c r="H20" s="4"/>
      <c r="I20" s="4"/>
      <c r="J20" s="108">
        <v>14652000</v>
      </c>
      <c r="K20" s="4"/>
      <c r="L20" s="430">
        <v>29304000</v>
      </c>
      <c r="M20" s="4"/>
      <c r="N20" s="4"/>
      <c r="O20" s="4"/>
    </row>
    <row r="21" spans="1:15">
      <c r="A21" s="758"/>
      <c r="B21" s="428" t="s">
        <v>155</v>
      </c>
      <c r="C21" s="3" t="s">
        <v>602</v>
      </c>
      <c r="D21" s="429">
        <v>82694</v>
      </c>
      <c r="E21" s="3" t="s">
        <v>3522</v>
      </c>
      <c r="F21" s="108">
        <v>1</v>
      </c>
      <c r="G21" s="108">
        <v>68571337</v>
      </c>
      <c r="H21" s="4"/>
      <c r="I21" s="4"/>
      <c r="J21" s="108">
        <v>624779</v>
      </c>
      <c r="K21" s="4"/>
      <c r="L21" s="430">
        <v>68571337</v>
      </c>
      <c r="M21" s="4"/>
      <c r="N21" s="4"/>
      <c r="O21" s="4"/>
    </row>
    <row r="22" spans="1:15">
      <c r="A22" s="758"/>
      <c r="B22" s="428" t="s">
        <v>155</v>
      </c>
      <c r="C22" s="3" t="s">
        <v>3523</v>
      </c>
      <c r="D22" s="429">
        <v>4873316</v>
      </c>
      <c r="E22" s="3" t="s">
        <v>3524</v>
      </c>
      <c r="F22" s="108">
        <v>1</v>
      </c>
      <c r="G22" s="108">
        <v>33938350</v>
      </c>
      <c r="H22" s="4"/>
      <c r="I22" s="4"/>
      <c r="J22" s="108">
        <v>9909600</v>
      </c>
      <c r="K22" s="4"/>
      <c r="L22" s="4"/>
      <c r="M22" s="4"/>
      <c r="N22" s="4"/>
      <c r="O22" s="4"/>
    </row>
    <row r="23" spans="1:15">
      <c r="A23" s="758"/>
      <c r="B23" s="428" t="s">
        <v>155</v>
      </c>
      <c r="C23" s="3" t="s">
        <v>3525</v>
      </c>
      <c r="D23" s="429">
        <v>4908698</v>
      </c>
      <c r="E23" s="3" t="s">
        <v>3526</v>
      </c>
      <c r="F23" s="108">
        <v>1</v>
      </c>
      <c r="G23" s="108">
        <v>711956</v>
      </c>
      <c r="H23" s="4"/>
      <c r="I23" s="4"/>
      <c r="J23" s="108">
        <v>312553</v>
      </c>
      <c r="K23" s="4"/>
      <c r="L23" s="4"/>
      <c r="M23" s="4"/>
      <c r="N23" s="4"/>
      <c r="O23" s="4"/>
    </row>
    <row r="24" spans="1:15">
      <c r="A24" s="758"/>
      <c r="B24" s="428" t="s">
        <v>155</v>
      </c>
      <c r="C24" s="3" t="s">
        <v>3527</v>
      </c>
      <c r="D24" s="429">
        <v>2704460</v>
      </c>
      <c r="E24" s="3" t="s">
        <v>3528</v>
      </c>
      <c r="F24" s="108">
        <v>1</v>
      </c>
      <c r="G24" s="108">
        <v>12000000</v>
      </c>
      <c r="H24" s="4"/>
      <c r="I24" s="4"/>
      <c r="J24" s="108">
        <v>4800000</v>
      </c>
      <c r="K24" s="4"/>
      <c r="L24" s="4"/>
      <c r="M24" s="4"/>
      <c r="N24" s="4"/>
      <c r="O24" s="4"/>
    </row>
    <row r="25" spans="1:15">
      <c r="A25" s="758"/>
      <c r="B25" s="428" t="s">
        <v>155</v>
      </c>
      <c r="C25" s="3" t="s">
        <v>3529</v>
      </c>
      <c r="D25" s="429">
        <v>3108843</v>
      </c>
      <c r="E25" s="3" t="s">
        <v>3530</v>
      </c>
      <c r="F25" s="108">
        <v>1</v>
      </c>
      <c r="G25" s="108">
        <v>3439200</v>
      </c>
      <c r="H25" s="4"/>
      <c r="I25" s="4"/>
      <c r="J25" s="108">
        <v>1543149</v>
      </c>
      <c r="K25" s="4"/>
      <c r="L25" s="4"/>
      <c r="M25" s="4"/>
      <c r="N25" s="4"/>
      <c r="O25" s="4"/>
    </row>
    <row r="26" spans="1:15">
      <c r="A26" s="758"/>
      <c r="B26" s="428" t="s">
        <v>155</v>
      </c>
      <c r="C26" s="3" t="s">
        <v>3531</v>
      </c>
      <c r="D26" s="429">
        <v>451865</v>
      </c>
      <c r="E26" s="3" t="s">
        <v>3532</v>
      </c>
      <c r="F26" s="108">
        <v>1</v>
      </c>
      <c r="G26" s="108">
        <v>44747500</v>
      </c>
      <c r="H26" s="4"/>
      <c r="I26" s="4"/>
      <c r="J26" s="108">
        <v>10747500</v>
      </c>
      <c r="K26" s="4"/>
      <c r="L26" s="4"/>
      <c r="M26" s="4"/>
      <c r="N26" s="4"/>
      <c r="O26" s="4"/>
    </row>
    <row r="27" spans="1:15">
      <c r="A27" s="758"/>
      <c r="B27" s="428" t="s">
        <v>155</v>
      </c>
      <c r="C27" s="3" t="s">
        <v>3533</v>
      </c>
      <c r="D27" s="429">
        <v>7443865</v>
      </c>
      <c r="E27" s="3" t="s">
        <v>3534</v>
      </c>
      <c r="F27" s="108">
        <v>1</v>
      </c>
      <c r="G27" s="108">
        <v>2370077</v>
      </c>
      <c r="H27" s="4"/>
      <c r="I27" s="4"/>
      <c r="J27" s="108">
        <v>1354050</v>
      </c>
      <c r="K27" s="4"/>
      <c r="L27" s="4"/>
      <c r="M27" s="4"/>
      <c r="N27" s="4"/>
      <c r="O27" s="4"/>
    </row>
    <row r="28" spans="1:15">
      <c r="A28" s="758"/>
      <c r="B28" s="428" t="s">
        <v>155</v>
      </c>
      <c r="C28" s="3" t="s">
        <v>3535</v>
      </c>
      <c r="D28" s="429">
        <v>438548</v>
      </c>
      <c r="E28" s="3" t="s">
        <v>3536</v>
      </c>
      <c r="F28" s="108">
        <v>1</v>
      </c>
      <c r="G28" s="108">
        <v>40699040</v>
      </c>
      <c r="H28" s="4"/>
      <c r="I28" s="4"/>
      <c r="J28" s="108">
        <v>3000000</v>
      </c>
      <c r="K28" s="4"/>
      <c r="L28" s="4"/>
      <c r="M28" s="4"/>
      <c r="N28" s="4"/>
      <c r="O28" s="4"/>
    </row>
    <row r="29" spans="1:15">
      <c r="A29" s="758"/>
      <c r="B29" s="428" t="s">
        <v>155</v>
      </c>
      <c r="C29" s="3" t="s">
        <v>3537</v>
      </c>
      <c r="D29" s="429">
        <v>5852919</v>
      </c>
      <c r="E29" s="3"/>
      <c r="F29" s="108">
        <v>1</v>
      </c>
      <c r="G29" s="108">
        <v>20000000</v>
      </c>
      <c r="H29" s="4"/>
      <c r="I29" s="4"/>
      <c r="J29" s="108">
        <v>20000000</v>
      </c>
      <c r="K29" s="4"/>
      <c r="L29" s="4"/>
      <c r="M29" s="4"/>
      <c r="N29" s="4"/>
      <c r="O29" s="4"/>
    </row>
    <row r="30" spans="1:15">
      <c r="A30" s="758"/>
      <c r="B30" s="428" t="s">
        <v>155</v>
      </c>
      <c r="C30" s="3" t="s">
        <v>3538</v>
      </c>
      <c r="D30" s="429">
        <v>26674</v>
      </c>
      <c r="E30" s="3"/>
      <c r="F30" s="108">
        <v>1</v>
      </c>
      <c r="G30" s="108">
        <v>15458299</v>
      </c>
      <c r="H30" s="4"/>
      <c r="I30" s="4"/>
      <c r="J30" s="108">
        <v>15458299</v>
      </c>
      <c r="K30" s="4"/>
      <c r="L30" s="4"/>
      <c r="M30" s="4"/>
      <c r="N30" s="4"/>
      <c r="O30" s="4"/>
    </row>
    <row r="31" spans="1:15">
      <c r="A31" s="758"/>
      <c r="B31" s="428" t="s">
        <v>155</v>
      </c>
      <c r="C31" s="3" t="s">
        <v>3539</v>
      </c>
      <c r="D31" s="429">
        <v>4765626</v>
      </c>
      <c r="E31" s="3"/>
      <c r="F31" s="108">
        <v>1</v>
      </c>
      <c r="G31" s="108">
        <v>30500000</v>
      </c>
      <c r="H31" s="4"/>
      <c r="I31" s="4"/>
      <c r="J31" s="108">
        <v>30500000</v>
      </c>
      <c r="K31" s="4"/>
      <c r="L31" s="4"/>
      <c r="M31" s="4"/>
      <c r="N31" s="4"/>
      <c r="O31" s="4"/>
    </row>
    <row r="32" spans="1:15">
      <c r="A32" s="758"/>
      <c r="B32" s="428" t="s">
        <v>155</v>
      </c>
      <c r="C32" s="3">
        <v>0</v>
      </c>
      <c r="D32" s="429"/>
      <c r="E32" s="3"/>
      <c r="F32" s="108">
        <v>0</v>
      </c>
      <c r="G32" s="108">
        <v>0</v>
      </c>
      <c r="H32" s="4"/>
      <c r="I32" s="4"/>
      <c r="J32" s="108"/>
      <c r="K32" s="4"/>
      <c r="L32" s="4"/>
      <c r="M32" s="4"/>
      <c r="N32" s="4"/>
      <c r="O32" s="4"/>
    </row>
    <row r="33" spans="1:15">
      <c r="A33" s="759">
        <v>3</v>
      </c>
      <c r="B33" s="427" t="s">
        <v>159</v>
      </c>
      <c r="C33" s="35" t="s">
        <v>3540</v>
      </c>
      <c r="D33" s="35"/>
      <c r="E33" s="35"/>
      <c r="F33" s="102">
        <v>1</v>
      </c>
      <c r="G33" s="431">
        <v>171139920</v>
      </c>
      <c r="H33" s="35"/>
      <c r="I33" s="35"/>
      <c r="J33" s="35"/>
      <c r="K33" s="35"/>
      <c r="L33" s="35"/>
      <c r="M33" s="35"/>
      <c r="N33" s="35"/>
      <c r="O33" s="35"/>
    </row>
    <row r="34" spans="1:15">
      <c r="A34" s="759"/>
      <c r="B34" s="427" t="s">
        <v>159</v>
      </c>
      <c r="C34" s="35" t="s">
        <v>3541</v>
      </c>
      <c r="D34" s="35"/>
      <c r="E34" s="35"/>
      <c r="F34" s="102">
        <v>1</v>
      </c>
      <c r="G34" s="431">
        <v>58911200</v>
      </c>
      <c r="H34" s="35"/>
      <c r="I34" s="35"/>
      <c r="J34" s="35"/>
      <c r="K34" s="35"/>
      <c r="L34" s="35"/>
      <c r="M34" s="35"/>
      <c r="N34" s="35"/>
      <c r="O34" s="35"/>
    </row>
    <row r="35" spans="1:15">
      <c r="A35" s="759"/>
      <c r="B35" s="427" t="s">
        <v>159</v>
      </c>
      <c r="C35" s="35" t="s">
        <v>3542</v>
      </c>
      <c r="D35" s="35"/>
      <c r="E35" s="35"/>
      <c r="F35" s="102">
        <v>1</v>
      </c>
      <c r="G35" s="431">
        <v>48694650</v>
      </c>
      <c r="H35" s="35"/>
      <c r="I35" s="35"/>
      <c r="J35" s="35"/>
      <c r="K35" s="35"/>
      <c r="L35" s="35"/>
      <c r="M35" s="35"/>
      <c r="N35" s="35"/>
      <c r="O35" s="35"/>
    </row>
    <row r="36" spans="1:15">
      <c r="A36" s="759"/>
      <c r="B36" s="427" t="s">
        <v>159</v>
      </c>
      <c r="C36" s="35" t="s">
        <v>3543</v>
      </c>
      <c r="D36" s="35"/>
      <c r="E36" s="35"/>
      <c r="F36" s="102">
        <v>1</v>
      </c>
      <c r="G36" s="431">
        <v>36000000</v>
      </c>
      <c r="H36" s="35"/>
      <c r="I36" s="35"/>
      <c r="J36" s="35"/>
      <c r="K36" s="35"/>
      <c r="L36" s="35"/>
      <c r="M36" s="35"/>
      <c r="N36" s="35"/>
      <c r="O36" s="35"/>
    </row>
    <row r="37" spans="1:15">
      <c r="A37" s="759"/>
      <c r="B37" s="427" t="s">
        <v>159</v>
      </c>
      <c r="C37" s="35" t="s">
        <v>3544</v>
      </c>
      <c r="D37" s="35"/>
      <c r="E37" s="35"/>
      <c r="F37" s="102">
        <v>1</v>
      </c>
      <c r="G37" s="431">
        <v>35173533</v>
      </c>
      <c r="H37" s="35"/>
      <c r="I37" s="35"/>
      <c r="J37" s="35"/>
      <c r="K37" s="35"/>
      <c r="L37" s="35"/>
      <c r="M37" s="35"/>
      <c r="N37" s="35"/>
      <c r="O37" s="35"/>
    </row>
    <row r="38" spans="1:15">
      <c r="A38" s="759"/>
      <c r="B38" s="427" t="s">
        <v>159</v>
      </c>
      <c r="C38" s="35" t="s">
        <v>3545</v>
      </c>
      <c r="D38" s="35"/>
      <c r="E38" s="35"/>
      <c r="F38" s="102">
        <v>1</v>
      </c>
      <c r="G38" s="431">
        <v>33726762</v>
      </c>
      <c r="H38" s="35"/>
      <c r="I38" s="35"/>
      <c r="J38" s="35"/>
      <c r="K38" s="35"/>
      <c r="L38" s="35"/>
      <c r="M38" s="35"/>
      <c r="N38" s="35"/>
      <c r="O38" s="35"/>
    </row>
    <row r="39" spans="1:15">
      <c r="A39" s="759"/>
      <c r="B39" s="427" t="s">
        <v>159</v>
      </c>
      <c r="C39" s="35" t="s">
        <v>3546</v>
      </c>
      <c r="D39" s="35"/>
      <c r="E39" s="35"/>
      <c r="F39" s="102">
        <v>1</v>
      </c>
      <c r="G39" s="431">
        <v>33007800</v>
      </c>
      <c r="H39" s="35"/>
      <c r="I39" s="35"/>
      <c r="J39" s="35"/>
      <c r="K39" s="35"/>
      <c r="L39" s="35"/>
      <c r="M39" s="35"/>
      <c r="N39" s="35"/>
      <c r="O39" s="35"/>
    </row>
    <row r="40" spans="1:15">
      <c r="A40" s="759"/>
      <c r="B40" s="427" t="s">
        <v>159</v>
      </c>
      <c r="C40" s="35" t="s">
        <v>3547</v>
      </c>
      <c r="D40" s="35"/>
      <c r="E40" s="35"/>
      <c r="F40" s="102">
        <v>1</v>
      </c>
      <c r="G40" s="431">
        <v>32525075</v>
      </c>
      <c r="H40" s="35"/>
      <c r="I40" s="35"/>
      <c r="J40" s="35"/>
      <c r="K40" s="35"/>
      <c r="L40" s="35"/>
      <c r="M40" s="35"/>
      <c r="N40" s="35"/>
      <c r="O40" s="35"/>
    </row>
    <row r="41" spans="1:15">
      <c r="A41" s="759"/>
      <c r="B41" s="427" t="s">
        <v>159</v>
      </c>
      <c r="C41" s="35" t="s">
        <v>3548</v>
      </c>
      <c r="D41" s="35"/>
      <c r="E41" s="35"/>
      <c r="F41" s="102">
        <v>1</v>
      </c>
      <c r="G41" s="431">
        <v>11072320</v>
      </c>
      <c r="H41" s="35"/>
      <c r="I41" s="35"/>
      <c r="J41" s="35"/>
      <c r="K41" s="35"/>
      <c r="L41" s="35"/>
      <c r="M41" s="35"/>
      <c r="N41" s="35"/>
      <c r="O41" s="35"/>
    </row>
    <row r="42" spans="1:15">
      <c r="A42" s="759"/>
      <c r="B42" s="427" t="s">
        <v>159</v>
      </c>
      <c r="C42" s="35" t="s">
        <v>3549</v>
      </c>
      <c r="D42" s="35"/>
      <c r="E42" s="35"/>
      <c r="F42" s="102">
        <v>1</v>
      </c>
      <c r="G42" s="431">
        <v>10542396</v>
      </c>
      <c r="H42" s="35"/>
      <c r="I42" s="35"/>
      <c r="J42" s="35"/>
      <c r="K42" s="35"/>
      <c r="L42" s="35"/>
      <c r="M42" s="35"/>
      <c r="N42" s="35"/>
      <c r="O42" s="35"/>
    </row>
    <row r="43" spans="1:15">
      <c r="A43" s="759"/>
      <c r="B43" s="427" t="s">
        <v>159</v>
      </c>
      <c r="C43" s="35" t="s">
        <v>3550</v>
      </c>
      <c r="D43" s="35"/>
      <c r="E43" s="35"/>
      <c r="F43" s="102">
        <v>1</v>
      </c>
      <c r="G43" s="431">
        <v>25000000</v>
      </c>
      <c r="H43" s="35"/>
      <c r="I43" s="35"/>
      <c r="J43" s="35"/>
      <c r="K43" s="35"/>
      <c r="L43" s="35"/>
      <c r="M43" s="35"/>
      <c r="N43" s="35"/>
      <c r="O43" s="35"/>
    </row>
    <row r="44" spans="1:15">
      <c r="A44" s="759"/>
      <c r="B44" s="427" t="s">
        <v>159</v>
      </c>
      <c r="C44" s="35" t="s">
        <v>3551</v>
      </c>
      <c r="D44" s="35"/>
      <c r="E44" s="35"/>
      <c r="F44" s="102">
        <v>1</v>
      </c>
      <c r="G44" s="431">
        <v>9560033</v>
      </c>
      <c r="H44" s="35"/>
      <c r="I44" s="35"/>
      <c r="J44" s="35"/>
      <c r="K44" s="35"/>
      <c r="L44" s="35"/>
      <c r="M44" s="35"/>
      <c r="N44" s="35"/>
      <c r="O44" s="35"/>
    </row>
    <row r="45" spans="1:15">
      <c r="A45" s="759"/>
      <c r="B45" s="427" t="s">
        <v>159</v>
      </c>
      <c r="C45" s="35" t="s">
        <v>3552</v>
      </c>
      <c r="D45" s="35"/>
      <c r="E45" s="35"/>
      <c r="F45" s="102">
        <v>1</v>
      </c>
      <c r="G45" s="431">
        <v>9414761</v>
      </c>
      <c r="H45" s="35"/>
      <c r="I45" s="35"/>
      <c r="J45" s="35"/>
      <c r="K45" s="35"/>
      <c r="L45" s="35"/>
      <c r="M45" s="35"/>
      <c r="N45" s="35"/>
      <c r="O45" s="35"/>
    </row>
    <row r="46" spans="1:15">
      <c r="A46" s="759"/>
      <c r="B46" s="427" t="s">
        <v>159</v>
      </c>
      <c r="C46" s="35" t="s">
        <v>3553</v>
      </c>
      <c r="D46" s="35"/>
      <c r="E46" s="35"/>
      <c r="F46" s="102">
        <v>1</v>
      </c>
      <c r="G46" s="431">
        <v>7587928</v>
      </c>
      <c r="H46" s="35"/>
      <c r="I46" s="35"/>
      <c r="J46" s="35"/>
      <c r="K46" s="35"/>
      <c r="L46" s="35"/>
      <c r="M46" s="35"/>
      <c r="N46" s="35"/>
      <c r="O46" s="35"/>
    </row>
    <row r="47" spans="1:15">
      <c r="A47" s="759"/>
      <c r="B47" s="427" t="s">
        <v>159</v>
      </c>
      <c r="C47" s="35" t="s">
        <v>3554</v>
      </c>
      <c r="D47" s="35"/>
      <c r="E47" s="35"/>
      <c r="F47" s="102">
        <v>1</v>
      </c>
      <c r="G47" s="431">
        <v>8975052</v>
      </c>
      <c r="H47" s="35"/>
      <c r="I47" s="35"/>
      <c r="J47" s="35"/>
      <c r="K47" s="35"/>
      <c r="L47" s="35"/>
      <c r="M47" s="35"/>
      <c r="N47" s="35"/>
      <c r="O47" s="35"/>
    </row>
    <row r="48" spans="1:15">
      <c r="A48" s="759"/>
      <c r="B48" s="427" t="s">
        <v>159</v>
      </c>
      <c r="C48" s="35" t="s">
        <v>3555</v>
      </c>
      <c r="D48" s="35"/>
      <c r="E48" s="35"/>
      <c r="F48" s="102">
        <v>1</v>
      </c>
      <c r="G48" s="431">
        <v>8761528</v>
      </c>
      <c r="H48" s="35"/>
      <c r="I48" s="35"/>
      <c r="J48" s="35"/>
      <c r="K48" s="35"/>
      <c r="L48" s="35"/>
      <c r="M48" s="35"/>
      <c r="N48" s="35"/>
      <c r="O48" s="35"/>
    </row>
    <row r="49" spans="1:15">
      <c r="A49" s="759"/>
      <c r="B49" s="427" t="s">
        <v>159</v>
      </c>
      <c r="C49" s="35" t="s">
        <v>3556</v>
      </c>
      <c r="D49" s="35"/>
      <c r="E49" s="35"/>
      <c r="F49" s="102">
        <v>1</v>
      </c>
      <c r="G49" s="431">
        <v>8379360</v>
      </c>
      <c r="H49" s="35"/>
      <c r="I49" s="35"/>
      <c r="J49" s="35"/>
      <c r="K49" s="35"/>
      <c r="L49" s="35"/>
      <c r="M49" s="35"/>
      <c r="N49" s="35"/>
      <c r="O49" s="35"/>
    </row>
    <row r="50" spans="1:15">
      <c r="A50" s="759"/>
      <c r="B50" s="427" t="s">
        <v>159</v>
      </c>
      <c r="C50" s="35" t="s">
        <v>3557</v>
      </c>
      <c r="D50" s="35"/>
      <c r="E50" s="35"/>
      <c r="F50" s="102">
        <v>1</v>
      </c>
      <c r="G50" s="431">
        <v>7254000</v>
      </c>
      <c r="H50" s="35"/>
      <c r="I50" s="35"/>
      <c r="J50" s="35"/>
      <c r="K50" s="35"/>
      <c r="L50" s="35"/>
      <c r="M50" s="35"/>
      <c r="N50" s="35"/>
      <c r="O50" s="35"/>
    </row>
    <row r="51" spans="1:15">
      <c r="A51" s="759"/>
      <c r="B51" s="427" t="s">
        <v>159</v>
      </c>
      <c r="C51" s="35" t="s">
        <v>3558</v>
      </c>
      <c r="D51" s="35"/>
      <c r="E51" s="35"/>
      <c r="F51" s="102">
        <v>1</v>
      </c>
      <c r="G51" s="431">
        <v>5358340</v>
      </c>
      <c r="H51" s="35"/>
      <c r="I51" s="35"/>
      <c r="J51" s="35"/>
      <c r="K51" s="35"/>
      <c r="L51" s="35"/>
      <c r="M51" s="35"/>
      <c r="N51" s="35"/>
      <c r="O51" s="35"/>
    </row>
    <row r="52" spans="1:15">
      <c r="A52" s="759"/>
      <c r="B52" s="427" t="s">
        <v>159</v>
      </c>
      <c r="C52" s="35" t="s">
        <v>3559</v>
      </c>
      <c r="D52" s="35"/>
      <c r="E52" s="35"/>
      <c r="F52" s="102">
        <v>1</v>
      </c>
      <c r="G52" s="431">
        <v>5215358</v>
      </c>
      <c r="H52" s="35"/>
      <c r="I52" s="35"/>
      <c r="J52" s="35"/>
      <c r="K52" s="35"/>
      <c r="L52" s="35"/>
      <c r="M52" s="35"/>
      <c r="N52" s="35"/>
      <c r="O52" s="35"/>
    </row>
    <row r="53" spans="1:15">
      <c r="A53" s="759"/>
      <c r="B53" s="427" t="s">
        <v>159</v>
      </c>
      <c r="C53" s="35" t="s">
        <v>3560</v>
      </c>
      <c r="D53" s="35"/>
      <c r="E53" s="35"/>
      <c r="F53" s="102">
        <v>1</v>
      </c>
      <c r="G53" s="431">
        <v>5100000</v>
      </c>
      <c r="H53" s="35"/>
      <c r="I53" s="35"/>
      <c r="J53" s="35"/>
      <c r="K53" s="35"/>
      <c r="L53" s="35"/>
      <c r="M53" s="35"/>
      <c r="N53" s="35"/>
      <c r="O53" s="35"/>
    </row>
    <row r="54" spans="1:15">
      <c r="A54" s="759"/>
      <c r="B54" s="427" t="s">
        <v>159</v>
      </c>
      <c r="C54" s="35" t="s">
        <v>3561</v>
      </c>
      <c r="D54" s="35"/>
      <c r="E54" s="35"/>
      <c r="F54" s="102">
        <v>1</v>
      </c>
      <c r="G54" s="431">
        <v>5048750</v>
      </c>
      <c r="H54" s="35"/>
      <c r="I54" s="35"/>
      <c r="J54" s="35"/>
      <c r="K54" s="35"/>
      <c r="L54" s="35"/>
      <c r="M54" s="35"/>
      <c r="N54" s="35"/>
      <c r="O54" s="35"/>
    </row>
    <row r="55" spans="1:15">
      <c r="A55" s="759"/>
      <c r="B55" s="427" t="s">
        <v>159</v>
      </c>
      <c r="C55" s="35" t="s">
        <v>3562</v>
      </c>
      <c r="D55" s="35"/>
      <c r="E55" s="35"/>
      <c r="F55" s="102">
        <v>1</v>
      </c>
      <c r="G55" s="431">
        <v>4901904</v>
      </c>
      <c r="H55" s="35"/>
      <c r="I55" s="35"/>
      <c r="J55" s="35"/>
      <c r="K55" s="35"/>
      <c r="L55" s="35"/>
      <c r="M55" s="35"/>
      <c r="N55" s="35"/>
      <c r="O55" s="35"/>
    </row>
    <row r="56" spans="1:15">
      <c r="A56" s="759"/>
      <c r="B56" s="427" t="s">
        <v>159</v>
      </c>
      <c r="C56" s="35" t="s">
        <v>3563</v>
      </c>
      <c r="D56" s="35"/>
      <c r="E56" s="35"/>
      <c r="F56" s="102">
        <v>1</v>
      </c>
      <c r="G56" s="431">
        <v>4373142</v>
      </c>
      <c r="H56" s="35"/>
      <c r="I56" s="35"/>
      <c r="J56" s="35"/>
      <c r="K56" s="35"/>
      <c r="L56" s="35"/>
      <c r="M56" s="35"/>
      <c r="N56" s="35"/>
      <c r="O56" s="35"/>
    </row>
    <row r="57" spans="1:15">
      <c r="A57" s="759"/>
      <c r="B57" s="427" t="s">
        <v>159</v>
      </c>
      <c r="C57" s="35" t="s">
        <v>3564</v>
      </c>
      <c r="D57" s="35"/>
      <c r="E57" s="35"/>
      <c r="F57" s="102">
        <v>1</v>
      </c>
      <c r="G57" s="431">
        <v>3724350</v>
      </c>
      <c r="H57" s="35"/>
      <c r="I57" s="35"/>
      <c r="J57" s="35"/>
      <c r="K57" s="35"/>
      <c r="L57" s="35"/>
      <c r="M57" s="35"/>
      <c r="N57" s="35"/>
      <c r="O57" s="35"/>
    </row>
    <row r="58" spans="1:15">
      <c r="A58" s="759"/>
      <c r="B58" s="427" t="s">
        <v>159</v>
      </c>
      <c r="C58" s="35" t="s">
        <v>3301</v>
      </c>
      <c r="D58" s="35"/>
      <c r="E58" s="35"/>
      <c r="F58" s="432"/>
      <c r="G58" s="431">
        <v>31748606</v>
      </c>
      <c r="H58" s="35"/>
      <c r="I58" s="35"/>
      <c r="J58" s="35"/>
      <c r="K58" s="35"/>
      <c r="L58" s="35"/>
      <c r="M58" s="35"/>
      <c r="N58" s="35"/>
      <c r="O58" s="35"/>
    </row>
    <row r="59" spans="1:15">
      <c r="A59" s="10">
        <v>4</v>
      </c>
      <c r="B59" s="11" t="s">
        <v>164</v>
      </c>
      <c r="C59" s="11" t="s">
        <v>629</v>
      </c>
      <c r="D59" s="11" t="s">
        <v>629</v>
      </c>
      <c r="E59" s="11" t="s">
        <v>629</v>
      </c>
      <c r="F59" s="11" t="s">
        <v>629</v>
      </c>
      <c r="G59" s="78" t="s">
        <v>629</v>
      </c>
      <c r="H59" s="11" t="s">
        <v>629</v>
      </c>
      <c r="I59" s="11" t="s">
        <v>629</v>
      </c>
      <c r="J59" s="11" t="s">
        <v>629</v>
      </c>
      <c r="K59" s="11" t="s">
        <v>629</v>
      </c>
      <c r="L59" s="11" t="s">
        <v>629</v>
      </c>
      <c r="M59" s="11" t="s">
        <v>629</v>
      </c>
      <c r="N59" s="11" t="s">
        <v>629</v>
      </c>
      <c r="O59" s="11" t="s">
        <v>629</v>
      </c>
    </row>
    <row r="60" spans="1:15">
      <c r="A60" s="759">
        <v>5</v>
      </c>
      <c r="B60" s="427" t="s">
        <v>587</v>
      </c>
      <c r="C60" s="13" t="s">
        <v>3565</v>
      </c>
      <c r="D60" s="36">
        <v>5820049</v>
      </c>
      <c r="E60" s="426" t="s">
        <v>3566</v>
      </c>
      <c r="F60" s="102">
        <v>1</v>
      </c>
      <c r="G60" s="102"/>
      <c r="H60" s="13"/>
      <c r="I60" s="426">
        <v>18</v>
      </c>
      <c r="J60" s="433"/>
      <c r="K60" s="433"/>
      <c r="L60" s="433"/>
      <c r="M60" s="433"/>
      <c r="N60" s="433"/>
      <c r="O60" s="433"/>
    </row>
    <row r="61" spans="1:15">
      <c r="A61" s="759"/>
      <c r="B61" s="427" t="s">
        <v>587</v>
      </c>
      <c r="C61" s="13" t="s">
        <v>3567</v>
      </c>
      <c r="D61" s="36">
        <v>281436</v>
      </c>
      <c r="E61" s="426" t="s">
        <v>3568</v>
      </c>
      <c r="F61" s="102">
        <v>1</v>
      </c>
      <c r="G61" s="102">
        <v>10400000</v>
      </c>
      <c r="H61" s="13"/>
      <c r="I61" s="426">
        <v>23</v>
      </c>
      <c r="J61" s="433"/>
      <c r="K61" s="433"/>
      <c r="L61" s="433"/>
      <c r="M61" s="433"/>
      <c r="N61" s="433"/>
      <c r="O61" s="433"/>
    </row>
    <row r="62" spans="1:15">
      <c r="A62" s="759"/>
      <c r="B62" s="427" t="s">
        <v>587</v>
      </c>
      <c r="C62" s="13" t="s">
        <v>3569</v>
      </c>
      <c r="D62" s="36">
        <v>293572</v>
      </c>
      <c r="E62" s="426" t="s">
        <v>3570</v>
      </c>
      <c r="F62" s="102">
        <v>1</v>
      </c>
      <c r="G62" s="102">
        <v>15500078</v>
      </c>
      <c r="H62" s="13"/>
      <c r="I62" s="426">
        <v>16</v>
      </c>
      <c r="J62" s="433"/>
      <c r="K62" s="433"/>
      <c r="L62" s="433"/>
      <c r="M62" s="433"/>
      <c r="N62" s="433"/>
      <c r="O62" s="433"/>
    </row>
    <row r="63" spans="1:15">
      <c r="A63" s="759"/>
      <c r="B63" s="427" t="s">
        <v>587</v>
      </c>
      <c r="C63" s="13" t="s">
        <v>3571</v>
      </c>
      <c r="D63" s="36">
        <v>3822</v>
      </c>
      <c r="E63" s="426" t="s">
        <v>3572</v>
      </c>
      <c r="F63" s="102">
        <v>1</v>
      </c>
      <c r="G63" s="102">
        <v>2426500</v>
      </c>
      <c r="H63" s="13"/>
      <c r="I63" s="426">
        <v>1</v>
      </c>
      <c r="J63" s="433"/>
      <c r="K63" s="433"/>
      <c r="L63" s="433"/>
      <c r="M63" s="433"/>
      <c r="N63" s="433"/>
      <c r="O63" s="433"/>
    </row>
    <row r="64" spans="1:15">
      <c r="A64" s="759"/>
      <c r="B64" s="427" t="s">
        <v>587</v>
      </c>
      <c r="C64" s="13" t="s">
        <v>3509</v>
      </c>
      <c r="D64" s="36">
        <v>18061</v>
      </c>
      <c r="E64" s="426" t="s">
        <v>3573</v>
      </c>
      <c r="F64" s="102">
        <v>1</v>
      </c>
      <c r="G64" s="102">
        <v>1966600</v>
      </c>
      <c r="H64" s="13"/>
      <c r="I64" s="426">
        <v>23</v>
      </c>
      <c r="J64" s="433"/>
      <c r="K64" s="433"/>
      <c r="L64" s="433"/>
      <c r="M64" s="433"/>
      <c r="N64" s="433"/>
      <c r="O64" s="433"/>
    </row>
    <row r="65" spans="1:15">
      <c r="A65" s="759"/>
      <c r="B65" s="427" t="s">
        <v>587</v>
      </c>
      <c r="C65" s="13" t="s">
        <v>3574</v>
      </c>
      <c r="D65" s="36">
        <v>13748</v>
      </c>
      <c r="E65" s="426" t="s">
        <v>3575</v>
      </c>
      <c r="F65" s="102">
        <v>1</v>
      </c>
      <c r="G65" s="102">
        <v>1443101</v>
      </c>
      <c r="H65" s="13"/>
      <c r="I65" s="426">
        <v>13</v>
      </c>
      <c r="J65" s="433"/>
      <c r="K65" s="433"/>
      <c r="L65" s="433"/>
      <c r="M65" s="433"/>
      <c r="N65" s="433"/>
      <c r="O65" s="433"/>
    </row>
    <row r="66" spans="1:15">
      <c r="A66" s="759"/>
      <c r="B66" s="427" t="s">
        <v>587</v>
      </c>
      <c r="C66" s="13" t="s">
        <v>3576</v>
      </c>
      <c r="D66" s="36">
        <v>4678712</v>
      </c>
      <c r="E66" s="426" t="s">
        <v>3577</v>
      </c>
      <c r="F66" s="102">
        <v>1</v>
      </c>
      <c r="G66" s="102">
        <v>113000</v>
      </c>
      <c r="H66" s="13"/>
      <c r="I66" s="426">
        <v>23</v>
      </c>
      <c r="J66" s="433"/>
      <c r="K66" s="433"/>
      <c r="L66" s="433"/>
      <c r="M66" s="433"/>
      <c r="N66" s="433"/>
      <c r="O66" s="433"/>
    </row>
    <row r="67" spans="1:15">
      <c r="A67" s="759"/>
      <c r="B67" s="427" t="s">
        <v>587</v>
      </c>
      <c r="C67" s="13" t="s">
        <v>3578</v>
      </c>
      <c r="D67" s="36">
        <v>66101253</v>
      </c>
      <c r="E67" s="426" t="s">
        <v>3579</v>
      </c>
      <c r="F67" s="102">
        <v>1</v>
      </c>
      <c r="G67" s="102">
        <v>3900000</v>
      </c>
      <c r="H67" s="13"/>
      <c r="I67" s="426">
        <v>16</v>
      </c>
      <c r="J67" s="433"/>
      <c r="K67" s="433"/>
      <c r="L67" s="433"/>
      <c r="M67" s="433"/>
      <c r="N67" s="433"/>
      <c r="O67" s="433"/>
    </row>
    <row r="68" spans="1:15">
      <c r="A68" s="759"/>
      <c r="B68" s="427" t="s">
        <v>587</v>
      </c>
      <c r="C68" s="13" t="s">
        <v>3580</v>
      </c>
      <c r="D68" s="36">
        <v>8613798</v>
      </c>
      <c r="E68" s="426" t="s">
        <v>3581</v>
      </c>
      <c r="F68" s="102">
        <v>1</v>
      </c>
      <c r="G68" s="102">
        <v>217120</v>
      </c>
      <c r="H68" s="13"/>
      <c r="I68" s="426">
        <v>23</v>
      </c>
      <c r="J68" s="433"/>
      <c r="K68" s="433"/>
      <c r="L68" s="433"/>
      <c r="M68" s="433"/>
      <c r="N68" s="433"/>
      <c r="O68" s="433"/>
    </row>
    <row r="69" spans="1:15">
      <c r="A69" s="759"/>
      <c r="B69" s="427" t="s">
        <v>587</v>
      </c>
      <c r="C69" s="13" t="s">
        <v>3582</v>
      </c>
      <c r="D69" s="36">
        <v>4785418</v>
      </c>
      <c r="E69" s="426" t="s">
        <v>3583</v>
      </c>
      <c r="F69" s="102">
        <v>1</v>
      </c>
      <c r="G69" s="102">
        <v>448400</v>
      </c>
      <c r="H69" s="13"/>
      <c r="I69" s="426">
        <v>23</v>
      </c>
      <c r="J69" s="433"/>
      <c r="K69" s="433"/>
      <c r="L69" s="433"/>
      <c r="M69" s="433"/>
      <c r="N69" s="433"/>
      <c r="O69" s="433"/>
    </row>
    <row r="70" spans="1:15">
      <c r="A70" s="759"/>
      <c r="B70" s="427" t="s">
        <v>587</v>
      </c>
      <c r="C70" s="13" t="s">
        <v>3584</v>
      </c>
      <c r="D70" s="36">
        <v>3008936</v>
      </c>
      <c r="E70" s="35" t="s">
        <v>3585</v>
      </c>
      <c r="F70" s="102">
        <v>1</v>
      </c>
      <c r="G70" s="102">
        <v>1906578</v>
      </c>
      <c r="H70" s="13"/>
      <c r="I70" s="426">
        <v>23</v>
      </c>
      <c r="J70" s="433"/>
      <c r="K70" s="433"/>
      <c r="L70" s="433"/>
      <c r="M70" s="433"/>
      <c r="N70" s="433"/>
      <c r="O70" s="433"/>
    </row>
    <row r="71" spans="1:15">
      <c r="A71" s="759"/>
      <c r="B71" s="427" t="s">
        <v>587</v>
      </c>
      <c r="C71" s="13">
        <v>0</v>
      </c>
      <c r="D71" s="36"/>
      <c r="E71" s="13"/>
      <c r="F71" s="102">
        <v>0</v>
      </c>
      <c r="G71" s="102"/>
      <c r="H71" s="13"/>
      <c r="I71" s="434"/>
      <c r="J71" s="433"/>
      <c r="K71" s="433"/>
      <c r="L71" s="433"/>
      <c r="M71" s="433"/>
      <c r="N71" s="433"/>
      <c r="O71" s="433"/>
    </row>
    <row r="72" spans="1:15">
      <c r="A72" s="758">
        <v>6</v>
      </c>
      <c r="B72" s="11" t="s">
        <v>173</v>
      </c>
      <c r="C72" s="3" t="s">
        <v>3586</v>
      </c>
      <c r="D72" s="435"/>
      <c r="E72" s="11" t="s">
        <v>3587</v>
      </c>
      <c r="F72" s="78">
        <v>1</v>
      </c>
      <c r="G72" s="108">
        <v>1883840000</v>
      </c>
      <c r="H72" s="11"/>
      <c r="I72" s="11"/>
      <c r="J72" s="11"/>
      <c r="K72" s="11"/>
      <c r="L72" s="11"/>
      <c r="M72" s="11"/>
      <c r="N72" s="11"/>
      <c r="O72" s="11"/>
    </row>
    <row r="73" spans="1:15">
      <c r="A73" s="758"/>
      <c r="B73" s="11" t="s">
        <v>173</v>
      </c>
      <c r="C73" s="3" t="s">
        <v>3588</v>
      </c>
      <c r="D73" s="436"/>
      <c r="E73" s="11" t="s">
        <v>3589</v>
      </c>
      <c r="F73" s="78">
        <v>1</v>
      </c>
      <c r="G73" s="90">
        <v>1438741988</v>
      </c>
      <c r="H73" s="11"/>
      <c r="I73" s="11"/>
      <c r="J73" s="11"/>
      <c r="K73" s="11"/>
      <c r="L73" s="11"/>
      <c r="M73" s="11"/>
      <c r="N73" s="11"/>
      <c r="O73" s="11"/>
    </row>
    <row r="74" spans="1:15">
      <c r="A74" s="758"/>
      <c r="B74" s="11" t="s">
        <v>173</v>
      </c>
      <c r="C74" s="3" t="s">
        <v>3590</v>
      </c>
      <c r="D74" s="436"/>
      <c r="E74" s="11" t="s">
        <v>3591</v>
      </c>
      <c r="F74" s="78">
        <v>1</v>
      </c>
      <c r="G74" s="108">
        <v>1124060046</v>
      </c>
      <c r="H74" s="11"/>
      <c r="I74" s="11"/>
      <c r="J74" s="11"/>
      <c r="K74" s="11"/>
      <c r="L74" s="11"/>
      <c r="M74" s="11"/>
      <c r="N74" s="11"/>
      <c r="O74" s="11"/>
    </row>
    <row r="75" spans="1:15">
      <c r="A75" s="758"/>
      <c r="B75" s="11" t="s">
        <v>173</v>
      </c>
      <c r="C75" s="3" t="s">
        <v>3592</v>
      </c>
      <c r="D75" s="436"/>
      <c r="E75" s="11" t="s">
        <v>3593</v>
      </c>
      <c r="F75" s="78">
        <v>1</v>
      </c>
      <c r="G75" s="108">
        <v>700445115</v>
      </c>
      <c r="H75" s="11"/>
      <c r="I75" s="11"/>
      <c r="J75" s="11"/>
      <c r="K75" s="11"/>
      <c r="L75" s="11"/>
      <c r="M75" s="11"/>
      <c r="N75" s="11"/>
      <c r="O75" s="11"/>
    </row>
    <row r="76" spans="1:15">
      <c r="A76" s="758"/>
      <c r="B76" s="11" t="s">
        <v>173</v>
      </c>
      <c r="C76" s="3" t="s">
        <v>3594</v>
      </c>
      <c r="D76" s="436"/>
      <c r="E76" s="11" t="s">
        <v>3595</v>
      </c>
      <c r="F76" s="78">
        <v>1</v>
      </c>
      <c r="G76" s="108">
        <v>397256180</v>
      </c>
      <c r="H76" s="11"/>
      <c r="I76" s="11"/>
      <c r="J76" s="11"/>
      <c r="K76" s="11"/>
      <c r="L76" s="11"/>
      <c r="M76" s="11"/>
      <c r="N76" s="11"/>
      <c r="O76" s="11"/>
    </row>
    <row r="77" spans="1:15">
      <c r="A77" s="758"/>
      <c r="B77" s="11" t="s">
        <v>173</v>
      </c>
      <c r="C77" s="3" t="s">
        <v>3596</v>
      </c>
      <c r="D77" s="436"/>
      <c r="E77" s="11" t="s">
        <v>3597</v>
      </c>
      <c r="F77" s="78">
        <v>1</v>
      </c>
      <c r="G77" s="108">
        <v>384239246</v>
      </c>
      <c r="H77" s="11"/>
      <c r="I77" s="11"/>
      <c r="J77" s="11"/>
      <c r="K77" s="11"/>
      <c r="L77" s="11"/>
      <c r="M77" s="11"/>
      <c r="N77" s="11"/>
      <c r="O77" s="11"/>
    </row>
    <row r="78" spans="1:15">
      <c r="A78" s="758"/>
      <c r="B78" s="11" t="s">
        <v>173</v>
      </c>
      <c r="C78" s="3" t="s">
        <v>3598</v>
      </c>
      <c r="D78" s="436"/>
      <c r="E78" s="11" t="s">
        <v>3599</v>
      </c>
      <c r="F78" s="78"/>
      <c r="G78" s="108"/>
      <c r="H78" s="11"/>
      <c r="I78" s="11"/>
      <c r="J78" s="11"/>
      <c r="K78" s="11"/>
      <c r="L78" s="11"/>
      <c r="M78" s="11"/>
      <c r="N78" s="11"/>
      <c r="O78" s="11"/>
    </row>
    <row r="79" spans="1:15">
      <c r="A79" s="758"/>
      <c r="B79" s="11" t="s">
        <v>173</v>
      </c>
      <c r="C79" s="3" t="s">
        <v>3600</v>
      </c>
      <c r="D79" s="436"/>
      <c r="E79" s="12" t="s">
        <v>3601</v>
      </c>
      <c r="F79" s="78">
        <v>1</v>
      </c>
      <c r="G79" s="108">
        <v>292026340</v>
      </c>
      <c r="H79" s="11"/>
      <c r="I79" s="11"/>
      <c r="J79" s="11"/>
      <c r="K79" s="11"/>
      <c r="L79" s="11"/>
      <c r="M79" s="11"/>
      <c r="N79" s="11"/>
      <c r="O79" s="11"/>
    </row>
    <row r="80" spans="1:15">
      <c r="A80" s="758"/>
      <c r="B80" s="11" t="s">
        <v>173</v>
      </c>
      <c r="C80" s="3" t="s">
        <v>3602</v>
      </c>
      <c r="D80" s="436"/>
      <c r="E80" s="11" t="s">
        <v>3603</v>
      </c>
      <c r="F80" s="78">
        <v>1</v>
      </c>
      <c r="G80" s="108">
        <v>241661709</v>
      </c>
      <c r="H80" s="11"/>
      <c r="I80" s="11"/>
      <c r="J80" s="11"/>
      <c r="K80" s="11"/>
      <c r="L80" s="11"/>
      <c r="M80" s="11"/>
      <c r="N80" s="11"/>
      <c r="O80" s="11"/>
    </row>
    <row r="81" spans="1:15">
      <c r="A81" s="758"/>
      <c r="B81" s="11" t="s">
        <v>173</v>
      </c>
      <c r="C81" s="3" t="s">
        <v>3604</v>
      </c>
      <c r="D81" s="436"/>
      <c r="E81" s="11" t="s">
        <v>3605</v>
      </c>
      <c r="F81" s="78">
        <v>1</v>
      </c>
      <c r="G81" s="108">
        <v>129080842</v>
      </c>
      <c r="H81" s="11"/>
      <c r="I81" s="11"/>
      <c r="J81" s="11"/>
      <c r="K81" s="11"/>
      <c r="L81" s="11"/>
      <c r="M81" s="11"/>
      <c r="N81" s="11"/>
      <c r="O81" s="11"/>
    </row>
    <row r="82" spans="1:15">
      <c r="A82" s="758"/>
      <c r="B82" s="11" t="s">
        <v>173</v>
      </c>
      <c r="C82" s="3" t="s">
        <v>3606</v>
      </c>
      <c r="D82" s="436"/>
      <c r="E82" s="11" t="s">
        <v>3607</v>
      </c>
      <c r="F82" s="78">
        <v>1</v>
      </c>
      <c r="G82" s="108">
        <v>108136161</v>
      </c>
      <c r="H82" s="11"/>
      <c r="I82" s="11"/>
      <c r="J82" s="11"/>
      <c r="K82" s="11"/>
      <c r="L82" s="11"/>
      <c r="M82" s="11"/>
      <c r="N82" s="11"/>
      <c r="O82" s="11"/>
    </row>
    <row r="83" spans="1:15">
      <c r="A83" s="758"/>
      <c r="B83" s="11" t="s">
        <v>173</v>
      </c>
      <c r="C83" s="3" t="s">
        <v>3608</v>
      </c>
      <c r="D83" s="436"/>
      <c r="E83" s="11" t="s">
        <v>3609</v>
      </c>
      <c r="F83" s="78">
        <v>1</v>
      </c>
      <c r="G83" s="108">
        <v>89803500</v>
      </c>
      <c r="H83" s="11"/>
      <c r="I83" s="11"/>
      <c r="J83" s="11"/>
      <c r="K83" s="11"/>
      <c r="L83" s="11"/>
      <c r="M83" s="11"/>
      <c r="N83" s="11"/>
      <c r="O83" s="11"/>
    </row>
    <row r="84" spans="1:15">
      <c r="A84" s="758"/>
      <c r="B84" s="11" t="s">
        <v>173</v>
      </c>
      <c r="C84" s="3" t="s">
        <v>3610</v>
      </c>
      <c r="D84" s="436"/>
      <c r="E84" s="11" t="s">
        <v>3611</v>
      </c>
      <c r="F84" s="78">
        <v>1</v>
      </c>
      <c r="G84" s="108">
        <v>80825807</v>
      </c>
      <c r="H84" s="11"/>
      <c r="I84" s="11"/>
      <c r="J84" s="11"/>
      <c r="K84" s="11"/>
      <c r="L84" s="11"/>
      <c r="M84" s="11"/>
      <c r="N84" s="11"/>
      <c r="O84" s="11"/>
    </row>
    <row r="85" spans="1:15">
      <c r="A85" s="758"/>
      <c r="B85" s="11" t="s">
        <v>173</v>
      </c>
      <c r="C85" s="3" t="s">
        <v>3612</v>
      </c>
      <c r="D85" s="436"/>
      <c r="E85" s="11" t="s">
        <v>3613</v>
      </c>
      <c r="F85" s="78">
        <v>1</v>
      </c>
      <c r="G85" s="108">
        <v>49684400</v>
      </c>
      <c r="H85" s="11"/>
      <c r="I85" s="11"/>
      <c r="J85" s="11"/>
      <c r="K85" s="11"/>
      <c r="L85" s="11"/>
      <c r="M85" s="11"/>
      <c r="N85" s="11"/>
      <c r="O85" s="11"/>
    </row>
    <row r="86" spans="1:15">
      <c r="A86" s="758"/>
      <c r="B86" s="11" t="s">
        <v>173</v>
      </c>
      <c r="C86" s="3" t="s">
        <v>3614</v>
      </c>
      <c r="D86" s="435"/>
      <c r="E86" s="11" t="s">
        <v>3615</v>
      </c>
      <c r="F86" s="78">
        <v>1</v>
      </c>
      <c r="G86" s="108">
        <v>43203730</v>
      </c>
      <c r="H86" s="11"/>
      <c r="I86" s="11"/>
      <c r="J86" s="11"/>
      <c r="K86" s="11"/>
      <c r="L86" s="11"/>
      <c r="M86" s="11"/>
      <c r="N86" s="11"/>
      <c r="O86" s="11"/>
    </row>
    <row r="87" spans="1:15">
      <c r="A87" s="758"/>
      <c r="B87" s="11" t="s">
        <v>173</v>
      </c>
      <c r="C87" s="3" t="s">
        <v>3616</v>
      </c>
      <c r="D87" s="435"/>
      <c r="E87" s="11" t="s">
        <v>3617</v>
      </c>
      <c r="F87" s="78">
        <v>1</v>
      </c>
      <c r="G87" s="108">
        <v>26694484</v>
      </c>
      <c r="H87" s="11"/>
      <c r="I87" s="11"/>
      <c r="J87" s="11"/>
      <c r="K87" s="11"/>
      <c r="L87" s="11"/>
      <c r="M87" s="11"/>
      <c r="N87" s="11"/>
      <c r="O87" s="11"/>
    </row>
    <row r="88" spans="1:15">
      <c r="A88" s="758"/>
      <c r="B88" s="11" t="s">
        <v>173</v>
      </c>
      <c r="C88" s="3" t="s">
        <v>3618</v>
      </c>
      <c r="D88" s="436"/>
      <c r="E88" s="11" t="s">
        <v>3619</v>
      </c>
      <c r="F88" s="78">
        <v>1</v>
      </c>
      <c r="G88" s="108">
        <v>37785320</v>
      </c>
      <c r="H88" s="11"/>
      <c r="I88" s="11"/>
      <c r="J88" s="11"/>
      <c r="K88" s="11"/>
      <c r="L88" s="11"/>
      <c r="M88" s="11"/>
      <c r="N88" s="11"/>
      <c r="O88" s="11"/>
    </row>
    <row r="89" spans="1:15">
      <c r="A89" s="758"/>
      <c r="B89" s="11" t="s">
        <v>173</v>
      </c>
      <c r="C89" s="3"/>
      <c r="D89" s="436"/>
      <c r="E89" s="11"/>
      <c r="F89" s="78"/>
      <c r="G89" s="108"/>
      <c r="H89" s="11"/>
      <c r="I89" s="11"/>
      <c r="J89" s="11"/>
      <c r="K89" s="11"/>
      <c r="L89" s="11"/>
      <c r="M89" s="11"/>
      <c r="N89" s="11"/>
      <c r="O89" s="11"/>
    </row>
    <row r="90" spans="1:15">
      <c r="A90" s="758"/>
      <c r="B90" s="11" t="s">
        <v>173</v>
      </c>
      <c r="C90" s="3" t="s">
        <v>2051</v>
      </c>
      <c r="D90" s="3"/>
      <c r="E90" s="11" t="s">
        <v>3620</v>
      </c>
      <c r="F90" s="78">
        <v>1</v>
      </c>
      <c r="G90" s="108">
        <v>26600000</v>
      </c>
      <c r="H90" s="11"/>
      <c r="I90" s="11"/>
      <c r="J90" s="11"/>
      <c r="K90" s="11"/>
      <c r="L90" s="11"/>
      <c r="M90" s="11"/>
      <c r="N90" s="11"/>
      <c r="O90" s="11"/>
    </row>
    <row r="91" spans="1:15">
      <c r="A91" s="43"/>
      <c r="B91" s="11" t="s">
        <v>173</v>
      </c>
      <c r="C91" s="3" t="s">
        <v>3621</v>
      </c>
      <c r="D91" s="3"/>
      <c r="E91" s="11"/>
      <c r="F91" s="78"/>
      <c r="G91" s="108">
        <v>374020104</v>
      </c>
      <c r="H91" s="11"/>
      <c r="I91" s="11"/>
      <c r="J91" s="11"/>
      <c r="K91" s="11"/>
      <c r="L91" s="11"/>
      <c r="M91" s="11"/>
      <c r="N91" s="11"/>
      <c r="O91" s="11"/>
    </row>
    <row r="92" spans="1:15">
      <c r="A92" s="8">
        <v>7</v>
      </c>
      <c r="B92" s="9" t="s">
        <v>591</v>
      </c>
      <c r="C92" s="13" t="s">
        <v>176</v>
      </c>
      <c r="D92" s="13" t="s">
        <v>176</v>
      </c>
      <c r="E92" s="13" t="s">
        <v>3622</v>
      </c>
      <c r="F92" s="36">
        <v>0</v>
      </c>
      <c r="G92" s="102">
        <v>446616369455.05902</v>
      </c>
      <c r="H92" s="13"/>
      <c r="I92" s="13"/>
      <c r="J92" s="13"/>
      <c r="K92" s="13"/>
      <c r="L92" s="13"/>
      <c r="M92" s="13"/>
      <c r="N92" s="13"/>
      <c r="O92" s="13"/>
    </row>
    <row r="94" spans="1:15" s="448" customFormat="1" ht="19">
      <c r="A94" s="451" t="s">
        <v>3623</v>
      </c>
      <c r="C94" s="449"/>
      <c r="D94" s="449"/>
      <c r="E94" s="449"/>
      <c r="F94" s="450"/>
      <c r="G94" s="456"/>
    </row>
    <row r="96" spans="1:15" ht="72.5" thickBot="1">
      <c r="A96" s="7" t="s">
        <v>143</v>
      </c>
      <c r="B96" s="7" t="s">
        <v>144</v>
      </c>
      <c r="C96" s="7" t="s">
        <v>3490</v>
      </c>
      <c r="D96" s="14" t="s">
        <v>3491</v>
      </c>
      <c r="E96" s="7" t="s">
        <v>3492</v>
      </c>
      <c r="F96" s="14" t="s">
        <v>3493</v>
      </c>
      <c r="G96" s="14" t="s">
        <v>3494</v>
      </c>
      <c r="H96" s="14" t="s">
        <v>3495</v>
      </c>
      <c r="I96" s="14" t="s">
        <v>3496</v>
      </c>
      <c r="J96" s="14" t="s">
        <v>3323</v>
      </c>
      <c r="K96" s="7" t="s">
        <v>3497</v>
      </c>
      <c r="L96" s="7" t="s">
        <v>3323</v>
      </c>
      <c r="M96" s="7" t="s">
        <v>3497</v>
      </c>
      <c r="N96" s="7" t="s">
        <v>3323</v>
      </c>
      <c r="O96" s="7" t="s">
        <v>3498</v>
      </c>
    </row>
    <row r="97" spans="1:15">
      <c r="A97" s="760">
        <v>1</v>
      </c>
      <c r="B97" s="9" t="s">
        <v>183</v>
      </c>
      <c r="C97" s="13" t="s">
        <v>3507</v>
      </c>
      <c r="D97" s="36"/>
      <c r="E97" s="37"/>
      <c r="F97" s="102">
        <v>1</v>
      </c>
      <c r="G97" s="87">
        <v>3178600</v>
      </c>
      <c r="H97" s="36"/>
      <c r="I97" s="36"/>
      <c r="J97" s="36"/>
      <c r="K97" s="36"/>
      <c r="L97" s="36"/>
      <c r="M97" s="36"/>
      <c r="N97" s="36"/>
      <c r="O97" s="36"/>
    </row>
    <row r="98" spans="1:15">
      <c r="A98" s="759"/>
      <c r="B98" s="9" t="s">
        <v>183</v>
      </c>
      <c r="C98" s="13" t="s">
        <v>3624</v>
      </c>
      <c r="D98" s="36"/>
      <c r="E98" s="13"/>
      <c r="F98" s="102">
        <v>1</v>
      </c>
      <c r="G98" s="87">
        <v>755251</v>
      </c>
      <c r="H98" s="36"/>
      <c r="I98" s="36"/>
      <c r="J98" s="36"/>
      <c r="K98" s="36"/>
      <c r="L98" s="36"/>
      <c r="M98" s="36"/>
      <c r="N98" s="36"/>
      <c r="O98" s="36"/>
    </row>
    <row r="99" spans="1:15">
      <c r="A99" s="759"/>
      <c r="B99" s="9" t="s">
        <v>183</v>
      </c>
      <c r="C99" s="13" t="s">
        <v>3509</v>
      </c>
      <c r="D99" s="88"/>
      <c r="E99" s="89"/>
      <c r="F99" s="102">
        <v>1</v>
      </c>
      <c r="G99" s="87">
        <v>5928034</v>
      </c>
      <c r="H99" s="36"/>
      <c r="I99" s="36"/>
      <c r="J99" s="36"/>
      <c r="K99" s="36"/>
      <c r="L99" s="36"/>
      <c r="M99" s="36"/>
      <c r="N99" s="36"/>
      <c r="O99" s="36"/>
    </row>
    <row r="100" spans="1:15">
      <c r="A100" s="759"/>
      <c r="B100" s="9" t="s">
        <v>183</v>
      </c>
      <c r="C100" s="13" t="s">
        <v>3625</v>
      </c>
      <c r="D100" s="36"/>
      <c r="E100" s="37"/>
      <c r="F100" s="102">
        <v>1</v>
      </c>
      <c r="G100" s="87">
        <v>16783200</v>
      </c>
      <c r="H100" s="36"/>
      <c r="I100" s="36"/>
      <c r="J100" s="36"/>
      <c r="K100" s="36"/>
      <c r="L100" s="36"/>
      <c r="M100" s="36"/>
      <c r="N100" s="36"/>
      <c r="O100" s="36"/>
    </row>
    <row r="101" spans="1:15">
      <c r="A101" s="759"/>
      <c r="B101" s="9" t="s">
        <v>183</v>
      </c>
      <c r="C101" s="13" t="s">
        <v>3626</v>
      </c>
      <c r="D101" s="36"/>
      <c r="E101" s="37"/>
      <c r="F101" s="102">
        <v>1</v>
      </c>
      <c r="G101" s="87">
        <v>9109920</v>
      </c>
      <c r="H101" s="36"/>
      <c r="I101" s="36"/>
      <c r="J101" s="36"/>
      <c r="K101" s="36"/>
      <c r="L101" s="36"/>
      <c r="M101" s="36"/>
      <c r="N101" s="36"/>
      <c r="O101" s="36"/>
    </row>
    <row r="102" spans="1:15">
      <c r="A102" s="759"/>
      <c r="B102" s="9" t="s">
        <v>183</v>
      </c>
      <c r="C102" s="13"/>
      <c r="D102" s="36"/>
      <c r="E102" s="37"/>
      <c r="F102" s="102"/>
      <c r="G102" s="87"/>
      <c r="H102" s="36"/>
      <c r="I102" s="36"/>
      <c r="J102" s="36"/>
      <c r="K102" s="36"/>
      <c r="L102" s="36"/>
      <c r="M102" s="36"/>
      <c r="N102" s="36"/>
      <c r="O102" s="36"/>
    </row>
    <row r="103" spans="1:15">
      <c r="A103" s="758">
        <v>2</v>
      </c>
      <c r="B103" s="11" t="s">
        <v>187</v>
      </c>
      <c r="C103" s="4" t="s">
        <v>3627</v>
      </c>
      <c r="D103" s="2" t="s">
        <v>3628</v>
      </c>
      <c r="E103" s="3" t="s">
        <v>3629</v>
      </c>
      <c r="F103" s="2">
        <v>1</v>
      </c>
      <c r="G103" s="90">
        <v>24789119777</v>
      </c>
      <c r="H103" s="90">
        <v>11</v>
      </c>
      <c r="I103" s="2"/>
      <c r="J103" s="91"/>
      <c r="K103" s="91"/>
      <c r="L103" s="91"/>
      <c r="M103" s="91"/>
      <c r="N103" s="91"/>
      <c r="O103" s="91"/>
    </row>
    <row r="104" spans="1:15">
      <c r="A104" s="758"/>
      <c r="B104" s="11" t="s">
        <v>187</v>
      </c>
      <c r="C104" s="4" t="s">
        <v>3630</v>
      </c>
      <c r="D104" s="2"/>
      <c r="E104" s="3" t="s">
        <v>3631</v>
      </c>
      <c r="G104" s="90"/>
      <c r="H104" s="90"/>
      <c r="I104" s="2"/>
      <c r="J104" s="91"/>
      <c r="K104" s="91"/>
      <c r="L104" s="91"/>
      <c r="M104" s="91"/>
      <c r="N104" s="91"/>
      <c r="O104" s="91"/>
    </row>
    <row r="105" spans="1:15">
      <c r="A105" s="758"/>
      <c r="B105" s="11" t="s">
        <v>187</v>
      </c>
      <c r="C105" s="4" t="s">
        <v>3632</v>
      </c>
      <c r="D105" s="2">
        <v>2477923</v>
      </c>
      <c r="E105" s="3" t="s">
        <v>3633</v>
      </c>
      <c r="F105" s="2">
        <v>1</v>
      </c>
      <c r="G105" s="90">
        <v>14189951180</v>
      </c>
      <c r="H105" s="90">
        <v>23</v>
      </c>
      <c r="I105" s="2"/>
      <c r="J105" s="91"/>
      <c r="K105" s="91"/>
      <c r="L105" s="91"/>
      <c r="M105" s="91"/>
      <c r="N105" s="91"/>
      <c r="O105" s="91"/>
    </row>
    <row r="106" spans="1:15">
      <c r="A106" s="758"/>
      <c r="B106" s="11" t="s">
        <v>187</v>
      </c>
      <c r="C106" s="4" t="s">
        <v>3634</v>
      </c>
      <c r="D106" s="2" t="s">
        <v>3635</v>
      </c>
      <c r="E106" s="3" t="s">
        <v>3636</v>
      </c>
      <c r="F106" s="2">
        <v>1</v>
      </c>
      <c r="G106" s="90">
        <v>15441799286</v>
      </c>
      <c r="H106" s="90">
        <v>10</v>
      </c>
      <c r="I106" s="2"/>
      <c r="J106" s="91"/>
      <c r="K106" s="91"/>
      <c r="L106" s="91"/>
      <c r="M106" s="91"/>
      <c r="N106" s="91"/>
      <c r="O106" s="91"/>
    </row>
    <row r="107" spans="1:15">
      <c r="A107" s="758"/>
      <c r="B107" s="11" t="s">
        <v>187</v>
      </c>
      <c r="C107" s="4" t="s">
        <v>3507</v>
      </c>
      <c r="D107" s="2" t="s">
        <v>3637</v>
      </c>
      <c r="E107" s="3" t="s">
        <v>3638</v>
      </c>
      <c r="F107" s="2">
        <v>1</v>
      </c>
      <c r="G107" s="90">
        <v>13838672798</v>
      </c>
      <c r="H107" s="90">
        <v>23</v>
      </c>
      <c r="I107" s="2"/>
      <c r="J107" s="91"/>
      <c r="K107" s="91"/>
      <c r="L107" s="91"/>
      <c r="M107" s="91"/>
      <c r="N107" s="91"/>
      <c r="O107" s="91"/>
    </row>
    <row r="108" spans="1:15">
      <c r="A108" s="758"/>
      <c r="B108" s="11" t="s">
        <v>187</v>
      </c>
      <c r="C108" s="4" t="s">
        <v>3639</v>
      </c>
      <c r="D108" s="2" t="s">
        <v>3640</v>
      </c>
      <c r="E108" s="3" t="s">
        <v>3641</v>
      </c>
      <c r="F108" s="2">
        <v>1</v>
      </c>
      <c r="G108" s="90">
        <v>6124779255</v>
      </c>
      <c r="H108" s="90">
        <v>21</v>
      </c>
      <c r="I108" s="2"/>
      <c r="J108" s="91"/>
      <c r="K108" s="91"/>
      <c r="L108" s="91"/>
      <c r="M108" s="91"/>
      <c r="N108" s="91"/>
      <c r="O108" s="91"/>
    </row>
    <row r="109" spans="1:15">
      <c r="A109" s="758"/>
      <c r="B109" s="11" t="s">
        <v>187</v>
      </c>
      <c r="C109" s="4" t="s">
        <v>3642</v>
      </c>
      <c r="D109" s="2" t="s">
        <v>3643</v>
      </c>
      <c r="E109" s="3" t="s">
        <v>3644</v>
      </c>
      <c r="F109" s="2">
        <v>1</v>
      </c>
      <c r="G109" s="90">
        <v>4456263216</v>
      </c>
      <c r="H109" s="90">
        <v>23</v>
      </c>
      <c r="I109" s="2"/>
      <c r="J109" s="91"/>
      <c r="K109" s="91"/>
      <c r="L109" s="91"/>
      <c r="M109" s="91"/>
      <c r="N109" s="91"/>
      <c r="O109" s="91"/>
    </row>
    <row r="110" spans="1:15">
      <c r="A110" s="758"/>
      <c r="B110" s="11" t="s">
        <v>187</v>
      </c>
      <c r="C110" s="4" t="s">
        <v>3645</v>
      </c>
      <c r="D110" s="2" t="s">
        <v>3646</v>
      </c>
      <c r="E110" s="3" t="s">
        <v>3647</v>
      </c>
      <c r="F110" s="2">
        <v>1</v>
      </c>
      <c r="G110" s="90">
        <v>3212933613</v>
      </c>
      <c r="H110" s="90">
        <v>13</v>
      </c>
      <c r="I110" s="2"/>
      <c r="J110" s="91"/>
      <c r="K110" s="91"/>
      <c r="L110" s="91"/>
      <c r="M110" s="91"/>
      <c r="N110" s="91"/>
      <c r="O110" s="91"/>
    </row>
    <row r="111" spans="1:15">
      <c r="A111" s="758"/>
      <c r="B111" s="11" t="s">
        <v>187</v>
      </c>
      <c r="C111" s="4" t="s">
        <v>3648</v>
      </c>
      <c r="D111" s="2">
        <v>404554920</v>
      </c>
      <c r="E111" s="3" t="s">
        <v>3649</v>
      </c>
      <c r="F111" s="2">
        <v>1</v>
      </c>
      <c r="G111" s="90">
        <v>1417667138</v>
      </c>
      <c r="H111" s="90">
        <v>23</v>
      </c>
      <c r="I111" s="2"/>
      <c r="J111" s="91"/>
      <c r="K111" s="91"/>
      <c r="L111" s="91"/>
      <c r="M111" s="91"/>
      <c r="N111" s="91"/>
      <c r="O111" s="91"/>
    </row>
    <row r="112" spans="1:15">
      <c r="A112" s="758"/>
      <c r="B112" s="11" t="s">
        <v>187</v>
      </c>
      <c r="C112" s="4" t="s">
        <v>3650</v>
      </c>
      <c r="D112" s="2"/>
      <c r="E112" s="3" t="s">
        <v>3651</v>
      </c>
      <c r="G112" s="90"/>
      <c r="H112" s="90"/>
      <c r="I112" s="2"/>
      <c r="J112" s="91"/>
      <c r="K112" s="91"/>
      <c r="L112" s="91"/>
      <c r="M112" s="91"/>
      <c r="N112" s="91"/>
      <c r="O112" s="91"/>
    </row>
    <row r="113" spans="1:15">
      <c r="A113" s="758"/>
      <c r="B113" s="11" t="s">
        <v>187</v>
      </c>
      <c r="C113" s="4" t="s">
        <v>3652</v>
      </c>
      <c r="D113" s="2" t="s">
        <v>3653</v>
      </c>
      <c r="E113" s="3" t="s">
        <v>3654</v>
      </c>
      <c r="F113" s="2">
        <v>1</v>
      </c>
      <c r="G113" s="90">
        <v>1386532289</v>
      </c>
      <c r="H113" s="90">
        <v>23</v>
      </c>
      <c r="I113" s="2"/>
      <c r="J113" s="91"/>
      <c r="K113" s="91"/>
      <c r="L113" s="91"/>
      <c r="M113" s="91"/>
      <c r="N113" s="91"/>
      <c r="O113" s="91"/>
    </row>
    <row r="114" spans="1:15">
      <c r="A114" s="758"/>
      <c r="B114" s="11" t="s">
        <v>187</v>
      </c>
      <c r="C114" s="4" t="s">
        <v>3655</v>
      </c>
      <c r="D114" s="2" t="s">
        <v>3656</v>
      </c>
      <c r="E114" s="3" t="s">
        <v>3657</v>
      </c>
      <c r="F114" s="2">
        <v>1</v>
      </c>
      <c r="G114" s="108">
        <v>1543855204</v>
      </c>
      <c r="H114" s="108">
        <v>23</v>
      </c>
      <c r="I114" s="2"/>
      <c r="J114" s="91"/>
      <c r="K114" s="91"/>
      <c r="L114" s="91"/>
      <c r="M114" s="91"/>
      <c r="N114" s="91"/>
      <c r="O114" s="91"/>
    </row>
    <row r="115" spans="1:15">
      <c r="A115" s="758"/>
      <c r="B115" s="11" t="s">
        <v>187</v>
      </c>
      <c r="C115" s="4" t="s">
        <v>3658</v>
      </c>
      <c r="D115" s="2" t="s">
        <v>3659</v>
      </c>
      <c r="E115" s="3" t="s">
        <v>3660</v>
      </c>
      <c r="F115" s="2">
        <v>1</v>
      </c>
      <c r="G115" s="108">
        <v>1324149368</v>
      </c>
      <c r="H115" s="108">
        <v>7</v>
      </c>
      <c r="I115" s="2"/>
      <c r="J115" s="91"/>
      <c r="K115" s="91"/>
      <c r="L115" s="91"/>
      <c r="M115" s="91"/>
      <c r="N115" s="91"/>
      <c r="O115" s="91"/>
    </row>
    <row r="116" spans="1:15">
      <c r="A116" s="758"/>
      <c r="B116" s="11" t="s">
        <v>187</v>
      </c>
      <c r="C116" s="4" t="s">
        <v>595</v>
      </c>
      <c r="D116" s="2" t="s">
        <v>3661</v>
      </c>
      <c r="E116" s="3" t="s">
        <v>3662</v>
      </c>
      <c r="F116" s="2">
        <v>1</v>
      </c>
      <c r="G116" s="108">
        <v>1181297710</v>
      </c>
      <c r="H116" s="108">
        <v>23</v>
      </c>
      <c r="I116" s="2"/>
      <c r="J116" s="91"/>
      <c r="K116" s="91"/>
      <c r="L116" s="91"/>
      <c r="M116" s="91"/>
      <c r="N116" s="91"/>
      <c r="O116" s="91"/>
    </row>
    <row r="117" spans="1:15">
      <c r="A117" s="758"/>
      <c r="B117" s="11" t="s">
        <v>187</v>
      </c>
      <c r="C117" s="4" t="s">
        <v>3663</v>
      </c>
      <c r="D117" s="2">
        <v>4141123200</v>
      </c>
      <c r="E117" s="3" t="s">
        <v>3664</v>
      </c>
      <c r="F117" s="2">
        <v>1</v>
      </c>
      <c r="G117" s="108">
        <v>1369698140</v>
      </c>
      <c r="H117" s="108">
        <v>18</v>
      </c>
      <c r="I117" s="2"/>
      <c r="J117" s="91"/>
      <c r="K117" s="91"/>
      <c r="L117" s="91"/>
      <c r="M117" s="91"/>
      <c r="N117" s="91"/>
      <c r="O117" s="91"/>
    </row>
    <row r="118" spans="1:15">
      <c r="A118" s="758"/>
      <c r="B118" s="11" t="s">
        <v>187</v>
      </c>
      <c r="C118" s="437" t="s">
        <v>3665</v>
      </c>
      <c r="D118" s="2" t="s">
        <v>3666</v>
      </c>
      <c r="E118" s="3" t="s">
        <v>3667</v>
      </c>
      <c r="F118" s="2">
        <v>1</v>
      </c>
      <c r="G118" s="108">
        <v>1097216779</v>
      </c>
      <c r="H118" s="108">
        <v>23</v>
      </c>
      <c r="I118" s="2"/>
      <c r="J118" s="91"/>
      <c r="K118" s="91"/>
      <c r="L118" s="91"/>
      <c r="M118" s="91"/>
      <c r="N118" s="91"/>
      <c r="O118" s="91"/>
    </row>
    <row r="119" spans="1:15">
      <c r="A119" s="758"/>
      <c r="B119" s="11" t="s">
        <v>187</v>
      </c>
      <c r="C119" s="4" t="s">
        <v>3668</v>
      </c>
      <c r="D119" s="2" t="s">
        <v>3669</v>
      </c>
      <c r="E119" s="3" t="s">
        <v>3670</v>
      </c>
      <c r="F119" s="2">
        <v>1</v>
      </c>
      <c r="G119" s="90">
        <v>1184071320</v>
      </c>
      <c r="H119" s="90">
        <v>23</v>
      </c>
      <c r="I119" s="2"/>
      <c r="J119" s="91"/>
      <c r="K119" s="91"/>
      <c r="L119" s="91"/>
      <c r="M119" s="91"/>
      <c r="N119" s="91"/>
      <c r="O119" s="91"/>
    </row>
    <row r="120" spans="1:15">
      <c r="A120" s="758"/>
      <c r="B120" s="11" t="s">
        <v>187</v>
      </c>
      <c r="C120" s="4" t="s">
        <v>3671</v>
      </c>
      <c r="D120" s="2" t="s">
        <v>3672</v>
      </c>
      <c r="E120" s="3" t="s">
        <v>3673</v>
      </c>
      <c r="F120" s="2">
        <v>1</v>
      </c>
      <c r="G120" s="90">
        <v>891192250</v>
      </c>
      <c r="H120" s="90">
        <v>23</v>
      </c>
      <c r="I120" s="2"/>
      <c r="J120" s="91"/>
      <c r="K120" s="91"/>
      <c r="L120" s="91"/>
      <c r="M120" s="91"/>
      <c r="N120" s="91"/>
      <c r="O120" s="91"/>
    </row>
    <row r="121" spans="1:15">
      <c r="A121" s="758"/>
      <c r="B121" s="11" t="s">
        <v>187</v>
      </c>
      <c r="C121" s="4" t="s">
        <v>3674</v>
      </c>
      <c r="D121" s="2" t="s">
        <v>3675</v>
      </c>
      <c r="E121" s="3" t="s">
        <v>3676</v>
      </c>
      <c r="F121" s="2">
        <v>1</v>
      </c>
      <c r="G121" s="90">
        <v>863231628</v>
      </c>
      <c r="H121" s="90">
        <v>18</v>
      </c>
      <c r="I121" s="2"/>
      <c r="J121" s="91"/>
      <c r="K121" s="91"/>
      <c r="L121" s="91"/>
      <c r="M121" s="91"/>
      <c r="N121" s="91"/>
      <c r="O121" s="91"/>
    </row>
    <row r="122" spans="1:15">
      <c r="A122" s="758"/>
      <c r="B122" s="11" t="s">
        <v>187</v>
      </c>
      <c r="C122" s="4" t="s">
        <v>3677</v>
      </c>
      <c r="D122" s="2" t="s">
        <v>3678</v>
      </c>
      <c r="E122" s="3" t="s">
        <v>3679</v>
      </c>
      <c r="F122" s="2">
        <v>1</v>
      </c>
      <c r="G122" s="90">
        <v>1028683370</v>
      </c>
      <c r="H122" s="90">
        <v>23</v>
      </c>
      <c r="I122" s="2"/>
      <c r="J122" s="91"/>
      <c r="K122" s="91"/>
      <c r="L122" s="91"/>
      <c r="M122" s="91"/>
      <c r="N122" s="91"/>
      <c r="O122" s="91"/>
    </row>
    <row r="123" spans="1:15">
      <c r="A123" s="758"/>
      <c r="B123" s="11" t="s">
        <v>187</v>
      </c>
      <c r="C123" s="4" t="s">
        <v>3680</v>
      </c>
      <c r="D123" s="2">
        <v>7882229</v>
      </c>
      <c r="E123" s="3" t="s">
        <v>3681</v>
      </c>
      <c r="F123" s="2">
        <v>1</v>
      </c>
      <c r="G123" s="90">
        <v>1223974499</v>
      </c>
      <c r="H123" s="90">
        <v>23</v>
      </c>
      <c r="I123" s="2"/>
      <c r="J123" s="91"/>
      <c r="K123" s="91"/>
      <c r="L123" s="91"/>
      <c r="M123" s="91"/>
      <c r="N123" s="91"/>
      <c r="O123" s="91"/>
    </row>
    <row r="124" spans="1:15">
      <c r="A124" s="758"/>
      <c r="B124" s="11" t="s">
        <v>187</v>
      </c>
      <c r="C124" s="4" t="s">
        <v>3682</v>
      </c>
      <c r="D124" s="2" t="s">
        <v>3683</v>
      </c>
      <c r="E124" s="3" t="s">
        <v>3684</v>
      </c>
      <c r="F124" s="2">
        <v>1</v>
      </c>
      <c r="G124" s="90">
        <v>826513924</v>
      </c>
      <c r="H124" s="90"/>
      <c r="I124" s="2"/>
      <c r="J124" s="91"/>
      <c r="K124" s="91"/>
      <c r="L124" s="91"/>
      <c r="M124" s="91"/>
      <c r="N124" s="91"/>
      <c r="O124" s="91"/>
    </row>
    <row r="125" spans="1:15">
      <c r="A125" s="758"/>
      <c r="B125" s="11" t="s">
        <v>187</v>
      </c>
      <c r="C125" s="4" t="s">
        <v>3685</v>
      </c>
      <c r="D125" s="2" t="s">
        <v>3686</v>
      </c>
      <c r="E125" s="3" t="s">
        <v>3687</v>
      </c>
      <c r="F125" s="2">
        <v>1</v>
      </c>
      <c r="G125" s="90">
        <v>677170739</v>
      </c>
      <c r="H125" s="90">
        <v>23</v>
      </c>
      <c r="I125" s="2"/>
      <c r="J125" s="91"/>
      <c r="K125" s="91"/>
      <c r="L125" s="91"/>
      <c r="M125" s="91"/>
      <c r="N125" s="91"/>
      <c r="O125" s="91"/>
    </row>
    <row r="126" spans="1:15">
      <c r="A126" s="758"/>
      <c r="B126" s="11" t="s">
        <v>187</v>
      </c>
      <c r="C126" s="4" t="s">
        <v>3688</v>
      </c>
      <c r="D126" s="2" t="s">
        <v>3689</v>
      </c>
      <c r="E126" s="3" t="s">
        <v>3690</v>
      </c>
      <c r="F126" s="2">
        <v>1</v>
      </c>
      <c r="G126" s="90">
        <v>675509883</v>
      </c>
      <c r="H126" s="90">
        <v>23</v>
      </c>
      <c r="I126" s="2"/>
      <c r="J126" s="91"/>
      <c r="K126" s="91"/>
      <c r="L126" s="91"/>
      <c r="M126" s="91"/>
      <c r="N126" s="91"/>
      <c r="O126" s="91"/>
    </row>
    <row r="127" spans="1:15">
      <c r="A127" s="758"/>
      <c r="B127" s="11" t="s">
        <v>187</v>
      </c>
      <c r="D127" s="2"/>
      <c r="E127" s="3"/>
      <c r="G127" s="90"/>
      <c r="H127" s="90">
        <v>23</v>
      </c>
      <c r="I127" s="2"/>
      <c r="J127" s="91"/>
      <c r="K127" s="91"/>
      <c r="L127" s="91"/>
      <c r="M127" s="91"/>
      <c r="N127" s="91"/>
      <c r="O127" s="91"/>
    </row>
    <row r="128" spans="1:15">
      <c r="A128" s="758"/>
      <c r="B128" s="11" t="s">
        <v>187</v>
      </c>
      <c r="C128" s="4" t="s">
        <v>3691</v>
      </c>
      <c r="D128" s="2">
        <v>78857442</v>
      </c>
      <c r="E128" s="3" t="s">
        <v>3692</v>
      </c>
      <c r="F128" s="2">
        <v>1</v>
      </c>
      <c r="G128" s="90">
        <v>744000000</v>
      </c>
      <c r="H128" s="90"/>
      <c r="I128" s="2"/>
      <c r="J128" s="91"/>
      <c r="K128" s="91"/>
      <c r="L128" s="91"/>
      <c r="M128" s="91"/>
      <c r="N128" s="91"/>
      <c r="O128" s="91"/>
    </row>
    <row r="129" spans="1:15">
      <c r="A129" s="758"/>
      <c r="B129" s="11" t="s">
        <v>187</v>
      </c>
      <c r="C129" s="4" t="s">
        <v>3693</v>
      </c>
      <c r="D129" s="2" t="s">
        <v>3694</v>
      </c>
      <c r="E129" s="3" t="s">
        <v>3695</v>
      </c>
      <c r="F129" s="2">
        <v>1</v>
      </c>
      <c r="G129" s="90">
        <v>744073728</v>
      </c>
      <c r="H129" s="90">
        <v>23</v>
      </c>
      <c r="I129" s="2"/>
      <c r="J129" s="91"/>
      <c r="K129" s="91"/>
      <c r="L129" s="91"/>
      <c r="M129" s="91"/>
      <c r="N129" s="91"/>
      <c r="O129" s="91"/>
    </row>
    <row r="130" spans="1:15">
      <c r="A130" s="758"/>
      <c r="B130" s="11" t="s">
        <v>187</v>
      </c>
      <c r="C130" s="4" t="s">
        <v>3696</v>
      </c>
      <c r="D130" s="2" t="s">
        <v>3697</v>
      </c>
      <c r="E130" s="3" t="s">
        <v>3698</v>
      </c>
      <c r="F130" s="2">
        <v>1</v>
      </c>
      <c r="G130" s="108">
        <v>1189831852</v>
      </c>
      <c r="H130" s="108">
        <v>23</v>
      </c>
      <c r="I130" s="2"/>
      <c r="J130" s="91"/>
      <c r="K130" s="91"/>
      <c r="L130" s="91"/>
      <c r="M130" s="91"/>
      <c r="N130" s="91"/>
      <c r="O130" s="91"/>
    </row>
    <row r="131" spans="1:15">
      <c r="A131" s="758"/>
      <c r="B131" s="11" t="s">
        <v>187</v>
      </c>
      <c r="C131" s="4" t="s">
        <v>3699</v>
      </c>
      <c r="D131" s="108"/>
      <c r="E131" s="3"/>
      <c r="F131" s="2">
        <v>584</v>
      </c>
      <c r="G131" s="108">
        <v>29466536578</v>
      </c>
      <c r="H131" s="108">
        <v>23</v>
      </c>
      <c r="I131" s="2"/>
      <c r="J131" s="91"/>
      <c r="K131" s="91"/>
      <c r="L131" s="91"/>
      <c r="M131" s="91"/>
      <c r="N131" s="91"/>
      <c r="O131" s="91"/>
    </row>
    <row r="132" spans="1:15">
      <c r="A132" s="759">
        <v>3</v>
      </c>
      <c r="B132" s="9" t="s">
        <v>191</v>
      </c>
      <c r="C132" s="13" t="s">
        <v>3700</v>
      </c>
      <c r="D132" s="36">
        <v>8825236</v>
      </c>
      <c r="E132" s="426" t="s">
        <v>3701</v>
      </c>
      <c r="F132" s="36">
        <v>1</v>
      </c>
      <c r="G132" s="438">
        <v>13056201450</v>
      </c>
      <c r="H132" s="36"/>
      <c r="I132" s="102">
        <v>18</v>
      </c>
      <c r="J132" s="93"/>
      <c r="K132" s="93"/>
      <c r="L132" s="93"/>
      <c r="M132" s="93"/>
      <c r="N132" s="93"/>
      <c r="O132" s="93"/>
    </row>
    <row r="133" spans="1:15">
      <c r="A133" s="759"/>
      <c r="B133" s="9" t="s">
        <v>191</v>
      </c>
      <c r="C133" s="13" t="s">
        <v>3702</v>
      </c>
      <c r="D133" s="36">
        <v>4527688</v>
      </c>
      <c r="E133" s="426" t="s">
        <v>3703</v>
      </c>
      <c r="F133" s="36"/>
      <c r="G133" s="438">
        <v>11163559418</v>
      </c>
      <c r="H133" s="102"/>
      <c r="I133" s="102">
        <v>17</v>
      </c>
      <c r="J133" s="431"/>
      <c r="K133" s="431"/>
      <c r="L133" s="431"/>
      <c r="M133" s="431"/>
      <c r="N133" s="431"/>
      <c r="O133" s="93"/>
    </row>
    <row r="134" spans="1:15">
      <c r="A134" s="759"/>
      <c r="B134" s="9" t="s">
        <v>191</v>
      </c>
      <c r="C134" s="13" t="s">
        <v>3704</v>
      </c>
      <c r="D134" s="36" t="s">
        <v>3705</v>
      </c>
      <c r="E134" s="426" t="s">
        <v>3706</v>
      </c>
      <c r="F134" s="36">
        <v>1</v>
      </c>
      <c r="G134" s="438">
        <v>10672973627</v>
      </c>
      <c r="H134" s="102"/>
      <c r="I134" s="102">
        <v>23</v>
      </c>
      <c r="J134" s="431"/>
      <c r="K134" s="431"/>
      <c r="L134" s="431"/>
      <c r="M134" s="431"/>
      <c r="N134" s="431"/>
      <c r="O134" s="93"/>
    </row>
    <row r="135" spans="1:15">
      <c r="A135" s="759"/>
      <c r="B135" s="9" t="s">
        <v>191</v>
      </c>
      <c r="C135" s="13" t="s">
        <v>3707</v>
      </c>
      <c r="D135" s="36">
        <v>17766</v>
      </c>
      <c r="E135" s="426" t="s">
        <v>3708</v>
      </c>
      <c r="F135" s="36">
        <v>1</v>
      </c>
      <c r="G135" s="438">
        <v>9398895820</v>
      </c>
      <c r="H135" s="102"/>
      <c r="I135" s="102">
        <v>21</v>
      </c>
      <c r="J135" s="431"/>
      <c r="K135" s="431"/>
      <c r="L135" s="431"/>
      <c r="M135" s="431"/>
      <c r="N135" s="431"/>
      <c r="O135" s="93"/>
    </row>
    <row r="136" spans="1:15">
      <c r="A136" s="759"/>
      <c r="B136" s="9" t="s">
        <v>191</v>
      </c>
      <c r="C136" s="13" t="s">
        <v>3709</v>
      </c>
      <c r="D136" s="36">
        <v>4596964</v>
      </c>
      <c r="E136" s="426" t="s">
        <v>3710</v>
      </c>
      <c r="F136" s="36">
        <v>1</v>
      </c>
      <c r="G136" s="438">
        <v>7131583658</v>
      </c>
      <c r="H136" s="102"/>
      <c r="I136" s="102">
        <v>18</v>
      </c>
      <c r="J136" s="431"/>
      <c r="K136" s="431"/>
      <c r="L136" s="431"/>
      <c r="M136" s="431"/>
      <c r="N136" s="431"/>
      <c r="O136" s="93"/>
    </row>
    <row r="137" spans="1:15">
      <c r="A137" s="759"/>
      <c r="B137" s="9" t="s">
        <v>191</v>
      </c>
      <c r="C137" s="13" t="s">
        <v>3711</v>
      </c>
      <c r="D137" s="36">
        <v>8255847</v>
      </c>
      <c r="E137" s="426" t="s">
        <v>3712</v>
      </c>
      <c r="F137" s="36">
        <v>1</v>
      </c>
      <c r="G137" s="438">
        <v>3828723158</v>
      </c>
      <c r="H137" s="102"/>
      <c r="I137" s="102">
        <v>6</v>
      </c>
      <c r="J137" s="431"/>
      <c r="K137" s="431"/>
      <c r="L137" s="431"/>
      <c r="M137" s="431"/>
      <c r="N137" s="431"/>
      <c r="O137" s="93"/>
    </row>
    <row r="138" spans="1:15">
      <c r="A138" s="759"/>
      <c r="B138" s="9" t="s">
        <v>191</v>
      </c>
      <c r="C138" s="13" t="s">
        <v>3713</v>
      </c>
      <c r="D138" s="36">
        <v>4792653</v>
      </c>
      <c r="E138" s="426" t="s">
        <v>3714</v>
      </c>
      <c r="F138" s="36">
        <v>1</v>
      </c>
      <c r="G138" s="438">
        <v>2695619009</v>
      </c>
      <c r="H138" s="102"/>
      <c r="I138" s="102">
        <v>18</v>
      </c>
      <c r="J138" s="431"/>
      <c r="K138" s="431"/>
      <c r="L138" s="431"/>
      <c r="M138" s="431"/>
      <c r="N138" s="431"/>
      <c r="O138" s="93"/>
    </row>
    <row r="139" spans="1:15">
      <c r="A139" s="759"/>
      <c r="B139" s="9" t="s">
        <v>191</v>
      </c>
      <c r="C139" s="13" t="s">
        <v>3715</v>
      </c>
      <c r="D139" s="36">
        <v>176033</v>
      </c>
      <c r="E139" s="426" t="s">
        <v>3716</v>
      </c>
      <c r="F139" s="36">
        <v>1</v>
      </c>
      <c r="G139" s="438">
        <v>2693181279</v>
      </c>
      <c r="H139" s="102"/>
      <c r="I139" s="102">
        <v>7</v>
      </c>
      <c r="J139" s="431"/>
      <c r="K139" s="431"/>
      <c r="L139" s="431"/>
      <c r="M139" s="431"/>
      <c r="N139" s="431"/>
      <c r="O139" s="93"/>
    </row>
    <row r="140" spans="1:15">
      <c r="A140" s="759"/>
      <c r="B140" s="9" t="s">
        <v>191</v>
      </c>
      <c r="C140" s="13" t="s">
        <v>3717</v>
      </c>
      <c r="D140" s="36">
        <v>38861</v>
      </c>
      <c r="E140" s="426" t="s">
        <v>3718</v>
      </c>
      <c r="F140" s="36">
        <v>1</v>
      </c>
      <c r="G140" s="438">
        <v>2175090236</v>
      </c>
      <c r="H140" s="102"/>
      <c r="I140" s="102">
        <v>7</v>
      </c>
      <c r="J140" s="431"/>
      <c r="K140" s="431"/>
      <c r="L140" s="431"/>
      <c r="M140" s="431"/>
      <c r="N140" s="431"/>
      <c r="O140" s="93"/>
    </row>
    <row r="141" spans="1:15">
      <c r="A141" s="759"/>
      <c r="B141" s="9" t="s">
        <v>191</v>
      </c>
      <c r="C141" s="13" t="s">
        <v>3719</v>
      </c>
      <c r="D141" s="36">
        <v>266610</v>
      </c>
      <c r="E141" s="426" t="s">
        <v>3720</v>
      </c>
      <c r="F141" s="36">
        <v>1</v>
      </c>
      <c r="G141" s="438">
        <v>2068385459</v>
      </c>
      <c r="H141" s="102"/>
      <c r="I141" s="102">
        <v>6</v>
      </c>
      <c r="J141" s="431"/>
      <c r="K141" s="431"/>
      <c r="L141" s="431"/>
      <c r="M141" s="431"/>
      <c r="N141" s="431"/>
      <c r="O141" s="93"/>
    </row>
    <row r="142" spans="1:15">
      <c r="A142" s="759"/>
      <c r="B142" s="9" t="s">
        <v>191</v>
      </c>
      <c r="C142" s="13" t="s">
        <v>3721</v>
      </c>
      <c r="D142" s="36">
        <v>6247846</v>
      </c>
      <c r="E142" s="439" t="s">
        <v>3722</v>
      </c>
      <c r="F142" s="36">
        <v>1</v>
      </c>
      <c r="G142" s="438">
        <v>1387424801</v>
      </c>
      <c r="H142" s="102">
        <v>7</v>
      </c>
      <c r="I142" s="102"/>
      <c r="J142" s="431"/>
      <c r="K142" s="431"/>
      <c r="L142" s="431"/>
      <c r="M142" s="431"/>
      <c r="N142" s="431"/>
      <c r="O142" s="93"/>
    </row>
    <row r="143" spans="1:15">
      <c r="A143" s="759"/>
      <c r="B143" s="9" t="s">
        <v>191</v>
      </c>
      <c r="C143" s="13" t="s">
        <v>3301</v>
      </c>
      <c r="D143" s="36"/>
      <c r="E143" s="440"/>
      <c r="F143" s="36"/>
      <c r="G143" s="87">
        <v>35250298951</v>
      </c>
      <c r="H143" s="36"/>
      <c r="I143" s="36"/>
      <c r="J143" s="93"/>
      <c r="K143" s="93"/>
      <c r="L143" s="93"/>
      <c r="M143" s="93"/>
      <c r="N143" s="93"/>
      <c r="O143" s="93"/>
    </row>
    <row r="144" spans="1:15">
      <c r="A144" s="758">
        <v>4</v>
      </c>
      <c r="B144" s="11" t="s">
        <v>195</v>
      </c>
      <c r="C144" s="4" t="s">
        <v>3634</v>
      </c>
      <c r="D144" s="92" t="s">
        <v>176</v>
      </c>
      <c r="E144" s="95" t="s">
        <v>176</v>
      </c>
      <c r="F144" s="107">
        <v>0</v>
      </c>
      <c r="G144" s="90">
        <v>39764347475</v>
      </c>
      <c r="H144" s="2"/>
      <c r="I144" s="2"/>
      <c r="J144" s="2"/>
      <c r="K144" s="2"/>
      <c r="L144" s="2"/>
      <c r="M144" s="2"/>
      <c r="N144" s="2"/>
      <c r="O144" s="2"/>
    </row>
    <row r="145" spans="1:15">
      <c r="A145" s="758"/>
      <c r="B145" s="11" t="s">
        <v>195</v>
      </c>
      <c r="C145" s="4" t="s">
        <v>3723</v>
      </c>
      <c r="D145" s="2" t="s">
        <v>176</v>
      </c>
      <c r="E145" s="3" t="s">
        <v>176</v>
      </c>
      <c r="F145" s="107">
        <v>0</v>
      </c>
      <c r="G145" s="90">
        <v>8251135444</v>
      </c>
      <c r="H145" s="2"/>
      <c r="I145" s="2"/>
      <c r="J145" s="2"/>
      <c r="K145" s="2"/>
      <c r="L145" s="2"/>
      <c r="M145" s="2"/>
      <c r="N145" s="2"/>
      <c r="O145" s="2"/>
    </row>
    <row r="146" spans="1:15">
      <c r="A146" s="758"/>
      <c r="B146" s="11" t="s">
        <v>195</v>
      </c>
      <c r="C146" s="4" t="s">
        <v>640</v>
      </c>
      <c r="D146" s="2" t="s">
        <v>176</v>
      </c>
      <c r="E146" s="3" t="s">
        <v>176</v>
      </c>
      <c r="F146" s="107">
        <v>0</v>
      </c>
      <c r="G146" s="90">
        <v>7984394974</v>
      </c>
      <c r="H146" s="2"/>
      <c r="I146" s="2"/>
      <c r="J146" s="2"/>
      <c r="K146" s="2"/>
      <c r="L146" s="2"/>
      <c r="M146" s="2"/>
      <c r="N146" s="2"/>
      <c r="O146" s="2"/>
    </row>
    <row r="147" spans="1:15">
      <c r="A147" s="758"/>
      <c r="B147" s="11" t="s">
        <v>195</v>
      </c>
      <c r="C147" s="4" t="s">
        <v>3724</v>
      </c>
      <c r="D147" s="2" t="s">
        <v>176</v>
      </c>
      <c r="E147" s="3" t="s">
        <v>176</v>
      </c>
      <c r="F147" s="107">
        <v>0</v>
      </c>
      <c r="G147" s="90">
        <v>3831634886</v>
      </c>
      <c r="H147" s="2"/>
      <c r="I147" s="2"/>
      <c r="J147" s="2"/>
      <c r="K147" s="2"/>
      <c r="L147" s="2"/>
      <c r="M147" s="2"/>
      <c r="N147" s="2"/>
      <c r="O147" s="2"/>
    </row>
    <row r="148" spans="1:15">
      <c r="A148" s="758"/>
      <c r="B148" s="11" t="s">
        <v>195</v>
      </c>
      <c r="C148" s="441" t="s">
        <v>3725</v>
      </c>
      <c r="D148" s="2" t="s">
        <v>176</v>
      </c>
      <c r="E148" s="3" t="s">
        <v>176</v>
      </c>
      <c r="F148" s="107">
        <v>0</v>
      </c>
      <c r="G148" s="90">
        <v>3088667733</v>
      </c>
      <c r="H148" s="2"/>
      <c r="I148" s="2"/>
      <c r="J148" s="2"/>
      <c r="K148" s="2"/>
      <c r="L148" s="2"/>
      <c r="M148" s="2"/>
      <c r="N148" s="2"/>
      <c r="O148" s="2"/>
    </row>
    <row r="149" spans="1:15">
      <c r="A149" s="758"/>
      <c r="B149" s="11" t="s">
        <v>195</v>
      </c>
      <c r="C149" s="4" t="s">
        <v>3726</v>
      </c>
      <c r="D149" s="2" t="s">
        <v>176</v>
      </c>
      <c r="E149" s="3" t="s">
        <v>176</v>
      </c>
      <c r="F149" s="107">
        <v>0</v>
      </c>
      <c r="G149" s="90">
        <v>13888529724</v>
      </c>
      <c r="H149" s="2"/>
      <c r="I149" s="2"/>
      <c r="J149" s="2"/>
      <c r="K149" s="2"/>
      <c r="L149" s="2"/>
      <c r="M149" s="2"/>
      <c r="N149" s="2"/>
      <c r="O149" s="2"/>
    </row>
    <row r="150" spans="1:15">
      <c r="A150" s="759">
        <v>5</v>
      </c>
      <c r="B150" s="9" t="s">
        <v>199</v>
      </c>
      <c r="C150" s="13" t="s">
        <v>3727</v>
      </c>
      <c r="D150" s="36"/>
      <c r="E150" s="37"/>
      <c r="F150" s="102">
        <v>1</v>
      </c>
      <c r="G150" s="87">
        <v>2723530837</v>
      </c>
      <c r="H150" s="36"/>
      <c r="I150" s="36"/>
      <c r="J150" s="36"/>
      <c r="K150" s="36"/>
      <c r="L150" s="36"/>
      <c r="M150" s="36"/>
      <c r="N150" s="36"/>
      <c r="O150" s="36"/>
    </row>
    <row r="151" spans="1:15">
      <c r="A151" s="759"/>
      <c r="B151" s="9" t="s">
        <v>199</v>
      </c>
      <c r="C151" s="13" t="s">
        <v>3728</v>
      </c>
      <c r="D151" s="36"/>
      <c r="E151" s="37"/>
      <c r="F151" s="102">
        <v>1</v>
      </c>
      <c r="G151" s="87">
        <v>859353119</v>
      </c>
      <c r="H151" s="36"/>
      <c r="I151" s="36"/>
      <c r="J151" s="36"/>
      <c r="K151" s="36"/>
      <c r="L151" s="36"/>
      <c r="M151" s="36"/>
      <c r="N151" s="36"/>
      <c r="O151" s="36"/>
    </row>
    <row r="152" spans="1:15">
      <c r="A152" s="759"/>
      <c r="B152" s="9" t="s">
        <v>199</v>
      </c>
      <c r="C152" s="13" t="s">
        <v>3729</v>
      </c>
      <c r="D152" s="36"/>
      <c r="E152" s="37"/>
      <c r="F152" s="102">
        <v>1</v>
      </c>
      <c r="G152" s="87">
        <v>721994614</v>
      </c>
      <c r="H152" s="36"/>
      <c r="I152" s="36"/>
      <c r="J152" s="36"/>
      <c r="K152" s="36"/>
      <c r="L152" s="36"/>
      <c r="M152" s="36"/>
      <c r="N152" s="36"/>
      <c r="O152" s="36"/>
    </row>
    <row r="153" spans="1:15">
      <c r="A153" s="759"/>
      <c r="B153" s="9" t="s">
        <v>199</v>
      </c>
      <c r="C153" s="13" t="s">
        <v>3730</v>
      </c>
      <c r="D153" s="36"/>
      <c r="E153" s="37"/>
      <c r="F153" s="102">
        <v>1</v>
      </c>
      <c r="G153" s="87">
        <v>709265540</v>
      </c>
      <c r="H153" s="36"/>
      <c r="I153" s="36"/>
      <c r="J153" s="36"/>
      <c r="K153" s="36"/>
      <c r="L153" s="36"/>
      <c r="M153" s="36"/>
      <c r="N153" s="36"/>
      <c r="O153" s="36"/>
    </row>
    <row r="154" spans="1:15">
      <c r="A154" s="759"/>
      <c r="B154" s="9" t="s">
        <v>199</v>
      </c>
      <c r="C154" s="13" t="s">
        <v>3731</v>
      </c>
      <c r="D154" s="36"/>
      <c r="E154" s="37"/>
      <c r="F154" s="102">
        <v>1</v>
      </c>
      <c r="G154" s="87">
        <v>689244888</v>
      </c>
      <c r="H154" s="36"/>
      <c r="I154" s="36"/>
      <c r="J154" s="36"/>
      <c r="K154" s="36"/>
      <c r="L154" s="36"/>
      <c r="M154" s="36"/>
      <c r="N154" s="36"/>
      <c r="O154" s="36"/>
    </row>
    <row r="155" spans="1:15">
      <c r="A155" s="759"/>
      <c r="B155" s="9" t="s">
        <v>199</v>
      </c>
      <c r="C155" s="13" t="s">
        <v>3732</v>
      </c>
      <c r="D155" s="36"/>
      <c r="E155" s="37"/>
      <c r="F155" s="102">
        <v>1</v>
      </c>
      <c r="G155" s="87">
        <v>685332597</v>
      </c>
      <c r="H155" s="36"/>
      <c r="I155" s="36"/>
      <c r="J155" s="36"/>
      <c r="K155" s="36"/>
      <c r="L155" s="36"/>
      <c r="M155" s="36"/>
      <c r="N155" s="36"/>
      <c r="O155" s="36"/>
    </row>
    <row r="156" spans="1:15">
      <c r="A156" s="759"/>
      <c r="B156" s="9" t="s">
        <v>199</v>
      </c>
      <c r="C156" s="13" t="s">
        <v>3733</v>
      </c>
      <c r="D156" s="36"/>
      <c r="E156" s="37"/>
      <c r="F156" s="102">
        <v>1</v>
      </c>
      <c r="G156" s="87">
        <v>614334507</v>
      </c>
      <c r="H156" s="36"/>
      <c r="I156" s="36"/>
      <c r="J156" s="36"/>
      <c r="K156" s="36"/>
      <c r="L156" s="36"/>
      <c r="M156" s="36"/>
      <c r="N156" s="36"/>
      <c r="O156" s="36"/>
    </row>
    <row r="157" spans="1:15">
      <c r="A157" s="759"/>
      <c r="B157" s="9" t="s">
        <v>199</v>
      </c>
      <c r="C157" s="13" t="s">
        <v>3734</v>
      </c>
      <c r="D157" s="36"/>
      <c r="E157" s="37"/>
      <c r="F157" s="102">
        <v>1</v>
      </c>
      <c r="G157" s="87">
        <v>498107905</v>
      </c>
      <c r="H157" s="36"/>
      <c r="I157" s="36"/>
      <c r="J157" s="36"/>
      <c r="K157" s="36"/>
      <c r="L157" s="36"/>
      <c r="M157" s="36"/>
      <c r="N157" s="36"/>
      <c r="O157" s="36"/>
    </row>
    <row r="158" spans="1:15">
      <c r="A158" s="759"/>
      <c r="B158" s="9" t="s">
        <v>199</v>
      </c>
      <c r="C158" s="13" t="s">
        <v>3735</v>
      </c>
      <c r="D158" s="36"/>
      <c r="E158" s="37"/>
      <c r="F158" s="102">
        <v>1</v>
      </c>
      <c r="G158" s="87">
        <v>465579437</v>
      </c>
      <c r="H158" s="36"/>
      <c r="I158" s="36"/>
      <c r="J158" s="36"/>
      <c r="K158" s="36"/>
      <c r="L158" s="36"/>
      <c r="M158" s="36"/>
      <c r="N158" s="36"/>
      <c r="O158" s="36"/>
    </row>
    <row r="159" spans="1:15">
      <c r="A159" s="759"/>
      <c r="B159" s="9" t="s">
        <v>199</v>
      </c>
      <c r="C159" s="13" t="s">
        <v>3736</v>
      </c>
      <c r="D159" s="36"/>
      <c r="E159" s="37"/>
      <c r="F159" s="102">
        <v>1</v>
      </c>
      <c r="G159" s="87">
        <v>373655386</v>
      </c>
      <c r="H159" s="36"/>
      <c r="I159" s="36"/>
      <c r="J159" s="36"/>
      <c r="K159" s="36"/>
      <c r="L159" s="36"/>
      <c r="M159" s="36"/>
      <c r="N159" s="36"/>
      <c r="O159" s="36"/>
    </row>
    <row r="160" spans="1:15">
      <c r="A160" s="759"/>
      <c r="B160" s="9" t="s">
        <v>199</v>
      </c>
      <c r="C160" s="13" t="s">
        <v>3737</v>
      </c>
      <c r="D160" s="36"/>
      <c r="E160" s="37"/>
      <c r="F160" s="102">
        <v>1</v>
      </c>
      <c r="G160" s="87">
        <v>341682421</v>
      </c>
      <c r="H160" s="36"/>
      <c r="I160" s="36"/>
      <c r="J160" s="36"/>
      <c r="K160" s="36"/>
      <c r="L160" s="36"/>
      <c r="M160" s="36"/>
      <c r="N160" s="36"/>
      <c r="O160" s="36"/>
    </row>
    <row r="161" spans="1:15">
      <c r="A161" s="759"/>
      <c r="B161" s="9" t="s">
        <v>199</v>
      </c>
      <c r="C161" s="13" t="s">
        <v>3738</v>
      </c>
      <c r="D161" s="36"/>
      <c r="E161" s="37"/>
      <c r="F161" s="102">
        <v>1</v>
      </c>
      <c r="G161" s="87">
        <v>299769441</v>
      </c>
      <c r="H161" s="36"/>
      <c r="I161" s="36"/>
      <c r="J161" s="36"/>
      <c r="K161" s="36"/>
      <c r="L161" s="36"/>
      <c r="M161" s="36"/>
      <c r="N161" s="36"/>
      <c r="O161" s="36"/>
    </row>
    <row r="162" spans="1:15">
      <c r="A162" s="759"/>
      <c r="B162" s="9" t="s">
        <v>199</v>
      </c>
      <c r="C162" s="13" t="s">
        <v>3726</v>
      </c>
      <c r="D162" s="36"/>
      <c r="E162" s="37"/>
      <c r="F162" s="102">
        <v>373</v>
      </c>
      <c r="G162" s="87">
        <v>12424986181</v>
      </c>
      <c r="H162" s="36"/>
      <c r="I162" s="36"/>
      <c r="J162" s="36"/>
      <c r="K162" s="36"/>
      <c r="L162" s="36"/>
      <c r="M162" s="36"/>
      <c r="N162" s="36"/>
      <c r="O162" s="36"/>
    </row>
    <row r="163" spans="1:15">
      <c r="A163" s="43">
        <v>6</v>
      </c>
      <c r="B163" s="11" t="s">
        <v>203</v>
      </c>
      <c r="C163" s="4" t="s">
        <v>3739</v>
      </c>
      <c r="D163" s="2"/>
      <c r="E163" s="3"/>
      <c r="F163" s="108">
        <v>131</v>
      </c>
      <c r="G163" s="90" t="s">
        <v>3740</v>
      </c>
      <c r="H163" s="2"/>
      <c r="I163" s="2"/>
      <c r="J163" s="2"/>
      <c r="K163" s="2"/>
      <c r="L163" s="2"/>
      <c r="M163" s="2"/>
      <c r="N163" s="2"/>
      <c r="O163" s="2"/>
    </row>
    <row r="164" spans="1:15">
      <c r="A164" s="43">
        <v>6</v>
      </c>
      <c r="B164" s="11" t="s">
        <v>203</v>
      </c>
      <c r="C164" s="4" t="s">
        <v>3507</v>
      </c>
      <c r="D164" s="2"/>
      <c r="E164" s="3"/>
      <c r="F164" s="108">
        <v>70</v>
      </c>
      <c r="G164" s="96" t="s">
        <v>3741</v>
      </c>
      <c r="H164" s="2"/>
      <c r="I164" s="2"/>
      <c r="J164" s="2"/>
      <c r="K164" s="2"/>
      <c r="L164" s="2"/>
      <c r="M164" s="2"/>
      <c r="N164" s="2"/>
      <c r="O164" s="2"/>
    </row>
    <row r="165" spans="1:15">
      <c r="A165" s="43">
        <v>6</v>
      </c>
      <c r="B165" s="11" t="s">
        <v>203</v>
      </c>
      <c r="C165" s="4" t="s">
        <v>3742</v>
      </c>
      <c r="D165" s="2"/>
      <c r="E165" s="3"/>
      <c r="F165" s="108">
        <v>81</v>
      </c>
      <c r="G165" s="96" t="s">
        <v>3743</v>
      </c>
      <c r="H165" s="2"/>
      <c r="I165" s="2"/>
      <c r="J165" s="2"/>
      <c r="K165" s="2"/>
      <c r="L165" s="2"/>
      <c r="M165" s="2"/>
      <c r="N165" s="2"/>
      <c r="O165" s="2"/>
    </row>
    <row r="166" spans="1:15">
      <c r="A166" s="43">
        <v>6</v>
      </c>
      <c r="B166" s="11" t="s">
        <v>203</v>
      </c>
      <c r="C166" s="4" t="s">
        <v>3744</v>
      </c>
      <c r="D166" s="2"/>
      <c r="E166" s="3"/>
      <c r="F166" s="108">
        <v>28</v>
      </c>
      <c r="G166" s="96" t="s">
        <v>3745</v>
      </c>
      <c r="H166" s="2"/>
      <c r="I166" s="2"/>
      <c r="J166" s="2"/>
      <c r="K166" s="2"/>
      <c r="L166" s="2"/>
      <c r="M166" s="2"/>
      <c r="N166" s="2"/>
      <c r="O166" s="2"/>
    </row>
    <row r="167" spans="1:15">
      <c r="A167" s="43">
        <v>6</v>
      </c>
      <c r="B167" s="11" t="s">
        <v>203</v>
      </c>
      <c r="C167" s="4" t="s">
        <v>3746</v>
      </c>
      <c r="D167" s="2"/>
      <c r="E167" s="3"/>
      <c r="F167" s="108">
        <v>36</v>
      </c>
      <c r="G167" s="96" t="s">
        <v>3747</v>
      </c>
      <c r="H167" s="2"/>
      <c r="I167" s="2"/>
      <c r="J167" s="2"/>
      <c r="K167" s="2"/>
      <c r="L167" s="2"/>
      <c r="M167" s="2"/>
      <c r="N167" s="2"/>
      <c r="O167" s="2"/>
    </row>
    <row r="168" spans="1:15">
      <c r="A168" s="43">
        <v>6</v>
      </c>
      <c r="B168" s="11" t="s">
        <v>203</v>
      </c>
      <c r="C168" s="4" t="s">
        <v>3748</v>
      </c>
      <c r="D168" s="2"/>
      <c r="E168" s="3"/>
      <c r="F168" s="108"/>
      <c r="G168" s="96" t="s">
        <v>3749</v>
      </c>
      <c r="H168" s="2"/>
      <c r="I168" s="2"/>
      <c r="J168" s="2"/>
      <c r="K168" s="2"/>
      <c r="L168" s="2"/>
      <c r="M168" s="2"/>
      <c r="N168" s="2"/>
      <c r="O168" s="2"/>
    </row>
    <row r="169" spans="1:15">
      <c r="A169" s="43">
        <v>6</v>
      </c>
      <c r="B169" s="11" t="s">
        <v>203</v>
      </c>
      <c r="C169" s="4" t="s">
        <v>3750</v>
      </c>
      <c r="D169" s="2"/>
      <c r="E169" s="3"/>
      <c r="F169" s="108"/>
      <c r="G169" s="96" t="s">
        <v>3751</v>
      </c>
      <c r="H169" s="2"/>
      <c r="I169" s="2"/>
      <c r="J169" s="2"/>
      <c r="K169" s="2"/>
      <c r="L169" s="2"/>
      <c r="M169" s="2"/>
      <c r="N169" s="2"/>
      <c r="O169" s="2"/>
    </row>
    <row r="170" spans="1:15">
      <c r="A170" s="43">
        <v>6</v>
      </c>
      <c r="B170" s="11" t="s">
        <v>203</v>
      </c>
      <c r="C170" s="4" t="s">
        <v>3752</v>
      </c>
      <c r="D170" s="2"/>
      <c r="E170" s="3"/>
      <c r="F170" s="108"/>
      <c r="G170" s="96" t="s">
        <v>3753</v>
      </c>
      <c r="H170" s="2"/>
      <c r="I170" s="2"/>
      <c r="J170" s="2"/>
      <c r="K170" s="2"/>
      <c r="L170" s="2"/>
      <c r="M170" s="2"/>
      <c r="N170" s="2"/>
      <c r="O170" s="2"/>
    </row>
    <row r="171" spans="1:15">
      <c r="A171" s="43"/>
      <c r="B171" s="11" t="s">
        <v>203</v>
      </c>
      <c r="C171" s="4" t="s">
        <v>3754</v>
      </c>
      <c r="D171" s="2"/>
      <c r="E171" s="3"/>
      <c r="F171" s="108"/>
      <c r="G171" s="96" t="s">
        <v>3755</v>
      </c>
      <c r="H171" s="2"/>
      <c r="I171" s="2"/>
      <c r="J171" s="2"/>
      <c r="K171" s="2"/>
      <c r="L171" s="2"/>
      <c r="M171" s="2"/>
      <c r="N171" s="2"/>
      <c r="O171" s="2"/>
    </row>
    <row r="172" spans="1:15">
      <c r="A172" s="43">
        <v>6</v>
      </c>
      <c r="B172" s="11" t="s">
        <v>203</v>
      </c>
      <c r="C172" s="4" t="s">
        <v>627</v>
      </c>
      <c r="D172" s="2"/>
      <c r="E172" s="3"/>
      <c r="F172" s="108"/>
      <c r="G172" s="96" t="s">
        <v>3756</v>
      </c>
      <c r="H172" s="2"/>
      <c r="I172" s="2"/>
      <c r="J172" s="2"/>
      <c r="K172" s="2"/>
      <c r="L172" s="2"/>
      <c r="M172" s="2"/>
      <c r="N172" s="2"/>
      <c r="O172" s="2"/>
    </row>
    <row r="173" spans="1:15">
      <c r="A173" s="43">
        <v>6</v>
      </c>
      <c r="B173" s="11" t="s">
        <v>203</v>
      </c>
      <c r="C173" s="4" t="s">
        <v>3757</v>
      </c>
      <c r="D173" s="2"/>
      <c r="E173" s="3"/>
      <c r="F173" s="108"/>
      <c r="G173" s="78" t="s">
        <v>3758</v>
      </c>
      <c r="H173" s="2"/>
      <c r="I173" s="2"/>
      <c r="J173" s="2"/>
      <c r="K173" s="2"/>
      <c r="L173" s="2"/>
      <c r="M173" s="2"/>
      <c r="N173" s="2"/>
      <c r="O173" s="2"/>
    </row>
    <row r="174" spans="1:15">
      <c r="A174" s="43">
        <v>6</v>
      </c>
      <c r="B174" s="11" t="s">
        <v>203</v>
      </c>
      <c r="C174" s="4" t="s">
        <v>3759</v>
      </c>
      <c r="D174" s="2"/>
      <c r="E174" s="3"/>
      <c r="F174" s="108"/>
      <c r="G174" s="78" t="s">
        <v>3760</v>
      </c>
      <c r="H174" s="2"/>
      <c r="I174" s="2"/>
      <c r="J174" s="2"/>
      <c r="K174" s="2"/>
      <c r="L174" s="2"/>
      <c r="M174" s="2"/>
      <c r="N174" s="2"/>
      <c r="O174" s="2"/>
    </row>
    <row r="175" spans="1:15">
      <c r="A175" s="43">
        <v>6</v>
      </c>
      <c r="B175" s="11" t="s">
        <v>203</v>
      </c>
      <c r="C175" s="4" t="s">
        <v>3761</v>
      </c>
      <c r="D175" s="2"/>
      <c r="E175" s="3"/>
      <c r="F175" s="108"/>
      <c r="G175" s="78" t="s">
        <v>3762</v>
      </c>
      <c r="H175" s="2"/>
      <c r="I175" s="2"/>
      <c r="J175" s="2"/>
      <c r="K175" s="2"/>
      <c r="L175" s="2"/>
      <c r="M175" s="2"/>
      <c r="N175" s="2"/>
      <c r="O175" s="2"/>
    </row>
    <row r="176" spans="1:15">
      <c r="A176" s="43">
        <v>6</v>
      </c>
      <c r="B176" s="11" t="s">
        <v>203</v>
      </c>
      <c r="C176" s="4" t="s">
        <v>3763</v>
      </c>
      <c r="D176" s="2"/>
      <c r="E176" s="3"/>
      <c r="F176" s="108"/>
      <c r="G176" s="78" t="s">
        <v>3764</v>
      </c>
      <c r="H176" s="2"/>
      <c r="I176" s="2"/>
      <c r="J176" s="2"/>
      <c r="K176" s="2"/>
      <c r="L176" s="2"/>
      <c r="M176" s="2"/>
      <c r="N176" s="2"/>
      <c r="O176" s="2"/>
    </row>
    <row r="177" spans="1:15">
      <c r="A177" s="43">
        <v>6</v>
      </c>
      <c r="B177" s="11" t="s">
        <v>203</v>
      </c>
      <c r="C177" s="4" t="s">
        <v>3765</v>
      </c>
      <c r="D177" s="2"/>
      <c r="E177" s="3"/>
      <c r="F177" s="108"/>
      <c r="G177" s="96" t="s">
        <v>3766</v>
      </c>
      <c r="H177" s="2"/>
      <c r="I177" s="2"/>
      <c r="J177" s="2"/>
      <c r="K177" s="2"/>
      <c r="L177" s="2"/>
      <c r="M177" s="2"/>
      <c r="N177" s="2"/>
      <c r="O177" s="2"/>
    </row>
    <row r="178" spans="1:15">
      <c r="A178" s="43">
        <v>6</v>
      </c>
      <c r="B178" s="11" t="s">
        <v>203</v>
      </c>
      <c r="C178" s="4" t="s">
        <v>3767</v>
      </c>
      <c r="D178" s="2"/>
      <c r="E178" s="3"/>
      <c r="F178" s="108">
        <v>4</v>
      </c>
      <c r="G178" s="96" t="s">
        <v>3768</v>
      </c>
      <c r="H178" s="2"/>
      <c r="I178" s="2"/>
      <c r="J178" s="2"/>
      <c r="K178" s="2"/>
      <c r="L178" s="2"/>
      <c r="M178" s="2"/>
      <c r="N178" s="2"/>
      <c r="O178" s="2"/>
    </row>
    <row r="179" spans="1:15">
      <c r="A179" s="43">
        <v>6</v>
      </c>
      <c r="B179" s="11" t="s">
        <v>203</v>
      </c>
      <c r="C179" s="4" t="s">
        <v>3769</v>
      </c>
      <c r="D179" s="2"/>
      <c r="E179" s="3"/>
      <c r="F179" s="108"/>
      <c r="G179" s="78" t="s">
        <v>3770</v>
      </c>
      <c r="H179" s="2"/>
      <c r="I179" s="2"/>
      <c r="J179" s="2"/>
      <c r="K179" s="2"/>
      <c r="L179" s="2"/>
      <c r="M179" s="2"/>
      <c r="N179" s="2"/>
      <c r="O179" s="2"/>
    </row>
    <row r="180" spans="1:15">
      <c r="A180" s="43">
        <v>6</v>
      </c>
      <c r="B180" s="11" t="s">
        <v>203</v>
      </c>
      <c r="C180" s="4" t="s">
        <v>3771</v>
      </c>
      <c r="D180" s="2"/>
      <c r="E180" s="3"/>
      <c r="F180" s="108"/>
      <c r="G180" s="78" t="s">
        <v>3772</v>
      </c>
      <c r="H180" s="2"/>
      <c r="I180" s="2"/>
      <c r="J180" s="2"/>
      <c r="K180" s="2"/>
      <c r="L180" s="2"/>
      <c r="M180" s="2"/>
      <c r="N180" s="2"/>
      <c r="O180" s="2"/>
    </row>
    <row r="181" spans="1:15">
      <c r="A181" s="759">
        <v>7</v>
      </c>
      <c r="B181" s="9" t="s">
        <v>206</v>
      </c>
      <c r="C181" s="32" t="s">
        <v>3773</v>
      </c>
      <c r="D181" s="33"/>
      <c r="E181" s="97" t="s">
        <v>3774</v>
      </c>
      <c r="F181" s="442">
        <v>1</v>
      </c>
      <c r="G181" s="87">
        <v>6502176444</v>
      </c>
      <c r="H181" s="36"/>
      <c r="I181" s="33"/>
      <c r="J181" s="33"/>
      <c r="K181" s="33"/>
      <c r="L181" s="33"/>
      <c r="M181" s="33"/>
      <c r="N181" s="33"/>
      <c r="O181" s="33"/>
    </row>
    <row r="182" spans="1:15">
      <c r="A182" s="759"/>
      <c r="B182" s="9" t="s">
        <v>206</v>
      </c>
      <c r="C182" s="8" t="s">
        <v>3775</v>
      </c>
      <c r="D182" s="33"/>
      <c r="E182" s="98" t="s">
        <v>3776</v>
      </c>
      <c r="F182" s="442"/>
      <c r="G182" s="87"/>
      <c r="H182" s="36"/>
      <c r="I182" s="33"/>
      <c r="J182" s="33"/>
      <c r="K182" s="33"/>
      <c r="L182" s="33"/>
      <c r="M182" s="33"/>
      <c r="N182" s="33"/>
      <c r="O182" s="33"/>
    </row>
    <row r="183" spans="1:15">
      <c r="A183" s="759"/>
      <c r="B183" s="9" t="s">
        <v>206</v>
      </c>
      <c r="C183" s="8" t="s">
        <v>3777</v>
      </c>
      <c r="D183" s="33"/>
      <c r="E183" s="98" t="s">
        <v>3778</v>
      </c>
      <c r="F183" s="442">
        <v>1</v>
      </c>
      <c r="G183" s="87">
        <v>6080213026</v>
      </c>
      <c r="H183" s="36"/>
      <c r="I183" s="33"/>
      <c r="J183" s="33"/>
      <c r="K183" s="33"/>
      <c r="L183" s="33"/>
      <c r="M183" s="33"/>
      <c r="N183" s="33"/>
      <c r="O183" s="33"/>
    </row>
    <row r="184" spans="1:15">
      <c r="A184" s="759"/>
      <c r="B184" s="9" t="s">
        <v>206</v>
      </c>
      <c r="C184" s="8" t="s">
        <v>3507</v>
      </c>
      <c r="D184" s="33"/>
      <c r="E184" s="98" t="s">
        <v>3779</v>
      </c>
      <c r="F184" s="442">
        <v>1</v>
      </c>
      <c r="G184" s="87">
        <v>4565569777</v>
      </c>
      <c r="H184" s="36"/>
      <c r="I184" s="33"/>
      <c r="J184" s="33"/>
      <c r="K184" s="33"/>
      <c r="L184" s="33"/>
      <c r="M184" s="33"/>
      <c r="N184" s="33"/>
      <c r="O184" s="33"/>
    </row>
    <row r="185" spans="1:15">
      <c r="A185" s="759"/>
      <c r="B185" s="9" t="s">
        <v>206</v>
      </c>
      <c r="C185" s="8" t="s">
        <v>3780</v>
      </c>
      <c r="D185" s="33"/>
      <c r="E185" s="98" t="s">
        <v>3781</v>
      </c>
      <c r="F185" s="442">
        <v>1</v>
      </c>
      <c r="G185" s="87">
        <v>4002547535</v>
      </c>
      <c r="H185" s="36"/>
      <c r="I185" s="33"/>
      <c r="J185" s="33"/>
      <c r="K185" s="33"/>
      <c r="L185" s="33"/>
      <c r="M185" s="33"/>
      <c r="N185" s="33"/>
      <c r="O185" s="33"/>
    </row>
    <row r="186" spans="1:15">
      <c r="A186" s="759"/>
      <c r="B186" s="9" t="s">
        <v>206</v>
      </c>
      <c r="C186" s="8" t="s">
        <v>3782</v>
      </c>
      <c r="D186" s="33"/>
      <c r="E186" s="98" t="s">
        <v>3783</v>
      </c>
      <c r="F186" s="442">
        <v>1</v>
      </c>
      <c r="G186" s="87">
        <v>3560692844</v>
      </c>
      <c r="H186" s="36"/>
      <c r="I186" s="33"/>
      <c r="J186" s="33"/>
      <c r="K186" s="33"/>
      <c r="L186" s="33"/>
      <c r="M186" s="33"/>
      <c r="N186" s="33"/>
      <c r="O186" s="33"/>
    </row>
    <row r="187" spans="1:15">
      <c r="A187" s="759"/>
      <c r="B187" s="9" t="s">
        <v>206</v>
      </c>
      <c r="C187" s="8" t="s">
        <v>3784</v>
      </c>
      <c r="D187" s="33"/>
      <c r="E187" s="98" t="s">
        <v>3785</v>
      </c>
      <c r="F187" s="442">
        <v>1</v>
      </c>
      <c r="G187" s="87">
        <v>3123632796</v>
      </c>
      <c r="H187" s="36"/>
      <c r="I187" s="33"/>
      <c r="J187" s="33"/>
      <c r="K187" s="33"/>
      <c r="L187" s="33"/>
      <c r="M187" s="33"/>
      <c r="N187" s="33"/>
      <c r="O187" s="33"/>
    </row>
    <row r="188" spans="1:15">
      <c r="A188" s="759"/>
      <c r="B188" s="9" t="s">
        <v>206</v>
      </c>
      <c r="C188" s="8" t="s">
        <v>3786</v>
      </c>
      <c r="D188" s="33"/>
      <c r="E188" s="98" t="s">
        <v>3787</v>
      </c>
      <c r="F188" s="442">
        <v>1</v>
      </c>
      <c r="G188" s="87">
        <v>2988799946</v>
      </c>
      <c r="H188" s="36"/>
      <c r="I188" s="33"/>
      <c r="J188" s="33"/>
      <c r="K188" s="33"/>
      <c r="L188" s="33"/>
      <c r="M188" s="33"/>
      <c r="N188" s="33"/>
      <c r="O188" s="33"/>
    </row>
    <row r="189" spans="1:15">
      <c r="A189" s="759"/>
      <c r="B189" s="9" t="s">
        <v>206</v>
      </c>
      <c r="C189" s="8" t="s">
        <v>3788</v>
      </c>
      <c r="D189" s="33"/>
      <c r="E189" s="98" t="s">
        <v>3789</v>
      </c>
      <c r="F189" s="442">
        <v>1</v>
      </c>
      <c r="G189" s="87">
        <v>1646802863</v>
      </c>
      <c r="H189" s="36"/>
      <c r="I189" s="33"/>
      <c r="J189" s="33"/>
      <c r="K189" s="33"/>
      <c r="L189" s="33"/>
      <c r="M189" s="33"/>
      <c r="N189" s="33"/>
      <c r="O189" s="33"/>
    </row>
    <row r="190" spans="1:15">
      <c r="A190" s="759"/>
      <c r="B190" s="9" t="s">
        <v>206</v>
      </c>
      <c r="C190" s="8" t="s">
        <v>3790</v>
      </c>
      <c r="D190" s="33"/>
      <c r="E190" s="98" t="s">
        <v>3791</v>
      </c>
      <c r="F190" s="442">
        <v>1</v>
      </c>
      <c r="G190" s="87">
        <v>1568222404</v>
      </c>
      <c r="H190" s="36"/>
      <c r="I190" s="33"/>
      <c r="J190" s="33"/>
      <c r="K190" s="33"/>
      <c r="L190" s="33"/>
      <c r="M190" s="33"/>
      <c r="N190" s="33"/>
      <c r="O190" s="33"/>
    </row>
    <row r="191" spans="1:15" ht="24">
      <c r="A191" s="759"/>
      <c r="B191" s="9" t="s">
        <v>206</v>
      </c>
      <c r="C191" s="8" t="s">
        <v>3792</v>
      </c>
      <c r="D191" s="33"/>
      <c r="E191" s="97" t="s">
        <v>3793</v>
      </c>
      <c r="F191" s="442">
        <v>1</v>
      </c>
      <c r="G191" s="87">
        <v>1527451154</v>
      </c>
      <c r="H191" s="36"/>
      <c r="I191" s="33"/>
      <c r="J191" s="33"/>
      <c r="K191" s="33"/>
      <c r="L191" s="33"/>
      <c r="M191" s="33"/>
      <c r="N191" s="33"/>
      <c r="O191" s="33"/>
    </row>
    <row r="192" spans="1:15">
      <c r="A192" s="758">
        <v>8</v>
      </c>
      <c r="B192" s="11" t="s">
        <v>210</v>
      </c>
      <c r="C192" s="4" t="s">
        <v>3794</v>
      </c>
      <c r="D192" s="2"/>
      <c r="E192" s="3"/>
      <c r="F192" s="2">
        <v>1</v>
      </c>
      <c r="G192" s="90">
        <v>2649659799</v>
      </c>
      <c r="H192" s="2"/>
      <c r="I192" s="2"/>
      <c r="J192" s="2"/>
      <c r="K192" s="2"/>
      <c r="L192" s="2"/>
      <c r="M192" s="2"/>
      <c r="N192" s="2"/>
      <c r="O192" s="2"/>
    </row>
    <row r="193" spans="1:15">
      <c r="A193" s="758"/>
      <c r="B193" s="11" t="s">
        <v>210</v>
      </c>
      <c r="C193" s="4" t="s">
        <v>3632</v>
      </c>
      <c r="D193" s="2"/>
      <c r="E193" s="3"/>
      <c r="F193" s="2">
        <v>1</v>
      </c>
      <c r="G193" s="90">
        <v>2560314440</v>
      </c>
      <c r="H193" s="2"/>
      <c r="I193" s="2"/>
      <c r="J193" s="2"/>
      <c r="K193" s="2"/>
      <c r="L193" s="2"/>
      <c r="M193" s="2"/>
      <c r="N193" s="2"/>
      <c r="O193" s="2"/>
    </row>
    <row r="194" spans="1:15">
      <c r="A194" s="758"/>
      <c r="B194" s="11" t="s">
        <v>210</v>
      </c>
      <c r="C194" s="4" t="s">
        <v>3795</v>
      </c>
      <c r="D194" s="2"/>
      <c r="E194" s="3"/>
      <c r="F194" s="2">
        <v>1</v>
      </c>
      <c r="G194" s="90">
        <v>1088895899</v>
      </c>
      <c r="H194" s="2"/>
      <c r="I194" s="2"/>
      <c r="J194" s="2"/>
      <c r="K194" s="2"/>
      <c r="L194" s="2"/>
      <c r="M194" s="2"/>
      <c r="N194" s="2"/>
      <c r="O194" s="2"/>
    </row>
    <row r="195" spans="1:15">
      <c r="A195" s="758"/>
      <c r="B195" s="11" t="s">
        <v>210</v>
      </c>
      <c r="C195" s="4" t="s">
        <v>3796</v>
      </c>
      <c r="D195" s="2"/>
      <c r="E195" s="3"/>
      <c r="G195" s="90"/>
      <c r="H195" s="2"/>
      <c r="I195" s="2"/>
      <c r="J195" s="2"/>
      <c r="K195" s="2"/>
      <c r="L195" s="2"/>
      <c r="M195" s="2"/>
      <c r="N195" s="2"/>
      <c r="O195" s="2"/>
    </row>
    <row r="196" spans="1:15">
      <c r="A196" s="758"/>
      <c r="B196" s="11" t="s">
        <v>210</v>
      </c>
      <c r="C196" s="4" t="s">
        <v>3797</v>
      </c>
      <c r="D196" s="2"/>
      <c r="E196" s="3"/>
      <c r="F196" s="2">
        <v>1</v>
      </c>
      <c r="G196" s="90">
        <v>737786074</v>
      </c>
      <c r="H196" s="2"/>
      <c r="I196" s="2"/>
      <c r="J196" s="2"/>
      <c r="K196" s="2"/>
      <c r="L196" s="2"/>
      <c r="M196" s="2"/>
      <c r="N196" s="2"/>
      <c r="O196" s="2"/>
    </row>
    <row r="197" spans="1:15">
      <c r="A197" s="758"/>
      <c r="B197" s="11" t="s">
        <v>210</v>
      </c>
      <c r="C197" s="4" t="s">
        <v>3798</v>
      </c>
      <c r="D197" s="2"/>
      <c r="E197" s="3"/>
      <c r="F197" s="2">
        <v>1</v>
      </c>
      <c r="G197" s="90">
        <v>718234401</v>
      </c>
      <c r="H197" s="2"/>
      <c r="I197" s="2"/>
      <c r="J197" s="2"/>
      <c r="K197" s="2"/>
      <c r="L197" s="2"/>
      <c r="M197" s="2"/>
      <c r="N197" s="2"/>
      <c r="O197" s="2"/>
    </row>
    <row r="198" spans="1:15">
      <c r="A198" s="758"/>
      <c r="B198" s="11" t="s">
        <v>210</v>
      </c>
      <c r="C198" s="4" t="s">
        <v>3799</v>
      </c>
      <c r="D198" s="2"/>
      <c r="E198" s="3"/>
      <c r="F198" s="2">
        <v>1</v>
      </c>
      <c r="G198" s="90">
        <v>613616045</v>
      </c>
      <c r="H198" s="2"/>
      <c r="I198" s="2"/>
      <c r="J198" s="2"/>
      <c r="K198" s="2"/>
      <c r="L198" s="2"/>
      <c r="M198" s="2"/>
      <c r="N198" s="2"/>
      <c r="O198" s="2"/>
    </row>
    <row r="199" spans="1:15">
      <c r="A199" s="758"/>
      <c r="B199" s="11" t="s">
        <v>210</v>
      </c>
      <c r="C199" s="4" t="s">
        <v>3800</v>
      </c>
      <c r="D199" s="2"/>
      <c r="E199" s="3"/>
      <c r="F199" s="2">
        <v>1</v>
      </c>
      <c r="G199" s="90">
        <v>322403324</v>
      </c>
      <c r="H199" s="2"/>
      <c r="I199" s="2"/>
      <c r="J199" s="2"/>
      <c r="K199" s="2"/>
      <c r="L199" s="2"/>
      <c r="M199" s="2"/>
      <c r="N199" s="2"/>
      <c r="O199" s="2"/>
    </row>
    <row r="200" spans="1:15">
      <c r="A200" s="758"/>
      <c r="B200" s="11" t="s">
        <v>210</v>
      </c>
      <c r="C200" s="4" t="s">
        <v>3801</v>
      </c>
      <c r="D200" s="2"/>
      <c r="E200" s="3"/>
      <c r="F200" s="2">
        <v>1</v>
      </c>
      <c r="G200" s="90">
        <v>284674548</v>
      </c>
      <c r="H200" s="2"/>
      <c r="I200" s="2"/>
      <c r="J200" s="2"/>
      <c r="K200" s="2"/>
      <c r="L200" s="2"/>
      <c r="M200" s="2"/>
      <c r="N200" s="2"/>
      <c r="O200" s="2"/>
    </row>
    <row r="201" spans="1:15">
      <c r="A201" s="758"/>
      <c r="B201" s="11" t="s">
        <v>210</v>
      </c>
      <c r="C201" s="4" t="s">
        <v>3802</v>
      </c>
      <c r="D201" s="2"/>
      <c r="E201" s="3"/>
      <c r="F201" s="2">
        <v>1</v>
      </c>
      <c r="G201" s="90">
        <v>213709506</v>
      </c>
      <c r="H201" s="2"/>
      <c r="I201" s="2"/>
      <c r="J201" s="2"/>
      <c r="K201" s="2"/>
      <c r="L201" s="2"/>
      <c r="M201" s="2"/>
      <c r="N201" s="2"/>
      <c r="O201" s="2"/>
    </row>
    <row r="202" spans="1:15">
      <c r="A202" s="758"/>
      <c r="B202" s="11" t="s">
        <v>210</v>
      </c>
      <c r="C202" s="4" t="s">
        <v>3803</v>
      </c>
      <c r="D202" s="2"/>
      <c r="E202" s="3"/>
      <c r="F202" s="2">
        <v>1</v>
      </c>
      <c r="G202" s="90">
        <v>203886988</v>
      </c>
      <c r="H202" s="2"/>
      <c r="I202" s="2"/>
      <c r="J202" s="2"/>
      <c r="K202" s="2"/>
      <c r="L202" s="2"/>
      <c r="M202" s="2"/>
      <c r="N202" s="2"/>
      <c r="O202" s="2"/>
    </row>
    <row r="203" spans="1:15">
      <c r="A203" s="758"/>
      <c r="B203" s="11" t="s">
        <v>210</v>
      </c>
      <c r="C203" s="4" t="s">
        <v>3804</v>
      </c>
      <c r="D203" s="2"/>
      <c r="E203" s="3"/>
      <c r="F203" s="2">
        <v>1</v>
      </c>
      <c r="G203" s="90">
        <v>182908753</v>
      </c>
      <c r="H203" s="2"/>
      <c r="I203" s="2"/>
      <c r="J203" s="2"/>
      <c r="K203" s="2"/>
      <c r="L203" s="2"/>
      <c r="M203" s="2"/>
      <c r="N203" s="2"/>
      <c r="O203" s="2"/>
    </row>
    <row r="204" spans="1:15">
      <c r="A204" s="758"/>
      <c r="B204" s="11" t="s">
        <v>210</v>
      </c>
      <c r="C204" s="4" t="s">
        <v>3805</v>
      </c>
      <c r="D204" s="2"/>
      <c r="E204" s="3"/>
      <c r="F204" s="2">
        <v>1</v>
      </c>
      <c r="G204" s="90">
        <v>161541000</v>
      </c>
      <c r="H204" s="2"/>
      <c r="I204" s="2"/>
      <c r="J204" s="2"/>
      <c r="K204" s="2"/>
      <c r="L204" s="2"/>
      <c r="M204" s="2"/>
      <c r="N204" s="2"/>
      <c r="O204" s="2"/>
    </row>
    <row r="205" spans="1:15">
      <c r="A205" s="758"/>
      <c r="B205" s="11" t="s">
        <v>210</v>
      </c>
      <c r="C205" s="4" t="s">
        <v>3806</v>
      </c>
      <c r="D205" s="2"/>
      <c r="E205" s="3"/>
      <c r="F205" s="2">
        <v>1</v>
      </c>
      <c r="G205" s="90">
        <v>125548093</v>
      </c>
      <c r="H205" s="2"/>
      <c r="I205" s="2"/>
      <c r="J205" s="2"/>
      <c r="K205" s="2"/>
      <c r="L205" s="2"/>
      <c r="M205" s="2"/>
      <c r="N205" s="2"/>
      <c r="O205" s="2"/>
    </row>
    <row r="206" spans="1:15">
      <c r="A206" s="758"/>
      <c r="B206" s="11" t="s">
        <v>210</v>
      </c>
      <c r="C206" s="4" t="s">
        <v>3807</v>
      </c>
      <c r="D206" s="2"/>
      <c r="E206" s="3"/>
      <c r="F206" s="2">
        <v>1</v>
      </c>
      <c r="G206" s="90">
        <v>117664200</v>
      </c>
      <c r="H206" s="2"/>
      <c r="I206" s="2"/>
      <c r="J206" s="2"/>
      <c r="K206" s="2"/>
      <c r="L206" s="2"/>
      <c r="M206" s="2"/>
      <c r="N206" s="2"/>
      <c r="O206" s="2"/>
    </row>
    <row r="207" spans="1:15">
      <c r="A207" s="758"/>
      <c r="B207" s="11" t="s">
        <v>210</v>
      </c>
      <c r="C207" s="4" t="s">
        <v>3808</v>
      </c>
      <c r="D207" s="2"/>
      <c r="E207" s="3"/>
      <c r="F207" s="2">
        <v>1</v>
      </c>
      <c r="G207" s="90">
        <v>110327132</v>
      </c>
      <c r="H207" s="2"/>
      <c r="I207" s="2"/>
      <c r="J207" s="2"/>
      <c r="K207" s="2"/>
      <c r="L207" s="2"/>
      <c r="M207" s="2"/>
      <c r="N207" s="2"/>
      <c r="O207" s="2"/>
    </row>
    <row r="208" spans="1:15">
      <c r="A208" s="758"/>
      <c r="B208" s="11" t="s">
        <v>210</v>
      </c>
      <c r="C208" s="4" t="s">
        <v>157</v>
      </c>
      <c r="D208" s="2"/>
      <c r="E208" s="3"/>
      <c r="F208" s="2">
        <v>0</v>
      </c>
      <c r="G208" s="90">
        <v>0</v>
      </c>
      <c r="H208" s="2"/>
      <c r="I208" s="2"/>
      <c r="J208" s="2"/>
      <c r="K208" s="2"/>
      <c r="L208" s="2"/>
      <c r="M208" s="2"/>
      <c r="N208" s="2"/>
      <c r="O208" s="2"/>
    </row>
    <row r="209" spans="1:15">
      <c r="A209" s="758"/>
      <c r="B209" s="11" t="s">
        <v>210</v>
      </c>
      <c r="C209" s="4" t="s">
        <v>3726</v>
      </c>
      <c r="D209" s="2"/>
      <c r="E209" s="3"/>
      <c r="F209" s="2">
        <v>211</v>
      </c>
      <c r="G209" s="90">
        <v>3217540809</v>
      </c>
      <c r="H209" s="2"/>
      <c r="I209" s="2"/>
      <c r="J209" s="2"/>
      <c r="K209" s="2"/>
      <c r="L209" s="2"/>
      <c r="M209" s="2"/>
      <c r="N209" s="2"/>
      <c r="O209" s="2"/>
    </row>
    <row r="210" spans="1:15">
      <c r="A210" s="758"/>
      <c r="B210" s="11" t="s">
        <v>210</v>
      </c>
      <c r="D210" s="2"/>
      <c r="E210" s="3"/>
      <c r="G210" s="90"/>
      <c r="H210" s="2"/>
      <c r="I210" s="2"/>
      <c r="J210" s="2"/>
      <c r="K210" s="2"/>
      <c r="L210" s="2"/>
      <c r="M210" s="2"/>
      <c r="N210" s="2"/>
      <c r="O210" s="2"/>
    </row>
    <row r="211" spans="1:15">
      <c r="A211" s="759">
        <v>9</v>
      </c>
      <c r="B211" s="9" t="s">
        <v>214</v>
      </c>
      <c r="C211" s="13" t="s">
        <v>3809</v>
      </c>
      <c r="D211" s="36">
        <v>4200317</v>
      </c>
      <c r="E211" s="37" t="s">
        <v>3810</v>
      </c>
      <c r="F211" s="36">
        <v>0</v>
      </c>
      <c r="G211" s="87">
        <v>321570072</v>
      </c>
      <c r="H211" s="36"/>
      <c r="I211" s="36">
        <v>23</v>
      </c>
      <c r="J211" s="36"/>
      <c r="K211" s="36"/>
      <c r="L211" s="36"/>
      <c r="M211" s="36"/>
      <c r="N211" s="36"/>
      <c r="O211" s="36"/>
    </row>
    <row r="212" spans="1:15" ht="24">
      <c r="A212" s="759"/>
      <c r="B212" s="9" t="s">
        <v>214</v>
      </c>
      <c r="C212" s="13" t="s">
        <v>3811</v>
      </c>
      <c r="D212" s="36">
        <v>6179437</v>
      </c>
      <c r="E212" s="94" t="s">
        <v>3812</v>
      </c>
      <c r="F212" s="36">
        <v>0</v>
      </c>
      <c r="G212" s="87">
        <v>245706556</v>
      </c>
      <c r="H212" s="36"/>
      <c r="I212" s="36">
        <v>18</v>
      </c>
      <c r="J212" s="36"/>
      <c r="K212" s="36"/>
      <c r="L212" s="36"/>
      <c r="M212" s="36"/>
      <c r="N212" s="36"/>
      <c r="O212" s="36"/>
    </row>
    <row r="213" spans="1:15">
      <c r="A213" s="759"/>
      <c r="B213" s="9" t="s">
        <v>214</v>
      </c>
      <c r="C213" s="13" t="s">
        <v>3813</v>
      </c>
      <c r="D213" s="36">
        <v>5694684</v>
      </c>
      <c r="E213" s="37" t="s">
        <v>3814</v>
      </c>
      <c r="F213" s="36">
        <v>0</v>
      </c>
      <c r="G213" s="87">
        <v>107423459</v>
      </c>
      <c r="H213" s="36"/>
      <c r="I213" s="36">
        <v>6</v>
      </c>
      <c r="J213" s="36"/>
      <c r="K213" s="36"/>
      <c r="L213" s="36"/>
      <c r="M213" s="36"/>
      <c r="N213" s="36"/>
      <c r="O213" s="36"/>
    </row>
    <row r="214" spans="1:15">
      <c r="A214" s="759"/>
      <c r="B214" s="9" t="s">
        <v>214</v>
      </c>
      <c r="C214" s="13" t="s">
        <v>3815</v>
      </c>
      <c r="D214" s="36">
        <v>2146141</v>
      </c>
      <c r="E214" s="37" t="s">
        <v>3816</v>
      </c>
      <c r="F214" s="36">
        <v>0</v>
      </c>
      <c r="G214" s="87">
        <v>102698976</v>
      </c>
      <c r="H214" s="36"/>
      <c r="I214" s="36">
        <v>2</v>
      </c>
      <c r="J214" s="36"/>
      <c r="K214" s="36"/>
      <c r="L214" s="36"/>
      <c r="M214" s="36"/>
      <c r="N214" s="36"/>
      <c r="O214" s="36"/>
    </row>
    <row r="215" spans="1:15">
      <c r="A215" s="759"/>
      <c r="B215" s="9" t="s">
        <v>214</v>
      </c>
      <c r="C215" s="13" t="s">
        <v>3817</v>
      </c>
      <c r="D215" s="36">
        <v>5830866</v>
      </c>
      <c r="E215" s="37" t="s">
        <v>3818</v>
      </c>
      <c r="F215" s="36">
        <v>0</v>
      </c>
      <c r="G215" s="87">
        <v>45970068</v>
      </c>
      <c r="H215" s="36"/>
      <c r="I215" s="36">
        <v>21</v>
      </c>
      <c r="J215" s="36"/>
      <c r="K215" s="36"/>
      <c r="L215" s="36"/>
      <c r="M215" s="36"/>
      <c r="N215" s="36"/>
      <c r="O215" s="36"/>
    </row>
    <row r="216" spans="1:15" ht="24">
      <c r="A216" s="759"/>
      <c r="B216" s="9" t="s">
        <v>214</v>
      </c>
      <c r="C216" s="13" t="s">
        <v>3819</v>
      </c>
      <c r="D216" s="36">
        <v>518748</v>
      </c>
      <c r="E216" s="94" t="s">
        <v>3820</v>
      </c>
      <c r="F216" s="36">
        <v>0</v>
      </c>
      <c r="G216" s="87">
        <v>34713407</v>
      </c>
      <c r="H216" s="36"/>
      <c r="I216" s="36">
        <v>23</v>
      </c>
      <c r="J216" s="36"/>
      <c r="K216" s="36"/>
      <c r="L216" s="36"/>
      <c r="M216" s="36"/>
      <c r="N216" s="36"/>
      <c r="O216" s="36"/>
    </row>
    <row r="217" spans="1:15">
      <c r="A217" s="759"/>
      <c r="B217" s="9" t="s">
        <v>214</v>
      </c>
      <c r="C217" s="13" t="s">
        <v>3821</v>
      </c>
      <c r="D217" s="36">
        <v>9131070</v>
      </c>
      <c r="E217" s="37" t="s">
        <v>3822</v>
      </c>
      <c r="F217" s="36">
        <v>0</v>
      </c>
      <c r="G217" s="87">
        <v>46585940</v>
      </c>
      <c r="H217" s="36"/>
      <c r="I217" s="36">
        <v>2</v>
      </c>
      <c r="J217" s="36"/>
      <c r="K217" s="36"/>
      <c r="L217" s="36"/>
      <c r="M217" s="36"/>
      <c r="N217" s="36"/>
      <c r="O217" s="36"/>
    </row>
    <row r="218" spans="1:15">
      <c r="A218" s="759"/>
      <c r="B218" s="9" t="s">
        <v>214</v>
      </c>
      <c r="C218" s="13" t="s">
        <v>3823</v>
      </c>
      <c r="D218" s="36">
        <v>7931563</v>
      </c>
      <c r="E218" s="37" t="s">
        <v>3822</v>
      </c>
      <c r="F218" s="36">
        <v>0</v>
      </c>
      <c r="G218" s="87">
        <v>16247420</v>
      </c>
      <c r="H218" s="36"/>
      <c r="I218" s="36">
        <v>23</v>
      </c>
      <c r="J218" s="36"/>
      <c r="K218" s="36"/>
      <c r="L218" s="36"/>
      <c r="M218" s="36"/>
      <c r="N218" s="36"/>
      <c r="O218" s="36"/>
    </row>
    <row r="219" spans="1:15">
      <c r="A219" s="759"/>
      <c r="B219" s="9" t="s">
        <v>214</v>
      </c>
      <c r="C219" s="13" t="s">
        <v>3824</v>
      </c>
      <c r="D219" s="36">
        <v>6247846</v>
      </c>
      <c r="E219" s="37" t="s">
        <v>3825</v>
      </c>
      <c r="F219" s="36">
        <v>0</v>
      </c>
      <c r="G219" s="87">
        <v>14665000</v>
      </c>
      <c r="H219" s="36"/>
      <c r="I219" s="36">
        <v>23</v>
      </c>
      <c r="J219" s="36"/>
      <c r="K219" s="36"/>
      <c r="L219" s="36"/>
      <c r="M219" s="36"/>
      <c r="N219" s="36"/>
      <c r="O219" s="36"/>
    </row>
    <row r="220" spans="1:15">
      <c r="A220" s="759"/>
      <c r="B220" s="9" t="s">
        <v>214</v>
      </c>
      <c r="C220" s="13" t="s">
        <v>3826</v>
      </c>
      <c r="D220" s="36">
        <v>10424381</v>
      </c>
      <c r="E220" s="37" t="s">
        <v>3827</v>
      </c>
      <c r="F220" s="36">
        <v>0</v>
      </c>
      <c r="G220" s="87">
        <v>12730032</v>
      </c>
      <c r="H220" s="36"/>
      <c r="I220" s="36">
        <v>23</v>
      </c>
      <c r="J220" s="36"/>
      <c r="K220" s="36"/>
      <c r="L220" s="36"/>
      <c r="M220" s="36"/>
      <c r="N220" s="36"/>
      <c r="O220" s="36"/>
    </row>
    <row r="221" spans="1:15">
      <c r="A221" s="758">
        <v>10</v>
      </c>
      <c r="B221" s="11" t="s">
        <v>219</v>
      </c>
      <c r="C221" s="34" t="s">
        <v>3828</v>
      </c>
      <c r="D221" s="2">
        <v>4569945</v>
      </c>
      <c r="E221" s="3" t="s">
        <v>3829</v>
      </c>
      <c r="F221" s="2">
        <v>1</v>
      </c>
      <c r="G221" s="90">
        <v>9027619749</v>
      </c>
      <c r="H221" s="2"/>
      <c r="I221" s="2">
        <v>9</v>
      </c>
      <c r="J221" s="103">
        <v>9027619749</v>
      </c>
      <c r="K221" s="2"/>
      <c r="L221" s="2"/>
      <c r="M221" s="2"/>
      <c r="N221" s="2"/>
      <c r="O221" s="2"/>
    </row>
    <row r="222" spans="1:15">
      <c r="A222" s="758"/>
      <c r="B222" s="11" t="s">
        <v>219</v>
      </c>
      <c r="C222" s="34" t="s">
        <v>3830</v>
      </c>
      <c r="D222" s="2"/>
      <c r="E222" s="3" t="s">
        <v>3831</v>
      </c>
      <c r="G222" s="90"/>
      <c r="H222" s="2"/>
      <c r="I222" s="2"/>
      <c r="J222" s="103"/>
      <c r="K222" s="2"/>
      <c r="L222" s="2"/>
      <c r="M222" s="2"/>
      <c r="N222" s="2"/>
      <c r="O222" s="2"/>
    </row>
    <row r="223" spans="1:15">
      <c r="A223" s="758"/>
      <c r="B223" s="11" t="s">
        <v>219</v>
      </c>
      <c r="C223" s="34" t="s">
        <v>3634</v>
      </c>
      <c r="D223" s="2">
        <v>2041565</v>
      </c>
      <c r="E223" s="3" t="s">
        <v>3832</v>
      </c>
      <c r="F223" s="2">
        <v>1</v>
      </c>
      <c r="G223" s="90">
        <v>8228257064</v>
      </c>
      <c r="H223" s="2"/>
      <c r="I223" s="2">
        <v>10</v>
      </c>
      <c r="J223" s="103">
        <v>8228257064</v>
      </c>
      <c r="K223" s="2"/>
      <c r="L223" s="2"/>
      <c r="M223" s="2"/>
      <c r="N223" s="2"/>
      <c r="O223" s="2"/>
    </row>
    <row r="224" spans="1:15">
      <c r="A224" s="758"/>
      <c r="B224" s="11" t="s">
        <v>219</v>
      </c>
      <c r="C224" s="34" t="s">
        <v>3833</v>
      </c>
      <c r="D224" s="2">
        <v>18467</v>
      </c>
      <c r="E224" s="3" t="s">
        <v>3834</v>
      </c>
      <c r="F224" s="2">
        <v>1</v>
      </c>
      <c r="G224" s="90">
        <v>2931301513</v>
      </c>
      <c r="H224" s="2"/>
      <c r="I224" s="2">
        <v>10</v>
      </c>
      <c r="J224" s="103">
        <v>2931301513</v>
      </c>
      <c r="K224" s="2"/>
      <c r="L224" s="2"/>
      <c r="M224" s="2"/>
      <c r="N224" s="2"/>
      <c r="O224" s="2"/>
    </row>
    <row r="225" spans="1:15">
      <c r="A225" s="758"/>
      <c r="B225" s="11" t="s">
        <v>219</v>
      </c>
      <c r="C225" s="34" t="s">
        <v>3835</v>
      </c>
      <c r="D225" s="2">
        <v>2543842</v>
      </c>
      <c r="E225" s="3" t="s">
        <v>3836</v>
      </c>
      <c r="F225" s="2">
        <v>1</v>
      </c>
      <c r="G225" s="90">
        <v>2500763369</v>
      </c>
      <c r="H225" s="2"/>
      <c r="I225" s="2">
        <v>8</v>
      </c>
      <c r="J225" s="103">
        <v>2500763369</v>
      </c>
      <c r="K225" s="2"/>
      <c r="L225" s="2"/>
      <c r="M225" s="2"/>
      <c r="N225" s="2"/>
      <c r="O225" s="2"/>
    </row>
    <row r="226" spans="1:15">
      <c r="A226" s="758"/>
      <c r="B226" s="11" t="s">
        <v>219</v>
      </c>
      <c r="C226" s="34" t="s">
        <v>3837</v>
      </c>
      <c r="D226" s="2">
        <v>4684660</v>
      </c>
      <c r="E226" s="3" t="s">
        <v>3838</v>
      </c>
      <c r="F226" s="2">
        <v>1</v>
      </c>
      <c r="G226" s="90">
        <v>1504003692</v>
      </c>
      <c r="H226" s="2"/>
      <c r="I226" s="2">
        <v>3</v>
      </c>
      <c r="J226" s="103">
        <v>1504003692</v>
      </c>
      <c r="K226" s="2"/>
      <c r="L226" s="2"/>
      <c r="M226" s="2"/>
      <c r="N226" s="2"/>
      <c r="O226" s="2"/>
    </row>
    <row r="227" spans="1:15">
      <c r="A227" s="758"/>
      <c r="B227" s="11" t="s">
        <v>219</v>
      </c>
      <c r="C227" s="34" t="s">
        <v>3574</v>
      </c>
      <c r="D227" s="2">
        <v>13748</v>
      </c>
      <c r="E227" s="3" t="s">
        <v>3839</v>
      </c>
      <c r="F227" s="2">
        <v>1</v>
      </c>
      <c r="G227" s="90">
        <v>1467048997</v>
      </c>
      <c r="H227" s="2"/>
      <c r="I227" s="2">
        <v>9</v>
      </c>
      <c r="J227" s="103">
        <v>1467048997</v>
      </c>
      <c r="K227" s="2"/>
      <c r="L227" s="2"/>
      <c r="M227" s="2"/>
      <c r="N227" s="2"/>
      <c r="O227" s="2"/>
    </row>
    <row r="228" spans="1:15">
      <c r="A228" s="758"/>
      <c r="B228" s="11" t="s">
        <v>219</v>
      </c>
      <c r="C228" s="34" t="s">
        <v>3725</v>
      </c>
      <c r="D228" s="2">
        <v>4939817</v>
      </c>
      <c r="E228" s="3" t="s">
        <v>3840</v>
      </c>
      <c r="F228" s="2">
        <v>1</v>
      </c>
      <c r="G228" s="90">
        <v>1239563335</v>
      </c>
      <c r="H228" s="2"/>
      <c r="I228" s="2">
        <v>9</v>
      </c>
      <c r="J228" s="103">
        <v>1239563335</v>
      </c>
      <c r="K228" s="2"/>
      <c r="L228" s="2"/>
      <c r="M228" s="2"/>
      <c r="N228" s="2"/>
      <c r="O228" s="2"/>
    </row>
    <row r="229" spans="1:15">
      <c r="A229" s="758"/>
      <c r="B229" s="11" t="s">
        <v>219</v>
      </c>
      <c r="C229" s="34" t="s">
        <v>3841</v>
      </c>
      <c r="D229" s="2">
        <v>40452</v>
      </c>
      <c r="E229" s="3" t="s">
        <v>3842</v>
      </c>
      <c r="F229" s="2">
        <v>1</v>
      </c>
      <c r="G229" s="90">
        <v>579487541</v>
      </c>
      <c r="H229" s="2"/>
      <c r="I229" s="2">
        <v>23</v>
      </c>
      <c r="J229" s="103">
        <v>579487541</v>
      </c>
      <c r="K229" s="2"/>
      <c r="L229" s="2"/>
      <c r="M229" s="2"/>
      <c r="N229" s="2"/>
      <c r="O229" s="2"/>
    </row>
    <row r="230" spans="1:15">
      <c r="A230" s="758"/>
      <c r="B230" s="11" t="s">
        <v>219</v>
      </c>
      <c r="C230" s="34" t="s">
        <v>3843</v>
      </c>
      <c r="D230" s="2">
        <v>38861</v>
      </c>
      <c r="E230" s="3" t="s">
        <v>3844</v>
      </c>
      <c r="F230" s="2">
        <v>1</v>
      </c>
      <c r="G230" s="90">
        <v>434049298</v>
      </c>
      <c r="H230" s="2"/>
      <c r="I230" s="2">
        <v>7</v>
      </c>
      <c r="J230" s="103">
        <v>434049298</v>
      </c>
      <c r="K230" s="2"/>
      <c r="L230" s="2"/>
      <c r="M230" s="2"/>
      <c r="N230" s="2"/>
      <c r="O230" s="2"/>
    </row>
    <row r="231" spans="1:15">
      <c r="A231" s="758"/>
      <c r="B231" s="11" t="s">
        <v>219</v>
      </c>
      <c r="C231" s="34" t="s">
        <v>3845</v>
      </c>
      <c r="D231" s="2">
        <v>4331188</v>
      </c>
      <c r="E231" s="3" t="s">
        <v>3846</v>
      </c>
      <c r="F231" s="2">
        <v>1</v>
      </c>
      <c r="G231" s="90">
        <v>417468308</v>
      </c>
      <c r="H231" s="2"/>
      <c r="I231" s="2">
        <v>4</v>
      </c>
      <c r="J231" s="103">
        <v>417468308</v>
      </c>
      <c r="K231" s="2"/>
      <c r="L231" s="2"/>
      <c r="M231" s="2"/>
      <c r="N231" s="2"/>
      <c r="O231" s="2"/>
    </row>
    <row r="232" spans="1:15">
      <c r="A232" s="758"/>
      <c r="B232" s="11" t="s">
        <v>219</v>
      </c>
      <c r="C232" s="34" t="s">
        <v>3507</v>
      </c>
      <c r="D232" s="2">
        <v>14001</v>
      </c>
      <c r="E232" s="3" t="s">
        <v>3847</v>
      </c>
      <c r="F232" s="2">
        <v>1</v>
      </c>
      <c r="G232" s="90">
        <v>301914200</v>
      </c>
      <c r="H232" s="2"/>
      <c r="I232" s="2">
        <v>23</v>
      </c>
      <c r="J232" s="103">
        <v>301914200</v>
      </c>
      <c r="K232" s="2"/>
      <c r="L232" s="2"/>
      <c r="M232" s="2"/>
      <c r="N232" s="2"/>
      <c r="O232" s="2"/>
    </row>
    <row r="233" spans="1:15">
      <c r="A233" s="758"/>
      <c r="B233" s="11" t="s">
        <v>219</v>
      </c>
      <c r="C233" s="34" t="s">
        <v>3848</v>
      </c>
      <c r="D233" s="2">
        <v>62232</v>
      </c>
      <c r="E233" s="3" t="s">
        <v>3849</v>
      </c>
      <c r="F233" s="2">
        <v>1</v>
      </c>
      <c r="G233" s="90">
        <v>285471233</v>
      </c>
      <c r="H233" s="2"/>
      <c r="I233" s="2">
        <v>21</v>
      </c>
      <c r="J233" s="99">
        <v>285471233</v>
      </c>
      <c r="K233" s="2"/>
      <c r="L233" s="2"/>
      <c r="M233" s="2"/>
      <c r="N233" s="2"/>
      <c r="O233" s="2"/>
    </row>
    <row r="234" spans="1:15">
      <c r="A234" s="758"/>
      <c r="B234" s="11" t="s">
        <v>219</v>
      </c>
      <c r="C234" s="34" t="s">
        <v>3850</v>
      </c>
      <c r="D234" s="2">
        <v>2601294</v>
      </c>
      <c r="E234" s="3" t="s">
        <v>3851</v>
      </c>
      <c r="F234" s="2">
        <v>1</v>
      </c>
      <c r="G234" s="90">
        <v>284204291</v>
      </c>
      <c r="H234" s="2"/>
      <c r="I234" s="2">
        <v>15</v>
      </c>
      <c r="J234" s="99">
        <v>284204291</v>
      </c>
      <c r="K234" s="2"/>
      <c r="L234" s="2"/>
      <c r="M234" s="2"/>
      <c r="N234" s="2"/>
      <c r="O234" s="2"/>
    </row>
    <row r="235" spans="1:15">
      <c r="A235" s="758"/>
      <c r="B235" s="11" t="s">
        <v>219</v>
      </c>
      <c r="C235" s="34"/>
      <c r="D235" s="2"/>
      <c r="E235" s="3" t="s">
        <v>3852</v>
      </c>
      <c r="G235" s="90"/>
      <c r="H235" s="2"/>
      <c r="I235" s="2"/>
      <c r="J235" s="99"/>
      <c r="K235" s="2"/>
      <c r="L235" s="2"/>
      <c r="M235" s="2"/>
      <c r="N235" s="2"/>
      <c r="O235" s="2"/>
    </row>
    <row r="236" spans="1:15">
      <c r="A236" s="758"/>
      <c r="B236" s="11" t="s">
        <v>219</v>
      </c>
      <c r="C236" s="34" t="s">
        <v>3853</v>
      </c>
      <c r="D236" s="2">
        <v>32847</v>
      </c>
      <c r="E236" s="3" t="s">
        <v>3854</v>
      </c>
      <c r="F236" s="2">
        <v>1</v>
      </c>
      <c r="G236" s="90">
        <v>225018319</v>
      </c>
      <c r="H236" s="2"/>
      <c r="I236" s="2">
        <v>9</v>
      </c>
      <c r="J236" s="99">
        <v>225018319</v>
      </c>
      <c r="K236" s="2"/>
      <c r="L236" s="2"/>
      <c r="M236" s="2"/>
      <c r="N236" s="2"/>
      <c r="O236" s="2"/>
    </row>
    <row r="237" spans="1:15">
      <c r="A237" s="758"/>
      <c r="B237" s="11" t="s">
        <v>219</v>
      </c>
      <c r="C237" s="34" t="s">
        <v>3855</v>
      </c>
      <c r="D237" s="2">
        <v>61903</v>
      </c>
      <c r="E237" s="3" t="s">
        <v>3856</v>
      </c>
      <c r="F237" s="2">
        <v>1</v>
      </c>
      <c r="G237" s="90">
        <v>205955643</v>
      </c>
      <c r="H237" s="2"/>
      <c r="I237" s="2">
        <v>7</v>
      </c>
      <c r="J237" s="99">
        <v>205955643</v>
      </c>
      <c r="K237" s="2"/>
      <c r="L237" s="2"/>
      <c r="M237" s="2"/>
      <c r="N237" s="2"/>
      <c r="O237" s="2"/>
    </row>
    <row r="238" spans="1:15">
      <c r="A238" s="758"/>
      <c r="B238" s="11" t="s">
        <v>219</v>
      </c>
      <c r="C238" s="34" t="s">
        <v>3857</v>
      </c>
      <c r="D238" s="2">
        <v>4054607</v>
      </c>
      <c r="E238" s="3" t="s">
        <v>3858</v>
      </c>
      <c r="F238" s="2">
        <v>1</v>
      </c>
      <c r="G238" s="90">
        <v>9151136</v>
      </c>
      <c r="H238" s="2"/>
      <c r="I238" s="2">
        <v>7</v>
      </c>
      <c r="J238" s="99">
        <v>9151136</v>
      </c>
      <c r="K238" s="2"/>
      <c r="L238" s="2"/>
      <c r="M238" s="2"/>
      <c r="N238" s="2"/>
      <c r="O238" s="2"/>
    </row>
    <row r="239" spans="1:15">
      <c r="A239" s="33">
        <v>11</v>
      </c>
      <c r="B239" s="9" t="s">
        <v>223</v>
      </c>
      <c r="C239" s="13"/>
      <c r="D239" s="36"/>
      <c r="E239" s="37"/>
      <c r="F239" s="36"/>
      <c r="G239" s="100"/>
      <c r="H239" s="36"/>
      <c r="I239" s="36"/>
      <c r="J239" s="101"/>
      <c r="K239" s="36"/>
      <c r="L239" s="36"/>
      <c r="M239" s="36"/>
      <c r="N239" s="36"/>
      <c r="O239" s="36"/>
    </row>
    <row r="240" spans="1:15">
      <c r="A240" s="758">
        <v>12</v>
      </c>
      <c r="B240" s="11" t="s">
        <v>224</v>
      </c>
      <c r="C240" s="4" t="s">
        <v>3859</v>
      </c>
      <c r="D240" s="2"/>
      <c r="E240" s="3"/>
      <c r="F240" s="2">
        <v>1</v>
      </c>
      <c r="G240" s="90">
        <v>862388185</v>
      </c>
      <c r="H240" s="2"/>
      <c r="I240" s="2"/>
      <c r="J240" s="2"/>
      <c r="K240" s="2"/>
      <c r="L240" s="2"/>
      <c r="M240" s="2"/>
      <c r="N240" s="2"/>
      <c r="O240" s="2"/>
    </row>
    <row r="241" spans="1:15">
      <c r="A241" s="758"/>
      <c r="B241" s="11" t="s">
        <v>224</v>
      </c>
      <c r="C241" s="4" t="s">
        <v>3860</v>
      </c>
      <c r="D241" s="2"/>
      <c r="E241" s="3"/>
      <c r="G241" s="90"/>
      <c r="H241" s="2"/>
      <c r="I241" s="2"/>
      <c r="J241" s="2"/>
      <c r="K241" s="2"/>
      <c r="L241" s="2"/>
      <c r="M241" s="2"/>
      <c r="N241" s="2"/>
      <c r="O241" s="2"/>
    </row>
    <row r="242" spans="1:15">
      <c r="A242" s="758"/>
      <c r="B242" s="11" t="s">
        <v>224</v>
      </c>
      <c r="C242" s="4" t="s">
        <v>3861</v>
      </c>
      <c r="D242" s="2"/>
      <c r="E242" s="3"/>
      <c r="F242" s="2">
        <v>1</v>
      </c>
      <c r="G242" s="90">
        <v>600746302</v>
      </c>
      <c r="H242" s="2"/>
      <c r="I242" s="2"/>
      <c r="J242" s="2"/>
      <c r="K242" s="2"/>
      <c r="L242" s="2"/>
      <c r="M242" s="2"/>
      <c r="N242" s="2"/>
      <c r="O242" s="2"/>
    </row>
    <row r="243" spans="1:15">
      <c r="A243" s="758"/>
      <c r="B243" s="11" t="s">
        <v>224</v>
      </c>
      <c r="C243" s="4" t="s">
        <v>3733</v>
      </c>
      <c r="D243" s="2"/>
      <c r="E243" s="3"/>
      <c r="F243" s="2">
        <v>1</v>
      </c>
      <c r="G243" s="90">
        <v>576050721</v>
      </c>
      <c r="H243" s="2"/>
      <c r="I243" s="2"/>
      <c r="J243" s="2"/>
      <c r="K243" s="2"/>
      <c r="L243" s="2"/>
      <c r="M243" s="2"/>
      <c r="N243" s="2"/>
      <c r="O243" s="2"/>
    </row>
    <row r="244" spans="1:15">
      <c r="A244" s="758"/>
      <c r="B244" s="11" t="s">
        <v>224</v>
      </c>
      <c r="C244" s="4" t="s">
        <v>3862</v>
      </c>
      <c r="D244" s="2"/>
      <c r="E244" s="3"/>
      <c r="F244" s="2">
        <v>1</v>
      </c>
      <c r="G244" s="90">
        <v>345105368</v>
      </c>
      <c r="H244" s="2"/>
      <c r="I244" s="2"/>
      <c r="J244" s="2"/>
      <c r="K244" s="2"/>
      <c r="L244" s="2"/>
      <c r="M244" s="2"/>
      <c r="N244" s="2"/>
      <c r="O244" s="2"/>
    </row>
    <row r="245" spans="1:15">
      <c r="A245" s="758"/>
      <c r="B245" s="11" t="s">
        <v>224</v>
      </c>
      <c r="C245" s="4" t="s">
        <v>3863</v>
      </c>
      <c r="D245" s="2"/>
      <c r="E245" s="3"/>
      <c r="F245" s="2">
        <v>1</v>
      </c>
      <c r="G245" s="90">
        <v>176605120</v>
      </c>
      <c r="H245" s="2"/>
      <c r="I245" s="2"/>
      <c r="J245" s="2"/>
      <c r="K245" s="2"/>
      <c r="L245" s="2"/>
      <c r="M245" s="2"/>
      <c r="N245" s="2"/>
      <c r="O245" s="2"/>
    </row>
    <row r="246" spans="1:15">
      <c r="A246" s="758"/>
      <c r="B246" s="11" t="s">
        <v>224</v>
      </c>
      <c r="C246" s="4" t="s">
        <v>606</v>
      </c>
      <c r="D246" s="2"/>
      <c r="E246" s="3"/>
      <c r="G246" s="90"/>
      <c r="H246" s="2"/>
      <c r="I246" s="2"/>
      <c r="J246" s="2"/>
      <c r="K246" s="2"/>
      <c r="L246" s="2"/>
      <c r="M246" s="2"/>
      <c r="N246" s="2"/>
      <c r="O246" s="2"/>
    </row>
    <row r="247" spans="1:15">
      <c r="A247" s="759">
        <v>13</v>
      </c>
      <c r="B247" s="9" t="s">
        <v>228</v>
      </c>
      <c r="C247" s="13" t="s">
        <v>627</v>
      </c>
      <c r="D247" s="36" t="s">
        <v>3864</v>
      </c>
      <c r="E247" s="37" t="s">
        <v>3865</v>
      </c>
      <c r="F247" s="36">
        <v>1</v>
      </c>
      <c r="G247" s="102">
        <v>235809354</v>
      </c>
      <c r="H247" s="36"/>
      <c r="I247" s="36">
        <v>16</v>
      </c>
      <c r="J247" s="36"/>
      <c r="K247" s="36"/>
      <c r="L247" s="36"/>
      <c r="M247" s="36"/>
      <c r="N247" s="36"/>
      <c r="O247" s="36"/>
    </row>
    <row r="248" spans="1:15">
      <c r="A248" s="759"/>
      <c r="B248" s="9" t="s">
        <v>228</v>
      </c>
      <c r="C248" s="13"/>
      <c r="D248" s="36"/>
      <c r="E248" s="37" t="s">
        <v>3866</v>
      </c>
      <c r="F248" s="36"/>
      <c r="G248" s="102"/>
      <c r="H248" s="36"/>
      <c r="I248" s="36"/>
      <c r="J248" s="36"/>
      <c r="K248" s="36"/>
      <c r="L248" s="36"/>
      <c r="M248" s="36"/>
      <c r="N248" s="36"/>
      <c r="O248" s="36"/>
    </row>
    <row r="249" spans="1:15">
      <c r="A249" s="759"/>
      <c r="B249" s="9" t="s">
        <v>228</v>
      </c>
      <c r="C249" s="13" t="s">
        <v>3867</v>
      </c>
      <c r="D249" s="36" t="s">
        <v>3868</v>
      </c>
      <c r="E249" s="37" t="s">
        <v>3869</v>
      </c>
      <c r="F249" s="36">
        <v>1</v>
      </c>
      <c r="G249" s="102">
        <v>83551126</v>
      </c>
      <c r="H249" s="36"/>
      <c r="I249" s="36">
        <v>16</v>
      </c>
      <c r="J249" s="36"/>
      <c r="K249" s="36"/>
      <c r="L249" s="36"/>
      <c r="M249" s="36"/>
      <c r="N249" s="36"/>
      <c r="O249" s="36"/>
    </row>
    <row r="250" spans="1:15">
      <c r="A250" s="759"/>
      <c r="B250" s="9" t="s">
        <v>228</v>
      </c>
      <c r="C250" s="13" t="s">
        <v>3811</v>
      </c>
      <c r="D250" s="36" t="s">
        <v>3870</v>
      </c>
      <c r="E250" s="37" t="s">
        <v>3871</v>
      </c>
      <c r="F250" s="36">
        <v>1</v>
      </c>
      <c r="G250" s="102">
        <v>68546997</v>
      </c>
      <c r="H250" s="36"/>
      <c r="I250" s="36">
        <v>18</v>
      </c>
      <c r="J250" s="36"/>
      <c r="K250" s="36"/>
      <c r="L250" s="36"/>
      <c r="M250" s="36"/>
      <c r="N250" s="36"/>
      <c r="O250" s="36"/>
    </row>
    <row r="251" spans="1:15">
      <c r="A251" s="759"/>
      <c r="B251" s="9" t="s">
        <v>228</v>
      </c>
      <c r="C251" s="13" t="s">
        <v>3872</v>
      </c>
      <c r="D251" s="36" t="s">
        <v>3873</v>
      </c>
      <c r="E251" s="37" t="s">
        <v>3874</v>
      </c>
      <c r="F251" s="36">
        <v>1</v>
      </c>
      <c r="G251" s="102">
        <v>39100000</v>
      </c>
      <c r="H251" s="36"/>
      <c r="I251" s="36">
        <v>6</v>
      </c>
      <c r="J251" s="36"/>
      <c r="K251" s="36"/>
      <c r="L251" s="36"/>
      <c r="M251" s="36"/>
      <c r="N251" s="36"/>
      <c r="O251" s="36"/>
    </row>
    <row r="252" spans="1:15">
      <c r="A252" s="759"/>
      <c r="B252" s="9" t="s">
        <v>228</v>
      </c>
      <c r="C252" s="13" t="s">
        <v>3875</v>
      </c>
      <c r="D252" s="36" t="s">
        <v>3876</v>
      </c>
      <c r="E252" s="37" t="s">
        <v>3877</v>
      </c>
      <c r="F252" s="36">
        <v>1</v>
      </c>
      <c r="G252" s="102">
        <v>14240000</v>
      </c>
      <c r="H252" s="36"/>
      <c r="I252" s="36">
        <v>6</v>
      </c>
      <c r="J252" s="36"/>
      <c r="K252" s="36"/>
      <c r="L252" s="36"/>
      <c r="M252" s="36"/>
      <c r="N252" s="36"/>
      <c r="O252" s="36"/>
    </row>
    <row r="253" spans="1:15">
      <c r="A253" s="759"/>
      <c r="B253" s="9" t="s">
        <v>228</v>
      </c>
      <c r="C253" s="13" t="s">
        <v>3878</v>
      </c>
      <c r="D253" s="36" t="s">
        <v>3879</v>
      </c>
      <c r="E253" s="37" t="s">
        <v>3880</v>
      </c>
      <c r="F253" s="36">
        <v>1</v>
      </c>
      <c r="G253" s="102">
        <v>5831578</v>
      </c>
      <c r="H253" s="36"/>
      <c r="I253" s="36">
        <v>6</v>
      </c>
      <c r="J253" s="36"/>
      <c r="K253" s="36"/>
      <c r="L253" s="36"/>
      <c r="M253" s="36"/>
      <c r="N253" s="36"/>
      <c r="O253" s="36"/>
    </row>
    <row r="254" spans="1:15">
      <c r="A254" s="759"/>
      <c r="B254" s="9" t="s">
        <v>228</v>
      </c>
      <c r="C254" s="13" t="s">
        <v>3881</v>
      </c>
      <c r="D254" s="36" t="s">
        <v>3882</v>
      </c>
      <c r="E254" s="37" t="s">
        <v>3883</v>
      </c>
      <c r="F254" s="36">
        <v>1</v>
      </c>
      <c r="G254" s="102">
        <v>3975000</v>
      </c>
      <c r="H254" s="36"/>
      <c r="I254" s="36">
        <v>21</v>
      </c>
      <c r="J254" s="36"/>
      <c r="K254" s="36"/>
      <c r="L254" s="36"/>
      <c r="M254" s="36"/>
      <c r="N254" s="36"/>
      <c r="O254" s="36"/>
    </row>
    <row r="255" spans="1:15">
      <c r="A255" s="759"/>
      <c r="B255" s="9" t="s">
        <v>228</v>
      </c>
      <c r="C255" s="13" t="s">
        <v>3884</v>
      </c>
      <c r="D255" s="36" t="s">
        <v>3885</v>
      </c>
      <c r="E255" s="37" t="s">
        <v>3886</v>
      </c>
      <c r="F255" s="36">
        <v>1</v>
      </c>
      <c r="G255" s="102">
        <v>3784700</v>
      </c>
      <c r="H255" s="36"/>
      <c r="I255" s="36">
        <v>20</v>
      </c>
      <c r="J255" s="36"/>
      <c r="K255" s="36"/>
      <c r="L255" s="36"/>
      <c r="M255" s="36"/>
      <c r="N255" s="36"/>
      <c r="O255" s="36"/>
    </row>
    <row r="256" spans="1:15">
      <c r="A256" s="759"/>
      <c r="B256" s="9" t="s">
        <v>228</v>
      </c>
      <c r="C256" s="13" t="s">
        <v>3887</v>
      </c>
      <c r="D256" s="36" t="s">
        <v>3888</v>
      </c>
      <c r="E256" s="37" t="s">
        <v>3889</v>
      </c>
      <c r="F256" s="36">
        <v>1</v>
      </c>
      <c r="G256" s="102">
        <v>2000000</v>
      </c>
      <c r="H256" s="36"/>
      <c r="I256" s="36">
        <v>6</v>
      </c>
      <c r="J256" s="36"/>
      <c r="K256" s="36"/>
      <c r="L256" s="36"/>
      <c r="M256" s="36"/>
      <c r="N256" s="36"/>
      <c r="O256" s="36"/>
    </row>
    <row r="257" spans="1:15">
      <c r="A257" s="759"/>
      <c r="B257" s="9" t="s">
        <v>228</v>
      </c>
      <c r="C257" s="13" t="s">
        <v>3890</v>
      </c>
      <c r="D257" s="36" t="s">
        <v>3891</v>
      </c>
      <c r="E257" s="37" t="s">
        <v>3892</v>
      </c>
      <c r="F257" s="36">
        <v>1</v>
      </c>
      <c r="G257" s="102">
        <v>1960000</v>
      </c>
      <c r="H257" s="36"/>
      <c r="I257" s="36">
        <v>6</v>
      </c>
      <c r="J257" s="36"/>
      <c r="K257" s="36"/>
      <c r="L257" s="36"/>
      <c r="M257" s="36"/>
      <c r="N257" s="36"/>
      <c r="O257" s="36"/>
    </row>
    <row r="258" spans="1:15">
      <c r="A258" s="759"/>
      <c r="B258" s="9" t="s">
        <v>228</v>
      </c>
      <c r="C258" s="13" t="s">
        <v>3893</v>
      </c>
      <c r="D258" s="36" t="s">
        <v>3894</v>
      </c>
      <c r="E258" s="37" t="s">
        <v>3895</v>
      </c>
      <c r="F258" s="36">
        <v>1</v>
      </c>
      <c r="G258" s="102">
        <v>1950000</v>
      </c>
      <c r="H258" s="36"/>
      <c r="I258" s="36">
        <v>6</v>
      </c>
      <c r="J258" s="36"/>
      <c r="K258" s="36"/>
      <c r="L258" s="36"/>
      <c r="M258" s="36"/>
      <c r="N258" s="36"/>
      <c r="O258" s="36"/>
    </row>
    <row r="259" spans="1:15">
      <c r="A259" s="759"/>
      <c r="B259" s="9" t="s">
        <v>228</v>
      </c>
      <c r="C259" s="13" t="s">
        <v>3896</v>
      </c>
      <c r="D259" s="36" t="s">
        <v>3897</v>
      </c>
      <c r="E259" s="37" t="s">
        <v>3895</v>
      </c>
      <c r="F259" s="36">
        <v>1</v>
      </c>
      <c r="G259" s="102">
        <v>1377750</v>
      </c>
      <c r="H259" s="36"/>
      <c r="I259" s="36">
        <v>23</v>
      </c>
      <c r="J259" s="36"/>
      <c r="K259" s="36"/>
      <c r="L259" s="36"/>
      <c r="M259" s="36"/>
      <c r="N259" s="36"/>
      <c r="O259" s="36"/>
    </row>
    <row r="260" spans="1:15">
      <c r="A260" s="759"/>
      <c r="B260" s="9" t="s">
        <v>228</v>
      </c>
      <c r="C260" s="13" t="s">
        <v>3898</v>
      </c>
      <c r="D260" s="36" t="s">
        <v>3899</v>
      </c>
      <c r="E260" s="37" t="s">
        <v>3900</v>
      </c>
      <c r="F260" s="36">
        <v>1</v>
      </c>
      <c r="G260" s="102">
        <v>1149600</v>
      </c>
      <c r="H260" s="36"/>
      <c r="I260" s="36">
        <v>20</v>
      </c>
      <c r="J260" s="36"/>
      <c r="K260" s="36"/>
      <c r="L260" s="36"/>
      <c r="M260" s="36"/>
      <c r="N260" s="36"/>
      <c r="O260" s="36"/>
    </row>
    <row r="261" spans="1:15">
      <c r="A261" s="759"/>
      <c r="B261" s="9" t="s">
        <v>228</v>
      </c>
      <c r="C261" s="13" t="s">
        <v>3507</v>
      </c>
      <c r="D261" s="36" t="s">
        <v>3637</v>
      </c>
      <c r="E261" s="37" t="s">
        <v>3901</v>
      </c>
      <c r="F261" s="36">
        <v>1</v>
      </c>
      <c r="G261" s="102">
        <v>8619</v>
      </c>
      <c r="H261" s="443"/>
      <c r="I261" s="443">
        <v>23</v>
      </c>
      <c r="J261" s="443"/>
      <c r="K261" s="36"/>
      <c r="L261" s="36"/>
      <c r="M261" s="36"/>
      <c r="N261" s="36"/>
      <c r="O261" s="36"/>
    </row>
    <row r="262" spans="1:15">
      <c r="A262" s="759"/>
      <c r="B262" s="9" t="s">
        <v>228</v>
      </c>
      <c r="C262" s="13" t="s">
        <v>3902</v>
      </c>
      <c r="D262" s="36">
        <v>6078413</v>
      </c>
      <c r="E262" s="37" t="s">
        <v>3903</v>
      </c>
      <c r="F262" s="36">
        <v>1</v>
      </c>
      <c r="G262" s="102">
        <v>791</v>
      </c>
      <c r="H262" s="443"/>
      <c r="I262" s="443">
        <v>9</v>
      </c>
      <c r="J262" s="443"/>
      <c r="K262" s="36"/>
      <c r="L262" s="36"/>
      <c r="M262" s="36"/>
      <c r="N262" s="36"/>
      <c r="O262" s="36"/>
    </row>
    <row r="263" spans="1:15">
      <c r="A263" s="759"/>
      <c r="B263" s="9" t="s">
        <v>228</v>
      </c>
      <c r="C263" s="13" t="s">
        <v>3904</v>
      </c>
      <c r="D263" s="36" t="s">
        <v>3905</v>
      </c>
      <c r="E263" s="37" t="s">
        <v>3906</v>
      </c>
      <c r="F263" s="36">
        <v>1</v>
      </c>
      <c r="G263" s="102">
        <v>7455500</v>
      </c>
      <c r="H263" s="36"/>
      <c r="I263" s="36">
        <v>1</v>
      </c>
      <c r="J263" s="36"/>
      <c r="K263" s="36"/>
      <c r="L263" s="36"/>
      <c r="M263" s="36"/>
      <c r="N263" s="36"/>
      <c r="O263" s="36"/>
    </row>
    <row r="264" spans="1:15">
      <c r="A264" s="759"/>
      <c r="B264" s="9" t="s">
        <v>228</v>
      </c>
      <c r="C264" s="13"/>
      <c r="D264" s="36"/>
      <c r="E264" s="37"/>
      <c r="F264" s="36"/>
      <c r="G264" s="102"/>
      <c r="H264" s="36"/>
      <c r="I264" s="36"/>
      <c r="J264" s="36"/>
      <c r="K264" s="36"/>
      <c r="L264" s="36"/>
      <c r="M264" s="36"/>
      <c r="N264" s="36"/>
      <c r="O264" s="36"/>
    </row>
    <row r="265" spans="1:15">
      <c r="A265" s="759"/>
      <c r="B265" s="9" t="s">
        <v>228</v>
      </c>
      <c r="C265" s="13" t="s">
        <v>3907</v>
      </c>
      <c r="D265" s="36" t="s">
        <v>3908</v>
      </c>
      <c r="E265" s="37" t="s">
        <v>3909</v>
      </c>
      <c r="F265" s="36">
        <v>1</v>
      </c>
      <c r="G265" s="102">
        <v>4624650</v>
      </c>
      <c r="H265" s="36"/>
      <c r="I265" s="36">
        <v>8</v>
      </c>
      <c r="J265" s="36"/>
      <c r="K265" s="36"/>
      <c r="L265" s="36"/>
      <c r="M265" s="36"/>
      <c r="N265" s="36"/>
      <c r="O265" s="36"/>
    </row>
    <row r="266" spans="1:15">
      <c r="A266" s="759"/>
      <c r="B266" s="9" t="s">
        <v>228</v>
      </c>
      <c r="C266" s="13" t="s">
        <v>3910</v>
      </c>
      <c r="D266" s="36" t="s">
        <v>3911</v>
      </c>
      <c r="E266" s="37" t="s">
        <v>3912</v>
      </c>
      <c r="F266" s="36">
        <v>1</v>
      </c>
      <c r="G266" s="102">
        <v>3000000</v>
      </c>
      <c r="H266" s="36"/>
      <c r="I266" s="36">
        <v>6</v>
      </c>
      <c r="J266" s="36"/>
      <c r="K266" s="36"/>
      <c r="L266" s="36"/>
      <c r="M266" s="36"/>
      <c r="N266" s="36"/>
      <c r="O266" s="36"/>
    </row>
    <row r="267" spans="1:15">
      <c r="A267" s="759"/>
      <c r="B267" s="9" t="s">
        <v>228</v>
      </c>
      <c r="C267" s="13" t="s">
        <v>3913</v>
      </c>
      <c r="D267" s="36" t="s">
        <v>3914</v>
      </c>
      <c r="E267" s="37" t="s">
        <v>991</v>
      </c>
      <c r="F267" s="36">
        <v>1</v>
      </c>
      <c r="G267" s="102">
        <v>750</v>
      </c>
      <c r="H267" s="443"/>
      <c r="I267" s="443">
        <v>11</v>
      </c>
      <c r="J267" s="443"/>
      <c r="K267" s="36"/>
      <c r="L267" s="36"/>
      <c r="M267" s="36"/>
      <c r="N267" s="36"/>
      <c r="O267" s="36"/>
    </row>
    <row r="268" spans="1:15">
      <c r="A268" s="759"/>
      <c r="B268" s="9" t="s">
        <v>228</v>
      </c>
      <c r="C268" s="13"/>
      <c r="D268" s="36"/>
      <c r="E268" s="37"/>
      <c r="F268" s="36"/>
      <c r="G268" s="102"/>
      <c r="H268" s="36"/>
      <c r="I268" s="36"/>
      <c r="J268" s="36"/>
      <c r="K268" s="36"/>
      <c r="L268" s="36"/>
      <c r="M268" s="36"/>
      <c r="N268" s="36"/>
      <c r="O268" s="36"/>
    </row>
    <row r="269" spans="1:15">
      <c r="A269" s="759"/>
      <c r="B269" s="9" t="s">
        <v>228</v>
      </c>
      <c r="C269" s="13" t="s">
        <v>3915</v>
      </c>
      <c r="D269" s="36" t="s">
        <v>3916</v>
      </c>
      <c r="E269" s="37" t="s">
        <v>3917</v>
      </c>
      <c r="F269" s="36">
        <v>1</v>
      </c>
      <c r="G269" s="102">
        <v>7238</v>
      </c>
      <c r="H269" s="443"/>
      <c r="I269" s="443">
        <v>23</v>
      </c>
      <c r="J269" s="443"/>
      <c r="K269" s="36"/>
      <c r="L269" s="36"/>
      <c r="M269" s="36"/>
      <c r="N269" s="36"/>
      <c r="O269" s="36"/>
    </row>
    <row r="270" spans="1:15">
      <c r="A270" s="759"/>
      <c r="B270" s="9" t="s">
        <v>228</v>
      </c>
      <c r="C270" s="13" t="s">
        <v>3918</v>
      </c>
      <c r="D270" s="36" t="s">
        <v>3919</v>
      </c>
      <c r="E270" s="37" t="s">
        <v>3920</v>
      </c>
      <c r="F270" s="36">
        <v>1</v>
      </c>
      <c r="G270" s="102">
        <v>619</v>
      </c>
      <c r="H270" s="443"/>
      <c r="I270" s="443">
        <v>6</v>
      </c>
      <c r="J270" s="443"/>
      <c r="K270" s="36"/>
      <c r="L270" s="36"/>
      <c r="M270" s="36"/>
      <c r="N270" s="36"/>
      <c r="O270" s="36"/>
    </row>
    <row r="271" spans="1:15">
      <c r="A271" s="759"/>
      <c r="B271" s="9" t="s">
        <v>228</v>
      </c>
      <c r="C271" s="13" t="s">
        <v>3921</v>
      </c>
      <c r="D271" s="36" t="s">
        <v>3922</v>
      </c>
      <c r="E271" s="37" t="s">
        <v>3923</v>
      </c>
      <c r="F271" s="36">
        <v>1</v>
      </c>
      <c r="G271" s="102">
        <v>8975</v>
      </c>
      <c r="H271" s="443"/>
      <c r="I271" s="443">
        <v>6</v>
      </c>
      <c r="J271" s="443"/>
      <c r="K271" s="36"/>
      <c r="L271" s="36"/>
      <c r="M271" s="36"/>
      <c r="N271" s="36"/>
      <c r="O271" s="36"/>
    </row>
    <row r="272" spans="1:15">
      <c r="A272" s="759"/>
      <c r="B272" s="9" t="s">
        <v>228</v>
      </c>
      <c r="C272" s="13" t="s">
        <v>3924</v>
      </c>
      <c r="D272" s="36" t="s">
        <v>3925</v>
      </c>
      <c r="E272" s="37" t="s">
        <v>3926</v>
      </c>
      <c r="F272" s="36">
        <v>1</v>
      </c>
      <c r="G272" s="102">
        <v>4166</v>
      </c>
      <c r="H272" s="443"/>
      <c r="I272" s="443">
        <v>23</v>
      </c>
      <c r="J272" s="443"/>
      <c r="K272" s="36"/>
      <c r="L272" s="36"/>
      <c r="M272" s="36"/>
      <c r="N272" s="36"/>
      <c r="O272" s="36"/>
    </row>
    <row r="273" spans="1:15">
      <c r="A273" s="759"/>
      <c r="B273" s="9" t="s">
        <v>228</v>
      </c>
      <c r="C273" s="13"/>
      <c r="D273" s="36"/>
      <c r="E273" s="37"/>
      <c r="F273" s="36"/>
      <c r="G273" s="102"/>
      <c r="H273" s="36"/>
      <c r="I273" s="36"/>
      <c r="J273" s="36"/>
      <c r="K273" s="36"/>
      <c r="L273" s="36"/>
      <c r="M273" s="36"/>
      <c r="N273" s="36"/>
      <c r="O273" s="36"/>
    </row>
    <row r="274" spans="1:15">
      <c r="A274" s="759"/>
      <c r="B274" s="9" t="s">
        <v>228</v>
      </c>
      <c r="C274" s="13" t="s">
        <v>3927</v>
      </c>
      <c r="D274" s="36" t="s">
        <v>3928</v>
      </c>
      <c r="E274" s="37" t="s">
        <v>3929</v>
      </c>
      <c r="F274" s="36">
        <v>1</v>
      </c>
      <c r="G274" s="102">
        <v>282</v>
      </c>
      <c r="H274" s="443"/>
      <c r="I274" s="443">
        <v>23</v>
      </c>
      <c r="J274" s="443"/>
      <c r="K274" s="36"/>
      <c r="L274" s="36"/>
      <c r="M274" s="36"/>
      <c r="N274" s="36"/>
      <c r="O274" s="36"/>
    </row>
    <row r="275" spans="1:15">
      <c r="A275" s="759"/>
      <c r="B275" s="9" t="s">
        <v>228</v>
      </c>
      <c r="C275" s="13" t="s">
        <v>3930</v>
      </c>
      <c r="D275" s="36" t="s">
        <v>3931</v>
      </c>
      <c r="E275" s="37" t="s">
        <v>3932</v>
      </c>
      <c r="F275" s="36">
        <v>1</v>
      </c>
      <c r="G275" s="102">
        <v>264831</v>
      </c>
      <c r="H275" s="443"/>
      <c r="I275" s="443">
        <v>23</v>
      </c>
      <c r="J275" s="443"/>
      <c r="K275" s="36"/>
      <c r="L275" s="36"/>
      <c r="M275" s="36"/>
      <c r="N275" s="36"/>
      <c r="O275" s="36"/>
    </row>
    <row r="276" spans="1:15">
      <c r="A276" s="759"/>
      <c r="B276" s="9" t="s">
        <v>228</v>
      </c>
      <c r="C276" s="13" t="s">
        <v>3726</v>
      </c>
      <c r="D276" s="36"/>
      <c r="E276" s="37"/>
      <c r="F276" s="36">
        <v>48</v>
      </c>
      <c r="G276" s="102">
        <v>7350486</v>
      </c>
      <c r="H276" s="36"/>
      <c r="I276" s="36">
        <v>23</v>
      </c>
      <c r="J276" s="36"/>
      <c r="K276" s="36"/>
      <c r="L276" s="36"/>
      <c r="M276" s="36"/>
      <c r="N276" s="36"/>
      <c r="O276" s="36"/>
    </row>
    <row r="277" spans="1:15">
      <c r="A277" s="759"/>
      <c r="B277" s="9" t="s">
        <v>228</v>
      </c>
      <c r="C277" s="13"/>
      <c r="D277" s="36"/>
      <c r="E277" s="37"/>
      <c r="F277" s="36"/>
      <c r="G277" s="102"/>
      <c r="H277" s="36"/>
      <c r="I277" s="36"/>
      <c r="J277" s="36"/>
      <c r="K277" s="36"/>
      <c r="L277" s="36"/>
      <c r="M277" s="36"/>
      <c r="N277" s="36"/>
      <c r="O277" s="36"/>
    </row>
    <row r="278" spans="1:15">
      <c r="A278" s="759"/>
      <c r="B278" s="9" t="s">
        <v>228</v>
      </c>
      <c r="C278" s="13"/>
      <c r="D278" s="36"/>
      <c r="E278" s="37"/>
      <c r="F278" s="36"/>
      <c r="G278" s="102"/>
      <c r="H278" s="36"/>
      <c r="I278" s="36"/>
      <c r="J278" s="36"/>
      <c r="K278" s="36"/>
      <c r="L278" s="36"/>
      <c r="M278" s="36"/>
      <c r="N278" s="36"/>
      <c r="O278" s="36"/>
    </row>
    <row r="279" spans="1:15">
      <c r="A279" s="759"/>
      <c r="B279" s="9" t="s">
        <v>228</v>
      </c>
      <c r="C279" s="13"/>
      <c r="D279" s="36"/>
      <c r="E279" s="37"/>
      <c r="F279" s="36"/>
      <c r="G279" s="102"/>
      <c r="H279" s="36"/>
      <c r="I279" s="36"/>
      <c r="J279" s="36"/>
      <c r="K279" s="36"/>
      <c r="L279" s="36"/>
      <c r="M279" s="36"/>
      <c r="N279" s="36"/>
      <c r="O279" s="36"/>
    </row>
    <row r="280" spans="1:15">
      <c r="A280" s="759"/>
      <c r="B280" s="9" t="s">
        <v>228</v>
      </c>
      <c r="C280" s="13"/>
      <c r="D280" s="36"/>
      <c r="E280" s="37"/>
      <c r="F280" s="36"/>
      <c r="G280" s="102"/>
      <c r="H280" s="36"/>
      <c r="I280" s="36"/>
      <c r="J280" s="36"/>
      <c r="K280" s="36"/>
      <c r="L280" s="36"/>
      <c r="M280" s="36"/>
      <c r="N280" s="36"/>
      <c r="O280" s="36"/>
    </row>
    <row r="281" spans="1:15">
      <c r="A281" s="758">
        <v>14</v>
      </c>
      <c r="B281" s="11" t="s">
        <v>231</v>
      </c>
      <c r="C281" s="4" t="s">
        <v>3933</v>
      </c>
      <c r="E281" s="3"/>
      <c r="F281" s="2">
        <v>1</v>
      </c>
      <c r="G281" s="108">
        <v>2602411772</v>
      </c>
      <c r="H281" s="2"/>
      <c r="I281" s="2"/>
      <c r="J281" s="2"/>
      <c r="K281" s="4"/>
      <c r="L281" s="4"/>
      <c r="M281" s="4"/>
      <c r="N281" s="4"/>
      <c r="O281" s="4"/>
    </row>
    <row r="282" spans="1:15">
      <c r="A282" s="758"/>
      <c r="B282" s="11" t="s">
        <v>231</v>
      </c>
      <c r="C282" s="4" t="s">
        <v>3934</v>
      </c>
      <c r="E282" s="3"/>
      <c r="F282" s="2">
        <v>1</v>
      </c>
      <c r="G282" s="108">
        <v>1309509200</v>
      </c>
      <c r="H282" s="2"/>
      <c r="I282" s="2"/>
      <c r="J282" s="2"/>
      <c r="K282" s="4"/>
      <c r="L282" s="4"/>
      <c r="M282" s="4"/>
      <c r="N282" s="4"/>
      <c r="O282" s="4"/>
    </row>
    <row r="283" spans="1:15">
      <c r="A283" s="758"/>
      <c r="B283" s="11" t="s">
        <v>231</v>
      </c>
      <c r="C283" s="4" t="s">
        <v>3935</v>
      </c>
      <c r="E283" s="3"/>
      <c r="F283" s="2">
        <v>1</v>
      </c>
      <c r="G283" s="108">
        <v>1247263071</v>
      </c>
      <c r="H283" s="2"/>
      <c r="I283" s="2"/>
      <c r="J283" s="2"/>
      <c r="K283" s="4"/>
      <c r="L283" s="4"/>
      <c r="M283" s="4"/>
      <c r="N283" s="4"/>
      <c r="O283" s="4"/>
    </row>
    <row r="284" spans="1:15">
      <c r="A284" s="758"/>
      <c r="B284" s="11" t="s">
        <v>231</v>
      </c>
      <c r="C284" s="4" t="s">
        <v>3936</v>
      </c>
      <c r="E284" s="3"/>
      <c r="F284" s="2">
        <v>1</v>
      </c>
      <c r="G284" s="108">
        <v>988685285</v>
      </c>
      <c r="H284" s="2"/>
      <c r="I284" s="2"/>
      <c r="J284" s="2"/>
      <c r="K284" s="4"/>
      <c r="L284" s="4"/>
      <c r="M284" s="4"/>
      <c r="N284" s="4"/>
      <c r="O284" s="4"/>
    </row>
    <row r="285" spans="1:15">
      <c r="A285" s="758"/>
      <c r="B285" s="11" t="s">
        <v>231</v>
      </c>
      <c r="C285" s="4" t="s">
        <v>3937</v>
      </c>
      <c r="E285" s="3"/>
      <c r="F285" s="2">
        <v>1</v>
      </c>
      <c r="G285" s="108">
        <v>895712412</v>
      </c>
      <c r="H285" s="2"/>
      <c r="I285" s="2"/>
      <c r="J285" s="2"/>
      <c r="K285" s="4"/>
      <c r="L285" s="4"/>
      <c r="M285" s="4"/>
      <c r="N285" s="4"/>
      <c r="O285" s="4"/>
    </row>
    <row r="286" spans="1:15">
      <c r="A286" s="758"/>
      <c r="B286" s="11" t="s">
        <v>231</v>
      </c>
      <c r="C286" s="4" t="s">
        <v>3938</v>
      </c>
      <c r="E286" s="3"/>
      <c r="F286" s="2">
        <v>1</v>
      </c>
      <c r="G286" s="108">
        <v>50104882</v>
      </c>
      <c r="H286" s="2"/>
      <c r="I286" s="2"/>
      <c r="J286" s="2"/>
      <c r="K286" s="4"/>
      <c r="L286" s="4"/>
      <c r="M286" s="4"/>
      <c r="N286" s="4"/>
      <c r="O286" s="4"/>
    </row>
    <row r="287" spans="1:15">
      <c r="A287" s="759">
        <v>15</v>
      </c>
      <c r="B287" s="9" t="s">
        <v>235</v>
      </c>
      <c r="C287" s="13" t="s">
        <v>3939</v>
      </c>
      <c r="D287" s="36" t="s">
        <v>3940</v>
      </c>
      <c r="E287" s="94" t="s">
        <v>3941</v>
      </c>
      <c r="F287" s="36">
        <v>1</v>
      </c>
      <c r="G287" s="87">
        <v>181833827</v>
      </c>
      <c r="H287" s="36"/>
      <c r="I287" s="36"/>
      <c r="J287" s="36"/>
      <c r="K287" s="36"/>
      <c r="L287" s="36"/>
      <c r="M287" s="36"/>
      <c r="N287" s="36"/>
      <c r="O287" s="36"/>
    </row>
    <row r="288" spans="1:15" ht="36">
      <c r="A288" s="759"/>
      <c r="B288" s="9" t="s">
        <v>235</v>
      </c>
      <c r="C288" s="13" t="s">
        <v>3942</v>
      </c>
      <c r="D288" s="36"/>
      <c r="E288" s="94" t="s">
        <v>3943</v>
      </c>
      <c r="F288" s="36"/>
      <c r="G288" s="87"/>
      <c r="H288" s="36"/>
      <c r="I288" s="36"/>
      <c r="J288" s="36"/>
      <c r="K288" s="36"/>
      <c r="L288" s="36"/>
      <c r="M288" s="36"/>
      <c r="N288" s="36"/>
      <c r="O288" s="36"/>
    </row>
    <row r="289" spans="1:15" ht="24">
      <c r="A289" s="759"/>
      <c r="B289" s="9" t="s">
        <v>235</v>
      </c>
      <c r="C289" s="13" t="s">
        <v>3944</v>
      </c>
      <c r="D289" s="36" t="s">
        <v>3945</v>
      </c>
      <c r="E289" s="94" t="s">
        <v>3946</v>
      </c>
      <c r="F289" s="36">
        <v>1</v>
      </c>
      <c r="G289" s="87">
        <v>148120830</v>
      </c>
      <c r="H289" s="36"/>
      <c r="I289" s="36"/>
      <c r="J289" s="36"/>
      <c r="K289" s="36"/>
      <c r="L289" s="36"/>
      <c r="M289" s="36"/>
      <c r="N289" s="36"/>
      <c r="O289" s="36"/>
    </row>
    <row r="290" spans="1:15" ht="36">
      <c r="A290" s="759"/>
      <c r="B290" s="9" t="s">
        <v>235</v>
      </c>
      <c r="C290" s="13" t="s">
        <v>3947</v>
      </c>
      <c r="D290" s="36" t="s">
        <v>3948</v>
      </c>
      <c r="E290" s="94" t="s">
        <v>3949</v>
      </c>
      <c r="F290" s="36">
        <v>1</v>
      </c>
      <c r="G290" s="87">
        <v>55347000</v>
      </c>
      <c r="H290" s="36"/>
      <c r="I290" s="36"/>
      <c r="J290" s="36"/>
      <c r="K290" s="36"/>
      <c r="L290" s="36"/>
      <c r="M290" s="36"/>
      <c r="N290" s="36"/>
      <c r="O290" s="36"/>
    </row>
    <row r="291" spans="1:15" ht="24">
      <c r="A291" s="759"/>
      <c r="B291" s="9" t="s">
        <v>235</v>
      </c>
      <c r="C291" s="13" t="s">
        <v>3950</v>
      </c>
      <c r="D291" s="36" t="s">
        <v>3951</v>
      </c>
      <c r="E291" s="94" t="s">
        <v>3952</v>
      </c>
      <c r="F291" s="36">
        <v>1</v>
      </c>
      <c r="G291" s="87">
        <v>21822183</v>
      </c>
      <c r="H291" s="36"/>
      <c r="I291" s="36"/>
      <c r="J291" s="36"/>
      <c r="K291" s="36"/>
      <c r="L291" s="36"/>
      <c r="M291" s="36"/>
      <c r="N291" s="36"/>
      <c r="O291" s="36"/>
    </row>
    <row r="292" spans="1:15">
      <c r="A292" s="759"/>
      <c r="B292" s="9" t="s">
        <v>235</v>
      </c>
      <c r="C292" s="13" t="s">
        <v>3953</v>
      </c>
      <c r="D292" s="36" t="s">
        <v>3954</v>
      </c>
      <c r="E292" s="94" t="s">
        <v>3955</v>
      </c>
      <c r="F292" s="36">
        <v>1</v>
      </c>
      <c r="G292" s="87">
        <v>13817858</v>
      </c>
      <c r="H292" s="36"/>
      <c r="I292" s="36"/>
      <c r="J292" s="36"/>
      <c r="K292" s="36"/>
      <c r="L292" s="36"/>
      <c r="M292" s="36"/>
      <c r="N292" s="36"/>
      <c r="O292" s="36"/>
    </row>
    <row r="293" spans="1:15">
      <c r="A293" s="759"/>
      <c r="B293" s="9" t="s">
        <v>235</v>
      </c>
      <c r="C293" s="13" t="s">
        <v>3956</v>
      </c>
      <c r="D293" s="36" t="s">
        <v>3957</v>
      </c>
      <c r="E293" s="37" t="s">
        <v>3958</v>
      </c>
      <c r="F293" s="36">
        <v>1</v>
      </c>
      <c r="G293" s="87">
        <v>12418200</v>
      </c>
      <c r="H293" s="36"/>
      <c r="I293" s="36"/>
      <c r="J293" s="36"/>
      <c r="K293" s="36"/>
      <c r="L293" s="36"/>
      <c r="M293" s="36"/>
      <c r="N293" s="36"/>
      <c r="O293" s="36"/>
    </row>
    <row r="294" spans="1:15">
      <c r="A294" s="759"/>
      <c r="B294" s="9" t="s">
        <v>235</v>
      </c>
      <c r="C294" s="13" t="s">
        <v>3959</v>
      </c>
      <c r="D294" s="36" t="s">
        <v>3960</v>
      </c>
      <c r="E294" s="37" t="s">
        <v>3961</v>
      </c>
      <c r="F294" s="36">
        <v>1</v>
      </c>
      <c r="G294" s="87">
        <v>11592200</v>
      </c>
      <c r="H294" s="36"/>
      <c r="I294" s="36"/>
      <c r="J294" s="36"/>
      <c r="K294" s="36"/>
      <c r="L294" s="36"/>
      <c r="M294" s="36"/>
      <c r="N294" s="36"/>
      <c r="O294" s="36"/>
    </row>
    <row r="295" spans="1:15">
      <c r="A295" s="759"/>
      <c r="B295" s="9" t="s">
        <v>235</v>
      </c>
      <c r="C295" s="13"/>
      <c r="D295" s="36"/>
      <c r="E295" s="37" t="s">
        <v>3962</v>
      </c>
      <c r="F295" s="36"/>
      <c r="G295" s="87"/>
      <c r="H295" s="36"/>
      <c r="I295" s="36"/>
      <c r="J295" s="36"/>
      <c r="K295" s="36"/>
      <c r="L295" s="36"/>
      <c r="M295" s="36"/>
      <c r="N295" s="36"/>
      <c r="O295" s="36"/>
    </row>
    <row r="296" spans="1:15">
      <c r="A296" s="759"/>
      <c r="B296" s="9" t="s">
        <v>235</v>
      </c>
      <c r="C296" s="13" t="s">
        <v>3963</v>
      </c>
      <c r="D296" s="36" t="s">
        <v>3964</v>
      </c>
      <c r="E296" s="37" t="s">
        <v>3965</v>
      </c>
      <c r="F296" s="36">
        <v>1</v>
      </c>
      <c r="G296" s="87">
        <v>11536800</v>
      </c>
      <c r="H296" s="36"/>
      <c r="I296" s="36"/>
      <c r="J296" s="36"/>
      <c r="K296" s="36"/>
      <c r="L296" s="36"/>
      <c r="M296" s="36"/>
      <c r="N296" s="36"/>
      <c r="O296" s="36"/>
    </row>
    <row r="297" spans="1:15">
      <c r="A297" s="759"/>
      <c r="B297" s="9" t="s">
        <v>235</v>
      </c>
      <c r="C297" s="13" t="s">
        <v>3966</v>
      </c>
      <c r="D297" s="36" t="s">
        <v>3967</v>
      </c>
      <c r="E297" s="37" t="s">
        <v>3968</v>
      </c>
      <c r="F297" s="36">
        <v>1</v>
      </c>
      <c r="G297" s="87">
        <v>7798450</v>
      </c>
      <c r="H297" s="36"/>
      <c r="I297" s="36"/>
      <c r="J297" s="36"/>
      <c r="K297" s="36"/>
      <c r="L297" s="36"/>
      <c r="M297" s="36"/>
      <c r="N297" s="36"/>
      <c r="O297" s="36"/>
    </row>
    <row r="298" spans="1:15">
      <c r="A298" s="759"/>
      <c r="B298" s="9" t="s">
        <v>235</v>
      </c>
      <c r="C298" s="13" t="s">
        <v>3969</v>
      </c>
      <c r="D298" s="36" t="s">
        <v>3970</v>
      </c>
      <c r="E298" s="37" t="s">
        <v>3971</v>
      </c>
      <c r="F298" s="36">
        <v>1</v>
      </c>
      <c r="G298" s="87">
        <v>6123200</v>
      </c>
      <c r="H298" s="36"/>
      <c r="I298" s="36"/>
      <c r="J298" s="36"/>
      <c r="K298" s="36"/>
      <c r="L298" s="36"/>
      <c r="M298" s="36"/>
      <c r="N298" s="36"/>
      <c r="O298" s="36"/>
    </row>
    <row r="299" spans="1:15">
      <c r="A299" s="759"/>
      <c r="B299" s="9" t="s">
        <v>235</v>
      </c>
      <c r="C299" s="13" t="s">
        <v>3947</v>
      </c>
      <c r="D299" s="36" t="s">
        <v>3948</v>
      </c>
      <c r="E299" s="37" t="s">
        <v>3949</v>
      </c>
      <c r="F299" s="36">
        <v>1</v>
      </c>
      <c r="G299" s="87">
        <v>55347000</v>
      </c>
      <c r="H299" s="36"/>
      <c r="I299" s="36"/>
      <c r="J299" s="36"/>
      <c r="K299" s="36"/>
      <c r="L299" s="36"/>
      <c r="M299" s="36"/>
      <c r="N299" s="36"/>
      <c r="O299" s="36"/>
    </row>
    <row r="300" spans="1:15">
      <c r="A300" s="759"/>
      <c r="B300" s="9" t="s">
        <v>235</v>
      </c>
      <c r="C300" s="13"/>
      <c r="D300" s="36"/>
      <c r="E300" s="37"/>
      <c r="F300" s="36"/>
      <c r="G300" s="87"/>
      <c r="H300" s="36"/>
      <c r="I300" s="36"/>
      <c r="J300" s="36"/>
      <c r="K300" s="36"/>
      <c r="L300" s="36"/>
      <c r="M300" s="36"/>
      <c r="N300" s="36"/>
      <c r="O300" s="36"/>
    </row>
    <row r="301" spans="1:15">
      <c r="A301" s="759"/>
      <c r="B301" s="9" t="s">
        <v>235</v>
      </c>
      <c r="C301" s="13"/>
      <c r="D301" s="36"/>
      <c r="E301" s="94"/>
      <c r="F301" s="36"/>
      <c r="G301" s="87"/>
      <c r="H301" s="36"/>
      <c r="I301" s="36"/>
      <c r="J301" s="36"/>
      <c r="K301" s="36"/>
      <c r="L301" s="36"/>
      <c r="M301" s="36"/>
      <c r="N301" s="36"/>
      <c r="O301" s="36"/>
    </row>
    <row r="302" spans="1:15">
      <c r="A302" s="759"/>
      <c r="B302" s="9" t="s">
        <v>235</v>
      </c>
      <c r="C302" s="13"/>
      <c r="D302" s="36"/>
      <c r="E302" s="94"/>
      <c r="F302" s="36"/>
      <c r="G302" s="87"/>
      <c r="H302" s="36"/>
      <c r="I302" s="36"/>
      <c r="J302" s="36"/>
      <c r="K302" s="36"/>
      <c r="L302" s="36"/>
      <c r="M302" s="36"/>
      <c r="N302" s="36"/>
      <c r="O302" s="36"/>
    </row>
    <row r="303" spans="1:15">
      <c r="A303" s="758">
        <v>16</v>
      </c>
      <c r="B303" s="11" t="s">
        <v>239</v>
      </c>
      <c r="C303" s="4" t="s">
        <v>3709</v>
      </c>
      <c r="D303" s="2">
        <v>4596964</v>
      </c>
      <c r="E303" s="3" t="s">
        <v>3972</v>
      </c>
      <c r="F303" s="2">
        <v>1</v>
      </c>
      <c r="G303" s="90">
        <v>554750793</v>
      </c>
      <c r="H303" s="90">
        <v>18</v>
      </c>
      <c r="I303" s="2"/>
      <c r="J303" s="2"/>
      <c r="K303" s="2"/>
      <c r="L303" s="2"/>
      <c r="M303" s="2"/>
      <c r="N303" s="2"/>
      <c r="O303" s="2"/>
    </row>
    <row r="304" spans="1:15">
      <c r="A304" s="758"/>
      <c r="B304" s="11" t="s">
        <v>239</v>
      </c>
      <c r="D304" s="2"/>
      <c r="E304" s="3" t="s">
        <v>3973</v>
      </c>
      <c r="G304" s="90"/>
      <c r="H304" s="90"/>
      <c r="I304" s="2"/>
      <c r="J304" s="2"/>
      <c r="K304" s="2"/>
      <c r="L304" s="2"/>
      <c r="M304" s="2"/>
      <c r="N304" s="2"/>
      <c r="O304" s="2"/>
    </row>
    <row r="305" spans="1:51" ht="24">
      <c r="A305" s="758"/>
      <c r="B305" s="11" t="s">
        <v>239</v>
      </c>
      <c r="C305" s="4" t="s">
        <v>3974</v>
      </c>
      <c r="D305" s="2">
        <v>4820826</v>
      </c>
      <c r="E305" s="444" t="s">
        <v>3975</v>
      </c>
      <c r="F305" s="2">
        <v>1</v>
      </c>
      <c r="G305" s="90">
        <v>51807878</v>
      </c>
      <c r="H305" s="90">
        <v>18</v>
      </c>
      <c r="I305" s="2"/>
      <c r="J305" s="2"/>
      <c r="K305" s="2"/>
      <c r="L305" s="2"/>
      <c r="M305" s="2"/>
      <c r="N305" s="2"/>
      <c r="O305" s="2"/>
    </row>
    <row r="306" spans="1:51">
      <c r="A306" s="758"/>
      <c r="B306" s="11" t="s">
        <v>239</v>
      </c>
      <c r="C306" s="4" t="s">
        <v>3976</v>
      </c>
      <c r="D306" s="2"/>
      <c r="E306" s="3"/>
      <c r="F306" s="2">
        <v>1</v>
      </c>
      <c r="G306" s="90">
        <v>43159406</v>
      </c>
      <c r="H306" s="90">
        <v>23</v>
      </c>
      <c r="I306" s="2"/>
      <c r="J306" s="2"/>
      <c r="K306" s="2"/>
      <c r="L306" s="2"/>
      <c r="M306" s="2"/>
      <c r="N306" s="2"/>
      <c r="O306" s="2"/>
    </row>
    <row r="307" spans="1:51">
      <c r="A307" s="758"/>
      <c r="B307" s="11" t="s">
        <v>239</v>
      </c>
      <c r="C307" s="4" t="s">
        <v>3977</v>
      </c>
      <c r="D307" s="2">
        <v>1302553</v>
      </c>
      <c r="E307" s="3" t="s">
        <v>3978</v>
      </c>
      <c r="F307" s="2">
        <v>1</v>
      </c>
      <c r="G307" s="90">
        <v>31655235</v>
      </c>
      <c r="H307" s="90">
        <v>23</v>
      </c>
      <c r="I307" s="2"/>
      <c r="J307" s="2"/>
      <c r="K307" s="2"/>
      <c r="L307" s="2"/>
      <c r="M307" s="2"/>
      <c r="N307" s="2"/>
      <c r="O307" s="2"/>
    </row>
    <row r="308" spans="1:51">
      <c r="A308" s="758"/>
      <c r="B308" s="11" t="s">
        <v>239</v>
      </c>
      <c r="C308" s="4" t="s">
        <v>3979</v>
      </c>
      <c r="D308" s="2">
        <v>4340999</v>
      </c>
      <c r="E308" s="3" t="s">
        <v>3980</v>
      </c>
      <c r="F308" s="2">
        <v>1</v>
      </c>
      <c r="G308" s="90">
        <v>19629163</v>
      </c>
      <c r="H308" s="90">
        <v>18</v>
      </c>
      <c r="I308" s="2"/>
      <c r="J308" s="2"/>
      <c r="K308" s="2"/>
      <c r="L308" s="2"/>
      <c r="M308" s="2"/>
      <c r="N308" s="2"/>
      <c r="O308" s="2"/>
    </row>
    <row r="309" spans="1:51">
      <c r="A309" s="758"/>
      <c r="B309" s="11" t="s">
        <v>239</v>
      </c>
      <c r="C309" s="445" t="s">
        <v>3981</v>
      </c>
      <c r="D309" s="2">
        <v>76457</v>
      </c>
      <c r="E309" s="3" t="s">
        <v>3982</v>
      </c>
      <c r="F309" s="2">
        <v>1</v>
      </c>
      <c r="G309" s="90">
        <v>15990378</v>
      </c>
      <c r="H309" s="90">
        <v>23</v>
      </c>
      <c r="I309" s="2"/>
      <c r="J309" s="2"/>
      <c r="K309" s="2"/>
      <c r="L309" s="2"/>
      <c r="M309" s="2"/>
      <c r="N309" s="2"/>
      <c r="O309" s="2"/>
    </row>
    <row r="310" spans="1:51">
      <c r="A310" s="758"/>
      <c r="B310" s="11" t="s">
        <v>239</v>
      </c>
      <c r="C310" s="445" t="s">
        <v>3983</v>
      </c>
      <c r="D310" s="2">
        <v>0</v>
      </c>
      <c r="E310" s="3" t="s">
        <v>3984</v>
      </c>
      <c r="F310" s="2">
        <v>1</v>
      </c>
      <c r="G310" s="90">
        <v>1887000</v>
      </c>
      <c r="H310" s="90">
        <v>23</v>
      </c>
      <c r="I310" s="2"/>
      <c r="J310" s="2"/>
      <c r="K310" s="2"/>
      <c r="L310" s="2"/>
      <c r="M310" s="2"/>
      <c r="N310" s="2"/>
      <c r="O310" s="2"/>
    </row>
    <row r="311" spans="1:51">
      <c r="A311" s="43"/>
      <c r="B311" s="11" t="s">
        <v>239</v>
      </c>
      <c r="C311" s="445" t="s">
        <v>3985</v>
      </c>
      <c r="D311" s="2">
        <v>5969839</v>
      </c>
      <c r="E311" s="3" t="s">
        <v>3986</v>
      </c>
      <c r="F311" s="2">
        <v>1</v>
      </c>
      <c r="G311" s="90">
        <v>1467421</v>
      </c>
      <c r="H311" s="90">
        <v>21</v>
      </c>
      <c r="I311" s="2"/>
      <c r="J311" s="2"/>
      <c r="K311" s="2"/>
      <c r="L311" s="2"/>
      <c r="M311" s="2"/>
      <c r="N311" s="2"/>
      <c r="O311" s="2"/>
    </row>
    <row r="312" spans="1:51">
      <c r="A312" s="43"/>
      <c r="B312" s="11" t="s">
        <v>239</v>
      </c>
      <c r="C312" s="445" t="s">
        <v>3987</v>
      </c>
      <c r="D312" s="2"/>
      <c r="E312" s="3"/>
      <c r="F312" s="2">
        <v>1</v>
      </c>
      <c r="G312" s="90">
        <v>26733200</v>
      </c>
      <c r="H312" s="90">
        <v>23</v>
      </c>
      <c r="I312" s="2"/>
      <c r="J312" s="2"/>
      <c r="K312" s="2"/>
      <c r="L312" s="2"/>
      <c r="M312" s="2"/>
      <c r="N312" s="2"/>
      <c r="O312" s="2"/>
      <c r="AB312" s="3">
        <v>1</v>
      </c>
      <c r="AG312" s="3">
        <v>26733200</v>
      </c>
      <c r="AY312" s="3">
        <v>23</v>
      </c>
    </row>
    <row r="313" spans="1:51">
      <c r="A313" s="759">
        <v>17</v>
      </c>
      <c r="B313" s="9" t="s">
        <v>242</v>
      </c>
      <c r="C313" s="13" t="s">
        <v>3988</v>
      </c>
      <c r="D313" s="36"/>
      <c r="E313" s="37"/>
      <c r="F313" s="36">
        <v>1</v>
      </c>
      <c r="G313" s="446">
        <v>72438493</v>
      </c>
      <c r="H313" s="36"/>
      <c r="I313" s="446">
        <v>23</v>
      </c>
      <c r="J313" s="36"/>
      <c r="K313" s="36"/>
      <c r="L313" s="36"/>
      <c r="M313" s="36"/>
      <c r="N313" s="36"/>
      <c r="O313" s="36"/>
    </row>
    <row r="314" spans="1:51">
      <c r="A314" s="759"/>
      <c r="B314" s="9" t="s">
        <v>242</v>
      </c>
      <c r="C314" s="13" t="s">
        <v>3989</v>
      </c>
      <c r="D314" s="36"/>
      <c r="E314" s="37"/>
      <c r="F314" s="36"/>
      <c r="G314" s="446"/>
      <c r="H314" s="36"/>
      <c r="I314" s="446"/>
      <c r="J314" s="36"/>
      <c r="K314" s="36"/>
      <c r="L314" s="36"/>
      <c r="M314" s="36"/>
      <c r="N314" s="36"/>
      <c r="O314" s="36"/>
    </row>
    <row r="315" spans="1:51">
      <c r="A315" s="759"/>
      <c r="B315" s="9" t="s">
        <v>242</v>
      </c>
      <c r="C315" s="13" t="s">
        <v>3990</v>
      </c>
      <c r="D315" s="36"/>
      <c r="E315" s="37"/>
      <c r="F315" s="36">
        <v>1</v>
      </c>
      <c r="G315" s="446">
        <v>65182700</v>
      </c>
      <c r="H315" s="36"/>
      <c r="I315" s="446">
        <v>23</v>
      </c>
      <c r="J315" s="36"/>
      <c r="K315" s="36"/>
      <c r="L315" s="36"/>
      <c r="M315" s="36"/>
      <c r="N315" s="36"/>
      <c r="O315" s="36"/>
    </row>
    <row r="316" spans="1:51">
      <c r="A316" s="759"/>
      <c r="B316" s="9" t="s">
        <v>242</v>
      </c>
      <c r="C316" s="13" t="s">
        <v>3991</v>
      </c>
      <c r="D316" s="36"/>
      <c r="E316" s="37"/>
      <c r="F316" s="36">
        <v>1</v>
      </c>
      <c r="G316" s="446">
        <v>23256000</v>
      </c>
      <c r="H316" s="36"/>
      <c r="I316" s="446">
        <v>23</v>
      </c>
      <c r="J316" s="36"/>
      <c r="K316" s="36"/>
      <c r="L316" s="36"/>
      <c r="M316" s="36"/>
      <c r="N316" s="36"/>
      <c r="O316" s="36"/>
    </row>
    <row r="317" spans="1:51">
      <c r="A317" s="759"/>
      <c r="B317" s="9" t="s">
        <v>242</v>
      </c>
      <c r="C317" s="13" t="s">
        <v>3992</v>
      </c>
      <c r="D317" s="36"/>
      <c r="E317" s="37"/>
      <c r="F317" s="36">
        <v>1</v>
      </c>
      <c r="G317" s="446">
        <v>13970673</v>
      </c>
      <c r="H317" s="36"/>
      <c r="I317" s="446">
        <v>23</v>
      </c>
      <c r="J317" s="36"/>
      <c r="K317" s="36"/>
      <c r="L317" s="36"/>
      <c r="M317" s="36"/>
      <c r="N317" s="36"/>
      <c r="O317" s="36"/>
    </row>
    <row r="318" spans="1:51">
      <c r="A318" s="759"/>
      <c r="B318" s="9" t="s">
        <v>242</v>
      </c>
      <c r="C318" s="13" t="s">
        <v>3993</v>
      </c>
      <c r="D318" s="36"/>
      <c r="E318" s="37"/>
      <c r="F318" s="36">
        <v>1</v>
      </c>
      <c r="G318" s="446">
        <v>8238339</v>
      </c>
      <c r="H318" s="36"/>
      <c r="I318" s="446">
        <v>23</v>
      </c>
      <c r="J318" s="36"/>
      <c r="K318" s="36"/>
      <c r="L318" s="36"/>
      <c r="M318" s="36"/>
      <c r="N318" s="36"/>
      <c r="O318" s="36"/>
    </row>
    <row r="319" spans="1:51">
      <c r="A319" s="759"/>
      <c r="B319" s="9" t="s">
        <v>242</v>
      </c>
      <c r="C319" s="13" t="s">
        <v>3994</v>
      </c>
      <c r="D319" s="36"/>
      <c r="E319" s="37"/>
      <c r="F319" s="36">
        <v>1</v>
      </c>
      <c r="G319" s="446">
        <v>8171230</v>
      </c>
      <c r="H319" s="36"/>
      <c r="I319" s="446">
        <v>23</v>
      </c>
      <c r="J319" s="36"/>
      <c r="K319" s="36"/>
      <c r="L319" s="36"/>
      <c r="M319" s="36"/>
      <c r="N319" s="36"/>
      <c r="O319" s="36"/>
    </row>
    <row r="320" spans="1:51">
      <c r="A320" s="759"/>
      <c r="B320" s="9" t="s">
        <v>242</v>
      </c>
      <c r="C320" s="13" t="s">
        <v>3995</v>
      </c>
      <c r="D320" s="36"/>
      <c r="E320" s="37"/>
      <c r="F320" s="36">
        <v>1</v>
      </c>
      <c r="G320" s="446">
        <v>7370000</v>
      </c>
      <c r="H320" s="36"/>
      <c r="I320" s="446">
        <v>23</v>
      </c>
      <c r="J320" s="36"/>
      <c r="K320" s="36"/>
      <c r="L320" s="36"/>
      <c r="M320" s="36"/>
      <c r="N320" s="36"/>
      <c r="O320" s="36"/>
    </row>
    <row r="321" spans="1:15">
      <c r="A321" s="759"/>
      <c r="B321" s="9" t="s">
        <v>242</v>
      </c>
      <c r="C321" s="13" t="s">
        <v>3996</v>
      </c>
      <c r="D321" s="36"/>
      <c r="E321" s="37"/>
      <c r="F321" s="36">
        <v>1</v>
      </c>
      <c r="G321" s="446">
        <v>6881725</v>
      </c>
      <c r="H321" s="36"/>
      <c r="I321" s="446">
        <v>19</v>
      </c>
      <c r="J321" s="36"/>
      <c r="K321" s="36"/>
      <c r="L321" s="36"/>
      <c r="M321" s="36"/>
      <c r="N321" s="36"/>
      <c r="O321" s="36"/>
    </row>
    <row r="322" spans="1:15">
      <c r="A322" s="759"/>
      <c r="B322" s="9" t="s">
        <v>242</v>
      </c>
      <c r="C322" s="13" t="s">
        <v>3997</v>
      </c>
      <c r="D322" s="36"/>
      <c r="E322" s="37"/>
      <c r="F322" s="36">
        <v>1</v>
      </c>
      <c r="G322" s="446">
        <v>6762000</v>
      </c>
      <c r="H322" s="36"/>
      <c r="I322" s="446">
        <v>23</v>
      </c>
      <c r="J322" s="36"/>
      <c r="K322" s="36"/>
      <c r="L322" s="36"/>
      <c r="M322" s="36"/>
      <c r="N322" s="36"/>
      <c r="O322" s="36"/>
    </row>
    <row r="323" spans="1:15">
      <c r="A323" s="759"/>
      <c r="B323" s="9" t="s">
        <v>242</v>
      </c>
      <c r="C323" s="13" t="s">
        <v>3608</v>
      </c>
      <c r="D323" s="36"/>
      <c r="E323" s="37"/>
      <c r="F323" s="36">
        <v>1</v>
      </c>
      <c r="G323" s="446">
        <v>5072800</v>
      </c>
      <c r="H323" s="36"/>
      <c r="I323" s="446">
        <v>23</v>
      </c>
      <c r="J323" s="36"/>
      <c r="K323" s="36"/>
      <c r="L323" s="36"/>
      <c r="M323" s="36"/>
      <c r="N323" s="36"/>
      <c r="O323" s="36"/>
    </row>
    <row r="324" spans="1:15">
      <c r="A324" s="759"/>
      <c r="B324" s="9" t="s">
        <v>242</v>
      </c>
      <c r="C324" s="13" t="s">
        <v>3998</v>
      </c>
      <c r="D324" s="36"/>
      <c r="E324" s="37"/>
      <c r="F324" s="36">
        <v>1</v>
      </c>
      <c r="G324" s="446">
        <v>4500000</v>
      </c>
      <c r="H324" s="36"/>
      <c r="I324" s="446">
        <v>16</v>
      </c>
      <c r="J324" s="36"/>
      <c r="K324" s="36"/>
      <c r="L324" s="36"/>
      <c r="M324" s="36"/>
      <c r="N324" s="36"/>
      <c r="O324" s="36"/>
    </row>
    <row r="325" spans="1:15">
      <c r="A325" s="759"/>
      <c r="B325" s="9" t="s">
        <v>242</v>
      </c>
      <c r="C325" s="13" t="s">
        <v>3999</v>
      </c>
      <c r="D325" s="36"/>
      <c r="E325" s="37"/>
      <c r="F325" s="36">
        <v>1</v>
      </c>
      <c r="G325" s="446">
        <v>4381293</v>
      </c>
      <c r="H325" s="36"/>
      <c r="I325" s="446">
        <v>23</v>
      </c>
      <c r="J325" s="36"/>
      <c r="K325" s="36"/>
      <c r="L325" s="36"/>
      <c r="M325" s="36"/>
      <c r="N325" s="36"/>
      <c r="O325" s="36"/>
    </row>
    <row r="326" spans="1:15">
      <c r="A326" s="759"/>
      <c r="B326" s="9" t="s">
        <v>242</v>
      </c>
      <c r="C326" s="13" t="s">
        <v>4000</v>
      </c>
      <c r="D326" s="36"/>
      <c r="E326" s="37"/>
      <c r="F326" s="36"/>
      <c r="G326" s="446">
        <v>4245000</v>
      </c>
      <c r="H326" s="36"/>
      <c r="I326" s="446">
        <v>15</v>
      </c>
      <c r="J326" s="36"/>
      <c r="K326" s="36"/>
      <c r="L326" s="36"/>
      <c r="M326" s="36"/>
      <c r="N326" s="36"/>
      <c r="O326" s="36"/>
    </row>
    <row r="327" spans="1:15">
      <c r="A327" s="759"/>
      <c r="B327" s="9" t="s">
        <v>242</v>
      </c>
      <c r="C327" s="13" t="s">
        <v>4001</v>
      </c>
      <c r="D327" s="36"/>
      <c r="E327" s="37"/>
      <c r="F327" s="36"/>
      <c r="G327" s="446">
        <v>4061204</v>
      </c>
      <c r="H327" s="36"/>
      <c r="I327" s="446">
        <v>23</v>
      </c>
      <c r="J327" s="36"/>
      <c r="K327" s="36"/>
      <c r="L327" s="36"/>
      <c r="M327" s="36"/>
      <c r="N327" s="36"/>
      <c r="O327" s="36"/>
    </row>
    <row r="328" spans="1:15">
      <c r="A328" s="759"/>
      <c r="B328" s="9" t="s">
        <v>242</v>
      </c>
      <c r="C328" s="13" t="s">
        <v>4002</v>
      </c>
      <c r="D328" s="36"/>
      <c r="E328" s="37"/>
      <c r="F328" s="36">
        <v>1</v>
      </c>
      <c r="G328" s="446">
        <v>241890689</v>
      </c>
      <c r="H328" s="36"/>
      <c r="I328" s="446">
        <v>23</v>
      </c>
      <c r="J328" s="36"/>
      <c r="K328" s="36"/>
      <c r="L328" s="36"/>
      <c r="M328" s="36"/>
      <c r="N328" s="36"/>
      <c r="O328" s="36"/>
    </row>
    <row r="329" spans="1:15">
      <c r="A329" s="759"/>
      <c r="B329" s="9" t="s">
        <v>242</v>
      </c>
      <c r="C329" s="13" t="s">
        <v>4003</v>
      </c>
      <c r="D329" s="36"/>
      <c r="E329" s="37"/>
      <c r="F329" s="36">
        <v>1</v>
      </c>
      <c r="G329" s="446">
        <v>113949525</v>
      </c>
      <c r="H329" s="36"/>
      <c r="I329" s="446">
        <v>23</v>
      </c>
      <c r="J329" s="36"/>
      <c r="K329" s="36"/>
      <c r="L329" s="36"/>
      <c r="M329" s="36"/>
      <c r="N329" s="36"/>
      <c r="O329" s="36"/>
    </row>
    <row r="330" spans="1:15">
      <c r="A330" s="759"/>
      <c r="B330" s="9" t="s">
        <v>242</v>
      </c>
      <c r="C330" s="13" t="s">
        <v>4004</v>
      </c>
      <c r="D330" s="36"/>
      <c r="E330" s="37"/>
      <c r="F330" s="36">
        <v>1</v>
      </c>
      <c r="G330" s="446">
        <v>69884800</v>
      </c>
      <c r="H330" s="36"/>
      <c r="I330" s="446">
        <v>23</v>
      </c>
      <c r="J330" s="36"/>
      <c r="K330" s="36"/>
      <c r="L330" s="36"/>
      <c r="M330" s="36"/>
      <c r="N330" s="36"/>
      <c r="O330" s="36"/>
    </row>
    <row r="331" spans="1:15">
      <c r="A331" s="759"/>
      <c r="B331" s="9" t="s">
        <v>242</v>
      </c>
      <c r="C331" s="13" t="s">
        <v>4005</v>
      </c>
      <c r="D331" s="36"/>
      <c r="E331" s="37"/>
      <c r="F331" s="36">
        <v>1</v>
      </c>
      <c r="G331" s="446">
        <v>13160000</v>
      </c>
      <c r="H331" s="36"/>
      <c r="I331" s="446">
        <v>23</v>
      </c>
      <c r="J331" s="36"/>
      <c r="K331" s="36"/>
      <c r="L331" s="36"/>
      <c r="M331" s="36"/>
      <c r="N331" s="36"/>
      <c r="O331" s="36"/>
    </row>
    <row r="332" spans="1:15">
      <c r="A332" s="759"/>
      <c r="B332" s="9" t="s">
        <v>242</v>
      </c>
      <c r="C332" s="13" t="s">
        <v>4006</v>
      </c>
      <c r="D332" s="36"/>
      <c r="E332" s="37"/>
      <c r="F332" s="36">
        <v>1</v>
      </c>
      <c r="G332" s="446">
        <v>9171400</v>
      </c>
      <c r="H332" s="36"/>
      <c r="I332" s="446">
        <v>23</v>
      </c>
      <c r="J332" s="36"/>
      <c r="K332" s="36"/>
      <c r="L332" s="36"/>
      <c r="M332" s="36"/>
      <c r="N332" s="36"/>
      <c r="O332" s="36"/>
    </row>
    <row r="333" spans="1:15">
      <c r="A333" s="759"/>
      <c r="B333" s="9" t="s">
        <v>242</v>
      </c>
      <c r="C333" s="13" t="s">
        <v>4007</v>
      </c>
      <c r="D333" s="36"/>
      <c r="E333" s="37"/>
      <c r="F333" s="36">
        <v>1</v>
      </c>
      <c r="G333" s="446">
        <v>5100000</v>
      </c>
      <c r="H333" s="36"/>
      <c r="I333" s="446">
        <v>23</v>
      </c>
      <c r="J333" s="36"/>
      <c r="K333" s="36"/>
      <c r="L333" s="36"/>
      <c r="M333" s="36"/>
      <c r="N333" s="36"/>
      <c r="O333" s="36"/>
    </row>
    <row r="334" spans="1:15">
      <c r="A334" s="759"/>
      <c r="B334" s="9" t="s">
        <v>242</v>
      </c>
      <c r="C334" s="13" t="s">
        <v>4008</v>
      </c>
      <c r="D334" s="36"/>
      <c r="E334" s="37"/>
      <c r="F334" s="36">
        <v>1</v>
      </c>
      <c r="G334" s="446">
        <v>5100000</v>
      </c>
      <c r="H334" s="36"/>
      <c r="I334" s="446">
        <v>23</v>
      </c>
      <c r="J334" s="36"/>
      <c r="K334" s="36"/>
      <c r="L334" s="36"/>
      <c r="M334" s="36"/>
      <c r="N334" s="36"/>
      <c r="O334" s="36"/>
    </row>
    <row r="335" spans="1:15">
      <c r="A335" s="759"/>
      <c r="B335" s="9" t="s">
        <v>242</v>
      </c>
      <c r="C335" s="13"/>
      <c r="D335" s="36"/>
      <c r="E335" s="37"/>
      <c r="F335" s="36"/>
      <c r="G335" s="446"/>
      <c r="H335" s="36"/>
      <c r="I335" s="446"/>
      <c r="J335" s="36"/>
      <c r="K335" s="36"/>
      <c r="L335" s="36"/>
      <c r="M335" s="36"/>
      <c r="N335" s="36"/>
      <c r="O335" s="36"/>
    </row>
    <row r="336" spans="1:15">
      <c r="A336" s="759"/>
      <c r="B336" s="9" t="s">
        <v>242</v>
      </c>
      <c r="C336" s="13" t="s">
        <v>4009</v>
      </c>
      <c r="D336" s="36"/>
      <c r="E336" s="37"/>
      <c r="F336" s="36">
        <v>1</v>
      </c>
      <c r="G336" s="446">
        <v>5400000</v>
      </c>
      <c r="H336" s="36"/>
      <c r="I336" s="446">
        <v>23</v>
      </c>
      <c r="J336" s="36"/>
      <c r="K336" s="36"/>
      <c r="L336" s="36"/>
      <c r="M336" s="36"/>
      <c r="N336" s="36"/>
      <c r="O336" s="36"/>
    </row>
    <row r="337" spans="1:15">
      <c r="A337" s="759"/>
      <c r="B337" s="9" t="s">
        <v>242</v>
      </c>
      <c r="C337" s="13" t="s">
        <v>4010</v>
      </c>
      <c r="D337" s="36"/>
      <c r="E337" s="37"/>
      <c r="F337" s="36">
        <v>1</v>
      </c>
      <c r="G337" s="446">
        <v>4700000</v>
      </c>
      <c r="H337" s="36"/>
      <c r="I337" s="446"/>
      <c r="J337" s="36"/>
      <c r="K337" s="36"/>
      <c r="L337" s="36"/>
      <c r="M337" s="36"/>
      <c r="N337" s="36"/>
      <c r="O337" s="36"/>
    </row>
    <row r="338" spans="1:15">
      <c r="A338" s="759"/>
      <c r="B338" s="9" t="s">
        <v>242</v>
      </c>
      <c r="C338" s="13"/>
      <c r="D338" s="36"/>
      <c r="E338" s="37"/>
      <c r="F338" s="36"/>
      <c r="G338" s="446"/>
      <c r="H338" s="36"/>
      <c r="I338" s="446"/>
      <c r="J338" s="36"/>
      <c r="K338" s="36"/>
      <c r="L338" s="36"/>
      <c r="M338" s="36"/>
      <c r="N338" s="36"/>
      <c r="O338" s="36"/>
    </row>
    <row r="339" spans="1:15">
      <c r="A339" s="758">
        <v>18</v>
      </c>
      <c r="B339" s="11" t="s">
        <v>246</v>
      </c>
      <c r="C339" s="4" t="s">
        <v>4011</v>
      </c>
      <c r="D339" s="2" t="s">
        <v>4012</v>
      </c>
      <c r="E339" s="3" t="s">
        <v>4013</v>
      </c>
      <c r="F339" s="2">
        <v>1</v>
      </c>
      <c r="G339" s="90">
        <v>972670962</v>
      </c>
      <c r="H339" s="2"/>
      <c r="I339" s="2">
        <v>10</v>
      </c>
      <c r="J339" s="103"/>
      <c r="K339" s="103"/>
      <c r="L339" s="103"/>
      <c r="M339" s="103"/>
      <c r="N339" s="103"/>
      <c r="O339" s="103"/>
    </row>
    <row r="340" spans="1:15">
      <c r="A340" s="758"/>
      <c r="B340" s="11" t="s">
        <v>246</v>
      </c>
      <c r="C340" s="4" t="s">
        <v>4014</v>
      </c>
      <c r="D340" s="2" t="s">
        <v>4015</v>
      </c>
      <c r="E340" s="3" t="s">
        <v>4016</v>
      </c>
      <c r="F340" s="2">
        <v>1</v>
      </c>
      <c r="G340" s="90">
        <v>590714400</v>
      </c>
      <c r="H340" s="2"/>
      <c r="I340" s="2">
        <v>23</v>
      </c>
      <c r="J340" s="103"/>
      <c r="K340" s="103"/>
      <c r="L340" s="103"/>
      <c r="M340" s="103"/>
      <c r="N340" s="103"/>
      <c r="O340" s="103"/>
    </row>
    <row r="341" spans="1:15">
      <c r="A341" s="758"/>
      <c r="B341" s="11" t="s">
        <v>246</v>
      </c>
      <c r="C341" s="4" t="s">
        <v>4017</v>
      </c>
      <c r="D341" s="2" t="s">
        <v>4018</v>
      </c>
      <c r="E341" s="3" t="s">
        <v>4019</v>
      </c>
      <c r="F341" s="2">
        <v>1</v>
      </c>
      <c r="G341" s="90">
        <v>560512691</v>
      </c>
      <c r="H341" s="2"/>
      <c r="I341" s="2">
        <v>9</v>
      </c>
      <c r="J341" s="103"/>
      <c r="K341" s="103"/>
      <c r="L341" s="103"/>
      <c r="M341" s="103"/>
      <c r="N341" s="103"/>
      <c r="O341" s="103"/>
    </row>
    <row r="342" spans="1:15">
      <c r="A342" s="758"/>
      <c r="B342" s="11" t="s">
        <v>246</v>
      </c>
      <c r="C342" s="4" t="s">
        <v>3811</v>
      </c>
      <c r="D342" s="2" t="s">
        <v>3870</v>
      </c>
      <c r="E342" s="3" t="s">
        <v>4020</v>
      </c>
      <c r="F342" s="2">
        <v>1</v>
      </c>
      <c r="G342" s="90">
        <v>493343430</v>
      </c>
      <c r="H342" s="2"/>
      <c r="I342" s="2">
        <v>18</v>
      </c>
      <c r="J342" s="103"/>
      <c r="K342" s="103"/>
      <c r="L342" s="103"/>
      <c r="M342" s="103"/>
      <c r="N342" s="103"/>
      <c r="O342" s="103"/>
    </row>
    <row r="343" spans="1:15">
      <c r="A343" s="758"/>
      <c r="B343" s="11" t="s">
        <v>246</v>
      </c>
      <c r="C343" s="4" t="s">
        <v>4021</v>
      </c>
      <c r="D343" s="2" t="s">
        <v>4022</v>
      </c>
      <c r="E343" s="3" t="s">
        <v>4023</v>
      </c>
      <c r="F343" s="2">
        <v>1</v>
      </c>
      <c r="G343" s="90">
        <v>416507529</v>
      </c>
      <c r="H343" s="2"/>
      <c r="I343" s="2">
        <v>13</v>
      </c>
      <c r="J343" s="103"/>
      <c r="K343" s="103"/>
      <c r="L343" s="103"/>
      <c r="M343" s="103"/>
      <c r="N343" s="103"/>
      <c r="O343" s="103"/>
    </row>
    <row r="344" spans="1:15">
      <c r="A344" s="758"/>
      <c r="B344" s="11" t="s">
        <v>246</v>
      </c>
      <c r="C344" s="4" t="s">
        <v>3780</v>
      </c>
      <c r="D344" s="2" t="s">
        <v>4024</v>
      </c>
      <c r="E344" s="3" t="s">
        <v>4025</v>
      </c>
      <c r="F344" s="2">
        <v>1</v>
      </c>
      <c r="G344" s="90">
        <v>197098920</v>
      </c>
      <c r="H344" s="2"/>
      <c r="I344" s="2">
        <v>10</v>
      </c>
      <c r="J344" s="103"/>
      <c r="K344" s="103"/>
      <c r="L344" s="103"/>
      <c r="M344" s="103"/>
      <c r="N344" s="103"/>
      <c r="O344" s="103"/>
    </row>
    <row r="345" spans="1:15">
      <c r="A345" s="758"/>
      <c r="B345" s="11" t="s">
        <v>246</v>
      </c>
      <c r="C345" s="4" t="s">
        <v>3881</v>
      </c>
      <c r="D345" s="2" t="s">
        <v>4026</v>
      </c>
      <c r="E345" s="3" t="s">
        <v>4027</v>
      </c>
      <c r="F345" s="2">
        <v>1</v>
      </c>
      <c r="G345" s="90">
        <v>185022175</v>
      </c>
      <c r="H345" s="2"/>
      <c r="I345" s="2">
        <v>21</v>
      </c>
      <c r="J345" s="103"/>
      <c r="K345" s="103"/>
      <c r="L345" s="103"/>
      <c r="M345" s="103"/>
      <c r="N345" s="103"/>
      <c r="O345" s="103"/>
    </row>
    <row r="346" spans="1:15">
      <c r="A346" s="758"/>
      <c r="B346" s="11" t="s">
        <v>246</v>
      </c>
      <c r="C346" s="4" t="s">
        <v>4028</v>
      </c>
      <c r="D346" s="2" t="s">
        <v>4029</v>
      </c>
      <c r="E346" s="3" t="s">
        <v>4030</v>
      </c>
      <c r="F346" s="2">
        <v>1</v>
      </c>
      <c r="G346" s="90">
        <v>137237400</v>
      </c>
      <c r="H346" s="2"/>
      <c r="I346" s="2">
        <v>18</v>
      </c>
      <c r="J346" s="103"/>
      <c r="K346" s="103"/>
      <c r="L346" s="103"/>
      <c r="M346" s="103"/>
      <c r="N346" s="103"/>
      <c r="O346" s="103"/>
    </row>
    <row r="347" spans="1:15">
      <c r="A347" s="758"/>
      <c r="B347" s="11" t="s">
        <v>246</v>
      </c>
      <c r="C347" s="4" t="s">
        <v>4031</v>
      </c>
      <c r="D347" s="2">
        <v>4579176</v>
      </c>
      <c r="E347" s="3" t="s">
        <v>4032</v>
      </c>
      <c r="F347" s="2">
        <v>1</v>
      </c>
      <c r="G347" s="90">
        <v>131761550</v>
      </c>
      <c r="H347" s="2"/>
      <c r="I347" s="2">
        <v>4</v>
      </c>
      <c r="J347" s="103"/>
      <c r="K347" s="103"/>
      <c r="L347" s="103"/>
      <c r="M347" s="103"/>
      <c r="N347" s="103"/>
      <c r="O347" s="103"/>
    </row>
    <row r="348" spans="1:15">
      <c r="A348" s="758"/>
      <c r="B348" s="11" t="s">
        <v>246</v>
      </c>
      <c r="C348" s="4" t="s">
        <v>4033</v>
      </c>
      <c r="D348" s="2" t="s">
        <v>4034</v>
      </c>
      <c r="E348" s="3" t="s">
        <v>3869</v>
      </c>
      <c r="F348" s="2">
        <v>1</v>
      </c>
      <c r="G348" s="90">
        <v>72000000</v>
      </c>
      <c r="H348" s="2"/>
      <c r="I348" s="2">
        <v>23</v>
      </c>
      <c r="J348" s="103"/>
      <c r="K348" s="103"/>
      <c r="L348" s="103"/>
      <c r="M348" s="103"/>
      <c r="N348" s="103"/>
      <c r="O348" s="103"/>
    </row>
    <row r="349" spans="1:15">
      <c r="A349" s="758"/>
      <c r="B349" s="11" t="s">
        <v>246</v>
      </c>
      <c r="C349" s="4" t="s">
        <v>4035</v>
      </c>
      <c r="D349" s="2" t="s">
        <v>4036</v>
      </c>
      <c r="E349" s="3" t="s">
        <v>4037</v>
      </c>
      <c r="F349" s="2">
        <v>1</v>
      </c>
      <c r="G349" s="90">
        <v>30154201</v>
      </c>
      <c r="H349" s="2"/>
      <c r="I349" s="2">
        <v>19</v>
      </c>
      <c r="J349" s="103"/>
      <c r="K349" s="103"/>
      <c r="L349" s="103"/>
      <c r="M349" s="103"/>
      <c r="N349" s="103"/>
      <c r="O349" s="103"/>
    </row>
    <row r="350" spans="1:15">
      <c r="A350" s="758"/>
      <c r="B350" s="11" t="s">
        <v>246</v>
      </c>
      <c r="C350" s="4" t="s">
        <v>4038</v>
      </c>
      <c r="D350" s="2">
        <v>4892940</v>
      </c>
      <c r="E350" s="3" t="s">
        <v>4039</v>
      </c>
      <c r="F350" s="2">
        <v>1</v>
      </c>
      <c r="G350" s="90">
        <v>29807500</v>
      </c>
      <c r="H350" s="2"/>
      <c r="I350" s="2">
        <v>23</v>
      </c>
      <c r="J350" s="103"/>
      <c r="K350" s="103"/>
      <c r="L350" s="103"/>
      <c r="M350" s="103"/>
      <c r="N350" s="103"/>
      <c r="O350" s="103"/>
    </row>
    <row r="351" spans="1:15">
      <c r="A351" s="758"/>
      <c r="B351" s="11" t="s">
        <v>246</v>
      </c>
      <c r="C351" s="4" t="s">
        <v>4040</v>
      </c>
      <c r="D351" s="2" t="s">
        <v>4041</v>
      </c>
      <c r="E351" s="3" t="s">
        <v>4042</v>
      </c>
      <c r="F351" s="2">
        <v>1</v>
      </c>
      <c r="G351" s="90">
        <v>29632770</v>
      </c>
      <c r="H351" s="2"/>
      <c r="I351" s="2">
        <v>23</v>
      </c>
      <c r="J351" s="103"/>
      <c r="K351" s="103"/>
      <c r="L351" s="103"/>
      <c r="M351" s="103"/>
      <c r="N351" s="103"/>
      <c r="O351" s="103"/>
    </row>
    <row r="352" spans="1:15">
      <c r="A352" s="758"/>
      <c r="B352" s="11" t="s">
        <v>246</v>
      </c>
      <c r="C352" s="4" t="s">
        <v>4043</v>
      </c>
      <c r="D352" s="2" t="s">
        <v>3873</v>
      </c>
      <c r="E352" s="3" t="s">
        <v>4044</v>
      </c>
      <c r="F352" s="2">
        <v>1</v>
      </c>
      <c r="G352" s="90">
        <v>23640000</v>
      </c>
      <c r="H352" s="2"/>
      <c r="I352" s="2">
        <v>23</v>
      </c>
      <c r="J352" s="103"/>
      <c r="K352" s="103"/>
      <c r="L352" s="103"/>
      <c r="M352" s="103"/>
      <c r="N352" s="103"/>
      <c r="O352" s="103"/>
    </row>
    <row r="353" spans="1:15">
      <c r="A353" s="758"/>
      <c r="B353" s="11" t="s">
        <v>246</v>
      </c>
      <c r="C353" s="4" t="s">
        <v>4045</v>
      </c>
      <c r="D353" s="2" t="s">
        <v>4046</v>
      </c>
      <c r="E353" s="3" t="s">
        <v>4047</v>
      </c>
      <c r="F353" s="2">
        <v>1</v>
      </c>
      <c r="G353" s="90">
        <v>21068079</v>
      </c>
      <c r="H353" s="2"/>
      <c r="I353" s="2">
        <v>23</v>
      </c>
      <c r="J353" s="103"/>
      <c r="K353" s="103"/>
      <c r="L353" s="103"/>
      <c r="M353" s="103"/>
      <c r="N353" s="103"/>
      <c r="O353" s="103"/>
    </row>
    <row r="354" spans="1:15">
      <c r="A354" s="758"/>
      <c r="B354" s="11" t="s">
        <v>246</v>
      </c>
      <c r="C354" s="4" t="s">
        <v>4048</v>
      </c>
      <c r="D354" s="2" t="s">
        <v>4049</v>
      </c>
      <c r="E354" s="3" t="s">
        <v>4050</v>
      </c>
      <c r="F354" s="2">
        <v>1</v>
      </c>
      <c r="G354" s="90">
        <v>46497000</v>
      </c>
      <c r="H354" s="2"/>
      <c r="I354" s="2">
        <v>23</v>
      </c>
      <c r="J354" s="103"/>
      <c r="K354" s="103"/>
      <c r="L354" s="103"/>
      <c r="M354" s="103"/>
      <c r="N354" s="103"/>
      <c r="O354" s="103"/>
    </row>
    <row r="355" spans="1:15">
      <c r="A355" s="758"/>
      <c r="B355" s="11" t="s">
        <v>246</v>
      </c>
      <c r="C355" s="4" t="s">
        <v>4051</v>
      </c>
      <c r="D355" s="2"/>
      <c r="E355" s="3" t="s">
        <v>4052</v>
      </c>
      <c r="G355" s="90"/>
      <c r="H355" s="2"/>
      <c r="I355" s="2"/>
      <c r="J355" s="103"/>
      <c r="K355" s="103"/>
      <c r="L355" s="103"/>
      <c r="M355" s="103"/>
      <c r="N355" s="103"/>
      <c r="O355" s="103"/>
    </row>
    <row r="356" spans="1:15">
      <c r="A356" s="758"/>
      <c r="B356" s="11" t="s">
        <v>246</v>
      </c>
      <c r="C356" s="4" t="s">
        <v>4053</v>
      </c>
      <c r="D356" s="2">
        <v>8043325</v>
      </c>
      <c r="E356" s="3" t="s">
        <v>4054</v>
      </c>
      <c r="F356" s="2">
        <v>1</v>
      </c>
      <c r="G356" s="90">
        <v>59174725</v>
      </c>
      <c r="H356" s="2"/>
      <c r="I356" s="2">
        <v>1</v>
      </c>
      <c r="J356" s="103"/>
      <c r="K356" s="103"/>
      <c r="L356" s="103"/>
      <c r="M356" s="103"/>
      <c r="N356" s="103"/>
      <c r="O356" s="103"/>
    </row>
    <row r="357" spans="1:15">
      <c r="A357" s="758"/>
      <c r="B357" s="11" t="s">
        <v>246</v>
      </c>
      <c r="C357" s="4" t="s">
        <v>4055</v>
      </c>
      <c r="D357" s="2" t="s">
        <v>4056</v>
      </c>
      <c r="E357" s="3" t="s">
        <v>4057</v>
      </c>
      <c r="F357" s="2">
        <v>1</v>
      </c>
      <c r="G357" s="90">
        <v>46133800</v>
      </c>
      <c r="H357" s="2"/>
      <c r="I357" s="2">
        <v>23</v>
      </c>
      <c r="J357" s="103"/>
      <c r="K357" s="103"/>
      <c r="L357" s="103"/>
      <c r="M357" s="103"/>
      <c r="N357" s="103"/>
      <c r="O357" s="103"/>
    </row>
    <row r="358" spans="1:15">
      <c r="A358" s="758"/>
      <c r="B358" s="11" t="s">
        <v>246</v>
      </c>
      <c r="C358" s="4" t="s">
        <v>3904</v>
      </c>
      <c r="D358" s="2" t="s">
        <v>3905</v>
      </c>
      <c r="E358" s="3" t="s">
        <v>3906</v>
      </c>
      <c r="F358" s="2">
        <v>1</v>
      </c>
      <c r="G358" s="90">
        <v>29824000</v>
      </c>
      <c r="H358" s="2"/>
      <c r="I358" s="2">
        <v>1</v>
      </c>
      <c r="J358" s="103"/>
      <c r="K358" s="103"/>
      <c r="L358" s="103"/>
      <c r="M358" s="103"/>
      <c r="N358" s="103"/>
      <c r="O358" s="103"/>
    </row>
    <row r="359" spans="1:15">
      <c r="A359" s="758"/>
      <c r="B359" s="11" t="s">
        <v>246</v>
      </c>
      <c r="C359" s="4" t="s">
        <v>4058</v>
      </c>
      <c r="D359" s="2" t="s">
        <v>4059</v>
      </c>
      <c r="E359" s="3" t="s">
        <v>4060</v>
      </c>
      <c r="F359" s="2">
        <v>1</v>
      </c>
      <c r="G359" s="90">
        <v>5829300</v>
      </c>
      <c r="H359" s="2"/>
      <c r="I359" s="2">
        <v>23</v>
      </c>
      <c r="J359" s="103"/>
      <c r="K359" s="103"/>
      <c r="L359" s="103"/>
      <c r="M359" s="103"/>
      <c r="N359" s="103"/>
      <c r="O359" s="103"/>
    </row>
    <row r="360" spans="1:15">
      <c r="A360" s="758"/>
      <c r="B360" s="11" t="s">
        <v>246</v>
      </c>
      <c r="C360" s="4" t="s">
        <v>4061</v>
      </c>
      <c r="D360" s="2" t="s">
        <v>4062</v>
      </c>
      <c r="E360" s="3" t="s">
        <v>4063</v>
      </c>
      <c r="F360" s="2">
        <v>1</v>
      </c>
      <c r="G360" s="90">
        <v>5550000</v>
      </c>
      <c r="H360" s="2"/>
      <c r="I360" s="2">
        <v>23</v>
      </c>
      <c r="J360" s="103"/>
      <c r="K360" s="103"/>
      <c r="L360" s="103"/>
      <c r="M360" s="103"/>
      <c r="N360" s="103"/>
      <c r="O360" s="103"/>
    </row>
    <row r="361" spans="1:15">
      <c r="A361" s="758"/>
      <c r="B361" s="11" t="s">
        <v>246</v>
      </c>
      <c r="C361" s="4" t="s">
        <v>4064</v>
      </c>
      <c r="D361" s="2" t="s">
        <v>4065</v>
      </c>
      <c r="E361" s="3" t="s">
        <v>4066</v>
      </c>
      <c r="F361" s="2">
        <v>1</v>
      </c>
      <c r="G361" s="90">
        <v>5953757</v>
      </c>
      <c r="H361" s="2"/>
      <c r="I361" s="2">
        <v>23</v>
      </c>
      <c r="J361" s="103"/>
      <c r="K361" s="103"/>
      <c r="L361" s="103"/>
      <c r="M361" s="103"/>
      <c r="N361" s="103"/>
      <c r="O361" s="103"/>
    </row>
    <row r="362" spans="1:15">
      <c r="A362" s="758"/>
      <c r="B362" s="11" t="s">
        <v>246</v>
      </c>
      <c r="C362" s="4" t="s">
        <v>4067</v>
      </c>
      <c r="D362" s="2">
        <v>5162615</v>
      </c>
      <c r="E362" s="3" t="s">
        <v>4068</v>
      </c>
      <c r="F362" s="2">
        <v>1</v>
      </c>
      <c r="G362" s="90">
        <v>3290000</v>
      </c>
      <c r="H362" s="2"/>
      <c r="I362" s="2">
        <v>23</v>
      </c>
      <c r="J362" s="103"/>
      <c r="K362" s="103"/>
      <c r="L362" s="103"/>
      <c r="M362" s="103"/>
      <c r="N362" s="103"/>
      <c r="O362" s="103"/>
    </row>
    <row r="363" spans="1:15">
      <c r="A363" s="758"/>
      <c r="B363" s="11" t="s">
        <v>246</v>
      </c>
      <c r="C363" s="4" t="s">
        <v>4069</v>
      </c>
      <c r="D363" s="2">
        <v>4249688</v>
      </c>
      <c r="E363" s="3" t="s">
        <v>4070</v>
      </c>
      <c r="F363" s="2">
        <v>1</v>
      </c>
      <c r="G363" s="90">
        <v>2621400</v>
      </c>
      <c r="H363" s="2"/>
      <c r="I363" s="2">
        <v>23</v>
      </c>
      <c r="J363" s="103"/>
      <c r="K363" s="103"/>
      <c r="L363" s="103"/>
      <c r="M363" s="103"/>
      <c r="N363" s="103"/>
      <c r="O363" s="103"/>
    </row>
    <row r="364" spans="1:15">
      <c r="A364" s="758"/>
      <c r="B364" s="11" t="s">
        <v>246</v>
      </c>
      <c r="C364" s="4" t="s">
        <v>4071</v>
      </c>
      <c r="D364" s="2" t="s">
        <v>4072</v>
      </c>
      <c r="E364" s="3" t="s">
        <v>4073</v>
      </c>
      <c r="F364" s="2">
        <v>1</v>
      </c>
      <c r="G364" s="90">
        <v>2291921</v>
      </c>
      <c r="H364" s="2"/>
      <c r="I364" s="2">
        <v>23</v>
      </c>
      <c r="J364" s="103"/>
      <c r="K364" s="103"/>
      <c r="L364" s="103"/>
      <c r="M364" s="103"/>
      <c r="N364" s="103"/>
      <c r="O364" s="103"/>
    </row>
    <row r="365" spans="1:15">
      <c r="A365" s="758"/>
      <c r="B365" s="11" t="s">
        <v>246</v>
      </c>
      <c r="C365" s="4" t="s">
        <v>4074</v>
      </c>
      <c r="D365" s="447" t="s">
        <v>4075</v>
      </c>
      <c r="E365" s="3" t="s">
        <v>4076</v>
      </c>
      <c r="F365" s="2">
        <v>1</v>
      </c>
      <c r="G365" s="90">
        <v>1372500</v>
      </c>
      <c r="H365" s="2"/>
      <c r="I365" s="2">
        <v>23</v>
      </c>
      <c r="J365" s="103"/>
      <c r="K365" s="103"/>
      <c r="L365" s="103"/>
      <c r="M365" s="103"/>
      <c r="N365" s="103"/>
      <c r="O365" s="103"/>
    </row>
    <row r="366" spans="1:15">
      <c r="A366" s="33">
        <v>19</v>
      </c>
      <c r="B366" s="9" t="s">
        <v>250</v>
      </c>
      <c r="C366" s="13"/>
      <c r="D366" s="36"/>
      <c r="E366" s="37"/>
      <c r="F366" s="36"/>
      <c r="G366" s="87"/>
      <c r="H366" s="36"/>
      <c r="I366" s="36"/>
      <c r="J366" s="36"/>
      <c r="K366" s="36"/>
      <c r="L366" s="36"/>
      <c r="M366" s="36"/>
      <c r="N366" s="36"/>
      <c r="O366" s="36"/>
    </row>
    <row r="367" spans="1:15">
      <c r="A367" s="758">
        <v>20</v>
      </c>
      <c r="B367" s="12" t="s">
        <v>252</v>
      </c>
      <c r="C367" s="4" t="s">
        <v>4077</v>
      </c>
      <c r="D367" s="2"/>
      <c r="E367" s="3"/>
      <c r="F367" s="2">
        <v>14</v>
      </c>
      <c r="G367" s="108">
        <v>469035935</v>
      </c>
      <c r="H367" s="2"/>
      <c r="I367" s="2"/>
      <c r="J367" s="2"/>
      <c r="K367" s="4"/>
      <c r="L367" s="4"/>
      <c r="M367" s="4"/>
      <c r="N367" s="4"/>
      <c r="O367" s="4"/>
    </row>
    <row r="368" spans="1:15">
      <c r="A368" s="758"/>
      <c r="B368" s="12" t="s">
        <v>252</v>
      </c>
      <c r="C368" s="4" t="s">
        <v>4078</v>
      </c>
      <c r="D368" s="2"/>
      <c r="E368" s="3"/>
      <c r="F368" s="2">
        <v>78</v>
      </c>
      <c r="G368" s="108">
        <v>47936440</v>
      </c>
      <c r="H368" s="2"/>
      <c r="I368" s="2"/>
      <c r="J368" s="2"/>
      <c r="K368" s="4"/>
      <c r="L368" s="4"/>
      <c r="M368" s="4"/>
      <c r="N368" s="4"/>
      <c r="O368" s="4"/>
    </row>
    <row r="369" spans="1:15">
      <c r="A369" s="758"/>
      <c r="B369" s="12" t="s">
        <v>252</v>
      </c>
      <c r="C369" s="4" t="s">
        <v>3723</v>
      </c>
      <c r="D369" s="2"/>
      <c r="E369" s="3"/>
      <c r="F369" s="2">
        <v>63</v>
      </c>
      <c r="G369" s="108">
        <v>333308876</v>
      </c>
      <c r="H369" s="2"/>
      <c r="I369" s="2"/>
      <c r="J369" s="2"/>
      <c r="K369" s="4"/>
      <c r="L369" s="4"/>
      <c r="M369" s="4"/>
      <c r="N369" s="4"/>
      <c r="O369" s="4"/>
    </row>
    <row r="370" spans="1:15">
      <c r="A370" s="758"/>
      <c r="B370" s="12" t="s">
        <v>252</v>
      </c>
      <c r="C370" s="4" t="s">
        <v>4079</v>
      </c>
      <c r="D370" s="2"/>
      <c r="E370" s="3"/>
      <c r="F370" s="2">
        <v>42</v>
      </c>
      <c r="G370" s="108">
        <v>8888016088</v>
      </c>
      <c r="H370" s="2"/>
      <c r="I370" s="2"/>
      <c r="J370" s="2"/>
      <c r="K370" s="4"/>
      <c r="L370" s="4"/>
      <c r="M370" s="4"/>
      <c r="N370" s="4"/>
      <c r="O370" s="4"/>
    </row>
    <row r="371" spans="1:15">
      <c r="A371" s="758"/>
      <c r="B371" s="12" t="s">
        <v>252</v>
      </c>
      <c r="C371" s="4" t="s">
        <v>4080</v>
      </c>
      <c r="D371" s="2"/>
      <c r="E371" s="3"/>
      <c r="F371" s="2">
        <v>6</v>
      </c>
      <c r="G371" s="108">
        <v>48755256</v>
      </c>
      <c r="H371" s="2"/>
      <c r="I371" s="2"/>
      <c r="J371" s="2"/>
      <c r="K371" s="4"/>
      <c r="L371" s="4"/>
      <c r="M371" s="4"/>
      <c r="N371" s="4"/>
      <c r="O371" s="4"/>
    </row>
    <row r="372" spans="1:15">
      <c r="A372" s="758"/>
      <c r="B372" s="12" t="s">
        <v>252</v>
      </c>
      <c r="C372" s="4" t="s">
        <v>4081</v>
      </c>
      <c r="D372" s="2"/>
      <c r="E372" s="3"/>
      <c r="F372" s="2">
        <v>23</v>
      </c>
      <c r="G372" s="108">
        <v>10864488</v>
      </c>
      <c r="H372" s="2"/>
      <c r="I372" s="2"/>
      <c r="J372" s="2"/>
      <c r="K372" s="4"/>
      <c r="L372" s="4"/>
      <c r="M372" s="4"/>
      <c r="N372" s="4"/>
      <c r="O372" s="4"/>
    </row>
    <row r="373" spans="1:15">
      <c r="A373" s="758"/>
      <c r="B373" s="12" t="s">
        <v>252</v>
      </c>
      <c r="C373" s="4" t="s">
        <v>4082</v>
      </c>
      <c r="D373" s="2"/>
      <c r="E373" s="3"/>
      <c r="F373" s="2">
        <v>15</v>
      </c>
      <c r="G373" s="108">
        <v>10864488</v>
      </c>
      <c r="H373" s="2"/>
      <c r="I373" s="2"/>
      <c r="J373" s="2"/>
      <c r="K373" s="4"/>
      <c r="L373" s="4"/>
      <c r="M373" s="4"/>
      <c r="N373" s="4"/>
      <c r="O373" s="4"/>
    </row>
    <row r="374" spans="1:15">
      <c r="A374" s="33">
        <v>21</v>
      </c>
      <c r="B374" s="9" t="s">
        <v>256</v>
      </c>
      <c r="C374" s="35" t="s">
        <v>4083</v>
      </c>
      <c r="D374" s="35"/>
      <c r="E374" s="94"/>
      <c r="F374" s="77">
        <v>1</v>
      </c>
      <c r="G374" s="432">
        <v>4029857677</v>
      </c>
      <c r="H374" s="77"/>
      <c r="I374" s="77"/>
      <c r="J374" s="77"/>
      <c r="K374" s="35"/>
      <c r="L374" s="35"/>
      <c r="M374" s="35"/>
      <c r="N374" s="35"/>
      <c r="O374" s="35"/>
    </row>
    <row r="375" spans="1:15">
      <c r="A375" s="33"/>
      <c r="B375" s="9" t="s">
        <v>256</v>
      </c>
      <c r="C375" s="35" t="s">
        <v>4084</v>
      </c>
      <c r="D375" s="35"/>
      <c r="E375" s="94"/>
      <c r="F375" s="77">
        <v>1</v>
      </c>
      <c r="G375" s="432">
        <v>1793877025</v>
      </c>
      <c r="H375" s="77"/>
      <c r="I375" s="77"/>
      <c r="J375" s="77"/>
      <c r="K375" s="35"/>
      <c r="L375" s="35"/>
      <c r="M375" s="35"/>
      <c r="N375" s="35"/>
      <c r="O375" s="35"/>
    </row>
    <row r="376" spans="1:15">
      <c r="A376" s="33"/>
      <c r="B376" s="9" t="s">
        <v>256</v>
      </c>
      <c r="C376" s="35" t="s">
        <v>4085</v>
      </c>
      <c r="D376" s="35"/>
      <c r="E376" s="94"/>
      <c r="F376" s="77">
        <v>1</v>
      </c>
      <c r="G376" s="432">
        <v>1193622918</v>
      </c>
      <c r="H376" s="77"/>
      <c r="I376" s="77"/>
      <c r="J376" s="77"/>
      <c r="K376" s="35"/>
      <c r="L376" s="35"/>
      <c r="M376" s="35"/>
      <c r="N376" s="35"/>
      <c r="O376" s="35"/>
    </row>
    <row r="377" spans="1:15">
      <c r="A377" s="33"/>
      <c r="B377" s="9" t="s">
        <v>256</v>
      </c>
      <c r="C377" s="35" t="s">
        <v>4086</v>
      </c>
      <c r="D377" s="35"/>
      <c r="E377" s="94"/>
      <c r="F377" s="77">
        <v>1</v>
      </c>
      <c r="G377" s="432">
        <v>1041000557</v>
      </c>
      <c r="H377" s="77"/>
      <c r="I377" s="77"/>
      <c r="J377" s="77"/>
      <c r="K377" s="35"/>
      <c r="L377" s="35"/>
      <c r="M377" s="35"/>
      <c r="N377" s="35"/>
      <c r="O377" s="35"/>
    </row>
    <row r="378" spans="1:15">
      <c r="A378" s="33"/>
      <c r="B378" s="9" t="s">
        <v>256</v>
      </c>
      <c r="C378" s="35" t="s">
        <v>4087</v>
      </c>
      <c r="D378" s="35"/>
      <c r="E378" s="94"/>
      <c r="F378" s="77">
        <v>1</v>
      </c>
      <c r="G378" s="432">
        <v>1007886980</v>
      </c>
      <c r="H378" s="77"/>
      <c r="I378" s="77"/>
      <c r="J378" s="77"/>
      <c r="K378" s="35"/>
      <c r="L378" s="35"/>
      <c r="M378" s="35"/>
      <c r="N378" s="35"/>
      <c r="O378" s="35"/>
    </row>
    <row r="379" spans="1:15">
      <c r="A379" s="43">
        <v>22</v>
      </c>
      <c r="B379" s="11" t="s">
        <v>260</v>
      </c>
      <c r="C379" s="4" t="s">
        <v>157</v>
      </c>
      <c r="D379" s="4" t="s">
        <v>157</v>
      </c>
      <c r="E379" s="4" t="s">
        <v>157</v>
      </c>
      <c r="F379" s="4" t="s">
        <v>157</v>
      </c>
      <c r="G379" s="4" t="s">
        <v>157</v>
      </c>
      <c r="H379" s="4" t="s">
        <v>157</v>
      </c>
      <c r="I379" s="4" t="s">
        <v>157</v>
      </c>
      <c r="J379" s="4" t="s">
        <v>157</v>
      </c>
      <c r="K379" s="4" t="s">
        <v>157</v>
      </c>
      <c r="L379" s="4" t="s">
        <v>157</v>
      </c>
      <c r="M379" s="4" t="s">
        <v>157</v>
      </c>
      <c r="N379" s="4" t="s">
        <v>157</v>
      </c>
      <c r="O379" s="4" t="s">
        <v>157</v>
      </c>
    </row>
  </sheetData>
  <autoFilter ref="A96:AY96" xr:uid="{00000000-0009-0000-0000-000032000000}"/>
  <mergeCells count="22">
    <mergeCell ref="A192:A210"/>
    <mergeCell ref="A7:A15"/>
    <mergeCell ref="A17:A32"/>
    <mergeCell ref="A33:A58"/>
    <mergeCell ref="A60:A71"/>
    <mergeCell ref="A72:A90"/>
    <mergeCell ref="A97:A102"/>
    <mergeCell ref="A103:A131"/>
    <mergeCell ref="A132:A143"/>
    <mergeCell ref="A144:A149"/>
    <mergeCell ref="A150:A162"/>
    <mergeCell ref="A181:A191"/>
    <mergeCell ref="A303:A310"/>
    <mergeCell ref="A313:A338"/>
    <mergeCell ref="A339:A365"/>
    <mergeCell ref="A367:A373"/>
    <mergeCell ref="A211:A220"/>
    <mergeCell ref="A221:A238"/>
    <mergeCell ref="A240:A246"/>
    <mergeCell ref="A247:A280"/>
    <mergeCell ref="A281:A286"/>
    <mergeCell ref="A287:A302"/>
  </mergeCells>
  <conditionalFormatting sqref="B17:B32 F17:F32 H17:I32 K17:O32 B33:O59 B72:B91 H72:O91 B97:B379">
    <cfRule type="containsText" dxfId="15" priority="6" operator="containsText" text="Not">
      <formula>NOT(ISERROR(SEARCH("Not",B17)))</formula>
    </cfRule>
  </conditionalFormatting>
  <conditionalFormatting sqref="B7:D13 F7:O13 B14:O16">
    <cfRule type="containsText" dxfId="14" priority="3" operator="containsText" text="Not">
      <formula>NOT(ISERROR(SEARCH("Not",B7)))</formula>
    </cfRule>
  </conditionalFormatting>
  <conditionalFormatting sqref="B60:D62 I60:O71 B63:B70">
    <cfRule type="containsText" dxfId="13" priority="4" operator="containsText" text="Not">
      <formula>NOT(ISERROR(SEARCH("Not",B60)))</formula>
    </cfRule>
  </conditionalFormatting>
  <conditionalFormatting sqref="B71:H71 D73:G73 D74:F79 D80:D89 B92:O92">
    <cfRule type="containsText" dxfId="12" priority="7" operator="containsText" text="Not">
      <formula>NOT(ISERROR(SEARCH("Not",B71)))</formula>
    </cfRule>
  </conditionalFormatting>
  <conditionalFormatting sqref="D72:F72">
    <cfRule type="containsText" dxfId="11" priority="5" operator="containsText" text="Not">
      <formula>NOT(ISERROR(SEARCH("Not",D72)))</formula>
    </cfRule>
  </conditionalFormatting>
  <conditionalFormatting sqref="E80:F91">
    <cfRule type="containsText" dxfId="10" priority="1" operator="containsText" text="Not">
      <formula>NOT(ISERROR(SEARCH("Not",E80)))</formula>
    </cfRule>
  </conditionalFormatting>
  <conditionalFormatting sqref="F60:H69 C63:D69 C70:H70">
    <cfRule type="containsText" dxfId="9" priority="2" operator="containsText" text="Not">
      <formula>NOT(ISERROR(SEARCH("Not",C60)))</formula>
    </cfRule>
  </conditionalFormatting>
  <hyperlinks>
    <hyperlink ref="B1" location="Sommaire!A1" display="Sommaire!A1" xr:uid="{00000000-0004-0000-3200-000000000000}"/>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Feuil33"/>
  <dimension ref="A1:O162"/>
  <sheetViews>
    <sheetView workbookViewId="0"/>
  </sheetViews>
  <sheetFormatPr baseColWidth="10" defaultColWidth="10" defaultRowHeight="11.5"/>
  <cols>
    <col min="1" max="1" width="2.6640625" style="38" bestFit="1" customWidth="1"/>
    <col min="2" max="2" width="42.33203125" style="40" customWidth="1"/>
    <col min="3" max="3" width="39.6640625" style="40" bestFit="1" customWidth="1"/>
    <col min="4" max="4" width="17.1640625" style="40" bestFit="1" customWidth="1"/>
    <col min="5" max="5" width="67.1640625" style="40" bestFit="1" customWidth="1"/>
    <col min="6" max="6" width="14.1640625" style="85" bestFit="1" customWidth="1"/>
    <col min="7" max="7" width="19.6640625" style="85" customWidth="1"/>
    <col min="8" max="8" width="16.1640625" style="40" bestFit="1" customWidth="1"/>
    <col min="9" max="9" width="12.1640625" style="40" bestFit="1" customWidth="1"/>
    <col min="10" max="10" width="13.33203125" style="40" bestFit="1" customWidth="1"/>
    <col min="11" max="11" width="12.33203125" style="38" bestFit="1" customWidth="1"/>
    <col min="12" max="12" width="12.6640625" style="38" bestFit="1" customWidth="1"/>
    <col min="13" max="13" width="12.33203125" style="38" bestFit="1" customWidth="1"/>
    <col min="14" max="14" width="8.6640625" style="38" bestFit="1" customWidth="1"/>
    <col min="15" max="15" width="14.1640625" style="38" bestFit="1" customWidth="1"/>
    <col min="16" max="16384" width="10" style="38"/>
  </cols>
  <sheetData>
    <row r="1" spans="1:15" ht="14.5">
      <c r="B1" s="560" t="s">
        <v>140</v>
      </c>
    </row>
    <row r="2" spans="1:15" ht="19">
      <c r="B2" s="216" t="s">
        <v>4088</v>
      </c>
    </row>
    <row r="4" spans="1:15" s="470" customFormat="1" ht="18">
      <c r="B4" s="471" t="s">
        <v>3489</v>
      </c>
      <c r="C4" s="472"/>
      <c r="D4" s="472"/>
      <c r="E4" s="472"/>
      <c r="F4" s="473"/>
      <c r="G4" s="473"/>
      <c r="H4" s="472"/>
      <c r="I4" s="472"/>
      <c r="J4" s="472"/>
    </row>
    <row r="6" spans="1:15" ht="69.5" thickBot="1">
      <c r="A6" s="15" t="s">
        <v>143</v>
      </c>
      <c r="B6" s="15" t="s">
        <v>144</v>
      </c>
      <c r="C6" s="15" t="s">
        <v>3490</v>
      </c>
      <c r="D6" s="15" t="s">
        <v>4089</v>
      </c>
      <c r="E6" s="15" t="s">
        <v>4090</v>
      </c>
      <c r="F6" s="15" t="s">
        <v>3493</v>
      </c>
      <c r="G6" s="83" t="s">
        <v>3494</v>
      </c>
      <c r="H6" s="15" t="s">
        <v>3495</v>
      </c>
      <c r="I6" s="15" t="s">
        <v>3496</v>
      </c>
      <c r="J6" s="15" t="s">
        <v>3323</v>
      </c>
      <c r="K6" s="15" t="s">
        <v>3497</v>
      </c>
      <c r="L6" s="15" t="s">
        <v>3323</v>
      </c>
      <c r="M6" s="15" t="s">
        <v>3497</v>
      </c>
      <c r="N6" s="15" t="s">
        <v>3323</v>
      </c>
      <c r="O6" s="15" t="s">
        <v>3498</v>
      </c>
    </row>
    <row r="7" spans="1:15">
      <c r="A7" s="16">
        <v>1</v>
      </c>
      <c r="B7" s="41" t="s">
        <v>153</v>
      </c>
      <c r="C7" s="21" t="s">
        <v>4091</v>
      </c>
      <c r="D7" s="84">
        <v>2543785</v>
      </c>
      <c r="E7" s="21" t="s">
        <v>4092</v>
      </c>
      <c r="F7" s="21">
        <v>1</v>
      </c>
      <c r="G7" s="22">
        <v>330986316</v>
      </c>
      <c r="H7" s="21"/>
      <c r="I7" s="21"/>
      <c r="J7" s="21"/>
      <c r="K7" s="21"/>
      <c r="L7" s="21"/>
      <c r="M7" s="21"/>
      <c r="N7" s="21"/>
      <c r="O7" s="21"/>
    </row>
    <row r="8" spans="1:15">
      <c r="A8" s="16">
        <v>1</v>
      </c>
      <c r="B8" s="41" t="s">
        <v>153</v>
      </c>
      <c r="C8" s="21" t="s">
        <v>4093</v>
      </c>
      <c r="D8" s="84">
        <v>0</v>
      </c>
      <c r="E8" s="21" t="s">
        <v>4094</v>
      </c>
      <c r="F8" s="21">
        <v>1</v>
      </c>
      <c r="G8" s="22">
        <v>393664231</v>
      </c>
      <c r="H8" s="21"/>
      <c r="I8" s="21"/>
      <c r="J8" s="21"/>
      <c r="K8" s="21"/>
      <c r="L8" s="21"/>
      <c r="M8" s="21"/>
      <c r="N8" s="21"/>
      <c r="O8" s="21"/>
    </row>
    <row r="9" spans="1:15">
      <c r="A9" s="16">
        <v>1</v>
      </c>
      <c r="B9" s="41" t="s">
        <v>153</v>
      </c>
      <c r="C9" s="21" t="s">
        <v>3634</v>
      </c>
      <c r="D9" s="84">
        <v>2041565</v>
      </c>
      <c r="E9" s="21" t="s">
        <v>4095</v>
      </c>
      <c r="F9" s="21">
        <v>0</v>
      </c>
      <c r="G9" s="22">
        <v>18286295</v>
      </c>
      <c r="H9" s="21"/>
      <c r="I9" s="21"/>
      <c r="J9" s="21"/>
      <c r="K9" s="21"/>
      <c r="L9" s="21"/>
      <c r="M9" s="21"/>
      <c r="N9" s="21"/>
      <c r="O9" s="21"/>
    </row>
    <row r="10" spans="1:15">
      <c r="A10" s="18">
        <v>2</v>
      </c>
      <c r="B10" s="20" t="s">
        <v>155</v>
      </c>
      <c r="C10" s="40" t="s">
        <v>629</v>
      </c>
      <c r="D10" s="40" t="s">
        <v>629</v>
      </c>
      <c r="E10" s="40" t="s">
        <v>629</v>
      </c>
      <c r="F10" s="40" t="s">
        <v>629</v>
      </c>
      <c r="G10" s="457" t="s">
        <v>629</v>
      </c>
      <c r="H10" s="40" t="s">
        <v>629</v>
      </c>
      <c r="I10" s="40" t="s">
        <v>629</v>
      </c>
      <c r="J10" s="40" t="s">
        <v>629</v>
      </c>
      <c r="K10" s="40" t="s">
        <v>629</v>
      </c>
      <c r="L10" s="40" t="s">
        <v>629</v>
      </c>
      <c r="M10" s="40" t="s">
        <v>629</v>
      </c>
      <c r="N10" s="40" t="s">
        <v>629</v>
      </c>
      <c r="O10" s="40" t="s">
        <v>629</v>
      </c>
    </row>
    <row r="11" spans="1:15">
      <c r="A11" s="16">
        <v>3</v>
      </c>
      <c r="B11" s="17" t="s">
        <v>159</v>
      </c>
      <c r="C11" s="23" t="s">
        <v>629</v>
      </c>
      <c r="D11" s="23" t="s">
        <v>629</v>
      </c>
      <c r="E11" s="23" t="s">
        <v>629</v>
      </c>
      <c r="F11" s="23" t="s">
        <v>629</v>
      </c>
      <c r="G11" s="458" t="s">
        <v>629</v>
      </c>
      <c r="H11" s="23" t="s">
        <v>629</v>
      </c>
      <c r="I11" s="23" t="s">
        <v>629</v>
      </c>
      <c r="J11" s="23" t="s">
        <v>629</v>
      </c>
      <c r="K11" s="23" t="s">
        <v>629</v>
      </c>
      <c r="L11" s="23" t="s">
        <v>629</v>
      </c>
      <c r="M11" s="23" t="s">
        <v>629</v>
      </c>
      <c r="N11" s="23" t="s">
        <v>629</v>
      </c>
      <c r="O11" s="23" t="s">
        <v>629</v>
      </c>
    </row>
    <row r="12" spans="1:15">
      <c r="A12" s="18">
        <v>4</v>
      </c>
      <c r="B12" s="20" t="s">
        <v>164</v>
      </c>
      <c r="C12" s="20" t="s">
        <v>629</v>
      </c>
      <c r="D12" s="20" t="s">
        <v>629</v>
      </c>
      <c r="E12" s="20" t="s">
        <v>629</v>
      </c>
      <c r="F12" s="20" t="s">
        <v>629</v>
      </c>
      <c r="G12" s="459" t="s">
        <v>629</v>
      </c>
      <c r="H12" s="20" t="s">
        <v>629</v>
      </c>
      <c r="I12" s="20" t="s">
        <v>629</v>
      </c>
      <c r="J12" s="20" t="s">
        <v>629</v>
      </c>
      <c r="K12" s="20" t="s">
        <v>629</v>
      </c>
      <c r="L12" s="20" t="s">
        <v>629</v>
      </c>
      <c r="M12" s="20" t="s">
        <v>629</v>
      </c>
      <c r="N12" s="20" t="s">
        <v>629</v>
      </c>
      <c r="O12" s="20" t="s">
        <v>629</v>
      </c>
    </row>
    <row r="13" spans="1:15">
      <c r="A13" s="16">
        <v>5</v>
      </c>
      <c r="B13" s="41" t="s">
        <v>587</v>
      </c>
      <c r="C13" s="21" t="s">
        <v>4096</v>
      </c>
      <c r="D13" s="42">
        <v>59542051180</v>
      </c>
      <c r="E13" s="21" t="s">
        <v>4095</v>
      </c>
      <c r="F13" s="42">
        <v>1</v>
      </c>
      <c r="G13" s="22">
        <v>1539343305</v>
      </c>
      <c r="H13" s="80"/>
      <c r="I13" s="80">
        <v>23</v>
      </c>
      <c r="J13" s="80"/>
      <c r="K13" s="80"/>
      <c r="L13" s="80"/>
      <c r="M13" s="80"/>
      <c r="N13" s="81"/>
      <c r="O13" s="81"/>
    </row>
    <row r="14" spans="1:15">
      <c r="A14" s="16">
        <v>5</v>
      </c>
      <c r="B14" s="41" t="s">
        <v>587</v>
      </c>
      <c r="C14" s="21" t="s">
        <v>1248</v>
      </c>
      <c r="D14" s="42">
        <v>90300075</v>
      </c>
      <c r="E14" s="21" t="s">
        <v>4097</v>
      </c>
      <c r="F14" s="42">
        <v>1</v>
      </c>
      <c r="G14" s="22">
        <v>52415470</v>
      </c>
      <c r="H14" s="80"/>
      <c r="I14" s="80">
        <v>23</v>
      </c>
      <c r="J14" s="80"/>
      <c r="K14" s="80"/>
      <c r="L14" s="80"/>
      <c r="M14" s="80"/>
      <c r="N14" s="81"/>
      <c r="O14" s="81"/>
    </row>
    <row r="15" spans="1:15">
      <c r="A15" s="16">
        <v>5</v>
      </c>
      <c r="B15" s="41" t="s">
        <v>587</v>
      </c>
      <c r="C15" s="21" t="s">
        <v>4098</v>
      </c>
      <c r="D15" s="42"/>
      <c r="E15" s="21"/>
      <c r="F15" s="42"/>
      <c r="G15" s="22"/>
      <c r="H15" s="80"/>
      <c r="I15" s="80"/>
      <c r="J15" s="80"/>
      <c r="K15" s="80"/>
      <c r="L15" s="80"/>
      <c r="M15" s="460"/>
      <c r="N15" s="81"/>
      <c r="O15" s="81"/>
    </row>
    <row r="16" spans="1:15">
      <c r="A16" s="16">
        <v>5</v>
      </c>
      <c r="B16" s="41" t="s">
        <v>587</v>
      </c>
      <c r="C16" s="21" t="s">
        <v>4099</v>
      </c>
      <c r="D16" s="42">
        <v>30300059</v>
      </c>
      <c r="E16" s="21" t="s">
        <v>4092</v>
      </c>
      <c r="F16" s="42">
        <v>1</v>
      </c>
      <c r="G16" s="22">
        <v>15814087</v>
      </c>
      <c r="H16" s="80"/>
      <c r="I16" s="80">
        <v>23</v>
      </c>
      <c r="J16" s="80"/>
      <c r="K16" s="80"/>
      <c r="L16" s="80"/>
      <c r="M16" s="80"/>
      <c r="N16" s="82"/>
      <c r="O16" s="86"/>
    </row>
    <row r="17" spans="1:15">
      <c r="A17" s="16">
        <v>5</v>
      </c>
      <c r="B17" s="41" t="s">
        <v>587</v>
      </c>
      <c r="C17" s="21" t="s">
        <v>4100</v>
      </c>
      <c r="D17" s="42">
        <v>2041565</v>
      </c>
      <c r="E17" s="21" t="s">
        <v>3942</v>
      </c>
      <c r="F17" s="42">
        <v>1</v>
      </c>
      <c r="G17" s="22">
        <v>50624879</v>
      </c>
      <c r="H17" s="80"/>
      <c r="I17" s="80">
        <v>23</v>
      </c>
      <c r="J17" s="80"/>
      <c r="K17" s="80"/>
      <c r="L17" s="80"/>
      <c r="M17" s="80"/>
      <c r="N17" s="82"/>
      <c r="O17" s="86"/>
    </row>
    <row r="18" spans="1:15">
      <c r="A18" s="18">
        <v>6</v>
      </c>
      <c r="B18" s="20" t="s">
        <v>173</v>
      </c>
      <c r="C18" s="19" t="s">
        <v>4101</v>
      </c>
      <c r="D18" s="39"/>
      <c r="E18" s="25" t="s">
        <v>4102</v>
      </c>
      <c r="F18" s="39"/>
      <c r="G18" s="79">
        <v>6371434532</v>
      </c>
      <c r="H18" s="459"/>
      <c r="I18" s="459"/>
      <c r="J18" s="459"/>
      <c r="K18" s="459"/>
      <c r="L18" s="459"/>
      <c r="M18" s="459"/>
      <c r="N18" s="459"/>
      <c r="O18" s="20"/>
    </row>
    <row r="19" spans="1:15" ht="12" customHeight="1">
      <c r="A19" s="18">
        <v>6</v>
      </c>
      <c r="B19" s="20" t="s">
        <v>173</v>
      </c>
      <c r="C19" s="19" t="s">
        <v>4103</v>
      </c>
      <c r="D19" s="39"/>
      <c r="E19" s="25" t="s">
        <v>4104</v>
      </c>
      <c r="F19" s="39"/>
      <c r="G19" s="79"/>
      <c r="H19" s="459"/>
      <c r="I19" s="459"/>
      <c r="J19" s="459"/>
      <c r="K19" s="459"/>
      <c r="L19" s="459"/>
      <c r="M19" s="459"/>
      <c r="N19" s="459"/>
      <c r="O19" s="20"/>
    </row>
    <row r="20" spans="1:15" ht="15" customHeight="1">
      <c r="A20" s="18">
        <v>6</v>
      </c>
      <c r="B20" s="20" t="s">
        <v>173</v>
      </c>
      <c r="C20" s="19" t="s">
        <v>4105</v>
      </c>
      <c r="D20" s="24"/>
      <c r="E20" s="25" t="s">
        <v>4106</v>
      </c>
      <c r="F20" s="39"/>
      <c r="G20" s="79">
        <v>1976084049</v>
      </c>
      <c r="H20" s="459"/>
      <c r="I20" s="459"/>
      <c r="J20" s="459"/>
      <c r="K20" s="459"/>
      <c r="L20" s="459"/>
      <c r="M20" s="459"/>
      <c r="N20" s="459"/>
      <c r="O20" s="20"/>
    </row>
    <row r="21" spans="1:15">
      <c r="A21" s="18">
        <v>6</v>
      </c>
      <c r="B21" s="20" t="s">
        <v>173</v>
      </c>
      <c r="C21" s="19" t="s">
        <v>4107</v>
      </c>
      <c r="D21" s="39"/>
      <c r="E21" s="25" t="s">
        <v>4108</v>
      </c>
      <c r="F21" s="39"/>
      <c r="G21" s="79">
        <v>1874260211</v>
      </c>
      <c r="H21" s="459"/>
      <c r="I21" s="459"/>
      <c r="J21" s="459"/>
      <c r="K21" s="459"/>
      <c r="L21" s="459"/>
      <c r="M21" s="459"/>
      <c r="N21" s="459"/>
      <c r="O21" s="20"/>
    </row>
    <row r="22" spans="1:15">
      <c r="A22" s="18"/>
      <c r="B22" s="20" t="s">
        <v>173</v>
      </c>
      <c r="C22" s="19" t="s">
        <v>4109</v>
      </c>
      <c r="D22" s="39"/>
      <c r="E22" s="25" t="s">
        <v>4110</v>
      </c>
      <c r="F22" s="39"/>
      <c r="G22" s="79">
        <v>1444824416</v>
      </c>
      <c r="H22" s="459"/>
      <c r="I22" s="459"/>
      <c r="J22" s="459"/>
      <c r="K22" s="459"/>
      <c r="L22" s="459"/>
      <c r="M22" s="459"/>
      <c r="N22" s="459"/>
      <c r="O22" s="20"/>
    </row>
    <row r="23" spans="1:15">
      <c r="A23" s="18"/>
      <c r="B23" s="20" t="s">
        <v>173</v>
      </c>
      <c r="C23" s="19" t="s">
        <v>4111</v>
      </c>
      <c r="D23" s="39"/>
      <c r="E23" s="25" t="s">
        <v>4112</v>
      </c>
      <c r="F23" s="39"/>
      <c r="G23" s="79">
        <v>1227535959</v>
      </c>
      <c r="H23" s="459"/>
      <c r="I23" s="459"/>
      <c r="J23" s="459"/>
      <c r="K23" s="459"/>
      <c r="L23" s="459"/>
      <c r="M23" s="459"/>
      <c r="N23" s="459"/>
      <c r="O23" s="20"/>
    </row>
    <row r="24" spans="1:15">
      <c r="A24" s="18">
        <v>6</v>
      </c>
      <c r="B24" s="20" t="s">
        <v>173</v>
      </c>
      <c r="C24" s="19" t="s">
        <v>4113</v>
      </c>
      <c r="D24" s="39"/>
      <c r="E24" s="25" t="s">
        <v>4114</v>
      </c>
      <c r="F24" s="39"/>
      <c r="G24" s="79">
        <v>681236814</v>
      </c>
      <c r="H24" s="459"/>
      <c r="I24" s="459"/>
      <c r="J24" s="459"/>
      <c r="K24" s="459"/>
      <c r="L24" s="459"/>
      <c r="M24" s="459"/>
      <c r="N24" s="459"/>
      <c r="O24" s="20"/>
    </row>
    <row r="25" spans="1:15">
      <c r="A25" s="18"/>
      <c r="B25" s="20" t="s">
        <v>173</v>
      </c>
      <c r="C25" s="19" t="s">
        <v>4115</v>
      </c>
      <c r="D25" s="39"/>
      <c r="E25" s="25" t="s">
        <v>4110</v>
      </c>
      <c r="F25" s="39"/>
      <c r="G25" s="79">
        <v>644101182</v>
      </c>
      <c r="H25" s="459"/>
      <c r="I25" s="459"/>
      <c r="J25" s="459"/>
      <c r="K25" s="459"/>
      <c r="L25" s="459"/>
      <c r="M25" s="459"/>
      <c r="N25" s="459"/>
      <c r="O25" s="20"/>
    </row>
    <row r="26" spans="1:15">
      <c r="A26" s="18"/>
      <c r="B26" s="20" t="s">
        <v>173</v>
      </c>
      <c r="C26" s="19" t="s">
        <v>4116</v>
      </c>
      <c r="D26" s="39"/>
      <c r="E26" s="25" t="s">
        <v>4117</v>
      </c>
      <c r="F26" s="39"/>
      <c r="G26" s="79">
        <v>569863936</v>
      </c>
      <c r="H26" s="459"/>
      <c r="I26" s="459"/>
      <c r="J26" s="459"/>
      <c r="K26" s="459"/>
      <c r="L26" s="459"/>
      <c r="M26" s="459"/>
      <c r="N26" s="459"/>
      <c r="O26" s="20"/>
    </row>
    <row r="27" spans="1:15">
      <c r="A27" s="18"/>
      <c r="B27" s="20" t="s">
        <v>173</v>
      </c>
      <c r="C27" s="19" t="s">
        <v>4118</v>
      </c>
      <c r="D27" s="39"/>
      <c r="E27" s="25" t="s">
        <v>4110</v>
      </c>
      <c r="F27" s="39"/>
      <c r="G27" s="79">
        <v>390691532</v>
      </c>
      <c r="H27" s="459"/>
      <c r="I27" s="459"/>
      <c r="J27" s="459"/>
      <c r="K27" s="459"/>
      <c r="L27" s="459"/>
      <c r="M27" s="459"/>
      <c r="N27" s="459"/>
      <c r="O27" s="20"/>
    </row>
    <row r="28" spans="1:15">
      <c r="A28" s="18">
        <v>6</v>
      </c>
      <c r="B28" s="20" t="s">
        <v>173</v>
      </c>
      <c r="C28" s="19" t="s">
        <v>4119</v>
      </c>
      <c r="D28" s="39"/>
      <c r="E28" s="25" t="s">
        <v>4110</v>
      </c>
      <c r="F28" s="39"/>
      <c r="G28" s="79">
        <v>231173500</v>
      </c>
      <c r="H28" s="459"/>
      <c r="I28" s="459"/>
      <c r="J28" s="459"/>
      <c r="K28" s="459"/>
      <c r="L28" s="459"/>
      <c r="M28" s="459"/>
      <c r="N28" s="459"/>
      <c r="O28" s="20"/>
    </row>
    <row r="29" spans="1:15">
      <c r="A29" s="16">
        <v>7</v>
      </c>
      <c r="B29" s="17" t="s">
        <v>591</v>
      </c>
      <c r="C29" s="21" t="s">
        <v>176</v>
      </c>
      <c r="D29" s="21" t="s">
        <v>176</v>
      </c>
      <c r="E29" s="21" t="s">
        <v>4120</v>
      </c>
      <c r="F29" s="42">
        <v>1</v>
      </c>
      <c r="G29" s="80">
        <v>344471344265.146</v>
      </c>
      <c r="H29" s="21"/>
      <c r="I29" s="21"/>
      <c r="J29" s="21"/>
      <c r="K29" s="21"/>
      <c r="L29" s="21"/>
      <c r="M29" s="21"/>
      <c r="N29" s="21"/>
      <c r="O29" s="21"/>
    </row>
    <row r="31" spans="1:15" s="470" customFormat="1" ht="18">
      <c r="B31" s="471" t="s">
        <v>3623</v>
      </c>
      <c r="C31" s="472"/>
      <c r="D31" s="472"/>
      <c r="E31" s="472"/>
      <c r="F31" s="473"/>
      <c r="G31" s="474"/>
      <c r="H31" s="472"/>
      <c r="I31" s="472"/>
      <c r="J31" s="472"/>
    </row>
    <row r="33" spans="1:15" ht="72.5" thickBot="1">
      <c r="A33" s="7" t="s">
        <v>143</v>
      </c>
      <c r="B33" s="7" t="s">
        <v>144</v>
      </c>
      <c r="C33" s="7" t="s">
        <v>3490</v>
      </c>
      <c r="D33" s="14" t="s">
        <v>4089</v>
      </c>
      <c r="E33" s="14" t="s">
        <v>4090</v>
      </c>
      <c r="F33" s="14" t="s">
        <v>3493</v>
      </c>
      <c r="G33" s="14" t="s">
        <v>3494</v>
      </c>
      <c r="H33" s="14" t="s">
        <v>3495</v>
      </c>
      <c r="I33" s="14" t="s">
        <v>3496</v>
      </c>
      <c r="J33" s="14" t="s">
        <v>3323</v>
      </c>
      <c r="K33" s="14" t="s">
        <v>3497</v>
      </c>
      <c r="L33" s="14" t="s">
        <v>3323</v>
      </c>
      <c r="M33" s="14" t="s">
        <v>3497</v>
      </c>
      <c r="N33" s="14" t="s">
        <v>3323</v>
      </c>
      <c r="O33" s="14" t="s">
        <v>3498</v>
      </c>
    </row>
    <row r="34" spans="1:15" ht="12">
      <c r="A34" s="8">
        <v>1</v>
      </c>
      <c r="B34" s="9" t="s">
        <v>183</v>
      </c>
      <c r="C34" s="9" t="s">
        <v>4121</v>
      </c>
      <c r="D34" s="104">
        <v>27476</v>
      </c>
      <c r="E34" s="29" t="s">
        <v>4122</v>
      </c>
      <c r="F34" s="29">
        <v>1</v>
      </c>
      <c r="G34" s="87">
        <v>2527500</v>
      </c>
      <c r="H34" s="29" t="s">
        <v>176</v>
      </c>
      <c r="I34" s="29" t="s">
        <v>176</v>
      </c>
      <c r="J34" s="29" t="s">
        <v>176</v>
      </c>
      <c r="K34" s="29" t="s">
        <v>176</v>
      </c>
      <c r="L34" s="29" t="s">
        <v>176</v>
      </c>
      <c r="M34" s="29" t="s">
        <v>176</v>
      </c>
      <c r="N34" s="29" t="s">
        <v>176</v>
      </c>
      <c r="O34" s="29" t="s">
        <v>176</v>
      </c>
    </row>
    <row r="35" spans="1:15" ht="12">
      <c r="A35" s="10">
        <v>2</v>
      </c>
      <c r="B35" s="11" t="s">
        <v>187</v>
      </c>
      <c r="C35" s="11" t="s">
        <v>4123</v>
      </c>
      <c r="D35" s="2"/>
      <c r="E35" s="2" t="s">
        <v>4124</v>
      </c>
      <c r="F35" s="2">
        <v>1</v>
      </c>
      <c r="G35" s="90">
        <v>8822347393</v>
      </c>
      <c r="H35" s="2"/>
      <c r="I35" s="2"/>
      <c r="J35" s="2"/>
      <c r="K35" s="2"/>
      <c r="L35" s="2"/>
      <c r="M35" s="2"/>
      <c r="N35" s="2"/>
      <c r="O35" s="2"/>
    </row>
    <row r="36" spans="1:15" ht="12">
      <c r="A36" s="10">
        <v>2</v>
      </c>
      <c r="B36" s="11" t="s">
        <v>187</v>
      </c>
      <c r="C36" s="11" t="s">
        <v>4125</v>
      </c>
      <c r="D36" s="2"/>
      <c r="E36" s="2" t="s">
        <v>4126</v>
      </c>
      <c r="F36" s="2">
        <v>1</v>
      </c>
      <c r="G36" s="90">
        <v>5097750027</v>
      </c>
      <c r="H36" s="2"/>
      <c r="I36" s="2"/>
      <c r="J36" s="2"/>
      <c r="K36" s="2"/>
      <c r="L36" s="2"/>
      <c r="M36" s="2"/>
      <c r="N36" s="2"/>
      <c r="O36" s="2"/>
    </row>
    <row r="37" spans="1:15" ht="12">
      <c r="A37" s="10">
        <v>2</v>
      </c>
      <c r="B37" s="11" t="s">
        <v>187</v>
      </c>
      <c r="C37" s="11" t="s">
        <v>4127</v>
      </c>
      <c r="D37" s="2"/>
      <c r="E37" s="2" t="s">
        <v>4128</v>
      </c>
      <c r="F37" s="2">
        <v>1</v>
      </c>
      <c r="G37" s="90">
        <v>4808403037</v>
      </c>
      <c r="H37" s="2"/>
      <c r="I37" s="2"/>
      <c r="J37" s="2"/>
      <c r="K37" s="2"/>
      <c r="L37" s="2"/>
      <c r="M37" s="2"/>
      <c r="N37" s="2"/>
      <c r="O37" s="2"/>
    </row>
    <row r="38" spans="1:15" ht="12">
      <c r="A38" s="10">
        <v>2</v>
      </c>
      <c r="B38" s="11" t="s">
        <v>187</v>
      </c>
      <c r="C38" s="11" t="s">
        <v>4129</v>
      </c>
      <c r="D38" s="2"/>
      <c r="E38" s="2" t="s">
        <v>4130</v>
      </c>
      <c r="F38" s="2">
        <v>1</v>
      </c>
      <c r="G38" s="90">
        <v>9044312994</v>
      </c>
      <c r="H38" s="2"/>
      <c r="I38" s="2"/>
      <c r="J38" s="2"/>
      <c r="K38" s="2"/>
      <c r="L38" s="2"/>
      <c r="M38" s="2"/>
      <c r="N38" s="2"/>
      <c r="O38" s="2"/>
    </row>
    <row r="39" spans="1:15" ht="12">
      <c r="A39" s="10">
        <v>2</v>
      </c>
      <c r="B39" s="11" t="s">
        <v>187</v>
      </c>
      <c r="C39" s="11" t="s">
        <v>4131</v>
      </c>
      <c r="D39" s="2"/>
      <c r="E39" s="2" t="s">
        <v>4132</v>
      </c>
      <c r="F39" s="2">
        <v>1</v>
      </c>
      <c r="G39" s="90">
        <v>4727583984</v>
      </c>
      <c r="H39" s="2"/>
      <c r="I39" s="2"/>
      <c r="J39" s="2"/>
      <c r="K39" s="2"/>
      <c r="L39" s="2"/>
      <c r="M39" s="2"/>
      <c r="N39" s="2"/>
      <c r="O39" s="2"/>
    </row>
    <row r="40" spans="1:15" ht="12">
      <c r="A40" s="10">
        <v>2</v>
      </c>
      <c r="B40" s="11" t="s">
        <v>187</v>
      </c>
      <c r="C40" s="11" t="s">
        <v>4133</v>
      </c>
      <c r="D40" s="2"/>
      <c r="E40" s="2" t="s">
        <v>4134</v>
      </c>
      <c r="F40" s="2">
        <v>1</v>
      </c>
      <c r="G40" s="90">
        <v>22616033231</v>
      </c>
      <c r="H40" s="2"/>
      <c r="I40" s="2"/>
      <c r="J40" s="2"/>
      <c r="K40" s="2"/>
      <c r="L40" s="2"/>
      <c r="M40" s="2"/>
      <c r="N40" s="2"/>
      <c r="O40" s="2"/>
    </row>
    <row r="41" spans="1:15" ht="12">
      <c r="A41" s="10">
        <v>2</v>
      </c>
      <c r="B41" s="11" t="s">
        <v>187</v>
      </c>
      <c r="C41" s="11"/>
      <c r="D41" s="2"/>
      <c r="E41" s="2" t="s">
        <v>4135</v>
      </c>
      <c r="F41" s="2"/>
      <c r="G41" s="90"/>
      <c r="H41" s="2"/>
      <c r="I41" s="2"/>
      <c r="J41" s="2"/>
      <c r="K41" s="2"/>
      <c r="L41" s="2"/>
      <c r="M41" s="2"/>
      <c r="N41" s="2"/>
      <c r="O41" s="2"/>
    </row>
    <row r="42" spans="1:15" ht="12">
      <c r="A42" s="10">
        <v>2</v>
      </c>
      <c r="B42" s="11" t="s">
        <v>187</v>
      </c>
      <c r="C42" s="11" t="s">
        <v>4136</v>
      </c>
      <c r="D42" s="2"/>
      <c r="E42" s="2" t="s">
        <v>4137</v>
      </c>
      <c r="F42" s="2">
        <v>1</v>
      </c>
      <c r="G42" s="90">
        <v>3722206953</v>
      </c>
      <c r="H42" s="2"/>
      <c r="I42" s="2"/>
      <c r="J42" s="2"/>
      <c r="K42" s="2"/>
      <c r="L42" s="2"/>
      <c r="M42" s="2"/>
      <c r="N42" s="2"/>
      <c r="O42" s="2"/>
    </row>
    <row r="43" spans="1:15" ht="12">
      <c r="A43" s="10">
        <v>2</v>
      </c>
      <c r="B43" s="11" t="s">
        <v>187</v>
      </c>
      <c r="C43" s="11" t="s">
        <v>4138</v>
      </c>
      <c r="D43" s="2"/>
      <c r="E43" s="2" t="s">
        <v>4139</v>
      </c>
      <c r="F43" s="2">
        <v>1</v>
      </c>
      <c r="G43" s="90">
        <v>2180481842</v>
      </c>
      <c r="H43" s="2"/>
      <c r="I43" s="2"/>
      <c r="J43" s="2"/>
      <c r="K43" s="2"/>
      <c r="L43" s="2"/>
      <c r="M43" s="2"/>
      <c r="N43" s="2"/>
      <c r="O43" s="2"/>
    </row>
    <row r="44" spans="1:15" ht="12">
      <c r="A44" s="10">
        <v>2</v>
      </c>
      <c r="B44" s="11" t="s">
        <v>187</v>
      </c>
      <c r="C44" s="11" t="s">
        <v>4140</v>
      </c>
      <c r="D44" s="2"/>
      <c r="E44" s="2" t="s">
        <v>4141</v>
      </c>
      <c r="F44" s="2">
        <v>1</v>
      </c>
      <c r="G44" s="90">
        <v>1354394352</v>
      </c>
      <c r="H44" s="2"/>
      <c r="I44" s="2"/>
      <c r="J44" s="2"/>
      <c r="K44" s="2"/>
      <c r="L44" s="2"/>
      <c r="M44" s="2"/>
      <c r="N44" s="2"/>
      <c r="O44" s="2"/>
    </row>
    <row r="45" spans="1:15" ht="12">
      <c r="A45" s="10">
        <v>2</v>
      </c>
      <c r="B45" s="11" t="s">
        <v>187</v>
      </c>
      <c r="C45" s="11" t="s">
        <v>4142</v>
      </c>
      <c r="D45" s="2"/>
      <c r="E45" s="2" t="s">
        <v>4143</v>
      </c>
      <c r="F45" s="2">
        <v>1</v>
      </c>
      <c r="G45" s="90">
        <v>4432409907</v>
      </c>
      <c r="H45" s="2"/>
      <c r="I45" s="2"/>
      <c r="J45" s="2"/>
      <c r="K45" s="2"/>
      <c r="L45" s="2"/>
      <c r="M45" s="2"/>
      <c r="N45" s="2"/>
      <c r="O45" s="2"/>
    </row>
    <row r="46" spans="1:15" ht="12">
      <c r="A46" s="10">
        <v>2</v>
      </c>
      <c r="B46" s="11" t="s">
        <v>187</v>
      </c>
      <c r="C46" s="11" t="s">
        <v>4144</v>
      </c>
      <c r="D46" s="2"/>
      <c r="E46" s="2"/>
      <c r="F46" s="2">
        <v>197</v>
      </c>
      <c r="G46" s="90">
        <v>14641959683</v>
      </c>
      <c r="H46" s="2"/>
      <c r="I46" s="2"/>
      <c r="J46" s="2"/>
      <c r="K46" s="2"/>
      <c r="L46" s="2"/>
      <c r="M46" s="2"/>
      <c r="N46" s="2"/>
      <c r="O46" s="2"/>
    </row>
    <row r="47" spans="1:15" ht="12">
      <c r="A47" s="8">
        <v>3</v>
      </c>
      <c r="B47" s="9" t="s">
        <v>191</v>
      </c>
      <c r="C47" s="9" t="s">
        <v>4145</v>
      </c>
      <c r="D47" s="36">
        <v>27476</v>
      </c>
      <c r="E47" s="36" t="s">
        <v>4146</v>
      </c>
      <c r="F47" s="36">
        <v>1</v>
      </c>
      <c r="G47" s="87">
        <v>47051092665</v>
      </c>
      <c r="H47" s="36"/>
      <c r="I47" s="36">
        <v>10</v>
      </c>
      <c r="J47" s="461"/>
      <c r="K47" s="461"/>
      <c r="L47" s="105"/>
      <c r="M47" s="105"/>
      <c r="N47" s="105"/>
      <c r="O47" s="105"/>
    </row>
    <row r="48" spans="1:15" ht="12">
      <c r="A48" s="8"/>
      <c r="B48" s="9" t="s">
        <v>191</v>
      </c>
      <c r="C48" s="9" t="s">
        <v>4147</v>
      </c>
      <c r="D48" s="36">
        <v>13748</v>
      </c>
      <c r="E48" s="36" t="s">
        <v>4092</v>
      </c>
      <c r="F48" s="36">
        <v>1</v>
      </c>
      <c r="G48" s="87">
        <v>11485521668</v>
      </c>
      <c r="H48" s="36"/>
      <c r="I48" s="36">
        <v>21</v>
      </c>
      <c r="J48" s="461"/>
      <c r="K48" s="461"/>
      <c r="L48" s="105"/>
      <c r="M48" s="105"/>
      <c r="N48" s="105"/>
      <c r="O48" s="105"/>
    </row>
    <row r="49" spans="1:15" ht="12">
      <c r="A49" s="8"/>
      <c r="B49" s="9" t="s">
        <v>191</v>
      </c>
      <c r="C49" s="9" t="s">
        <v>4148</v>
      </c>
      <c r="D49" s="36">
        <v>4354750</v>
      </c>
      <c r="E49" s="36" t="s">
        <v>4149</v>
      </c>
      <c r="F49" s="36">
        <v>1</v>
      </c>
      <c r="G49" s="87">
        <v>10107481157</v>
      </c>
      <c r="H49" s="36"/>
      <c r="I49" s="36">
        <v>8</v>
      </c>
      <c r="J49" s="461"/>
      <c r="K49" s="461"/>
      <c r="L49" s="105"/>
      <c r="M49" s="105"/>
      <c r="N49" s="105"/>
      <c r="O49" s="105"/>
    </row>
    <row r="50" spans="1:15" ht="12">
      <c r="A50" s="8"/>
      <c r="B50" s="9" t="s">
        <v>191</v>
      </c>
      <c r="C50" s="9" t="s">
        <v>4150</v>
      </c>
      <c r="D50" s="36">
        <v>2543842</v>
      </c>
      <c r="E50" s="36" t="s">
        <v>4151</v>
      </c>
      <c r="F50" s="36">
        <v>1</v>
      </c>
      <c r="G50" s="87">
        <v>10384565649</v>
      </c>
      <c r="H50" s="36"/>
      <c r="I50" s="36">
        <v>23</v>
      </c>
      <c r="J50" s="461"/>
      <c r="K50" s="461"/>
      <c r="L50" s="105"/>
      <c r="M50" s="105"/>
      <c r="N50" s="105"/>
      <c r="O50" s="105"/>
    </row>
    <row r="51" spans="1:15" ht="12">
      <c r="A51" s="8"/>
      <c r="B51" s="9" t="s">
        <v>191</v>
      </c>
      <c r="C51" s="9" t="s">
        <v>4152</v>
      </c>
      <c r="D51" s="462">
        <v>0</v>
      </c>
      <c r="E51" s="36" t="s">
        <v>4149</v>
      </c>
      <c r="F51" s="36">
        <v>1</v>
      </c>
      <c r="G51" s="87">
        <v>7601532990</v>
      </c>
      <c r="H51" s="36"/>
      <c r="I51" s="36"/>
      <c r="J51" s="461"/>
      <c r="K51" s="463"/>
      <c r="L51" s="105"/>
      <c r="M51" s="105"/>
      <c r="N51" s="105"/>
      <c r="O51" s="105"/>
    </row>
    <row r="52" spans="1:15" ht="12">
      <c r="A52" s="8"/>
      <c r="B52" s="9" t="s">
        <v>191</v>
      </c>
      <c r="C52" s="9" t="s">
        <v>4153</v>
      </c>
      <c r="D52" s="464">
        <v>0</v>
      </c>
      <c r="E52" s="36" t="s">
        <v>4149</v>
      </c>
      <c r="F52" s="36">
        <v>1</v>
      </c>
      <c r="G52" s="87">
        <v>6985639519</v>
      </c>
      <c r="H52" s="36"/>
      <c r="I52" s="36">
        <v>6</v>
      </c>
      <c r="J52" s="461"/>
      <c r="K52" s="465"/>
      <c r="L52" s="105"/>
      <c r="M52" s="105"/>
      <c r="N52" s="105"/>
      <c r="O52" s="105"/>
    </row>
    <row r="53" spans="1:15" ht="12">
      <c r="A53" s="8"/>
      <c r="B53" s="9" t="s">
        <v>191</v>
      </c>
      <c r="C53" s="9" t="s">
        <v>4154</v>
      </c>
      <c r="D53" s="464">
        <v>0</v>
      </c>
      <c r="E53" s="36" t="s">
        <v>4155</v>
      </c>
      <c r="F53" s="36">
        <v>1</v>
      </c>
      <c r="G53" s="87">
        <v>14005236132</v>
      </c>
      <c r="H53" s="36"/>
      <c r="I53" s="36">
        <v>6</v>
      </c>
      <c r="J53" s="461"/>
      <c r="K53" s="465"/>
      <c r="L53" s="105"/>
      <c r="M53" s="105"/>
      <c r="N53" s="105"/>
      <c r="O53" s="105"/>
    </row>
    <row r="54" spans="1:15" ht="12">
      <c r="A54" s="8"/>
      <c r="B54" s="9" t="s">
        <v>191</v>
      </c>
      <c r="C54" s="9" t="s">
        <v>4156</v>
      </c>
      <c r="D54" s="464">
        <v>0</v>
      </c>
      <c r="E54" s="36" t="s">
        <v>4092</v>
      </c>
      <c r="F54" s="36">
        <v>1</v>
      </c>
      <c r="G54" s="87">
        <v>5541825018</v>
      </c>
      <c r="H54" s="36"/>
      <c r="I54" s="36">
        <v>6</v>
      </c>
      <c r="J54" s="461"/>
      <c r="K54" s="465"/>
      <c r="L54" s="105"/>
      <c r="M54" s="105"/>
      <c r="N54" s="105"/>
      <c r="O54" s="105"/>
    </row>
    <row r="55" spans="1:15" ht="12">
      <c r="A55" s="8"/>
      <c r="B55" s="9" t="s">
        <v>191</v>
      </c>
      <c r="C55" s="9" t="s">
        <v>4157</v>
      </c>
      <c r="D55" s="464">
        <v>0</v>
      </c>
      <c r="E55" s="36" t="s">
        <v>4158</v>
      </c>
      <c r="F55" s="36">
        <v>1</v>
      </c>
      <c r="G55" s="87">
        <v>2867260576</v>
      </c>
      <c r="H55" s="36"/>
      <c r="I55" s="36">
        <v>23</v>
      </c>
      <c r="J55" s="461"/>
      <c r="K55" s="465"/>
      <c r="L55" s="105"/>
      <c r="M55" s="105"/>
      <c r="N55" s="105"/>
      <c r="O55" s="105"/>
    </row>
    <row r="56" spans="1:15" ht="12">
      <c r="A56" s="8"/>
      <c r="B56" s="9" t="s">
        <v>191</v>
      </c>
      <c r="C56" s="9" t="s">
        <v>3301</v>
      </c>
      <c r="D56" s="36"/>
      <c r="E56" s="36"/>
      <c r="F56" s="36">
        <v>265</v>
      </c>
      <c r="G56" s="87">
        <v>53480935050</v>
      </c>
      <c r="H56" s="36"/>
      <c r="I56" s="36">
        <v>23</v>
      </c>
      <c r="J56" s="105"/>
      <c r="K56" s="105"/>
      <c r="L56" s="105"/>
      <c r="M56" s="105"/>
      <c r="N56" s="105"/>
      <c r="O56" s="105"/>
    </row>
    <row r="57" spans="1:15" ht="12">
      <c r="A57" s="10">
        <v>4</v>
      </c>
      <c r="B57" s="11" t="s">
        <v>195</v>
      </c>
      <c r="C57" s="11" t="s">
        <v>4159</v>
      </c>
      <c r="D57" s="2"/>
      <c r="E57" s="107"/>
      <c r="F57" s="2"/>
      <c r="G57" s="90">
        <v>40601119184</v>
      </c>
      <c r="H57" s="2"/>
      <c r="I57" s="2"/>
      <c r="J57" s="2"/>
      <c r="K57" s="2"/>
      <c r="L57" s="2"/>
      <c r="M57" s="2"/>
      <c r="N57" s="2"/>
      <c r="O57" s="2"/>
    </row>
    <row r="58" spans="1:15" ht="12">
      <c r="A58" s="10">
        <v>4</v>
      </c>
      <c r="B58" s="11" t="s">
        <v>195</v>
      </c>
      <c r="C58" s="11" t="s">
        <v>4160</v>
      </c>
      <c r="D58" s="2"/>
      <c r="E58" s="107"/>
      <c r="F58" s="2"/>
      <c r="G58" s="90">
        <v>7474758181</v>
      </c>
      <c r="H58" s="2"/>
      <c r="I58" s="2"/>
      <c r="J58" s="2"/>
      <c r="K58" s="2"/>
      <c r="L58" s="2"/>
      <c r="M58" s="2"/>
      <c r="N58" s="2"/>
      <c r="O58" s="2"/>
    </row>
    <row r="59" spans="1:15" ht="12">
      <c r="A59" s="10">
        <v>4</v>
      </c>
      <c r="B59" s="11" t="s">
        <v>195</v>
      </c>
      <c r="C59" s="11" t="s">
        <v>4161</v>
      </c>
      <c r="D59" s="2"/>
      <c r="E59" s="107"/>
      <c r="F59" s="2"/>
      <c r="G59" s="90">
        <v>7355606394</v>
      </c>
      <c r="H59" s="2"/>
      <c r="I59" s="2"/>
      <c r="J59" s="2"/>
      <c r="K59" s="2"/>
      <c r="L59" s="2"/>
      <c r="M59" s="2"/>
      <c r="N59" s="2"/>
      <c r="O59" s="2"/>
    </row>
    <row r="60" spans="1:15" ht="12">
      <c r="A60" s="10">
        <v>4</v>
      </c>
      <c r="B60" s="11" t="s">
        <v>195</v>
      </c>
      <c r="C60" s="11" t="s">
        <v>3515</v>
      </c>
      <c r="D60" s="2"/>
      <c r="E60" s="2"/>
      <c r="F60" s="2"/>
      <c r="G60" s="90">
        <v>39215396091</v>
      </c>
      <c r="H60" s="108"/>
      <c r="I60" s="108"/>
      <c r="J60" s="108"/>
      <c r="K60" s="108"/>
      <c r="L60" s="108"/>
      <c r="M60" s="108"/>
      <c r="N60" s="2"/>
      <c r="O60" s="2"/>
    </row>
    <row r="61" spans="1:15" ht="12">
      <c r="A61" s="8">
        <v>5</v>
      </c>
      <c r="B61" s="9" t="s">
        <v>199</v>
      </c>
      <c r="C61" s="9" t="s">
        <v>3634</v>
      </c>
      <c r="D61" s="36">
        <v>2041565</v>
      </c>
      <c r="E61" s="36" t="s">
        <v>4095</v>
      </c>
      <c r="F61" s="36">
        <v>1</v>
      </c>
      <c r="G61" s="87">
        <v>15693079011</v>
      </c>
      <c r="H61" s="36"/>
      <c r="I61" s="36"/>
      <c r="J61" s="36"/>
      <c r="K61" s="36"/>
      <c r="L61" s="36"/>
      <c r="M61" s="36"/>
      <c r="N61" s="36"/>
      <c r="O61" s="36"/>
    </row>
    <row r="62" spans="1:15" ht="12">
      <c r="A62" s="8">
        <v>5</v>
      </c>
      <c r="B62" s="9" t="s">
        <v>199</v>
      </c>
      <c r="C62" s="9" t="s">
        <v>3862</v>
      </c>
      <c r="D62" s="36">
        <v>6092275</v>
      </c>
      <c r="E62" s="36" t="s">
        <v>4162</v>
      </c>
      <c r="F62" s="36">
        <v>1</v>
      </c>
      <c r="G62" s="87">
        <v>3584144939</v>
      </c>
      <c r="H62" s="36"/>
      <c r="I62" s="36"/>
      <c r="J62" s="36"/>
      <c r="K62" s="36"/>
      <c r="L62" s="36"/>
      <c r="M62" s="36"/>
      <c r="N62" s="36"/>
      <c r="O62" s="36"/>
    </row>
    <row r="63" spans="1:15" ht="12">
      <c r="A63" s="8">
        <v>5</v>
      </c>
      <c r="B63" s="9" t="s">
        <v>199</v>
      </c>
      <c r="C63" s="9" t="s">
        <v>4163</v>
      </c>
      <c r="D63" s="36">
        <v>9999999</v>
      </c>
      <c r="E63" s="36" t="s">
        <v>4095</v>
      </c>
      <c r="F63" s="36">
        <v>1</v>
      </c>
      <c r="G63" s="87">
        <v>2598643033</v>
      </c>
      <c r="H63" s="36"/>
      <c r="I63" s="36"/>
      <c r="J63" s="36"/>
      <c r="K63" s="36"/>
      <c r="L63" s="36"/>
      <c r="M63" s="36"/>
      <c r="N63" s="36"/>
      <c r="O63" s="36"/>
    </row>
    <row r="64" spans="1:15" ht="12">
      <c r="A64" s="8">
        <v>5</v>
      </c>
      <c r="B64" s="9" t="s">
        <v>199</v>
      </c>
      <c r="C64" s="9" t="s">
        <v>4164</v>
      </c>
      <c r="D64" s="36">
        <v>99999999</v>
      </c>
      <c r="E64" s="36" t="s">
        <v>4165</v>
      </c>
      <c r="F64" s="36">
        <v>1</v>
      </c>
      <c r="G64" s="87">
        <v>2061132888</v>
      </c>
      <c r="H64" s="36"/>
      <c r="I64" s="36"/>
      <c r="J64" s="36"/>
      <c r="K64" s="36"/>
      <c r="L64" s="36"/>
      <c r="M64" s="36"/>
      <c r="N64" s="36"/>
      <c r="O64" s="36"/>
    </row>
    <row r="65" spans="1:15" ht="12">
      <c r="A65" s="8">
        <v>5</v>
      </c>
      <c r="B65" s="9" t="s">
        <v>199</v>
      </c>
      <c r="C65" s="9" t="s">
        <v>4166</v>
      </c>
      <c r="D65" s="36">
        <v>999999999</v>
      </c>
      <c r="E65" s="36"/>
      <c r="F65" s="36">
        <v>1</v>
      </c>
      <c r="G65" s="87">
        <v>1769547600</v>
      </c>
      <c r="H65" s="36"/>
      <c r="I65" s="36"/>
      <c r="J65" s="36"/>
      <c r="K65" s="36"/>
      <c r="L65" s="36"/>
      <c r="M65" s="36"/>
      <c r="N65" s="36"/>
      <c r="O65" s="36"/>
    </row>
    <row r="66" spans="1:15" ht="12">
      <c r="A66" s="8">
        <v>5</v>
      </c>
      <c r="B66" s="9" t="s">
        <v>199</v>
      </c>
      <c r="C66" s="9" t="s">
        <v>4167</v>
      </c>
      <c r="D66" s="36">
        <v>2041565</v>
      </c>
      <c r="E66" s="36"/>
      <c r="F66" s="36">
        <v>1</v>
      </c>
      <c r="G66" s="87">
        <v>1570185339</v>
      </c>
      <c r="H66" s="36"/>
      <c r="I66" s="36"/>
      <c r="J66" s="36"/>
      <c r="K66" s="36"/>
      <c r="L66" s="36"/>
      <c r="M66" s="36"/>
      <c r="N66" s="36"/>
      <c r="O66" s="36"/>
    </row>
    <row r="67" spans="1:15" ht="12">
      <c r="A67" s="8">
        <v>5</v>
      </c>
      <c r="B67" s="9" t="s">
        <v>199</v>
      </c>
      <c r="C67" s="9" t="s">
        <v>3682</v>
      </c>
      <c r="D67" s="36">
        <v>6092275</v>
      </c>
      <c r="E67" s="36"/>
      <c r="F67" s="36">
        <v>1</v>
      </c>
      <c r="G67" s="87">
        <v>1429877645</v>
      </c>
      <c r="H67" s="36"/>
      <c r="I67" s="36"/>
      <c r="J67" s="36"/>
      <c r="K67" s="36"/>
      <c r="L67" s="36"/>
      <c r="M67" s="36"/>
      <c r="N67" s="36"/>
      <c r="O67" s="36"/>
    </row>
    <row r="68" spans="1:15" ht="12">
      <c r="A68" s="8">
        <v>5</v>
      </c>
      <c r="B68" s="9" t="s">
        <v>199</v>
      </c>
      <c r="C68" s="9" t="s">
        <v>4168</v>
      </c>
      <c r="D68" s="36">
        <v>9999999</v>
      </c>
      <c r="E68" s="36"/>
      <c r="F68" s="36">
        <v>1</v>
      </c>
      <c r="G68" s="87">
        <v>1227473887</v>
      </c>
      <c r="H68" s="36"/>
      <c r="I68" s="36"/>
      <c r="J68" s="36"/>
      <c r="K68" s="36"/>
      <c r="L68" s="36"/>
      <c r="M68" s="36"/>
      <c r="N68" s="36"/>
      <c r="O68" s="36"/>
    </row>
    <row r="69" spans="1:15" ht="12">
      <c r="A69" s="8">
        <v>5</v>
      </c>
      <c r="B69" s="9" t="s">
        <v>199</v>
      </c>
      <c r="C69" s="9" t="s">
        <v>4169</v>
      </c>
      <c r="D69" s="36">
        <v>99999999</v>
      </c>
      <c r="E69" s="36"/>
      <c r="F69" s="36">
        <v>1</v>
      </c>
      <c r="G69" s="87">
        <v>1140878577</v>
      </c>
      <c r="H69" s="36"/>
      <c r="I69" s="36"/>
      <c r="J69" s="36"/>
      <c r="K69" s="36"/>
      <c r="L69" s="36"/>
      <c r="M69" s="36"/>
      <c r="N69" s="36"/>
      <c r="O69" s="36"/>
    </row>
    <row r="70" spans="1:15" ht="12">
      <c r="A70" s="8">
        <v>5</v>
      </c>
      <c r="B70" s="9" t="s">
        <v>199</v>
      </c>
      <c r="C70" s="9" t="s">
        <v>4170</v>
      </c>
      <c r="D70" s="36">
        <v>999999999</v>
      </c>
      <c r="E70" s="36"/>
      <c r="F70" s="36">
        <v>1</v>
      </c>
      <c r="G70" s="87">
        <v>1105962004</v>
      </c>
      <c r="H70" s="36"/>
      <c r="I70" s="36"/>
      <c r="J70" s="36"/>
      <c r="K70" s="36"/>
      <c r="L70" s="36"/>
      <c r="M70" s="36"/>
      <c r="N70" s="36"/>
      <c r="O70" s="36"/>
    </row>
    <row r="71" spans="1:15" ht="12">
      <c r="A71" s="8">
        <v>5</v>
      </c>
      <c r="B71" s="9" t="s">
        <v>199</v>
      </c>
      <c r="C71" s="9"/>
      <c r="D71" s="36"/>
      <c r="E71" s="36"/>
      <c r="F71" s="36">
        <v>287</v>
      </c>
      <c r="G71" s="87">
        <v>25586337774</v>
      </c>
      <c r="H71" s="36"/>
      <c r="I71" s="36"/>
      <c r="J71" s="36"/>
      <c r="K71" s="36"/>
      <c r="L71" s="36"/>
      <c r="M71" s="36"/>
      <c r="N71" s="36"/>
      <c r="O71" s="36"/>
    </row>
    <row r="72" spans="1:15" ht="12">
      <c r="A72" s="10">
        <v>6</v>
      </c>
      <c r="B72" s="11" t="s">
        <v>203</v>
      </c>
      <c r="C72" s="11" t="s">
        <v>3790</v>
      </c>
      <c r="D72" s="2" t="s">
        <v>4171</v>
      </c>
      <c r="E72" s="2" t="s">
        <v>4092</v>
      </c>
      <c r="F72" s="2">
        <v>2</v>
      </c>
      <c r="G72" s="90">
        <v>117508750</v>
      </c>
      <c r="H72" s="2"/>
      <c r="I72" s="2"/>
      <c r="J72" s="2"/>
      <c r="K72" s="2"/>
      <c r="L72" s="2"/>
      <c r="M72" s="2"/>
      <c r="N72" s="2"/>
      <c r="O72" s="2"/>
    </row>
    <row r="73" spans="1:15" ht="12">
      <c r="A73" s="10">
        <v>6</v>
      </c>
      <c r="B73" s="11" t="s">
        <v>203</v>
      </c>
      <c r="C73" s="11" t="s">
        <v>4172</v>
      </c>
      <c r="D73" s="2" t="s">
        <v>3635</v>
      </c>
      <c r="E73" s="2" t="s">
        <v>4095</v>
      </c>
      <c r="F73" s="2">
        <v>22</v>
      </c>
      <c r="G73" s="96">
        <v>103040141</v>
      </c>
      <c r="H73" s="2"/>
      <c r="I73" s="2"/>
      <c r="J73" s="2"/>
      <c r="K73" s="2"/>
      <c r="L73" s="2"/>
      <c r="M73" s="2"/>
      <c r="N73" s="2"/>
      <c r="O73" s="2"/>
    </row>
    <row r="74" spans="1:15" ht="12">
      <c r="A74" s="10">
        <v>6</v>
      </c>
      <c r="B74" s="11" t="s">
        <v>203</v>
      </c>
      <c r="C74" s="11" t="s">
        <v>4173</v>
      </c>
      <c r="D74" s="2">
        <v>302080788</v>
      </c>
      <c r="E74" s="2" t="s">
        <v>4174</v>
      </c>
      <c r="F74" s="2">
        <v>5</v>
      </c>
      <c r="G74" s="96">
        <v>70608895</v>
      </c>
      <c r="H74" s="2"/>
      <c r="I74" s="2"/>
      <c r="J74" s="2"/>
      <c r="K74" s="2"/>
      <c r="L74" s="2"/>
      <c r="M74" s="2"/>
      <c r="N74" s="2"/>
      <c r="O74" s="2"/>
    </row>
    <row r="75" spans="1:15" ht="12">
      <c r="A75" s="10">
        <v>6</v>
      </c>
      <c r="B75" s="11" t="s">
        <v>203</v>
      </c>
      <c r="C75" s="11" t="s">
        <v>4175</v>
      </c>
      <c r="D75" s="2"/>
      <c r="E75" s="2"/>
      <c r="F75" s="2"/>
      <c r="G75" s="96">
        <v>33655428</v>
      </c>
      <c r="H75" s="2"/>
      <c r="I75" s="2"/>
      <c r="J75" s="2"/>
      <c r="K75" s="2"/>
      <c r="L75" s="2"/>
      <c r="M75" s="2"/>
      <c r="N75" s="2"/>
      <c r="O75" s="2"/>
    </row>
    <row r="76" spans="1:15" ht="12">
      <c r="A76" s="10">
        <v>6</v>
      </c>
      <c r="B76" s="11" t="s">
        <v>203</v>
      </c>
      <c r="C76" s="11" t="s">
        <v>4176</v>
      </c>
      <c r="D76" s="2"/>
      <c r="E76" s="2"/>
      <c r="F76" s="2"/>
      <c r="G76" s="96">
        <v>26290665</v>
      </c>
      <c r="H76" s="2"/>
      <c r="I76" s="2"/>
      <c r="J76" s="2"/>
      <c r="K76" s="2"/>
      <c r="L76" s="2"/>
      <c r="M76" s="2"/>
      <c r="N76" s="2"/>
      <c r="O76" s="2"/>
    </row>
    <row r="77" spans="1:15" ht="12">
      <c r="A77" s="10">
        <v>6</v>
      </c>
      <c r="B77" s="11" t="s">
        <v>203</v>
      </c>
      <c r="C77" s="11" t="s">
        <v>3509</v>
      </c>
      <c r="D77" s="2"/>
      <c r="E77" s="2"/>
      <c r="F77" s="2"/>
      <c r="G77" s="96">
        <v>26205400</v>
      </c>
      <c r="H77" s="2"/>
      <c r="I77" s="2"/>
      <c r="J77" s="2"/>
      <c r="K77" s="2"/>
      <c r="L77" s="2"/>
      <c r="M77" s="2"/>
      <c r="N77" s="2"/>
      <c r="O77" s="2"/>
    </row>
    <row r="78" spans="1:15" ht="12">
      <c r="A78" s="10">
        <v>6</v>
      </c>
      <c r="B78" s="11" t="s">
        <v>203</v>
      </c>
      <c r="C78" s="11" t="s">
        <v>4177</v>
      </c>
      <c r="D78" s="2"/>
      <c r="E78" s="2"/>
      <c r="F78" s="2"/>
      <c r="G78" s="78">
        <v>21731409</v>
      </c>
      <c r="H78" s="2"/>
      <c r="I78" s="2"/>
      <c r="J78" s="2"/>
      <c r="K78" s="2"/>
      <c r="L78" s="2"/>
      <c r="M78" s="2"/>
      <c r="N78" s="2"/>
      <c r="O78" s="2"/>
    </row>
    <row r="79" spans="1:15" ht="12">
      <c r="A79" s="10">
        <v>6</v>
      </c>
      <c r="B79" s="11" t="s">
        <v>203</v>
      </c>
      <c r="C79" s="11" t="s">
        <v>4178</v>
      </c>
      <c r="D79" s="2"/>
      <c r="E79" s="2"/>
      <c r="F79" s="2"/>
      <c r="G79" s="78">
        <v>18514557</v>
      </c>
      <c r="H79" s="2"/>
      <c r="I79" s="2"/>
      <c r="J79" s="2"/>
      <c r="K79" s="2"/>
      <c r="L79" s="2"/>
      <c r="M79" s="2"/>
      <c r="N79" s="2"/>
      <c r="O79" s="2"/>
    </row>
    <row r="80" spans="1:15" ht="12">
      <c r="A80" s="10">
        <v>6</v>
      </c>
      <c r="B80" s="11" t="s">
        <v>203</v>
      </c>
      <c r="C80" s="11" t="s">
        <v>4045</v>
      </c>
      <c r="D80" s="2"/>
      <c r="E80" s="2"/>
      <c r="F80" s="2"/>
      <c r="G80" s="78">
        <v>17518464</v>
      </c>
      <c r="H80" s="2"/>
      <c r="I80" s="2"/>
      <c r="J80" s="2"/>
      <c r="K80" s="2"/>
      <c r="L80" s="2"/>
      <c r="M80" s="2"/>
      <c r="N80" s="2"/>
      <c r="O80" s="2"/>
    </row>
    <row r="81" spans="1:15" ht="12">
      <c r="A81" s="10">
        <v>6</v>
      </c>
      <c r="B81" s="11" t="s">
        <v>203</v>
      </c>
      <c r="C81" s="11" t="s">
        <v>4179</v>
      </c>
      <c r="D81" s="2"/>
      <c r="E81" s="2"/>
      <c r="F81" s="2"/>
      <c r="G81" s="78">
        <v>11807226</v>
      </c>
      <c r="H81" s="2"/>
      <c r="I81" s="2"/>
      <c r="J81" s="2"/>
      <c r="K81" s="2"/>
      <c r="L81" s="2"/>
      <c r="M81" s="2"/>
      <c r="N81" s="2"/>
      <c r="O81" s="2"/>
    </row>
    <row r="82" spans="1:15" ht="12">
      <c r="A82" s="10">
        <v>6</v>
      </c>
      <c r="B82" s="11" t="s">
        <v>203</v>
      </c>
      <c r="C82" s="11" t="s">
        <v>3726</v>
      </c>
      <c r="D82" s="2"/>
      <c r="E82" s="2"/>
      <c r="F82" s="2"/>
      <c r="G82" s="78">
        <v>250664210</v>
      </c>
      <c r="H82" s="2"/>
      <c r="I82" s="2"/>
      <c r="J82" s="2"/>
      <c r="K82" s="2"/>
      <c r="L82" s="2"/>
      <c r="M82" s="2"/>
      <c r="N82" s="2"/>
      <c r="O82" s="2"/>
    </row>
    <row r="83" spans="1:15" ht="27" customHeight="1">
      <c r="A83" s="8">
        <v>7</v>
      </c>
      <c r="B83" s="9" t="s">
        <v>206</v>
      </c>
      <c r="C83" s="37" t="s">
        <v>4180</v>
      </c>
      <c r="D83" s="104"/>
      <c r="E83" s="77" t="s">
        <v>4181</v>
      </c>
      <c r="F83" s="36"/>
      <c r="G83" s="87">
        <v>54118306538</v>
      </c>
      <c r="H83" s="106"/>
      <c r="I83" s="106"/>
      <c r="J83" s="106"/>
      <c r="K83" s="106"/>
      <c r="L83" s="106"/>
      <c r="M83" s="106"/>
      <c r="N83" s="36"/>
      <c r="O83" s="36"/>
    </row>
    <row r="84" spans="1:15" ht="12">
      <c r="A84" s="8">
        <v>7</v>
      </c>
      <c r="B84" s="9" t="s">
        <v>206</v>
      </c>
      <c r="C84" s="9" t="s">
        <v>4182</v>
      </c>
      <c r="D84" s="104"/>
      <c r="E84" s="77" t="s">
        <v>4183</v>
      </c>
      <c r="F84" s="36"/>
      <c r="G84" s="87">
        <v>31928711108</v>
      </c>
      <c r="H84" s="106"/>
      <c r="I84" s="106"/>
      <c r="J84" s="106"/>
      <c r="K84" s="106"/>
      <c r="L84" s="106"/>
      <c r="M84" s="106"/>
      <c r="N84" s="36"/>
      <c r="O84" s="36"/>
    </row>
    <row r="85" spans="1:15" ht="12" customHeight="1">
      <c r="A85" s="8"/>
      <c r="B85" s="9" t="s">
        <v>206</v>
      </c>
      <c r="C85" s="9" t="s">
        <v>4184</v>
      </c>
      <c r="D85" s="104"/>
      <c r="E85" s="77" t="s">
        <v>4185</v>
      </c>
      <c r="F85" s="36"/>
      <c r="G85" s="87">
        <v>6562284645</v>
      </c>
      <c r="H85" s="106"/>
      <c r="I85" s="106"/>
      <c r="J85" s="106"/>
      <c r="K85" s="106"/>
      <c r="L85" s="106"/>
      <c r="M85" s="106"/>
      <c r="N85" s="36"/>
      <c r="O85" s="36"/>
    </row>
    <row r="86" spans="1:15" ht="26.25" customHeight="1">
      <c r="A86" s="8">
        <v>7</v>
      </c>
      <c r="B86" s="9" t="s">
        <v>206</v>
      </c>
      <c r="C86" s="9" t="s">
        <v>4186</v>
      </c>
      <c r="D86" s="104"/>
      <c r="E86" s="77" t="s">
        <v>4187</v>
      </c>
      <c r="F86" s="36"/>
      <c r="G86" s="87">
        <v>6055408659</v>
      </c>
      <c r="H86" s="106"/>
      <c r="I86" s="106"/>
      <c r="J86" s="106"/>
      <c r="K86" s="106"/>
      <c r="L86" s="106"/>
      <c r="M86" s="106"/>
      <c r="N86" s="36"/>
      <c r="O86" s="36"/>
    </row>
    <row r="87" spans="1:15" ht="12" customHeight="1">
      <c r="A87" s="8"/>
      <c r="B87" s="9" t="s">
        <v>206</v>
      </c>
      <c r="C87" s="9" t="s">
        <v>4188</v>
      </c>
      <c r="D87" s="104"/>
      <c r="E87" s="77" t="s">
        <v>4189</v>
      </c>
      <c r="F87" s="36"/>
      <c r="G87" s="87">
        <v>3188794166</v>
      </c>
      <c r="H87" s="106"/>
      <c r="I87" s="106"/>
      <c r="J87" s="106"/>
      <c r="K87" s="106"/>
      <c r="L87" s="106"/>
      <c r="M87" s="106"/>
      <c r="N87" s="36"/>
      <c r="O87" s="36"/>
    </row>
    <row r="88" spans="1:15" ht="12" customHeight="1">
      <c r="A88" s="8"/>
      <c r="B88" s="9" t="s">
        <v>206</v>
      </c>
      <c r="C88" s="9" t="s">
        <v>4190</v>
      </c>
      <c r="D88" s="104"/>
      <c r="E88" s="77" t="s">
        <v>4191</v>
      </c>
      <c r="F88" s="36"/>
      <c r="G88" s="87">
        <v>3132428785</v>
      </c>
      <c r="H88" s="106"/>
      <c r="I88" s="106"/>
      <c r="J88" s="106"/>
      <c r="K88" s="106"/>
      <c r="L88" s="106"/>
      <c r="M88" s="106"/>
      <c r="N88" s="36"/>
      <c r="O88" s="36"/>
    </row>
    <row r="89" spans="1:15" ht="12">
      <c r="A89" s="8"/>
      <c r="B89" s="9" t="s">
        <v>206</v>
      </c>
      <c r="C89" s="9" t="s">
        <v>4192</v>
      </c>
      <c r="D89" s="104"/>
      <c r="E89" s="77" t="s">
        <v>4193</v>
      </c>
      <c r="F89" s="36"/>
      <c r="G89" s="87">
        <v>3119308500</v>
      </c>
      <c r="H89" s="106"/>
      <c r="I89" s="106"/>
      <c r="J89" s="106"/>
      <c r="K89" s="106"/>
      <c r="L89" s="106"/>
      <c r="M89" s="106"/>
      <c r="N89" s="36"/>
      <c r="O89" s="36"/>
    </row>
    <row r="90" spans="1:15" ht="12">
      <c r="A90" s="8"/>
      <c r="B90" s="9" t="s">
        <v>206</v>
      </c>
      <c r="C90" s="9" t="s">
        <v>4194</v>
      </c>
      <c r="D90" s="104"/>
      <c r="E90" s="77"/>
      <c r="F90" s="36"/>
      <c r="G90" s="87">
        <v>49203521069</v>
      </c>
      <c r="H90" s="106"/>
      <c r="I90" s="106"/>
      <c r="J90" s="106"/>
      <c r="K90" s="106"/>
      <c r="L90" s="106"/>
      <c r="M90" s="106"/>
      <c r="N90" s="36"/>
      <c r="O90" s="36"/>
    </row>
    <row r="91" spans="1:15" ht="12">
      <c r="A91" s="758">
        <v>8</v>
      </c>
      <c r="B91" s="11" t="s">
        <v>210</v>
      </c>
      <c r="C91" s="11" t="s">
        <v>4195</v>
      </c>
      <c r="D91" s="2">
        <v>0</v>
      </c>
      <c r="E91" s="2" t="s">
        <v>4196</v>
      </c>
      <c r="F91" s="2">
        <v>1</v>
      </c>
      <c r="G91" s="90">
        <v>20372431104</v>
      </c>
      <c r="H91" s="2"/>
      <c r="I91" s="2"/>
      <c r="J91" s="2"/>
      <c r="K91" s="2"/>
      <c r="L91" s="2"/>
      <c r="M91" s="2"/>
      <c r="N91" s="2"/>
      <c r="O91" s="2"/>
    </row>
    <row r="92" spans="1:15" ht="12">
      <c r="A92" s="758"/>
      <c r="B92" s="11" t="s">
        <v>210</v>
      </c>
      <c r="C92" s="11" t="s">
        <v>4197</v>
      </c>
      <c r="D92" s="2">
        <v>0</v>
      </c>
      <c r="E92" s="2" t="s">
        <v>4095</v>
      </c>
      <c r="F92" s="2">
        <v>1</v>
      </c>
      <c r="G92" s="90">
        <v>7002218969</v>
      </c>
      <c r="H92" s="2"/>
      <c r="I92" s="2"/>
      <c r="J92" s="2"/>
      <c r="K92" s="2"/>
      <c r="L92" s="2"/>
      <c r="M92" s="2"/>
      <c r="N92" s="2"/>
      <c r="O92" s="2"/>
    </row>
    <row r="93" spans="1:15" ht="12">
      <c r="A93" s="758"/>
      <c r="B93" s="11" t="s">
        <v>210</v>
      </c>
      <c r="C93" s="11" t="s">
        <v>4198</v>
      </c>
      <c r="D93" s="2">
        <v>0</v>
      </c>
      <c r="E93" s="2" t="s">
        <v>4199</v>
      </c>
      <c r="F93" s="2">
        <v>1</v>
      </c>
      <c r="G93" s="90">
        <v>3188938603</v>
      </c>
      <c r="H93" s="2"/>
      <c r="I93" s="2"/>
      <c r="J93" s="2"/>
      <c r="K93" s="2"/>
      <c r="L93" s="2"/>
      <c r="M93" s="2"/>
      <c r="N93" s="2"/>
      <c r="O93" s="2"/>
    </row>
    <row r="94" spans="1:15" ht="12">
      <c r="A94" s="758"/>
      <c r="B94" s="11" t="s">
        <v>210</v>
      </c>
      <c r="C94" s="11" t="s">
        <v>4200</v>
      </c>
      <c r="D94" s="2">
        <v>0</v>
      </c>
      <c r="E94" s="2" t="s">
        <v>4095</v>
      </c>
      <c r="F94" s="2">
        <v>1</v>
      </c>
      <c r="G94" s="90">
        <v>1559981977</v>
      </c>
      <c r="H94" s="2"/>
      <c r="I94" s="2"/>
      <c r="J94" s="2"/>
      <c r="K94" s="2"/>
      <c r="L94" s="2"/>
      <c r="M94" s="2"/>
      <c r="N94" s="2"/>
      <c r="O94" s="2"/>
    </row>
    <row r="95" spans="1:15" ht="12">
      <c r="A95" s="758"/>
      <c r="B95" s="11" t="s">
        <v>210</v>
      </c>
      <c r="C95" s="11" t="s">
        <v>4201</v>
      </c>
      <c r="D95" s="2">
        <v>0</v>
      </c>
      <c r="E95" s="2" t="s">
        <v>4095</v>
      </c>
      <c r="F95" s="2">
        <v>1</v>
      </c>
      <c r="G95" s="90">
        <v>1187749726</v>
      </c>
      <c r="H95" s="2"/>
      <c r="I95" s="2"/>
      <c r="J95" s="2"/>
      <c r="K95" s="2"/>
      <c r="L95" s="2"/>
      <c r="M95" s="2"/>
      <c r="N95" s="2"/>
      <c r="O95" s="2"/>
    </row>
    <row r="96" spans="1:15" ht="12">
      <c r="A96" s="758"/>
      <c r="B96" s="11" t="s">
        <v>210</v>
      </c>
      <c r="C96" s="11" t="s">
        <v>3634</v>
      </c>
      <c r="D96" s="2">
        <v>0</v>
      </c>
      <c r="E96" s="2" t="s">
        <v>4095</v>
      </c>
      <c r="F96" s="2">
        <v>1</v>
      </c>
      <c r="G96" s="90">
        <v>908055269</v>
      </c>
      <c r="H96" s="2"/>
      <c r="I96" s="2"/>
      <c r="J96" s="2"/>
      <c r="K96" s="2"/>
      <c r="L96" s="2"/>
      <c r="M96" s="2"/>
      <c r="N96" s="2"/>
      <c r="O96" s="2"/>
    </row>
    <row r="97" spans="1:15" ht="12">
      <c r="A97" s="758"/>
      <c r="B97" s="11" t="s">
        <v>210</v>
      </c>
      <c r="C97" s="11" t="s">
        <v>4202</v>
      </c>
      <c r="D97" s="2">
        <v>0</v>
      </c>
      <c r="E97" s="2" t="s">
        <v>4174</v>
      </c>
      <c r="F97" s="2">
        <v>1</v>
      </c>
      <c r="G97" s="90">
        <v>692956537</v>
      </c>
      <c r="H97" s="2"/>
      <c r="I97" s="2"/>
      <c r="J97" s="2"/>
      <c r="K97" s="2"/>
      <c r="L97" s="2"/>
      <c r="M97" s="2"/>
      <c r="N97" s="2"/>
      <c r="O97" s="2"/>
    </row>
    <row r="98" spans="1:15" ht="12">
      <c r="A98" s="758"/>
      <c r="B98" s="11" t="s">
        <v>210</v>
      </c>
      <c r="C98" s="11" t="s">
        <v>4203</v>
      </c>
      <c r="D98" s="2">
        <v>0</v>
      </c>
      <c r="E98" s="2" t="s">
        <v>4204</v>
      </c>
      <c r="F98" s="2">
        <v>1</v>
      </c>
      <c r="G98" s="90">
        <v>490234205</v>
      </c>
      <c r="H98" s="2"/>
      <c r="I98" s="2"/>
      <c r="J98" s="2"/>
      <c r="K98" s="2"/>
      <c r="L98" s="2"/>
      <c r="M98" s="2"/>
      <c r="N98" s="2"/>
      <c r="O98" s="2"/>
    </row>
    <row r="99" spans="1:15" ht="12">
      <c r="A99" s="758"/>
      <c r="B99" s="11" t="s">
        <v>210</v>
      </c>
      <c r="C99" s="11" t="s">
        <v>4205</v>
      </c>
      <c r="D99" s="2">
        <v>0</v>
      </c>
      <c r="E99" s="2" t="s">
        <v>4206</v>
      </c>
      <c r="F99" s="2">
        <v>1</v>
      </c>
      <c r="G99" s="90">
        <v>452374108</v>
      </c>
      <c r="H99" s="2"/>
      <c r="I99" s="2"/>
      <c r="J99" s="2"/>
      <c r="K99" s="2"/>
      <c r="L99" s="2"/>
      <c r="M99" s="2"/>
      <c r="N99" s="2"/>
      <c r="O99" s="2"/>
    </row>
    <row r="100" spans="1:15" ht="12">
      <c r="A100" s="758"/>
      <c r="B100" s="11" t="s">
        <v>210</v>
      </c>
      <c r="C100" s="11" t="s">
        <v>4207</v>
      </c>
      <c r="D100" s="2">
        <v>0</v>
      </c>
      <c r="E100" s="2" t="s">
        <v>4206</v>
      </c>
      <c r="F100" s="2">
        <v>1</v>
      </c>
      <c r="G100" s="90">
        <v>325985886</v>
      </c>
      <c r="H100" s="2"/>
      <c r="I100" s="2"/>
      <c r="J100" s="2"/>
      <c r="K100" s="2"/>
      <c r="L100" s="2"/>
      <c r="M100" s="2"/>
      <c r="N100" s="2"/>
      <c r="O100" s="2"/>
    </row>
    <row r="101" spans="1:15" ht="14.5">
      <c r="A101" s="758"/>
      <c r="B101" s="11" t="s">
        <v>210</v>
      </c>
      <c r="C101" t="s">
        <v>3726</v>
      </c>
      <c r="D101" s="2">
        <v>0</v>
      </c>
      <c r="E101" s="2"/>
      <c r="F101" s="2">
        <v>71</v>
      </c>
      <c r="G101" s="90">
        <v>4278870233</v>
      </c>
      <c r="H101" s="2"/>
      <c r="I101" s="2"/>
      <c r="J101" s="2"/>
      <c r="K101" s="2"/>
      <c r="L101" s="2"/>
      <c r="M101" s="2"/>
      <c r="N101" s="2"/>
      <c r="O101" s="2"/>
    </row>
    <row r="102" spans="1:15" ht="12">
      <c r="A102" s="8">
        <v>9</v>
      </c>
      <c r="B102" s="9" t="s">
        <v>214</v>
      </c>
      <c r="C102" s="9" t="s">
        <v>4208</v>
      </c>
      <c r="D102" s="36" t="s">
        <v>4209</v>
      </c>
      <c r="E102" s="36" t="s">
        <v>4210</v>
      </c>
      <c r="F102" s="36">
        <v>1</v>
      </c>
      <c r="G102" s="87">
        <v>43177577331</v>
      </c>
      <c r="H102" s="101"/>
      <c r="I102" s="36">
        <v>5</v>
      </c>
      <c r="J102" s="101"/>
      <c r="K102" s="101"/>
      <c r="L102" s="101"/>
      <c r="M102" s="101"/>
      <c r="N102" s="101"/>
      <c r="O102" s="101"/>
    </row>
    <row r="103" spans="1:15" ht="12">
      <c r="A103" s="8">
        <v>9</v>
      </c>
      <c r="B103" s="9" t="s">
        <v>214</v>
      </c>
      <c r="C103" s="9" t="s">
        <v>4211</v>
      </c>
      <c r="D103" s="36">
        <v>27476</v>
      </c>
      <c r="E103" s="36" t="s">
        <v>4212</v>
      </c>
      <c r="F103" s="36">
        <v>1</v>
      </c>
      <c r="G103" s="87">
        <v>25083399160</v>
      </c>
      <c r="H103" s="101"/>
      <c r="I103" s="36">
        <v>10</v>
      </c>
      <c r="J103" s="101"/>
      <c r="K103" s="101"/>
      <c r="L103" s="101"/>
      <c r="M103" s="101"/>
      <c r="N103" s="101"/>
      <c r="O103" s="101"/>
    </row>
    <row r="104" spans="1:15" ht="12">
      <c r="A104" s="8">
        <v>9</v>
      </c>
      <c r="B104" s="9" t="s">
        <v>214</v>
      </c>
      <c r="C104" s="9" t="s">
        <v>4213</v>
      </c>
      <c r="D104" s="36">
        <v>6186862</v>
      </c>
      <c r="E104" s="36" t="s">
        <v>4214</v>
      </c>
      <c r="F104" s="36">
        <v>1</v>
      </c>
      <c r="G104" s="87">
        <v>10852512938</v>
      </c>
      <c r="H104" s="101"/>
      <c r="I104" s="36">
        <v>4</v>
      </c>
      <c r="J104" s="101"/>
      <c r="K104" s="101"/>
      <c r="L104" s="101"/>
      <c r="M104" s="101"/>
      <c r="N104" s="101"/>
      <c r="O104" s="101"/>
    </row>
    <row r="105" spans="1:15" ht="12">
      <c r="A105" s="758">
        <v>10</v>
      </c>
      <c r="B105" s="11" t="s">
        <v>219</v>
      </c>
      <c r="C105" s="11" t="s">
        <v>4215</v>
      </c>
      <c r="D105" s="2">
        <v>1</v>
      </c>
      <c r="E105" s="107" t="s">
        <v>4216</v>
      </c>
      <c r="F105" s="2">
        <v>1</v>
      </c>
      <c r="G105" s="108">
        <v>295159115</v>
      </c>
      <c r="H105" s="2"/>
      <c r="I105" s="2">
        <v>23</v>
      </c>
      <c r="J105" s="2">
        <v>295159115</v>
      </c>
      <c r="K105" s="2"/>
      <c r="L105" s="2"/>
      <c r="M105" s="2"/>
      <c r="N105" s="2"/>
      <c r="O105" s="2"/>
    </row>
    <row r="106" spans="1:15" ht="12">
      <c r="A106" s="758"/>
      <c r="B106" s="11" t="s">
        <v>219</v>
      </c>
      <c r="C106" s="11" t="s">
        <v>4217</v>
      </c>
      <c r="D106" s="2">
        <v>2</v>
      </c>
      <c r="E106" s="107" t="s">
        <v>4094</v>
      </c>
      <c r="F106" s="2">
        <v>1</v>
      </c>
      <c r="G106" s="108">
        <v>167412411</v>
      </c>
      <c r="H106" s="2"/>
      <c r="I106" s="2">
        <v>23</v>
      </c>
      <c r="J106" s="2">
        <v>167412411</v>
      </c>
      <c r="K106" s="2"/>
      <c r="L106" s="2"/>
      <c r="M106" s="2"/>
      <c r="N106" s="2"/>
      <c r="O106" s="2"/>
    </row>
    <row r="107" spans="1:15" ht="12">
      <c r="A107" s="758"/>
      <c r="B107" s="11" t="s">
        <v>219</v>
      </c>
      <c r="C107" s="11" t="s">
        <v>4218</v>
      </c>
      <c r="D107" s="2">
        <v>3</v>
      </c>
      <c r="E107" s="107" t="s">
        <v>4095</v>
      </c>
      <c r="F107" s="2">
        <v>1</v>
      </c>
      <c r="G107" s="108">
        <v>85842468</v>
      </c>
      <c r="H107" s="2"/>
      <c r="I107" s="2">
        <v>8</v>
      </c>
      <c r="J107" s="2">
        <v>85842468</v>
      </c>
      <c r="K107" s="2"/>
      <c r="L107" s="2"/>
      <c r="M107" s="2"/>
      <c r="N107" s="2"/>
      <c r="O107" s="2"/>
    </row>
    <row r="108" spans="1:15" ht="12">
      <c r="A108" s="758"/>
      <c r="B108" s="11" t="s">
        <v>219</v>
      </c>
      <c r="C108" s="11" t="s">
        <v>4219</v>
      </c>
      <c r="D108" s="2">
        <v>4</v>
      </c>
      <c r="E108" s="107" t="s">
        <v>4095</v>
      </c>
      <c r="F108" s="2">
        <v>1</v>
      </c>
      <c r="G108" s="108">
        <v>83932597</v>
      </c>
      <c r="H108" s="2"/>
      <c r="I108" s="2">
        <v>8</v>
      </c>
      <c r="J108" s="2">
        <v>83932597</v>
      </c>
      <c r="K108" s="2"/>
      <c r="L108" s="2"/>
      <c r="M108" s="2"/>
      <c r="N108" s="2"/>
      <c r="O108" s="2"/>
    </row>
    <row r="109" spans="1:15" ht="12">
      <c r="A109" s="758"/>
      <c r="B109" s="11" t="s">
        <v>219</v>
      </c>
      <c r="C109" s="11" t="s">
        <v>4220</v>
      </c>
      <c r="D109" s="2">
        <v>5</v>
      </c>
      <c r="E109" s="107" t="s">
        <v>4221</v>
      </c>
      <c r="F109" s="2">
        <v>1</v>
      </c>
      <c r="G109" s="108">
        <v>79700900</v>
      </c>
      <c r="H109" s="2"/>
      <c r="I109" s="2">
        <v>23</v>
      </c>
      <c r="J109" s="2">
        <v>79700900</v>
      </c>
      <c r="K109" s="2"/>
      <c r="L109" s="2"/>
      <c r="M109" s="2"/>
      <c r="N109" s="2"/>
      <c r="O109" s="2"/>
    </row>
    <row r="110" spans="1:15" ht="12">
      <c r="A110" s="758"/>
      <c r="B110" s="11" t="s">
        <v>219</v>
      </c>
      <c r="C110" s="11" t="s">
        <v>4222</v>
      </c>
      <c r="D110" s="2">
        <v>6</v>
      </c>
      <c r="E110" s="107" t="s">
        <v>4216</v>
      </c>
      <c r="F110" s="2">
        <v>1</v>
      </c>
      <c r="G110" s="108">
        <v>72731141</v>
      </c>
      <c r="H110" s="2"/>
      <c r="I110" s="2">
        <v>23</v>
      </c>
      <c r="J110" s="2">
        <v>72731141</v>
      </c>
      <c r="K110" s="2"/>
      <c r="L110" s="2"/>
      <c r="M110" s="2"/>
      <c r="N110" s="2"/>
      <c r="O110" s="2"/>
    </row>
    <row r="111" spans="1:15" ht="12">
      <c r="A111" s="758"/>
      <c r="B111" s="11" t="s">
        <v>219</v>
      </c>
      <c r="C111" s="11" t="s">
        <v>4223</v>
      </c>
      <c r="D111" s="2">
        <v>7</v>
      </c>
      <c r="E111" s="107" t="s">
        <v>4216</v>
      </c>
      <c r="F111" s="2">
        <v>1</v>
      </c>
      <c r="G111" s="108">
        <v>71509303</v>
      </c>
      <c r="H111" s="2"/>
      <c r="I111" s="2">
        <v>23</v>
      </c>
      <c r="J111" s="2">
        <v>71509303</v>
      </c>
      <c r="K111" s="2"/>
      <c r="L111" s="2"/>
      <c r="M111" s="2"/>
      <c r="N111" s="2"/>
      <c r="O111" s="2"/>
    </row>
    <row r="112" spans="1:15" ht="12">
      <c r="A112" s="758"/>
      <c r="B112" s="11" t="s">
        <v>219</v>
      </c>
      <c r="C112" s="11" t="s">
        <v>4224</v>
      </c>
      <c r="D112" s="2">
        <v>8</v>
      </c>
      <c r="E112" s="107" t="s">
        <v>4095</v>
      </c>
      <c r="F112" s="2">
        <v>1</v>
      </c>
      <c r="G112" s="108">
        <v>50220068</v>
      </c>
      <c r="H112" s="2"/>
      <c r="I112" s="2">
        <v>8</v>
      </c>
      <c r="J112" s="2">
        <v>50220068</v>
      </c>
      <c r="K112" s="2"/>
      <c r="L112" s="2"/>
      <c r="M112" s="2"/>
      <c r="N112" s="2"/>
      <c r="O112" s="2"/>
    </row>
    <row r="113" spans="1:15" ht="12">
      <c r="A113" s="758"/>
      <c r="B113" s="11" t="s">
        <v>219</v>
      </c>
      <c r="C113" s="11" t="s">
        <v>4225</v>
      </c>
      <c r="D113" s="2">
        <v>9</v>
      </c>
      <c r="E113" s="107" t="s">
        <v>4226</v>
      </c>
      <c r="F113" s="2">
        <v>1</v>
      </c>
      <c r="G113" s="108">
        <v>42637204</v>
      </c>
      <c r="H113" s="2"/>
      <c r="I113" s="2">
        <v>18</v>
      </c>
      <c r="J113" s="2">
        <v>42637204</v>
      </c>
      <c r="K113" s="2"/>
      <c r="L113" s="2"/>
      <c r="M113" s="2"/>
      <c r="N113" s="2"/>
      <c r="O113" s="2"/>
    </row>
    <row r="114" spans="1:15" ht="12">
      <c r="A114" s="758"/>
      <c r="B114" s="11" t="s">
        <v>219</v>
      </c>
      <c r="C114" s="11" t="s">
        <v>4227</v>
      </c>
      <c r="D114" s="2">
        <v>10</v>
      </c>
      <c r="E114" s="107" t="s">
        <v>4221</v>
      </c>
      <c r="F114" s="2">
        <v>1</v>
      </c>
      <c r="G114" s="108">
        <v>30593269</v>
      </c>
      <c r="H114" s="2"/>
      <c r="I114" s="2">
        <v>15</v>
      </c>
      <c r="J114" s="2">
        <v>30593269</v>
      </c>
      <c r="K114" s="2"/>
      <c r="L114" s="2"/>
      <c r="M114" s="2"/>
      <c r="N114" s="2"/>
      <c r="O114" s="2"/>
    </row>
    <row r="115" spans="1:15" ht="12">
      <c r="A115" s="8">
        <v>11</v>
      </c>
      <c r="B115" s="9" t="s">
        <v>223</v>
      </c>
      <c r="C115" s="9"/>
      <c r="D115" s="36"/>
      <c r="E115" s="36"/>
      <c r="F115" s="36"/>
      <c r="G115" s="87"/>
      <c r="H115" s="36"/>
      <c r="I115" s="36"/>
      <c r="J115" s="36"/>
      <c r="K115" s="36"/>
      <c r="L115" s="36"/>
      <c r="M115" s="36"/>
      <c r="N115" s="36"/>
      <c r="O115" s="36"/>
    </row>
    <row r="116" spans="1:15" ht="15" customHeight="1">
      <c r="A116" s="758">
        <v>12</v>
      </c>
      <c r="B116" s="40" t="s">
        <v>224</v>
      </c>
      <c r="C116" s="40" t="s">
        <v>3953</v>
      </c>
      <c r="D116" s="466">
        <v>0</v>
      </c>
      <c r="E116" s="466" t="s">
        <v>4228</v>
      </c>
      <c r="F116" s="31">
        <v>1</v>
      </c>
      <c r="G116" s="79">
        <v>141659082</v>
      </c>
      <c r="H116" s="466"/>
      <c r="I116" s="466"/>
      <c r="J116" s="466"/>
      <c r="K116" s="24"/>
    </row>
    <row r="117" spans="1:15" ht="12">
      <c r="A117" s="758"/>
      <c r="B117" s="11" t="s">
        <v>224</v>
      </c>
      <c r="C117" s="4" t="s">
        <v>4229</v>
      </c>
      <c r="D117" s="31">
        <v>0</v>
      </c>
      <c r="E117" s="31" t="s">
        <v>4230</v>
      </c>
      <c r="F117" s="31">
        <v>1</v>
      </c>
      <c r="G117" s="90">
        <v>78314352</v>
      </c>
      <c r="H117" s="2"/>
      <c r="I117" s="2"/>
      <c r="J117" s="2"/>
      <c r="K117" s="2"/>
      <c r="L117" s="2"/>
      <c r="M117" s="2"/>
      <c r="N117" s="2"/>
      <c r="O117" s="2"/>
    </row>
    <row r="118" spans="1:15" ht="12">
      <c r="A118" s="758"/>
      <c r="B118" s="11" t="s">
        <v>224</v>
      </c>
      <c r="C118" s="4" t="s">
        <v>4231</v>
      </c>
      <c r="D118" s="31">
        <v>0</v>
      </c>
      <c r="E118" s="31" t="s">
        <v>4232</v>
      </c>
      <c r="F118" s="31">
        <v>1</v>
      </c>
      <c r="G118" s="90">
        <v>68504490</v>
      </c>
      <c r="H118" s="2"/>
      <c r="I118" s="2"/>
      <c r="J118" s="2"/>
      <c r="K118" s="2"/>
      <c r="L118" s="2"/>
      <c r="M118" s="2"/>
      <c r="N118" s="2"/>
      <c r="O118" s="2"/>
    </row>
    <row r="119" spans="1:15" s="36" customFormat="1" ht="13.5" customHeight="1">
      <c r="A119" s="36">
        <v>13</v>
      </c>
      <c r="B119" s="36" t="s">
        <v>228</v>
      </c>
      <c r="C119" s="36" t="s">
        <v>4233</v>
      </c>
      <c r="D119" s="36">
        <v>0</v>
      </c>
      <c r="E119" s="36" t="s">
        <v>4234</v>
      </c>
      <c r="F119" s="36">
        <v>1</v>
      </c>
      <c r="G119" s="102">
        <v>1024056483</v>
      </c>
      <c r="I119" s="36">
        <v>11</v>
      </c>
    </row>
    <row r="120" spans="1:15" s="36" customFormat="1" ht="13.5" customHeight="1">
      <c r="B120" s="36" t="s">
        <v>228</v>
      </c>
      <c r="C120" s="36" t="s">
        <v>4235</v>
      </c>
      <c r="D120" s="36">
        <v>0</v>
      </c>
      <c r="E120" s="36" t="s">
        <v>4236</v>
      </c>
      <c r="F120" s="36">
        <v>1</v>
      </c>
      <c r="G120" s="102">
        <v>29632020</v>
      </c>
      <c r="I120" s="36">
        <v>6</v>
      </c>
    </row>
    <row r="121" spans="1:15" s="36" customFormat="1" ht="13.5" customHeight="1">
      <c r="B121" s="36" t="s">
        <v>228</v>
      </c>
      <c r="C121" s="36" t="s">
        <v>4237</v>
      </c>
      <c r="D121" s="36">
        <v>0</v>
      </c>
      <c r="E121" s="36" t="s">
        <v>4238</v>
      </c>
      <c r="F121" s="36">
        <v>1</v>
      </c>
      <c r="G121" s="102">
        <v>8265058</v>
      </c>
      <c r="I121" s="36">
        <v>23</v>
      </c>
    </row>
    <row r="122" spans="1:15" s="36" customFormat="1" ht="13.5" customHeight="1">
      <c r="B122" s="36" t="s">
        <v>228</v>
      </c>
      <c r="C122" s="36" t="s">
        <v>4239</v>
      </c>
      <c r="D122" s="36">
        <v>0</v>
      </c>
      <c r="E122" s="36" t="s">
        <v>4236</v>
      </c>
      <c r="F122" s="36">
        <v>1</v>
      </c>
      <c r="G122" s="102">
        <v>2180500</v>
      </c>
      <c r="I122" s="36">
        <v>23</v>
      </c>
    </row>
    <row r="123" spans="1:15" s="36" customFormat="1" ht="13.5" customHeight="1">
      <c r="B123" s="36" t="s">
        <v>228</v>
      </c>
      <c r="C123" s="36" t="s">
        <v>4240</v>
      </c>
      <c r="D123" s="36">
        <v>0</v>
      </c>
      <c r="E123" s="36" t="s">
        <v>4241</v>
      </c>
      <c r="F123" s="36">
        <v>1</v>
      </c>
      <c r="G123" s="102">
        <v>2180500</v>
      </c>
      <c r="I123" s="36">
        <v>23</v>
      </c>
    </row>
    <row r="124" spans="1:15" s="36" customFormat="1" ht="13.5" customHeight="1">
      <c r="B124" s="36" t="s">
        <v>228</v>
      </c>
      <c r="C124" s="36" t="s">
        <v>4242</v>
      </c>
      <c r="D124" s="36">
        <v>0</v>
      </c>
      <c r="E124" s="36" t="s">
        <v>4243</v>
      </c>
      <c r="F124" s="36">
        <v>1</v>
      </c>
      <c r="G124" s="102">
        <v>505376</v>
      </c>
      <c r="I124" s="36">
        <v>23</v>
      </c>
    </row>
    <row r="125" spans="1:15" s="36" customFormat="1" ht="13.5" customHeight="1">
      <c r="B125" s="36" t="s">
        <v>228</v>
      </c>
      <c r="C125" s="36" t="s">
        <v>4244</v>
      </c>
      <c r="D125" s="36">
        <v>0</v>
      </c>
      <c r="E125" s="36" t="s">
        <v>4245</v>
      </c>
      <c r="F125" s="36">
        <v>1</v>
      </c>
      <c r="G125" s="102">
        <v>405912</v>
      </c>
      <c r="I125" s="36">
        <v>23</v>
      </c>
    </row>
    <row r="126" spans="1:15" s="36" customFormat="1" ht="13.5" customHeight="1">
      <c r="B126" s="36" t="s">
        <v>228</v>
      </c>
      <c r="G126" s="102"/>
    </row>
    <row r="127" spans="1:15" ht="12">
      <c r="A127" s="758">
        <v>14</v>
      </c>
      <c r="B127" s="11" t="s">
        <v>231</v>
      </c>
      <c r="C127" s="4" t="s">
        <v>4246</v>
      </c>
      <c r="D127" s="2">
        <v>0</v>
      </c>
      <c r="E127" s="2" t="s">
        <v>4247</v>
      </c>
      <c r="F127" s="2">
        <v>1</v>
      </c>
      <c r="G127" s="108">
        <v>5350155195</v>
      </c>
      <c r="H127" s="2"/>
      <c r="I127" s="2"/>
      <c r="J127" s="2"/>
      <c r="K127" s="2"/>
      <c r="L127" s="2"/>
      <c r="M127" s="2"/>
      <c r="N127" s="2"/>
      <c r="O127" s="2"/>
    </row>
    <row r="128" spans="1:15" ht="12">
      <c r="A128" s="758"/>
      <c r="B128" s="11" t="s">
        <v>231</v>
      </c>
      <c r="C128" s="4" t="s">
        <v>4248</v>
      </c>
      <c r="D128" s="2">
        <v>0</v>
      </c>
      <c r="E128" s="2" t="s">
        <v>4249</v>
      </c>
      <c r="F128" s="2">
        <v>1</v>
      </c>
      <c r="G128" s="108">
        <v>2602411772</v>
      </c>
      <c r="H128" s="2"/>
      <c r="I128" s="2"/>
      <c r="J128" s="2"/>
      <c r="K128" s="2"/>
      <c r="L128" s="2"/>
      <c r="M128" s="2"/>
      <c r="N128" s="2"/>
      <c r="O128" s="2"/>
    </row>
    <row r="129" spans="1:15" ht="36" customHeight="1">
      <c r="A129" s="758"/>
      <c r="B129" s="11" t="s">
        <v>231</v>
      </c>
      <c r="C129" s="4" t="s">
        <v>4250</v>
      </c>
      <c r="D129" s="2">
        <v>0</v>
      </c>
      <c r="E129" s="2" t="s">
        <v>4174</v>
      </c>
      <c r="F129" s="2">
        <v>1</v>
      </c>
      <c r="G129" s="108">
        <v>1490142814</v>
      </c>
      <c r="H129" s="2"/>
      <c r="I129" s="2"/>
      <c r="J129" s="2"/>
      <c r="K129" s="2"/>
      <c r="L129" s="2"/>
      <c r="M129" s="2"/>
      <c r="N129" s="2"/>
      <c r="O129" s="2"/>
    </row>
    <row r="130" spans="1:15" ht="13.5" customHeight="1">
      <c r="A130" s="8">
        <v>15</v>
      </c>
      <c r="B130" s="9" t="s">
        <v>235</v>
      </c>
      <c r="C130" s="13" t="s">
        <v>4251</v>
      </c>
      <c r="D130" s="36">
        <v>0</v>
      </c>
      <c r="E130" s="77">
        <v>180</v>
      </c>
      <c r="F130" s="36">
        <v>1</v>
      </c>
      <c r="G130" s="87">
        <v>20662648</v>
      </c>
      <c r="H130" s="36"/>
      <c r="I130" s="36"/>
      <c r="J130" s="36"/>
      <c r="K130" s="36"/>
      <c r="L130" s="36"/>
      <c r="M130" s="36" t="s">
        <v>171</v>
      </c>
      <c r="N130" s="36" t="s">
        <v>171</v>
      </c>
      <c r="O130" s="36" t="s">
        <v>171</v>
      </c>
    </row>
    <row r="131" spans="1:15" ht="12">
      <c r="A131" s="8">
        <v>15</v>
      </c>
      <c r="B131" s="9" t="s">
        <v>235</v>
      </c>
      <c r="C131" s="13" t="s">
        <v>4252</v>
      </c>
      <c r="D131" s="36"/>
      <c r="E131" s="36" t="s">
        <v>4253</v>
      </c>
      <c r="F131" s="36"/>
      <c r="G131" s="102"/>
      <c r="H131" s="36"/>
      <c r="I131" s="36"/>
      <c r="J131" s="36"/>
      <c r="K131" s="36"/>
      <c r="L131" s="36"/>
      <c r="M131" s="36"/>
      <c r="N131" s="36"/>
      <c r="O131" s="36"/>
    </row>
    <row r="132" spans="1:15" ht="12">
      <c r="A132" s="8">
        <v>15</v>
      </c>
      <c r="B132" s="9" t="s">
        <v>235</v>
      </c>
      <c r="C132" s="13" t="s">
        <v>4254</v>
      </c>
      <c r="D132" s="36">
        <v>0</v>
      </c>
      <c r="E132" s="36" t="s">
        <v>4255</v>
      </c>
      <c r="F132" s="36">
        <v>1</v>
      </c>
      <c r="G132" s="102">
        <v>10164054</v>
      </c>
      <c r="H132" s="36"/>
      <c r="I132" s="36"/>
      <c r="J132" s="36"/>
      <c r="K132" s="36"/>
      <c r="L132" s="36"/>
      <c r="M132" s="36"/>
      <c r="N132" s="36"/>
      <c r="O132" s="36"/>
    </row>
    <row r="133" spans="1:15" ht="12">
      <c r="A133" s="8">
        <v>15</v>
      </c>
      <c r="B133" s="9" t="s">
        <v>235</v>
      </c>
      <c r="C133" s="13" t="s">
        <v>4256</v>
      </c>
      <c r="D133" s="36">
        <v>0</v>
      </c>
      <c r="E133" s="36" t="s">
        <v>4257</v>
      </c>
      <c r="F133" s="36">
        <v>1</v>
      </c>
      <c r="G133" s="102">
        <v>8432616</v>
      </c>
      <c r="H133" s="36"/>
      <c r="I133" s="36"/>
      <c r="J133" s="36"/>
      <c r="K133" s="36"/>
      <c r="L133" s="36"/>
      <c r="M133" s="36"/>
      <c r="N133" s="36"/>
      <c r="O133" s="36"/>
    </row>
    <row r="134" spans="1:15" ht="12">
      <c r="A134" s="10">
        <v>16</v>
      </c>
      <c r="B134" s="11" t="s">
        <v>239</v>
      </c>
      <c r="C134" s="4" t="s">
        <v>4179</v>
      </c>
      <c r="D134" s="31">
        <v>66101</v>
      </c>
      <c r="E134" s="31" t="s">
        <v>4146</v>
      </c>
      <c r="F134" s="31">
        <v>1</v>
      </c>
      <c r="G134" s="90">
        <v>17810000</v>
      </c>
      <c r="H134" s="30"/>
      <c r="I134" s="30"/>
      <c r="J134" s="30"/>
      <c r="K134" s="30"/>
      <c r="L134" s="30"/>
      <c r="M134" s="30"/>
      <c r="N134" s="30"/>
      <c r="O134" s="30" t="s">
        <v>171</v>
      </c>
    </row>
    <row r="135" spans="1:15" ht="12">
      <c r="A135" s="10">
        <v>16</v>
      </c>
      <c r="B135" s="11" t="s">
        <v>239</v>
      </c>
      <c r="C135" s="4" t="s">
        <v>4258</v>
      </c>
      <c r="D135" s="31">
        <v>0</v>
      </c>
      <c r="E135" s="31" t="s">
        <v>4259</v>
      </c>
      <c r="F135" s="31">
        <v>1</v>
      </c>
      <c r="G135" s="90">
        <v>4844879</v>
      </c>
      <c r="H135" s="30"/>
      <c r="I135" s="30"/>
      <c r="J135" s="30"/>
      <c r="K135" s="30"/>
      <c r="L135" s="30"/>
      <c r="M135" s="30"/>
      <c r="N135" s="30"/>
      <c r="O135" s="30" t="s">
        <v>171</v>
      </c>
    </row>
    <row r="136" spans="1:15" ht="12">
      <c r="A136" s="10">
        <v>16</v>
      </c>
      <c r="B136" s="11" t="s">
        <v>239</v>
      </c>
      <c r="C136" s="4" t="s">
        <v>4260</v>
      </c>
      <c r="D136" s="31"/>
      <c r="E136" s="31" t="s">
        <v>4261</v>
      </c>
      <c r="F136" s="31"/>
      <c r="G136" s="90"/>
      <c r="H136" s="30"/>
      <c r="I136" s="30"/>
      <c r="J136" s="30"/>
      <c r="K136" s="30"/>
      <c r="L136" s="30"/>
      <c r="M136" s="30"/>
      <c r="N136" s="30"/>
      <c r="O136" s="30"/>
    </row>
    <row r="137" spans="1:15" ht="12">
      <c r="A137" s="759">
        <v>17</v>
      </c>
      <c r="B137" s="9" t="s">
        <v>242</v>
      </c>
      <c r="C137" s="35" t="s">
        <v>4262</v>
      </c>
      <c r="D137" s="36">
        <v>419539423</v>
      </c>
      <c r="E137" s="102" t="s">
        <v>4263</v>
      </c>
      <c r="F137" s="36">
        <v>1</v>
      </c>
      <c r="G137" s="87">
        <v>1172824501</v>
      </c>
      <c r="H137" s="36"/>
      <c r="I137" s="36"/>
      <c r="J137" s="36"/>
      <c r="K137" s="36"/>
      <c r="L137" s="36"/>
      <c r="M137" s="36"/>
      <c r="N137" s="36"/>
      <c r="O137" s="36"/>
    </row>
    <row r="138" spans="1:15" ht="12">
      <c r="A138" s="759"/>
      <c r="B138" s="9" t="s">
        <v>242</v>
      </c>
      <c r="C138" s="35" t="s">
        <v>4264</v>
      </c>
      <c r="D138" s="36">
        <v>204156523</v>
      </c>
      <c r="E138" s="102" t="s">
        <v>4092</v>
      </c>
      <c r="F138" s="36">
        <v>1</v>
      </c>
      <c r="G138" s="87">
        <v>248364851</v>
      </c>
      <c r="H138" s="36"/>
      <c r="I138" s="36"/>
      <c r="J138" s="36"/>
      <c r="K138" s="36"/>
      <c r="L138" s="36"/>
      <c r="M138" s="36"/>
      <c r="N138" s="36"/>
      <c r="O138" s="36"/>
    </row>
    <row r="139" spans="1:15" ht="12">
      <c r="A139" s="759"/>
      <c r="B139" s="9" t="s">
        <v>242</v>
      </c>
      <c r="C139" s="35" t="s">
        <v>3509</v>
      </c>
      <c r="D139" s="36">
        <v>201073423</v>
      </c>
      <c r="E139" s="102" t="s">
        <v>4092</v>
      </c>
      <c r="F139" s="36">
        <v>1</v>
      </c>
      <c r="G139" s="87">
        <v>54428300</v>
      </c>
      <c r="H139" s="36"/>
      <c r="I139" s="36"/>
      <c r="J139" s="36"/>
      <c r="K139" s="36"/>
      <c r="L139" s="36"/>
      <c r="M139" s="36"/>
      <c r="N139" s="36"/>
      <c r="O139" s="36"/>
    </row>
    <row r="140" spans="1:15" ht="12">
      <c r="A140" s="467">
        <v>18</v>
      </c>
      <c r="B140" s="11" t="s">
        <v>246</v>
      </c>
      <c r="C140" s="34" t="s">
        <v>4265</v>
      </c>
      <c r="D140" s="2">
        <v>0</v>
      </c>
      <c r="E140" s="108" t="s">
        <v>4266</v>
      </c>
      <c r="F140" s="2">
        <v>1</v>
      </c>
      <c r="G140" s="108">
        <v>316077609</v>
      </c>
      <c r="H140" s="2"/>
      <c r="I140" s="2">
        <v>23</v>
      </c>
      <c r="J140" s="2"/>
      <c r="K140" s="2"/>
      <c r="L140" s="2"/>
      <c r="M140" s="2"/>
      <c r="N140" s="2"/>
      <c r="O140" s="2"/>
    </row>
    <row r="141" spans="1:15" ht="12">
      <c r="A141" s="467">
        <v>18</v>
      </c>
      <c r="B141" s="11" t="s">
        <v>246</v>
      </c>
      <c r="C141" s="34" t="s">
        <v>4267</v>
      </c>
      <c r="D141" s="2">
        <v>0</v>
      </c>
      <c r="E141" s="108" t="s">
        <v>4268</v>
      </c>
      <c r="F141" s="2">
        <v>1</v>
      </c>
      <c r="G141" s="108">
        <v>2369950</v>
      </c>
      <c r="H141" s="2"/>
      <c r="I141" s="2">
        <v>23</v>
      </c>
      <c r="J141" s="2"/>
      <c r="K141" s="2"/>
      <c r="L141" s="2"/>
      <c r="M141" s="2"/>
      <c r="N141" s="2"/>
      <c r="O141" s="2"/>
    </row>
    <row r="142" spans="1:15" ht="12">
      <c r="A142" s="467">
        <v>18</v>
      </c>
      <c r="B142" s="11" t="s">
        <v>246</v>
      </c>
      <c r="C142" s="34" t="s">
        <v>4269</v>
      </c>
      <c r="D142" s="2">
        <v>0</v>
      </c>
      <c r="E142" s="108" t="s">
        <v>4270</v>
      </c>
      <c r="F142" s="2">
        <v>1</v>
      </c>
      <c r="G142" s="108">
        <v>3178845</v>
      </c>
      <c r="H142" s="2"/>
      <c r="I142" s="2">
        <v>23</v>
      </c>
      <c r="J142" s="2"/>
      <c r="K142" s="2"/>
      <c r="L142" s="2"/>
      <c r="M142" s="2"/>
      <c r="N142" s="2"/>
      <c r="O142" s="2"/>
    </row>
    <row r="143" spans="1:15" ht="12">
      <c r="A143" s="467">
        <v>18</v>
      </c>
      <c r="B143" s="11" t="s">
        <v>246</v>
      </c>
      <c r="C143" s="34" t="s">
        <v>4271</v>
      </c>
      <c r="D143" s="2"/>
      <c r="E143" s="108" t="s">
        <v>4272</v>
      </c>
      <c r="F143" s="2">
        <v>1</v>
      </c>
      <c r="G143" s="108">
        <v>49592159</v>
      </c>
      <c r="H143" s="2"/>
      <c r="I143" s="2">
        <v>23</v>
      </c>
      <c r="J143" s="2"/>
      <c r="K143" s="2"/>
      <c r="L143" s="2"/>
      <c r="M143" s="2"/>
      <c r="N143" s="2"/>
      <c r="O143" s="2"/>
    </row>
    <row r="144" spans="1:15" ht="12">
      <c r="A144" s="467">
        <v>18</v>
      </c>
      <c r="B144" s="11" t="s">
        <v>246</v>
      </c>
      <c r="C144" s="34" t="s">
        <v>4273</v>
      </c>
      <c r="D144" s="2"/>
      <c r="E144" s="108" t="s">
        <v>4274</v>
      </c>
      <c r="F144" s="2">
        <v>1</v>
      </c>
      <c r="G144" s="108">
        <v>4943875</v>
      </c>
      <c r="H144" s="2"/>
      <c r="I144" s="2">
        <v>23</v>
      </c>
      <c r="J144" s="2"/>
      <c r="K144" s="2"/>
      <c r="L144" s="2"/>
      <c r="M144" s="2"/>
      <c r="N144" s="2"/>
      <c r="O144" s="2"/>
    </row>
    <row r="145" spans="1:15" ht="12">
      <c r="A145" s="467">
        <v>18</v>
      </c>
      <c r="B145" s="11" t="s">
        <v>246</v>
      </c>
      <c r="C145" s="34" t="s">
        <v>4275</v>
      </c>
      <c r="D145" s="2"/>
      <c r="E145" s="108" t="s">
        <v>4276</v>
      </c>
      <c r="F145" s="2">
        <v>1</v>
      </c>
      <c r="G145" s="108">
        <v>38967000</v>
      </c>
      <c r="H145" s="2"/>
      <c r="I145" s="2">
        <v>23</v>
      </c>
      <c r="J145" s="2"/>
      <c r="K145" s="2"/>
      <c r="L145" s="2"/>
      <c r="M145" s="2"/>
      <c r="N145" s="2"/>
      <c r="O145" s="2"/>
    </row>
    <row r="146" spans="1:15" ht="12">
      <c r="A146" s="467">
        <v>18</v>
      </c>
      <c r="B146" s="11" t="s">
        <v>246</v>
      </c>
      <c r="C146" s="34" t="s">
        <v>4277</v>
      </c>
      <c r="D146" s="2"/>
      <c r="E146" s="108" t="s">
        <v>4278</v>
      </c>
      <c r="F146" s="2">
        <v>1</v>
      </c>
      <c r="G146" s="108">
        <v>57991058</v>
      </c>
      <c r="H146" s="2"/>
      <c r="I146" s="2">
        <v>23</v>
      </c>
      <c r="J146" s="2"/>
      <c r="K146" s="2"/>
      <c r="L146" s="2"/>
      <c r="M146" s="2"/>
      <c r="N146" s="2"/>
      <c r="O146" s="2"/>
    </row>
    <row r="147" spans="1:15" ht="12">
      <c r="A147" s="467">
        <v>18</v>
      </c>
      <c r="B147" s="11" t="s">
        <v>246</v>
      </c>
      <c r="C147" s="34" t="s">
        <v>4279</v>
      </c>
      <c r="D147" s="2"/>
      <c r="E147" s="108" t="s">
        <v>4280</v>
      </c>
      <c r="F147" s="2">
        <v>1</v>
      </c>
      <c r="G147" s="108">
        <v>2079275542</v>
      </c>
      <c r="H147" s="2"/>
      <c r="I147" s="2">
        <v>23</v>
      </c>
      <c r="J147" s="2"/>
      <c r="K147" s="2"/>
      <c r="L147" s="2"/>
      <c r="M147" s="2"/>
      <c r="N147" s="2"/>
      <c r="O147" s="2"/>
    </row>
    <row r="148" spans="1:15" ht="12">
      <c r="A148" s="467">
        <v>18</v>
      </c>
      <c r="B148" s="11" t="s">
        <v>246</v>
      </c>
      <c r="C148" s="34" t="s">
        <v>4281</v>
      </c>
      <c r="D148" s="2"/>
      <c r="E148" s="108" t="s">
        <v>4282</v>
      </c>
      <c r="F148" s="2">
        <v>1</v>
      </c>
      <c r="G148" s="108">
        <v>5648780</v>
      </c>
      <c r="H148" s="2"/>
      <c r="I148" s="2">
        <v>23</v>
      </c>
      <c r="J148" s="2"/>
      <c r="K148" s="2"/>
      <c r="L148" s="2"/>
      <c r="M148" s="2"/>
      <c r="N148" s="2"/>
      <c r="O148" s="2"/>
    </row>
    <row r="149" spans="1:15" ht="12">
      <c r="A149" s="467">
        <v>18</v>
      </c>
      <c r="B149" s="11" t="s">
        <v>246</v>
      </c>
      <c r="C149" s="34" t="s">
        <v>4283</v>
      </c>
      <c r="D149" s="2"/>
      <c r="E149" s="108" t="s">
        <v>4284</v>
      </c>
      <c r="F149" s="2">
        <v>1</v>
      </c>
      <c r="G149" s="108">
        <v>27169383</v>
      </c>
      <c r="H149" s="2"/>
      <c r="I149" s="2">
        <v>23</v>
      </c>
      <c r="J149" s="2"/>
      <c r="K149" s="2"/>
      <c r="L149" s="2"/>
      <c r="M149" s="2"/>
      <c r="N149" s="2"/>
      <c r="O149" s="2"/>
    </row>
    <row r="150" spans="1:15" ht="12">
      <c r="A150" s="467">
        <v>18</v>
      </c>
      <c r="B150" s="11" t="s">
        <v>246</v>
      </c>
      <c r="C150" s="34"/>
      <c r="D150" s="2"/>
      <c r="E150" s="108" t="s">
        <v>4092</v>
      </c>
      <c r="F150" s="2"/>
      <c r="G150" s="108"/>
      <c r="H150" s="2"/>
      <c r="I150" s="2"/>
      <c r="J150" s="2"/>
      <c r="K150" s="2"/>
      <c r="L150" s="2"/>
      <c r="M150" s="2"/>
      <c r="N150" s="2"/>
      <c r="O150" s="2"/>
    </row>
    <row r="151" spans="1:15" ht="12">
      <c r="A151" s="467">
        <v>18</v>
      </c>
      <c r="B151" s="11" t="s">
        <v>246</v>
      </c>
      <c r="C151" s="34" t="s">
        <v>3621</v>
      </c>
      <c r="D151" s="2"/>
      <c r="E151" s="108"/>
      <c r="F151" s="2"/>
      <c r="G151" s="108">
        <v>695010851</v>
      </c>
      <c r="H151" s="2"/>
      <c r="I151" s="2"/>
      <c r="J151" s="2"/>
      <c r="K151" s="2"/>
      <c r="L151" s="2"/>
      <c r="M151" s="2"/>
      <c r="N151" s="2"/>
      <c r="O151" s="2"/>
    </row>
    <row r="152" spans="1:15" ht="12">
      <c r="A152" s="8">
        <v>19</v>
      </c>
      <c r="B152" s="9" t="s">
        <v>250</v>
      </c>
      <c r="C152" s="35"/>
      <c r="D152" s="36"/>
      <c r="E152" s="36"/>
      <c r="F152" s="36"/>
      <c r="G152" s="87"/>
      <c r="H152" s="36"/>
      <c r="I152" s="36"/>
      <c r="J152" s="93"/>
      <c r="K152" s="36"/>
      <c r="L152" s="36"/>
      <c r="M152" s="36"/>
      <c r="N152" s="36"/>
      <c r="O152" s="36"/>
    </row>
    <row r="153" spans="1:15" ht="12">
      <c r="A153" s="10">
        <v>20</v>
      </c>
      <c r="B153" s="11" t="s">
        <v>252</v>
      </c>
      <c r="C153" s="2" t="s">
        <v>4285</v>
      </c>
      <c r="D153" s="2"/>
      <c r="E153" s="2" t="s">
        <v>4095</v>
      </c>
      <c r="F153" s="2">
        <v>21</v>
      </c>
      <c r="G153" s="108">
        <v>49699028</v>
      </c>
      <c r="H153" s="2"/>
      <c r="I153" s="2"/>
      <c r="J153" s="2"/>
      <c r="K153" s="2"/>
      <c r="L153" s="2"/>
      <c r="M153" s="2"/>
      <c r="N153" s="2"/>
      <c r="O153" s="2"/>
    </row>
    <row r="154" spans="1:15" ht="12">
      <c r="A154" s="10">
        <v>20</v>
      </c>
      <c r="B154" s="11" t="s">
        <v>252</v>
      </c>
      <c r="C154" s="2" t="s">
        <v>4286</v>
      </c>
      <c r="D154" s="2"/>
      <c r="E154" s="2" t="s">
        <v>4095</v>
      </c>
      <c r="F154" s="2">
        <v>32</v>
      </c>
      <c r="G154" s="108">
        <v>56801322</v>
      </c>
      <c r="H154" s="2"/>
      <c r="I154" s="2"/>
      <c r="J154" s="2"/>
      <c r="K154" s="2"/>
      <c r="L154" s="2"/>
      <c r="M154" s="2"/>
      <c r="N154" s="2"/>
      <c r="O154" s="2"/>
    </row>
    <row r="155" spans="1:15" ht="12">
      <c r="A155" s="10">
        <v>20</v>
      </c>
      <c r="B155" s="11" t="s">
        <v>252</v>
      </c>
      <c r="C155" s="2" t="s">
        <v>4287</v>
      </c>
      <c r="D155" s="2"/>
      <c r="E155" s="2" t="s">
        <v>4095</v>
      </c>
      <c r="F155" s="2">
        <v>74</v>
      </c>
      <c r="G155" s="108">
        <v>107679277</v>
      </c>
      <c r="H155" s="2"/>
      <c r="I155" s="2"/>
      <c r="J155" s="2"/>
      <c r="K155" s="2"/>
      <c r="L155" s="2"/>
      <c r="M155" s="2"/>
      <c r="N155" s="2"/>
      <c r="O155" s="2"/>
    </row>
    <row r="156" spans="1:15" ht="15" customHeight="1">
      <c r="A156" s="9">
        <v>21</v>
      </c>
      <c r="B156" s="9" t="s">
        <v>256</v>
      </c>
      <c r="C156" s="9" t="s">
        <v>4288</v>
      </c>
      <c r="D156" s="9">
        <v>1</v>
      </c>
      <c r="E156" s="9" t="s">
        <v>4095</v>
      </c>
      <c r="F156" s="36">
        <v>1</v>
      </c>
      <c r="G156" s="468">
        <v>173031052</v>
      </c>
      <c r="H156" s="9"/>
      <c r="I156" s="9"/>
      <c r="J156" s="9"/>
      <c r="K156" s="9"/>
      <c r="L156" s="9"/>
      <c r="M156" s="9"/>
      <c r="N156" s="9"/>
      <c r="O156" s="9"/>
    </row>
    <row r="157" spans="1:15" ht="15" customHeight="1">
      <c r="A157" s="9">
        <v>21</v>
      </c>
      <c r="B157" s="9" t="s">
        <v>256</v>
      </c>
      <c r="C157" s="9" t="s">
        <v>4289</v>
      </c>
      <c r="D157" s="9">
        <v>1</v>
      </c>
      <c r="E157" s="9" t="s">
        <v>4095</v>
      </c>
      <c r="F157" s="36">
        <v>1</v>
      </c>
      <c r="G157" s="468">
        <v>381504985</v>
      </c>
      <c r="H157" s="9"/>
      <c r="I157" s="9"/>
      <c r="J157" s="9"/>
      <c r="K157" s="9"/>
      <c r="L157" s="9"/>
      <c r="M157" s="9"/>
      <c r="N157" s="9"/>
      <c r="O157" s="9"/>
    </row>
    <row r="158" spans="1:15" ht="12">
      <c r="A158" s="9">
        <v>21</v>
      </c>
      <c r="B158" s="9" t="s">
        <v>256</v>
      </c>
      <c r="C158" s="9" t="s">
        <v>4219</v>
      </c>
      <c r="D158" s="9">
        <v>1</v>
      </c>
      <c r="E158" s="9" t="s">
        <v>4095</v>
      </c>
      <c r="F158" s="36">
        <v>1</v>
      </c>
      <c r="G158" s="468">
        <v>420460788</v>
      </c>
      <c r="H158" s="9"/>
      <c r="I158" s="9"/>
      <c r="J158" s="9"/>
      <c r="K158" s="9"/>
      <c r="L158" s="9"/>
      <c r="M158" s="9"/>
      <c r="N158" s="9"/>
      <c r="O158" s="9"/>
    </row>
    <row r="159" spans="1:15" ht="12">
      <c r="A159" s="11">
        <v>22</v>
      </c>
      <c r="B159" s="11" t="s">
        <v>260</v>
      </c>
      <c r="C159" s="11" t="s">
        <v>629</v>
      </c>
      <c r="D159" s="11" t="s">
        <v>629</v>
      </c>
      <c r="E159" s="11" t="s">
        <v>629</v>
      </c>
      <c r="F159" s="11" t="s">
        <v>629</v>
      </c>
      <c r="G159" s="469" t="s">
        <v>629</v>
      </c>
      <c r="H159" s="11" t="s">
        <v>629</v>
      </c>
      <c r="I159" s="11" t="s">
        <v>629</v>
      </c>
      <c r="J159" s="11" t="s">
        <v>629</v>
      </c>
      <c r="K159" s="11" t="s">
        <v>629</v>
      </c>
      <c r="L159" s="11" t="s">
        <v>629</v>
      </c>
      <c r="M159" s="11" t="s">
        <v>629</v>
      </c>
      <c r="N159" s="11" t="s">
        <v>629</v>
      </c>
      <c r="O159" s="11" t="s">
        <v>629</v>
      </c>
    </row>
    <row r="162" spans="7:7">
      <c r="G162" s="85">
        <f>SUM(G34:G159)</f>
        <v>698740323918</v>
      </c>
    </row>
  </sheetData>
  <mergeCells count="5">
    <mergeCell ref="A91:A101"/>
    <mergeCell ref="A105:A114"/>
    <mergeCell ref="A116:A118"/>
    <mergeCell ref="A127:A129"/>
    <mergeCell ref="A137:A139"/>
  </mergeCells>
  <conditionalFormatting sqref="B10 C35:O82 D83:O115 C84:C100 C102:C115 B117:O118 A119:XFD126 B127:O152">
    <cfRule type="containsText" dxfId="8" priority="9" operator="containsText" text="Not">
      <formula>NOT(ISERROR(SEARCH("Not",A10)))</formula>
    </cfRule>
  </conditionalFormatting>
  <conditionalFormatting sqref="B18:C28">
    <cfRule type="containsText" dxfId="7" priority="6" operator="containsText" text="Not">
      <formula>NOT(ISERROR(SEARCH("Not",B18)))</formula>
    </cfRule>
  </conditionalFormatting>
  <conditionalFormatting sqref="B13:G17">
    <cfRule type="containsText" dxfId="6" priority="1" operator="containsText" text="Not">
      <formula>NOT(ISERROR(SEARCH("Not",B13)))</formula>
    </cfRule>
  </conditionalFormatting>
  <conditionalFormatting sqref="B29:G29">
    <cfRule type="containsText" dxfId="5" priority="4" operator="containsText" text="Not">
      <formula>NOT(ISERROR(SEARCH("Not",B29)))</formula>
    </cfRule>
  </conditionalFormatting>
  <conditionalFormatting sqref="B7:O9 A156:O159">
    <cfRule type="containsText" dxfId="4" priority="3" operator="containsText" text="Not">
      <formula>NOT(ISERROR(SEARCH("Not",A7)))</formula>
    </cfRule>
  </conditionalFormatting>
  <conditionalFormatting sqref="B11:O12 H13:O29">
    <cfRule type="containsText" dxfId="3" priority="8" operator="containsText" text="Not">
      <formula>NOT(ISERROR(SEARCH("Not",B11)))</formula>
    </cfRule>
  </conditionalFormatting>
  <conditionalFormatting sqref="B34:O34 B153:B155">
    <cfRule type="containsText" dxfId="2" priority="5" operator="containsText" text="Not">
      <formula>NOT(ISERROR(SEARCH("Not",B34)))</formula>
    </cfRule>
  </conditionalFormatting>
  <conditionalFormatting sqref="D18:D19 F18:F28 D21:D28">
    <cfRule type="containsText" dxfId="1" priority="7" operator="containsText" text="Not">
      <formula>NOT(ISERROR(SEARCH("Not",D18)))</formula>
    </cfRule>
  </conditionalFormatting>
  <conditionalFormatting sqref="F116">
    <cfRule type="containsText" dxfId="0" priority="2" operator="containsText" text="Not">
      <formula>NOT(ISERROR(SEARCH("Not",F116)))</formula>
    </cfRule>
  </conditionalFormatting>
  <hyperlinks>
    <hyperlink ref="B1" location="Sommaire!A1" display="Sommaire!A1" xr:uid="{00000000-0004-0000-3300-000000000000}"/>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Feuil35"/>
  <dimension ref="A1:X21"/>
  <sheetViews>
    <sheetView workbookViewId="0"/>
  </sheetViews>
  <sheetFormatPr baseColWidth="10" defaultColWidth="11" defaultRowHeight="12.5"/>
  <cols>
    <col min="1" max="1" width="47" style="28" customWidth="1"/>
    <col min="2" max="2" width="11.1640625" style="28" bestFit="1" customWidth="1"/>
    <col min="3" max="3" width="11.5" style="28" bestFit="1" customWidth="1"/>
    <col min="4" max="4" width="38.33203125" style="28" bestFit="1" customWidth="1"/>
    <col min="5" max="5" width="30.6640625" style="28" bestFit="1" customWidth="1"/>
    <col min="6" max="6" width="13.5" style="28" bestFit="1" customWidth="1"/>
    <col min="7" max="7" width="31" style="28" bestFit="1" customWidth="1"/>
    <col min="8" max="8" width="15" style="28" bestFit="1" customWidth="1"/>
    <col min="9" max="9" width="22.33203125" style="28" customWidth="1"/>
    <col min="10" max="10" width="13" style="28" bestFit="1" customWidth="1"/>
    <col min="11" max="11" width="14.5" style="28" bestFit="1" customWidth="1"/>
    <col min="12" max="12" width="14.1640625" style="28" bestFit="1" customWidth="1"/>
    <col min="13" max="13" width="11.5" style="28" bestFit="1" customWidth="1"/>
    <col min="14" max="15" width="14.6640625" style="28" bestFit="1" customWidth="1"/>
    <col min="16" max="16" width="11.1640625" style="28" bestFit="1" customWidth="1"/>
    <col min="17" max="17" width="14.1640625" style="28" bestFit="1" customWidth="1"/>
    <col min="18" max="18" width="11.33203125" style="28" bestFit="1" customWidth="1"/>
    <col min="19" max="19" width="15" style="28" bestFit="1" customWidth="1"/>
    <col min="20" max="20" width="13.33203125" style="28" bestFit="1" customWidth="1"/>
    <col min="21" max="21" width="15" style="28" bestFit="1" customWidth="1"/>
    <col min="22" max="22" width="13" style="28" bestFit="1" customWidth="1"/>
    <col min="23" max="23" width="14.6640625" style="28" bestFit="1" customWidth="1"/>
    <col min="24" max="24" width="14.5" style="28" bestFit="1" customWidth="1"/>
    <col min="25" max="16384" width="11" style="28"/>
  </cols>
  <sheetData>
    <row r="1" spans="1:24" ht="14.5">
      <c r="A1" s="560" t="s">
        <v>140</v>
      </c>
    </row>
    <row r="2" spans="1:24" ht="19">
      <c r="A2" s="216" t="s">
        <v>4290</v>
      </c>
    </row>
    <row r="4" spans="1:24" ht="13">
      <c r="A4" s="128"/>
      <c r="B4" s="762" t="s">
        <v>4291</v>
      </c>
      <c r="C4" s="763"/>
      <c r="D4" s="763"/>
      <c r="E4" s="763"/>
      <c r="F4" s="763"/>
      <c r="G4" s="764"/>
      <c r="H4" s="765" t="s">
        <v>4292</v>
      </c>
      <c r="I4" s="765"/>
      <c r="J4" s="765"/>
      <c r="K4" s="765"/>
      <c r="L4" s="766" t="s">
        <v>4293</v>
      </c>
      <c r="M4" s="767"/>
      <c r="N4" s="767"/>
      <c r="O4" s="767"/>
      <c r="P4" s="767"/>
      <c r="Q4" s="767"/>
      <c r="R4" s="767"/>
      <c r="S4" s="767"/>
      <c r="T4" s="767"/>
      <c r="U4" s="768"/>
      <c r="V4" s="766" t="s">
        <v>4294</v>
      </c>
      <c r="W4" s="767"/>
      <c r="X4" s="768"/>
    </row>
    <row r="5" spans="1:24" ht="13">
      <c r="A5" s="128"/>
      <c r="B5" s="769" t="s">
        <v>4295</v>
      </c>
      <c r="C5" s="770"/>
      <c r="D5" s="770"/>
      <c r="E5" s="770"/>
      <c r="F5" s="770"/>
      <c r="G5" s="771"/>
      <c r="H5" s="772" t="s">
        <v>4296</v>
      </c>
      <c r="I5" s="773"/>
      <c r="J5" s="773" t="s">
        <v>4297</v>
      </c>
      <c r="K5" s="772"/>
      <c r="L5" s="774" t="s">
        <v>4296</v>
      </c>
      <c r="M5" s="775"/>
      <c r="N5" s="775"/>
      <c r="O5" s="775"/>
      <c r="P5" s="775"/>
      <c r="Q5" s="775"/>
      <c r="R5" s="775"/>
      <c r="S5" s="775"/>
      <c r="T5" s="775"/>
      <c r="U5" s="776"/>
      <c r="V5" s="774" t="s">
        <v>4296</v>
      </c>
      <c r="W5" s="775"/>
      <c r="X5" s="776"/>
    </row>
    <row r="6" spans="1:24" ht="52">
      <c r="A6" s="109" t="s">
        <v>144</v>
      </c>
      <c r="B6" s="110" t="s">
        <v>4298</v>
      </c>
      <c r="C6" s="48" t="s">
        <v>4299</v>
      </c>
      <c r="D6" s="48" t="s">
        <v>4300</v>
      </c>
      <c r="E6" s="48" t="s">
        <v>4301</v>
      </c>
      <c r="F6" s="48" t="s">
        <v>4302</v>
      </c>
      <c r="G6" s="111" t="s">
        <v>4303</v>
      </c>
      <c r="H6" s="112" t="s">
        <v>4304</v>
      </c>
      <c r="I6" s="113" t="s">
        <v>4305</v>
      </c>
      <c r="J6" s="113" t="s">
        <v>4306</v>
      </c>
      <c r="K6" s="114" t="s">
        <v>4307</v>
      </c>
      <c r="L6" s="115" t="s">
        <v>4308</v>
      </c>
      <c r="M6" s="116" t="s">
        <v>4309</v>
      </c>
      <c r="N6" s="116" t="s">
        <v>4310</v>
      </c>
      <c r="O6" s="116" t="s">
        <v>4311</v>
      </c>
      <c r="P6" s="116" t="s">
        <v>4312</v>
      </c>
      <c r="Q6" s="116" t="s">
        <v>4313</v>
      </c>
      <c r="R6" s="116" t="s">
        <v>4314</v>
      </c>
      <c r="S6" s="116" t="s">
        <v>4315</v>
      </c>
      <c r="T6" s="116" t="s">
        <v>4316</v>
      </c>
      <c r="U6" s="117" t="s">
        <v>4317</v>
      </c>
      <c r="V6" s="115" t="s">
        <v>4318</v>
      </c>
      <c r="W6" s="116" t="s">
        <v>4319</v>
      </c>
      <c r="X6" s="117" t="s">
        <v>4320</v>
      </c>
    </row>
    <row r="7" spans="1:24">
      <c r="A7" s="129" t="s">
        <v>187</v>
      </c>
      <c r="B7" s="118" t="s">
        <v>4321</v>
      </c>
      <c r="C7" s="119" t="s">
        <v>585</v>
      </c>
      <c r="D7" s="120">
        <v>44957</v>
      </c>
      <c r="E7" s="119"/>
      <c r="F7" s="119"/>
      <c r="G7" s="121" t="s">
        <v>4322</v>
      </c>
      <c r="H7" s="119" t="s">
        <v>594</v>
      </c>
      <c r="I7" s="119" t="s">
        <v>4323</v>
      </c>
      <c r="J7" s="119"/>
      <c r="K7" s="121"/>
      <c r="L7" s="122">
        <v>354126</v>
      </c>
      <c r="M7" s="122">
        <v>58430790</v>
      </c>
      <c r="N7" s="119">
        <v>165</v>
      </c>
      <c r="O7" s="119"/>
      <c r="P7" s="119"/>
      <c r="Q7" s="119"/>
      <c r="R7" s="119"/>
      <c r="S7" s="119"/>
      <c r="T7" s="119"/>
      <c r="U7" s="121"/>
      <c r="V7" s="119"/>
      <c r="W7" s="119"/>
      <c r="X7" s="119"/>
    </row>
    <row r="8" spans="1:24">
      <c r="A8" s="130" t="s">
        <v>187</v>
      </c>
      <c r="B8" s="123" t="s">
        <v>4321</v>
      </c>
      <c r="C8" s="124" t="s">
        <v>585</v>
      </c>
      <c r="D8" s="125">
        <v>44985</v>
      </c>
      <c r="E8" s="124"/>
      <c r="F8" s="124"/>
      <c r="G8" s="126" t="s">
        <v>4324</v>
      </c>
      <c r="H8" s="124" t="s">
        <v>594</v>
      </c>
      <c r="I8" s="124" t="s">
        <v>4323</v>
      </c>
      <c r="J8" s="124"/>
      <c r="K8" s="126"/>
      <c r="L8" s="127">
        <v>309754.2</v>
      </c>
      <c r="M8" s="127">
        <v>51109443</v>
      </c>
      <c r="N8" s="124">
        <v>165</v>
      </c>
      <c r="O8" s="124"/>
      <c r="P8" s="124"/>
      <c r="Q8" s="124"/>
      <c r="R8" s="124"/>
      <c r="S8" s="124"/>
      <c r="T8" s="124"/>
      <c r="U8" s="126"/>
      <c r="V8" s="124"/>
      <c r="W8" s="124"/>
      <c r="X8" s="124"/>
    </row>
    <row r="9" spans="1:24">
      <c r="A9" s="129" t="s">
        <v>187</v>
      </c>
      <c r="B9" s="118" t="s">
        <v>4321</v>
      </c>
      <c r="C9" s="119" t="s">
        <v>585</v>
      </c>
      <c r="D9" s="120">
        <v>45016</v>
      </c>
      <c r="E9" s="119"/>
      <c r="F9" s="119"/>
      <c r="G9" s="121" t="s">
        <v>4325</v>
      </c>
      <c r="H9" s="119" t="s">
        <v>594</v>
      </c>
      <c r="I9" s="119" t="s">
        <v>4323</v>
      </c>
      <c r="J9" s="119"/>
      <c r="K9" s="121"/>
      <c r="L9" s="122">
        <v>321406.09999999998</v>
      </c>
      <c r="M9" s="122">
        <v>53032006.499999993</v>
      </c>
      <c r="N9" s="119">
        <v>165</v>
      </c>
      <c r="O9" s="119"/>
      <c r="P9" s="119"/>
      <c r="Q9" s="119"/>
      <c r="R9" s="119"/>
      <c r="S9" s="119"/>
      <c r="T9" s="119"/>
      <c r="U9" s="121"/>
      <c r="V9" s="119"/>
      <c r="W9" s="119"/>
      <c r="X9" s="119"/>
    </row>
    <row r="10" spans="1:24">
      <c r="A10" s="130" t="s">
        <v>187</v>
      </c>
      <c r="B10" s="123" t="s">
        <v>4321</v>
      </c>
      <c r="C10" s="124" t="s">
        <v>585</v>
      </c>
      <c r="D10" s="125">
        <v>45046</v>
      </c>
      <c r="E10" s="124"/>
      <c r="F10" s="124"/>
      <c r="G10" s="126" t="s">
        <v>4326</v>
      </c>
      <c r="H10" s="124" t="s">
        <v>594</v>
      </c>
      <c r="I10" s="124" t="s">
        <v>4323</v>
      </c>
      <c r="J10" s="124"/>
      <c r="K10" s="126"/>
      <c r="L10" s="127">
        <v>318010.2</v>
      </c>
      <c r="M10" s="127">
        <v>52471683</v>
      </c>
      <c r="N10" s="124">
        <v>165</v>
      </c>
      <c r="O10" s="124"/>
      <c r="P10" s="124"/>
      <c r="Q10" s="124"/>
      <c r="R10" s="124"/>
      <c r="S10" s="124"/>
      <c r="T10" s="124"/>
      <c r="U10" s="126"/>
      <c r="V10" s="124"/>
      <c r="W10" s="124"/>
      <c r="X10" s="124"/>
    </row>
    <row r="11" spans="1:24">
      <c r="A11" s="129" t="s">
        <v>187</v>
      </c>
      <c r="B11" s="118" t="s">
        <v>4321</v>
      </c>
      <c r="C11" s="119" t="s">
        <v>585</v>
      </c>
      <c r="D11" s="120">
        <v>45077</v>
      </c>
      <c r="E11" s="119"/>
      <c r="F11" s="119"/>
      <c r="G11" s="121" t="s">
        <v>4327</v>
      </c>
      <c r="H11" s="119" t="s">
        <v>594</v>
      </c>
      <c r="I11" s="119" t="s">
        <v>4323</v>
      </c>
      <c r="J11" s="119"/>
      <c r="K11" s="121"/>
      <c r="L11" s="122">
        <v>325730.2</v>
      </c>
      <c r="M11" s="122">
        <v>53745483</v>
      </c>
      <c r="N11" s="119">
        <v>165</v>
      </c>
      <c r="O11" s="119"/>
      <c r="P11" s="119"/>
      <c r="Q11" s="119"/>
      <c r="R11" s="119"/>
      <c r="S11" s="119"/>
      <c r="T11" s="119"/>
      <c r="U11" s="121"/>
      <c r="V11" s="119"/>
      <c r="W11" s="119"/>
      <c r="X11" s="119"/>
    </row>
    <row r="12" spans="1:24">
      <c r="A12" s="130" t="s">
        <v>187</v>
      </c>
      <c r="B12" s="123" t="s">
        <v>4321</v>
      </c>
      <c r="C12" s="124" t="s">
        <v>585</v>
      </c>
      <c r="D12" s="125">
        <v>45107</v>
      </c>
      <c r="E12" s="124"/>
      <c r="F12" s="124"/>
      <c r="G12" s="126" t="s">
        <v>4328</v>
      </c>
      <c r="H12" s="124" t="s">
        <v>594</v>
      </c>
      <c r="I12" s="124" t="s">
        <v>4323</v>
      </c>
      <c r="J12" s="124"/>
      <c r="K12" s="126"/>
      <c r="L12" s="127">
        <v>314004.8</v>
      </c>
      <c r="M12" s="127">
        <v>51810792</v>
      </c>
      <c r="N12" s="124">
        <v>165</v>
      </c>
      <c r="O12" s="124"/>
      <c r="P12" s="124"/>
      <c r="Q12" s="124"/>
      <c r="R12" s="124"/>
      <c r="S12" s="124"/>
      <c r="T12" s="124"/>
      <c r="U12" s="126"/>
      <c r="V12" s="124"/>
      <c r="W12" s="124"/>
      <c r="X12" s="124"/>
    </row>
    <row r="13" spans="1:24">
      <c r="A13" s="129" t="s">
        <v>187</v>
      </c>
      <c r="B13" s="118" t="s">
        <v>4321</v>
      </c>
      <c r="C13" s="119" t="s">
        <v>585</v>
      </c>
      <c r="D13" s="120">
        <v>45142</v>
      </c>
      <c r="E13" s="119"/>
      <c r="F13" s="119"/>
      <c r="G13" s="121" t="s">
        <v>4329</v>
      </c>
      <c r="H13" s="119" t="s">
        <v>594</v>
      </c>
      <c r="I13" s="119" t="s">
        <v>4323</v>
      </c>
      <c r="J13" s="119"/>
      <c r="K13" s="121"/>
      <c r="L13" s="122">
        <v>322702</v>
      </c>
      <c r="M13" s="122">
        <v>53245830</v>
      </c>
      <c r="N13" s="119">
        <v>165</v>
      </c>
      <c r="O13" s="119"/>
      <c r="P13" s="119"/>
      <c r="Q13" s="119"/>
      <c r="R13" s="119"/>
      <c r="S13" s="119"/>
      <c r="T13" s="119"/>
      <c r="U13" s="121"/>
      <c r="V13" s="119"/>
      <c r="W13" s="119"/>
      <c r="X13" s="119"/>
    </row>
    <row r="14" spans="1:24">
      <c r="A14" s="130" t="s">
        <v>187</v>
      </c>
      <c r="B14" s="123" t="s">
        <v>4321</v>
      </c>
      <c r="C14" s="124" t="s">
        <v>585</v>
      </c>
      <c r="D14" s="125">
        <v>45169</v>
      </c>
      <c r="E14" s="124"/>
      <c r="F14" s="124"/>
      <c r="G14" s="126" t="s">
        <v>4330</v>
      </c>
      <c r="H14" s="124" t="s">
        <v>594</v>
      </c>
      <c r="I14" s="124" t="s">
        <v>4323</v>
      </c>
      <c r="J14" s="124"/>
      <c r="K14" s="126"/>
      <c r="L14" s="127">
        <v>311458</v>
      </c>
      <c r="M14" s="127">
        <v>51390570</v>
      </c>
      <c r="N14" s="124">
        <v>165</v>
      </c>
      <c r="O14" s="124"/>
      <c r="P14" s="124"/>
      <c r="Q14" s="124"/>
      <c r="R14" s="124"/>
      <c r="S14" s="124"/>
      <c r="T14" s="124"/>
      <c r="U14" s="126"/>
      <c r="V14" s="124"/>
      <c r="W14" s="124"/>
      <c r="X14" s="124"/>
    </row>
    <row r="15" spans="1:24">
      <c r="A15" s="129" t="s">
        <v>187</v>
      </c>
      <c r="B15" s="118" t="s">
        <v>4321</v>
      </c>
      <c r="C15" s="119" t="s">
        <v>585</v>
      </c>
      <c r="D15" s="120">
        <v>45199</v>
      </c>
      <c r="E15" s="119"/>
      <c r="F15" s="119"/>
      <c r="G15" s="121" t="s">
        <v>4331</v>
      </c>
      <c r="H15" s="119" t="s">
        <v>594</v>
      </c>
      <c r="I15" s="119" t="s">
        <v>4323</v>
      </c>
      <c r="J15" s="119"/>
      <c r="K15" s="121"/>
      <c r="L15" s="122">
        <v>287871.40000000002</v>
      </c>
      <c r="M15" s="122">
        <v>47498781.000000007</v>
      </c>
      <c r="N15" s="119">
        <v>165</v>
      </c>
      <c r="O15" s="119"/>
      <c r="P15" s="119"/>
      <c r="Q15" s="119"/>
      <c r="R15" s="119"/>
      <c r="S15" s="119"/>
      <c r="T15" s="119"/>
      <c r="U15" s="121"/>
      <c r="V15" s="119"/>
      <c r="W15" s="119"/>
      <c r="X15" s="119"/>
    </row>
    <row r="16" spans="1:24">
      <c r="A16" s="130" t="s">
        <v>187</v>
      </c>
      <c r="B16" s="123" t="s">
        <v>4321</v>
      </c>
      <c r="C16" s="124" t="s">
        <v>585</v>
      </c>
      <c r="D16" s="125">
        <v>45230</v>
      </c>
      <c r="E16" s="124"/>
      <c r="F16" s="124"/>
      <c r="G16" s="126" t="s">
        <v>4332</v>
      </c>
      <c r="H16" s="124" t="s">
        <v>594</v>
      </c>
      <c r="I16" s="124" t="s">
        <v>4323</v>
      </c>
      <c r="J16" s="124"/>
      <c r="K16" s="126"/>
      <c r="L16" s="127">
        <v>289427.3</v>
      </c>
      <c r="M16" s="127">
        <v>47755504.5</v>
      </c>
      <c r="N16" s="124">
        <v>165</v>
      </c>
      <c r="O16" s="124"/>
      <c r="P16" s="124"/>
      <c r="Q16" s="124"/>
      <c r="R16" s="124"/>
      <c r="S16" s="124"/>
      <c r="T16" s="124"/>
      <c r="U16" s="126"/>
      <c r="V16" s="124"/>
      <c r="W16" s="124"/>
      <c r="X16" s="124"/>
    </row>
    <row r="17" spans="1:24">
      <c r="A17" s="129" t="s">
        <v>187</v>
      </c>
      <c r="B17" s="118" t="s">
        <v>4321</v>
      </c>
      <c r="C17" s="119" t="s">
        <v>585</v>
      </c>
      <c r="D17" s="120">
        <v>45260</v>
      </c>
      <c r="E17" s="119"/>
      <c r="F17" s="119"/>
      <c r="G17" s="121" t="s">
        <v>4333</v>
      </c>
      <c r="H17" s="119" t="s">
        <v>594</v>
      </c>
      <c r="I17" s="119" t="s">
        <v>4323</v>
      </c>
      <c r="J17" s="119"/>
      <c r="K17" s="121"/>
      <c r="L17" s="122">
        <v>298321.09999999998</v>
      </c>
      <c r="M17" s="122">
        <v>49222981.499999993</v>
      </c>
      <c r="N17" s="119">
        <v>165</v>
      </c>
      <c r="O17" s="119"/>
      <c r="P17" s="119"/>
      <c r="Q17" s="119"/>
      <c r="R17" s="119"/>
      <c r="S17" s="119"/>
      <c r="T17" s="119"/>
      <c r="U17" s="121"/>
      <c r="V17" s="119"/>
      <c r="W17" s="119"/>
      <c r="X17" s="119"/>
    </row>
    <row r="18" spans="1:24">
      <c r="A18" s="130" t="s">
        <v>187</v>
      </c>
      <c r="B18" s="123" t="s">
        <v>4321</v>
      </c>
      <c r="C18" s="124" t="s">
        <v>585</v>
      </c>
      <c r="D18" s="125">
        <v>45291</v>
      </c>
      <c r="E18" s="124"/>
      <c r="F18" s="124"/>
      <c r="G18" s="126" t="s">
        <v>4334</v>
      </c>
      <c r="H18" s="124" t="s">
        <v>594</v>
      </c>
      <c r="I18" s="124" t="s">
        <v>4323</v>
      </c>
      <c r="J18" s="124"/>
      <c r="K18" s="126"/>
      <c r="L18" s="127">
        <v>290027</v>
      </c>
      <c r="M18" s="127">
        <v>47854455</v>
      </c>
      <c r="N18" s="124">
        <v>165</v>
      </c>
      <c r="O18" s="124"/>
      <c r="P18" s="124"/>
      <c r="Q18" s="124"/>
      <c r="R18" s="124"/>
      <c r="S18" s="124"/>
      <c r="T18" s="124"/>
      <c r="U18" s="126"/>
      <c r="V18" s="124"/>
      <c r="W18" s="124"/>
      <c r="X18" s="124"/>
    </row>
    <row r="19" spans="1:24" ht="13" thickBot="1"/>
    <row r="20" spans="1:24" ht="14" thickTop="1" thickBot="1">
      <c r="I20" s="761" t="s">
        <v>582</v>
      </c>
      <c r="J20" s="761"/>
      <c r="K20" s="761"/>
      <c r="L20" s="131">
        <f>SUM(L7:L19)</f>
        <v>3742838.3</v>
      </c>
      <c r="M20" s="131">
        <f>SUM(M7:M19)</f>
        <v>617568319.5</v>
      </c>
    </row>
    <row r="21" spans="1:24" ht="13" thickTop="1"/>
  </sheetData>
  <mergeCells count="10">
    <mergeCell ref="I20:K20"/>
    <mergeCell ref="B4:G4"/>
    <mergeCell ref="H4:K4"/>
    <mergeCell ref="L4:U4"/>
    <mergeCell ref="V4:X4"/>
    <mergeCell ref="B5:G5"/>
    <mergeCell ref="H5:I5"/>
    <mergeCell ref="J5:K5"/>
    <mergeCell ref="L5:U5"/>
    <mergeCell ref="V5:X5"/>
  </mergeCells>
  <dataValidations count="1">
    <dataValidation type="date" allowBlank="1" showInputMessage="1" showErrorMessage="1" promptTitle="Format de date" prompt="Insérez vos dates au format: jj/mm/aaaa" sqref="S4:S18" xr:uid="{00000000-0002-0000-3400-000000000000}">
      <formula1>#REF!</formula1>
      <formula2>#REF!</formula2>
    </dataValidation>
  </dataValidations>
  <hyperlinks>
    <hyperlink ref="A1" location="Sommaire!A1" display="Sommaire!A1" xr:uid="{00000000-0004-0000-3400-000000000000}"/>
  </hyperlinks>
  <pageMargins left="0.7" right="0.7" top="0.75" bottom="0.75" header="0.3" footer="0.3"/>
  <tableParts count="1">
    <tablePart r:id="rId1"/>
  </tablePart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Feuil36"/>
  <dimension ref="A1:B132"/>
  <sheetViews>
    <sheetView showGridLines="0" workbookViewId="0"/>
  </sheetViews>
  <sheetFormatPr baseColWidth="10" defaultColWidth="11.5" defaultRowHeight="13"/>
  <cols>
    <col min="1" max="1" width="19" style="6" customWidth="1"/>
    <col min="2" max="2" width="94.6640625" style="6" bestFit="1" customWidth="1"/>
    <col min="3" max="16384" width="11.5" style="6"/>
  </cols>
  <sheetData>
    <row r="1" spans="1:2" ht="14.5">
      <c r="A1" s="560" t="s">
        <v>140</v>
      </c>
    </row>
    <row r="2" spans="1:2" ht="20.5">
      <c r="A2" s="218" t="s">
        <v>4335</v>
      </c>
    </row>
    <row r="4" spans="1:2" ht="13.5">
      <c r="A4" s="748" t="s">
        <v>4336</v>
      </c>
      <c r="B4" s="132" t="s">
        <v>4337</v>
      </c>
    </row>
    <row r="5" spans="1:2" ht="13.5">
      <c r="A5" s="748"/>
      <c r="B5" s="133" t="s">
        <v>4338</v>
      </c>
    </row>
    <row r="6" spans="1:2" ht="26">
      <c r="A6" s="748"/>
      <c r="B6" s="134" t="s">
        <v>4339</v>
      </c>
    </row>
    <row r="7" spans="1:2" ht="26">
      <c r="A7" s="748"/>
      <c r="B7" s="135" t="s">
        <v>4340</v>
      </c>
    </row>
    <row r="8" spans="1:2" ht="26">
      <c r="A8" s="748"/>
      <c r="B8" s="135" t="s">
        <v>4341</v>
      </c>
    </row>
    <row r="9" spans="1:2" ht="52">
      <c r="A9" s="748"/>
      <c r="B9" s="134" t="s">
        <v>4342</v>
      </c>
    </row>
    <row r="10" spans="1:2" ht="13.5">
      <c r="A10" s="748"/>
      <c r="B10" s="133" t="s">
        <v>4343</v>
      </c>
    </row>
    <row r="11" spans="1:2">
      <c r="A11" s="748"/>
      <c r="B11" s="136" t="s">
        <v>4344</v>
      </c>
    </row>
    <row r="12" spans="1:2" ht="13.5">
      <c r="A12" s="748"/>
      <c r="B12" s="133" t="s">
        <v>4345</v>
      </c>
    </row>
    <row r="13" spans="1:2">
      <c r="A13" s="748"/>
      <c r="B13" s="136" t="s">
        <v>4344</v>
      </c>
    </row>
    <row r="14" spans="1:2" ht="13.5">
      <c r="A14" s="748" t="s">
        <v>4346</v>
      </c>
      <c r="B14" s="132" t="s">
        <v>4337</v>
      </c>
    </row>
    <row r="15" spans="1:2" ht="13.5">
      <c r="A15" s="748"/>
      <c r="B15" s="133" t="s">
        <v>4338</v>
      </c>
    </row>
    <row r="16" spans="1:2" ht="26">
      <c r="A16" s="748"/>
      <c r="B16" s="137" t="s">
        <v>4347</v>
      </c>
    </row>
    <row r="17" spans="1:2" ht="26">
      <c r="A17" s="748"/>
      <c r="B17" s="135" t="s">
        <v>4348</v>
      </c>
    </row>
    <row r="18" spans="1:2">
      <c r="A18" s="748"/>
      <c r="B18" s="135" t="s">
        <v>4349</v>
      </c>
    </row>
    <row r="19" spans="1:2" ht="26">
      <c r="A19" s="748"/>
      <c r="B19" s="135" t="s">
        <v>4350</v>
      </c>
    </row>
    <row r="20" spans="1:2" ht="26">
      <c r="A20" s="748"/>
      <c r="B20" s="135" t="s">
        <v>4351</v>
      </c>
    </row>
    <row r="21" spans="1:2">
      <c r="A21" s="748"/>
      <c r="B21" s="135" t="s">
        <v>4352</v>
      </c>
    </row>
    <row r="22" spans="1:2" ht="39">
      <c r="A22" s="748"/>
      <c r="B22" s="135" t="s">
        <v>4353</v>
      </c>
    </row>
    <row r="23" spans="1:2">
      <c r="A23" s="748"/>
      <c r="B23" s="135" t="s">
        <v>4354</v>
      </c>
    </row>
    <row r="24" spans="1:2" ht="26">
      <c r="A24" s="748"/>
      <c r="B24" s="135" t="s">
        <v>4355</v>
      </c>
    </row>
    <row r="25" spans="1:2" ht="13.5">
      <c r="A25" s="748"/>
      <c r="B25" s="133" t="s">
        <v>4343</v>
      </c>
    </row>
    <row r="26" spans="1:2">
      <c r="A26" s="748"/>
      <c r="B26" s="136" t="s">
        <v>4344</v>
      </c>
    </row>
    <row r="27" spans="1:2" ht="13.5">
      <c r="A27" s="748"/>
      <c r="B27" s="133" t="s">
        <v>4356</v>
      </c>
    </row>
    <row r="28" spans="1:2">
      <c r="A28" s="748"/>
      <c r="B28" s="136" t="s">
        <v>4344</v>
      </c>
    </row>
    <row r="29" spans="1:2" ht="13.5">
      <c r="A29" s="748" t="s">
        <v>4357</v>
      </c>
      <c r="B29" s="132" t="s">
        <v>4337</v>
      </c>
    </row>
    <row r="30" spans="1:2" ht="13.5">
      <c r="A30" s="748"/>
      <c r="B30" s="133" t="s">
        <v>4338</v>
      </c>
    </row>
    <row r="31" spans="1:2" ht="52">
      <c r="A31" s="748"/>
      <c r="B31" s="138" t="s">
        <v>4358</v>
      </c>
    </row>
    <row r="32" spans="1:2">
      <c r="A32" s="748"/>
      <c r="B32" s="138" t="s">
        <v>4359</v>
      </c>
    </row>
    <row r="33" spans="1:2" ht="26">
      <c r="A33" s="748"/>
      <c r="B33" s="138" t="s">
        <v>4360</v>
      </c>
    </row>
    <row r="34" spans="1:2">
      <c r="A34" s="748"/>
      <c r="B34" s="138" t="s">
        <v>4361</v>
      </c>
    </row>
    <row r="35" spans="1:2">
      <c r="A35" s="748"/>
      <c r="B35" s="138" t="s">
        <v>4362</v>
      </c>
    </row>
    <row r="36" spans="1:2">
      <c r="A36" s="748"/>
      <c r="B36" s="138" t="s">
        <v>4363</v>
      </c>
    </row>
    <row r="37" spans="1:2" ht="26">
      <c r="A37" s="748"/>
      <c r="B37" s="138" t="s">
        <v>4364</v>
      </c>
    </row>
    <row r="38" spans="1:2" ht="39">
      <c r="A38" s="748"/>
      <c r="B38" s="138" t="s">
        <v>4365</v>
      </c>
    </row>
    <row r="39" spans="1:2" ht="39">
      <c r="A39" s="748"/>
      <c r="B39" s="138" t="s">
        <v>4366</v>
      </c>
    </row>
    <row r="40" spans="1:2" ht="26">
      <c r="A40" s="748"/>
      <c r="B40" s="138" t="s">
        <v>4367</v>
      </c>
    </row>
    <row r="41" spans="1:2">
      <c r="A41" s="748"/>
      <c r="B41" s="138" t="s">
        <v>4368</v>
      </c>
    </row>
    <row r="42" spans="1:2">
      <c r="A42" s="748"/>
      <c r="B42" s="138" t="s">
        <v>4369</v>
      </c>
    </row>
    <row r="43" spans="1:2" ht="26">
      <c r="A43" s="748"/>
      <c r="B43" s="138" t="s">
        <v>4370</v>
      </c>
    </row>
    <row r="44" spans="1:2" ht="26">
      <c r="A44" s="748"/>
      <c r="B44" s="138" t="s">
        <v>4371</v>
      </c>
    </row>
    <row r="45" spans="1:2" ht="26">
      <c r="A45" s="748"/>
      <c r="B45" s="138" t="s">
        <v>4372</v>
      </c>
    </row>
    <row r="46" spans="1:2" ht="26">
      <c r="A46" s="748"/>
      <c r="B46" s="138" t="s">
        <v>4373</v>
      </c>
    </row>
    <row r="47" spans="1:2" ht="13.5">
      <c r="A47" s="748"/>
      <c r="B47" s="133" t="s">
        <v>4343</v>
      </c>
    </row>
    <row r="48" spans="1:2">
      <c r="A48" s="748"/>
      <c r="B48" s="136" t="s">
        <v>4344</v>
      </c>
    </row>
    <row r="49" spans="1:2" ht="13.5">
      <c r="A49" s="748"/>
      <c r="B49" s="133" t="s">
        <v>4356</v>
      </c>
    </row>
    <row r="50" spans="1:2">
      <c r="A50" s="748"/>
      <c r="B50" s="136" t="s">
        <v>4344</v>
      </c>
    </row>
    <row r="51" spans="1:2" ht="13.5">
      <c r="A51" s="748" t="s">
        <v>4374</v>
      </c>
      <c r="B51" s="132" t="s">
        <v>4337</v>
      </c>
    </row>
    <row r="52" spans="1:2" ht="13.5">
      <c r="A52" s="748"/>
      <c r="B52" s="133" t="s">
        <v>4338</v>
      </c>
    </row>
    <row r="53" spans="1:2" ht="26">
      <c r="A53" s="748"/>
      <c r="B53" s="138" t="s">
        <v>4375</v>
      </c>
    </row>
    <row r="54" spans="1:2" ht="26">
      <c r="A54" s="748"/>
      <c r="B54" s="138" t="s">
        <v>4376</v>
      </c>
    </row>
    <row r="55" spans="1:2">
      <c r="A55" s="748"/>
      <c r="B55" s="138" t="s">
        <v>4377</v>
      </c>
    </row>
    <row r="56" spans="1:2">
      <c r="A56" s="748"/>
      <c r="B56" s="138" t="s">
        <v>4378</v>
      </c>
    </row>
    <row r="57" spans="1:2">
      <c r="A57" s="748"/>
      <c r="B57" s="138" t="s">
        <v>4379</v>
      </c>
    </row>
    <row r="58" spans="1:2">
      <c r="A58" s="748"/>
      <c r="B58" s="138" t="s">
        <v>4380</v>
      </c>
    </row>
    <row r="59" spans="1:2">
      <c r="A59" s="748"/>
      <c r="B59" s="138" t="s">
        <v>4381</v>
      </c>
    </row>
    <row r="60" spans="1:2">
      <c r="A60" s="748"/>
      <c r="B60" s="138" t="s">
        <v>4382</v>
      </c>
    </row>
    <row r="61" spans="1:2" ht="26">
      <c r="A61" s="748"/>
      <c r="B61" s="139" t="s">
        <v>4383</v>
      </c>
    </row>
    <row r="62" spans="1:2" ht="13.5">
      <c r="A62" s="748"/>
      <c r="B62" s="133" t="s">
        <v>4343</v>
      </c>
    </row>
    <row r="63" spans="1:2">
      <c r="A63" s="748"/>
      <c r="B63" s="136" t="s">
        <v>4344</v>
      </c>
    </row>
    <row r="64" spans="1:2" ht="13.5">
      <c r="A64" s="748"/>
      <c r="B64" s="133" t="s">
        <v>4356</v>
      </c>
    </row>
    <row r="65" spans="1:2">
      <c r="A65" s="748"/>
      <c r="B65" s="136" t="s">
        <v>4344</v>
      </c>
    </row>
    <row r="66" spans="1:2" ht="13.5">
      <c r="A66" s="778" t="s">
        <v>4384</v>
      </c>
      <c r="B66" s="132" t="s">
        <v>4337</v>
      </c>
    </row>
    <row r="67" spans="1:2" ht="13.5">
      <c r="A67" s="778"/>
      <c r="B67" s="133" t="s">
        <v>4338</v>
      </c>
    </row>
    <row r="68" spans="1:2" ht="26">
      <c r="A68" s="778"/>
      <c r="B68" s="138" t="s">
        <v>4385</v>
      </c>
    </row>
    <row r="69" spans="1:2" ht="26">
      <c r="A69" s="778"/>
      <c r="B69" s="138" t="s">
        <v>4386</v>
      </c>
    </row>
    <row r="70" spans="1:2">
      <c r="A70" s="778"/>
      <c r="B70" s="138" t="s">
        <v>4377</v>
      </c>
    </row>
    <row r="71" spans="1:2">
      <c r="A71" s="778"/>
      <c r="B71" s="138" t="s">
        <v>4387</v>
      </c>
    </row>
    <row r="72" spans="1:2">
      <c r="A72" s="778"/>
      <c r="B72" s="138" t="s">
        <v>4388</v>
      </c>
    </row>
    <row r="73" spans="1:2">
      <c r="A73" s="778"/>
      <c r="B73" s="138" t="s">
        <v>4389</v>
      </c>
    </row>
    <row r="74" spans="1:2" ht="26">
      <c r="A74" s="778"/>
      <c r="B74" s="138" t="s">
        <v>4390</v>
      </c>
    </row>
    <row r="75" spans="1:2" ht="52">
      <c r="A75" s="778"/>
      <c r="B75" s="138" t="s">
        <v>4391</v>
      </c>
    </row>
    <row r="76" spans="1:2" ht="13.5">
      <c r="A76" s="778"/>
      <c r="B76" s="133" t="s">
        <v>4343</v>
      </c>
    </row>
    <row r="77" spans="1:2">
      <c r="A77" s="778"/>
      <c r="B77" s="136" t="s">
        <v>4344</v>
      </c>
    </row>
    <row r="78" spans="1:2" ht="13.5">
      <c r="A78" s="778"/>
      <c r="B78" s="133" t="s">
        <v>4356</v>
      </c>
    </row>
    <row r="79" spans="1:2">
      <c r="A79" s="778"/>
      <c r="B79" s="136" t="s">
        <v>4344</v>
      </c>
    </row>
    <row r="80" spans="1:2" ht="13.5">
      <c r="A80" s="748" t="s">
        <v>4392</v>
      </c>
      <c r="B80" s="132" t="s">
        <v>4337</v>
      </c>
    </row>
    <row r="81" spans="1:2" ht="13.5">
      <c r="A81" s="748"/>
      <c r="B81" s="133" t="s">
        <v>4338</v>
      </c>
    </row>
    <row r="82" spans="1:2" ht="26">
      <c r="A82" s="748"/>
      <c r="B82" s="138" t="s">
        <v>4385</v>
      </c>
    </row>
    <row r="83" spans="1:2" ht="26">
      <c r="A83" s="748"/>
      <c r="B83" s="138" t="s">
        <v>4393</v>
      </c>
    </row>
    <row r="84" spans="1:2">
      <c r="A84" s="748"/>
      <c r="B84" s="138" t="s">
        <v>4377</v>
      </c>
    </row>
    <row r="85" spans="1:2">
      <c r="A85" s="748"/>
      <c r="B85" s="138" t="s">
        <v>4387</v>
      </c>
    </row>
    <row r="86" spans="1:2">
      <c r="A86" s="748"/>
      <c r="B86" s="138" t="s">
        <v>4394</v>
      </c>
    </row>
    <row r="87" spans="1:2">
      <c r="A87" s="748"/>
      <c r="B87" s="138" t="s">
        <v>4395</v>
      </c>
    </row>
    <row r="88" spans="1:2">
      <c r="A88" s="748"/>
      <c r="B88" s="138" t="s">
        <v>4396</v>
      </c>
    </row>
    <row r="89" spans="1:2">
      <c r="A89" s="748"/>
      <c r="B89" s="138" t="s">
        <v>4397</v>
      </c>
    </row>
    <row r="90" spans="1:2" ht="26">
      <c r="A90" s="748"/>
      <c r="B90" s="138" t="s">
        <v>4398</v>
      </c>
    </row>
    <row r="91" spans="1:2">
      <c r="A91" s="748"/>
      <c r="B91" s="139" t="s">
        <v>4399</v>
      </c>
    </row>
    <row r="92" spans="1:2" ht="13.5">
      <c r="A92" s="748"/>
      <c r="B92" s="133" t="s">
        <v>4343</v>
      </c>
    </row>
    <row r="93" spans="1:2">
      <c r="A93" s="748"/>
      <c r="B93" s="136" t="s">
        <v>4344</v>
      </c>
    </row>
    <row r="94" spans="1:2" ht="13.5">
      <c r="A94" s="748"/>
      <c r="B94" s="133" t="s">
        <v>4356</v>
      </c>
    </row>
    <row r="95" spans="1:2">
      <c r="A95" s="748"/>
      <c r="B95" s="136" t="s">
        <v>4344</v>
      </c>
    </row>
    <row r="96" spans="1:2" ht="13.5">
      <c r="A96" s="777" t="s">
        <v>4400</v>
      </c>
      <c r="B96" s="132" t="s">
        <v>4337</v>
      </c>
    </row>
    <row r="97" spans="1:2" ht="13.5">
      <c r="A97" s="777"/>
      <c r="B97" s="133" t="s">
        <v>4338</v>
      </c>
    </row>
    <row r="98" spans="1:2" ht="26">
      <c r="A98" s="777"/>
      <c r="B98" s="136" t="s">
        <v>4401</v>
      </c>
    </row>
    <row r="99" spans="1:2" ht="26">
      <c r="A99" s="777"/>
      <c r="B99" s="138" t="s">
        <v>4402</v>
      </c>
    </row>
    <row r="100" spans="1:2" ht="26">
      <c r="A100" s="777"/>
      <c r="B100" s="138" t="s">
        <v>4403</v>
      </c>
    </row>
    <row r="101" spans="1:2">
      <c r="A101" s="777"/>
      <c r="B101" s="138" t="s">
        <v>4404</v>
      </c>
    </row>
    <row r="102" spans="1:2" ht="26">
      <c r="A102" s="777"/>
      <c r="B102" s="138" t="s">
        <v>4405</v>
      </c>
    </row>
    <row r="103" spans="1:2" ht="52">
      <c r="A103" s="777"/>
      <c r="B103" s="138" t="s">
        <v>4406</v>
      </c>
    </row>
    <row r="104" spans="1:2" ht="26">
      <c r="A104" s="777"/>
      <c r="B104" s="138" t="s">
        <v>4407</v>
      </c>
    </row>
    <row r="105" spans="1:2">
      <c r="A105" s="777"/>
      <c r="B105" s="138" t="s">
        <v>4408</v>
      </c>
    </row>
    <row r="106" spans="1:2" ht="26">
      <c r="A106" s="777"/>
      <c r="B106" s="138" t="s">
        <v>4409</v>
      </c>
    </row>
    <row r="107" spans="1:2" ht="13.5">
      <c r="A107" s="777"/>
      <c r="B107" s="133" t="s">
        <v>4343</v>
      </c>
    </row>
    <row r="108" spans="1:2">
      <c r="A108" s="777"/>
      <c r="B108" s="136" t="s">
        <v>4344</v>
      </c>
    </row>
    <row r="109" spans="1:2" ht="13.5">
      <c r="A109" s="777"/>
      <c r="B109" s="133" t="s">
        <v>4356</v>
      </c>
    </row>
    <row r="110" spans="1:2">
      <c r="A110" s="777"/>
      <c r="B110" s="136" t="s">
        <v>4344</v>
      </c>
    </row>
    <row r="111" spans="1:2" ht="13.5">
      <c r="A111" s="777" t="s">
        <v>4410</v>
      </c>
      <c r="B111" s="132" t="s">
        <v>4337</v>
      </c>
    </row>
    <row r="112" spans="1:2" ht="13.5">
      <c r="A112" s="777"/>
      <c r="B112" s="133" t="s">
        <v>4338</v>
      </c>
    </row>
    <row r="113" spans="1:2" ht="26">
      <c r="A113" s="777"/>
      <c r="B113" s="136" t="s">
        <v>4401</v>
      </c>
    </row>
    <row r="114" spans="1:2" ht="26">
      <c r="A114" s="777"/>
      <c r="B114" s="138" t="s">
        <v>4402</v>
      </c>
    </row>
    <row r="115" spans="1:2" ht="26">
      <c r="A115" s="777"/>
      <c r="B115" s="138" t="s">
        <v>4403</v>
      </c>
    </row>
    <row r="116" spans="1:2">
      <c r="A116" s="777"/>
      <c r="B116" s="138" t="s">
        <v>4404</v>
      </c>
    </row>
    <row r="117" spans="1:2" ht="26">
      <c r="A117" s="777"/>
      <c r="B117" s="138" t="s">
        <v>4405</v>
      </c>
    </row>
    <row r="118" spans="1:2" ht="52">
      <c r="A118" s="777"/>
      <c r="B118" s="138" t="s">
        <v>4406</v>
      </c>
    </row>
    <row r="119" spans="1:2" ht="26">
      <c r="A119" s="777"/>
      <c r="B119" s="138" t="s">
        <v>4407</v>
      </c>
    </row>
    <row r="120" spans="1:2">
      <c r="A120" s="777"/>
      <c r="B120" s="138" t="s">
        <v>4408</v>
      </c>
    </row>
    <row r="121" spans="1:2" ht="26">
      <c r="A121" s="777"/>
      <c r="B121" s="138" t="s">
        <v>4409</v>
      </c>
    </row>
    <row r="122" spans="1:2" ht="13.5">
      <c r="A122" s="777"/>
      <c r="B122" s="133" t="s">
        <v>4343</v>
      </c>
    </row>
    <row r="123" spans="1:2">
      <c r="A123" s="777"/>
      <c r="B123" s="136" t="s">
        <v>4344</v>
      </c>
    </row>
    <row r="124" spans="1:2" ht="13.5">
      <c r="A124" s="777"/>
      <c r="B124" s="133" t="s">
        <v>4356</v>
      </c>
    </row>
    <row r="125" spans="1:2">
      <c r="A125" s="777"/>
      <c r="B125" s="136" t="s">
        <v>4344</v>
      </c>
    </row>
    <row r="128" spans="1:2">
      <c r="A128" s="140"/>
    </row>
    <row r="129" spans="1:1">
      <c r="A129" s="140"/>
    </row>
    <row r="130" spans="1:1">
      <c r="A130" s="140"/>
    </row>
    <row r="131" spans="1:1">
      <c r="A131" s="140"/>
    </row>
    <row r="132" spans="1:1">
      <c r="A132" s="140"/>
    </row>
  </sheetData>
  <mergeCells count="8">
    <mergeCell ref="A80:A95"/>
    <mergeCell ref="A96:A110"/>
    <mergeCell ref="A111:A125"/>
    <mergeCell ref="A66:A79"/>
    <mergeCell ref="A4:A13"/>
    <mergeCell ref="A14:A28"/>
    <mergeCell ref="A29:A50"/>
    <mergeCell ref="A51:A65"/>
  </mergeCells>
  <hyperlinks>
    <hyperlink ref="A1" location="Sommaire!A1" display="Sommaire!A1" xr:uid="{00000000-0004-0000-3500-000000000000}"/>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Feuil37"/>
  <dimension ref="A1:B39"/>
  <sheetViews>
    <sheetView showGridLines="0" workbookViewId="0"/>
  </sheetViews>
  <sheetFormatPr baseColWidth="10" defaultColWidth="11.5" defaultRowHeight="12"/>
  <cols>
    <col min="1" max="1" width="22.1640625" style="5" customWidth="1"/>
    <col min="2" max="2" width="81.5" style="5" customWidth="1"/>
    <col min="3" max="16384" width="11.5" style="5"/>
  </cols>
  <sheetData>
    <row r="1" spans="1:2" ht="14.5">
      <c r="A1" s="560" t="s">
        <v>140</v>
      </c>
    </row>
    <row r="2" spans="1:2" ht="19">
      <c r="A2" s="216" t="s">
        <v>4411</v>
      </c>
    </row>
    <row r="4" spans="1:2">
      <c r="A4" s="781" t="s">
        <v>4412</v>
      </c>
      <c r="B4" s="141" t="s">
        <v>4413</v>
      </c>
    </row>
    <row r="5" spans="1:2">
      <c r="A5" s="781"/>
      <c r="B5" s="142" t="s">
        <v>4338</v>
      </c>
    </row>
    <row r="6" spans="1:2" ht="24">
      <c r="A6" s="781"/>
      <c r="B6" s="143" t="s">
        <v>4414</v>
      </c>
    </row>
    <row r="7" spans="1:2">
      <c r="A7" s="781"/>
      <c r="B7" s="143" t="s">
        <v>4415</v>
      </c>
    </row>
    <row r="8" spans="1:2">
      <c r="A8" s="781"/>
      <c r="B8" s="143" t="s">
        <v>4416</v>
      </c>
    </row>
    <row r="9" spans="1:2">
      <c r="A9" s="781"/>
      <c r="B9" s="143" t="s">
        <v>4417</v>
      </c>
    </row>
    <row r="10" spans="1:2">
      <c r="A10" s="781"/>
      <c r="B10" s="143" t="s">
        <v>4418</v>
      </c>
    </row>
    <row r="11" spans="1:2" ht="24">
      <c r="A11" s="781"/>
      <c r="B11" s="143" t="s">
        <v>4419</v>
      </c>
    </row>
    <row r="12" spans="1:2" ht="24">
      <c r="A12" s="781"/>
      <c r="B12" s="143" t="s">
        <v>4420</v>
      </c>
    </row>
    <row r="13" spans="1:2" ht="36">
      <c r="A13" s="781"/>
      <c r="B13" s="143" t="s">
        <v>4421</v>
      </c>
    </row>
    <row r="14" spans="1:2">
      <c r="A14" s="781"/>
      <c r="B14" s="142" t="s">
        <v>4422</v>
      </c>
    </row>
    <row r="15" spans="1:2" ht="24">
      <c r="A15" s="781"/>
      <c r="B15" s="143" t="s">
        <v>4423</v>
      </c>
    </row>
    <row r="16" spans="1:2">
      <c r="A16" s="779" t="s">
        <v>4424</v>
      </c>
      <c r="B16" s="141" t="s">
        <v>4413</v>
      </c>
    </row>
    <row r="17" spans="1:2">
      <c r="A17" s="779"/>
      <c r="B17" s="142" t="s">
        <v>4338</v>
      </c>
    </row>
    <row r="18" spans="1:2" ht="24">
      <c r="A18" s="779"/>
      <c r="B18" s="143" t="s">
        <v>4414</v>
      </c>
    </row>
    <row r="19" spans="1:2">
      <c r="A19" s="779"/>
      <c r="B19" s="143" t="s">
        <v>4425</v>
      </c>
    </row>
    <row r="20" spans="1:2">
      <c r="A20" s="779"/>
      <c r="B20" s="143" t="s">
        <v>4416</v>
      </c>
    </row>
    <row r="21" spans="1:2">
      <c r="A21" s="779"/>
      <c r="B21" s="143" t="s">
        <v>4417</v>
      </c>
    </row>
    <row r="22" spans="1:2" ht="24">
      <c r="A22" s="779"/>
      <c r="B22" s="143" t="s">
        <v>4426</v>
      </c>
    </row>
    <row r="23" spans="1:2" ht="24">
      <c r="A23" s="779"/>
      <c r="B23" s="143" t="s">
        <v>4427</v>
      </c>
    </row>
    <row r="24" spans="1:2">
      <c r="A24" s="779"/>
      <c r="B24" s="142" t="s">
        <v>4422</v>
      </c>
    </row>
    <row r="25" spans="1:2" ht="24">
      <c r="A25" s="779"/>
      <c r="B25" s="144" t="s">
        <v>4423</v>
      </c>
    </row>
    <row r="26" spans="1:2">
      <c r="A26" s="780" t="s">
        <v>4428</v>
      </c>
      <c r="B26" s="141" t="s">
        <v>4413</v>
      </c>
    </row>
    <row r="27" spans="1:2">
      <c r="A27" s="780"/>
      <c r="B27" s="142" t="s">
        <v>4338</v>
      </c>
    </row>
    <row r="28" spans="1:2" ht="24">
      <c r="A28" s="780"/>
      <c r="B28" s="144" t="s">
        <v>4429</v>
      </c>
    </row>
    <row r="29" spans="1:2" ht="24">
      <c r="A29" s="780"/>
      <c r="B29" s="144" t="s">
        <v>4430</v>
      </c>
    </row>
    <row r="30" spans="1:2" ht="24">
      <c r="A30" s="780"/>
      <c r="B30" s="144" t="s">
        <v>4431</v>
      </c>
    </row>
    <row r="31" spans="1:2" ht="36">
      <c r="A31" s="780"/>
      <c r="B31" s="144" t="s">
        <v>4432</v>
      </c>
    </row>
    <row r="32" spans="1:2" ht="36">
      <c r="A32" s="780"/>
      <c r="B32" s="144" t="s">
        <v>4433</v>
      </c>
    </row>
    <row r="33" spans="1:2">
      <c r="A33" s="780"/>
      <c r="B33" s="142" t="s">
        <v>4422</v>
      </c>
    </row>
    <row r="34" spans="1:2" ht="24">
      <c r="A34" s="780"/>
      <c r="B34" s="144" t="s">
        <v>4423</v>
      </c>
    </row>
    <row r="35" spans="1:2">
      <c r="A35" s="779" t="s">
        <v>4400</v>
      </c>
      <c r="B35" s="141" t="s">
        <v>4413</v>
      </c>
    </row>
    <row r="36" spans="1:2">
      <c r="A36" s="779"/>
      <c r="B36" s="142" t="s">
        <v>4338</v>
      </c>
    </row>
    <row r="37" spans="1:2">
      <c r="A37" s="779"/>
      <c r="B37" s="144" t="s">
        <v>4434</v>
      </c>
    </row>
    <row r="38" spans="1:2">
      <c r="A38" s="779"/>
      <c r="B38" s="142" t="s">
        <v>4422</v>
      </c>
    </row>
    <row r="39" spans="1:2" ht="24">
      <c r="A39" s="779"/>
      <c r="B39" s="144" t="s">
        <v>4435</v>
      </c>
    </row>
  </sheetData>
  <mergeCells count="4">
    <mergeCell ref="A16:A25"/>
    <mergeCell ref="A26:A34"/>
    <mergeCell ref="A35:A39"/>
    <mergeCell ref="A4:A15"/>
  </mergeCells>
  <hyperlinks>
    <hyperlink ref="A1" location="Sommaire!A1" display="Sommaire!A1" xr:uid="{00000000-0004-0000-3600-000000000000}"/>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Feuil38"/>
  <dimension ref="A1:B76"/>
  <sheetViews>
    <sheetView showGridLines="0" workbookViewId="0"/>
  </sheetViews>
  <sheetFormatPr baseColWidth="10" defaultColWidth="11.5" defaultRowHeight="12"/>
  <cols>
    <col min="1" max="1" width="19.6640625" style="5" customWidth="1"/>
    <col min="2" max="2" width="76.33203125" style="5" customWidth="1"/>
    <col min="3" max="16384" width="11.5" style="5"/>
  </cols>
  <sheetData>
    <row r="1" spans="1:2" ht="14.5">
      <c r="A1" s="560" t="s">
        <v>140</v>
      </c>
    </row>
    <row r="2" spans="1:2" ht="19">
      <c r="A2" s="216" t="s">
        <v>4436</v>
      </c>
    </row>
    <row r="4" spans="1:2">
      <c r="A4" s="781" t="s">
        <v>4336</v>
      </c>
      <c r="B4" s="141" t="s">
        <v>4437</v>
      </c>
    </row>
    <row r="5" spans="1:2">
      <c r="A5" s="781"/>
      <c r="B5" s="145" t="s">
        <v>4338</v>
      </c>
    </row>
    <row r="6" spans="1:2" ht="24">
      <c r="A6" s="781"/>
      <c r="B6" s="143" t="s">
        <v>4438</v>
      </c>
    </row>
    <row r="7" spans="1:2">
      <c r="A7" s="781"/>
      <c r="B7" s="143" t="s">
        <v>4439</v>
      </c>
    </row>
    <row r="8" spans="1:2">
      <c r="A8" s="781"/>
      <c r="B8" s="143" t="s">
        <v>4440</v>
      </c>
    </row>
    <row r="9" spans="1:2">
      <c r="A9" s="781"/>
      <c r="B9" s="145" t="s">
        <v>4441</v>
      </c>
    </row>
    <row r="10" spans="1:2" ht="24">
      <c r="A10" s="781"/>
      <c r="B10" s="144" t="s">
        <v>4423</v>
      </c>
    </row>
    <row r="11" spans="1:2">
      <c r="A11" s="781" t="s">
        <v>4346</v>
      </c>
      <c r="B11" s="141" t="s">
        <v>4437</v>
      </c>
    </row>
    <row r="12" spans="1:2">
      <c r="A12" s="781"/>
      <c r="B12" s="145" t="s">
        <v>4338</v>
      </c>
    </row>
    <row r="13" spans="1:2" ht="36">
      <c r="A13" s="781"/>
      <c r="B13" s="146" t="s">
        <v>4442</v>
      </c>
    </row>
    <row r="14" spans="1:2" ht="24">
      <c r="A14" s="781"/>
      <c r="B14" s="147" t="s">
        <v>4443</v>
      </c>
    </row>
    <row r="15" spans="1:2">
      <c r="A15" s="781"/>
      <c r="B15" s="147" t="s">
        <v>4444</v>
      </c>
    </row>
    <row r="16" spans="1:2" ht="36">
      <c r="A16" s="781"/>
      <c r="B16" s="147" t="s">
        <v>4445</v>
      </c>
    </row>
    <row r="17" spans="1:2" ht="24">
      <c r="A17" s="781"/>
      <c r="B17" s="147" t="s">
        <v>4446</v>
      </c>
    </row>
    <row r="18" spans="1:2" ht="36">
      <c r="A18" s="781"/>
      <c r="B18" s="147" t="s">
        <v>4447</v>
      </c>
    </row>
    <row r="19" spans="1:2" ht="36">
      <c r="A19" s="781"/>
      <c r="B19" s="147" t="s">
        <v>4448</v>
      </c>
    </row>
    <row r="20" spans="1:2" ht="36">
      <c r="A20" s="781"/>
      <c r="B20" s="147" t="s">
        <v>4449</v>
      </c>
    </row>
    <row r="21" spans="1:2" ht="24">
      <c r="A21" s="781"/>
      <c r="B21" s="147" t="s">
        <v>4450</v>
      </c>
    </row>
    <row r="22" spans="1:2">
      <c r="A22" s="781"/>
      <c r="B22" s="147" t="s">
        <v>4451</v>
      </c>
    </row>
    <row r="23" spans="1:2" ht="24">
      <c r="A23" s="781"/>
      <c r="B23" s="147" t="s">
        <v>4452</v>
      </c>
    </row>
    <row r="24" spans="1:2">
      <c r="A24" s="781"/>
      <c r="B24" s="145" t="s">
        <v>4441</v>
      </c>
    </row>
    <row r="25" spans="1:2" ht="24">
      <c r="A25" s="781"/>
      <c r="B25" s="144" t="s">
        <v>4423</v>
      </c>
    </row>
    <row r="26" spans="1:2">
      <c r="A26" s="781" t="s">
        <v>4357</v>
      </c>
      <c r="B26" s="141" t="s">
        <v>4437</v>
      </c>
    </row>
    <row r="27" spans="1:2">
      <c r="A27" s="781"/>
      <c r="B27" s="145" t="s">
        <v>4338</v>
      </c>
    </row>
    <row r="28" spans="1:2" ht="36">
      <c r="A28" s="781"/>
      <c r="B28" s="148" t="s">
        <v>4453</v>
      </c>
    </row>
    <row r="29" spans="1:2" ht="24">
      <c r="A29" s="781"/>
      <c r="B29" s="149" t="s">
        <v>4454</v>
      </c>
    </row>
    <row r="30" spans="1:2">
      <c r="A30" s="781"/>
      <c r="B30" s="149" t="s">
        <v>4444</v>
      </c>
    </row>
    <row r="31" spans="1:2">
      <c r="A31" s="781"/>
      <c r="B31" s="149" t="s">
        <v>4455</v>
      </c>
    </row>
    <row r="32" spans="1:2" ht="24">
      <c r="A32" s="781"/>
      <c r="B32" s="149" t="s">
        <v>4456</v>
      </c>
    </row>
    <row r="33" spans="1:2" ht="36">
      <c r="A33" s="781"/>
      <c r="B33" s="149" t="s">
        <v>4457</v>
      </c>
    </row>
    <row r="34" spans="1:2">
      <c r="A34" s="781"/>
      <c r="B34" s="149" t="s">
        <v>4458</v>
      </c>
    </row>
    <row r="35" spans="1:2">
      <c r="A35" s="781"/>
      <c r="B35" s="145" t="s">
        <v>4441</v>
      </c>
    </row>
    <row r="36" spans="1:2" ht="24">
      <c r="A36" s="781"/>
      <c r="B36" s="144" t="s">
        <v>4423</v>
      </c>
    </row>
    <row r="37" spans="1:2" ht="20.5" customHeight="1">
      <c r="A37" s="781" t="s">
        <v>4374</v>
      </c>
      <c r="B37" s="141" t="s">
        <v>4437</v>
      </c>
    </row>
    <row r="38" spans="1:2" ht="20.5" customHeight="1">
      <c r="A38" s="781"/>
      <c r="B38" s="145" t="s">
        <v>4338</v>
      </c>
    </row>
    <row r="39" spans="1:2" ht="24">
      <c r="A39" s="781"/>
      <c r="B39" s="144" t="s">
        <v>4344</v>
      </c>
    </row>
    <row r="40" spans="1:2">
      <c r="A40" s="781"/>
      <c r="B40" s="145" t="s">
        <v>4441</v>
      </c>
    </row>
    <row r="41" spans="1:2" ht="24">
      <c r="A41" s="781"/>
      <c r="B41" s="144" t="s">
        <v>4423</v>
      </c>
    </row>
    <row r="42" spans="1:2">
      <c r="A42" s="779" t="s">
        <v>4384</v>
      </c>
      <c r="B42" s="141" t="s">
        <v>4437</v>
      </c>
    </row>
    <row r="43" spans="1:2">
      <c r="A43" s="779"/>
      <c r="B43" s="145" t="s">
        <v>4338</v>
      </c>
    </row>
    <row r="44" spans="1:2" ht="36">
      <c r="A44" s="779"/>
      <c r="B44" s="148" t="s">
        <v>4459</v>
      </c>
    </row>
    <row r="45" spans="1:2" ht="24">
      <c r="A45" s="779"/>
      <c r="B45" s="149" t="s">
        <v>4460</v>
      </c>
    </row>
    <row r="46" spans="1:2">
      <c r="A46" s="779"/>
      <c r="B46" s="149" t="s">
        <v>4444</v>
      </c>
    </row>
    <row r="47" spans="1:2" ht="24">
      <c r="A47" s="779"/>
      <c r="B47" s="149" t="s">
        <v>4461</v>
      </c>
    </row>
    <row r="48" spans="1:2" ht="24">
      <c r="A48" s="779"/>
      <c r="B48" s="149" t="s">
        <v>4462</v>
      </c>
    </row>
    <row r="49" spans="1:2" ht="24">
      <c r="A49" s="779"/>
      <c r="B49" s="149" t="s">
        <v>4463</v>
      </c>
    </row>
    <row r="50" spans="1:2">
      <c r="A50" s="779"/>
      <c r="B50" s="145" t="s">
        <v>4441</v>
      </c>
    </row>
    <row r="51" spans="1:2" ht="24">
      <c r="A51" s="779"/>
      <c r="B51" s="144" t="s">
        <v>4423</v>
      </c>
    </row>
    <row r="52" spans="1:2" ht="20.5" customHeight="1">
      <c r="A52" s="781" t="s">
        <v>4392</v>
      </c>
      <c r="B52" s="141" t="s">
        <v>4437</v>
      </c>
    </row>
    <row r="53" spans="1:2">
      <c r="A53" s="781"/>
      <c r="B53" s="145" t="s">
        <v>4338</v>
      </c>
    </row>
    <row r="54" spans="1:2" ht="36">
      <c r="A54" s="781"/>
      <c r="B54" s="148" t="s">
        <v>4464</v>
      </c>
    </row>
    <row r="55" spans="1:2" ht="24">
      <c r="A55" s="781"/>
      <c r="B55" s="149" t="s">
        <v>4460</v>
      </c>
    </row>
    <row r="56" spans="1:2">
      <c r="A56" s="781"/>
      <c r="B56" s="149" t="s">
        <v>4444</v>
      </c>
    </row>
    <row r="57" spans="1:2" ht="24">
      <c r="A57" s="781"/>
      <c r="B57" s="149" t="s">
        <v>4465</v>
      </c>
    </row>
    <row r="58" spans="1:2" ht="24">
      <c r="A58" s="781"/>
      <c r="B58" s="149" t="s">
        <v>4466</v>
      </c>
    </row>
    <row r="59" spans="1:2" ht="24">
      <c r="A59" s="781"/>
      <c r="B59" s="149" t="s">
        <v>4462</v>
      </c>
    </row>
    <row r="60" spans="1:2">
      <c r="A60" s="781"/>
      <c r="B60" s="149" t="s">
        <v>4467</v>
      </c>
    </row>
    <row r="61" spans="1:2">
      <c r="A61" s="781"/>
      <c r="B61" s="145" t="s">
        <v>4441</v>
      </c>
    </row>
    <row r="62" spans="1:2" ht="24">
      <c r="A62" s="781"/>
      <c r="B62" s="144" t="s">
        <v>4423</v>
      </c>
    </row>
    <row r="63" spans="1:2" ht="30.75" customHeight="1">
      <c r="A63" s="781" t="s">
        <v>4400</v>
      </c>
      <c r="B63" s="141" t="s">
        <v>4437</v>
      </c>
    </row>
    <row r="64" spans="1:2" ht="30.75" customHeight="1">
      <c r="A64" s="781"/>
      <c r="B64" s="145" t="s">
        <v>4338</v>
      </c>
    </row>
    <row r="65" spans="1:2" ht="36">
      <c r="A65" s="781"/>
      <c r="B65" s="148" t="s">
        <v>4468</v>
      </c>
    </row>
    <row r="66" spans="1:2" ht="36">
      <c r="A66" s="781"/>
      <c r="B66" s="149" t="s">
        <v>4469</v>
      </c>
    </row>
    <row r="67" spans="1:2">
      <c r="A67" s="781"/>
      <c r="B67" s="149" t="s">
        <v>4470</v>
      </c>
    </row>
    <row r="68" spans="1:2" ht="24">
      <c r="A68" s="781"/>
      <c r="B68" s="149" t="s">
        <v>4471</v>
      </c>
    </row>
    <row r="69" spans="1:2">
      <c r="A69" s="781"/>
      <c r="B69" s="149" t="s">
        <v>4472</v>
      </c>
    </row>
    <row r="70" spans="1:2">
      <c r="A70" s="781"/>
      <c r="B70" s="145" t="s">
        <v>4441</v>
      </c>
    </row>
    <row r="71" spans="1:2" ht="24">
      <c r="A71" s="781"/>
      <c r="B71" s="144" t="s">
        <v>4423</v>
      </c>
    </row>
    <row r="72" spans="1:2" ht="30.75" customHeight="1">
      <c r="A72" s="781" t="s">
        <v>4410</v>
      </c>
      <c r="B72" s="141" t="s">
        <v>4437</v>
      </c>
    </row>
    <row r="73" spans="1:2">
      <c r="A73" s="781"/>
      <c r="B73" s="145" t="s">
        <v>4338</v>
      </c>
    </row>
    <row r="74" spans="1:2" ht="36">
      <c r="A74" s="781"/>
      <c r="B74" s="149" t="s">
        <v>4473</v>
      </c>
    </row>
    <row r="75" spans="1:2">
      <c r="A75" s="781"/>
      <c r="B75" s="145" t="s">
        <v>4441</v>
      </c>
    </row>
    <row r="76" spans="1:2" ht="24">
      <c r="A76" s="781"/>
      <c r="B76" s="144" t="s">
        <v>4423</v>
      </c>
    </row>
  </sheetData>
  <mergeCells count="8">
    <mergeCell ref="A52:A62"/>
    <mergeCell ref="A63:A71"/>
    <mergeCell ref="A72:A76"/>
    <mergeCell ref="A42:A51"/>
    <mergeCell ref="A4:A10"/>
    <mergeCell ref="A11:A25"/>
    <mergeCell ref="A26:A36"/>
    <mergeCell ref="A37:A41"/>
  </mergeCells>
  <hyperlinks>
    <hyperlink ref="A1" location="Sommaire!A1" display="Sommaire!A1" xr:uid="{00000000-0004-0000-3700-000000000000}"/>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Feuil39"/>
  <dimension ref="A1:B76"/>
  <sheetViews>
    <sheetView showGridLines="0" workbookViewId="0"/>
  </sheetViews>
  <sheetFormatPr baseColWidth="10" defaultColWidth="11.5" defaultRowHeight="13.5"/>
  <cols>
    <col min="1" max="1" width="23.33203125" style="634" customWidth="1"/>
    <col min="2" max="2" width="90.1640625" style="634" bestFit="1" customWidth="1"/>
    <col min="3" max="16384" width="11.5" style="634"/>
  </cols>
  <sheetData>
    <row r="1" spans="1:2">
      <c r="A1" s="633" t="s">
        <v>140</v>
      </c>
    </row>
    <row r="2" spans="1:2">
      <c r="A2" s="633"/>
    </row>
    <row r="3" spans="1:2" s="642" customFormat="1" ht="19">
      <c r="A3" s="632" t="s">
        <v>4474</v>
      </c>
    </row>
    <row r="4" spans="1:2" ht="14" thickBot="1"/>
    <row r="5" spans="1:2" ht="14" thickBot="1">
      <c r="A5" s="782" t="s">
        <v>4475</v>
      </c>
      <c r="B5" s="635" t="s">
        <v>4337</v>
      </c>
    </row>
    <row r="6" spans="1:2" ht="14" thickBot="1">
      <c r="A6" s="783"/>
      <c r="B6" s="636" t="s">
        <v>4338</v>
      </c>
    </row>
    <row r="7" spans="1:2">
      <c r="A7" s="783"/>
      <c r="B7" s="637" t="s">
        <v>4476</v>
      </c>
    </row>
    <row r="8" spans="1:2" ht="27">
      <c r="A8" s="783"/>
      <c r="B8" s="637" t="s">
        <v>4477</v>
      </c>
    </row>
    <row r="9" spans="1:2">
      <c r="A9" s="783"/>
      <c r="B9" s="637" t="s">
        <v>4478</v>
      </c>
    </row>
    <row r="10" spans="1:2">
      <c r="A10" s="783"/>
      <c r="B10" s="637" t="s">
        <v>4479</v>
      </c>
    </row>
    <row r="11" spans="1:2" ht="40.5">
      <c r="A11" s="783"/>
      <c r="B11" s="637" t="s">
        <v>4480</v>
      </c>
    </row>
    <row r="12" spans="1:2">
      <c r="A12" s="783"/>
      <c r="B12" s="637" t="s">
        <v>4481</v>
      </c>
    </row>
    <row r="13" spans="1:2" ht="27">
      <c r="A13" s="783"/>
      <c r="B13" s="637" t="s">
        <v>4482</v>
      </c>
    </row>
    <row r="14" spans="1:2" ht="27">
      <c r="A14" s="783"/>
      <c r="B14" s="637" t="s">
        <v>4483</v>
      </c>
    </row>
    <row r="15" spans="1:2" ht="27">
      <c r="A15" s="783"/>
      <c r="B15" s="637" t="s">
        <v>4484</v>
      </c>
    </row>
    <row r="16" spans="1:2" ht="27">
      <c r="A16" s="783"/>
      <c r="B16" s="637" t="s">
        <v>4485</v>
      </c>
    </row>
    <row r="17" spans="1:2" ht="27">
      <c r="A17" s="783"/>
      <c r="B17" s="637" t="s">
        <v>4486</v>
      </c>
    </row>
    <row r="18" spans="1:2" ht="27.5" thickBot="1">
      <c r="A18" s="783"/>
      <c r="B18" s="638" t="s">
        <v>4487</v>
      </c>
    </row>
    <row r="19" spans="1:2" ht="14" thickBot="1">
      <c r="A19" s="783"/>
      <c r="B19" s="636" t="s">
        <v>4488</v>
      </c>
    </row>
    <row r="20" spans="1:2" ht="27">
      <c r="A20" s="783"/>
      <c r="B20" s="637" t="s">
        <v>4489</v>
      </c>
    </row>
    <row r="21" spans="1:2" ht="14" thickBot="1">
      <c r="A21" s="783"/>
      <c r="B21" s="636" t="s">
        <v>4490</v>
      </c>
    </row>
    <row r="22" spans="1:2" ht="27.5" thickBot="1">
      <c r="A22" s="784"/>
      <c r="B22" s="637" t="s">
        <v>4491</v>
      </c>
    </row>
    <row r="23" spans="1:2" ht="14" thickBot="1">
      <c r="A23" s="782" t="s">
        <v>4492</v>
      </c>
      <c r="B23" s="639" t="s">
        <v>4337</v>
      </c>
    </row>
    <row r="24" spans="1:2" ht="14" thickBot="1">
      <c r="A24" s="783"/>
      <c r="B24" s="636" t="s">
        <v>4338</v>
      </c>
    </row>
    <row r="25" spans="1:2">
      <c r="A25" s="783"/>
      <c r="B25" s="640" t="s">
        <v>4493</v>
      </c>
    </row>
    <row r="26" spans="1:2" ht="40.5">
      <c r="A26" s="783"/>
      <c r="B26" s="640" t="s">
        <v>4494</v>
      </c>
    </row>
    <row r="27" spans="1:2">
      <c r="A27" s="783"/>
      <c r="B27" s="640" t="s">
        <v>4495</v>
      </c>
    </row>
    <row r="28" spans="1:2">
      <c r="A28" s="783"/>
      <c r="B28" s="640" t="s">
        <v>4496</v>
      </c>
    </row>
    <row r="29" spans="1:2" ht="27">
      <c r="A29" s="783"/>
      <c r="B29" s="640" t="s">
        <v>4497</v>
      </c>
    </row>
    <row r="30" spans="1:2" ht="40.5">
      <c r="A30" s="783"/>
      <c r="B30" s="640" t="s">
        <v>4498</v>
      </c>
    </row>
    <row r="31" spans="1:2" ht="40.5">
      <c r="A31" s="783"/>
      <c r="B31" s="640" t="s">
        <v>4499</v>
      </c>
    </row>
    <row r="32" spans="1:2" ht="27">
      <c r="A32" s="783"/>
      <c r="B32" s="640" t="s">
        <v>4500</v>
      </c>
    </row>
    <row r="33" spans="1:2" ht="27">
      <c r="A33" s="783"/>
      <c r="B33" s="640" t="s">
        <v>4501</v>
      </c>
    </row>
    <row r="34" spans="1:2" ht="27">
      <c r="A34" s="783"/>
      <c r="B34" s="640" t="s">
        <v>4502</v>
      </c>
    </row>
    <row r="35" spans="1:2" ht="27">
      <c r="A35" s="783"/>
      <c r="B35" s="640" t="s">
        <v>4503</v>
      </c>
    </row>
    <row r="36" spans="1:2">
      <c r="A36" s="783"/>
      <c r="B36" s="640" t="s">
        <v>4504</v>
      </c>
    </row>
    <row r="37" spans="1:2" ht="27">
      <c r="A37" s="783"/>
      <c r="B37" s="640" t="s">
        <v>4505</v>
      </c>
    </row>
    <row r="38" spans="1:2">
      <c r="A38" s="783"/>
      <c r="B38" s="640" t="s">
        <v>4506</v>
      </c>
    </row>
    <row r="39" spans="1:2" ht="14" thickBot="1">
      <c r="A39" s="783"/>
      <c r="B39" s="641" t="s">
        <v>4507</v>
      </c>
    </row>
    <row r="40" spans="1:2" ht="14" thickBot="1">
      <c r="A40" s="783"/>
      <c r="B40" s="636" t="s">
        <v>4508</v>
      </c>
    </row>
    <row r="41" spans="1:2" ht="27.5" thickBot="1">
      <c r="A41" s="783"/>
      <c r="B41" s="641" t="s">
        <v>4489</v>
      </c>
    </row>
    <row r="42" spans="1:2" ht="14" thickBot="1">
      <c r="A42" s="783"/>
      <c r="B42" s="636" t="s">
        <v>4356</v>
      </c>
    </row>
    <row r="43" spans="1:2" ht="27">
      <c r="A43" s="783"/>
      <c r="B43" s="640" t="s">
        <v>4509</v>
      </c>
    </row>
    <row r="44" spans="1:2" ht="27.5" thickBot="1">
      <c r="A44" s="784"/>
      <c r="B44" s="641" t="s">
        <v>4491</v>
      </c>
    </row>
    <row r="45" spans="1:2" ht="14" thickBot="1">
      <c r="A45" s="785" t="s">
        <v>4510</v>
      </c>
      <c r="B45" s="639" t="s">
        <v>4337</v>
      </c>
    </row>
    <row r="46" spans="1:2" ht="14" thickBot="1">
      <c r="A46" s="786"/>
      <c r="B46" s="636" t="s">
        <v>4338</v>
      </c>
    </row>
    <row r="47" spans="1:2">
      <c r="A47" s="786"/>
      <c r="B47" s="640" t="s">
        <v>4493</v>
      </c>
    </row>
    <row r="48" spans="1:2">
      <c r="A48" s="786"/>
      <c r="B48" s="640" t="s">
        <v>4511</v>
      </c>
    </row>
    <row r="49" spans="1:2" ht="27">
      <c r="A49" s="786"/>
      <c r="B49" s="640" t="s">
        <v>4512</v>
      </c>
    </row>
    <row r="50" spans="1:2">
      <c r="A50" s="786"/>
      <c r="B50" s="640" t="s">
        <v>4513</v>
      </c>
    </row>
    <row r="51" spans="1:2" ht="27">
      <c r="A51" s="786"/>
      <c r="B51" s="640" t="s">
        <v>4514</v>
      </c>
    </row>
    <row r="52" spans="1:2" ht="27.5" thickBot="1">
      <c r="A52" s="786"/>
      <c r="B52" s="641" t="s">
        <v>4515</v>
      </c>
    </row>
    <row r="53" spans="1:2" ht="14" thickBot="1">
      <c r="A53" s="786"/>
      <c r="B53" s="636" t="s">
        <v>4508</v>
      </c>
    </row>
    <row r="54" spans="1:2" ht="27.5" thickBot="1">
      <c r="A54" s="786"/>
      <c r="B54" s="641" t="s">
        <v>4489</v>
      </c>
    </row>
    <row r="55" spans="1:2" ht="14" thickBot="1">
      <c r="A55" s="786"/>
      <c r="B55" s="636" t="s">
        <v>4490</v>
      </c>
    </row>
    <row r="56" spans="1:2" ht="27.5" thickBot="1">
      <c r="A56" s="787"/>
      <c r="B56" s="641" t="s">
        <v>4491</v>
      </c>
    </row>
    <row r="57" spans="1:2" ht="14" thickBot="1">
      <c r="A57" s="785" t="s">
        <v>4516</v>
      </c>
      <c r="B57" s="639" t="s">
        <v>4337</v>
      </c>
    </row>
    <row r="58" spans="1:2" ht="14" thickBot="1">
      <c r="A58" s="786"/>
      <c r="B58" s="636" t="s">
        <v>4338</v>
      </c>
    </row>
    <row r="59" spans="1:2">
      <c r="A59" s="786"/>
      <c r="B59" s="640" t="s">
        <v>4476</v>
      </c>
    </row>
    <row r="60" spans="1:2" ht="27">
      <c r="A60" s="786"/>
      <c r="B60" s="640" t="s">
        <v>4517</v>
      </c>
    </row>
    <row r="61" spans="1:2" ht="42.5">
      <c r="A61" s="786"/>
      <c r="B61" s="640" t="s">
        <v>4518</v>
      </c>
    </row>
    <row r="62" spans="1:2" ht="27.5" thickBot="1">
      <c r="A62" s="786"/>
      <c r="B62" s="641" t="s">
        <v>4519</v>
      </c>
    </row>
    <row r="63" spans="1:2" ht="14" thickBot="1">
      <c r="A63" s="786"/>
      <c r="B63" s="636" t="s">
        <v>4508</v>
      </c>
    </row>
    <row r="64" spans="1:2" ht="27.5" thickBot="1">
      <c r="A64" s="786"/>
      <c r="B64" s="641" t="s">
        <v>4489</v>
      </c>
    </row>
    <row r="65" spans="1:2" ht="14" thickBot="1">
      <c r="A65" s="786"/>
      <c r="B65" s="636" t="s">
        <v>4490</v>
      </c>
    </row>
    <row r="66" spans="1:2" ht="27.5" thickBot="1">
      <c r="A66" s="787"/>
      <c r="B66" s="641" t="s">
        <v>4491</v>
      </c>
    </row>
    <row r="67" spans="1:2" ht="14" thickBot="1">
      <c r="A67" s="785" t="s">
        <v>4520</v>
      </c>
      <c r="B67" s="639" t="s">
        <v>4337</v>
      </c>
    </row>
    <row r="68" spans="1:2" ht="14" thickBot="1">
      <c r="A68" s="786"/>
      <c r="B68" s="636" t="s">
        <v>4338</v>
      </c>
    </row>
    <row r="69" spans="1:2">
      <c r="A69" s="786"/>
      <c r="B69" s="640" t="s">
        <v>4476</v>
      </c>
    </row>
    <row r="70" spans="1:2" ht="27">
      <c r="A70" s="786"/>
      <c r="B70" s="640" t="s">
        <v>4521</v>
      </c>
    </row>
    <row r="71" spans="1:2" ht="42.5">
      <c r="A71" s="786"/>
      <c r="B71" s="640" t="s">
        <v>4522</v>
      </c>
    </row>
    <row r="72" spans="1:2" ht="27.5" thickBot="1">
      <c r="A72" s="786"/>
      <c r="B72" s="641" t="s">
        <v>4523</v>
      </c>
    </row>
    <row r="73" spans="1:2" ht="14" thickBot="1">
      <c r="A73" s="786"/>
      <c r="B73" s="636" t="s">
        <v>4508</v>
      </c>
    </row>
    <row r="74" spans="1:2" ht="27.5" thickBot="1">
      <c r="A74" s="786"/>
      <c r="B74" s="641" t="s">
        <v>4489</v>
      </c>
    </row>
    <row r="75" spans="1:2" ht="14" thickBot="1">
      <c r="A75" s="786"/>
      <c r="B75" s="636" t="s">
        <v>4490</v>
      </c>
    </row>
    <row r="76" spans="1:2" ht="27.5" thickBot="1">
      <c r="A76" s="787"/>
      <c r="B76" s="641" t="s">
        <v>4491</v>
      </c>
    </row>
  </sheetData>
  <mergeCells count="5">
    <mergeCell ref="A23:A44"/>
    <mergeCell ref="A45:A56"/>
    <mergeCell ref="A57:A66"/>
    <mergeCell ref="A67:A76"/>
    <mergeCell ref="A5:A22"/>
  </mergeCells>
  <hyperlinks>
    <hyperlink ref="A1" location="Sommaire!A1" display="Sommaire!A1" xr:uid="{00000000-0004-0000-3800-000000000000}"/>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Feuil40"/>
  <dimension ref="A1:B2"/>
  <sheetViews>
    <sheetView workbookViewId="0"/>
  </sheetViews>
  <sheetFormatPr baseColWidth="10" defaultColWidth="11" defaultRowHeight="14.5"/>
  <sheetData>
    <row r="1" spans="1:2">
      <c r="A1" s="560" t="s">
        <v>140</v>
      </c>
    </row>
    <row r="2" spans="1:2" ht="19">
      <c r="A2" s="216" t="s">
        <v>4524</v>
      </c>
      <c r="B2" s="165"/>
    </row>
  </sheetData>
  <hyperlinks>
    <hyperlink ref="A1" location="Sommaire!A1" display="Sommaire!A1" xr:uid="{00000000-0004-0000-3900-000000000000}"/>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Feuil41"/>
  <dimension ref="A1:I117"/>
  <sheetViews>
    <sheetView workbookViewId="0">
      <selection activeCell="E6" sqref="E6"/>
    </sheetView>
  </sheetViews>
  <sheetFormatPr baseColWidth="10" defaultColWidth="11.33203125" defaultRowHeight="12"/>
  <cols>
    <col min="1" max="1" width="11.33203125" style="215"/>
    <col min="2" max="2" width="18.6640625" style="215" bestFit="1" customWidth="1"/>
    <col min="3" max="4" width="15.5" style="215" bestFit="1" customWidth="1"/>
    <col min="5" max="5" width="49.6640625" style="215" bestFit="1" customWidth="1"/>
    <col min="6" max="6" width="49.5" style="215" bestFit="1" customWidth="1"/>
    <col min="7" max="16384" width="11.33203125" style="215"/>
  </cols>
  <sheetData>
    <row r="1" spans="1:9" ht="14.5">
      <c r="A1" s="557" t="s">
        <v>140</v>
      </c>
    </row>
    <row r="2" spans="1:9" ht="19">
      <c r="B2" s="216" t="s">
        <v>4525</v>
      </c>
    </row>
    <row r="4" spans="1:9">
      <c r="B4" s="788" t="s">
        <v>4526</v>
      </c>
      <c r="C4" s="788" t="s">
        <v>4527</v>
      </c>
      <c r="D4" s="788"/>
      <c r="E4" s="788" t="s">
        <v>4528</v>
      </c>
      <c r="F4" s="788"/>
    </row>
    <row r="5" spans="1:9" ht="12.5" thickBot="1">
      <c r="B5" s="789"/>
      <c r="C5" s="403" t="s">
        <v>4529</v>
      </c>
      <c r="D5" s="403" t="s">
        <v>4530</v>
      </c>
      <c r="E5" s="403" t="s">
        <v>4529</v>
      </c>
      <c r="F5" s="403" t="s">
        <v>4530</v>
      </c>
    </row>
    <row r="6" spans="1:9" ht="84.5" thickTop="1">
      <c r="B6" s="213" t="s">
        <v>4531</v>
      </c>
      <c r="C6" s="213" t="s">
        <v>4532</v>
      </c>
      <c r="D6" s="213" t="s">
        <v>4532</v>
      </c>
      <c r="E6" s="213" t="s">
        <v>4533</v>
      </c>
      <c r="F6" s="213" t="s">
        <v>4534</v>
      </c>
      <c r="G6" s="222"/>
      <c r="H6" s="222"/>
      <c r="I6" s="222"/>
    </row>
    <row r="7" spans="1:9" ht="60">
      <c r="B7" s="419" t="s">
        <v>4346</v>
      </c>
      <c r="C7" s="419" t="s">
        <v>4535</v>
      </c>
      <c r="D7" s="419" t="s">
        <v>4535</v>
      </c>
      <c r="E7" s="419" t="s">
        <v>4536</v>
      </c>
      <c r="F7" s="419" t="s">
        <v>4537</v>
      </c>
      <c r="G7" s="222"/>
      <c r="H7" s="222"/>
      <c r="I7" s="222"/>
    </row>
    <row r="8" spans="1:9" ht="48">
      <c r="B8" s="213" t="s">
        <v>4357</v>
      </c>
      <c r="C8" s="213" t="s">
        <v>4538</v>
      </c>
      <c r="D8" s="213" t="s">
        <v>4538</v>
      </c>
      <c r="E8" s="213" t="s">
        <v>4539</v>
      </c>
      <c r="F8" s="213" t="s">
        <v>4540</v>
      </c>
      <c r="G8" s="222"/>
      <c r="H8" s="222"/>
      <c r="I8" s="222"/>
    </row>
    <row r="9" spans="1:9" ht="36">
      <c r="B9" s="419" t="s">
        <v>4428</v>
      </c>
      <c r="C9" s="419" t="s">
        <v>4538</v>
      </c>
      <c r="D9" s="419" t="s">
        <v>4541</v>
      </c>
      <c r="E9" s="419" t="s">
        <v>4542</v>
      </c>
      <c r="F9" s="419" t="s">
        <v>4541</v>
      </c>
      <c r="G9" s="222"/>
      <c r="H9" s="222"/>
      <c r="I9" s="222"/>
    </row>
    <row r="10" spans="1:9" ht="72">
      <c r="B10" s="213" t="s">
        <v>4374</v>
      </c>
      <c r="C10" s="213" t="s">
        <v>4535</v>
      </c>
      <c r="D10" s="213" t="s">
        <v>4535</v>
      </c>
      <c r="E10" s="213" t="s">
        <v>4543</v>
      </c>
      <c r="F10" s="213" t="s">
        <v>4544</v>
      </c>
      <c r="G10" s="222"/>
      <c r="H10" s="222"/>
      <c r="I10" s="222"/>
    </row>
    <row r="11" spans="1:9" ht="24">
      <c r="B11" s="419" t="s">
        <v>4384</v>
      </c>
      <c r="C11" s="419" t="s">
        <v>4545</v>
      </c>
      <c r="D11" s="419" t="s">
        <v>4535</v>
      </c>
      <c r="E11" s="419" t="s">
        <v>4545</v>
      </c>
      <c r="F11" s="419" t="s">
        <v>4546</v>
      </c>
      <c r="G11" s="222"/>
      <c r="H11" s="222"/>
      <c r="I11" s="222"/>
    </row>
    <row r="12" spans="1:9" ht="72">
      <c r="B12" s="213" t="s">
        <v>4392</v>
      </c>
      <c r="C12" s="213" t="s">
        <v>4535</v>
      </c>
      <c r="D12" s="213" t="s">
        <v>4535</v>
      </c>
      <c r="E12" s="213" t="s">
        <v>4547</v>
      </c>
      <c r="F12" s="213" t="s">
        <v>4548</v>
      </c>
      <c r="G12" s="222"/>
      <c r="H12" s="222"/>
      <c r="I12" s="222"/>
    </row>
    <row r="13" spans="1:9" ht="48">
      <c r="B13" s="419" t="s">
        <v>4400</v>
      </c>
      <c r="C13" s="419" t="s">
        <v>4535</v>
      </c>
      <c r="D13" s="419" t="s">
        <v>4535</v>
      </c>
      <c r="E13" s="419" t="s">
        <v>4549</v>
      </c>
      <c r="F13" s="419" t="s">
        <v>4550</v>
      </c>
      <c r="G13" s="222"/>
      <c r="H13" s="222"/>
      <c r="I13" s="222"/>
    </row>
    <row r="14" spans="1:9" ht="48">
      <c r="B14" s="213" t="s">
        <v>4410</v>
      </c>
      <c r="C14" s="213" t="s">
        <v>4551</v>
      </c>
      <c r="D14" s="213" t="s">
        <v>4551</v>
      </c>
      <c r="E14" s="213" t="s">
        <v>4552</v>
      </c>
      <c r="F14" s="213" t="s">
        <v>4553</v>
      </c>
      <c r="G14" s="222"/>
      <c r="H14" s="222"/>
      <c r="I14" s="222"/>
    </row>
    <row r="15" spans="1:9">
      <c r="B15" s="222"/>
      <c r="C15" s="222"/>
      <c r="D15" s="222"/>
      <c r="E15" s="222"/>
      <c r="F15" s="222"/>
      <c r="G15" s="222"/>
      <c r="H15" s="222"/>
      <c r="I15" s="222"/>
    </row>
    <row r="16" spans="1:9">
      <c r="B16" s="222"/>
      <c r="C16" s="222"/>
      <c r="D16" s="222"/>
      <c r="E16" s="222"/>
      <c r="F16" s="222"/>
      <c r="G16" s="222"/>
      <c r="H16" s="222"/>
      <c r="I16" s="222"/>
    </row>
    <row r="17" spans="2:9">
      <c r="B17" s="222"/>
      <c r="C17" s="222"/>
      <c r="D17" s="222"/>
      <c r="E17" s="222"/>
      <c r="F17" s="222"/>
      <c r="G17" s="222"/>
      <c r="H17" s="222"/>
      <c r="I17" s="222"/>
    </row>
    <row r="18" spans="2:9">
      <c r="B18" s="222"/>
      <c r="C18" s="222"/>
      <c r="D18" s="222"/>
      <c r="E18" s="222"/>
      <c r="F18" s="222"/>
      <c r="G18" s="222"/>
      <c r="H18" s="222"/>
      <c r="I18" s="222"/>
    </row>
    <row r="19" spans="2:9">
      <c r="B19" s="222"/>
      <c r="C19" s="222"/>
      <c r="D19" s="222"/>
      <c r="E19" s="222"/>
      <c r="F19" s="222"/>
      <c r="G19" s="222"/>
      <c r="H19" s="222"/>
      <c r="I19" s="222"/>
    </row>
    <row r="20" spans="2:9">
      <c r="B20" s="222"/>
      <c r="C20" s="222"/>
      <c r="D20" s="222"/>
      <c r="E20" s="222"/>
      <c r="F20" s="222"/>
      <c r="G20" s="222"/>
      <c r="H20" s="222"/>
      <c r="I20" s="222"/>
    </row>
    <row r="21" spans="2:9">
      <c r="B21" s="222"/>
      <c r="C21" s="222"/>
      <c r="D21" s="222"/>
      <c r="E21" s="222"/>
      <c r="F21" s="222"/>
      <c r="G21" s="222"/>
      <c r="H21" s="222"/>
      <c r="I21" s="222"/>
    </row>
    <row r="22" spans="2:9">
      <c r="B22" s="222"/>
      <c r="C22" s="222"/>
      <c r="D22" s="222"/>
      <c r="E22" s="222"/>
      <c r="F22" s="222"/>
      <c r="G22" s="222"/>
      <c r="H22" s="222"/>
      <c r="I22" s="222"/>
    </row>
    <row r="23" spans="2:9">
      <c r="B23" s="222"/>
      <c r="C23" s="222"/>
      <c r="D23" s="222"/>
      <c r="E23" s="222"/>
      <c r="F23" s="222"/>
      <c r="G23" s="222"/>
      <c r="H23" s="222"/>
      <c r="I23" s="222"/>
    </row>
    <row r="24" spans="2:9">
      <c r="B24" s="222"/>
      <c r="C24" s="222"/>
      <c r="D24" s="222"/>
      <c r="E24" s="222"/>
      <c r="F24" s="222"/>
      <c r="G24" s="222"/>
      <c r="H24" s="222"/>
      <c r="I24" s="222"/>
    </row>
    <row r="25" spans="2:9">
      <c r="B25" s="222"/>
      <c r="C25" s="222"/>
      <c r="D25" s="222"/>
      <c r="E25" s="222"/>
      <c r="F25" s="222"/>
      <c r="G25" s="222"/>
      <c r="H25" s="222"/>
      <c r="I25" s="222"/>
    </row>
    <row r="26" spans="2:9">
      <c r="B26" s="222"/>
      <c r="C26" s="222"/>
      <c r="D26" s="222"/>
      <c r="E26" s="222"/>
      <c r="F26" s="222"/>
      <c r="G26" s="222"/>
      <c r="H26" s="222"/>
      <c r="I26" s="222"/>
    </row>
    <row r="27" spans="2:9">
      <c r="B27" s="222"/>
      <c r="C27" s="222"/>
      <c r="D27" s="222"/>
      <c r="E27" s="222"/>
      <c r="F27" s="222"/>
      <c r="G27" s="222"/>
      <c r="H27" s="222"/>
      <c r="I27" s="222"/>
    </row>
    <row r="28" spans="2:9">
      <c r="B28" s="222"/>
      <c r="C28" s="222"/>
      <c r="D28" s="222"/>
      <c r="E28" s="222"/>
      <c r="F28" s="222"/>
      <c r="G28" s="222"/>
      <c r="H28" s="222"/>
      <c r="I28" s="222"/>
    </row>
    <row r="29" spans="2:9">
      <c r="B29" s="222"/>
      <c r="C29" s="222"/>
      <c r="D29" s="222"/>
      <c r="E29" s="222"/>
      <c r="F29" s="222"/>
      <c r="G29" s="222"/>
      <c r="H29" s="222"/>
      <c r="I29" s="222"/>
    </row>
    <row r="30" spans="2:9">
      <c r="B30" s="222"/>
      <c r="C30" s="222"/>
      <c r="D30" s="222"/>
      <c r="E30" s="222"/>
      <c r="F30" s="222"/>
      <c r="G30" s="222"/>
      <c r="H30" s="222"/>
      <c r="I30" s="222"/>
    </row>
    <row r="31" spans="2:9">
      <c r="B31" s="222"/>
      <c r="C31" s="222"/>
      <c r="D31" s="222"/>
      <c r="E31" s="222"/>
      <c r="F31" s="222"/>
      <c r="G31" s="222"/>
      <c r="H31" s="222"/>
      <c r="I31" s="222"/>
    </row>
    <row r="32" spans="2:9">
      <c r="B32" s="222"/>
      <c r="C32" s="222"/>
      <c r="D32" s="222"/>
      <c r="E32" s="222"/>
      <c r="F32" s="222"/>
      <c r="G32" s="222"/>
      <c r="H32" s="222"/>
      <c r="I32" s="222"/>
    </row>
    <row r="33" spans="2:9">
      <c r="B33" s="222"/>
      <c r="C33" s="222"/>
      <c r="D33" s="222"/>
      <c r="E33" s="222"/>
      <c r="F33" s="222"/>
      <c r="G33" s="222"/>
      <c r="H33" s="222"/>
      <c r="I33" s="222"/>
    </row>
    <row r="34" spans="2:9">
      <c r="B34" s="222"/>
      <c r="C34" s="222"/>
      <c r="D34" s="222"/>
      <c r="E34" s="222"/>
      <c r="F34" s="222"/>
      <c r="G34" s="222"/>
      <c r="H34" s="222"/>
      <c r="I34" s="222"/>
    </row>
    <row r="35" spans="2:9">
      <c r="B35" s="222"/>
      <c r="C35" s="222"/>
      <c r="D35" s="222"/>
      <c r="E35" s="222"/>
      <c r="F35" s="222"/>
      <c r="G35" s="222"/>
      <c r="H35" s="222"/>
      <c r="I35" s="222"/>
    </row>
    <row r="36" spans="2:9">
      <c r="B36" s="222"/>
      <c r="C36" s="222"/>
      <c r="D36" s="222"/>
      <c r="E36" s="222"/>
      <c r="F36" s="222"/>
      <c r="G36" s="222"/>
      <c r="H36" s="222"/>
      <c r="I36" s="222"/>
    </row>
    <row r="37" spans="2:9">
      <c r="B37" s="222"/>
      <c r="C37" s="222"/>
      <c r="D37" s="222"/>
      <c r="E37" s="222"/>
      <c r="F37" s="222"/>
      <c r="G37" s="222"/>
      <c r="H37" s="222"/>
      <c r="I37" s="222"/>
    </row>
    <row r="38" spans="2:9">
      <c r="B38" s="222"/>
      <c r="C38" s="222"/>
      <c r="D38" s="222"/>
      <c r="E38" s="222"/>
      <c r="F38" s="222"/>
      <c r="G38" s="222"/>
      <c r="H38" s="222"/>
      <c r="I38" s="222"/>
    </row>
    <row r="39" spans="2:9">
      <c r="B39" s="222"/>
      <c r="C39" s="222"/>
      <c r="D39" s="222"/>
      <c r="E39" s="222"/>
      <c r="F39" s="222"/>
      <c r="G39" s="222"/>
      <c r="H39" s="222"/>
      <c r="I39" s="222"/>
    </row>
    <row r="40" spans="2:9">
      <c r="B40" s="222"/>
      <c r="C40" s="222"/>
      <c r="D40" s="222"/>
      <c r="E40" s="222"/>
      <c r="F40" s="222"/>
      <c r="G40" s="222"/>
      <c r="H40" s="222"/>
      <c r="I40" s="222"/>
    </row>
    <row r="41" spans="2:9">
      <c r="B41" s="222"/>
      <c r="C41" s="222"/>
      <c r="D41" s="222"/>
      <c r="E41" s="222"/>
      <c r="F41" s="222"/>
      <c r="G41" s="222"/>
      <c r="H41" s="222"/>
      <c r="I41" s="222"/>
    </row>
    <row r="42" spans="2:9">
      <c r="B42" s="222"/>
      <c r="C42" s="222"/>
      <c r="D42" s="222"/>
      <c r="E42" s="222"/>
      <c r="F42" s="222"/>
      <c r="G42" s="222"/>
      <c r="H42" s="222"/>
      <c r="I42" s="222"/>
    </row>
    <row r="43" spans="2:9">
      <c r="B43" s="222"/>
      <c r="C43" s="222"/>
      <c r="D43" s="222"/>
      <c r="E43" s="222"/>
      <c r="F43" s="222"/>
      <c r="G43" s="222"/>
      <c r="H43" s="222"/>
      <c r="I43" s="222"/>
    </row>
    <row r="44" spans="2:9">
      <c r="B44" s="222"/>
      <c r="C44" s="222"/>
      <c r="D44" s="222"/>
      <c r="E44" s="222"/>
      <c r="F44" s="222"/>
      <c r="G44" s="222"/>
      <c r="H44" s="222"/>
      <c r="I44" s="222"/>
    </row>
    <row r="45" spans="2:9">
      <c r="B45" s="222"/>
      <c r="C45" s="222"/>
      <c r="D45" s="222"/>
      <c r="E45" s="222"/>
      <c r="F45" s="222"/>
      <c r="G45" s="222"/>
      <c r="H45" s="222"/>
      <c r="I45" s="222"/>
    </row>
    <row r="46" spans="2:9">
      <c r="B46" s="222"/>
      <c r="C46" s="222"/>
      <c r="D46" s="222"/>
      <c r="E46" s="222"/>
      <c r="F46" s="222"/>
      <c r="G46" s="222"/>
      <c r="H46" s="222"/>
      <c r="I46" s="222"/>
    </row>
    <row r="47" spans="2:9">
      <c r="B47" s="222"/>
      <c r="C47" s="222"/>
      <c r="D47" s="222"/>
      <c r="E47" s="222"/>
      <c r="F47" s="222"/>
      <c r="G47" s="222"/>
      <c r="H47" s="222"/>
      <c r="I47" s="222"/>
    </row>
    <row r="48" spans="2:9">
      <c r="B48" s="222"/>
      <c r="C48" s="222"/>
      <c r="D48" s="222"/>
      <c r="E48" s="222"/>
      <c r="F48" s="222"/>
      <c r="G48" s="222"/>
      <c r="H48" s="222"/>
      <c r="I48" s="222"/>
    </row>
    <row r="49" spans="2:9">
      <c r="B49" s="222"/>
      <c r="C49" s="222"/>
      <c r="D49" s="222"/>
      <c r="E49" s="222"/>
      <c r="F49" s="222"/>
      <c r="G49" s="222"/>
      <c r="H49" s="222"/>
      <c r="I49" s="222"/>
    </row>
    <row r="50" spans="2:9">
      <c r="B50" s="222"/>
      <c r="C50" s="222"/>
      <c r="D50" s="222"/>
      <c r="E50" s="222"/>
      <c r="F50" s="222"/>
      <c r="G50" s="222"/>
      <c r="H50" s="222"/>
      <c r="I50" s="222"/>
    </row>
    <row r="51" spans="2:9">
      <c r="B51" s="222"/>
      <c r="C51" s="222"/>
      <c r="D51" s="222"/>
      <c r="E51" s="222"/>
      <c r="F51" s="222"/>
      <c r="G51" s="222"/>
      <c r="H51" s="222"/>
      <c r="I51" s="222"/>
    </row>
    <row r="52" spans="2:9">
      <c r="B52" s="222"/>
      <c r="C52" s="222"/>
      <c r="D52" s="222"/>
      <c r="E52" s="222"/>
      <c r="F52" s="222"/>
      <c r="G52" s="222"/>
      <c r="H52" s="222"/>
      <c r="I52" s="222"/>
    </row>
    <row r="53" spans="2:9">
      <c r="B53" s="222"/>
      <c r="C53" s="222"/>
      <c r="D53" s="222"/>
      <c r="E53" s="222"/>
      <c r="F53" s="222"/>
      <c r="G53" s="222"/>
      <c r="H53" s="222"/>
      <c r="I53" s="222"/>
    </row>
    <row r="54" spans="2:9">
      <c r="B54" s="222"/>
      <c r="C54" s="222"/>
      <c r="D54" s="222"/>
      <c r="E54" s="222"/>
      <c r="F54" s="222"/>
      <c r="G54" s="222"/>
      <c r="H54" s="222"/>
      <c r="I54" s="222"/>
    </row>
    <row r="55" spans="2:9">
      <c r="B55" s="222"/>
      <c r="C55" s="222"/>
      <c r="D55" s="222"/>
      <c r="E55" s="222"/>
      <c r="F55" s="222"/>
      <c r="G55" s="222"/>
      <c r="H55" s="222"/>
      <c r="I55" s="222"/>
    </row>
    <row r="56" spans="2:9">
      <c r="B56" s="222"/>
      <c r="C56" s="222"/>
      <c r="D56" s="222"/>
      <c r="E56" s="222"/>
      <c r="F56" s="222"/>
      <c r="G56" s="222"/>
      <c r="H56" s="222"/>
      <c r="I56" s="222"/>
    </row>
    <row r="57" spans="2:9">
      <c r="B57" s="222"/>
      <c r="C57" s="222"/>
      <c r="D57" s="222"/>
      <c r="E57" s="222"/>
      <c r="F57" s="222"/>
      <c r="G57" s="222"/>
      <c r="H57" s="222"/>
      <c r="I57" s="222"/>
    </row>
    <row r="58" spans="2:9">
      <c r="B58" s="222"/>
      <c r="C58" s="222"/>
      <c r="D58" s="222"/>
      <c r="E58" s="222"/>
      <c r="F58" s="222"/>
      <c r="G58" s="222"/>
      <c r="H58" s="222"/>
      <c r="I58" s="222"/>
    </row>
    <row r="59" spans="2:9">
      <c r="B59" s="222"/>
      <c r="C59" s="222"/>
      <c r="D59" s="222"/>
      <c r="E59" s="222"/>
      <c r="F59" s="222"/>
      <c r="G59" s="222"/>
      <c r="H59" s="222"/>
      <c r="I59" s="222"/>
    </row>
    <row r="60" spans="2:9">
      <c r="B60" s="222"/>
      <c r="C60" s="222"/>
      <c r="D60" s="222"/>
      <c r="E60" s="222"/>
      <c r="F60" s="222"/>
      <c r="G60" s="222"/>
      <c r="H60" s="222"/>
      <c r="I60" s="222"/>
    </row>
    <row r="61" spans="2:9">
      <c r="B61" s="222"/>
      <c r="C61" s="222"/>
      <c r="D61" s="222"/>
      <c r="E61" s="222"/>
      <c r="F61" s="222"/>
      <c r="G61" s="222"/>
      <c r="H61" s="222"/>
      <c r="I61" s="222"/>
    </row>
    <row r="62" spans="2:9">
      <c r="B62" s="222"/>
      <c r="C62" s="222"/>
      <c r="D62" s="222"/>
      <c r="E62" s="222"/>
      <c r="F62" s="222"/>
      <c r="G62" s="222"/>
      <c r="H62" s="222"/>
      <c r="I62" s="222"/>
    </row>
    <row r="63" spans="2:9">
      <c r="B63" s="222"/>
      <c r="C63" s="222"/>
      <c r="D63" s="222"/>
      <c r="E63" s="222"/>
      <c r="F63" s="222"/>
      <c r="G63" s="222"/>
      <c r="H63" s="222"/>
      <c r="I63" s="222"/>
    </row>
    <row r="64" spans="2:9">
      <c r="B64" s="222"/>
      <c r="C64" s="222"/>
      <c r="D64" s="222"/>
      <c r="E64" s="222"/>
      <c r="F64" s="222"/>
      <c r="G64" s="222"/>
      <c r="H64" s="222"/>
      <c r="I64" s="222"/>
    </row>
    <row r="65" spans="2:9">
      <c r="B65" s="222"/>
      <c r="C65" s="222"/>
      <c r="D65" s="222"/>
      <c r="E65" s="222"/>
      <c r="F65" s="222"/>
      <c r="G65" s="222"/>
      <c r="H65" s="222"/>
      <c r="I65" s="222"/>
    </row>
    <row r="66" spans="2:9">
      <c r="B66" s="222"/>
      <c r="C66" s="222"/>
      <c r="D66" s="222"/>
      <c r="E66" s="222"/>
      <c r="F66" s="222"/>
      <c r="G66" s="222"/>
      <c r="H66" s="222"/>
      <c r="I66" s="222"/>
    </row>
    <row r="67" spans="2:9">
      <c r="B67" s="222"/>
      <c r="C67" s="222"/>
      <c r="D67" s="222"/>
      <c r="E67" s="222"/>
      <c r="F67" s="222"/>
      <c r="G67" s="222"/>
      <c r="H67" s="222"/>
      <c r="I67" s="222"/>
    </row>
    <row r="68" spans="2:9">
      <c r="B68" s="222"/>
      <c r="C68" s="222"/>
      <c r="D68" s="222"/>
      <c r="E68" s="222"/>
      <c r="F68" s="222"/>
      <c r="G68" s="222"/>
      <c r="H68" s="222"/>
      <c r="I68" s="222"/>
    </row>
    <row r="69" spans="2:9">
      <c r="B69" s="222"/>
      <c r="C69" s="222"/>
      <c r="D69" s="222"/>
      <c r="E69" s="222"/>
      <c r="F69" s="222"/>
      <c r="G69" s="222"/>
      <c r="H69" s="222"/>
      <c r="I69" s="222"/>
    </row>
    <row r="70" spans="2:9">
      <c r="B70" s="222"/>
      <c r="C70" s="222"/>
      <c r="D70" s="222"/>
      <c r="E70" s="222"/>
      <c r="F70" s="222"/>
      <c r="G70" s="222"/>
      <c r="H70" s="222"/>
      <c r="I70" s="222"/>
    </row>
    <row r="71" spans="2:9">
      <c r="B71" s="222"/>
      <c r="C71" s="222"/>
      <c r="D71" s="222"/>
      <c r="E71" s="222"/>
      <c r="F71" s="222"/>
      <c r="G71" s="222"/>
      <c r="H71" s="222"/>
      <c r="I71" s="222"/>
    </row>
    <row r="72" spans="2:9">
      <c r="B72" s="222"/>
      <c r="C72" s="222"/>
      <c r="D72" s="222"/>
      <c r="E72" s="222"/>
      <c r="F72" s="222"/>
      <c r="G72" s="222"/>
      <c r="H72" s="222"/>
      <c r="I72" s="222"/>
    </row>
    <row r="73" spans="2:9">
      <c r="B73" s="222"/>
      <c r="C73" s="222"/>
      <c r="D73" s="222"/>
      <c r="E73" s="222"/>
      <c r="F73" s="222"/>
      <c r="G73" s="222"/>
      <c r="H73" s="222"/>
      <c r="I73" s="222"/>
    </row>
    <row r="74" spans="2:9">
      <c r="B74" s="222"/>
      <c r="C74" s="222"/>
      <c r="D74" s="222"/>
      <c r="E74" s="222"/>
      <c r="F74" s="222"/>
      <c r="G74" s="222"/>
      <c r="H74" s="222"/>
      <c r="I74" s="222"/>
    </row>
    <row r="75" spans="2:9">
      <c r="B75" s="222"/>
      <c r="C75" s="222"/>
      <c r="D75" s="222"/>
      <c r="E75" s="222"/>
      <c r="F75" s="222"/>
      <c r="G75" s="222"/>
      <c r="H75" s="222"/>
      <c r="I75" s="222"/>
    </row>
    <row r="76" spans="2:9">
      <c r="B76" s="222"/>
      <c r="C76" s="222"/>
      <c r="D76" s="222"/>
      <c r="E76" s="222"/>
      <c r="F76" s="222"/>
      <c r="G76" s="222"/>
      <c r="H76" s="222"/>
      <c r="I76" s="222"/>
    </row>
    <row r="77" spans="2:9">
      <c r="B77" s="222"/>
      <c r="C77" s="222"/>
      <c r="D77" s="222"/>
      <c r="E77" s="222"/>
      <c r="F77" s="222"/>
      <c r="G77" s="222"/>
      <c r="H77" s="222"/>
      <c r="I77" s="222"/>
    </row>
    <row r="78" spans="2:9">
      <c r="B78" s="222"/>
      <c r="C78" s="222"/>
      <c r="D78" s="222"/>
      <c r="E78" s="222"/>
      <c r="F78" s="222"/>
      <c r="G78" s="222"/>
      <c r="H78" s="222"/>
      <c r="I78" s="222"/>
    </row>
    <row r="79" spans="2:9">
      <c r="B79" s="222"/>
      <c r="C79" s="222"/>
      <c r="D79" s="222"/>
      <c r="E79" s="222"/>
      <c r="F79" s="222"/>
      <c r="G79" s="222"/>
      <c r="H79" s="222"/>
      <c r="I79" s="222"/>
    </row>
    <row r="80" spans="2:9">
      <c r="B80" s="222"/>
      <c r="C80" s="222"/>
      <c r="D80" s="222"/>
      <c r="E80" s="222"/>
      <c r="F80" s="222"/>
      <c r="G80" s="222"/>
      <c r="H80" s="222"/>
      <c r="I80" s="222"/>
    </row>
    <row r="81" spans="2:9">
      <c r="B81" s="222"/>
      <c r="C81" s="222"/>
      <c r="D81" s="222"/>
      <c r="E81" s="222"/>
      <c r="F81" s="222"/>
      <c r="G81" s="222"/>
      <c r="H81" s="222"/>
      <c r="I81" s="222"/>
    </row>
    <row r="82" spans="2:9">
      <c r="B82" s="222"/>
      <c r="C82" s="222"/>
      <c r="D82" s="222"/>
      <c r="E82" s="222"/>
      <c r="F82" s="222"/>
      <c r="G82" s="222"/>
      <c r="H82" s="222"/>
      <c r="I82" s="222"/>
    </row>
    <row r="83" spans="2:9">
      <c r="B83" s="222"/>
      <c r="C83" s="222"/>
      <c r="D83" s="222"/>
      <c r="E83" s="222"/>
      <c r="F83" s="222"/>
      <c r="G83" s="222"/>
      <c r="H83" s="222"/>
      <c r="I83" s="222"/>
    </row>
    <row r="84" spans="2:9">
      <c r="B84" s="222"/>
      <c r="C84" s="222"/>
      <c r="D84" s="222"/>
      <c r="E84" s="222"/>
      <c r="F84" s="222"/>
      <c r="G84" s="222"/>
      <c r="H84" s="222"/>
      <c r="I84" s="222"/>
    </row>
    <row r="85" spans="2:9">
      <c r="B85" s="222"/>
      <c r="C85" s="222"/>
      <c r="D85" s="222"/>
      <c r="E85" s="222"/>
      <c r="F85" s="222"/>
      <c r="G85" s="222"/>
      <c r="H85" s="222"/>
      <c r="I85" s="222"/>
    </row>
    <row r="86" spans="2:9">
      <c r="B86" s="222"/>
      <c r="C86" s="222"/>
      <c r="D86" s="222"/>
      <c r="E86" s="222"/>
      <c r="F86" s="222"/>
      <c r="G86" s="222"/>
      <c r="H86" s="222"/>
      <c r="I86" s="222"/>
    </row>
    <row r="87" spans="2:9">
      <c r="B87" s="222"/>
      <c r="C87" s="222"/>
      <c r="D87" s="222"/>
      <c r="E87" s="222"/>
      <c r="F87" s="222"/>
      <c r="G87" s="222"/>
      <c r="H87" s="222"/>
      <c r="I87" s="222"/>
    </row>
    <row r="88" spans="2:9">
      <c r="B88" s="222"/>
      <c r="C88" s="222"/>
      <c r="D88" s="222"/>
      <c r="E88" s="222"/>
      <c r="F88" s="222"/>
      <c r="G88" s="222"/>
      <c r="H88" s="222"/>
      <c r="I88" s="222"/>
    </row>
    <row r="89" spans="2:9">
      <c r="B89" s="222"/>
      <c r="C89" s="222"/>
      <c r="D89" s="222"/>
      <c r="E89" s="222"/>
      <c r="F89" s="222"/>
      <c r="G89" s="222"/>
      <c r="H89" s="222"/>
      <c r="I89" s="222"/>
    </row>
    <row r="90" spans="2:9">
      <c r="B90" s="222"/>
      <c r="C90" s="222"/>
      <c r="D90" s="222"/>
      <c r="E90" s="222"/>
      <c r="F90" s="222"/>
      <c r="G90" s="222"/>
      <c r="H90" s="222"/>
      <c r="I90" s="222"/>
    </row>
    <row r="91" spans="2:9">
      <c r="B91" s="222"/>
      <c r="C91" s="222"/>
      <c r="D91" s="222"/>
      <c r="E91" s="222"/>
      <c r="F91" s="222"/>
      <c r="G91" s="222"/>
      <c r="H91" s="222"/>
      <c r="I91" s="222"/>
    </row>
    <row r="92" spans="2:9">
      <c r="B92" s="222"/>
      <c r="C92" s="222"/>
      <c r="D92" s="222"/>
      <c r="E92" s="222"/>
      <c r="F92" s="222"/>
      <c r="G92" s="222"/>
      <c r="H92" s="222"/>
      <c r="I92" s="222"/>
    </row>
    <row r="93" spans="2:9">
      <c r="B93" s="222"/>
      <c r="C93" s="222"/>
      <c r="D93" s="222"/>
      <c r="E93" s="222"/>
      <c r="F93" s="222"/>
      <c r="G93" s="222"/>
      <c r="H93" s="222"/>
      <c r="I93" s="222"/>
    </row>
    <row r="94" spans="2:9">
      <c r="B94" s="222"/>
      <c r="C94" s="222"/>
      <c r="D94" s="222"/>
      <c r="E94" s="222"/>
      <c r="F94" s="222"/>
      <c r="G94" s="222"/>
      <c r="H94" s="222"/>
      <c r="I94" s="222"/>
    </row>
    <row r="95" spans="2:9">
      <c r="B95" s="222"/>
      <c r="C95" s="222"/>
      <c r="D95" s="222"/>
      <c r="E95" s="222"/>
      <c r="F95" s="222"/>
      <c r="G95" s="222"/>
      <c r="H95" s="222"/>
      <c r="I95" s="222"/>
    </row>
    <row r="96" spans="2:9">
      <c r="B96" s="222"/>
      <c r="C96" s="222"/>
      <c r="D96" s="222"/>
      <c r="E96" s="222"/>
      <c r="F96" s="222"/>
      <c r="G96" s="222"/>
      <c r="H96" s="222"/>
      <c r="I96" s="222"/>
    </row>
    <row r="97" spans="2:9">
      <c r="B97" s="222"/>
      <c r="C97" s="222"/>
      <c r="D97" s="222"/>
      <c r="E97" s="222"/>
      <c r="F97" s="222"/>
      <c r="G97" s="222"/>
      <c r="H97" s="222"/>
      <c r="I97" s="222"/>
    </row>
    <row r="98" spans="2:9">
      <c r="B98" s="222"/>
      <c r="C98" s="222"/>
      <c r="D98" s="222"/>
      <c r="E98" s="222"/>
      <c r="F98" s="222"/>
      <c r="G98" s="222"/>
      <c r="H98" s="222"/>
      <c r="I98" s="222"/>
    </row>
    <row r="99" spans="2:9">
      <c r="B99" s="222"/>
      <c r="C99" s="222"/>
      <c r="D99" s="222"/>
      <c r="E99" s="222"/>
      <c r="F99" s="222"/>
      <c r="G99" s="222"/>
      <c r="H99" s="222"/>
      <c r="I99" s="222"/>
    </row>
    <row r="100" spans="2:9">
      <c r="B100" s="222"/>
      <c r="C100" s="222"/>
      <c r="D100" s="222"/>
      <c r="E100" s="222"/>
      <c r="F100" s="222"/>
      <c r="G100" s="222"/>
      <c r="H100" s="222"/>
      <c r="I100" s="222"/>
    </row>
    <row r="101" spans="2:9">
      <c r="B101" s="222"/>
      <c r="C101" s="222"/>
      <c r="D101" s="222"/>
      <c r="E101" s="222"/>
      <c r="F101" s="222"/>
      <c r="G101" s="222"/>
      <c r="H101" s="222"/>
      <c r="I101" s="222"/>
    </row>
    <row r="102" spans="2:9">
      <c r="B102" s="222"/>
      <c r="C102" s="222"/>
      <c r="D102" s="222"/>
      <c r="E102" s="222"/>
      <c r="F102" s="222"/>
      <c r="G102" s="222"/>
      <c r="H102" s="222"/>
      <c r="I102" s="222"/>
    </row>
    <row r="103" spans="2:9">
      <c r="B103" s="222"/>
      <c r="C103" s="222"/>
      <c r="D103" s="222"/>
      <c r="E103" s="222"/>
      <c r="F103" s="222"/>
      <c r="G103" s="222"/>
      <c r="H103" s="222"/>
      <c r="I103" s="222"/>
    </row>
    <row r="104" spans="2:9">
      <c r="B104" s="222"/>
      <c r="C104" s="222"/>
      <c r="D104" s="222"/>
      <c r="E104" s="222"/>
      <c r="F104" s="222"/>
      <c r="G104" s="222"/>
      <c r="H104" s="222"/>
      <c r="I104" s="222"/>
    </row>
    <row r="105" spans="2:9">
      <c r="B105" s="222"/>
      <c r="C105" s="222"/>
      <c r="D105" s="222"/>
      <c r="E105" s="222"/>
      <c r="F105" s="222"/>
      <c r="G105" s="222"/>
      <c r="H105" s="222"/>
      <c r="I105" s="222"/>
    </row>
    <row r="106" spans="2:9">
      <c r="B106" s="222"/>
      <c r="C106" s="222"/>
      <c r="D106" s="222"/>
      <c r="E106" s="222"/>
      <c r="F106" s="222"/>
      <c r="G106" s="222"/>
      <c r="H106" s="222"/>
      <c r="I106" s="222"/>
    </row>
    <row r="107" spans="2:9">
      <c r="B107" s="222"/>
      <c r="C107" s="222"/>
      <c r="D107" s="222"/>
      <c r="E107" s="222"/>
      <c r="F107" s="222"/>
      <c r="G107" s="222"/>
      <c r="H107" s="222"/>
      <c r="I107" s="222"/>
    </row>
    <row r="108" spans="2:9">
      <c r="B108" s="222"/>
      <c r="C108" s="222"/>
      <c r="D108" s="222"/>
      <c r="E108" s="222"/>
      <c r="F108" s="222"/>
      <c r="G108" s="222"/>
      <c r="H108" s="222"/>
      <c r="I108" s="222"/>
    </row>
    <row r="109" spans="2:9">
      <c r="B109" s="222"/>
      <c r="C109" s="222"/>
      <c r="D109" s="222"/>
      <c r="E109" s="222"/>
      <c r="F109" s="222"/>
      <c r="G109" s="222"/>
      <c r="H109" s="222"/>
      <c r="I109" s="222"/>
    </row>
    <row r="110" spans="2:9">
      <c r="B110" s="222"/>
      <c r="C110" s="222"/>
      <c r="D110" s="222"/>
      <c r="E110" s="222"/>
      <c r="F110" s="222"/>
      <c r="G110" s="222"/>
      <c r="H110" s="222"/>
      <c r="I110" s="222"/>
    </row>
    <row r="111" spans="2:9">
      <c r="B111" s="222"/>
      <c r="C111" s="222"/>
      <c r="D111" s="222"/>
      <c r="E111" s="222"/>
      <c r="F111" s="222"/>
      <c r="G111" s="222"/>
      <c r="H111" s="222"/>
      <c r="I111" s="222"/>
    </row>
    <row r="112" spans="2:9">
      <c r="B112" s="222"/>
      <c r="C112" s="222"/>
      <c r="D112" s="222"/>
      <c r="E112" s="222"/>
      <c r="F112" s="222"/>
      <c r="G112" s="222"/>
      <c r="H112" s="222"/>
      <c r="I112" s="222"/>
    </row>
    <row r="113" spans="2:9">
      <c r="B113" s="222"/>
      <c r="C113" s="222"/>
      <c r="D113" s="222"/>
      <c r="E113" s="222"/>
      <c r="F113" s="222"/>
      <c r="G113" s="222"/>
      <c r="H113" s="222"/>
      <c r="I113" s="222"/>
    </row>
    <row r="114" spans="2:9">
      <c r="B114" s="222"/>
      <c r="C114" s="222"/>
      <c r="D114" s="222"/>
      <c r="E114" s="222"/>
      <c r="F114" s="222"/>
      <c r="G114" s="222"/>
      <c r="H114" s="222"/>
      <c r="I114" s="222"/>
    </row>
    <row r="115" spans="2:9">
      <c r="B115" s="222"/>
      <c r="C115" s="222"/>
      <c r="D115" s="222"/>
      <c r="E115" s="222"/>
      <c r="F115" s="222"/>
      <c r="G115" s="222"/>
      <c r="H115" s="222"/>
      <c r="I115" s="222"/>
    </row>
    <row r="116" spans="2:9">
      <c r="B116" s="222"/>
      <c r="C116" s="222"/>
      <c r="D116" s="222"/>
      <c r="E116" s="222"/>
      <c r="F116" s="222"/>
      <c r="G116" s="222"/>
      <c r="H116" s="222"/>
      <c r="I116" s="222"/>
    </row>
    <row r="117" spans="2:9">
      <c r="B117" s="222"/>
      <c r="C117" s="222"/>
      <c r="D117" s="222"/>
      <c r="E117" s="222"/>
      <c r="F117" s="222"/>
      <c r="G117" s="222"/>
      <c r="H117" s="222"/>
      <c r="I117" s="222"/>
    </row>
  </sheetData>
  <mergeCells count="3">
    <mergeCell ref="C4:D4"/>
    <mergeCell ref="E4:F4"/>
    <mergeCell ref="B4:B5"/>
  </mergeCells>
  <hyperlinks>
    <hyperlink ref="A1" location="Sommaire!A1" display="Sommaire!A1" xr:uid="{00000000-0004-0000-3A00-000000000000}"/>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Feuil42"/>
  <dimension ref="A1:I15"/>
  <sheetViews>
    <sheetView topLeftCell="B9" workbookViewId="0"/>
  </sheetViews>
  <sheetFormatPr baseColWidth="10" defaultColWidth="11.33203125" defaultRowHeight="12"/>
  <cols>
    <col min="1" max="1" width="11.33203125" style="215"/>
    <col min="2" max="2" width="31.6640625" style="215" customWidth="1"/>
    <col min="3" max="4" width="15.5" style="215" customWidth="1"/>
    <col min="5" max="6" width="41.5" style="215" customWidth="1"/>
    <col min="7" max="16384" width="11.33203125" style="215"/>
  </cols>
  <sheetData>
    <row r="1" spans="1:9" ht="14.5">
      <c r="A1" s="560" t="s">
        <v>140</v>
      </c>
    </row>
    <row r="2" spans="1:9" ht="19">
      <c r="B2" s="216" t="s">
        <v>4554</v>
      </c>
    </row>
    <row r="3" spans="1:9" ht="18.5">
      <c r="I3" s="1"/>
    </row>
    <row r="4" spans="1:9" ht="20.5">
      <c r="I4" s="218"/>
    </row>
    <row r="5" spans="1:9" ht="12.5" thickBot="1">
      <c r="B5" s="258"/>
      <c r="C5" s="790" t="s">
        <v>4555</v>
      </c>
      <c r="D5" s="790"/>
      <c r="E5" s="790" t="s">
        <v>4556</v>
      </c>
      <c r="F5" s="790"/>
    </row>
    <row r="6" spans="1:9">
      <c r="B6" s="258" t="s">
        <v>4526</v>
      </c>
      <c r="C6" s="258" t="s">
        <v>4529</v>
      </c>
      <c r="D6" s="404" t="s">
        <v>4530</v>
      </c>
      <c r="E6" s="400" t="s">
        <v>4529</v>
      </c>
      <c r="F6" s="400" t="s">
        <v>4530</v>
      </c>
    </row>
    <row r="7" spans="1:9" ht="36">
      <c r="B7" s="228" t="s">
        <v>4336</v>
      </c>
      <c r="C7" s="417" t="s">
        <v>4541</v>
      </c>
      <c r="D7" s="417" t="s">
        <v>4541</v>
      </c>
      <c r="E7" s="417" t="s">
        <v>4557</v>
      </c>
      <c r="F7" s="417" t="s">
        <v>4558</v>
      </c>
    </row>
    <row r="8" spans="1:9" ht="60">
      <c r="B8" s="230" t="s">
        <v>4346</v>
      </c>
      <c r="C8" s="409" t="s">
        <v>4559</v>
      </c>
      <c r="D8" s="409" t="s">
        <v>4559</v>
      </c>
      <c r="E8" s="409" t="s">
        <v>4560</v>
      </c>
      <c r="F8" s="418" t="s">
        <v>4561</v>
      </c>
    </row>
    <row r="9" spans="1:9" ht="48">
      <c r="B9" s="228" t="s">
        <v>4357</v>
      </c>
      <c r="C9" s="417" t="s">
        <v>4559</v>
      </c>
      <c r="D9" s="417" t="s">
        <v>4559</v>
      </c>
      <c r="E9" s="417" t="s">
        <v>4562</v>
      </c>
      <c r="F9" s="417" t="s">
        <v>4563</v>
      </c>
    </row>
    <row r="10" spans="1:9" ht="48">
      <c r="B10" s="230" t="s">
        <v>4428</v>
      </c>
      <c r="C10" s="418" t="s">
        <v>4559</v>
      </c>
      <c r="D10" s="418" t="s">
        <v>4541</v>
      </c>
      <c r="E10" s="418" t="s">
        <v>4564</v>
      </c>
      <c r="F10" s="418" t="s">
        <v>4541</v>
      </c>
    </row>
    <row r="11" spans="1:9" ht="36">
      <c r="B11" s="228" t="s">
        <v>4374</v>
      </c>
      <c r="C11" s="417" t="s">
        <v>4541</v>
      </c>
      <c r="D11" s="417" t="s">
        <v>4541</v>
      </c>
      <c r="E11" s="417" t="s">
        <v>4565</v>
      </c>
      <c r="F11" s="417" t="s">
        <v>4566</v>
      </c>
    </row>
    <row r="12" spans="1:9" ht="24">
      <c r="B12" s="418" t="s">
        <v>4384</v>
      </c>
      <c r="C12" s="418" t="s">
        <v>4541</v>
      </c>
      <c r="D12" s="418" t="s">
        <v>4541</v>
      </c>
      <c r="E12" s="418" t="s">
        <v>4541</v>
      </c>
      <c r="F12" s="418" t="s">
        <v>4565</v>
      </c>
    </row>
    <row r="13" spans="1:9" ht="36">
      <c r="B13" s="417" t="s">
        <v>4392</v>
      </c>
      <c r="C13" s="417" t="s">
        <v>4541</v>
      </c>
      <c r="D13" s="417" t="s">
        <v>4541</v>
      </c>
      <c r="E13" s="417" t="s">
        <v>4567</v>
      </c>
      <c r="F13" s="417" t="s">
        <v>4568</v>
      </c>
    </row>
    <row r="14" spans="1:9" ht="72">
      <c r="B14" s="418" t="s">
        <v>4400</v>
      </c>
      <c r="C14" s="418" t="s">
        <v>4541</v>
      </c>
      <c r="D14" s="418" t="s">
        <v>4559</v>
      </c>
      <c r="E14" s="418" t="s">
        <v>4545</v>
      </c>
      <c r="F14" s="418" t="s">
        <v>4569</v>
      </c>
    </row>
    <row r="15" spans="1:9" ht="24">
      <c r="B15" s="417" t="s">
        <v>4410</v>
      </c>
      <c r="C15" s="417" t="s">
        <v>4541</v>
      </c>
      <c r="D15" s="417" t="s">
        <v>4541</v>
      </c>
      <c r="E15" s="417" t="s">
        <v>4545</v>
      </c>
      <c r="F15" s="417" t="s">
        <v>4570</v>
      </c>
    </row>
  </sheetData>
  <mergeCells count="2">
    <mergeCell ref="C5:D5"/>
    <mergeCell ref="E5:F5"/>
  </mergeCells>
  <hyperlinks>
    <hyperlink ref="A1" location="Sommaire!A1" display="Sommaire!A1" xr:uid="{00000000-0004-0000-3B00-000000000000}"/>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Feuil43"/>
  <dimension ref="A1:F14"/>
  <sheetViews>
    <sheetView workbookViewId="0"/>
  </sheetViews>
  <sheetFormatPr baseColWidth="10" defaultColWidth="11.33203125" defaultRowHeight="12"/>
  <cols>
    <col min="1" max="1" width="11.33203125" style="215"/>
    <col min="2" max="2" width="38.6640625" style="215" bestFit="1" customWidth="1"/>
    <col min="3" max="3" width="20" style="215" customWidth="1"/>
    <col min="4" max="4" width="20" style="215" bestFit="1" customWidth="1"/>
    <col min="5" max="5" width="43.6640625" style="215" bestFit="1" customWidth="1"/>
    <col min="6" max="6" width="52.33203125" style="215" customWidth="1"/>
    <col min="7" max="16384" width="11.33203125" style="215"/>
  </cols>
  <sheetData>
    <row r="1" spans="1:6" ht="14.5">
      <c r="A1" s="560" t="s">
        <v>140</v>
      </c>
    </row>
    <row r="2" spans="1:6" s="218" customFormat="1" ht="20.5">
      <c r="B2" s="216" t="s">
        <v>4571</v>
      </c>
    </row>
    <row r="4" spans="1:6" ht="12.5" thickBot="1">
      <c r="B4" s="791" t="s">
        <v>4526</v>
      </c>
      <c r="C4" s="790" t="s">
        <v>4572</v>
      </c>
      <c r="D4" s="790"/>
      <c r="E4" s="790" t="s">
        <v>4573</v>
      </c>
      <c r="F4" s="790"/>
    </row>
    <row r="5" spans="1:6">
      <c r="B5" s="791"/>
      <c r="C5" s="258" t="s">
        <v>4529</v>
      </c>
      <c r="D5" s="404" t="s">
        <v>4530</v>
      </c>
      <c r="E5" s="400" t="s">
        <v>4529</v>
      </c>
      <c r="F5" s="400" t="s">
        <v>4530</v>
      </c>
    </row>
    <row r="6" spans="1:6" ht="24">
      <c r="B6" s="213" t="s">
        <v>4336</v>
      </c>
      <c r="C6" s="213" t="s">
        <v>4551</v>
      </c>
      <c r="D6" s="213" t="s">
        <v>4574</v>
      </c>
      <c r="E6" s="414" t="s">
        <v>4575</v>
      </c>
      <c r="F6" s="414" t="s">
        <v>4574</v>
      </c>
    </row>
    <row r="7" spans="1:6" ht="84">
      <c r="B7" s="419" t="s">
        <v>4346</v>
      </c>
      <c r="C7" s="419" t="s">
        <v>4576</v>
      </c>
      <c r="D7" s="419" t="s">
        <v>4574</v>
      </c>
      <c r="E7" s="415" t="s">
        <v>4577</v>
      </c>
      <c r="F7" s="419" t="s">
        <v>4578</v>
      </c>
    </row>
    <row r="8" spans="1:6" ht="36">
      <c r="B8" s="213" t="s">
        <v>4357</v>
      </c>
      <c r="C8" s="213" t="s">
        <v>4576</v>
      </c>
      <c r="D8" s="213" t="s">
        <v>4574</v>
      </c>
      <c r="E8" s="414" t="s">
        <v>4579</v>
      </c>
      <c r="F8" s="213" t="s">
        <v>4578</v>
      </c>
    </row>
    <row r="9" spans="1:6" ht="36">
      <c r="B9" s="419" t="s">
        <v>4428</v>
      </c>
      <c r="C9" s="419" t="s">
        <v>4580</v>
      </c>
      <c r="D9" s="419" t="s">
        <v>4541</v>
      </c>
      <c r="E9" s="415" t="s">
        <v>4581</v>
      </c>
      <c r="F9" s="415" t="s">
        <v>4545</v>
      </c>
    </row>
    <row r="10" spans="1:6" ht="72">
      <c r="B10" s="213" t="s">
        <v>4374</v>
      </c>
      <c r="C10" s="213" t="s">
        <v>4576</v>
      </c>
      <c r="D10" s="213" t="s">
        <v>4574</v>
      </c>
      <c r="E10" s="414" t="s">
        <v>4582</v>
      </c>
      <c r="F10" s="414" t="s">
        <v>4583</v>
      </c>
    </row>
    <row r="11" spans="1:6" ht="60">
      <c r="B11" s="419" t="s">
        <v>4384</v>
      </c>
      <c r="C11" s="419" t="s">
        <v>4541</v>
      </c>
      <c r="D11" s="419" t="s">
        <v>4576</v>
      </c>
      <c r="E11" s="415" t="s">
        <v>4541</v>
      </c>
      <c r="F11" s="415" t="s">
        <v>4584</v>
      </c>
    </row>
    <row r="12" spans="1:6" ht="72">
      <c r="B12" s="213" t="s">
        <v>4392</v>
      </c>
      <c r="C12" s="213" t="s">
        <v>4576</v>
      </c>
      <c r="D12" s="213" t="s">
        <v>4574</v>
      </c>
      <c r="E12" s="414" t="s">
        <v>4585</v>
      </c>
      <c r="F12" s="414" t="s">
        <v>4586</v>
      </c>
    </row>
    <row r="13" spans="1:6" ht="36">
      <c r="B13" s="419" t="s">
        <v>4400</v>
      </c>
      <c r="C13" s="419" t="s">
        <v>4576</v>
      </c>
      <c r="D13" s="419" t="s">
        <v>4574</v>
      </c>
      <c r="E13" s="415" t="s">
        <v>4587</v>
      </c>
      <c r="F13" s="415" t="s">
        <v>4587</v>
      </c>
    </row>
    <row r="14" spans="1:6" ht="36">
      <c r="B14" s="213" t="s">
        <v>4410</v>
      </c>
      <c r="C14" s="213" t="s">
        <v>4551</v>
      </c>
      <c r="D14" s="213" t="s">
        <v>4574</v>
      </c>
      <c r="E14" s="414" t="s">
        <v>4588</v>
      </c>
      <c r="F14" s="414" t="s">
        <v>4589</v>
      </c>
    </row>
  </sheetData>
  <mergeCells count="3">
    <mergeCell ref="B4:B5"/>
    <mergeCell ref="C4:D4"/>
    <mergeCell ref="E4:F4"/>
  </mergeCells>
  <hyperlinks>
    <hyperlink ref="A1" location="Sommaire!A1" display="Sommaire!A1" xr:uid="{00000000-0004-0000-3C00-000000000000}"/>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Feuil44"/>
  <dimension ref="A1:F12"/>
  <sheetViews>
    <sheetView zoomScaleNormal="100" workbookViewId="0"/>
  </sheetViews>
  <sheetFormatPr baseColWidth="10" defaultColWidth="11.33203125" defaultRowHeight="12"/>
  <cols>
    <col min="1" max="1" width="11.33203125" style="215"/>
    <col min="2" max="2" width="15.6640625" style="215" bestFit="1" customWidth="1"/>
    <col min="3" max="3" width="27.5" style="215" bestFit="1" customWidth="1"/>
    <col min="4" max="4" width="20.33203125" style="215" bestFit="1" customWidth="1"/>
    <col min="5" max="6" width="59.5" style="215" customWidth="1"/>
    <col min="7" max="16384" width="11.33203125" style="215"/>
  </cols>
  <sheetData>
    <row r="1" spans="1:6" ht="14.5">
      <c r="A1" s="560" t="s">
        <v>140</v>
      </c>
    </row>
    <row r="2" spans="1:6" ht="20.5">
      <c r="B2" s="218" t="s">
        <v>4590</v>
      </c>
    </row>
    <row r="4" spans="1:6" ht="12.5" thickBot="1">
      <c r="B4" s="791" t="s">
        <v>4526</v>
      </c>
      <c r="C4" s="792" t="s">
        <v>4527</v>
      </c>
      <c r="D4" s="792"/>
      <c r="E4" s="792" t="s">
        <v>4528</v>
      </c>
      <c r="F4" s="792"/>
    </row>
    <row r="5" spans="1:6">
      <c r="B5" s="791"/>
      <c r="C5" s="411" t="s">
        <v>4591</v>
      </c>
      <c r="D5" s="258" t="s">
        <v>4592</v>
      </c>
      <c r="E5" s="411" t="s">
        <v>4591</v>
      </c>
      <c r="F5" s="400" t="s">
        <v>4592</v>
      </c>
    </row>
    <row r="6" spans="1:6" ht="72">
      <c r="B6" s="405" t="s">
        <v>4336</v>
      </c>
      <c r="C6" s="407" t="s">
        <v>4593</v>
      </c>
      <c r="D6" s="407" t="s">
        <v>4594</v>
      </c>
      <c r="E6" s="401" t="s">
        <v>4595</v>
      </c>
      <c r="F6" s="401" t="s">
        <v>4596</v>
      </c>
    </row>
    <row r="7" spans="1:6" ht="48">
      <c r="B7" s="406" t="s">
        <v>4597</v>
      </c>
      <c r="C7" s="409" t="s">
        <v>4598</v>
      </c>
      <c r="D7" s="409" t="s">
        <v>4541</v>
      </c>
      <c r="E7" s="402" t="s">
        <v>4599</v>
      </c>
      <c r="F7" s="410" t="s">
        <v>4545</v>
      </c>
    </row>
    <row r="8" spans="1:6" ht="60">
      <c r="B8" s="405" t="s">
        <v>4492</v>
      </c>
      <c r="C8" s="407" t="s">
        <v>4541</v>
      </c>
      <c r="D8" s="407" t="s">
        <v>4598</v>
      </c>
      <c r="E8" s="407" t="s">
        <v>4545</v>
      </c>
      <c r="F8" s="401" t="s">
        <v>4600</v>
      </c>
    </row>
    <row r="9" spans="1:6" ht="48">
      <c r="B9" s="402" t="s">
        <v>4510</v>
      </c>
      <c r="C9" s="409" t="s">
        <v>4598</v>
      </c>
      <c r="D9" s="409" t="s">
        <v>4601</v>
      </c>
      <c r="E9" s="402" t="s">
        <v>4602</v>
      </c>
      <c r="F9" s="402" t="s">
        <v>4603</v>
      </c>
    </row>
    <row r="10" spans="1:6" ht="48">
      <c r="B10" s="405" t="s">
        <v>4516</v>
      </c>
      <c r="C10" s="407" t="s">
        <v>4541</v>
      </c>
      <c r="D10" s="407" t="s">
        <v>4598</v>
      </c>
      <c r="E10" s="407" t="s">
        <v>4545</v>
      </c>
      <c r="F10" s="401" t="s">
        <v>4596</v>
      </c>
    </row>
    <row r="11" spans="1:6" ht="48">
      <c r="B11" s="406" t="s">
        <v>4520</v>
      </c>
      <c r="C11" s="409" t="s">
        <v>4598</v>
      </c>
      <c r="D11" s="409" t="s">
        <v>4541</v>
      </c>
      <c r="E11" s="409" t="s">
        <v>4604</v>
      </c>
      <c r="F11" s="409" t="s">
        <v>4545</v>
      </c>
    </row>
    <row r="12" spans="1:6" ht="96">
      <c r="B12" s="405" t="s">
        <v>4605</v>
      </c>
      <c r="C12" s="407" t="s">
        <v>4598</v>
      </c>
      <c r="D12" s="407" t="s">
        <v>4598</v>
      </c>
      <c r="E12" s="407" t="s">
        <v>4606</v>
      </c>
      <c r="F12" s="408" t="s">
        <v>4607</v>
      </c>
    </row>
  </sheetData>
  <mergeCells count="3">
    <mergeCell ref="E4:F4"/>
    <mergeCell ref="B4:B5"/>
    <mergeCell ref="C4:D4"/>
  </mergeCells>
  <hyperlinks>
    <hyperlink ref="A1" location="Sommaire!A1" display="Sommaire!A1" xr:uid="{00000000-0004-0000-3D00-000000000000}"/>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Feuil45"/>
  <dimension ref="A1:D11"/>
  <sheetViews>
    <sheetView topLeftCell="A3" workbookViewId="0">
      <selection activeCell="D8" sqref="D8"/>
    </sheetView>
  </sheetViews>
  <sheetFormatPr baseColWidth="10" defaultColWidth="11.33203125" defaultRowHeight="12"/>
  <cols>
    <col min="1" max="1" width="11.33203125" style="215"/>
    <col min="2" max="2" width="26.6640625" style="215" bestFit="1" customWidth="1"/>
    <col min="3" max="3" width="43.33203125" style="215" bestFit="1" customWidth="1"/>
    <col min="4" max="4" width="44.33203125" style="215" customWidth="1"/>
    <col min="5" max="16384" width="11.33203125" style="215"/>
  </cols>
  <sheetData>
    <row r="1" spans="1:4" ht="14.5">
      <c r="A1" s="560" t="s">
        <v>140</v>
      </c>
    </row>
    <row r="2" spans="1:4" ht="20.5">
      <c r="B2" s="218" t="s">
        <v>4608</v>
      </c>
    </row>
    <row r="4" spans="1:4" ht="12.5" thickBot="1">
      <c r="B4" s="793" t="s">
        <v>4609</v>
      </c>
      <c r="C4" s="792" t="s">
        <v>4573</v>
      </c>
      <c r="D4" s="792"/>
    </row>
    <row r="5" spans="1:4" ht="12.5" thickBot="1">
      <c r="B5" s="794"/>
      <c r="C5" s="412" t="s">
        <v>4591</v>
      </c>
      <c r="D5" s="412" t="s">
        <v>4592</v>
      </c>
    </row>
    <row r="6" spans="1:4">
      <c r="B6" s="405" t="s">
        <v>4336</v>
      </c>
      <c r="C6" s="407" t="s">
        <v>4545</v>
      </c>
      <c r="D6" s="408" t="s">
        <v>4545</v>
      </c>
    </row>
    <row r="7" spans="1:4" ht="60">
      <c r="B7" s="406" t="s">
        <v>4597</v>
      </c>
      <c r="C7" s="402" t="s">
        <v>4610</v>
      </c>
      <c r="D7" s="410" t="s">
        <v>4545</v>
      </c>
    </row>
    <row r="8" spans="1:4" ht="156">
      <c r="B8" s="405" t="s">
        <v>4492</v>
      </c>
      <c r="C8" s="407" t="s">
        <v>4545</v>
      </c>
      <c r="D8" s="408" t="s">
        <v>4611</v>
      </c>
    </row>
    <row r="9" spans="1:4" ht="36">
      <c r="B9" s="406" t="s">
        <v>4510</v>
      </c>
      <c r="C9" s="402" t="s">
        <v>4612</v>
      </c>
      <c r="D9" s="402" t="s">
        <v>4613</v>
      </c>
    </row>
    <row r="10" spans="1:4" ht="60">
      <c r="B10" s="405" t="s">
        <v>4516</v>
      </c>
      <c r="C10" s="407" t="s">
        <v>4545</v>
      </c>
      <c r="D10" s="401" t="s">
        <v>4614</v>
      </c>
    </row>
    <row r="11" spans="1:4" ht="36">
      <c r="B11" s="406" t="s">
        <v>4520</v>
      </c>
      <c r="C11" s="402" t="s">
        <v>4615</v>
      </c>
      <c r="D11" s="410" t="s">
        <v>4545</v>
      </c>
    </row>
  </sheetData>
  <mergeCells count="2">
    <mergeCell ref="B4:B5"/>
    <mergeCell ref="C4:D4"/>
  </mergeCells>
  <hyperlinks>
    <hyperlink ref="A1" location="Sommaire!A1" display="Sommaire!A1" xr:uid="{00000000-0004-0000-3E00-000000000000}"/>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Feuil46"/>
  <dimension ref="A1:F14"/>
  <sheetViews>
    <sheetView workbookViewId="0"/>
  </sheetViews>
  <sheetFormatPr baseColWidth="10" defaultColWidth="11.5" defaultRowHeight="12"/>
  <cols>
    <col min="1" max="1" width="11.5" style="215"/>
    <col min="2" max="3" width="25.33203125" style="215" bestFit="1" customWidth="1"/>
    <col min="4" max="4" width="40.6640625" style="215" bestFit="1" customWidth="1"/>
    <col min="5" max="5" width="33.33203125" style="215" bestFit="1" customWidth="1"/>
    <col min="6" max="6" width="34.1640625" style="215" bestFit="1" customWidth="1"/>
    <col min="7" max="16384" width="11.5" style="215"/>
  </cols>
  <sheetData>
    <row r="1" spans="1:6" ht="14.5">
      <c r="A1" s="560" t="s">
        <v>140</v>
      </c>
    </row>
    <row r="2" spans="1:6" ht="20.5">
      <c r="B2" s="218" t="s">
        <v>4616</v>
      </c>
    </row>
    <row r="4" spans="1:6" ht="12.5" thickBot="1">
      <c r="B4" s="793" t="s">
        <v>4526</v>
      </c>
      <c r="C4" s="792" t="s">
        <v>4617</v>
      </c>
      <c r="D4" s="792"/>
      <c r="E4" s="792" t="s">
        <v>4530</v>
      </c>
      <c r="F4" s="792"/>
    </row>
    <row r="5" spans="1:6">
      <c r="B5" s="793"/>
      <c r="C5" s="258" t="s">
        <v>4618</v>
      </c>
      <c r="D5" s="258" t="s">
        <v>4619</v>
      </c>
      <c r="E5" s="258" t="s">
        <v>4618</v>
      </c>
      <c r="F5" s="258" t="s">
        <v>4619</v>
      </c>
    </row>
    <row r="6" spans="1:6" ht="36">
      <c r="B6" s="221" t="s">
        <v>4336</v>
      </c>
      <c r="C6" s="221" t="s">
        <v>4620</v>
      </c>
      <c r="D6" s="221" t="s">
        <v>4621</v>
      </c>
      <c r="E6" s="221" t="s">
        <v>4578</v>
      </c>
      <c r="F6" s="221" t="s">
        <v>4578</v>
      </c>
    </row>
    <row r="7" spans="1:6" ht="48">
      <c r="B7" s="420" t="s">
        <v>4346</v>
      </c>
      <c r="C7" s="420" t="s">
        <v>4622</v>
      </c>
      <c r="D7" s="420" t="s">
        <v>4623</v>
      </c>
      <c r="E7" s="420" t="s">
        <v>4624</v>
      </c>
      <c r="F7" s="420" t="s">
        <v>4578</v>
      </c>
    </row>
    <row r="8" spans="1:6" ht="60">
      <c r="B8" s="221" t="s">
        <v>4357</v>
      </c>
      <c r="C8" s="221" t="s">
        <v>4625</v>
      </c>
      <c r="D8" s="221" t="s">
        <v>4626</v>
      </c>
      <c r="E8" s="221" t="s">
        <v>4627</v>
      </c>
      <c r="F8" s="221" t="s">
        <v>4578</v>
      </c>
    </row>
    <row r="9" spans="1:6" ht="48">
      <c r="B9" s="420" t="s">
        <v>4428</v>
      </c>
      <c r="C9" s="420" t="s">
        <v>4628</v>
      </c>
      <c r="D9" s="420" t="s">
        <v>4629</v>
      </c>
      <c r="E9" s="420" t="s">
        <v>4545</v>
      </c>
      <c r="F9" s="420" t="s">
        <v>4545</v>
      </c>
    </row>
    <row r="10" spans="1:6" ht="72">
      <c r="B10" s="221" t="s">
        <v>4630</v>
      </c>
      <c r="C10" s="221" t="s">
        <v>4545</v>
      </c>
      <c r="D10" s="221" t="s">
        <v>4545</v>
      </c>
      <c r="E10" s="221" t="s">
        <v>4631</v>
      </c>
      <c r="F10" s="221" t="s">
        <v>4632</v>
      </c>
    </row>
    <row r="11" spans="1:6" ht="72">
      <c r="B11" s="420" t="s">
        <v>4374</v>
      </c>
      <c r="C11" s="420" t="s">
        <v>4633</v>
      </c>
      <c r="D11" s="420" t="s">
        <v>4634</v>
      </c>
      <c r="E11" s="420" t="s">
        <v>4635</v>
      </c>
      <c r="F11" s="420" t="s">
        <v>4636</v>
      </c>
    </row>
    <row r="12" spans="1:6" ht="60">
      <c r="B12" s="221" t="s">
        <v>4392</v>
      </c>
      <c r="C12" s="221" t="s">
        <v>4637</v>
      </c>
      <c r="D12" s="221" t="s">
        <v>4638</v>
      </c>
      <c r="E12" s="221" t="s">
        <v>4639</v>
      </c>
      <c r="F12" s="221" t="s">
        <v>4578</v>
      </c>
    </row>
    <row r="13" spans="1:6" ht="61.5">
      <c r="B13" s="420" t="s">
        <v>4640</v>
      </c>
      <c r="C13" s="420" t="s">
        <v>4641</v>
      </c>
      <c r="D13" s="420" t="s">
        <v>4642</v>
      </c>
      <c r="E13" s="420" t="s">
        <v>4643</v>
      </c>
      <c r="F13" s="420" t="s">
        <v>4578</v>
      </c>
    </row>
    <row r="14" spans="1:6" ht="48">
      <c r="B14" s="221" t="s">
        <v>4644</v>
      </c>
      <c r="C14" s="221" t="s">
        <v>4645</v>
      </c>
      <c r="D14" s="221" t="s">
        <v>4646</v>
      </c>
      <c r="E14" s="221" t="s">
        <v>4545</v>
      </c>
      <c r="F14" s="221" t="s">
        <v>4545</v>
      </c>
    </row>
  </sheetData>
  <mergeCells count="3">
    <mergeCell ref="B4:B5"/>
    <mergeCell ref="C4:D4"/>
    <mergeCell ref="E4:F4"/>
  </mergeCells>
  <hyperlinks>
    <hyperlink ref="A1" location="Sommaire!A1" display="Sommaire!A1" xr:uid="{00000000-0004-0000-3F00-000000000000}"/>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Feuil47"/>
  <dimension ref="A1:F11"/>
  <sheetViews>
    <sheetView workbookViewId="0"/>
  </sheetViews>
  <sheetFormatPr baseColWidth="10" defaultColWidth="11.33203125" defaultRowHeight="12"/>
  <cols>
    <col min="1" max="1" width="11.33203125" style="215"/>
    <col min="2" max="2" width="26.6640625" style="215" bestFit="1" customWidth="1"/>
    <col min="3" max="3" width="18.6640625" style="215" bestFit="1" customWidth="1"/>
    <col min="4" max="4" width="49" style="215" bestFit="1" customWidth="1"/>
    <col min="5" max="5" width="18" style="215" bestFit="1" customWidth="1"/>
    <col min="6" max="6" width="47.1640625" style="215" bestFit="1" customWidth="1"/>
    <col min="7" max="16384" width="11.33203125" style="215"/>
  </cols>
  <sheetData>
    <row r="1" spans="1:6" ht="14.5">
      <c r="A1" s="560" t="s">
        <v>140</v>
      </c>
    </row>
    <row r="2" spans="1:6" ht="20.5">
      <c r="B2" s="218" t="s">
        <v>4647</v>
      </c>
    </row>
    <row r="4" spans="1:6" ht="12.5" thickBot="1">
      <c r="B4" s="793" t="s">
        <v>4526</v>
      </c>
      <c r="C4" s="792" t="s">
        <v>4591</v>
      </c>
      <c r="D4" s="792"/>
      <c r="E4" s="792" t="s">
        <v>4592</v>
      </c>
      <c r="F4" s="792"/>
    </row>
    <row r="5" spans="1:6">
      <c r="B5" s="793"/>
      <c r="C5" s="258" t="s">
        <v>4618</v>
      </c>
      <c r="D5" s="258" t="s">
        <v>4619</v>
      </c>
      <c r="E5" s="258" t="s">
        <v>4618</v>
      </c>
      <c r="F5" s="258" t="s">
        <v>4619</v>
      </c>
    </row>
    <row r="6" spans="1:6" ht="60">
      <c r="B6" s="405" t="s">
        <v>4336</v>
      </c>
      <c r="C6" s="407" t="s">
        <v>4648</v>
      </c>
      <c r="D6" s="408" t="s">
        <v>4649</v>
      </c>
      <c r="E6" s="407" t="s">
        <v>4650</v>
      </c>
      <c r="F6" s="408" t="s">
        <v>4651</v>
      </c>
    </row>
    <row r="7" spans="1:6" ht="60">
      <c r="B7" s="406" t="s">
        <v>4597</v>
      </c>
      <c r="C7" s="409" t="s">
        <v>4652</v>
      </c>
      <c r="D7" s="409" t="s">
        <v>4599</v>
      </c>
      <c r="E7" s="402" t="s">
        <v>4653</v>
      </c>
      <c r="F7" s="402" t="s">
        <v>4653</v>
      </c>
    </row>
    <row r="8" spans="1:6" ht="60">
      <c r="B8" s="413" t="s">
        <v>4492</v>
      </c>
      <c r="C8" s="213" t="s">
        <v>4653</v>
      </c>
      <c r="D8" s="213" t="s">
        <v>4653</v>
      </c>
      <c r="E8" s="407" t="s">
        <v>4654</v>
      </c>
      <c r="F8" s="407" t="s">
        <v>4655</v>
      </c>
    </row>
    <row r="9" spans="1:6" ht="60">
      <c r="B9" s="406" t="s">
        <v>4510</v>
      </c>
      <c r="C9" s="406" t="s">
        <v>4650</v>
      </c>
      <c r="D9" s="409" t="s">
        <v>4656</v>
      </c>
      <c r="E9" s="409" t="s">
        <v>4657</v>
      </c>
      <c r="F9" s="410" t="s">
        <v>4658</v>
      </c>
    </row>
    <row r="10" spans="1:6" ht="96">
      <c r="B10" s="413" t="s">
        <v>4516</v>
      </c>
      <c r="C10" s="213" t="s">
        <v>4653</v>
      </c>
      <c r="D10" s="213" t="s">
        <v>4653</v>
      </c>
      <c r="E10" s="213" t="s">
        <v>4659</v>
      </c>
      <c r="F10" s="414" t="s">
        <v>4660</v>
      </c>
    </row>
    <row r="11" spans="1:6" ht="36">
      <c r="B11" s="406" t="s">
        <v>4520</v>
      </c>
      <c r="C11" s="409" t="s">
        <v>4661</v>
      </c>
      <c r="D11" s="410" t="s">
        <v>4662</v>
      </c>
      <c r="E11" s="415" t="s">
        <v>4653</v>
      </c>
      <c r="F11" s="415" t="s">
        <v>4653</v>
      </c>
    </row>
  </sheetData>
  <mergeCells count="3">
    <mergeCell ref="B4:B5"/>
    <mergeCell ref="C4:D4"/>
    <mergeCell ref="E4:F4"/>
  </mergeCells>
  <hyperlinks>
    <hyperlink ref="A1" location="Sommaire!A1" display="Sommaire!A1" xr:uid="{00000000-0004-0000-4000-000000000000}"/>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P2741"/>
  <sheetViews>
    <sheetView workbookViewId="0">
      <selection activeCell="A3" sqref="A3"/>
    </sheetView>
  </sheetViews>
  <sheetFormatPr baseColWidth="10" defaultColWidth="11.33203125" defaultRowHeight="12"/>
  <cols>
    <col min="1" max="1" width="9.5" style="215" bestFit="1" customWidth="1"/>
    <col min="2" max="2" width="9.1640625" style="215" bestFit="1" customWidth="1"/>
    <col min="3" max="3" width="8.33203125" style="215" bestFit="1" customWidth="1"/>
    <col min="4" max="4" width="25.6640625" style="215" bestFit="1" customWidth="1"/>
    <col min="5" max="5" width="23.33203125" style="215" bestFit="1" customWidth="1"/>
    <col min="6" max="6" width="9.33203125" style="215" bestFit="1" customWidth="1"/>
    <col min="7" max="7" width="6" style="215" bestFit="1" customWidth="1"/>
    <col min="8" max="8" width="11" style="215" bestFit="1" customWidth="1"/>
    <col min="9" max="9" width="12.33203125" style="215" bestFit="1" customWidth="1"/>
    <col min="10" max="10" width="13" style="215" bestFit="1" customWidth="1"/>
    <col min="11" max="11" width="10.33203125" style="215" bestFit="1" customWidth="1"/>
    <col min="12" max="12" width="23.5" style="215" bestFit="1" customWidth="1"/>
    <col min="13" max="13" width="39" style="215" bestFit="1" customWidth="1"/>
    <col min="14" max="14" width="17.6640625" style="215" bestFit="1" customWidth="1"/>
    <col min="15" max="15" width="25" style="215" bestFit="1" customWidth="1"/>
    <col min="16" max="16" width="11" style="215" bestFit="1" customWidth="1"/>
    <col min="17" max="16384" width="11.33203125" style="215"/>
  </cols>
  <sheetData>
    <row r="1" spans="1:16" ht="14.5">
      <c r="A1" s="560" t="s">
        <v>140</v>
      </c>
    </row>
    <row r="3" spans="1:16" ht="19">
      <c r="A3" s="216" t="s">
        <v>4663</v>
      </c>
    </row>
    <row r="5" spans="1:16" ht="36">
      <c r="A5" s="613" t="s">
        <v>144</v>
      </c>
      <c r="B5" s="613" t="s">
        <v>713</v>
      </c>
      <c r="C5" s="614" t="s">
        <v>4664</v>
      </c>
      <c r="D5" s="614" t="s">
        <v>4665</v>
      </c>
      <c r="E5" s="614" t="s">
        <v>5079</v>
      </c>
      <c r="F5" s="615" t="s">
        <v>4666</v>
      </c>
      <c r="G5" s="614" t="s">
        <v>4667</v>
      </c>
      <c r="H5" s="615" t="s">
        <v>4668</v>
      </c>
      <c r="I5" s="615" t="s">
        <v>4669</v>
      </c>
      <c r="J5" s="616" t="s">
        <v>4670</v>
      </c>
      <c r="K5" s="614" t="s">
        <v>4671</v>
      </c>
      <c r="L5" s="614" t="s">
        <v>4672</v>
      </c>
      <c r="M5" s="614" t="s">
        <v>4673</v>
      </c>
      <c r="N5" s="617" t="s">
        <v>4674</v>
      </c>
      <c r="O5" s="617" t="s">
        <v>4675</v>
      </c>
      <c r="P5" s="614" t="s">
        <v>4676</v>
      </c>
    </row>
    <row r="6" spans="1:16">
      <c r="A6" s="231" t="s">
        <v>678</v>
      </c>
      <c r="B6" s="231" t="s">
        <v>725</v>
      </c>
      <c r="C6" s="618">
        <v>44932</v>
      </c>
      <c r="D6" s="231" t="s">
        <v>4677</v>
      </c>
      <c r="E6" s="231" t="s">
        <v>5066</v>
      </c>
      <c r="F6" s="619">
        <v>321.68299999999999</v>
      </c>
      <c r="G6" s="231" t="s">
        <v>4678</v>
      </c>
      <c r="H6" s="619">
        <v>1835.7</v>
      </c>
      <c r="I6" s="619">
        <v>590513.48</v>
      </c>
      <c r="J6" s="620">
        <v>368485020</v>
      </c>
      <c r="K6" s="621" t="s">
        <v>728</v>
      </c>
      <c r="L6" s="621" t="s">
        <v>4679</v>
      </c>
      <c r="M6" s="621" t="s">
        <v>4680</v>
      </c>
      <c r="N6" s="621" t="s">
        <v>4681</v>
      </c>
      <c r="O6" s="621" t="s">
        <v>4682</v>
      </c>
      <c r="P6" s="621" t="s">
        <v>606</v>
      </c>
    </row>
    <row r="7" spans="1:16">
      <c r="A7" s="232" t="s">
        <v>678</v>
      </c>
      <c r="B7" s="232" t="s">
        <v>725</v>
      </c>
      <c r="C7" s="622">
        <v>44937</v>
      </c>
      <c r="D7" s="232" t="s">
        <v>4677</v>
      </c>
      <c r="E7" s="231" t="s">
        <v>5066</v>
      </c>
      <c r="F7" s="233">
        <v>93.620999999999995</v>
      </c>
      <c r="G7" s="232" t="s">
        <v>4678</v>
      </c>
      <c r="H7" s="233">
        <v>1884.3</v>
      </c>
      <c r="I7" s="233">
        <v>176410.05</v>
      </c>
      <c r="J7" s="623">
        <v>107754360</v>
      </c>
      <c r="K7" s="624" t="s">
        <v>728</v>
      </c>
      <c r="L7" s="624" t="s">
        <v>4679</v>
      </c>
      <c r="M7" s="624" t="s">
        <v>4680</v>
      </c>
      <c r="N7" s="624" t="s">
        <v>4681</v>
      </c>
      <c r="O7" s="624" t="s">
        <v>4682</v>
      </c>
      <c r="P7" s="624" t="s">
        <v>606</v>
      </c>
    </row>
    <row r="8" spans="1:16">
      <c r="A8" s="231" t="s">
        <v>678</v>
      </c>
      <c r="B8" s="231" t="s">
        <v>725</v>
      </c>
      <c r="C8" s="618">
        <v>44937</v>
      </c>
      <c r="D8" s="231" t="s">
        <v>4677</v>
      </c>
      <c r="E8" s="231" t="s">
        <v>5066</v>
      </c>
      <c r="F8" s="619">
        <v>4400</v>
      </c>
      <c r="G8" s="231" t="s">
        <v>4678</v>
      </c>
      <c r="H8" s="619">
        <v>1885</v>
      </c>
      <c r="I8" s="619">
        <v>8294000</v>
      </c>
      <c r="J8" s="620">
        <v>5025872848</v>
      </c>
      <c r="K8" s="621" t="s">
        <v>728</v>
      </c>
      <c r="L8" s="621" t="s">
        <v>4679</v>
      </c>
      <c r="M8" s="621" t="s">
        <v>4680</v>
      </c>
      <c r="N8" s="621" t="s">
        <v>4681</v>
      </c>
      <c r="O8" s="621" t="s">
        <v>4682</v>
      </c>
      <c r="P8" s="621" t="s">
        <v>606</v>
      </c>
    </row>
    <row r="9" spans="1:16">
      <c r="A9" s="232" t="s">
        <v>678</v>
      </c>
      <c r="B9" s="232" t="s">
        <v>725</v>
      </c>
      <c r="C9" s="622">
        <v>44943</v>
      </c>
      <c r="D9" s="232" t="s">
        <v>4677</v>
      </c>
      <c r="E9" s="231" t="s">
        <v>5066</v>
      </c>
      <c r="F9" s="233">
        <v>71.486000000000004</v>
      </c>
      <c r="G9" s="232" t="s">
        <v>4678</v>
      </c>
      <c r="H9" s="233">
        <v>1915.2</v>
      </c>
      <c r="I9" s="233">
        <v>136909.99</v>
      </c>
      <c r="J9" s="623">
        <v>82962646</v>
      </c>
      <c r="K9" s="624" t="s">
        <v>728</v>
      </c>
      <c r="L9" s="624" t="s">
        <v>4679</v>
      </c>
      <c r="M9" s="624" t="s">
        <v>4680</v>
      </c>
      <c r="N9" s="624" t="s">
        <v>4681</v>
      </c>
      <c r="O9" s="624" t="s">
        <v>4682</v>
      </c>
      <c r="P9" s="624" t="s">
        <v>606</v>
      </c>
    </row>
    <row r="10" spans="1:16">
      <c r="A10" s="231" t="s">
        <v>678</v>
      </c>
      <c r="B10" s="231" t="s">
        <v>725</v>
      </c>
      <c r="C10" s="618">
        <v>44939</v>
      </c>
      <c r="D10" s="231" t="s">
        <v>4677</v>
      </c>
      <c r="E10" s="231" t="s">
        <v>5066</v>
      </c>
      <c r="F10" s="619">
        <v>3000</v>
      </c>
      <c r="G10" s="231" t="s">
        <v>4678</v>
      </c>
      <c r="H10" s="619">
        <v>1910</v>
      </c>
      <c r="I10" s="619">
        <v>5730000</v>
      </c>
      <c r="J10" s="620">
        <v>3461980453</v>
      </c>
      <c r="K10" s="621" t="s">
        <v>728</v>
      </c>
      <c r="L10" s="621" t="s">
        <v>4679</v>
      </c>
      <c r="M10" s="621" t="s">
        <v>4680</v>
      </c>
      <c r="N10" s="621" t="s">
        <v>4681</v>
      </c>
      <c r="O10" s="621" t="s">
        <v>4682</v>
      </c>
      <c r="P10" s="621" t="s">
        <v>606</v>
      </c>
    </row>
    <row r="11" spans="1:16">
      <c r="A11" s="232" t="s">
        <v>678</v>
      </c>
      <c r="B11" s="232" t="s">
        <v>725</v>
      </c>
      <c r="C11" s="622">
        <v>44939</v>
      </c>
      <c r="D11" s="232" t="s">
        <v>4677</v>
      </c>
      <c r="E11" s="231" t="s">
        <v>5066</v>
      </c>
      <c r="F11" s="233">
        <v>3000</v>
      </c>
      <c r="G11" s="232" t="s">
        <v>4678</v>
      </c>
      <c r="H11" s="233">
        <v>1915</v>
      </c>
      <c r="I11" s="233">
        <v>5745000</v>
      </c>
      <c r="J11" s="623">
        <v>3471043229</v>
      </c>
      <c r="K11" s="624" t="s">
        <v>728</v>
      </c>
      <c r="L11" s="624" t="s">
        <v>4679</v>
      </c>
      <c r="M11" s="624" t="s">
        <v>4680</v>
      </c>
      <c r="N11" s="624" t="s">
        <v>4681</v>
      </c>
      <c r="O11" s="624" t="s">
        <v>4682</v>
      </c>
      <c r="P11" s="624" t="s">
        <v>606</v>
      </c>
    </row>
    <row r="12" spans="1:16">
      <c r="A12" s="231" t="s">
        <v>678</v>
      </c>
      <c r="B12" s="231" t="s">
        <v>725</v>
      </c>
      <c r="C12" s="618">
        <v>44946</v>
      </c>
      <c r="D12" s="231" t="s">
        <v>4677</v>
      </c>
      <c r="E12" s="231" t="s">
        <v>5066</v>
      </c>
      <c r="F12" s="619">
        <v>291.20800000000003</v>
      </c>
      <c r="G12" s="231" t="s">
        <v>4678</v>
      </c>
      <c r="H12" s="619">
        <v>1930.23</v>
      </c>
      <c r="I12" s="619">
        <v>562098.42000000004</v>
      </c>
      <c r="J12" s="620">
        <v>339611472</v>
      </c>
      <c r="K12" s="621" t="s">
        <v>728</v>
      </c>
      <c r="L12" s="621" t="s">
        <v>4679</v>
      </c>
      <c r="M12" s="621" t="s">
        <v>4680</v>
      </c>
      <c r="N12" s="621" t="s">
        <v>4681</v>
      </c>
      <c r="O12" s="621" t="s">
        <v>4682</v>
      </c>
      <c r="P12" s="621" t="s">
        <v>606</v>
      </c>
    </row>
    <row r="13" spans="1:16">
      <c r="A13" s="232" t="s">
        <v>678</v>
      </c>
      <c r="B13" s="232" t="s">
        <v>725</v>
      </c>
      <c r="C13" s="622">
        <v>44946</v>
      </c>
      <c r="D13" s="232" t="s">
        <v>4677</v>
      </c>
      <c r="E13" s="231" t="s">
        <v>5066</v>
      </c>
      <c r="F13" s="233">
        <v>783.33</v>
      </c>
      <c r="G13" s="232" t="s">
        <v>4678</v>
      </c>
      <c r="H13" s="233">
        <v>1924.8</v>
      </c>
      <c r="I13" s="233">
        <v>1507753.58</v>
      </c>
      <c r="J13" s="623">
        <v>910962205</v>
      </c>
      <c r="K13" s="624" t="s">
        <v>728</v>
      </c>
      <c r="L13" s="624" t="s">
        <v>4679</v>
      </c>
      <c r="M13" s="624" t="s">
        <v>4680</v>
      </c>
      <c r="N13" s="624" t="s">
        <v>4681</v>
      </c>
      <c r="O13" s="624" t="s">
        <v>4682</v>
      </c>
      <c r="P13" s="624" t="s">
        <v>606</v>
      </c>
    </row>
    <row r="14" spans="1:16">
      <c r="A14" s="231" t="s">
        <v>678</v>
      </c>
      <c r="B14" s="231" t="s">
        <v>725</v>
      </c>
      <c r="C14" s="618">
        <v>44951</v>
      </c>
      <c r="D14" s="231" t="s">
        <v>4677</v>
      </c>
      <c r="E14" s="231" t="s">
        <v>5066</v>
      </c>
      <c r="F14" s="619">
        <v>5178.7259999999997</v>
      </c>
      <c r="G14" s="231" t="s">
        <v>4678</v>
      </c>
      <c r="H14" s="619">
        <v>1930</v>
      </c>
      <c r="I14" s="619">
        <v>9994941.4800000004</v>
      </c>
      <c r="J14" s="620">
        <v>6083520899</v>
      </c>
      <c r="K14" s="621" t="s">
        <v>728</v>
      </c>
      <c r="L14" s="621" t="s">
        <v>4679</v>
      </c>
      <c r="M14" s="621" t="s">
        <v>4680</v>
      </c>
      <c r="N14" s="621" t="s">
        <v>4681</v>
      </c>
      <c r="O14" s="621" t="s">
        <v>4682</v>
      </c>
      <c r="P14" s="621" t="s">
        <v>606</v>
      </c>
    </row>
    <row r="15" spans="1:16">
      <c r="A15" s="232" t="s">
        <v>678</v>
      </c>
      <c r="B15" s="232" t="s">
        <v>725</v>
      </c>
      <c r="C15" s="622">
        <v>44959</v>
      </c>
      <c r="D15" s="232" t="s">
        <v>4677</v>
      </c>
      <c r="E15" s="231" t="s">
        <v>5066</v>
      </c>
      <c r="F15" s="233">
        <v>4098.817</v>
      </c>
      <c r="G15" s="232" t="s">
        <v>4678</v>
      </c>
      <c r="H15" s="233">
        <v>1954.5</v>
      </c>
      <c r="I15" s="233">
        <v>8011137.8300000001</v>
      </c>
      <c r="J15" s="623">
        <v>4779845311</v>
      </c>
      <c r="K15" s="624" t="s">
        <v>728</v>
      </c>
      <c r="L15" s="624" t="s">
        <v>4679</v>
      </c>
      <c r="M15" s="624" t="s">
        <v>4680</v>
      </c>
      <c r="N15" s="624" t="s">
        <v>4681</v>
      </c>
      <c r="O15" s="624" t="s">
        <v>4682</v>
      </c>
      <c r="P15" s="624" t="s">
        <v>606</v>
      </c>
    </row>
    <row r="16" spans="1:16">
      <c r="A16" s="231" t="s">
        <v>678</v>
      </c>
      <c r="B16" s="231" t="s">
        <v>725</v>
      </c>
      <c r="C16" s="618">
        <v>44972</v>
      </c>
      <c r="D16" s="231" t="s">
        <v>4677</v>
      </c>
      <c r="E16" s="231" t="s">
        <v>5066</v>
      </c>
      <c r="F16" s="619">
        <v>4799.3249999999998</v>
      </c>
      <c r="G16" s="231" t="s">
        <v>4678</v>
      </c>
      <c r="H16" s="619">
        <v>1831.1</v>
      </c>
      <c r="I16" s="619">
        <v>8788044.0099999998</v>
      </c>
      <c r="J16" s="620">
        <v>5384434563</v>
      </c>
      <c r="K16" s="621" t="s">
        <v>728</v>
      </c>
      <c r="L16" s="621" t="s">
        <v>4679</v>
      </c>
      <c r="M16" s="621" t="s">
        <v>4680</v>
      </c>
      <c r="N16" s="621" t="s">
        <v>4681</v>
      </c>
      <c r="O16" s="621" t="s">
        <v>4682</v>
      </c>
      <c r="P16" s="621" t="s">
        <v>606</v>
      </c>
    </row>
    <row r="17" spans="1:16">
      <c r="A17" s="232" t="s">
        <v>678</v>
      </c>
      <c r="B17" s="232" t="s">
        <v>725</v>
      </c>
      <c r="C17" s="622">
        <v>44959</v>
      </c>
      <c r="D17" s="232" t="s">
        <v>4677</v>
      </c>
      <c r="E17" s="231" t="s">
        <v>5066</v>
      </c>
      <c r="F17" s="233">
        <v>3000</v>
      </c>
      <c r="G17" s="232" t="s">
        <v>4678</v>
      </c>
      <c r="H17" s="233">
        <v>1951.98</v>
      </c>
      <c r="I17" s="233">
        <v>5855940</v>
      </c>
      <c r="J17" s="623">
        <v>3582371295</v>
      </c>
      <c r="K17" s="624" t="s">
        <v>728</v>
      </c>
      <c r="L17" s="624" t="s">
        <v>4679</v>
      </c>
      <c r="M17" s="624" t="s">
        <v>4680</v>
      </c>
      <c r="N17" s="624" t="s">
        <v>4681</v>
      </c>
      <c r="O17" s="624" t="s">
        <v>4682</v>
      </c>
      <c r="P17" s="624" t="s">
        <v>606</v>
      </c>
    </row>
    <row r="18" spans="1:16">
      <c r="A18" s="231" t="s">
        <v>678</v>
      </c>
      <c r="B18" s="231" t="s">
        <v>725</v>
      </c>
      <c r="C18" s="618">
        <v>44973</v>
      </c>
      <c r="D18" s="231" t="s">
        <v>4677</v>
      </c>
      <c r="E18" s="231" t="s">
        <v>5066</v>
      </c>
      <c r="F18" s="619">
        <v>2215.259</v>
      </c>
      <c r="G18" s="231" t="s">
        <v>4678</v>
      </c>
      <c r="H18" s="619">
        <v>1828.85</v>
      </c>
      <c r="I18" s="619">
        <v>4051376.42</v>
      </c>
      <c r="J18" s="620">
        <v>2478429526</v>
      </c>
      <c r="K18" s="621" t="s">
        <v>728</v>
      </c>
      <c r="L18" s="621" t="s">
        <v>4679</v>
      </c>
      <c r="M18" s="621" t="s">
        <v>4680</v>
      </c>
      <c r="N18" s="621" t="s">
        <v>4681</v>
      </c>
      <c r="O18" s="621" t="s">
        <v>4682</v>
      </c>
      <c r="P18" s="621" t="s">
        <v>606</v>
      </c>
    </row>
    <row r="19" spans="1:16">
      <c r="A19" s="232" t="s">
        <v>678</v>
      </c>
      <c r="B19" s="232" t="s">
        <v>725</v>
      </c>
      <c r="C19" s="622">
        <v>44974</v>
      </c>
      <c r="D19" s="232" t="s">
        <v>4677</v>
      </c>
      <c r="E19" s="231" t="s">
        <v>5066</v>
      </c>
      <c r="F19" s="233">
        <v>783.33</v>
      </c>
      <c r="G19" s="232" t="s">
        <v>4678</v>
      </c>
      <c r="H19" s="233">
        <v>1833.85</v>
      </c>
      <c r="I19" s="233">
        <v>1436509.72</v>
      </c>
      <c r="J19" s="623">
        <v>882850145</v>
      </c>
      <c r="K19" s="624" t="s">
        <v>728</v>
      </c>
      <c r="L19" s="624" t="s">
        <v>4679</v>
      </c>
      <c r="M19" s="624" t="s">
        <v>4680</v>
      </c>
      <c r="N19" s="624" t="s">
        <v>4681</v>
      </c>
      <c r="O19" s="624" t="s">
        <v>4682</v>
      </c>
      <c r="P19" s="624" t="s">
        <v>606</v>
      </c>
    </row>
    <row r="20" spans="1:16">
      <c r="A20" s="231" t="s">
        <v>678</v>
      </c>
      <c r="B20" s="231" t="s">
        <v>725</v>
      </c>
      <c r="C20" s="618">
        <v>44979</v>
      </c>
      <c r="D20" s="231" t="s">
        <v>4677</v>
      </c>
      <c r="E20" s="231" t="s">
        <v>5066</v>
      </c>
      <c r="F20" s="619">
        <v>5611.2960000000003</v>
      </c>
      <c r="G20" s="231" t="s">
        <v>4678</v>
      </c>
      <c r="H20" s="619">
        <v>1835.65</v>
      </c>
      <c r="I20" s="619">
        <v>10300375.5</v>
      </c>
      <c r="J20" s="620">
        <v>6377992511</v>
      </c>
      <c r="K20" s="621" t="s">
        <v>728</v>
      </c>
      <c r="L20" s="621" t="s">
        <v>4679</v>
      </c>
      <c r="M20" s="621" t="s">
        <v>4680</v>
      </c>
      <c r="N20" s="621" t="s">
        <v>4681</v>
      </c>
      <c r="O20" s="621" t="s">
        <v>4682</v>
      </c>
      <c r="P20" s="621" t="s">
        <v>606</v>
      </c>
    </row>
    <row r="21" spans="1:16">
      <c r="A21" s="232" t="s">
        <v>678</v>
      </c>
      <c r="B21" s="232" t="s">
        <v>725</v>
      </c>
      <c r="C21" s="622">
        <v>44992</v>
      </c>
      <c r="D21" s="232" t="s">
        <v>4677</v>
      </c>
      <c r="E21" s="231" t="s">
        <v>5066</v>
      </c>
      <c r="F21" s="233">
        <v>2788.114</v>
      </c>
      <c r="G21" s="232" t="s">
        <v>4678</v>
      </c>
      <c r="H21" s="233">
        <v>1826.45</v>
      </c>
      <c r="I21" s="233">
        <v>5092350.82</v>
      </c>
      <c r="J21" s="623">
        <v>3144170164</v>
      </c>
      <c r="K21" s="624" t="s">
        <v>728</v>
      </c>
      <c r="L21" s="624" t="s">
        <v>4679</v>
      </c>
      <c r="M21" s="624" t="s">
        <v>4680</v>
      </c>
      <c r="N21" s="624" t="s">
        <v>4681</v>
      </c>
      <c r="O21" s="624" t="s">
        <v>4682</v>
      </c>
      <c r="P21" s="624" t="s">
        <v>606</v>
      </c>
    </row>
    <row r="22" spans="1:16">
      <c r="A22" s="231" t="s">
        <v>678</v>
      </c>
      <c r="B22" s="231" t="s">
        <v>725</v>
      </c>
      <c r="C22" s="618">
        <v>44993</v>
      </c>
      <c r="D22" s="231" t="s">
        <v>4677</v>
      </c>
      <c r="E22" s="231" t="s">
        <v>5066</v>
      </c>
      <c r="F22" s="619">
        <v>1837.5219999999999</v>
      </c>
      <c r="G22" s="231" t="s">
        <v>4678</v>
      </c>
      <c r="H22" s="619">
        <v>1816.2</v>
      </c>
      <c r="I22" s="619">
        <v>3337307.46</v>
      </c>
      <c r="J22" s="620">
        <v>2060553743</v>
      </c>
      <c r="K22" s="621" t="s">
        <v>728</v>
      </c>
      <c r="L22" s="621" t="s">
        <v>4679</v>
      </c>
      <c r="M22" s="621" t="s">
        <v>4680</v>
      </c>
      <c r="N22" s="621" t="s">
        <v>4681</v>
      </c>
      <c r="O22" s="621" t="s">
        <v>4682</v>
      </c>
      <c r="P22" s="621" t="s">
        <v>606</v>
      </c>
    </row>
    <row r="23" spans="1:16">
      <c r="A23" s="232" t="s">
        <v>678</v>
      </c>
      <c r="B23" s="232" t="s">
        <v>725</v>
      </c>
      <c r="C23" s="622">
        <v>44995</v>
      </c>
      <c r="D23" s="232" t="s">
        <v>4677</v>
      </c>
      <c r="E23" s="231" t="s">
        <v>5066</v>
      </c>
      <c r="F23" s="233">
        <v>783.33</v>
      </c>
      <c r="G23" s="232" t="s">
        <v>4678</v>
      </c>
      <c r="H23" s="233">
        <v>1861.15</v>
      </c>
      <c r="I23" s="233">
        <v>1457894.63</v>
      </c>
      <c r="J23" s="623">
        <v>894389197</v>
      </c>
      <c r="K23" s="624" t="s">
        <v>728</v>
      </c>
      <c r="L23" s="624" t="s">
        <v>4679</v>
      </c>
      <c r="M23" s="624" t="s">
        <v>4680</v>
      </c>
      <c r="N23" s="624" t="s">
        <v>4681</v>
      </c>
      <c r="O23" s="624" t="s">
        <v>4682</v>
      </c>
      <c r="P23" s="624" t="s">
        <v>606</v>
      </c>
    </row>
    <row r="24" spans="1:16">
      <c r="A24" s="231" t="s">
        <v>678</v>
      </c>
      <c r="B24" s="231" t="s">
        <v>725</v>
      </c>
      <c r="C24" s="618">
        <v>44998</v>
      </c>
      <c r="D24" s="231" t="s">
        <v>4677</v>
      </c>
      <c r="E24" s="231" t="s">
        <v>5066</v>
      </c>
      <c r="F24" s="619">
        <v>3118.1019999999999</v>
      </c>
      <c r="G24" s="231" t="s">
        <v>4678</v>
      </c>
      <c r="H24" s="619">
        <v>1888.61</v>
      </c>
      <c r="I24" s="619">
        <v>5888878.6200000001</v>
      </c>
      <c r="J24" s="620">
        <v>3612709255</v>
      </c>
      <c r="K24" s="621" t="s">
        <v>728</v>
      </c>
      <c r="L24" s="621" t="s">
        <v>4679</v>
      </c>
      <c r="M24" s="621" t="s">
        <v>4680</v>
      </c>
      <c r="N24" s="621" t="s">
        <v>4681</v>
      </c>
      <c r="O24" s="621" t="s">
        <v>4682</v>
      </c>
      <c r="P24" s="621" t="s">
        <v>606</v>
      </c>
    </row>
    <row r="25" spans="1:16">
      <c r="A25" s="232" t="s">
        <v>678</v>
      </c>
      <c r="B25" s="232" t="s">
        <v>725</v>
      </c>
      <c r="C25" s="622">
        <v>45007</v>
      </c>
      <c r="D25" s="232" t="s">
        <v>4677</v>
      </c>
      <c r="E25" s="231" t="s">
        <v>5066</v>
      </c>
      <c r="F25" s="233">
        <v>3871.3879999999999</v>
      </c>
      <c r="G25" s="232" t="s">
        <v>4678</v>
      </c>
      <c r="H25" s="233">
        <v>1949.25</v>
      </c>
      <c r="I25" s="233">
        <v>7546303.0599999996</v>
      </c>
      <c r="J25" s="623">
        <v>4588152260</v>
      </c>
      <c r="K25" s="624" t="s">
        <v>728</v>
      </c>
      <c r="L25" s="624" t="s">
        <v>4679</v>
      </c>
      <c r="M25" s="624" t="s">
        <v>4680</v>
      </c>
      <c r="N25" s="624" t="s">
        <v>4681</v>
      </c>
      <c r="O25" s="624" t="s">
        <v>4682</v>
      </c>
      <c r="P25" s="624" t="s">
        <v>606</v>
      </c>
    </row>
    <row r="26" spans="1:16">
      <c r="A26" s="231" t="s">
        <v>678</v>
      </c>
      <c r="B26" s="231" t="s">
        <v>725</v>
      </c>
      <c r="C26" s="618">
        <v>45007</v>
      </c>
      <c r="D26" s="231" t="s">
        <v>4677</v>
      </c>
      <c r="E26" s="231" t="s">
        <v>5066</v>
      </c>
      <c r="F26" s="619">
        <v>2627.1509999999998</v>
      </c>
      <c r="G26" s="231" t="s">
        <v>4678</v>
      </c>
      <c r="H26" s="619">
        <v>1949.25</v>
      </c>
      <c r="I26" s="619">
        <v>5120974.09</v>
      </c>
      <c r="J26" s="620">
        <v>3113552245</v>
      </c>
      <c r="K26" s="621" t="s">
        <v>728</v>
      </c>
      <c r="L26" s="621" t="s">
        <v>4679</v>
      </c>
      <c r="M26" s="621" t="s">
        <v>4680</v>
      </c>
      <c r="N26" s="621" t="s">
        <v>4681</v>
      </c>
      <c r="O26" s="621" t="s">
        <v>4682</v>
      </c>
      <c r="P26" s="621" t="s">
        <v>606</v>
      </c>
    </row>
    <row r="27" spans="1:16">
      <c r="A27" s="232" t="s">
        <v>678</v>
      </c>
      <c r="B27" s="232" t="s">
        <v>725</v>
      </c>
      <c r="C27" s="622">
        <v>45013</v>
      </c>
      <c r="D27" s="232" t="s">
        <v>4677</v>
      </c>
      <c r="E27" s="231" t="s">
        <v>5066</v>
      </c>
      <c r="F27" s="233">
        <v>465.399</v>
      </c>
      <c r="G27" s="232" t="s">
        <v>4678</v>
      </c>
      <c r="H27" s="233">
        <v>1962.75</v>
      </c>
      <c r="I27" s="233">
        <v>913461.89</v>
      </c>
      <c r="J27" s="623">
        <v>550086749</v>
      </c>
      <c r="K27" s="624" t="s">
        <v>728</v>
      </c>
      <c r="L27" s="624" t="s">
        <v>4679</v>
      </c>
      <c r="M27" s="624" t="s">
        <v>4680</v>
      </c>
      <c r="N27" s="624" t="s">
        <v>4681</v>
      </c>
      <c r="O27" s="624" t="s">
        <v>4682</v>
      </c>
      <c r="P27" s="624" t="s">
        <v>606</v>
      </c>
    </row>
    <row r="28" spans="1:16">
      <c r="A28" s="231" t="s">
        <v>678</v>
      </c>
      <c r="B28" s="231" t="s">
        <v>725</v>
      </c>
      <c r="C28" s="618">
        <v>45014</v>
      </c>
      <c r="D28" s="231" t="s">
        <v>4677</v>
      </c>
      <c r="E28" s="231" t="s">
        <v>5066</v>
      </c>
      <c r="F28" s="619">
        <v>4696.0540000000001</v>
      </c>
      <c r="G28" s="231" t="s">
        <v>4678</v>
      </c>
      <c r="H28" s="619">
        <v>1964.9</v>
      </c>
      <c r="I28" s="619">
        <v>9227276.5</v>
      </c>
      <c r="J28" s="620">
        <v>5554820453</v>
      </c>
      <c r="K28" s="621" t="s">
        <v>728</v>
      </c>
      <c r="L28" s="621" t="s">
        <v>4679</v>
      </c>
      <c r="M28" s="621" t="s">
        <v>4680</v>
      </c>
      <c r="N28" s="621" t="s">
        <v>4681</v>
      </c>
      <c r="O28" s="621" t="s">
        <v>4682</v>
      </c>
      <c r="P28" s="621" t="s">
        <v>606</v>
      </c>
    </row>
    <row r="29" spans="1:16">
      <c r="A29" s="232" t="s">
        <v>678</v>
      </c>
      <c r="B29" s="232" t="s">
        <v>725</v>
      </c>
      <c r="C29" s="622">
        <v>45014</v>
      </c>
      <c r="D29" s="232" t="s">
        <v>4677</v>
      </c>
      <c r="E29" s="231" t="s">
        <v>5066</v>
      </c>
      <c r="F29" s="233">
        <v>5216.6019999999999</v>
      </c>
      <c r="G29" s="232" t="s">
        <v>4678</v>
      </c>
      <c r="H29" s="233">
        <v>1964.9</v>
      </c>
      <c r="I29" s="233">
        <v>10250101.27</v>
      </c>
      <c r="J29" s="623">
        <v>6170560964</v>
      </c>
      <c r="K29" s="624" t="s">
        <v>728</v>
      </c>
      <c r="L29" s="624" t="s">
        <v>4679</v>
      </c>
      <c r="M29" s="624" t="s">
        <v>4680</v>
      </c>
      <c r="N29" s="624" t="s">
        <v>4681</v>
      </c>
      <c r="O29" s="624" t="s">
        <v>4682</v>
      </c>
      <c r="P29" s="624" t="s">
        <v>606</v>
      </c>
    </row>
    <row r="30" spans="1:16">
      <c r="A30" s="231" t="s">
        <v>678</v>
      </c>
      <c r="B30" s="231" t="s">
        <v>725</v>
      </c>
      <c r="C30" s="618">
        <v>45015</v>
      </c>
      <c r="D30" s="231" t="s">
        <v>4677</v>
      </c>
      <c r="E30" s="231" t="s">
        <v>5066</v>
      </c>
      <c r="F30" s="619">
        <v>2260.989</v>
      </c>
      <c r="G30" s="231" t="s">
        <v>4678</v>
      </c>
      <c r="H30" s="619">
        <v>1965.7</v>
      </c>
      <c r="I30" s="619">
        <v>4444426.08</v>
      </c>
      <c r="J30" s="620">
        <v>2673633395</v>
      </c>
      <c r="K30" s="621" t="s">
        <v>728</v>
      </c>
      <c r="L30" s="621" t="s">
        <v>4679</v>
      </c>
      <c r="M30" s="621" t="s">
        <v>4680</v>
      </c>
      <c r="N30" s="621" t="s">
        <v>4681</v>
      </c>
      <c r="O30" s="621" t="s">
        <v>4682</v>
      </c>
      <c r="P30" s="621" t="s">
        <v>606</v>
      </c>
    </row>
    <row r="31" spans="1:16">
      <c r="A31" s="232" t="s">
        <v>678</v>
      </c>
      <c r="B31" s="232" t="s">
        <v>725</v>
      </c>
      <c r="C31" s="622">
        <v>45012</v>
      </c>
      <c r="D31" s="232" t="s">
        <v>4677</v>
      </c>
      <c r="E31" s="231" t="s">
        <v>5066</v>
      </c>
      <c r="F31" s="233">
        <v>2000</v>
      </c>
      <c r="G31" s="232" t="s">
        <v>4678</v>
      </c>
      <c r="H31" s="233">
        <v>1977.95</v>
      </c>
      <c r="I31" s="233">
        <v>3955900</v>
      </c>
      <c r="J31" s="623">
        <v>2382120960</v>
      </c>
      <c r="K31" s="624" t="s">
        <v>728</v>
      </c>
      <c r="L31" s="624" t="s">
        <v>4679</v>
      </c>
      <c r="M31" s="624" t="s">
        <v>4683</v>
      </c>
      <c r="N31" s="624" t="s">
        <v>2608</v>
      </c>
      <c r="O31" s="624" t="s">
        <v>4683</v>
      </c>
      <c r="P31" s="624" t="s">
        <v>606</v>
      </c>
    </row>
    <row r="32" spans="1:16">
      <c r="A32" s="231" t="s">
        <v>678</v>
      </c>
      <c r="B32" s="231" t="s">
        <v>725</v>
      </c>
      <c r="C32" s="618">
        <v>45022</v>
      </c>
      <c r="D32" s="231" t="s">
        <v>4677</v>
      </c>
      <c r="E32" s="231" t="s">
        <v>5066</v>
      </c>
      <c r="F32" s="619">
        <v>186.31899999999999</v>
      </c>
      <c r="G32" s="231" t="s">
        <v>4678</v>
      </c>
      <c r="H32" s="619">
        <v>2015.65</v>
      </c>
      <c r="I32" s="619">
        <v>375553.89</v>
      </c>
      <c r="J32" s="620">
        <v>225332335</v>
      </c>
      <c r="K32" s="621" t="s">
        <v>728</v>
      </c>
      <c r="L32" s="621" t="s">
        <v>4679</v>
      </c>
      <c r="M32" s="621" t="s">
        <v>4680</v>
      </c>
      <c r="N32" s="621" t="s">
        <v>4681</v>
      </c>
      <c r="O32" s="621" t="s">
        <v>4682</v>
      </c>
      <c r="P32" s="621" t="s">
        <v>606</v>
      </c>
    </row>
    <row r="33" spans="1:16">
      <c r="A33" s="232" t="s">
        <v>678</v>
      </c>
      <c r="B33" s="232" t="s">
        <v>725</v>
      </c>
      <c r="C33" s="622">
        <v>45028</v>
      </c>
      <c r="D33" s="232" t="s">
        <v>4677</v>
      </c>
      <c r="E33" s="231" t="s">
        <v>5066</v>
      </c>
      <c r="F33" s="233">
        <v>83.510999999999996</v>
      </c>
      <c r="G33" s="232" t="s">
        <v>4678</v>
      </c>
      <c r="H33" s="233">
        <v>2008.1</v>
      </c>
      <c r="I33" s="233">
        <v>167698.44</v>
      </c>
      <c r="J33" s="623">
        <v>99978455</v>
      </c>
      <c r="K33" s="624" t="s">
        <v>728</v>
      </c>
      <c r="L33" s="624" t="s">
        <v>4679</v>
      </c>
      <c r="M33" s="624" t="s">
        <v>4680</v>
      </c>
      <c r="N33" s="624" t="s">
        <v>4681</v>
      </c>
      <c r="O33" s="624" t="s">
        <v>4682</v>
      </c>
      <c r="P33" s="624" t="s">
        <v>606</v>
      </c>
    </row>
    <row r="34" spans="1:16">
      <c r="A34" s="231" t="s">
        <v>678</v>
      </c>
      <c r="B34" s="231" t="s">
        <v>725</v>
      </c>
      <c r="C34" s="618">
        <v>45037</v>
      </c>
      <c r="D34" s="231" t="s">
        <v>4677</v>
      </c>
      <c r="E34" s="231" t="s">
        <v>5066</v>
      </c>
      <c r="F34" s="619">
        <v>783.33</v>
      </c>
      <c r="G34" s="231" t="s">
        <v>4678</v>
      </c>
      <c r="H34" s="619">
        <v>1973.55</v>
      </c>
      <c r="I34" s="619">
        <v>1545940.92</v>
      </c>
      <c r="J34" s="620">
        <v>916109131</v>
      </c>
      <c r="K34" s="621" t="s">
        <v>728</v>
      </c>
      <c r="L34" s="621" t="s">
        <v>4679</v>
      </c>
      <c r="M34" s="621" t="s">
        <v>4680</v>
      </c>
      <c r="N34" s="621" t="s">
        <v>4681</v>
      </c>
      <c r="O34" s="621" t="s">
        <v>4682</v>
      </c>
      <c r="P34" s="621" t="s">
        <v>606</v>
      </c>
    </row>
    <row r="35" spans="1:16">
      <c r="A35" s="232" t="s">
        <v>678</v>
      </c>
      <c r="B35" s="232" t="s">
        <v>725</v>
      </c>
      <c r="C35" s="622">
        <v>45042</v>
      </c>
      <c r="D35" s="232" t="s">
        <v>4677</v>
      </c>
      <c r="E35" s="231" t="s">
        <v>5066</v>
      </c>
      <c r="F35" s="233">
        <v>6906.9030000000002</v>
      </c>
      <c r="G35" s="232" t="s">
        <v>4678</v>
      </c>
      <c r="H35" s="233">
        <v>2002.9</v>
      </c>
      <c r="I35" s="233">
        <v>13833836.02</v>
      </c>
      <c r="J35" s="623">
        <v>8190045941</v>
      </c>
      <c r="K35" s="624" t="s">
        <v>728</v>
      </c>
      <c r="L35" s="624" t="s">
        <v>4679</v>
      </c>
      <c r="M35" s="624" t="s">
        <v>4680</v>
      </c>
      <c r="N35" s="624" t="s">
        <v>4681</v>
      </c>
      <c r="O35" s="624" t="s">
        <v>4682</v>
      </c>
      <c r="P35" s="624" t="s">
        <v>606</v>
      </c>
    </row>
    <row r="36" spans="1:16">
      <c r="A36" s="231" t="s">
        <v>678</v>
      </c>
      <c r="B36" s="231" t="s">
        <v>725</v>
      </c>
      <c r="C36" s="618">
        <v>45042</v>
      </c>
      <c r="D36" s="231" t="s">
        <v>4677</v>
      </c>
      <c r="E36" s="231" t="s">
        <v>5066</v>
      </c>
      <c r="F36" s="619">
        <v>1600.1679999999999</v>
      </c>
      <c r="G36" s="231" t="s">
        <v>4678</v>
      </c>
      <c r="H36" s="619">
        <v>2002.9</v>
      </c>
      <c r="I36" s="619">
        <v>3204976.49</v>
      </c>
      <c r="J36" s="620">
        <v>1897442230</v>
      </c>
      <c r="K36" s="621" t="s">
        <v>728</v>
      </c>
      <c r="L36" s="621" t="s">
        <v>4679</v>
      </c>
      <c r="M36" s="621" t="s">
        <v>4680</v>
      </c>
      <c r="N36" s="621" t="s">
        <v>4681</v>
      </c>
      <c r="O36" s="621" t="s">
        <v>4682</v>
      </c>
      <c r="P36" s="621" t="s">
        <v>606</v>
      </c>
    </row>
    <row r="37" spans="1:16">
      <c r="A37" s="232" t="s">
        <v>678</v>
      </c>
      <c r="B37" s="232" t="s">
        <v>725</v>
      </c>
      <c r="C37" s="622">
        <v>45049</v>
      </c>
      <c r="D37" s="232" t="s">
        <v>4677</v>
      </c>
      <c r="E37" s="231" t="s">
        <v>5066</v>
      </c>
      <c r="F37" s="233">
        <v>5381.799</v>
      </c>
      <c r="G37" s="232" t="s">
        <v>4678</v>
      </c>
      <c r="H37" s="233">
        <v>2014.2</v>
      </c>
      <c r="I37" s="233">
        <v>10840019.550000001</v>
      </c>
      <c r="J37" s="623">
        <v>6438321209</v>
      </c>
      <c r="K37" s="624" t="s">
        <v>728</v>
      </c>
      <c r="L37" s="624" t="s">
        <v>4679</v>
      </c>
      <c r="M37" s="624" t="s">
        <v>4680</v>
      </c>
      <c r="N37" s="624" t="s">
        <v>4681</v>
      </c>
      <c r="O37" s="624" t="s">
        <v>4682</v>
      </c>
      <c r="P37" s="624" t="s">
        <v>606</v>
      </c>
    </row>
    <row r="38" spans="1:16">
      <c r="A38" s="231" t="s">
        <v>678</v>
      </c>
      <c r="B38" s="231" t="s">
        <v>725</v>
      </c>
      <c r="C38" s="618">
        <v>45051</v>
      </c>
      <c r="D38" s="231" t="s">
        <v>4677</v>
      </c>
      <c r="E38" s="231" t="s">
        <v>5066</v>
      </c>
      <c r="F38" s="619">
        <v>5661.3829999999998</v>
      </c>
      <c r="G38" s="231" t="s">
        <v>4678</v>
      </c>
      <c r="H38" s="619">
        <v>2000.85</v>
      </c>
      <c r="I38" s="619">
        <v>11327578.18</v>
      </c>
      <c r="J38" s="620">
        <v>6708418347</v>
      </c>
      <c r="K38" s="621" t="s">
        <v>728</v>
      </c>
      <c r="L38" s="621" t="s">
        <v>4679</v>
      </c>
      <c r="M38" s="621" t="s">
        <v>4680</v>
      </c>
      <c r="N38" s="621" t="s">
        <v>4681</v>
      </c>
      <c r="O38" s="621" t="s">
        <v>4682</v>
      </c>
      <c r="P38" s="621" t="s">
        <v>606</v>
      </c>
    </row>
    <row r="39" spans="1:16">
      <c r="A39" s="232" t="s">
        <v>678</v>
      </c>
      <c r="B39" s="232" t="s">
        <v>725</v>
      </c>
      <c r="C39" s="622">
        <v>45056</v>
      </c>
      <c r="D39" s="232" t="s">
        <v>4677</v>
      </c>
      <c r="E39" s="231" t="s">
        <v>5066</v>
      </c>
      <c r="F39" s="233">
        <v>4744.0010000000002</v>
      </c>
      <c r="G39" s="232" t="s">
        <v>4678</v>
      </c>
      <c r="H39" s="233">
        <v>2037.05</v>
      </c>
      <c r="I39" s="233">
        <v>9663767.2400000002</v>
      </c>
      <c r="J39" s="623">
        <v>5805508168</v>
      </c>
      <c r="K39" s="624" t="s">
        <v>728</v>
      </c>
      <c r="L39" s="624" t="s">
        <v>4679</v>
      </c>
      <c r="M39" s="624" t="s">
        <v>4680</v>
      </c>
      <c r="N39" s="624" t="s">
        <v>4681</v>
      </c>
      <c r="O39" s="624" t="s">
        <v>4682</v>
      </c>
      <c r="P39" s="624" t="s">
        <v>606</v>
      </c>
    </row>
    <row r="40" spans="1:16">
      <c r="A40" s="231" t="s">
        <v>678</v>
      </c>
      <c r="B40" s="231" t="s">
        <v>725</v>
      </c>
      <c r="C40" s="618">
        <v>45056</v>
      </c>
      <c r="D40" s="231" t="s">
        <v>4677</v>
      </c>
      <c r="E40" s="231" t="s">
        <v>5066</v>
      </c>
      <c r="F40" s="619">
        <v>3182.5349999999999</v>
      </c>
      <c r="G40" s="231" t="s">
        <v>4678</v>
      </c>
      <c r="H40" s="619">
        <v>2036.56</v>
      </c>
      <c r="I40" s="619">
        <v>6481423.4800000004</v>
      </c>
      <c r="J40" s="620">
        <v>3893715155</v>
      </c>
      <c r="K40" s="621" t="s">
        <v>728</v>
      </c>
      <c r="L40" s="621" t="s">
        <v>4679</v>
      </c>
      <c r="M40" s="621" t="s">
        <v>4680</v>
      </c>
      <c r="N40" s="621" t="s">
        <v>4681</v>
      </c>
      <c r="O40" s="621" t="s">
        <v>4682</v>
      </c>
      <c r="P40" s="621" t="s">
        <v>606</v>
      </c>
    </row>
    <row r="41" spans="1:16">
      <c r="A41" s="232" t="s">
        <v>678</v>
      </c>
      <c r="B41" s="232" t="s">
        <v>725</v>
      </c>
      <c r="C41" s="622">
        <v>45063</v>
      </c>
      <c r="D41" s="232" t="s">
        <v>4677</v>
      </c>
      <c r="E41" s="231" t="s">
        <v>5066</v>
      </c>
      <c r="F41" s="233">
        <v>4585.5209999999997</v>
      </c>
      <c r="G41" s="232" t="s">
        <v>4678</v>
      </c>
      <c r="H41" s="233">
        <v>1974.3</v>
      </c>
      <c r="I41" s="233">
        <v>9053194.1099999994</v>
      </c>
      <c r="J41" s="623">
        <v>5502802976</v>
      </c>
      <c r="K41" s="624" t="s">
        <v>728</v>
      </c>
      <c r="L41" s="624" t="s">
        <v>4679</v>
      </c>
      <c r="M41" s="624" t="s">
        <v>4680</v>
      </c>
      <c r="N41" s="624" t="s">
        <v>4681</v>
      </c>
      <c r="O41" s="624" t="s">
        <v>4682</v>
      </c>
      <c r="P41" s="624" t="s">
        <v>606</v>
      </c>
    </row>
    <row r="42" spans="1:16">
      <c r="A42" s="231" t="s">
        <v>678</v>
      </c>
      <c r="B42" s="231" t="s">
        <v>725</v>
      </c>
      <c r="C42" s="618">
        <v>45068</v>
      </c>
      <c r="D42" s="231" t="s">
        <v>4677</v>
      </c>
      <c r="E42" s="231" t="s">
        <v>5066</v>
      </c>
      <c r="F42" s="619">
        <v>783.33</v>
      </c>
      <c r="G42" s="231" t="s">
        <v>4678</v>
      </c>
      <c r="H42" s="619">
        <v>1970.2</v>
      </c>
      <c r="I42" s="619">
        <v>1543316.77</v>
      </c>
      <c r="J42" s="620">
        <v>948368153</v>
      </c>
      <c r="K42" s="621" t="s">
        <v>728</v>
      </c>
      <c r="L42" s="621" t="s">
        <v>4679</v>
      </c>
      <c r="M42" s="621" t="s">
        <v>4680</v>
      </c>
      <c r="N42" s="621" t="s">
        <v>4681</v>
      </c>
      <c r="O42" s="621" t="s">
        <v>4682</v>
      </c>
      <c r="P42" s="621" t="s">
        <v>606</v>
      </c>
    </row>
    <row r="43" spans="1:16">
      <c r="A43" s="232" t="s">
        <v>678</v>
      </c>
      <c r="B43" s="232" t="s">
        <v>725</v>
      </c>
      <c r="C43" s="622">
        <v>45076</v>
      </c>
      <c r="D43" s="232" t="s">
        <v>4677</v>
      </c>
      <c r="E43" s="231" t="s">
        <v>5066</v>
      </c>
      <c r="F43" s="233">
        <v>6635.3609999999999</v>
      </c>
      <c r="G43" s="232" t="s">
        <v>4678</v>
      </c>
      <c r="H43" s="233">
        <v>1952.35</v>
      </c>
      <c r="I43" s="233">
        <v>12954547.050000001</v>
      </c>
      <c r="J43" s="623">
        <v>7951112342</v>
      </c>
      <c r="K43" s="624" t="s">
        <v>728</v>
      </c>
      <c r="L43" s="624" t="s">
        <v>4679</v>
      </c>
      <c r="M43" s="624" t="s">
        <v>4680</v>
      </c>
      <c r="N43" s="624" t="s">
        <v>4681</v>
      </c>
      <c r="O43" s="624" t="s">
        <v>4682</v>
      </c>
      <c r="P43" s="624" t="s">
        <v>606</v>
      </c>
    </row>
    <row r="44" spans="1:16">
      <c r="A44" s="231" t="s">
        <v>678</v>
      </c>
      <c r="B44" s="231" t="s">
        <v>725</v>
      </c>
      <c r="C44" s="618">
        <v>45082</v>
      </c>
      <c r="D44" s="231" t="s">
        <v>4677</v>
      </c>
      <c r="E44" s="231" t="s">
        <v>5066</v>
      </c>
      <c r="F44" s="619">
        <v>6773.3649999999998</v>
      </c>
      <c r="G44" s="231" t="s">
        <v>4678</v>
      </c>
      <c r="H44" s="619">
        <v>1974.25</v>
      </c>
      <c r="I44" s="619">
        <v>13372315.85</v>
      </c>
      <c r="J44" s="620">
        <v>8171153601</v>
      </c>
      <c r="K44" s="621" t="s">
        <v>728</v>
      </c>
      <c r="L44" s="621" t="s">
        <v>4679</v>
      </c>
      <c r="M44" s="621" t="s">
        <v>4680</v>
      </c>
      <c r="N44" s="621" t="s">
        <v>4681</v>
      </c>
      <c r="O44" s="621" t="s">
        <v>4682</v>
      </c>
      <c r="P44" s="621" t="s">
        <v>606</v>
      </c>
    </row>
    <row r="45" spans="1:16">
      <c r="A45" s="232" t="s">
        <v>678</v>
      </c>
      <c r="B45" s="232" t="s">
        <v>725</v>
      </c>
      <c r="C45" s="622">
        <v>45086</v>
      </c>
      <c r="D45" s="232" t="s">
        <v>4677</v>
      </c>
      <c r="E45" s="231" t="s">
        <v>5066</v>
      </c>
      <c r="F45" s="233">
        <v>4797.7389999999996</v>
      </c>
      <c r="G45" s="232" t="s">
        <v>4678</v>
      </c>
      <c r="H45" s="233">
        <v>1967.25</v>
      </c>
      <c r="I45" s="233">
        <v>9438458.2799999993</v>
      </c>
      <c r="J45" s="623">
        <v>5710267259</v>
      </c>
      <c r="K45" s="624" t="s">
        <v>728</v>
      </c>
      <c r="L45" s="624" t="s">
        <v>4679</v>
      </c>
      <c r="M45" s="624" t="s">
        <v>4680</v>
      </c>
      <c r="N45" s="624" t="s">
        <v>4681</v>
      </c>
      <c r="O45" s="624" t="s">
        <v>4682</v>
      </c>
      <c r="P45" s="624" t="s">
        <v>606</v>
      </c>
    </row>
    <row r="46" spans="1:16">
      <c r="A46" s="231" t="s">
        <v>678</v>
      </c>
      <c r="B46" s="231" t="s">
        <v>725</v>
      </c>
      <c r="C46" s="618">
        <v>45090</v>
      </c>
      <c r="D46" s="231" t="s">
        <v>4677</v>
      </c>
      <c r="E46" s="231" t="s">
        <v>5066</v>
      </c>
      <c r="F46" s="619">
        <v>783.33</v>
      </c>
      <c r="G46" s="231" t="s">
        <v>4678</v>
      </c>
      <c r="H46" s="619">
        <v>1960.2</v>
      </c>
      <c r="I46" s="619">
        <v>1535483.47</v>
      </c>
      <c r="J46" s="620">
        <v>929735239</v>
      </c>
      <c r="K46" s="621" t="s">
        <v>728</v>
      </c>
      <c r="L46" s="621" t="s">
        <v>4679</v>
      </c>
      <c r="M46" s="621" t="s">
        <v>4680</v>
      </c>
      <c r="N46" s="621" t="s">
        <v>4681</v>
      </c>
      <c r="O46" s="621" t="s">
        <v>4682</v>
      </c>
      <c r="P46" s="621" t="s">
        <v>606</v>
      </c>
    </row>
    <row r="47" spans="1:16">
      <c r="A47" s="232" t="s">
        <v>678</v>
      </c>
      <c r="B47" s="232" t="s">
        <v>725</v>
      </c>
      <c r="C47" s="622">
        <v>45090</v>
      </c>
      <c r="D47" s="232" t="s">
        <v>4677</v>
      </c>
      <c r="E47" s="231" t="s">
        <v>5066</v>
      </c>
      <c r="F47" s="233">
        <v>10360</v>
      </c>
      <c r="G47" s="232" t="s">
        <v>4678</v>
      </c>
      <c r="H47" s="233">
        <v>1961.9</v>
      </c>
      <c r="I47" s="233">
        <v>20325284</v>
      </c>
      <c r="J47" s="623">
        <v>12254723482</v>
      </c>
      <c r="K47" s="624" t="s">
        <v>728</v>
      </c>
      <c r="L47" s="624" t="s">
        <v>4679</v>
      </c>
      <c r="M47" s="624" t="s">
        <v>4680</v>
      </c>
      <c r="N47" s="624" t="s">
        <v>4681</v>
      </c>
      <c r="O47" s="624" t="s">
        <v>4682</v>
      </c>
      <c r="P47" s="624" t="s">
        <v>606</v>
      </c>
    </row>
    <row r="48" spans="1:16">
      <c r="A48" s="231" t="s">
        <v>678</v>
      </c>
      <c r="B48" s="231" t="s">
        <v>725</v>
      </c>
      <c r="C48" s="618">
        <v>45098</v>
      </c>
      <c r="D48" s="231" t="s">
        <v>4677</v>
      </c>
      <c r="E48" s="231" t="s">
        <v>5066</v>
      </c>
      <c r="F48" s="619">
        <v>294.60000000000002</v>
      </c>
      <c r="G48" s="231" t="s">
        <v>4678</v>
      </c>
      <c r="H48" s="619">
        <v>1936.3</v>
      </c>
      <c r="I48" s="619">
        <v>570433.98</v>
      </c>
      <c r="J48" s="620">
        <v>341125224</v>
      </c>
      <c r="K48" s="621" t="s">
        <v>728</v>
      </c>
      <c r="L48" s="621" t="s">
        <v>4679</v>
      </c>
      <c r="M48" s="621" t="s">
        <v>4680</v>
      </c>
      <c r="N48" s="621" t="s">
        <v>4681</v>
      </c>
      <c r="O48" s="621" t="s">
        <v>4682</v>
      </c>
      <c r="P48" s="621" t="s">
        <v>606</v>
      </c>
    </row>
    <row r="49" spans="1:16">
      <c r="A49" s="232" t="s">
        <v>678</v>
      </c>
      <c r="B49" s="232" t="s">
        <v>725</v>
      </c>
      <c r="C49" s="622">
        <v>45098</v>
      </c>
      <c r="D49" s="232" t="s">
        <v>4677</v>
      </c>
      <c r="E49" s="231" t="s">
        <v>5066</v>
      </c>
      <c r="F49" s="233">
        <v>3160.4</v>
      </c>
      <c r="G49" s="232" t="s">
        <v>4678</v>
      </c>
      <c r="H49" s="233">
        <v>1925.55</v>
      </c>
      <c r="I49" s="233">
        <v>6085508.2199999997</v>
      </c>
      <c r="J49" s="623">
        <v>3651609207</v>
      </c>
      <c r="K49" s="624" t="s">
        <v>728</v>
      </c>
      <c r="L49" s="624" t="s">
        <v>4679</v>
      </c>
      <c r="M49" s="624" t="s">
        <v>4680</v>
      </c>
      <c r="N49" s="624" t="s">
        <v>4681</v>
      </c>
      <c r="O49" s="624" t="s">
        <v>4682</v>
      </c>
      <c r="P49" s="624" t="s">
        <v>606</v>
      </c>
    </row>
    <row r="50" spans="1:16">
      <c r="A50" s="231" t="s">
        <v>678</v>
      </c>
      <c r="B50" s="231" t="s">
        <v>725</v>
      </c>
      <c r="C50" s="618">
        <v>45105</v>
      </c>
      <c r="D50" s="231" t="s">
        <v>4677</v>
      </c>
      <c r="E50" s="231" t="s">
        <v>5066</v>
      </c>
      <c r="F50" s="619">
        <v>259.97699999999998</v>
      </c>
      <c r="G50" s="231" t="s">
        <v>4678</v>
      </c>
      <c r="H50" s="619">
        <v>1911.5</v>
      </c>
      <c r="I50" s="619">
        <v>496946.04</v>
      </c>
      <c r="J50" s="620">
        <v>296935195</v>
      </c>
      <c r="K50" s="621" t="s">
        <v>728</v>
      </c>
      <c r="L50" s="621" t="s">
        <v>4679</v>
      </c>
      <c r="M50" s="621" t="s">
        <v>4680</v>
      </c>
      <c r="N50" s="621" t="s">
        <v>4681</v>
      </c>
      <c r="O50" s="621" t="s">
        <v>4682</v>
      </c>
      <c r="P50" s="621" t="s">
        <v>606</v>
      </c>
    </row>
    <row r="51" spans="1:16">
      <c r="A51" s="232" t="s">
        <v>678</v>
      </c>
      <c r="B51" s="232" t="s">
        <v>725</v>
      </c>
      <c r="C51" s="622">
        <v>45104</v>
      </c>
      <c r="D51" s="232" t="s">
        <v>4677</v>
      </c>
      <c r="E51" s="231" t="s">
        <v>5066</v>
      </c>
      <c r="F51" s="233">
        <v>4420.9830000000002</v>
      </c>
      <c r="G51" s="232" t="s">
        <v>4678</v>
      </c>
      <c r="H51" s="233">
        <v>1918.8</v>
      </c>
      <c r="I51" s="233">
        <v>8482982.1799999997</v>
      </c>
      <c r="J51" s="623">
        <v>5068327363</v>
      </c>
      <c r="K51" s="624" t="s">
        <v>728</v>
      </c>
      <c r="L51" s="624" t="s">
        <v>4679</v>
      </c>
      <c r="M51" s="624" t="s">
        <v>4680</v>
      </c>
      <c r="N51" s="624" t="s">
        <v>4681</v>
      </c>
      <c r="O51" s="624" t="s">
        <v>4682</v>
      </c>
      <c r="P51" s="624" t="s">
        <v>606</v>
      </c>
    </row>
    <row r="52" spans="1:16">
      <c r="A52" s="231" t="s">
        <v>678</v>
      </c>
      <c r="B52" s="231" t="s">
        <v>725</v>
      </c>
      <c r="C52" s="618">
        <v>45105</v>
      </c>
      <c r="D52" s="231" t="s">
        <v>4677</v>
      </c>
      <c r="E52" s="231" t="s">
        <v>5066</v>
      </c>
      <c r="F52" s="619">
        <v>2132.94</v>
      </c>
      <c r="G52" s="231" t="s">
        <v>4678</v>
      </c>
      <c r="H52" s="619">
        <v>1908.3</v>
      </c>
      <c r="I52" s="619">
        <v>4070289.4</v>
      </c>
      <c r="J52" s="620">
        <v>2438551082</v>
      </c>
      <c r="K52" s="621" t="s">
        <v>728</v>
      </c>
      <c r="L52" s="621" t="s">
        <v>4679</v>
      </c>
      <c r="M52" s="621" t="s">
        <v>4680</v>
      </c>
      <c r="N52" s="621" t="s">
        <v>4681</v>
      </c>
      <c r="O52" s="621" t="s">
        <v>4682</v>
      </c>
      <c r="P52" s="621" t="s">
        <v>606</v>
      </c>
    </row>
    <row r="53" spans="1:16">
      <c r="A53" s="232" t="s">
        <v>678</v>
      </c>
      <c r="B53" s="232" t="s">
        <v>725</v>
      </c>
      <c r="C53" s="622">
        <v>45106</v>
      </c>
      <c r="D53" s="232" t="s">
        <v>4677</v>
      </c>
      <c r="E53" s="231" t="s">
        <v>5066</v>
      </c>
      <c r="F53" s="233">
        <v>1210.777</v>
      </c>
      <c r="G53" s="232" t="s">
        <v>4678</v>
      </c>
      <c r="H53" s="233">
        <v>1899.5</v>
      </c>
      <c r="I53" s="233">
        <v>2299870.91</v>
      </c>
      <c r="J53" s="623">
        <v>1377875661</v>
      </c>
      <c r="K53" s="624" t="s">
        <v>728</v>
      </c>
      <c r="L53" s="624" t="s">
        <v>4679</v>
      </c>
      <c r="M53" s="624" t="s">
        <v>4680</v>
      </c>
      <c r="N53" s="624" t="s">
        <v>4681</v>
      </c>
      <c r="O53" s="624" t="s">
        <v>4682</v>
      </c>
      <c r="P53" s="624" t="s">
        <v>606</v>
      </c>
    </row>
    <row r="54" spans="1:16">
      <c r="A54" s="231" t="s">
        <v>678</v>
      </c>
      <c r="B54" s="231" t="s">
        <v>725</v>
      </c>
      <c r="C54" s="618">
        <v>45107</v>
      </c>
      <c r="D54" s="231" t="s">
        <v>4677</v>
      </c>
      <c r="E54" s="231" t="s">
        <v>5066</v>
      </c>
      <c r="F54" s="619">
        <v>929.04300000000001</v>
      </c>
      <c r="G54" s="231" t="s">
        <v>4678</v>
      </c>
      <c r="H54" s="619">
        <v>1904.6</v>
      </c>
      <c r="I54" s="619">
        <v>1769455.3</v>
      </c>
      <c r="J54" s="620">
        <v>1060204532</v>
      </c>
      <c r="K54" s="621" t="s">
        <v>728</v>
      </c>
      <c r="L54" s="621" t="s">
        <v>4679</v>
      </c>
      <c r="M54" s="621" t="s">
        <v>4680</v>
      </c>
      <c r="N54" s="621" t="s">
        <v>4681</v>
      </c>
      <c r="O54" s="621" t="s">
        <v>4682</v>
      </c>
      <c r="P54" s="621" t="s">
        <v>606</v>
      </c>
    </row>
    <row r="55" spans="1:16">
      <c r="A55" s="232" t="s">
        <v>678</v>
      </c>
      <c r="B55" s="232" t="s">
        <v>725</v>
      </c>
      <c r="C55" s="622">
        <v>45100</v>
      </c>
      <c r="D55" s="232" t="s">
        <v>4677</v>
      </c>
      <c r="E55" s="231" t="s">
        <v>5066</v>
      </c>
      <c r="F55" s="233">
        <v>2000</v>
      </c>
      <c r="G55" s="232" t="s">
        <v>4678</v>
      </c>
      <c r="H55" s="233">
        <v>1930.7</v>
      </c>
      <c r="I55" s="233">
        <v>3861400</v>
      </c>
      <c r="J55" s="623">
        <v>2326731960</v>
      </c>
      <c r="K55" s="624" t="s">
        <v>728</v>
      </c>
      <c r="L55" s="624" t="s">
        <v>4679</v>
      </c>
      <c r="M55" s="624" t="s">
        <v>4683</v>
      </c>
      <c r="N55" s="624" t="s">
        <v>2608</v>
      </c>
      <c r="O55" s="624" t="s">
        <v>4683</v>
      </c>
      <c r="P55" s="624" t="s">
        <v>606</v>
      </c>
    </row>
    <row r="56" spans="1:16">
      <c r="A56" s="231" t="s">
        <v>678</v>
      </c>
      <c r="B56" s="231" t="s">
        <v>725</v>
      </c>
      <c r="C56" s="618">
        <v>45114</v>
      </c>
      <c r="D56" s="231" t="s">
        <v>4677</v>
      </c>
      <c r="E56" s="231" t="s">
        <v>5066</v>
      </c>
      <c r="F56" s="619">
        <v>189.06200000000001</v>
      </c>
      <c r="G56" s="231" t="s">
        <v>4678</v>
      </c>
      <c r="H56" s="619">
        <v>1915.7</v>
      </c>
      <c r="I56" s="619">
        <v>362186.07</v>
      </c>
      <c r="J56" s="620">
        <v>215761488</v>
      </c>
      <c r="K56" s="621" t="s">
        <v>728</v>
      </c>
      <c r="L56" s="621" t="s">
        <v>4679</v>
      </c>
      <c r="M56" s="621" t="s">
        <v>4680</v>
      </c>
      <c r="N56" s="621" t="s">
        <v>4681</v>
      </c>
      <c r="O56" s="621" t="s">
        <v>4682</v>
      </c>
      <c r="P56" s="621" t="s">
        <v>606</v>
      </c>
    </row>
    <row r="57" spans="1:16">
      <c r="A57" s="232" t="s">
        <v>678</v>
      </c>
      <c r="B57" s="232" t="s">
        <v>725</v>
      </c>
      <c r="C57" s="622">
        <v>45117</v>
      </c>
      <c r="D57" s="232" t="s">
        <v>4677</v>
      </c>
      <c r="E57" s="231" t="s">
        <v>5066</v>
      </c>
      <c r="F57" s="233">
        <v>61.115000000000002</v>
      </c>
      <c r="G57" s="232" t="s">
        <v>4678</v>
      </c>
      <c r="H57" s="233">
        <v>1922.6</v>
      </c>
      <c r="I57" s="233">
        <v>117499.7</v>
      </c>
      <c r="J57" s="623">
        <v>69926421</v>
      </c>
      <c r="K57" s="624" t="s">
        <v>728</v>
      </c>
      <c r="L57" s="624" t="s">
        <v>4679</v>
      </c>
      <c r="M57" s="624" t="s">
        <v>4680</v>
      </c>
      <c r="N57" s="624" t="s">
        <v>4681</v>
      </c>
      <c r="O57" s="624" t="s">
        <v>4682</v>
      </c>
      <c r="P57" s="624" t="s">
        <v>606</v>
      </c>
    </row>
    <row r="58" spans="1:16">
      <c r="A58" s="231" t="s">
        <v>678</v>
      </c>
      <c r="B58" s="231" t="s">
        <v>725</v>
      </c>
      <c r="C58" s="618">
        <v>45128</v>
      </c>
      <c r="D58" s="231" t="s">
        <v>4677</v>
      </c>
      <c r="E58" s="231" t="s">
        <v>5066</v>
      </c>
      <c r="F58" s="619">
        <v>783.33</v>
      </c>
      <c r="G58" s="231" t="s">
        <v>4678</v>
      </c>
      <c r="H58" s="619">
        <v>1960.5</v>
      </c>
      <c r="I58" s="619">
        <v>1535718.47</v>
      </c>
      <c r="J58" s="620">
        <v>901466739</v>
      </c>
      <c r="K58" s="621" t="s">
        <v>728</v>
      </c>
      <c r="L58" s="621" t="s">
        <v>4679</v>
      </c>
      <c r="M58" s="621" t="s">
        <v>4680</v>
      </c>
      <c r="N58" s="621" t="s">
        <v>4681</v>
      </c>
      <c r="O58" s="621" t="s">
        <v>4682</v>
      </c>
      <c r="P58" s="621" t="s">
        <v>606</v>
      </c>
    </row>
    <row r="59" spans="1:16">
      <c r="A59" s="232" t="s">
        <v>678</v>
      </c>
      <c r="B59" s="232" t="s">
        <v>725</v>
      </c>
      <c r="C59" s="622">
        <v>45133</v>
      </c>
      <c r="D59" s="232" t="s">
        <v>4677</v>
      </c>
      <c r="E59" s="231" t="s">
        <v>5066</v>
      </c>
      <c r="F59" s="233">
        <v>5899.2030000000004</v>
      </c>
      <c r="G59" s="232" t="s">
        <v>4678</v>
      </c>
      <c r="H59" s="233">
        <v>1966.2</v>
      </c>
      <c r="I59" s="233">
        <v>11599012.939999999</v>
      </c>
      <c r="J59" s="623">
        <v>6878214673</v>
      </c>
      <c r="K59" s="624" t="s">
        <v>728</v>
      </c>
      <c r="L59" s="624" t="s">
        <v>4679</v>
      </c>
      <c r="M59" s="624" t="s">
        <v>4680</v>
      </c>
      <c r="N59" s="624" t="s">
        <v>4681</v>
      </c>
      <c r="O59" s="624" t="s">
        <v>4682</v>
      </c>
      <c r="P59" s="624" t="s">
        <v>606</v>
      </c>
    </row>
    <row r="60" spans="1:16">
      <c r="A60" s="231" t="s">
        <v>678</v>
      </c>
      <c r="B60" s="231" t="s">
        <v>725</v>
      </c>
      <c r="C60" s="618">
        <v>45139</v>
      </c>
      <c r="D60" s="231" t="s">
        <v>4677</v>
      </c>
      <c r="E60" s="231" t="s">
        <v>5066</v>
      </c>
      <c r="F60" s="619">
        <v>859.98800000000006</v>
      </c>
      <c r="G60" s="231" t="s">
        <v>4678</v>
      </c>
      <c r="H60" s="619">
        <v>1947.1</v>
      </c>
      <c r="I60" s="619">
        <v>1674482.6339703328</v>
      </c>
      <c r="J60" s="620">
        <v>1002412284</v>
      </c>
      <c r="K60" s="621" t="s">
        <v>728</v>
      </c>
      <c r="L60" s="621" t="s">
        <v>4679</v>
      </c>
      <c r="M60" s="621" t="s">
        <v>4680</v>
      </c>
      <c r="N60" s="621" t="s">
        <v>4681</v>
      </c>
      <c r="O60" s="621" t="s">
        <v>4682</v>
      </c>
      <c r="P60" s="621" t="s">
        <v>606</v>
      </c>
    </row>
    <row r="61" spans="1:16">
      <c r="A61" s="232" t="s">
        <v>678</v>
      </c>
      <c r="B61" s="232" t="s">
        <v>725</v>
      </c>
      <c r="C61" s="622">
        <v>45139</v>
      </c>
      <c r="D61" s="232" t="s">
        <v>4677</v>
      </c>
      <c r="E61" s="231" t="s">
        <v>5066</v>
      </c>
      <c r="F61" s="233">
        <v>3842.1509999999998</v>
      </c>
      <c r="G61" s="232" t="s">
        <v>4678</v>
      </c>
      <c r="H61" s="233">
        <v>1947.1</v>
      </c>
      <c r="I61" s="233">
        <v>7481052.2116798079</v>
      </c>
      <c r="J61" s="623">
        <v>4478457096</v>
      </c>
      <c r="K61" s="624" t="s">
        <v>728</v>
      </c>
      <c r="L61" s="624" t="s">
        <v>4679</v>
      </c>
      <c r="M61" s="624" t="s">
        <v>4680</v>
      </c>
      <c r="N61" s="624" t="s">
        <v>4681</v>
      </c>
      <c r="O61" s="624" t="s">
        <v>4682</v>
      </c>
      <c r="P61" s="624" t="s">
        <v>606</v>
      </c>
    </row>
    <row r="62" spans="1:16">
      <c r="A62" s="231" t="s">
        <v>678</v>
      </c>
      <c r="B62" s="231" t="s">
        <v>725</v>
      </c>
      <c r="C62" s="618">
        <v>45155</v>
      </c>
      <c r="D62" s="231" t="s">
        <v>4677</v>
      </c>
      <c r="E62" s="231" t="s">
        <v>5066</v>
      </c>
      <c r="F62" s="619">
        <v>3973.348</v>
      </c>
      <c r="G62" s="231" t="s">
        <v>4678</v>
      </c>
      <c r="H62" s="619">
        <v>1896.25</v>
      </c>
      <c r="I62" s="619">
        <v>7534461.1456953641</v>
      </c>
      <c r="J62" s="620">
        <v>4550814532</v>
      </c>
      <c r="K62" s="621" t="s">
        <v>728</v>
      </c>
      <c r="L62" s="621" t="s">
        <v>4679</v>
      </c>
      <c r="M62" s="621" t="s">
        <v>4680</v>
      </c>
      <c r="N62" s="621" t="s">
        <v>4681</v>
      </c>
      <c r="O62" s="621" t="s">
        <v>4682</v>
      </c>
      <c r="P62" s="621" t="s">
        <v>606</v>
      </c>
    </row>
    <row r="63" spans="1:16">
      <c r="A63" s="232" t="s">
        <v>678</v>
      </c>
      <c r="B63" s="232" t="s">
        <v>725</v>
      </c>
      <c r="C63" s="622">
        <v>45155</v>
      </c>
      <c r="D63" s="232" t="s">
        <v>4677</v>
      </c>
      <c r="E63" s="231" t="s">
        <v>5066</v>
      </c>
      <c r="F63" s="233">
        <v>4745.4669999999996</v>
      </c>
      <c r="G63" s="232" t="s">
        <v>4678</v>
      </c>
      <c r="H63" s="233">
        <v>1896.25</v>
      </c>
      <c r="I63" s="233">
        <v>8998591.7979603037</v>
      </c>
      <c r="J63" s="623">
        <v>5408783572</v>
      </c>
      <c r="K63" s="624" t="s">
        <v>728</v>
      </c>
      <c r="L63" s="624" t="s">
        <v>4679</v>
      </c>
      <c r="M63" s="624" t="s">
        <v>4680</v>
      </c>
      <c r="N63" s="624" t="s">
        <v>4681</v>
      </c>
      <c r="O63" s="624" t="s">
        <v>4682</v>
      </c>
      <c r="P63" s="624" t="s">
        <v>606</v>
      </c>
    </row>
    <row r="64" spans="1:16">
      <c r="A64" s="231" t="s">
        <v>678</v>
      </c>
      <c r="B64" s="231" t="s">
        <v>725</v>
      </c>
      <c r="C64" s="618">
        <v>45155</v>
      </c>
      <c r="D64" s="231" t="s">
        <v>4677</v>
      </c>
      <c r="E64" s="231" t="s">
        <v>5066</v>
      </c>
      <c r="F64" s="619">
        <v>3062.3649999999998</v>
      </c>
      <c r="G64" s="231" t="s">
        <v>4678</v>
      </c>
      <c r="H64" s="619">
        <v>1896.25</v>
      </c>
      <c r="I64" s="619">
        <v>5807009.631157768</v>
      </c>
      <c r="J64" s="620">
        <v>3490419279</v>
      </c>
      <c r="K64" s="621" t="s">
        <v>728</v>
      </c>
      <c r="L64" s="621" t="s">
        <v>4679</v>
      </c>
      <c r="M64" s="621" t="s">
        <v>4680</v>
      </c>
      <c r="N64" s="621" t="s">
        <v>4681</v>
      </c>
      <c r="O64" s="621" t="s">
        <v>4682</v>
      </c>
      <c r="P64" s="621" t="s">
        <v>606</v>
      </c>
    </row>
    <row r="65" spans="1:16">
      <c r="A65" s="232" t="s">
        <v>678</v>
      </c>
      <c r="B65" s="232" t="s">
        <v>725</v>
      </c>
      <c r="C65" s="622">
        <v>45156</v>
      </c>
      <c r="D65" s="232" t="s">
        <v>4677</v>
      </c>
      <c r="E65" s="231" t="s">
        <v>5066</v>
      </c>
      <c r="F65" s="233">
        <v>783.33</v>
      </c>
      <c r="G65" s="232" t="s">
        <v>4678</v>
      </c>
      <c r="H65" s="233">
        <v>1893.6</v>
      </c>
      <c r="I65" s="233">
        <v>1483313.6878581899</v>
      </c>
      <c r="J65" s="623">
        <v>890344208</v>
      </c>
      <c r="K65" s="624" t="s">
        <v>728</v>
      </c>
      <c r="L65" s="624" t="s">
        <v>4679</v>
      </c>
      <c r="M65" s="624" t="s">
        <v>4680</v>
      </c>
      <c r="N65" s="624" t="s">
        <v>4681</v>
      </c>
      <c r="O65" s="624" t="s">
        <v>4682</v>
      </c>
      <c r="P65" s="624" t="s">
        <v>606</v>
      </c>
    </row>
    <row r="66" spans="1:16">
      <c r="A66" s="231" t="s">
        <v>678</v>
      </c>
      <c r="B66" s="231" t="s">
        <v>725</v>
      </c>
      <c r="C66" s="618">
        <v>45161</v>
      </c>
      <c r="D66" s="231" t="s">
        <v>4677</v>
      </c>
      <c r="E66" s="231" t="s">
        <v>5066</v>
      </c>
      <c r="F66" s="619">
        <v>4215.0249999999996</v>
      </c>
      <c r="G66" s="231" t="s">
        <v>4678</v>
      </c>
      <c r="H66" s="619">
        <v>1916.55</v>
      </c>
      <c r="I66" s="619">
        <v>8078306.163599249</v>
      </c>
      <c r="J66" s="620">
        <v>4867744945</v>
      </c>
      <c r="K66" s="621" t="s">
        <v>728</v>
      </c>
      <c r="L66" s="621" t="s">
        <v>4679</v>
      </c>
      <c r="M66" s="621" t="s">
        <v>4680</v>
      </c>
      <c r="N66" s="621" t="s">
        <v>4681</v>
      </c>
      <c r="O66" s="621" t="s">
        <v>4682</v>
      </c>
      <c r="P66" s="621" t="s">
        <v>606</v>
      </c>
    </row>
    <row r="67" spans="1:16">
      <c r="A67" s="232" t="s">
        <v>678</v>
      </c>
      <c r="B67" s="232" t="s">
        <v>725</v>
      </c>
      <c r="C67" s="622">
        <v>45161</v>
      </c>
      <c r="D67" s="232" t="s">
        <v>4677</v>
      </c>
      <c r="E67" s="231" t="s">
        <v>5066</v>
      </c>
      <c r="F67" s="233">
        <v>482.49900000000002</v>
      </c>
      <c r="G67" s="232" t="s">
        <v>4678</v>
      </c>
      <c r="H67" s="233">
        <v>1916.55</v>
      </c>
      <c r="I67" s="233">
        <v>924733.45835338626</v>
      </c>
      <c r="J67" s="623">
        <v>557216640</v>
      </c>
      <c r="K67" s="624" t="s">
        <v>728</v>
      </c>
      <c r="L67" s="624" t="s">
        <v>4679</v>
      </c>
      <c r="M67" s="624" t="s">
        <v>4680</v>
      </c>
      <c r="N67" s="624" t="s">
        <v>4681</v>
      </c>
      <c r="O67" s="624" t="s">
        <v>4682</v>
      </c>
      <c r="P67" s="624" t="s">
        <v>606</v>
      </c>
    </row>
    <row r="68" spans="1:16">
      <c r="A68" s="231" t="s">
        <v>678</v>
      </c>
      <c r="B68" s="231" t="s">
        <v>725</v>
      </c>
      <c r="C68" s="618">
        <v>45175</v>
      </c>
      <c r="D68" s="231" t="s">
        <v>4677</v>
      </c>
      <c r="E68" s="231" t="s">
        <v>5066</v>
      </c>
      <c r="F68" s="619">
        <v>4701.232</v>
      </c>
      <c r="G68" s="231" t="s">
        <v>4678</v>
      </c>
      <c r="H68" s="619">
        <v>1921.95</v>
      </c>
      <c r="I68" s="619">
        <v>9035532.8429286815</v>
      </c>
      <c r="J68" s="620">
        <v>5521252699</v>
      </c>
      <c r="K68" s="621" t="s">
        <v>728</v>
      </c>
      <c r="L68" s="621" t="s">
        <v>4679</v>
      </c>
      <c r="M68" s="621" t="s">
        <v>4680</v>
      </c>
      <c r="N68" s="621" t="s">
        <v>4681</v>
      </c>
      <c r="O68" s="621" t="s">
        <v>4682</v>
      </c>
      <c r="P68" s="621" t="s">
        <v>606</v>
      </c>
    </row>
    <row r="69" spans="1:16">
      <c r="A69" s="232" t="s">
        <v>678</v>
      </c>
      <c r="B69" s="232" t="s">
        <v>725</v>
      </c>
      <c r="C69" s="622">
        <v>45175</v>
      </c>
      <c r="D69" s="232" t="s">
        <v>4677</v>
      </c>
      <c r="E69" s="231" t="s">
        <v>5066</v>
      </c>
      <c r="F69" s="233">
        <v>2663.3560000000002</v>
      </c>
      <c r="G69" s="232" t="s">
        <v>4678</v>
      </c>
      <c r="H69" s="233">
        <v>1921.95</v>
      </c>
      <c r="I69" s="233">
        <v>5118837.064733604</v>
      </c>
      <c r="J69" s="623">
        <v>3128223707</v>
      </c>
      <c r="K69" s="624" t="s">
        <v>728</v>
      </c>
      <c r="L69" s="624" t="s">
        <v>4679</v>
      </c>
      <c r="M69" s="624" t="s">
        <v>4680</v>
      </c>
      <c r="N69" s="624" t="s">
        <v>4681</v>
      </c>
      <c r="O69" s="624" t="s">
        <v>4682</v>
      </c>
      <c r="P69" s="624" t="s">
        <v>606</v>
      </c>
    </row>
    <row r="70" spans="1:16">
      <c r="A70" s="231" t="s">
        <v>678</v>
      </c>
      <c r="B70" s="231" t="s">
        <v>725</v>
      </c>
      <c r="C70" s="618">
        <v>45175</v>
      </c>
      <c r="D70" s="231" t="s">
        <v>4677</v>
      </c>
      <c r="E70" s="231" t="s">
        <v>5066</v>
      </c>
      <c r="F70" s="619">
        <v>2000</v>
      </c>
      <c r="G70" s="231" t="s">
        <v>4678</v>
      </c>
      <c r="H70" s="619">
        <v>1922.05</v>
      </c>
      <c r="I70" s="619">
        <v>3844100</v>
      </c>
      <c r="J70" s="620">
        <v>2352865280</v>
      </c>
      <c r="K70" s="621" t="s">
        <v>728</v>
      </c>
      <c r="L70" s="621" t="s">
        <v>4679</v>
      </c>
      <c r="M70" s="621" t="s">
        <v>4683</v>
      </c>
      <c r="N70" s="621" t="s">
        <v>2608</v>
      </c>
      <c r="O70" s="621" t="s">
        <v>4683</v>
      </c>
      <c r="P70" s="621" t="s">
        <v>606</v>
      </c>
    </row>
    <row r="71" spans="1:16">
      <c r="A71" s="232" t="s">
        <v>678</v>
      </c>
      <c r="B71" s="232" t="s">
        <v>725</v>
      </c>
      <c r="C71" s="622">
        <v>45182</v>
      </c>
      <c r="D71" s="232" t="s">
        <v>4677</v>
      </c>
      <c r="E71" s="231" t="s">
        <v>5066</v>
      </c>
      <c r="F71" s="233">
        <v>4213.8670000000002</v>
      </c>
      <c r="G71" s="232" t="s">
        <v>4678</v>
      </c>
      <c r="H71" s="233">
        <v>1913.7</v>
      </c>
      <c r="I71" s="233">
        <v>8064077.2779136105</v>
      </c>
      <c r="J71" s="623">
        <v>4947311410</v>
      </c>
      <c r="K71" s="624" t="s">
        <v>728</v>
      </c>
      <c r="L71" s="624" t="s">
        <v>4679</v>
      </c>
      <c r="M71" s="624" t="s">
        <v>4680</v>
      </c>
      <c r="N71" s="624" t="s">
        <v>4681</v>
      </c>
      <c r="O71" s="624" t="s">
        <v>4682</v>
      </c>
      <c r="P71" s="624" t="s">
        <v>606</v>
      </c>
    </row>
    <row r="72" spans="1:16">
      <c r="A72" s="231" t="s">
        <v>678</v>
      </c>
      <c r="B72" s="231" t="s">
        <v>725</v>
      </c>
      <c r="C72" s="618">
        <v>45183</v>
      </c>
      <c r="D72" s="231" t="s">
        <v>4677</v>
      </c>
      <c r="E72" s="231" t="s">
        <v>5066</v>
      </c>
      <c r="F72" s="619">
        <v>783.33</v>
      </c>
      <c r="G72" s="231" t="s">
        <v>4678</v>
      </c>
      <c r="H72" s="619">
        <v>1901.65</v>
      </c>
      <c r="I72" s="619">
        <v>1489619.4944140911</v>
      </c>
      <c r="J72" s="620">
        <v>913360193</v>
      </c>
      <c r="K72" s="621" t="s">
        <v>728</v>
      </c>
      <c r="L72" s="621" t="s">
        <v>4679</v>
      </c>
      <c r="M72" s="621" t="s">
        <v>4680</v>
      </c>
      <c r="N72" s="621" t="s">
        <v>4681</v>
      </c>
      <c r="O72" s="621" t="s">
        <v>4682</v>
      </c>
      <c r="P72" s="621" t="s">
        <v>606</v>
      </c>
    </row>
    <row r="73" spans="1:16">
      <c r="A73" s="232" t="s">
        <v>678</v>
      </c>
      <c r="B73" s="232" t="s">
        <v>725</v>
      </c>
      <c r="C73" s="622">
        <v>45196</v>
      </c>
      <c r="D73" s="232" t="s">
        <v>4677</v>
      </c>
      <c r="E73" s="231" t="s">
        <v>5066</v>
      </c>
      <c r="F73" s="233">
        <v>4872.4859999999999</v>
      </c>
      <c r="G73" s="232" t="s">
        <v>4678</v>
      </c>
      <c r="H73" s="233">
        <v>1887.2</v>
      </c>
      <c r="I73" s="233">
        <v>9195355.5784186646</v>
      </c>
      <c r="J73" s="623">
        <v>5675373463</v>
      </c>
      <c r="K73" s="624" t="s">
        <v>728</v>
      </c>
      <c r="L73" s="624" t="s">
        <v>4679</v>
      </c>
      <c r="M73" s="624" t="s">
        <v>4680</v>
      </c>
      <c r="N73" s="624" t="s">
        <v>4681</v>
      </c>
      <c r="O73" s="624" t="s">
        <v>4682</v>
      </c>
      <c r="P73" s="624" t="s">
        <v>606</v>
      </c>
    </row>
    <row r="74" spans="1:16">
      <c r="A74" s="231" t="s">
        <v>678</v>
      </c>
      <c r="B74" s="231" t="s">
        <v>725</v>
      </c>
      <c r="C74" s="618">
        <v>45196</v>
      </c>
      <c r="D74" s="231" t="s">
        <v>4677</v>
      </c>
      <c r="E74" s="231" t="s">
        <v>5066</v>
      </c>
      <c r="F74" s="619">
        <v>1350</v>
      </c>
      <c r="G74" s="231" t="s">
        <v>4678</v>
      </c>
      <c r="H74" s="619">
        <v>1887.2</v>
      </c>
      <c r="I74" s="619">
        <v>2547720</v>
      </c>
      <c r="J74" s="620">
        <v>1572452784</v>
      </c>
      <c r="K74" s="621" t="s">
        <v>728</v>
      </c>
      <c r="L74" s="621" t="s">
        <v>4679</v>
      </c>
      <c r="M74" s="621" t="s">
        <v>4680</v>
      </c>
      <c r="N74" s="621" t="s">
        <v>4681</v>
      </c>
      <c r="O74" s="621" t="s">
        <v>4682</v>
      </c>
      <c r="P74" s="621" t="s">
        <v>606</v>
      </c>
    </row>
    <row r="75" spans="1:16">
      <c r="A75" s="232" t="s">
        <v>678</v>
      </c>
      <c r="B75" s="232" t="s">
        <v>725</v>
      </c>
      <c r="C75" s="622">
        <v>45197</v>
      </c>
      <c r="D75" s="232" t="s">
        <v>4677</v>
      </c>
      <c r="E75" s="231" t="s">
        <v>5066</v>
      </c>
      <c r="F75" s="233">
        <v>5000</v>
      </c>
      <c r="G75" s="232" t="s">
        <v>4678</v>
      </c>
      <c r="H75" s="233">
        <v>1873.45</v>
      </c>
      <c r="I75" s="233">
        <v>9367250</v>
      </c>
      <c r="J75" s="623">
        <v>5781466700</v>
      </c>
      <c r="K75" s="624" t="s">
        <v>728</v>
      </c>
      <c r="L75" s="624" t="s">
        <v>4679</v>
      </c>
      <c r="M75" s="624" t="s">
        <v>4680</v>
      </c>
      <c r="N75" s="624" t="s">
        <v>4681</v>
      </c>
      <c r="O75" s="624" t="s">
        <v>4682</v>
      </c>
      <c r="P75" s="624" t="s">
        <v>606</v>
      </c>
    </row>
    <row r="76" spans="1:16">
      <c r="A76" s="231" t="s">
        <v>678</v>
      </c>
      <c r="B76" s="231" t="s">
        <v>725</v>
      </c>
      <c r="C76" s="618">
        <v>45198</v>
      </c>
      <c r="D76" s="231" t="s">
        <v>4677</v>
      </c>
      <c r="E76" s="231" t="s">
        <v>5066</v>
      </c>
      <c r="F76" s="619">
        <v>92.918000000000006</v>
      </c>
      <c r="G76" s="231" t="s">
        <v>4678</v>
      </c>
      <c r="H76" s="619">
        <v>1871.15</v>
      </c>
      <c r="I76" s="619">
        <v>173863.51618122976</v>
      </c>
      <c r="J76" s="620">
        <v>107447653</v>
      </c>
      <c r="K76" s="621" t="s">
        <v>728</v>
      </c>
      <c r="L76" s="621" t="s">
        <v>4679</v>
      </c>
      <c r="M76" s="621" t="s">
        <v>4680</v>
      </c>
      <c r="N76" s="621" t="s">
        <v>4681</v>
      </c>
      <c r="O76" s="621" t="s">
        <v>4682</v>
      </c>
      <c r="P76" s="621" t="s">
        <v>606</v>
      </c>
    </row>
    <row r="77" spans="1:16">
      <c r="A77" s="232" t="s">
        <v>678</v>
      </c>
      <c r="B77" s="232" t="s">
        <v>725</v>
      </c>
      <c r="C77" s="622">
        <v>45196</v>
      </c>
      <c r="D77" s="232" t="s">
        <v>4677</v>
      </c>
      <c r="E77" s="231" t="s">
        <v>5066</v>
      </c>
      <c r="F77" s="233">
        <v>5689.8360000000002</v>
      </c>
      <c r="G77" s="232" t="s">
        <v>4678</v>
      </c>
      <c r="H77" s="233">
        <v>1887.2</v>
      </c>
      <c r="I77" s="233">
        <v>10737858.499675956</v>
      </c>
      <c r="J77" s="623">
        <v>6627406266</v>
      </c>
      <c r="K77" s="624" t="s">
        <v>728</v>
      </c>
      <c r="L77" s="624" t="s">
        <v>4679</v>
      </c>
      <c r="M77" s="624" t="s">
        <v>4680</v>
      </c>
      <c r="N77" s="624" t="s">
        <v>4681</v>
      </c>
      <c r="O77" s="624" t="s">
        <v>4682</v>
      </c>
      <c r="P77" s="624" t="s">
        <v>606</v>
      </c>
    </row>
    <row r="78" spans="1:16">
      <c r="A78" s="231" t="s">
        <v>678</v>
      </c>
      <c r="B78" s="231" t="s">
        <v>725</v>
      </c>
      <c r="C78" s="618">
        <v>45197</v>
      </c>
      <c r="D78" s="231" t="s">
        <v>4677</v>
      </c>
      <c r="E78" s="231" t="s">
        <v>5066</v>
      </c>
      <c r="F78" s="619">
        <v>2567.3389999999999</v>
      </c>
      <c r="G78" s="231" t="s">
        <v>4678</v>
      </c>
      <c r="H78" s="619">
        <v>1873.45</v>
      </c>
      <c r="I78" s="619">
        <v>4809781.2491898891</v>
      </c>
      <c r="J78" s="620">
        <v>2968596987</v>
      </c>
      <c r="K78" s="621" t="s">
        <v>728</v>
      </c>
      <c r="L78" s="621" t="s">
        <v>4679</v>
      </c>
      <c r="M78" s="621" t="s">
        <v>4680</v>
      </c>
      <c r="N78" s="621" t="s">
        <v>4681</v>
      </c>
      <c r="O78" s="621" t="s">
        <v>4682</v>
      </c>
      <c r="P78" s="621" t="s">
        <v>606</v>
      </c>
    </row>
    <row r="79" spans="1:16">
      <c r="A79" s="232" t="s">
        <v>678</v>
      </c>
      <c r="B79" s="232" t="s">
        <v>725</v>
      </c>
      <c r="C79" s="622">
        <v>45197</v>
      </c>
      <c r="D79" s="232" t="s">
        <v>4677</v>
      </c>
      <c r="E79" s="231" t="s">
        <v>5066</v>
      </c>
      <c r="F79" s="233">
        <v>891.99199999999996</v>
      </c>
      <c r="G79" s="232" t="s">
        <v>4678</v>
      </c>
      <c r="H79" s="233">
        <v>1873.45</v>
      </c>
      <c r="I79" s="233">
        <v>1671102.4126213591</v>
      </c>
      <c r="J79" s="623">
        <v>1032741291</v>
      </c>
      <c r="K79" s="624" t="s">
        <v>728</v>
      </c>
      <c r="L79" s="624" t="s">
        <v>4679</v>
      </c>
      <c r="M79" s="624" t="s">
        <v>4680</v>
      </c>
      <c r="N79" s="624" t="s">
        <v>4681</v>
      </c>
      <c r="O79" s="624" t="s">
        <v>4682</v>
      </c>
      <c r="P79" s="624" t="s">
        <v>606</v>
      </c>
    </row>
    <row r="80" spans="1:16">
      <c r="A80" s="231" t="s">
        <v>678</v>
      </c>
      <c r="B80" s="231" t="s">
        <v>725</v>
      </c>
      <c r="C80" s="618">
        <v>45197</v>
      </c>
      <c r="D80" s="231" t="s">
        <v>4677</v>
      </c>
      <c r="E80" s="231" t="s">
        <v>5066</v>
      </c>
      <c r="F80" s="619">
        <v>3193.6480000000001</v>
      </c>
      <c r="G80" s="231" t="s">
        <v>4678</v>
      </c>
      <c r="H80" s="619">
        <v>1873.4</v>
      </c>
      <c r="I80" s="619">
        <v>5982980.1634304207</v>
      </c>
      <c r="J80" s="620">
        <v>3697481741</v>
      </c>
      <c r="K80" s="621" t="s">
        <v>728</v>
      </c>
      <c r="L80" s="621" t="s">
        <v>4679</v>
      </c>
      <c r="M80" s="621" t="s">
        <v>4680</v>
      </c>
      <c r="N80" s="621" t="s">
        <v>4681</v>
      </c>
      <c r="O80" s="621" t="s">
        <v>4682</v>
      </c>
      <c r="P80" s="621" t="s">
        <v>606</v>
      </c>
    </row>
    <row r="81" spans="1:16">
      <c r="A81" s="232" t="s">
        <v>678</v>
      </c>
      <c r="B81" s="232" t="s">
        <v>725</v>
      </c>
      <c r="C81" s="622">
        <v>45204</v>
      </c>
      <c r="D81" s="232" t="s">
        <v>4677</v>
      </c>
      <c r="E81" s="231" t="s">
        <v>5066</v>
      </c>
      <c r="F81" s="233">
        <v>256.26799999999997</v>
      </c>
      <c r="G81" s="232" t="s">
        <v>4678</v>
      </c>
      <c r="H81" s="233">
        <v>1822.47</v>
      </c>
      <c r="I81" s="233">
        <v>467040.74134128937</v>
      </c>
      <c r="J81" s="623">
        <v>288033366</v>
      </c>
      <c r="K81" s="624" t="s">
        <v>728</v>
      </c>
      <c r="L81" s="624" t="s">
        <v>4679</v>
      </c>
      <c r="M81" s="624" t="s">
        <v>4680</v>
      </c>
      <c r="N81" s="624" t="s">
        <v>4681</v>
      </c>
      <c r="O81" s="624" t="s">
        <v>4682</v>
      </c>
      <c r="P81" s="624" t="s">
        <v>606</v>
      </c>
    </row>
    <row r="82" spans="1:16">
      <c r="A82" s="231" t="s">
        <v>678</v>
      </c>
      <c r="B82" s="231" t="s">
        <v>725</v>
      </c>
      <c r="C82" s="618">
        <v>45210</v>
      </c>
      <c r="D82" s="231" t="s">
        <v>4677</v>
      </c>
      <c r="E82" s="231" t="s">
        <v>5066</v>
      </c>
      <c r="F82" s="619">
        <v>119.036</v>
      </c>
      <c r="G82" s="231" t="s">
        <v>4678</v>
      </c>
      <c r="H82" s="619">
        <v>1863.35</v>
      </c>
      <c r="I82" s="619">
        <v>221805.73011437483</v>
      </c>
      <c r="J82" s="620">
        <v>136525863</v>
      </c>
      <c r="K82" s="621" t="s">
        <v>728</v>
      </c>
      <c r="L82" s="621" t="s">
        <v>4679</v>
      </c>
      <c r="M82" s="621" t="s">
        <v>4680</v>
      </c>
      <c r="N82" s="621" t="s">
        <v>4681</v>
      </c>
      <c r="O82" s="621" t="s">
        <v>4682</v>
      </c>
      <c r="P82" s="621" t="s">
        <v>606</v>
      </c>
    </row>
    <row r="83" spans="1:16">
      <c r="A83" s="232" t="s">
        <v>678</v>
      </c>
      <c r="B83" s="232" t="s">
        <v>725</v>
      </c>
      <c r="C83" s="622">
        <v>45217</v>
      </c>
      <c r="D83" s="232" t="s">
        <v>4677</v>
      </c>
      <c r="E83" s="231" t="s">
        <v>5066</v>
      </c>
      <c r="F83" s="233">
        <v>4069.826</v>
      </c>
      <c r="G83" s="232" t="s">
        <v>4678</v>
      </c>
      <c r="H83" s="233">
        <v>1955.6</v>
      </c>
      <c r="I83" s="233">
        <v>7958951.7262598788</v>
      </c>
      <c r="J83" s="623">
        <v>4914811870</v>
      </c>
      <c r="K83" s="624" t="s">
        <v>728</v>
      </c>
      <c r="L83" s="624" t="s">
        <v>4679</v>
      </c>
      <c r="M83" s="624" t="s">
        <v>4680</v>
      </c>
      <c r="N83" s="624" t="s">
        <v>4681</v>
      </c>
      <c r="O83" s="624" t="s">
        <v>4682</v>
      </c>
      <c r="P83" s="624" t="s">
        <v>606</v>
      </c>
    </row>
    <row r="84" spans="1:16">
      <c r="A84" s="231" t="s">
        <v>678</v>
      </c>
      <c r="B84" s="231" t="s">
        <v>725</v>
      </c>
      <c r="C84" s="618">
        <v>45217</v>
      </c>
      <c r="D84" s="231" t="s">
        <v>4677</v>
      </c>
      <c r="E84" s="231" t="s">
        <v>5066</v>
      </c>
      <c r="F84" s="619">
        <v>783.33</v>
      </c>
      <c r="G84" s="231" t="s">
        <v>4678</v>
      </c>
      <c r="H84" s="619">
        <v>1955.6</v>
      </c>
      <c r="I84" s="619">
        <v>1531880.1480114006</v>
      </c>
      <c r="J84" s="620">
        <v>945966629</v>
      </c>
      <c r="K84" s="621" t="s">
        <v>728</v>
      </c>
      <c r="L84" s="621" t="s">
        <v>4679</v>
      </c>
      <c r="M84" s="621" t="s">
        <v>4680</v>
      </c>
      <c r="N84" s="621" t="s">
        <v>4681</v>
      </c>
      <c r="O84" s="621" t="s">
        <v>4682</v>
      </c>
      <c r="P84" s="621" t="s">
        <v>606</v>
      </c>
    </row>
    <row r="85" spans="1:16">
      <c r="A85" s="232" t="s">
        <v>678</v>
      </c>
      <c r="B85" s="232" t="s">
        <v>725</v>
      </c>
      <c r="C85" s="622">
        <v>45219</v>
      </c>
      <c r="D85" s="232" t="s">
        <v>4677</v>
      </c>
      <c r="E85" s="231" t="s">
        <v>5066</v>
      </c>
      <c r="F85" s="233">
        <v>2000</v>
      </c>
      <c r="G85" s="232" t="s">
        <v>4678</v>
      </c>
      <c r="H85" s="233">
        <v>1955.7</v>
      </c>
      <c r="I85" s="233">
        <v>3911400</v>
      </c>
      <c r="J85" s="623">
        <v>2432288560</v>
      </c>
      <c r="K85" s="624" t="s">
        <v>728</v>
      </c>
      <c r="L85" s="624" t="s">
        <v>4679</v>
      </c>
      <c r="M85" s="624" t="s">
        <v>4683</v>
      </c>
      <c r="N85" s="624" t="s">
        <v>2608</v>
      </c>
      <c r="O85" s="624" t="s">
        <v>4683</v>
      </c>
      <c r="P85" s="624" t="s">
        <v>606</v>
      </c>
    </row>
    <row r="86" spans="1:16">
      <c r="A86" s="231" t="s">
        <v>678</v>
      </c>
      <c r="B86" s="231" t="s">
        <v>725</v>
      </c>
      <c r="C86" s="618">
        <v>45231</v>
      </c>
      <c r="D86" s="231" t="s">
        <v>4677</v>
      </c>
      <c r="E86" s="231" t="s">
        <v>5066</v>
      </c>
      <c r="F86" s="619">
        <v>4917.7089999999998</v>
      </c>
      <c r="G86" s="231" t="s">
        <v>4678</v>
      </c>
      <c r="H86" s="619">
        <v>1986.25</v>
      </c>
      <c r="I86" s="619">
        <v>9767799.5012499988</v>
      </c>
      <c r="J86" s="620">
        <v>6006512947.3036613</v>
      </c>
      <c r="K86" s="621" t="s">
        <v>728</v>
      </c>
      <c r="L86" s="621" t="s">
        <v>4679</v>
      </c>
      <c r="M86" s="621" t="s">
        <v>4680</v>
      </c>
      <c r="N86" s="621" t="s">
        <v>4681</v>
      </c>
      <c r="O86" s="621" t="s">
        <v>4682</v>
      </c>
      <c r="P86" s="621" t="s">
        <v>606</v>
      </c>
    </row>
    <row r="87" spans="1:16">
      <c r="A87" s="232" t="s">
        <v>678</v>
      </c>
      <c r="B87" s="232" t="s">
        <v>725</v>
      </c>
      <c r="C87" s="622">
        <v>45231</v>
      </c>
      <c r="D87" s="232" t="s">
        <v>4677</v>
      </c>
      <c r="E87" s="231" t="s">
        <v>5066</v>
      </c>
      <c r="F87" s="233">
        <v>1413.4</v>
      </c>
      <c r="G87" s="232" t="s">
        <v>4678</v>
      </c>
      <c r="H87" s="233">
        <v>1986.25</v>
      </c>
      <c r="I87" s="233">
        <v>2807365.75</v>
      </c>
      <c r="J87" s="623">
        <v>1726333420.6474998</v>
      </c>
      <c r="K87" s="624" t="s">
        <v>728</v>
      </c>
      <c r="L87" s="624" t="s">
        <v>4679</v>
      </c>
      <c r="M87" s="624" t="s">
        <v>4680</v>
      </c>
      <c r="N87" s="624" t="s">
        <v>4681</v>
      </c>
      <c r="O87" s="624" t="s">
        <v>4682</v>
      </c>
      <c r="P87" s="624" t="s">
        <v>606</v>
      </c>
    </row>
    <row r="88" spans="1:16">
      <c r="A88" s="231" t="s">
        <v>678</v>
      </c>
      <c r="B88" s="231" t="s">
        <v>725</v>
      </c>
      <c r="C88" s="618">
        <v>45238</v>
      </c>
      <c r="D88" s="231" t="s">
        <v>4677</v>
      </c>
      <c r="E88" s="231" t="s">
        <v>5066</v>
      </c>
      <c r="F88" s="619">
        <v>3969.4470000000001</v>
      </c>
      <c r="G88" s="231" t="s">
        <v>4678</v>
      </c>
      <c r="H88" s="619">
        <v>1959.25</v>
      </c>
      <c r="I88" s="619">
        <v>7777139.0347500006</v>
      </c>
      <c r="J88" s="620">
        <v>4757198176.1662283</v>
      </c>
      <c r="K88" s="621" t="s">
        <v>728</v>
      </c>
      <c r="L88" s="621" t="s">
        <v>4679</v>
      </c>
      <c r="M88" s="621" t="s">
        <v>4680</v>
      </c>
      <c r="N88" s="621" t="s">
        <v>4681</v>
      </c>
      <c r="O88" s="621" t="s">
        <v>4682</v>
      </c>
      <c r="P88" s="621" t="s">
        <v>606</v>
      </c>
    </row>
    <row r="89" spans="1:16">
      <c r="A89" s="232" t="s">
        <v>678</v>
      </c>
      <c r="B89" s="232" t="s">
        <v>725</v>
      </c>
      <c r="C89" s="622">
        <v>45238</v>
      </c>
      <c r="D89" s="232" t="s">
        <v>4677</v>
      </c>
      <c r="E89" s="231" t="s">
        <v>5066</v>
      </c>
      <c r="F89" s="233">
        <v>6368.5940000000001</v>
      </c>
      <c r="G89" s="232" t="s">
        <v>4678</v>
      </c>
      <c r="H89" s="233">
        <v>1959.25</v>
      </c>
      <c r="I89" s="233">
        <v>12477667.794500001</v>
      </c>
      <c r="J89" s="623">
        <v>7633213273.2853756</v>
      </c>
      <c r="K89" s="624" t="s">
        <v>728</v>
      </c>
      <c r="L89" s="624" t="s">
        <v>4679</v>
      </c>
      <c r="M89" s="624" t="s">
        <v>4680</v>
      </c>
      <c r="N89" s="624" t="s">
        <v>4681</v>
      </c>
      <c r="O89" s="624" t="s">
        <v>4682</v>
      </c>
      <c r="P89" s="624" t="s">
        <v>606</v>
      </c>
    </row>
    <row r="90" spans="1:16">
      <c r="A90" s="231" t="s">
        <v>678</v>
      </c>
      <c r="B90" s="231" t="s">
        <v>725</v>
      </c>
      <c r="C90" s="618">
        <v>45245</v>
      </c>
      <c r="D90" s="231" t="s">
        <v>4677</v>
      </c>
      <c r="E90" s="231" t="s">
        <v>5066</v>
      </c>
      <c r="F90" s="619">
        <v>3445.2020000000002</v>
      </c>
      <c r="G90" s="231" t="s">
        <v>4678</v>
      </c>
      <c r="H90" s="619">
        <v>1958.1</v>
      </c>
      <c r="I90" s="619">
        <v>6746050.0362</v>
      </c>
      <c r="J90" s="620">
        <v>4065979277.8184643</v>
      </c>
      <c r="K90" s="621" t="s">
        <v>728</v>
      </c>
      <c r="L90" s="621" t="s">
        <v>4679</v>
      </c>
      <c r="M90" s="621" t="s">
        <v>4680</v>
      </c>
      <c r="N90" s="621" t="s">
        <v>4681</v>
      </c>
      <c r="O90" s="621" t="s">
        <v>4682</v>
      </c>
      <c r="P90" s="621" t="s">
        <v>606</v>
      </c>
    </row>
    <row r="91" spans="1:16">
      <c r="A91" s="232" t="s">
        <v>678</v>
      </c>
      <c r="B91" s="232" t="s">
        <v>725</v>
      </c>
      <c r="C91" s="622">
        <v>45252</v>
      </c>
      <c r="D91" s="232" t="s">
        <v>4677</v>
      </c>
      <c r="E91" s="231" t="s">
        <v>5066</v>
      </c>
      <c r="F91" s="233">
        <v>3579.826</v>
      </c>
      <c r="G91" s="232" t="s">
        <v>4678</v>
      </c>
      <c r="H91" s="233">
        <v>1997.45</v>
      </c>
      <c r="I91" s="233">
        <v>7150523.4437000006</v>
      </c>
      <c r="J91" s="623">
        <v>4271079158.1564469</v>
      </c>
      <c r="K91" s="624" t="s">
        <v>728</v>
      </c>
      <c r="L91" s="624" t="s">
        <v>4679</v>
      </c>
      <c r="M91" s="624" t="s">
        <v>4680</v>
      </c>
      <c r="N91" s="624" t="s">
        <v>4681</v>
      </c>
      <c r="O91" s="624" t="s">
        <v>4682</v>
      </c>
      <c r="P91" s="624" t="s">
        <v>606</v>
      </c>
    </row>
    <row r="92" spans="1:16">
      <c r="A92" s="231" t="s">
        <v>678</v>
      </c>
      <c r="B92" s="231" t="s">
        <v>725</v>
      </c>
      <c r="C92" s="618">
        <v>45252</v>
      </c>
      <c r="D92" s="231" t="s">
        <v>4677</v>
      </c>
      <c r="E92" s="231" t="s">
        <v>5066</v>
      </c>
      <c r="F92" s="619">
        <v>6046.1490000000003</v>
      </c>
      <c r="G92" s="231" t="s">
        <v>4678</v>
      </c>
      <c r="H92" s="619">
        <v>1997.45</v>
      </c>
      <c r="I92" s="619">
        <v>12076880.320050001</v>
      </c>
      <c r="J92" s="620">
        <v>7228012871.5499258</v>
      </c>
      <c r="K92" s="621" t="s">
        <v>728</v>
      </c>
      <c r="L92" s="621" t="s">
        <v>4679</v>
      </c>
      <c r="M92" s="621" t="s">
        <v>4680</v>
      </c>
      <c r="N92" s="621" t="s">
        <v>4681</v>
      </c>
      <c r="O92" s="621" t="s">
        <v>4682</v>
      </c>
      <c r="P92" s="621" t="s">
        <v>606</v>
      </c>
    </row>
    <row r="93" spans="1:16">
      <c r="A93" s="232" t="s">
        <v>678</v>
      </c>
      <c r="B93" s="232" t="s">
        <v>725</v>
      </c>
      <c r="C93" s="622">
        <v>45252</v>
      </c>
      <c r="D93" s="232" t="s">
        <v>4677</v>
      </c>
      <c r="E93" s="231" t="s">
        <v>5066</v>
      </c>
      <c r="F93" s="233">
        <v>783.33</v>
      </c>
      <c r="G93" s="232" t="s">
        <v>4678</v>
      </c>
      <c r="H93" s="233">
        <v>1997.45</v>
      </c>
      <c r="I93" s="233">
        <v>1564662.5085000002</v>
      </c>
      <c r="J93" s="623">
        <v>936450511.33725011</v>
      </c>
      <c r="K93" s="624" t="s">
        <v>728</v>
      </c>
      <c r="L93" s="624" t="s">
        <v>4679</v>
      </c>
      <c r="M93" s="624" t="s">
        <v>4680</v>
      </c>
      <c r="N93" s="624" t="s">
        <v>4681</v>
      </c>
      <c r="O93" s="624" t="s">
        <v>4682</v>
      </c>
      <c r="P93" s="624" t="s">
        <v>606</v>
      </c>
    </row>
    <row r="94" spans="1:16">
      <c r="A94" s="231" t="s">
        <v>678</v>
      </c>
      <c r="B94" s="231" t="s">
        <v>725</v>
      </c>
      <c r="C94" s="618">
        <v>45259</v>
      </c>
      <c r="D94" s="231" t="s">
        <v>4677</v>
      </c>
      <c r="E94" s="231" t="s">
        <v>5066</v>
      </c>
      <c r="F94" s="619">
        <v>615.23099999999999</v>
      </c>
      <c r="G94" s="231" t="s">
        <v>4678</v>
      </c>
      <c r="H94" s="619">
        <v>2046.85</v>
      </c>
      <c r="I94" s="619">
        <v>1259285.57235</v>
      </c>
      <c r="J94" s="620">
        <v>755571343.40999997</v>
      </c>
      <c r="K94" s="621" t="s">
        <v>728</v>
      </c>
      <c r="L94" s="621" t="s">
        <v>4679</v>
      </c>
      <c r="M94" s="621" t="s">
        <v>4680</v>
      </c>
      <c r="N94" s="621" t="s">
        <v>4681</v>
      </c>
      <c r="O94" s="621" t="s">
        <v>4682</v>
      </c>
      <c r="P94" s="621" t="s">
        <v>606</v>
      </c>
    </row>
    <row r="95" spans="1:16">
      <c r="A95" s="232" t="s">
        <v>678</v>
      </c>
      <c r="B95" s="232" t="s">
        <v>725</v>
      </c>
      <c r="C95" s="622">
        <v>45266</v>
      </c>
      <c r="D95" s="232" t="s">
        <v>4677</v>
      </c>
      <c r="E95" s="231" t="s">
        <v>5066</v>
      </c>
      <c r="F95" s="233">
        <v>7252.4920000000002</v>
      </c>
      <c r="G95" s="232" t="s">
        <v>4678</v>
      </c>
      <c r="H95" s="233">
        <v>2026.3</v>
      </c>
      <c r="I95" s="233">
        <v>14695724.5396</v>
      </c>
      <c r="J95" s="623">
        <v>8920304795.537199</v>
      </c>
      <c r="K95" s="624" t="s">
        <v>728</v>
      </c>
      <c r="L95" s="624" t="s">
        <v>4679</v>
      </c>
      <c r="M95" s="624" t="s">
        <v>4680</v>
      </c>
      <c r="N95" s="624" t="s">
        <v>4681</v>
      </c>
      <c r="O95" s="624" t="s">
        <v>4682</v>
      </c>
      <c r="P95" s="624" t="s">
        <v>606</v>
      </c>
    </row>
    <row r="96" spans="1:16">
      <c r="A96" s="231" t="s">
        <v>678</v>
      </c>
      <c r="B96" s="231" t="s">
        <v>725</v>
      </c>
      <c r="C96" s="618">
        <v>45266</v>
      </c>
      <c r="D96" s="231" t="s">
        <v>4677</v>
      </c>
      <c r="E96" s="231" t="s">
        <v>5066</v>
      </c>
      <c r="F96" s="619">
        <v>4585.0820000000003</v>
      </c>
      <c r="G96" s="231" t="s">
        <v>4678</v>
      </c>
      <c r="H96" s="619">
        <v>2026.3</v>
      </c>
      <c r="I96" s="619">
        <v>9290751.6566000003</v>
      </c>
      <c r="J96" s="620">
        <v>5637628105.2248802</v>
      </c>
      <c r="K96" s="621" t="s">
        <v>728</v>
      </c>
      <c r="L96" s="621" t="s">
        <v>4679</v>
      </c>
      <c r="M96" s="621" t="s">
        <v>4680</v>
      </c>
      <c r="N96" s="621" t="s">
        <v>4681</v>
      </c>
      <c r="O96" s="621" t="s">
        <v>4682</v>
      </c>
      <c r="P96" s="621" t="s">
        <v>606</v>
      </c>
    </row>
    <row r="97" spans="1:16">
      <c r="A97" s="232" t="s">
        <v>678</v>
      </c>
      <c r="B97" s="232" t="s">
        <v>725</v>
      </c>
      <c r="C97" s="622">
        <v>45266</v>
      </c>
      <c r="D97" s="232" t="s">
        <v>4677</v>
      </c>
      <c r="E97" s="231" t="s">
        <v>5066</v>
      </c>
      <c r="F97" s="233">
        <v>783.33</v>
      </c>
      <c r="G97" s="232" t="s">
        <v>4678</v>
      </c>
      <c r="H97" s="233">
        <v>2026.3</v>
      </c>
      <c r="I97" s="233">
        <v>1587261.5790000001</v>
      </c>
      <c r="J97" s="623">
        <v>963150326.1372</v>
      </c>
      <c r="K97" s="624" t="s">
        <v>728</v>
      </c>
      <c r="L97" s="624" t="s">
        <v>4679</v>
      </c>
      <c r="M97" s="624" t="s">
        <v>4680</v>
      </c>
      <c r="N97" s="624" t="s">
        <v>4681</v>
      </c>
      <c r="O97" s="624" t="s">
        <v>4682</v>
      </c>
      <c r="P97" s="624" t="s">
        <v>606</v>
      </c>
    </row>
    <row r="98" spans="1:16">
      <c r="A98" s="231" t="s">
        <v>678</v>
      </c>
      <c r="B98" s="231" t="s">
        <v>725</v>
      </c>
      <c r="C98" s="618">
        <v>45273</v>
      </c>
      <c r="D98" s="231" t="s">
        <v>4677</v>
      </c>
      <c r="E98" s="231" t="s">
        <v>5066</v>
      </c>
      <c r="F98" s="619">
        <v>2216.3780000000002</v>
      </c>
      <c r="G98" s="231" t="s">
        <v>4678</v>
      </c>
      <c r="H98" s="619">
        <v>1982.4</v>
      </c>
      <c r="I98" s="619">
        <v>4393747.7472000001</v>
      </c>
      <c r="J98" s="620">
        <v>2626362715.8888001</v>
      </c>
      <c r="K98" s="621" t="s">
        <v>728</v>
      </c>
      <c r="L98" s="621" t="s">
        <v>4679</v>
      </c>
      <c r="M98" s="621" t="s">
        <v>4680</v>
      </c>
      <c r="N98" s="621" t="s">
        <v>4681</v>
      </c>
      <c r="O98" s="621" t="s">
        <v>4682</v>
      </c>
      <c r="P98" s="621" t="s">
        <v>606</v>
      </c>
    </row>
    <row r="99" spans="1:16">
      <c r="A99" s="232" t="s">
        <v>678</v>
      </c>
      <c r="B99" s="232" t="s">
        <v>725</v>
      </c>
      <c r="C99" s="622">
        <v>45280</v>
      </c>
      <c r="D99" s="232" t="s">
        <v>4677</v>
      </c>
      <c r="E99" s="231" t="s">
        <v>5066</v>
      </c>
      <c r="F99" s="233">
        <v>6358.13</v>
      </c>
      <c r="G99" s="232" t="s">
        <v>4678</v>
      </c>
      <c r="H99" s="233">
        <v>2035.45</v>
      </c>
      <c r="I99" s="233">
        <v>12941655.7085</v>
      </c>
      <c r="J99" s="623">
        <v>7687343490.849</v>
      </c>
      <c r="K99" s="624" t="s">
        <v>728</v>
      </c>
      <c r="L99" s="624" t="s">
        <v>4679</v>
      </c>
      <c r="M99" s="624" t="s">
        <v>4680</v>
      </c>
      <c r="N99" s="624" t="s">
        <v>4681</v>
      </c>
      <c r="O99" s="624" t="s">
        <v>4682</v>
      </c>
      <c r="P99" s="624" t="s">
        <v>606</v>
      </c>
    </row>
    <row r="100" spans="1:16">
      <c r="A100" s="231" t="s">
        <v>678</v>
      </c>
      <c r="B100" s="231" t="s">
        <v>725</v>
      </c>
      <c r="C100" s="618">
        <v>45280</v>
      </c>
      <c r="D100" s="231" t="s">
        <v>4677</v>
      </c>
      <c r="E100" s="231" t="s">
        <v>5066</v>
      </c>
      <c r="F100" s="619">
        <v>2836.0659999999998</v>
      </c>
      <c r="G100" s="231" t="s">
        <v>4678</v>
      </c>
      <c r="H100" s="619">
        <v>2035.45</v>
      </c>
      <c r="I100" s="619">
        <v>5772670.5396999996</v>
      </c>
      <c r="J100" s="620">
        <v>3428215853.4116387</v>
      </c>
      <c r="K100" s="621" t="s">
        <v>728</v>
      </c>
      <c r="L100" s="621" t="s">
        <v>4679</v>
      </c>
      <c r="M100" s="621" t="s">
        <v>4680</v>
      </c>
      <c r="N100" s="621" t="s">
        <v>4681</v>
      </c>
      <c r="O100" s="621" t="s">
        <v>4682</v>
      </c>
      <c r="P100" s="621" t="s">
        <v>606</v>
      </c>
    </row>
    <row r="101" spans="1:16">
      <c r="A101" s="232" t="s">
        <v>678</v>
      </c>
      <c r="B101" s="232" t="s">
        <v>725</v>
      </c>
      <c r="C101" s="622">
        <v>45280</v>
      </c>
      <c r="D101" s="232" t="s">
        <v>4677</v>
      </c>
      <c r="E101" s="231" t="s">
        <v>5066</v>
      </c>
      <c r="F101" s="233">
        <v>5429.3059999999996</v>
      </c>
      <c r="G101" s="232" t="s">
        <v>4678</v>
      </c>
      <c r="H101" s="233">
        <v>2035.45</v>
      </c>
      <c r="I101" s="233">
        <v>11051080.897699999</v>
      </c>
      <c r="J101" s="623">
        <v>6561800304.6273279</v>
      </c>
      <c r="K101" s="624" t="s">
        <v>728</v>
      </c>
      <c r="L101" s="624" t="s">
        <v>4679</v>
      </c>
      <c r="M101" s="624" t="s">
        <v>4680</v>
      </c>
      <c r="N101" s="624" t="s">
        <v>4681</v>
      </c>
      <c r="O101" s="624" t="s">
        <v>4682</v>
      </c>
      <c r="P101" s="624" t="s">
        <v>606</v>
      </c>
    </row>
    <row r="102" spans="1:16">
      <c r="A102" s="231" t="s">
        <v>678</v>
      </c>
      <c r="B102" s="231" t="s">
        <v>725</v>
      </c>
      <c r="C102" s="618">
        <v>45281</v>
      </c>
      <c r="D102" s="231" t="s">
        <v>4677</v>
      </c>
      <c r="E102" s="231" t="s">
        <v>5066</v>
      </c>
      <c r="F102" s="619">
        <v>1141.5340000000001</v>
      </c>
      <c r="G102" s="231" t="s">
        <v>4678</v>
      </c>
      <c r="H102" s="619">
        <v>2041.6</v>
      </c>
      <c r="I102" s="619">
        <v>2330555.8144</v>
      </c>
      <c r="J102" s="620">
        <v>1382578931.334656</v>
      </c>
      <c r="K102" s="621" t="s">
        <v>728</v>
      </c>
      <c r="L102" s="621" t="s">
        <v>4679</v>
      </c>
      <c r="M102" s="621" t="s">
        <v>4680</v>
      </c>
      <c r="N102" s="621" t="s">
        <v>4681</v>
      </c>
      <c r="O102" s="621" t="s">
        <v>4682</v>
      </c>
      <c r="P102" s="621" t="s">
        <v>606</v>
      </c>
    </row>
    <row r="103" spans="1:16">
      <c r="A103" s="232" t="s">
        <v>678</v>
      </c>
      <c r="B103" s="232" t="s">
        <v>725</v>
      </c>
      <c r="C103" s="622">
        <v>45281</v>
      </c>
      <c r="D103" s="232" t="s">
        <v>4677</v>
      </c>
      <c r="E103" s="231" t="s">
        <v>5066</v>
      </c>
      <c r="F103" s="233">
        <v>6259.3440000000001</v>
      </c>
      <c r="G103" s="232" t="s">
        <v>4678</v>
      </c>
      <c r="H103" s="233">
        <v>2041.6</v>
      </c>
      <c r="I103" s="233">
        <v>12779076.7104</v>
      </c>
      <c r="J103" s="623">
        <v>7581059467.6776962</v>
      </c>
      <c r="K103" s="624" t="s">
        <v>728</v>
      </c>
      <c r="L103" s="624" t="s">
        <v>4679</v>
      </c>
      <c r="M103" s="624" t="s">
        <v>4680</v>
      </c>
      <c r="N103" s="624" t="s">
        <v>4681</v>
      </c>
      <c r="O103" s="624" t="s">
        <v>4682</v>
      </c>
      <c r="P103" s="624" t="s">
        <v>606</v>
      </c>
    </row>
    <row r="104" spans="1:16">
      <c r="A104" s="231" t="s">
        <v>678</v>
      </c>
      <c r="B104" s="231" t="s">
        <v>725</v>
      </c>
      <c r="C104" s="618">
        <v>45287</v>
      </c>
      <c r="D104" s="231" t="s">
        <v>4677</v>
      </c>
      <c r="E104" s="231" t="s">
        <v>5066</v>
      </c>
      <c r="F104" s="619">
        <v>724.58299999999997</v>
      </c>
      <c r="G104" s="231" t="s">
        <v>4678</v>
      </c>
      <c r="H104" s="619">
        <v>2069.3000000000002</v>
      </c>
      <c r="I104" s="619">
        <v>1499379.6019000001</v>
      </c>
      <c r="J104" s="620">
        <v>882804722.00668204</v>
      </c>
      <c r="K104" s="621" t="s">
        <v>728</v>
      </c>
      <c r="L104" s="621" t="s">
        <v>4679</v>
      </c>
      <c r="M104" s="621" t="s">
        <v>4680</v>
      </c>
      <c r="N104" s="621" t="s">
        <v>4681</v>
      </c>
      <c r="O104" s="621" t="s">
        <v>4682</v>
      </c>
      <c r="P104" s="621" t="s">
        <v>606</v>
      </c>
    </row>
    <row r="105" spans="1:16">
      <c r="A105" s="232" t="s">
        <v>678</v>
      </c>
      <c r="B105" s="232" t="s">
        <v>725</v>
      </c>
      <c r="C105" s="622">
        <v>45287</v>
      </c>
      <c r="D105" s="232" t="s">
        <v>4677</v>
      </c>
      <c r="E105" s="231" t="s">
        <v>5066</v>
      </c>
      <c r="F105" s="233">
        <v>6642.3720000000003</v>
      </c>
      <c r="G105" s="232" t="s">
        <v>4678</v>
      </c>
      <c r="H105" s="233">
        <v>2069.3000000000002</v>
      </c>
      <c r="I105" s="233">
        <v>13745060.379600001</v>
      </c>
      <c r="J105" s="623">
        <v>8109723074.5677967</v>
      </c>
      <c r="K105" s="624" t="s">
        <v>728</v>
      </c>
      <c r="L105" s="624" t="s">
        <v>4679</v>
      </c>
      <c r="M105" s="624" t="s">
        <v>4680</v>
      </c>
      <c r="N105" s="624" t="s">
        <v>4681</v>
      </c>
      <c r="O105" s="624" t="s">
        <v>4682</v>
      </c>
      <c r="P105" s="624" t="s">
        <v>606</v>
      </c>
    </row>
    <row r="106" spans="1:16">
      <c r="A106" s="231" t="s">
        <v>678</v>
      </c>
      <c r="B106" s="231" t="s">
        <v>725</v>
      </c>
      <c r="C106" s="618">
        <v>45287</v>
      </c>
      <c r="D106" s="231" t="s">
        <v>4677</v>
      </c>
      <c r="E106" s="231" t="s">
        <v>5066</v>
      </c>
      <c r="F106" s="619">
        <v>2214.5100000000002</v>
      </c>
      <c r="G106" s="231" t="s">
        <v>4678</v>
      </c>
      <c r="H106" s="619">
        <v>2069.3000000000002</v>
      </c>
      <c r="I106" s="619">
        <v>4582485.5430000005</v>
      </c>
      <c r="J106" s="620">
        <v>2703712295.2254305</v>
      </c>
      <c r="K106" s="621" t="s">
        <v>728</v>
      </c>
      <c r="L106" s="621" t="s">
        <v>4679</v>
      </c>
      <c r="M106" s="621" t="s">
        <v>4680</v>
      </c>
      <c r="N106" s="621" t="s">
        <v>4681</v>
      </c>
      <c r="O106" s="621" t="s">
        <v>4682</v>
      </c>
      <c r="P106" s="621" t="s">
        <v>606</v>
      </c>
    </row>
    <row r="107" spans="1:16">
      <c r="A107" s="232" t="s">
        <v>678</v>
      </c>
      <c r="B107" s="232" t="s">
        <v>725</v>
      </c>
      <c r="C107" s="622">
        <v>45291</v>
      </c>
      <c r="D107" s="232" t="s">
        <v>4677</v>
      </c>
      <c r="E107" s="231" t="s">
        <v>5066</v>
      </c>
      <c r="F107" s="233"/>
      <c r="G107" s="232" t="s">
        <v>4678</v>
      </c>
      <c r="H107" s="233">
        <v>2069.3000000000002</v>
      </c>
      <c r="I107" s="233">
        <v>5525207.7733874852</v>
      </c>
      <c r="J107" s="623">
        <v>3259927513</v>
      </c>
      <c r="K107" s="624" t="s">
        <v>728</v>
      </c>
      <c r="L107" s="624" t="s">
        <v>4679</v>
      </c>
      <c r="M107" s="624" t="s">
        <v>4680</v>
      </c>
      <c r="N107" s="624" t="s">
        <v>4681</v>
      </c>
      <c r="O107" s="624" t="s">
        <v>4682</v>
      </c>
      <c r="P107" s="624" t="s">
        <v>606</v>
      </c>
    </row>
    <row r="108" spans="1:16">
      <c r="A108" s="231" t="s">
        <v>678</v>
      </c>
      <c r="B108" s="231" t="s">
        <v>725</v>
      </c>
      <c r="C108" s="618">
        <v>44932</v>
      </c>
      <c r="D108" s="231" t="s">
        <v>4684</v>
      </c>
      <c r="E108" s="231" t="s">
        <v>5067</v>
      </c>
      <c r="F108" s="619">
        <v>293.23700000000002</v>
      </c>
      <c r="G108" s="231" t="s">
        <v>4678</v>
      </c>
      <c r="H108" s="619">
        <v>23.4</v>
      </c>
      <c r="I108" s="619">
        <v>6861.75</v>
      </c>
      <c r="J108" s="620">
        <v>4281783</v>
      </c>
      <c r="K108" s="621" t="s">
        <v>728</v>
      </c>
      <c r="L108" s="621" t="s">
        <v>4679</v>
      </c>
      <c r="M108" s="621" t="s">
        <v>4680</v>
      </c>
      <c r="N108" s="621" t="s">
        <v>4681</v>
      </c>
      <c r="O108" s="621" t="s">
        <v>4682</v>
      </c>
      <c r="P108" s="621" t="s">
        <v>606</v>
      </c>
    </row>
    <row r="109" spans="1:16">
      <c r="A109" s="232" t="s">
        <v>678</v>
      </c>
      <c r="B109" s="232" t="s">
        <v>725</v>
      </c>
      <c r="C109" s="622">
        <v>44937</v>
      </c>
      <c r="D109" s="232" t="s">
        <v>4684</v>
      </c>
      <c r="E109" s="231" t="s">
        <v>5067</v>
      </c>
      <c r="F109" s="233">
        <v>93.846999999999994</v>
      </c>
      <c r="G109" s="232" t="s">
        <v>4678</v>
      </c>
      <c r="H109" s="233">
        <v>23.96</v>
      </c>
      <c r="I109" s="233">
        <v>2248.5700000000002</v>
      </c>
      <c r="J109" s="623">
        <v>1373469</v>
      </c>
      <c r="K109" s="624" t="s">
        <v>728</v>
      </c>
      <c r="L109" s="624" t="s">
        <v>4679</v>
      </c>
      <c r="M109" s="624" t="s">
        <v>4680</v>
      </c>
      <c r="N109" s="624" t="s">
        <v>4681</v>
      </c>
      <c r="O109" s="624" t="s">
        <v>4682</v>
      </c>
      <c r="P109" s="624" t="s">
        <v>606</v>
      </c>
    </row>
    <row r="110" spans="1:16">
      <c r="A110" s="231" t="s">
        <v>678</v>
      </c>
      <c r="B110" s="231" t="s">
        <v>725</v>
      </c>
      <c r="C110" s="618">
        <v>44943</v>
      </c>
      <c r="D110" s="231" t="s">
        <v>4684</v>
      </c>
      <c r="E110" s="231" t="s">
        <v>5067</v>
      </c>
      <c r="F110" s="619">
        <v>146.285</v>
      </c>
      <c r="G110" s="231" t="s">
        <v>4678</v>
      </c>
      <c r="H110" s="619">
        <v>24.006</v>
      </c>
      <c r="I110" s="619">
        <v>3520.49</v>
      </c>
      <c r="J110" s="620">
        <v>2133296</v>
      </c>
      <c r="K110" s="621" t="s">
        <v>728</v>
      </c>
      <c r="L110" s="621" t="s">
        <v>4679</v>
      </c>
      <c r="M110" s="621" t="s">
        <v>4680</v>
      </c>
      <c r="N110" s="621" t="s">
        <v>4681</v>
      </c>
      <c r="O110" s="621" t="s">
        <v>4682</v>
      </c>
      <c r="P110" s="621" t="s">
        <v>606</v>
      </c>
    </row>
    <row r="111" spans="1:16">
      <c r="A111" s="232" t="s">
        <v>678</v>
      </c>
      <c r="B111" s="232" t="s">
        <v>725</v>
      </c>
      <c r="C111" s="622">
        <v>44946</v>
      </c>
      <c r="D111" s="232" t="s">
        <v>4684</v>
      </c>
      <c r="E111" s="231" t="s">
        <v>5067</v>
      </c>
      <c r="F111" s="233">
        <v>341.82299999999998</v>
      </c>
      <c r="G111" s="232" t="s">
        <v>4678</v>
      </c>
      <c r="H111" s="233">
        <v>23.93</v>
      </c>
      <c r="I111" s="233">
        <v>8179.82</v>
      </c>
      <c r="J111" s="623">
        <v>4942128</v>
      </c>
      <c r="K111" s="624" t="s">
        <v>728</v>
      </c>
      <c r="L111" s="624" t="s">
        <v>4679</v>
      </c>
      <c r="M111" s="624" t="s">
        <v>4680</v>
      </c>
      <c r="N111" s="624" t="s">
        <v>4681</v>
      </c>
      <c r="O111" s="624" t="s">
        <v>4682</v>
      </c>
      <c r="P111" s="624" t="s">
        <v>606</v>
      </c>
    </row>
    <row r="112" spans="1:16">
      <c r="A112" s="231" t="s">
        <v>678</v>
      </c>
      <c r="B112" s="231" t="s">
        <v>725</v>
      </c>
      <c r="C112" s="618">
        <v>44956</v>
      </c>
      <c r="D112" s="231" t="s">
        <v>4684</v>
      </c>
      <c r="E112" s="231" t="s">
        <v>5067</v>
      </c>
      <c r="F112" s="619">
        <v>296.38709999999998</v>
      </c>
      <c r="G112" s="231" t="s">
        <v>4678</v>
      </c>
      <c r="H112" s="619">
        <v>23.684000000000001</v>
      </c>
      <c r="I112" s="619">
        <v>7031.09</v>
      </c>
      <c r="J112" s="620">
        <v>4279545</v>
      </c>
      <c r="K112" s="621" t="s">
        <v>728</v>
      </c>
      <c r="L112" s="621" t="s">
        <v>4679</v>
      </c>
      <c r="M112" s="621" t="s">
        <v>4680</v>
      </c>
      <c r="N112" s="621" t="s">
        <v>4681</v>
      </c>
      <c r="O112" s="621" t="s">
        <v>4682</v>
      </c>
      <c r="P112" s="621" t="s">
        <v>606</v>
      </c>
    </row>
    <row r="113" spans="1:16">
      <c r="A113" s="232" t="s">
        <v>678</v>
      </c>
      <c r="B113" s="232" t="s">
        <v>725</v>
      </c>
      <c r="C113" s="622">
        <v>44959</v>
      </c>
      <c r="D113" s="232" t="s">
        <v>4684</v>
      </c>
      <c r="E113" s="231" t="s">
        <v>5067</v>
      </c>
      <c r="F113" s="233">
        <v>303.67399999999998</v>
      </c>
      <c r="G113" s="232" t="s">
        <v>4678</v>
      </c>
      <c r="H113" s="233">
        <v>24.234000000000002</v>
      </c>
      <c r="I113" s="233">
        <v>7359.24</v>
      </c>
      <c r="J113" s="623">
        <v>4390888</v>
      </c>
      <c r="K113" s="624" t="s">
        <v>728</v>
      </c>
      <c r="L113" s="624" t="s">
        <v>4679</v>
      </c>
      <c r="M113" s="624" t="s">
        <v>4680</v>
      </c>
      <c r="N113" s="624" t="s">
        <v>4681</v>
      </c>
      <c r="O113" s="624" t="s">
        <v>4682</v>
      </c>
      <c r="P113" s="624" t="s">
        <v>606</v>
      </c>
    </row>
    <row r="114" spans="1:16">
      <c r="A114" s="231" t="s">
        <v>678</v>
      </c>
      <c r="B114" s="231" t="s">
        <v>725</v>
      </c>
      <c r="C114" s="618">
        <v>44972</v>
      </c>
      <c r="D114" s="231" t="s">
        <v>4684</v>
      </c>
      <c r="E114" s="231" t="s">
        <v>5067</v>
      </c>
      <c r="F114" s="619">
        <v>369.61900000000003</v>
      </c>
      <c r="G114" s="231" t="s">
        <v>4678</v>
      </c>
      <c r="H114" s="619">
        <v>21.536000000000001</v>
      </c>
      <c r="I114" s="619">
        <v>7960.11</v>
      </c>
      <c r="J114" s="620">
        <v>4877162</v>
      </c>
      <c r="K114" s="621" t="s">
        <v>728</v>
      </c>
      <c r="L114" s="621" t="s">
        <v>4679</v>
      </c>
      <c r="M114" s="621" t="s">
        <v>4680</v>
      </c>
      <c r="N114" s="621" t="s">
        <v>4681</v>
      </c>
      <c r="O114" s="621" t="s">
        <v>4682</v>
      </c>
      <c r="P114" s="621" t="s">
        <v>606</v>
      </c>
    </row>
    <row r="115" spans="1:16">
      <c r="A115" s="232" t="s">
        <v>678</v>
      </c>
      <c r="B115" s="232" t="s">
        <v>725</v>
      </c>
      <c r="C115" s="622">
        <v>44973</v>
      </c>
      <c r="D115" s="232" t="s">
        <v>4684</v>
      </c>
      <c r="E115" s="231" t="s">
        <v>5067</v>
      </c>
      <c r="F115" s="233">
        <v>484.411</v>
      </c>
      <c r="G115" s="232" t="s">
        <v>4678</v>
      </c>
      <c r="H115" s="233">
        <v>21.51</v>
      </c>
      <c r="I115" s="233">
        <v>10419.68</v>
      </c>
      <c r="J115" s="623">
        <v>6374240</v>
      </c>
      <c r="K115" s="624" t="s">
        <v>728</v>
      </c>
      <c r="L115" s="624" t="s">
        <v>4679</v>
      </c>
      <c r="M115" s="624" t="s">
        <v>4680</v>
      </c>
      <c r="N115" s="624" t="s">
        <v>4681</v>
      </c>
      <c r="O115" s="624" t="s">
        <v>4682</v>
      </c>
      <c r="P115" s="624" t="s">
        <v>606</v>
      </c>
    </row>
    <row r="116" spans="1:16">
      <c r="A116" s="231" t="s">
        <v>678</v>
      </c>
      <c r="B116" s="231" t="s">
        <v>725</v>
      </c>
      <c r="C116" s="618">
        <v>44980</v>
      </c>
      <c r="D116" s="231" t="s">
        <v>4684</v>
      </c>
      <c r="E116" s="231" t="s">
        <v>5067</v>
      </c>
      <c r="F116" s="619">
        <v>514.149</v>
      </c>
      <c r="G116" s="231" t="s">
        <v>4678</v>
      </c>
      <c r="H116" s="619">
        <v>21.542999999999999</v>
      </c>
      <c r="I116" s="619">
        <v>11076.31</v>
      </c>
      <c r="J116" s="620">
        <v>6858452</v>
      </c>
      <c r="K116" s="621" t="s">
        <v>728</v>
      </c>
      <c r="L116" s="621" t="s">
        <v>4679</v>
      </c>
      <c r="M116" s="621" t="s">
        <v>4680</v>
      </c>
      <c r="N116" s="621" t="s">
        <v>4681</v>
      </c>
      <c r="O116" s="621" t="s">
        <v>4682</v>
      </c>
      <c r="P116" s="621" t="s">
        <v>606</v>
      </c>
    </row>
    <row r="117" spans="1:16">
      <c r="A117" s="232" t="s">
        <v>678</v>
      </c>
      <c r="B117" s="232" t="s">
        <v>725</v>
      </c>
      <c r="C117" s="622">
        <v>44992</v>
      </c>
      <c r="D117" s="232" t="s">
        <v>4684</v>
      </c>
      <c r="E117" s="231" t="s">
        <v>5067</v>
      </c>
      <c r="F117" s="233">
        <v>393.82299999999998</v>
      </c>
      <c r="G117" s="232" t="s">
        <v>4678</v>
      </c>
      <c r="H117" s="233">
        <v>20.657</v>
      </c>
      <c r="I117" s="233">
        <v>8135.2</v>
      </c>
      <c r="J117" s="623">
        <v>5022918</v>
      </c>
      <c r="K117" s="624" t="s">
        <v>728</v>
      </c>
      <c r="L117" s="624" t="s">
        <v>4679</v>
      </c>
      <c r="M117" s="624" t="s">
        <v>4680</v>
      </c>
      <c r="N117" s="624" t="s">
        <v>4681</v>
      </c>
      <c r="O117" s="624" t="s">
        <v>4682</v>
      </c>
      <c r="P117" s="624" t="s">
        <v>606</v>
      </c>
    </row>
    <row r="118" spans="1:16">
      <c r="A118" s="231" t="s">
        <v>678</v>
      </c>
      <c r="B118" s="231" t="s">
        <v>725</v>
      </c>
      <c r="C118" s="618">
        <v>44998</v>
      </c>
      <c r="D118" s="231" t="s">
        <v>4684</v>
      </c>
      <c r="E118" s="231" t="s">
        <v>5067</v>
      </c>
      <c r="F118" s="619">
        <v>368.26400000000001</v>
      </c>
      <c r="G118" s="231" t="s">
        <v>4678</v>
      </c>
      <c r="H118" s="619">
        <v>21.382999999999999</v>
      </c>
      <c r="I118" s="619">
        <v>7874.59</v>
      </c>
      <c r="J118" s="620">
        <v>4830903</v>
      </c>
      <c r="K118" s="621" t="s">
        <v>728</v>
      </c>
      <c r="L118" s="621" t="s">
        <v>4679</v>
      </c>
      <c r="M118" s="621" t="s">
        <v>4680</v>
      </c>
      <c r="N118" s="621" t="s">
        <v>4681</v>
      </c>
      <c r="O118" s="621" t="s">
        <v>4682</v>
      </c>
      <c r="P118" s="621" t="s">
        <v>606</v>
      </c>
    </row>
    <row r="119" spans="1:16">
      <c r="A119" s="232" t="s">
        <v>678</v>
      </c>
      <c r="B119" s="232" t="s">
        <v>725</v>
      </c>
      <c r="C119" s="622">
        <v>45007</v>
      </c>
      <c r="D119" s="232" t="s">
        <v>4684</v>
      </c>
      <c r="E119" s="231" t="s">
        <v>5067</v>
      </c>
      <c r="F119" s="233">
        <v>283.95</v>
      </c>
      <c r="G119" s="232" t="s">
        <v>4678</v>
      </c>
      <c r="H119" s="233">
        <v>22.616</v>
      </c>
      <c r="I119" s="233">
        <v>6421.81</v>
      </c>
      <c r="J119" s="623">
        <v>3904462</v>
      </c>
      <c r="K119" s="624" t="s">
        <v>728</v>
      </c>
      <c r="L119" s="624" t="s">
        <v>4679</v>
      </c>
      <c r="M119" s="624" t="s">
        <v>4680</v>
      </c>
      <c r="N119" s="624" t="s">
        <v>4681</v>
      </c>
      <c r="O119" s="624" t="s">
        <v>4682</v>
      </c>
      <c r="P119" s="624" t="s">
        <v>606</v>
      </c>
    </row>
    <row r="120" spans="1:16">
      <c r="A120" s="231" t="s">
        <v>678</v>
      </c>
      <c r="B120" s="231" t="s">
        <v>725</v>
      </c>
      <c r="C120" s="618">
        <v>45009</v>
      </c>
      <c r="D120" s="231" t="s">
        <v>4684</v>
      </c>
      <c r="E120" s="231" t="s">
        <v>5067</v>
      </c>
      <c r="F120" s="619">
        <v>346.27</v>
      </c>
      <c r="G120" s="231" t="s">
        <v>4678</v>
      </c>
      <c r="H120" s="619">
        <v>23.039000000000001</v>
      </c>
      <c r="I120" s="619">
        <v>7977.71</v>
      </c>
      <c r="J120" s="620">
        <v>4850450</v>
      </c>
      <c r="K120" s="621" t="s">
        <v>728</v>
      </c>
      <c r="L120" s="621" t="s">
        <v>4679</v>
      </c>
      <c r="M120" s="621" t="s">
        <v>4680</v>
      </c>
      <c r="N120" s="621" t="s">
        <v>4681</v>
      </c>
      <c r="O120" s="621" t="s">
        <v>4682</v>
      </c>
      <c r="P120" s="621" t="s">
        <v>606</v>
      </c>
    </row>
    <row r="121" spans="1:16">
      <c r="A121" s="232" t="s">
        <v>678</v>
      </c>
      <c r="B121" s="232" t="s">
        <v>725</v>
      </c>
      <c r="C121" s="622">
        <v>45014</v>
      </c>
      <c r="D121" s="232" t="s">
        <v>4684</v>
      </c>
      <c r="E121" s="231" t="s">
        <v>5067</v>
      </c>
      <c r="F121" s="233">
        <v>364.83699999999999</v>
      </c>
      <c r="G121" s="232" t="s">
        <v>4678</v>
      </c>
      <c r="H121" s="233">
        <v>23.13</v>
      </c>
      <c r="I121" s="233">
        <v>8438.68</v>
      </c>
      <c r="J121" s="623">
        <v>5080237</v>
      </c>
      <c r="K121" s="624" t="s">
        <v>728</v>
      </c>
      <c r="L121" s="624" t="s">
        <v>4679</v>
      </c>
      <c r="M121" s="624" t="s">
        <v>4680</v>
      </c>
      <c r="N121" s="624" t="s">
        <v>4681</v>
      </c>
      <c r="O121" s="624" t="s">
        <v>4682</v>
      </c>
      <c r="P121" s="624" t="s">
        <v>606</v>
      </c>
    </row>
    <row r="122" spans="1:16">
      <c r="A122" s="231" t="s">
        <v>678</v>
      </c>
      <c r="B122" s="231" t="s">
        <v>725</v>
      </c>
      <c r="C122" s="618">
        <v>45022</v>
      </c>
      <c r="D122" s="231" t="s">
        <v>4684</v>
      </c>
      <c r="E122" s="231" t="s">
        <v>5067</v>
      </c>
      <c r="F122" s="619">
        <v>412.24099999999999</v>
      </c>
      <c r="G122" s="231" t="s">
        <v>4678</v>
      </c>
      <c r="H122" s="619">
        <v>24.88</v>
      </c>
      <c r="I122" s="619">
        <v>10256.56</v>
      </c>
      <c r="J122" s="620">
        <v>6153934</v>
      </c>
      <c r="K122" s="621" t="s">
        <v>728</v>
      </c>
      <c r="L122" s="621" t="s">
        <v>4679</v>
      </c>
      <c r="M122" s="621" t="s">
        <v>4680</v>
      </c>
      <c r="N122" s="621" t="s">
        <v>4681</v>
      </c>
      <c r="O122" s="621" t="s">
        <v>4682</v>
      </c>
      <c r="P122" s="621" t="s">
        <v>606</v>
      </c>
    </row>
    <row r="123" spans="1:16">
      <c r="A123" s="232" t="s">
        <v>678</v>
      </c>
      <c r="B123" s="232" t="s">
        <v>725</v>
      </c>
      <c r="C123" s="622">
        <v>45028</v>
      </c>
      <c r="D123" s="232" t="s">
        <v>4684</v>
      </c>
      <c r="E123" s="231" t="s">
        <v>5067</v>
      </c>
      <c r="F123" s="233">
        <v>167.29499999999999</v>
      </c>
      <c r="G123" s="232" t="s">
        <v>4678</v>
      </c>
      <c r="H123" s="233">
        <v>25.15</v>
      </c>
      <c r="I123" s="233">
        <v>4207.47</v>
      </c>
      <c r="J123" s="623">
        <v>2508409</v>
      </c>
      <c r="K123" s="624" t="s">
        <v>728</v>
      </c>
      <c r="L123" s="624" t="s">
        <v>4679</v>
      </c>
      <c r="M123" s="624" t="s">
        <v>4680</v>
      </c>
      <c r="N123" s="624" t="s">
        <v>4681</v>
      </c>
      <c r="O123" s="624" t="s">
        <v>4682</v>
      </c>
      <c r="P123" s="624" t="s">
        <v>606</v>
      </c>
    </row>
    <row r="124" spans="1:16">
      <c r="A124" s="231" t="s">
        <v>678</v>
      </c>
      <c r="B124" s="231" t="s">
        <v>725</v>
      </c>
      <c r="C124" s="618">
        <v>45041</v>
      </c>
      <c r="D124" s="231" t="s">
        <v>4684</v>
      </c>
      <c r="E124" s="231" t="s">
        <v>5067</v>
      </c>
      <c r="F124" s="619">
        <v>612.86300000000006</v>
      </c>
      <c r="G124" s="231" t="s">
        <v>4678</v>
      </c>
      <c r="H124" s="619">
        <v>25.012</v>
      </c>
      <c r="I124" s="619">
        <v>15328.93</v>
      </c>
      <c r="J124" s="620">
        <v>9075186</v>
      </c>
      <c r="K124" s="621" t="s">
        <v>728</v>
      </c>
      <c r="L124" s="621" t="s">
        <v>4679</v>
      </c>
      <c r="M124" s="621" t="s">
        <v>4680</v>
      </c>
      <c r="N124" s="621" t="s">
        <v>4681</v>
      </c>
      <c r="O124" s="621" t="s">
        <v>4682</v>
      </c>
      <c r="P124" s="621" t="s">
        <v>606</v>
      </c>
    </row>
    <row r="125" spans="1:16">
      <c r="A125" s="232" t="s">
        <v>678</v>
      </c>
      <c r="B125" s="232" t="s">
        <v>725</v>
      </c>
      <c r="C125" s="622">
        <v>45048</v>
      </c>
      <c r="D125" s="232" t="s">
        <v>4684</v>
      </c>
      <c r="E125" s="231" t="s">
        <v>5067</v>
      </c>
      <c r="F125" s="233">
        <v>412.58499999999998</v>
      </c>
      <c r="G125" s="232" t="s">
        <v>4678</v>
      </c>
      <c r="H125" s="233">
        <v>24.670999999999999</v>
      </c>
      <c r="I125" s="233">
        <v>10178.879999999999</v>
      </c>
      <c r="J125" s="623">
        <v>6045647</v>
      </c>
      <c r="K125" s="624" t="s">
        <v>728</v>
      </c>
      <c r="L125" s="624" t="s">
        <v>4679</v>
      </c>
      <c r="M125" s="624" t="s">
        <v>4680</v>
      </c>
      <c r="N125" s="624" t="s">
        <v>4681</v>
      </c>
      <c r="O125" s="624" t="s">
        <v>4682</v>
      </c>
      <c r="P125" s="624" t="s">
        <v>606</v>
      </c>
    </row>
    <row r="126" spans="1:16">
      <c r="A126" s="231" t="s">
        <v>678</v>
      </c>
      <c r="B126" s="231" t="s">
        <v>725</v>
      </c>
      <c r="C126" s="618">
        <v>45051</v>
      </c>
      <c r="D126" s="231" t="s">
        <v>4684</v>
      </c>
      <c r="E126" s="231" t="s">
        <v>5067</v>
      </c>
      <c r="F126" s="619">
        <v>418.62400000000002</v>
      </c>
      <c r="G126" s="231" t="s">
        <v>4678</v>
      </c>
      <c r="H126" s="619">
        <v>25.876999999999999</v>
      </c>
      <c r="I126" s="619">
        <v>10832.73</v>
      </c>
      <c r="J126" s="620">
        <v>6415361</v>
      </c>
      <c r="K126" s="621" t="s">
        <v>728</v>
      </c>
      <c r="L126" s="621" t="s">
        <v>4679</v>
      </c>
      <c r="M126" s="621" t="s">
        <v>4680</v>
      </c>
      <c r="N126" s="621" t="s">
        <v>4681</v>
      </c>
      <c r="O126" s="621" t="s">
        <v>4682</v>
      </c>
      <c r="P126" s="621" t="s">
        <v>606</v>
      </c>
    </row>
    <row r="127" spans="1:16">
      <c r="A127" s="232" t="s">
        <v>678</v>
      </c>
      <c r="B127" s="232" t="s">
        <v>725</v>
      </c>
      <c r="C127" s="622">
        <v>45057</v>
      </c>
      <c r="D127" s="232" t="s">
        <v>4684</v>
      </c>
      <c r="E127" s="231" t="s">
        <v>5067</v>
      </c>
      <c r="F127" s="233">
        <v>440.69</v>
      </c>
      <c r="G127" s="232" t="s">
        <v>4678</v>
      </c>
      <c r="H127" s="233">
        <v>24.678999999999998</v>
      </c>
      <c r="I127" s="233">
        <v>10875.79</v>
      </c>
      <c r="J127" s="623">
        <v>6533630</v>
      </c>
      <c r="K127" s="624" t="s">
        <v>728</v>
      </c>
      <c r="L127" s="624" t="s">
        <v>4679</v>
      </c>
      <c r="M127" s="624" t="s">
        <v>4680</v>
      </c>
      <c r="N127" s="624" t="s">
        <v>4681</v>
      </c>
      <c r="O127" s="624" t="s">
        <v>4682</v>
      </c>
      <c r="P127" s="624" t="s">
        <v>606</v>
      </c>
    </row>
    <row r="128" spans="1:16">
      <c r="A128" s="231" t="s">
        <v>678</v>
      </c>
      <c r="B128" s="231" t="s">
        <v>725</v>
      </c>
      <c r="C128" s="618">
        <v>45068</v>
      </c>
      <c r="D128" s="231" t="s">
        <v>4684</v>
      </c>
      <c r="E128" s="231" t="s">
        <v>5067</v>
      </c>
      <c r="F128" s="619">
        <v>409.02199999999999</v>
      </c>
      <c r="G128" s="231" t="s">
        <v>4678</v>
      </c>
      <c r="H128" s="619">
        <v>23.716999999999999</v>
      </c>
      <c r="I128" s="619">
        <v>9700.77</v>
      </c>
      <c r="J128" s="620">
        <v>5896422</v>
      </c>
      <c r="K128" s="621" t="s">
        <v>728</v>
      </c>
      <c r="L128" s="621" t="s">
        <v>4679</v>
      </c>
      <c r="M128" s="621" t="s">
        <v>4680</v>
      </c>
      <c r="N128" s="621" t="s">
        <v>4681</v>
      </c>
      <c r="O128" s="621" t="s">
        <v>4682</v>
      </c>
      <c r="P128" s="621" t="s">
        <v>606</v>
      </c>
    </row>
    <row r="129" spans="1:16">
      <c r="A129" s="232" t="s">
        <v>678</v>
      </c>
      <c r="B129" s="232" t="s">
        <v>725</v>
      </c>
      <c r="C129" s="622">
        <v>45076</v>
      </c>
      <c r="D129" s="232" t="s">
        <v>4684</v>
      </c>
      <c r="E129" s="231" t="s">
        <v>5067</v>
      </c>
      <c r="F129" s="233">
        <v>495.87200000000001</v>
      </c>
      <c r="G129" s="232" t="s">
        <v>4678</v>
      </c>
      <c r="H129" s="233">
        <v>23.013000000000002</v>
      </c>
      <c r="I129" s="233">
        <v>11411.5</v>
      </c>
      <c r="J129" s="623">
        <v>7004038</v>
      </c>
      <c r="K129" s="624" t="s">
        <v>728</v>
      </c>
      <c r="L129" s="624" t="s">
        <v>4679</v>
      </c>
      <c r="M129" s="624" t="s">
        <v>4680</v>
      </c>
      <c r="N129" s="624" t="s">
        <v>4681</v>
      </c>
      <c r="O129" s="624" t="s">
        <v>4682</v>
      </c>
      <c r="P129" s="624" t="s">
        <v>606</v>
      </c>
    </row>
    <row r="130" spans="1:16">
      <c r="A130" s="231" t="s">
        <v>678</v>
      </c>
      <c r="B130" s="231" t="s">
        <v>725</v>
      </c>
      <c r="C130" s="618">
        <v>45078</v>
      </c>
      <c r="D130" s="231" t="s">
        <v>4684</v>
      </c>
      <c r="E130" s="231" t="s">
        <v>5067</v>
      </c>
      <c r="F130" s="619">
        <v>523.01599999999996</v>
      </c>
      <c r="G130" s="231" t="s">
        <v>4678</v>
      </c>
      <c r="H130" s="619">
        <v>23.658999999999999</v>
      </c>
      <c r="I130" s="619">
        <v>12374.04</v>
      </c>
      <c r="J130" s="620">
        <v>7561154</v>
      </c>
      <c r="K130" s="621" t="s">
        <v>728</v>
      </c>
      <c r="L130" s="621" t="s">
        <v>4679</v>
      </c>
      <c r="M130" s="621" t="s">
        <v>4680</v>
      </c>
      <c r="N130" s="621" t="s">
        <v>4681</v>
      </c>
      <c r="O130" s="621" t="s">
        <v>4682</v>
      </c>
      <c r="P130" s="621" t="s">
        <v>606</v>
      </c>
    </row>
    <row r="131" spans="1:16">
      <c r="A131" s="232" t="s">
        <v>678</v>
      </c>
      <c r="B131" s="232" t="s">
        <v>725</v>
      </c>
      <c r="C131" s="622">
        <v>45085</v>
      </c>
      <c r="D131" s="232" t="s">
        <v>4684</v>
      </c>
      <c r="E131" s="231" t="s">
        <v>5067</v>
      </c>
      <c r="F131" s="233">
        <v>462.33600000000001</v>
      </c>
      <c r="G131" s="232" t="s">
        <v>4678</v>
      </c>
      <c r="H131" s="233">
        <v>23.678999999999998</v>
      </c>
      <c r="I131" s="233">
        <v>10947.65</v>
      </c>
      <c r="J131" s="623">
        <v>6623331</v>
      </c>
      <c r="K131" s="624" t="s">
        <v>728</v>
      </c>
      <c r="L131" s="624" t="s">
        <v>4679</v>
      </c>
      <c r="M131" s="624" t="s">
        <v>4680</v>
      </c>
      <c r="N131" s="624" t="s">
        <v>4681</v>
      </c>
      <c r="O131" s="624" t="s">
        <v>4682</v>
      </c>
      <c r="P131" s="624" t="s">
        <v>606</v>
      </c>
    </row>
    <row r="132" spans="1:16">
      <c r="A132" s="231" t="s">
        <v>678</v>
      </c>
      <c r="B132" s="231" t="s">
        <v>725</v>
      </c>
      <c r="C132" s="618">
        <v>45098</v>
      </c>
      <c r="D132" s="231" t="s">
        <v>4684</v>
      </c>
      <c r="E132" s="231" t="s">
        <v>5067</v>
      </c>
      <c r="F132" s="619">
        <v>792.80600000000004</v>
      </c>
      <c r="G132" s="231" t="s">
        <v>4678</v>
      </c>
      <c r="H132" s="619">
        <v>23.05</v>
      </c>
      <c r="I132" s="619">
        <v>18274.18</v>
      </c>
      <c r="J132" s="620">
        <v>10928141</v>
      </c>
      <c r="K132" s="621" t="s">
        <v>728</v>
      </c>
      <c r="L132" s="621" t="s">
        <v>4679</v>
      </c>
      <c r="M132" s="621" t="s">
        <v>4680</v>
      </c>
      <c r="N132" s="621" t="s">
        <v>4681</v>
      </c>
      <c r="O132" s="621" t="s">
        <v>4682</v>
      </c>
      <c r="P132" s="621" t="s">
        <v>606</v>
      </c>
    </row>
    <row r="133" spans="1:16">
      <c r="A133" s="232" t="s">
        <v>678</v>
      </c>
      <c r="B133" s="232" t="s">
        <v>725</v>
      </c>
      <c r="C133" s="622">
        <v>45105</v>
      </c>
      <c r="D133" s="232" t="s">
        <v>4684</v>
      </c>
      <c r="E133" s="231" t="s">
        <v>5067</v>
      </c>
      <c r="F133" s="233">
        <v>295.89100000000002</v>
      </c>
      <c r="G133" s="232" t="s">
        <v>4678</v>
      </c>
      <c r="H133" s="233">
        <v>22.78</v>
      </c>
      <c r="I133" s="233">
        <v>6740.4</v>
      </c>
      <c r="J133" s="623">
        <v>4027522</v>
      </c>
      <c r="K133" s="624" t="s">
        <v>728</v>
      </c>
      <c r="L133" s="624" t="s">
        <v>4679</v>
      </c>
      <c r="M133" s="624" t="s">
        <v>4680</v>
      </c>
      <c r="N133" s="624" t="s">
        <v>4681</v>
      </c>
      <c r="O133" s="624" t="s">
        <v>4682</v>
      </c>
      <c r="P133" s="624" t="s">
        <v>606</v>
      </c>
    </row>
    <row r="134" spans="1:16">
      <c r="A134" s="231" t="s">
        <v>678</v>
      </c>
      <c r="B134" s="231" t="s">
        <v>725</v>
      </c>
      <c r="C134" s="618">
        <v>45114</v>
      </c>
      <c r="D134" s="231" t="s">
        <v>4684</v>
      </c>
      <c r="E134" s="231" t="s">
        <v>5067</v>
      </c>
      <c r="F134" s="619">
        <v>382.09100000000001</v>
      </c>
      <c r="G134" s="231" t="s">
        <v>4678</v>
      </c>
      <c r="H134" s="619">
        <v>22.68</v>
      </c>
      <c r="I134" s="619">
        <v>8665.82</v>
      </c>
      <c r="J134" s="620">
        <v>5162405</v>
      </c>
      <c r="K134" s="621" t="s">
        <v>728</v>
      </c>
      <c r="L134" s="621" t="s">
        <v>4679</v>
      </c>
      <c r="M134" s="621" t="s">
        <v>4680</v>
      </c>
      <c r="N134" s="621" t="s">
        <v>4681</v>
      </c>
      <c r="O134" s="621" t="s">
        <v>4682</v>
      </c>
      <c r="P134" s="621" t="s">
        <v>606</v>
      </c>
    </row>
    <row r="135" spans="1:16">
      <c r="A135" s="232" t="s">
        <v>678</v>
      </c>
      <c r="B135" s="232" t="s">
        <v>725</v>
      </c>
      <c r="C135" s="622">
        <v>45117</v>
      </c>
      <c r="D135" s="232" t="s">
        <v>4684</v>
      </c>
      <c r="E135" s="231" t="s">
        <v>5067</v>
      </c>
      <c r="F135" s="233">
        <v>153.39599999999999</v>
      </c>
      <c r="G135" s="232" t="s">
        <v>4678</v>
      </c>
      <c r="H135" s="233">
        <v>22.98</v>
      </c>
      <c r="I135" s="233">
        <v>3525.04</v>
      </c>
      <c r="J135" s="623">
        <v>2097822</v>
      </c>
      <c r="K135" s="624" t="s">
        <v>728</v>
      </c>
      <c r="L135" s="624" t="s">
        <v>4679</v>
      </c>
      <c r="M135" s="624" t="s">
        <v>4680</v>
      </c>
      <c r="N135" s="624" t="s">
        <v>4681</v>
      </c>
      <c r="O135" s="624" t="s">
        <v>4682</v>
      </c>
      <c r="P135" s="624" t="s">
        <v>606</v>
      </c>
    </row>
    <row r="136" spans="1:16">
      <c r="A136" s="231" t="s">
        <v>678</v>
      </c>
      <c r="B136" s="231" t="s">
        <v>725</v>
      </c>
      <c r="C136" s="618">
        <v>45139</v>
      </c>
      <c r="D136" s="231" t="s">
        <v>4684</v>
      </c>
      <c r="E136" s="231" t="s">
        <v>5067</v>
      </c>
      <c r="F136" s="619">
        <v>498.03699999999998</v>
      </c>
      <c r="G136" s="231" t="s">
        <v>4678</v>
      </c>
      <c r="H136" s="619">
        <v>24.260999999999999</v>
      </c>
      <c r="I136" s="619">
        <v>12082.876186021649</v>
      </c>
      <c r="J136" s="620">
        <v>7233293</v>
      </c>
      <c r="K136" s="621" t="s">
        <v>728</v>
      </c>
      <c r="L136" s="621" t="s">
        <v>4679</v>
      </c>
      <c r="M136" s="621" t="s">
        <v>4680</v>
      </c>
      <c r="N136" s="621" t="s">
        <v>4681</v>
      </c>
      <c r="O136" s="621" t="s">
        <v>4682</v>
      </c>
      <c r="P136" s="621" t="s">
        <v>606</v>
      </c>
    </row>
    <row r="137" spans="1:16">
      <c r="A137" s="232" t="s">
        <v>678</v>
      </c>
      <c r="B137" s="232" t="s">
        <v>725</v>
      </c>
      <c r="C137" s="622">
        <v>45139</v>
      </c>
      <c r="D137" s="232" t="s">
        <v>4684</v>
      </c>
      <c r="E137" s="231" t="s">
        <v>5067</v>
      </c>
      <c r="F137" s="233">
        <v>253.071</v>
      </c>
      <c r="G137" s="232" t="s">
        <v>4678</v>
      </c>
      <c r="H137" s="233">
        <v>24.268999999999998</v>
      </c>
      <c r="I137" s="233">
        <v>6141.779700654818</v>
      </c>
      <c r="J137" s="623">
        <v>3676715</v>
      </c>
      <c r="K137" s="624" t="s">
        <v>728</v>
      </c>
      <c r="L137" s="624" t="s">
        <v>4679</v>
      </c>
      <c r="M137" s="624" t="s">
        <v>4680</v>
      </c>
      <c r="N137" s="624" t="s">
        <v>4681</v>
      </c>
      <c r="O137" s="624" t="s">
        <v>4682</v>
      </c>
      <c r="P137" s="624" t="s">
        <v>606</v>
      </c>
    </row>
    <row r="138" spans="1:16">
      <c r="A138" s="231" t="s">
        <v>678</v>
      </c>
      <c r="B138" s="231" t="s">
        <v>725</v>
      </c>
      <c r="C138" s="618">
        <v>45155</v>
      </c>
      <c r="D138" s="231" t="s">
        <v>4684</v>
      </c>
      <c r="E138" s="231" t="s">
        <v>5067</v>
      </c>
      <c r="F138" s="619">
        <v>252.53200000000001</v>
      </c>
      <c r="G138" s="231" t="s">
        <v>4678</v>
      </c>
      <c r="H138" s="619">
        <v>22.853000000000002</v>
      </c>
      <c r="I138" s="619">
        <v>5771.114238410596</v>
      </c>
      <c r="J138" s="620">
        <v>3485753</v>
      </c>
      <c r="K138" s="621" t="s">
        <v>728</v>
      </c>
      <c r="L138" s="621" t="s">
        <v>4679</v>
      </c>
      <c r="M138" s="621" t="s">
        <v>4680</v>
      </c>
      <c r="N138" s="621" t="s">
        <v>4681</v>
      </c>
      <c r="O138" s="621" t="s">
        <v>4682</v>
      </c>
      <c r="P138" s="621" t="s">
        <v>606</v>
      </c>
    </row>
    <row r="139" spans="1:16">
      <c r="A139" s="232" t="s">
        <v>678</v>
      </c>
      <c r="B139" s="232" t="s">
        <v>725</v>
      </c>
      <c r="C139" s="622">
        <v>45155</v>
      </c>
      <c r="D139" s="232" t="s">
        <v>4684</v>
      </c>
      <c r="E139" s="231" t="s">
        <v>5067</v>
      </c>
      <c r="F139" s="233">
        <v>239.839</v>
      </c>
      <c r="G139" s="232" t="s">
        <v>4678</v>
      </c>
      <c r="H139" s="233">
        <v>22.846</v>
      </c>
      <c r="I139" s="233">
        <v>5479.3618047814725</v>
      </c>
      <c r="J139" s="623">
        <v>3293480</v>
      </c>
      <c r="K139" s="624" t="s">
        <v>728</v>
      </c>
      <c r="L139" s="624" t="s">
        <v>4679</v>
      </c>
      <c r="M139" s="624" t="s">
        <v>4680</v>
      </c>
      <c r="N139" s="624" t="s">
        <v>4681</v>
      </c>
      <c r="O139" s="624" t="s">
        <v>4682</v>
      </c>
      <c r="P139" s="624" t="s">
        <v>606</v>
      </c>
    </row>
    <row r="140" spans="1:16">
      <c r="A140" s="231" t="s">
        <v>678</v>
      </c>
      <c r="B140" s="231" t="s">
        <v>725</v>
      </c>
      <c r="C140" s="618">
        <v>45155</v>
      </c>
      <c r="D140" s="231" t="s">
        <v>4684</v>
      </c>
      <c r="E140" s="231" t="s">
        <v>5067</v>
      </c>
      <c r="F140" s="619">
        <v>269.30200000000002</v>
      </c>
      <c r="G140" s="231" t="s">
        <v>4678</v>
      </c>
      <c r="H140" s="619">
        <v>22.832999999999998</v>
      </c>
      <c r="I140" s="619">
        <v>6148.9726654133456</v>
      </c>
      <c r="J140" s="620">
        <v>3695963</v>
      </c>
      <c r="K140" s="621" t="s">
        <v>728</v>
      </c>
      <c r="L140" s="621" t="s">
        <v>4679</v>
      </c>
      <c r="M140" s="621" t="s">
        <v>4680</v>
      </c>
      <c r="N140" s="621" t="s">
        <v>4681</v>
      </c>
      <c r="O140" s="621" t="s">
        <v>4682</v>
      </c>
      <c r="P140" s="621" t="s">
        <v>606</v>
      </c>
    </row>
    <row r="141" spans="1:16">
      <c r="A141" s="232" t="s">
        <v>678</v>
      </c>
      <c r="B141" s="232" t="s">
        <v>725</v>
      </c>
      <c r="C141" s="622">
        <v>45161</v>
      </c>
      <c r="D141" s="232" t="s">
        <v>4684</v>
      </c>
      <c r="E141" s="231" t="s">
        <v>5067</v>
      </c>
      <c r="F141" s="233">
        <v>312.19</v>
      </c>
      <c r="G141" s="232" t="s">
        <v>4678</v>
      </c>
      <c r="H141" s="233">
        <v>23.562999999999999</v>
      </c>
      <c r="I141" s="233">
        <v>7384.230877740345</v>
      </c>
      <c r="J141" s="623">
        <v>4449516</v>
      </c>
      <c r="K141" s="624" t="s">
        <v>728</v>
      </c>
      <c r="L141" s="624" t="s">
        <v>4679</v>
      </c>
      <c r="M141" s="624" t="s">
        <v>4680</v>
      </c>
      <c r="N141" s="624" t="s">
        <v>4681</v>
      </c>
      <c r="O141" s="624" t="s">
        <v>4682</v>
      </c>
      <c r="P141" s="624" t="s">
        <v>606</v>
      </c>
    </row>
    <row r="142" spans="1:16">
      <c r="A142" s="231" t="s">
        <v>678</v>
      </c>
      <c r="B142" s="231" t="s">
        <v>725</v>
      </c>
      <c r="C142" s="618">
        <v>45174</v>
      </c>
      <c r="D142" s="231" t="s">
        <v>4684</v>
      </c>
      <c r="E142" s="231" t="s">
        <v>5067</v>
      </c>
      <c r="F142" s="619">
        <v>295.31599999999997</v>
      </c>
      <c r="G142" s="231" t="s">
        <v>4678</v>
      </c>
      <c r="H142" s="619">
        <v>23.654</v>
      </c>
      <c r="I142" s="619">
        <v>6985.4040519752571</v>
      </c>
      <c r="J142" s="620">
        <v>4268501</v>
      </c>
      <c r="K142" s="621" t="s">
        <v>728</v>
      </c>
      <c r="L142" s="621" t="s">
        <v>4679</v>
      </c>
      <c r="M142" s="621" t="s">
        <v>4680</v>
      </c>
      <c r="N142" s="621" t="s">
        <v>4681</v>
      </c>
      <c r="O142" s="621" t="s">
        <v>4682</v>
      </c>
      <c r="P142" s="621" t="s">
        <v>606</v>
      </c>
    </row>
    <row r="143" spans="1:16">
      <c r="A143" s="232" t="s">
        <v>678</v>
      </c>
      <c r="B143" s="232" t="s">
        <v>725</v>
      </c>
      <c r="C143" s="622">
        <v>45176</v>
      </c>
      <c r="D143" s="232" t="s">
        <v>4684</v>
      </c>
      <c r="E143" s="231" t="s">
        <v>5067</v>
      </c>
      <c r="F143" s="233">
        <v>301.00900000000001</v>
      </c>
      <c r="G143" s="232" t="s">
        <v>4678</v>
      </c>
      <c r="H143" s="233">
        <v>23.030999999999999</v>
      </c>
      <c r="I143" s="233">
        <v>6932.5386176201073</v>
      </c>
      <c r="J143" s="623">
        <v>4236613</v>
      </c>
      <c r="K143" s="624" t="s">
        <v>728</v>
      </c>
      <c r="L143" s="624" t="s">
        <v>4679</v>
      </c>
      <c r="M143" s="624" t="s">
        <v>4680</v>
      </c>
      <c r="N143" s="624" t="s">
        <v>4681</v>
      </c>
      <c r="O143" s="624" t="s">
        <v>4682</v>
      </c>
      <c r="P143" s="624" t="s">
        <v>606</v>
      </c>
    </row>
    <row r="144" spans="1:16">
      <c r="A144" s="231" t="s">
        <v>678</v>
      </c>
      <c r="B144" s="231" t="s">
        <v>725</v>
      </c>
      <c r="C144" s="618">
        <v>45181</v>
      </c>
      <c r="D144" s="231" t="s">
        <v>4684</v>
      </c>
      <c r="E144" s="231" t="s">
        <v>5067</v>
      </c>
      <c r="F144" s="619">
        <v>314.17399999999998</v>
      </c>
      <c r="G144" s="231" t="s">
        <v>4678</v>
      </c>
      <c r="H144" s="619">
        <v>22.899000000000001</v>
      </c>
      <c r="I144" s="619">
        <v>7194.270578647107</v>
      </c>
      <c r="J144" s="620">
        <v>4413685</v>
      </c>
      <c r="K144" s="621" t="s">
        <v>728</v>
      </c>
      <c r="L144" s="621" t="s">
        <v>4679</v>
      </c>
      <c r="M144" s="621" t="s">
        <v>4680</v>
      </c>
      <c r="N144" s="621" t="s">
        <v>4681</v>
      </c>
      <c r="O144" s="621" t="s">
        <v>4682</v>
      </c>
      <c r="P144" s="621" t="s">
        <v>606</v>
      </c>
    </row>
    <row r="145" spans="1:16">
      <c r="A145" s="232" t="s">
        <v>678</v>
      </c>
      <c r="B145" s="232" t="s">
        <v>725</v>
      </c>
      <c r="C145" s="622">
        <v>45194</v>
      </c>
      <c r="D145" s="232" t="s">
        <v>4684</v>
      </c>
      <c r="E145" s="231" t="s">
        <v>5067</v>
      </c>
      <c r="F145" s="233">
        <v>256.21899999999999</v>
      </c>
      <c r="G145" s="232" t="s">
        <v>4678</v>
      </c>
      <c r="H145" s="233">
        <v>23.094999999999999</v>
      </c>
      <c r="I145" s="233">
        <v>5917.3784834737517</v>
      </c>
      <c r="J145" s="623">
        <v>3652206</v>
      </c>
      <c r="K145" s="624" t="s">
        <v>728</v>
      </c>
      <c r="L145" s="624" t="s">
        <v>4679</v>
      </c>
      <c r="M145" s="624" t="s">
        <v>4680</v>
      </c>
      <c r="N145" s="624" t="s">
        <v>4681</v>
      </c>
      <c r="O145" s="624" t="s">
        <v>4682</v>
      </c>
      <c r="P145" s="624" t="s">
        <v>606</v>
      </c>
    </row>
    <row r="146" spans="1:16">
      <c r="A146" s="231" t="s">
        <v>678</v>
      </c>
      <c r="B146" s="231" t="s">
        <v>725</v>
      </c>
      <c r="C146" s="618">
        <v>45198</v>
      </c>
      <c r="D146" s="231" t="s">
        <v>4684</v>
      </c>
      <c r="E146" s="231" t="s">
        <v>5067</v>
      </c>
      <c r="F146" s="619">
        <v>338.53399999999999</v>
      </c>
      <c r="G146" s="231" t="s">
        <v>4678</v>
      </c>
      <c r="H146" s="619">
        <v>23</v>
      </c>
      <c r="I146" s="619">
        <v>7786.2815533980583</v>
      </c>
      <c r="J146" s="620">
        <v>4811922</v>
      </c>
      <c r="K146" s="621" t="s">
        <v>728</v>
      </c>
      <c r="L146" s="621" t="s">
        <v>4679</v>
      </c>
      <c r="M146" s="621" t="s">
        <v>4680</v>
      </c>
      <c r="N146" s="621" t="s">
        <v>4681</v>
      </c>
      <c r="O146" s="621" t="s">
        <v>4682</v>
      </c>
      <c r="P146" s="621" t="s">
        <v>606</v>
      </c>
    </row>
    <row r="147" spans="1:16">
      <c r="A147" s="232" t="s">
        <v>678</v>
      </c>
      <c r="B147" s="232" t="s">
        <v>725</v>
      </c>
      <c r="C147" s="622">
        <v>45204</v>
      </c>
      <c r="D147" s="232" t="s">
        <v>4684</v>
      </c>
      <c r="E147" s="231" t="s">
        <v>5067</v>
      </c>
      <c r="F147" s="233">
        <v>579.44899999999996</v>
      </c>
      <c r="G147" s="232" t="s">
        <v>4678</v>
      </c>
      <c r="H147" s="233">
        <v>21.1</v>
      </c>
      <c r="I147" s="233">
        <v>12226.373394733428</v>
      </c>
      <c r="J147" s="623">
        <v>7540249</v>
      </c>
      <c r="K147" s="624" t="s">
        <v>728</v>
      </c>
      <c r="L147" s="624" t="s">
        <v>4679</v>
      </c>
      <c r="M147" s="624" t="s">
        <v>4680</v>
      </c>
      <c r="N147" s="624" t="s">
        <v>4681</v>
      </c>
      <c r="O147" s="624" t="s">
        <v>4682</v>
      </c>
      <c r="P147" s="624" t="s">
        <v>606</v>
      </c>
    </row>
    <row r="148" spans="1:16">
      <c r="A148" s="231" t="s">
        <v>678</v>
      </c>
      <c r="B148" s="231" t="s">
        <v>725</v>
      </c>
      <c r="C148" s="618">
        <v>45210</v>
      </c>
      <c r="D148" s="231" t="s">
        <v>4684</v>
      </c>
      <c r="E148" s="231" t="s">
        <v>5067</v>
      </c>
      <c r="F148" s="619">
        <v>314.39499999999998</v>
      </c>
      <c r="G148" s="231" t="s">
        <v>4678</v>
      </c>
      <c r="H148" s="619">
        <v>21.92</v>
      </c>
      <c r="I148" s="619">
        <v>6891.5388614504809</v>
      </c>
      <c r="J148" s="620">
        <v>4241880</v>
      </c>
      <c r="K148" s="621" t="s">
        <v>728</v>
      </c>
      <c r="L148" s="621" t="s">
        <v>4679</v>
      </c>
      <c r="M148" s="621" t="s">
        <v>4680</v>
      </c>
      <c r="N148" s="621" t="s">
        <v>4681</v>
      </c>
      <c r="O148" s="621" t="s">
        <v>4682</v>
      </c>
      <c r="P148" s="621" t="s">
        <v>606</v>
      </c>
    </row>
    <row r="149" spans="1:16">
      <c r="A149" s="232" t="s">
        <v>678</v>
      </c>
      <c r="B149" s="232" t="s">
        <v>725</v>
      </c>
      <c r="C149" s="622">
        <v>45215</v>
      </c>
      <c r="D149" s="232" t="s">
        <v>4684</v>
      </c>
      <c r="E149" s="231" t="s">
        <v>5067</v>
      </c>
      <c r="F149" s="233">
        <v>579.774</v>
      </c>
      <c r="G149" s="232" t="s">
        <v>4678</v>
      </c>
      <c r="H149" s="233">
        <v>22.501999999999999</v>
      </c>
      <c r="I149" s="233">
        <v>13046.074621064905</v>
      </c>
      <c r="J149" s="623">
        <v>8056212</v>
      </c>
      <c r="K149" s="624" t="s">
        <v>728</v>
      </c>
      <c r="L149" s="624" t="s">
        <v>4679</v>
      </c>
      <c r="M149" s="624" t="s">
        <v>4680</v>
      </c>
      <c r="N149" s="624" t="s">
        <v>4681</v>
      </c>
      <c r="O149" s="624" t="s">
        <v>4682</v>
      </c>
      <c r="P149" s="624" t="s">
        <v>606</v>
      </c>
    </row>
    <row r="150" spans="1:16">
      <c r="A150" s="231" t="s">
        <v>678</v>
      </c>
      <c r="B150" s="231" t="s">
        <v>725</v>
      </c>
      <c r="C150" s="618">
        <v>45229</v>
      </c>
      <c r="D150" s="231" t="s">
        <v>4684</v>
      </c>
      <c r="E150" s="231" t="s">
        <v>5067</v>
      </c>
      <c r="F150" s="619">
        <v>421.75599999999997</v>
      </c>
      <c r="G150" s="231" t="s">
        <v>4678</v>
      </c>
      <c r="H150" s="619">
        <v>23.157</v>
      </c>
      <c r="I150" s="619">
        <v>9766.6033014882687</v>
      </c>
      <c r="J150" s="620">
        <v>6011149</v>
      </c>
      <c r="K150" s="621" t="s">
        <v>728</v>
      </c>
      <c r="L150" s="621" t="s">
        <v>4679</v>
      </c>
      <c r="M150" s="621" t="s">
        <v>4680</v>
      </c>
      <c r="N150" s="621" t="s">
        <v>4681</v>
      </c>
      <c r="O150" s="621" t="s">
        <v>4682</v>
      </c>
      <c r="P150" s="621" t="s">
        <v>606</v>
      </c>
    </row>
    <row r="151" spans="1:16">
      <c r="A151" s="232" t="s">
        <v>678</v>
      </c>
      <c r="B151" s="232" t="s">
        <v>725</v>
      </c>
      <c r="C151" s="622">
        <v>45229</v>
      </c>
      <c r="D151" s="232" t="s">
        <v>4684</v>
      </c>
      <c r="E151" s="231" t="s">
        <v>5067</v>
      </c>
      <c r="F151" s="233">
        <v>465.173</v>
      </c>
      <c r="G151" s="232" t="s">
        <v>4678</v>
      </c>
      <c r="H151" s="233">
        <v>23.149000000000001</v>
      </c>
      <c r="I151" s="233">
        <v>10768.289790082537</v>
      </c>
      <c r="J151" s="623">
        <v>6627667</v>
      </c>
      <c r="K151" s="624" t="s">
        <v>728</v>
      </c>
      <c r="L151" s="624" t="s">
        <v>4679</v>
      </c>
      <c r="M151" s="624" t="s">
        <v>4680</v>
      </c>
      <c r="N151" s="624" t="s">
        <v>4681</v>
      </c>
      <c r="O151" s="624" t="s">
        <v>4682</v>
      </c>
      <c r="P151" s="624" t="s">
        <v>606</v>
      </c>
    </row>
    <row r="152" spans="1:16">
      <c r="A152" s="231" t="s">
        <v>678</v>
      </c>
      <c r="B152" s="231" t="s">
        <v>725</v>
      </c>
      <c r="C152" s="618">
        <v>45237</v>
      </c>
      <c r="D152" s="231" t="s">
        <v>4684</v>
      </c>
      <c r="E152" s="231" t="s">
        <v>5067</v>
      </c>
      <c r="F152" s="619">
        <v>465.976</v>
      </c>
      <c r="G152" s="231" t="s">
        <v>4678</v>
      </c>
      <c r="H152" s="619">
        <v>22.727</v>
      </c>
      <c r="I152" s="619">
        <v>10590.236552</v>
      </c>
      <c r="J152" s="620">
        <v>6478577.2106860001</v>
      </c>
      <c r="K152" s="621" t="s">
        <v>728</v>
      </c>
      <c r="L152" s="621" t="s">
        <v>4679</v>
      </c>
      <c r="M152" s="621" t="s">
        <v>4680</v>
      </c>
      <c r="N152" s="621" t="s">
        <v>4681</v>
      </c>
      <c r="O152" s="621" t="s">
        <v>4682</v>
      </c>
      <c r="P152" s="621" t="s">
        <v>606</v>
      </c>
    </row>
    <row r="153" spans="1:16">
      <c r="A153" s="232" t="s">
        <v>678</v>
      </c>
      <c r="B153" s="232" t="s">
        <v>725</v>
      </c>
      <c r="C153" s="622">
        <v>45245</v>
      </c>
      <c r="D153" s="232" t="s">
        <v>4684</v>
      </c>
      <c r="E153" s="231" t="s">
        <v>5067</v>
      </c>
      <c r="F153" s="233">
        <v>573.44899999999996</v>
      </c>
      <c r="G153" s="232" t="s">
        <v>4678</v>
      </c>
      <c r="H153" s="233">
        <v>23.234999999999999</v>
      </c>
      <c r="I153" s="233">
        <v>13324.087514999999</v>
      </c>
      <c r="J153" s="623">
        <v>8030694.0270408001</v>
      </c>
      <c r="K153" s="624" t="s">
        <v>728</v>
      </c>
      <c r="L153" s="624" t="s">
        <v>4679</v>
      </c>
      <c r="M153" s="624" t="s">
        <v>4680</v>
      </c>
      <c r="N153" s="624" t="s">
        <v>4681</v>
      </c>
      <c r="O153" s="624" t="s">
        <v>4682</v>
      </c>
      <c r="P153" s="624" t="s">
        <v>606</v>
      </c>
    </row>
    <row r="154" spans="1:16">
      <c r="A154" s="231" t="s">
        <v>678</v>
      </c>
      <c r="B154" s="231" t="s">
        <v>725</v>
      </c>
      <c r="C154" s="618">
        <v>45250</v>
      </c>
      <c r="D154" s="231" t="s">
        <v>4684</v>
      </c>
      <c r="E154" s="231" t="s">
        <v>5067</v>
      </c>
      <c r="F154" s="619">
        <v>609.19500000000005</v>
      </c>
      <c r="G154" s="231" t="s">
        <v>4678</v>
      </c>
      <c r="H154" s="619">
        <v>23.414000000000001</v>
      </c>
      <c r="I154" s="619">
        <v>14263.691730000002</v>
      </c>
      <c r="J154" s="620">
        <v>8536819.5004050005</v>
      </c>
      <c r="K154" s="621" t="s">
        <v>728</v>
      </c>
      <c r="L154" s="621" t="s">
        <v>4679</v>
      </c>
      <c r="M154" s="621" t="s">
        <v>4680</v>
      </c>
      <c r="N154" s="621" t="s">
        <v>4681</v>
      </c>
      <c r="O154" s="621" t="s">
        <v>4682</v>
      </c>
      <c r="P154" s="621" t="s">
        <v>606</v>
      </c>
    </row>
    <row r="155" spans="1:16">
      <c r="A155" s="232" t="s">
        <v>678</v>
      </c>
      <c r="B155" s="232" t="s">
        <v>725</v>
      </c>
      <c r="C155" s="622">
        <v>45265</v>
      </c>
      <c r="D155" s="232" t="s">
        <v>4684</v>
      </c>
      <c r="E155" s="231" t="s">
        <v>5067</v>
      </c>
      <c r="F155" s="233">
        <v>710.62800000000004</v>
      </c>
      <c r="G155" s="232" t="s">
        <v>4678</v>
      </c>
      <c r="H155" s="233">
        <v>24.481000000000002</v>
      </c>
      <c r="I155" s="233">
        <v>17396.884068000003</v>
      </c>
      <c r="J155" s="623">
        <v>10559908.629276002</v>
      </c>
      <c r="K155" s="624" t="s">
        <v>728</v>
      </c>
      <c r="L155" s="624" t="s">
        <v>4679</v>
      </c>
      <c r="M155" s="624" t="s">
        <v>4680</v>
      </c>
      <c r="N155" s="624" t="s">
        <v>4681</v>
      </c>
      <c r="O155" s="624" t="s">
        <v>4682</v>
      </c>
      <c r="P155" s="624" t="s">
        <v>606</v>
      </c>
    </row>
    <row r="156" spans="1:16">
      <c r="A156" s="231" t="s">
        <v>678</v>
      </c>
      <c r="B156" s="231" t="s">
        <v>725</v>
      </c>
      <c r="C156" s="618">
        <v>45265</v>
      </c>
      <c r="D156" s="231" t="s">
        <v>4684</v>
      </c>
      <c r="E156" s="231" t="s">
        <v>5067</v>
      </c>
      <c r="F156" s="619">
        <v>570.70699999999999</v>
      </c>
      <c r="G156" s="231" t="s">
        <v>4678</v>
      </c>
      <c r="H156" s="619">
        <v>24.474</v>
      </c>
      <c r="I156" s="619">
        <v>13967.483118</v>
      </c>
      <c r="J156" s="620">
        <v>8475468.7560024001</v>
      </c>
      <c r="K156" s="621" t="s">
        <v>728</v>
      </c>
      <c r="L156" s="621" t="s">
        <v>4679</v>
      </c>
      <c r="M156" s="621" t="s">
        <v>4680</v>
      </c>
      <c r="N156" s="621" t="s">
        <v>4681</v>
      </c>
      <c r="O156" s="621" t="s">
        <v>4682</v>
      </c>
      <c r="P156" s="621" t="s">
        <v>606</v>
      </c>
    </row>
    <row r="157" spans="1:16">
      <c r="A157" s="232" t="s">
        <v>678</v>
      </c>
      <c r="B157" s="232" t="s">
        <v>725</v>
      </c>
      <c r="C157" s="622">
        <v>45272</v>
      </c>
      <c r="D157" s="232" t="s">
        <v>4684</v>
      </c>
      <c r="E157" s="231" t="s">
        <v>5067</v>
      </c>
      <c r="F157" s="233">
        <v>836.88099999999997</v>
      </c>
      <c r="G157" s="232" t="s">
        <v>4678</v>
      </c>
      <c r="H157" s="233">
        <v>22.934000000000001</v>
      </c>
      <c r="I157" s="233">
        <v>19193.028854</v>
      </c>
      <c r="J157" s="623">
        <v>11472632.9974785</v>
      </c>
      <c r="K157" s="624" t="s">
        <v>728</v>
      </c>
      <c r="L157" s="624" t="s">
        <v>4679</v>
      </c>
      <c r="M157" s="624" t="s">
        <v>4680</v>
      </c>
      <c r="N157" s="624" t="s">
        <v>4681</v>
      </c>
      <c r="O157" s="624" t="s">
        <v>4682</v>
      </c>
      <c r="P157" s="624" t="s">
        <v>606</v>
      </c>
    </row>
    <row r="158" spans="1:16">
      <c r="A158" s="231" t="s">
        <v>678</v>
      </c>
      <c r="B158" s="231" t="s">
        <v>725</v>
      </c>
      <c r="C158" s="618">
        <v>45272</v>
      </c>
      <c r="D158" s="231" t="s">
        <v>4684</v>
      </c>
      <c r="E158" s="231" t="s">
        <v>5067</v>
      </c>
      <c r="F158" s="619">
        <v>311.37400000000002</v>
      </c>
      <c r="G158" s="231" t="s">
        <v>4678</v>
      </c>
      <c r="H158" s="619">
        <v>23.782</v>
      </c>
      <c r="I158" s="619">
        <v>7405.0964680000006</v>
      </c>
      <c r="J158" s="620">
        <v>4397664.6394511601</v>
      </c>
      <c r="K158" s="621" t="s">
        <v>728</v>
      </c>
      <c r="L158" s="621" t="s">
        <v>4679</v>
      </c>
      <c r="M158" s="621" t="s">
        <v>4680</v>
      </c>
      <c r="N158" s="621" t="s">
        <v>4681</v>
      </c>
      <c r="O158" s="621" t="s">
        <v>4682</v>
      </c>
      <c r="P158" s="621" t="s">
        <v>606</v>
      </c>
    </row>
    <row r="159" spans="1:16">
      <c r="A159" s="232" t="s">
        <v>678</v>
      </c>
      <c r="B159" s="232" t="s">
        <v>725</v>
      </c>
      <c r="C159" s="622">
        <v>45272</v>
      </c>
      <c r="D159" s="232" t="s">
        <v>4684</v>
      </c>
      <c r="E159" s="231" t="s">
        <v>5067</v>
      </c>
      <c r="F159" s="233">
        <v>756.005</v>
      </c>
      <c r="G159" s="232" t="s">
        <v>4678</v>
      </c>
      <c r="H159" s="233">
        <v>24.253</v>
      </c>
      <c r="I159" s="233">
        <v>18335.389265000002</v>
      </c>
      <c r="J159" s="623">
        <v>10887004.08387905</v>
      </c>
      <c r="K159" s="624" t="s">
        <v>728</v>
      </c>
      <c r="L159" s="624" t="s">
        <v>4679</v>
      </c>
      <c r="M159" s="624" t="s">
        <v>4680</v>
      </c>
      <c r="N159" s="624" t="s">
        <v>4681</v>
      </c>
      <c r="O159" s="624" t="s">
        <v>4682</v>
      </c>
      <c r="P159" s="624" t="s">
        <v>606</v>
      </c>
    </row>
    <row r="160" spans="1:16">
      <c r="A160" s="231" t="s">
        <v>678</v>
      </c>
      <c r="B160" s="231" t="s">
        <v>725</v>
      </c>
      <c r="C160" s="618">
        <v>45287</v>
      </c>
      <c r="D160" s="231" t="s">
        <v>4684</v>
      </c>
      <c r="E160" s="231" t="s">
        <v>5067</v>
      </c>
      <c r="F160" s="619">
        <v>718.02700000000004</v>
      </c>
      <c r="G160" s="231" t="s">
        <v>4678</v>
      </c>
      <c r="H160" s="619">
        <v>24.06</v>
      </c>
      <c r="I160" s="619">
        <v>17275.729620000002</v>
      </c>
      <c r="J160" s="620">
        <v>10171604.0856636</v>
      </c>
      <c r="K160" s="621" t="s">
        <v>728</v>
      </c>
      <c r="L160" s="621" t="s">
        <v>4679</v>
      </c>
      <c r="M160" s="621" t="s">
        <v>4680</v>
      </c>
      <c r="N160" s="621" t="s">
        <v>4681</v>
      </c>
      <c r="O160" s="621" t="s">
        <v>4682</v>
      </c>
      <c r="P160" s="621" t="s">
        <v>606</v>
      </c>
    </row>
    <row r="161" spans="1:16">
      <c r="A161" s="232" t="s">
        <v>978</v>
      </c>
      <c r="B161" s="232">
        <v>4408622</v>
      </c>
      <c r="C161" s="622">
        <v>44939</v>
      </c>
      <c r="D161" s="232" t="s">
        <v>4685</v>
      </c>
      <c r="E161" s="232" t="s">
        <v>5068</v>
      </c>
      <c r="F161" s="233">
        <v>20090.241999999998</v>
      </c>
      <c r="G161" s="232" t="s">
        <v>4686</v>
      </c>
      <c r="H161" s="233"/>
      <c r="I161" s="233">
        <v>1838563.6869684621</v>
      </c>
      <c r="J161" s="623">
        <v>1092595888</v>
      </c>
      <c r="K161" s="624" t="s">
        <v>4687</v>
      </c>
      <c r="L161" s="624"/>
      <c r="M161" s="624" t="s">
        <v>4688</v>
      </c>
      <c r="N161" s="624" t="s">
        <v>4206</v>
      </c>
      <c r="O161" s="624"/>
      <c r="P161" s="624"/>
    </row>
    <row r="162" spans="1:16">
      <c r="A162" s="231" t="s">
        <v>978</v>
      </c>
      <c r="B162" s="231">
        <v>4408622</v>
      </c>
      <c r="C162" s="618">
        <v>44939</v>
      </c>
      <c r="D162" s="231" t="s">
        <v>4685</v>
      </c>
      <c r="E162" s="232" t="s">
        <v>5068</v>
      </c>
      <c r="F162" s="619">
        <v>100</v>
      </c>
      <c r="G162" s="231" t="s">
        <v>4686</v>
      </c>
      <c r="H162" s="619"/>
      <c r="I162" s="619">
        <v>9151.5264208283843</v>
      </c>
      <c r="J162" s="620">
        <v>5438441</v>
      </c>
      <c r="K162" s="621" t="s">
        <v>4687</v>
      </c>
      <c r="L162" s="621"/>
      <c r="M162" s="621" t="s">
        <v>4688</v>
      </c>
      <c r="N162" s="621" t="s">
        <v>4206</v>
      </c>
      <c r="O162" s="621"/>
      <c r="P162" s="621"/>
    </row>
    <row r="163" spans="1:16">
      <c r="A163" s="232" t="s">
        <v>978</v>
      </c>
      <c r="B163" s="232">
        <v>4408622</v>
      </c>
      <c r="C163" s="622">
        <v>45015</v>
      </c>
      <c r="D163" s="232" t="s">
        <v>4685</v>
      </c>
      <c r="E163" s="232" t="s">
        <v>5068</v>
      </c>
      <c r="F163" s="233">
        <v>25028.883999999998</v>
      </c>
      <c r="G163" s="232" t="s">
        <v>4686</v>
      </c>
      <c r="H163" s="233"/>
      <c r="I163" s="233">
        <v>2280309.4422363052</v>
      </c>
      <c r="J163" s="623">
        <v>1355110371</v>
      </c>
      <c r="K163" s="624" t="s">
        <v>4687</v>
      </c>
      <c r="L163" s="624"/>
      <c r="M163" s="624" t="s">
        <v>4688</v>
      </c>
      <c r="N163" s="624" t="s">
        <v>4206</v>
      </c>
      <c r="O163" s="624"/>
      <c r="P163" s="624"/>
    </row>
    <row r="164" spans="1:16">
      <c r="A164" s="231" t="s">
        <v>978</v>
      </c>
      <c r="B164" s="231">
        <v>4408622</v>
      </c>
      <c r="C164" s="618">
        <v>45089</v>
      </c>
      <c r="D164" s="231" t="s">
        <v>4685</v>
      </c>
      <c r="E164" s="232" t="s">
        <v>5068</v>
      </c>
      <c r="F164" s="619">
        <v>23600.79</v>
      </c>
      <c r="G164" s="231" t="s">
        <v>4686</v>
      </c>
      <c r="H164" s="619"/>
      <c r="I164" s="619">
        <v>2411064.9641742925</v>
      </c>
      <c r="J164" s="620">
        <v>1432813932</v>
      </c>
      <c r="K164" s="621" t="s">
        <v>4687</v>
      </c>
      <c r="L164" s="621"/>
      <c r="M164" s="621" t="s">
        <v>4688</v>
      </c>
      <c r="N164" s="621" t="s">
        <v>4206</v>
      </c>
      <c r="O164" s="621"/>
      <c r="P164" s="621"/>
    </row>
    <row r="165" spans="1:16">
      <c r="A165" s="232" t="s">
        <v>978</v>
      </c>
      <c r="B165" s="232">
        <v>4408622</v>
      </c>
      <c r="C165" s="622">
        <v>45163</v>
      </c>
      <c r="D165" s="232" t="s">
        <v>4685</v>
      </c>
      <c r="E165" s="232" t="s">
        <v>5068</v>
      </c>
      <c r="F165" s="233">
        <v>22333.29</v>
      </c>
      <c r="G165" s="232" t="s">
        <v>4686</v>
      </c>
      <c r="H165" s="233"/>
      <c r="I165" s="233">
        <v>2262476.0730043449</v>
      </c>
      <c r="J165" s="623">
        <v>1344512606</v>
      </c>
      <c r="K165" s="624" t="s">
        <v>4687</v>
      </c>
      <c r="L165" s="624"/>
      <c r="M165" s="624" t="s">
        <v>4688</v>
      </c>
      <c r="N165" s="624" t="s">
        <v>4206</v>
      </c>
      <c r="O165" s="624"/>
      <c r="P165" s="624"/>
    </row>
    <row r="166" spans="1:16">
      <c r="A166" s="231" t="s">
        <v>978</v>
      </c>
      <c r="B166" s="231">
        <v>4408622</v>
      </c>
      <c r="C166" s="618">
        <v>45264</v>
      </c>
      <c r="D166" s="231" t="s">
        <v>4685</v>
      </c>
      <c r="E166" s="232" t="s">
        <v>5068</v>
      </c>
      <c r="F166" s="619">
        <v>29577.365000000002</v>
      </c>
      <c r="G166" s="231" t="s">
        <v>4686</v>
      </c>
      <c r="H166" s="619"/>
      <c r="I166" s="619">
        <v>2983405.8317319183</v>
      </c>
      <c r="J166" s="620">
        <v>1772936650</v>
      </c>
      <c r="K166" s="621" t="s">
        <v>4687</v>
      </c>
      <c r="L166" s="621"/>
      <c r="M166" s="621" t="s">
        <v>4688</v>
      </c>
      <c r="N166" s="621" t="s">
        <v>4206</v>
      </c>
      <c r="O166" s="621"/>
      <c r="P166" s="621"/>
    </row>
    <row r="167" spans="1:16" ht="14">
      <c r="A167" s="232" t="s">
        <v>4689</v>
      </c>
      <c r="B167" s="232">
        <v>2236190</v>
      </c>
      <c r="C167" s="622">
        <v>45291</v>
      </c>
      <c r="D167" s="232" t="s">
        <v>4690</v>
      </c>
      <c r="E167" s="708" t="s">
        <v>5069</v>
      </c>
      <c r="F167" s="233"/>
      <c r="G167" s="232" t="s">
        <v>4691</v>
      </c>
      <c r="H167" s="233"/>
      <c r="I167" s="233"/>
      <c r="J167" s="623">
        <v>8703250</v>
      </c>
      <c r="K167" s="624" t="s">
        <v>991</v>
      </c>
      <c r="L167" s="624" t="s">
        <v>2221</v>
      </c>
      <c r="M167" s="624" t="s">
        <v>4692</v>
      </c>
      <c r="N167" s="624" t="s">
        <v>4693</v>
      </c>
      <c r="O167" s="624"/>
      <c r="P167" s="624"/>
    </row>
    <row r="168" spans="1:16" ht="14">
      <c r="A168" s="231" t="s">
        <v>4689</v>
      </c>
      <c r="B168" s="231">
        <v>2236190</v>
      </c>
      <c r="C168" s="618">
        <v>45291</v>
      </c>
      <c r="D168" s="231" t="s">
        <v>4690</v>
      </c>
      <c r="E168" s="708" t="s">
        <v>5069</v>
      </c>
      <c r="F168" s="619"/>
      <c r="G168" s="231" t="s">
        <v>4691</v>
      </c>
      <c r="H168" s="619"/>
      <c r="I168" s="619"/>
      <c r="J168" s="620">
        <v>49410718</v>
      </c>
      <c r="K168" s="621" t="s">
        <v>991</v>
      </c>
      <c r="L168" s="621" t="s">
        <v>2221</v>
      </c>
      <c r="M168" s="621" t="s">
        <v>4694</v>
      </c>
      <c r="N168" s="621" t="s">
        <v>4693</v>
      </c>
      <c r="O168" s="621"/>
      <c r="P168" s="621"/>
    </row>
    <row r="169" spans="1:16" ht="14">
      <c r="A169" s="232" t="s">
        <v>4689</v>
      </c>
      <c r="B169" s="232">
        <v>2236190</v>
      </c>
      <c r="C169" s="622">
        <v>45291</v>
      </c>
      <c r="D169" s="232" t="s">
        <v>4690</v>
      </c>
      <c r="E169" s="708" t="s">
        <v>5069</v>
      </c>
      <c r="F169" s="233"/>
      <c r="G169" s="232" t="s">
        <v>4691</v>
      </c>
      <c r="H169" s="233"/>
      <c r="I169" s="233"/>
      <c r="J169" s="623">
        <v>14688298</v>
      </c>
      <c r="K169" s="624" t="s">
        <v>991</v>
      </c>
      <c r="L169" s="624" t="s">
        <v>2221</v>
      </c>
      <c r="M169" s="624" t="s">
        <v>4695</v>
      </c>
      <c r="N169" s="624" t="s">
        <v>4693</v>
      </c>
      <c r="O169" s="624"/>
      <c r="P169" s="624"/>
    </row>
    <row r="170" spans="1:16" ht="14">
      <c r="A170" s="231" t="s">
        <v>4689</v>
      </c>
      <c r="B170" s="231">
        <v>2236190</v>
      </c>
      <c r="C170" s="618">
        <v>45291</v>
      </c>
      <c r="D170" s="231" t="s">
        <v>4690</v>
      </c>
      <c r="E170" s="708" t="s">
        <v>5069</v>
      </c>
      <c r="F170" s="619"/>
      <c r="G170" s="231" t="s">
        <v>4691</v>
      </c>
      <c r="H170" s="619"/>
      <c r="I170" s="619"/>
      <c r="J170" s="620">
        <v>23923570</v>
      </c>
      <c r="K170" s="621" t="s">
        <v>991</v>
      </c>
      <c r="L170" s="621" t="s">
        <v>2221</v>
      </c>
      <c r="M170" s="621" t="s">
        <v>4696</v>
      </c>
      <c r="N170" s="621" t="s">
        <v>4693</v>
      </c>
      <c r="O170" s="621"/>
      <c r="P170" s="621"/>
    </row>
    <row r="171" spans="1:16" ht="14">
      <c r="A171" s="232" t="s">
        <v>4689</v>
      </c>
      <c r="B171" s="232">
        <v>2236190</v>
      </c>
      <c r="C171" s="622">
        <v>45291</v>
      </c>
      <c r="D171" s="232" t="s">
        <v>4690</v>
      </c>
      <c r="E171" s="708" t="s">
        <v>5069</v>
      </c>
      <c r="F171" s="233"/>
      <c r="G171" s="232" t="s">
        <v>4691</v>
      </c>
      <c r="H171" s="233"/>
      <c r="I171" s="233"/>
      <c r="J171" s="623">
        <v>862030</v>
      </c>
      <c r="K171" s="624" t="s">
        <v>991</v>
      </c>
      <c r="L171" s="624" t="s">
        <v>2221</v>
      </c>
      <c r="M171" s="624" t="s">
        <v>4697</v>
      </c>
      <c r="N171" s="624" t="s">
        <v>4693</v>
      </c>
      <c r="O171" s="624"/>
      <c r="P171" s="624"/>
    </row>
    <row r="172" spans="1:16" ht="14">
      <c r="A172" s="231" t="s">
        <v>4689</v>
      </c>
      <c r="B172" s="231">
        <v>2236190</v>
      </c>
      <c r="C172" s="618">
        <v>45291</v>
      </c>
      <c r="D172" s="231" t="s">
        <v>4690</v>
      </c>
      <c r="E172" s="708" t="s">
        <v>5069</v>
      </c>
      <c r="F172" s="619"/>
      <c r="G172" s="231" t="s">
        <v>4691</v>
      </c>
      <c r="H172" s="619"/>
      <c r="I172" s="619"/>
      <c r="J172" s="620">
        <v>424942</v>
      </c>
      <c r="K172" s="621" t="s">
        <v>991</v>
      </c>
      <c r="L172" s="621" t="s">
        <v>2221</v>
      </c>
      <c r="M172" s="621" t="s">
        <v>4698</v>
      </c>
      <c r="N172" s="621" t="s">
        <v>3942</v>
      </c>
      <c r="O172" s="621"/>
      <c r="P172" s="621"/>
    </row>
    <row r="173" spans="1:16" ht="14">
      <c r="A173" s="232" t="s">
        <v>4689</v>
      </c>
      <c r="B173" s="232">
        <v>2236190</v>
      </c>
      <c r="C173" s="622">
        <v>45291</v>
      </c>
      <c r="D173" s="232" t="s">
        <v>4690</v>
      </c>
      <c r="E173" s="708" t="s">
        <v>5069</v>
      </c>
      <c r="F173" s="233"/>
      <c r="G173" s="232" t="s">
        <v>4691</v>
      </c>
      <c r="H173" s="233"/>
      <c r="I173" s="233"/>
      <c r="J173" s="623">
        <v>35082763</v>
      </c>
      <c r="K173" s="624" t="s">
        <v>991</v>
      </c>
      <c r="L173" s="624" t="s">
        <v>2221</v>
      </c>
      <c r="M173" s="624" t="s">
        <v>4699</v>
      </c>
      <c r="N173" s="624" t="s">
        <v>3942</v>
      </c>
      <c r="O173" s="624"/>
      <c r="P173" s="624"/>
    </row>
    <row r="174" spans="1:16" ht="14">
      <c r="A174" s="231" t="s">
        <v>4689</v>
      </c>
      <c r="B174" s="231">
        <v>2236190</v>
      </c>
      <c r="C174" s="618">
        <v>45291</v>
      </c>
      <c r="D174" s="231" t="s">
        <v>4690</v>
      </c>
      <c r="E174" s="708" t="s">
        <v>5069</v>
      </c>
      <c r="F174" s="619"/>
      <c r="G174" s="231" t="s">
        <v>4691</v>
      </c>
      <c r="H174" s="619"/>
      <c r="I174" s="619"/>
      <c r="J174" s="620">
        <v>425083</v>
      </c>
      <c r="K174" s="621" t="s">
        <v>991</v>
      </c>
      <c r="L174" s="621" t="s">
        <v>2221</v>
      </c>
      <c r="M174" s="621" t="s">
        <v>4700</v>
      </c>
      <c r="N174" s="621" t="s">
        <v>3942</v>
      </c>
      <c r="O174" s="621"/>
      <c r="P174" s="621"/>
    </row>
    <row r="175" spans="1:16" ht="14">
      <c r="A175" s="232" t="s">
        <v>4689</v>
      </c>
      <c r="B175" s="232">
        <v>2236190</v>
      </c>
      <c r="C175" s="622">
        <v>45291</v>
      </c>
      <c r="D175" s="232" t="s">
        <v>4690</v>
      </c>
      <c r="E175" s="708" t="s">
        <v>5069</v>
      </c>
      <c r="F175" s="233"/>
      <c r="G175" s="232" t="s">
        <v>4691</v>
      </c>
      <c r="H175" s="233"/>
      <c r="I175" s="233"/>
      <c r="J175" s="623">
        <v>5099959</v>
      </c>
      <c r="K175" s="624" t="s">
        <v>991</v>
      </c>
      <c r="L175" s="624" t="s">
        <v>2221</v>
      </c>
      <c r="M175" s="624" t="s">
        <v>4701</v>
      </c>
      <c r="N175" s="624" t="s">
        <v>3942</v>
      </c>
      <c r="O175" s="624"/>
      <c r="P175" s="624"/>
    </row>
    <row r="176" spans="1:16" ht="14">
      <c r="A176" s="231" t="s">
        <v>4689</v>
      </c>
      <c r="B176" s="231">
        <v>2236190</v>
      </c>
      <c r="C176" s="618">
        <v>45291</v>
      </c>
      <c r="D176" s="231" t="s">
        <v>4690</v>
      </c>
      <c r="E176" s="708" t="s">
        <v>5069</v>
      </c>
      <c r="F176" s="619"/>
      <c r="G176" s="231" t="s">
        <v>4691</v>
      </c>
      <c r="H176" s="619"/>
      <c r="I176" s="619"/>
      <c r="J176" s="620">
        <v>48967726</v>
      </c>
      <c r="K176" s="621" t="s">
        <v>991</v>
      </c>
      <c r="L176" s="621" t="s">
        <v>2221</v>
      </c>
      <c r="M176" s="621" t="s">
        <v>4702</v>
      </c>
      <c r="N176" s="621" t="s">
        <v>3942</v>
      </c>
      <c r="O176" s="621"/>
      <c r="P176" s="621"/>
    </row>
    <row r="177" spans="1:16" ht="14">
      <c r="A177" s="232" t="s">
        <v>4689</v>
      </c>
      <c r="B177" s="232">
        <v>2236190</v>
      </c>
      <c r="C177" s="622">
        <v>45291</v>
      </c>
      <c r="D177" s="232" t="s">
        <v>4690</v>
      </c>
      <c r="E177" s="708" t="s">
        <v>5069</v>
      </c>
      <c r="F177" s="233"/>
      <c r="G177" s="232" t="s">
        <v>4691</v>
      </c>
      <c r="H177" s="233"/>
      <c r="I177" s="233"/>
      <c r="J177" s="623">
        <v>3865306</v>
      </c>
      <c r="K177" s="624" t="s">
        <v>991</v>
      </c>
      <c r="L177" s="624" t="s">
        <v>2221</v>
      </c>
      <c r="M177" s="624" t="s">
        <v>4696</v>
      </c>
      <c r="N177" s="624" t="s">
        <v>3942</v>
      </c>
      <c r="O177" s="624"/>
      <c r="P177" s="624"/>
    </row>
    <row r="178" spans="1:16" ht="14">
      <c r="A178" s="231" t="s">
        <v>4689</v>
      </c>
      <c r="B178" s="231">
        <v>2236190</v>
      </c>
      <c r="C178" s="618">
        <v>45291</v>
      </c>
      <c r="D178" s="231" t="s">
        <v>4690</v>
      </c>
      <c r="E178" s="708" t="s">
        <v>5069</v>
      </c>
      <c r="F178" s="619"/>
      <c r="G178" s="231" t="s">
        <v>4691</v>
      </c>
      <c r="H178" s="619"/>
      <c r="I178" s="619"/>
      <c r="J178" s="620">
        <v>1618404</v>
      </c>
      <c r="K178" s="621" t="s">
        <v>991</v>
      </c>
      <c r="L178" s="621" t="s">
        <v>2221</v>
      </c>
      <c r="M178" s="621" t="s">
        <v>4703</v>
      </c>
      <c r="N178" s="621" t="s">
        <v>3942</v>
      </c>
      <c r="O178" s="621"/>
      <c r="P178" s="621"/>
    </row>
    <row r="179" spans="1:16" ht="14">
      <c r="A179" s="232" t="s">
        <v>4689</v>
      </c>
      <c r="B179" s="232">
        <v>2236190</v>
      </c>
      <c r="C179" s="622">
        <v>45291</v>
      </c>
      <c r="D179" s="232" t="s">
        <v>4690</v>
      </c>
      <c r="E179" s="708" t="s">
        <v>5069</v>
      </c>
      <c r="F179" s="233"/>
      <c r="G179" s="232" t="s">
        <v>4691</v>
      </c>
      <c r="H179" s="233"/>
      <c r="I179" s="233"/>
      <c r="J179" s="623">
        <v>719131195</v>
      </c>
      <c r="K179" s="624" t="s">
        <v>991</v>
      </c>
      <c r="L179" s="624" t="s">
        <v>2221</v>
      </c>
      <c r="M179" s="624" t="s">
        <v>4704</v>
      </c>
      <c r="N179" s="624" t="s">
        <v>3942</v>
      </c>
      <c r="O179" s="624"/>
      <c r="P179" s="624"/>
    </row>
    <row r="180" spans="1:16" ht="14">
      <c r="A180" s="231" t="s">
        <v>4689</v>
      </c>
      <c r="B180" s="231">
        <v>2236190</v>
      </c>
      <c r="C180" s="618">
        <v>45291</v>
      </c>
      <c r="D180" s="231" t="s">
        <v>4690</v>
      </c>
      <c r="E180" s="708" t="s">
        <v>5069</v>
      </c>
      <c r="F180" s="619"/>
      <c r="G180" s="231" t="s">
        <v>4691</v>
      </c>
      <c r="H180" s="619"/>
      <c r="I180" s="619"/>
      <c r="J180" s="620">
        <v>67503665</v>
      </c>
      <c r="K180" s="621" t="s">
        <v>991</v>
      </c>
      <c r="L180" s="621" t="s">
        <v>2221</v>
      </c>
      <c r="M180" s="621" t="s">
        <v>4705</v>
      </c>
      <c r="N180" s="621" t="s">
        <v>3942</v>
      </c>
      <c r="O180" s="621"/>
      <c r="P180" s="621"/>
    </row>
    <row r="181" spans="1:16" ht="14">
      <c r="A181" s="232" t="s">
        <v>4689</v>
      </c>
      <c r="B181" s="232">
        <v>2236190</v>
      </c>
      <c r="C181" s="622">
        <v>45291</v>
      </c>
      <c r="D181" s="232" t="s">
        <v>4690</v>
      </c>
      <c r="E181" s="708" t="s">
        <v>5069</v>
      </c>
      <c r="F181" s="233"/>
      <c r="G181" s="232" t="s">
        <v>4691</v>
      </c>
      <c r="H181" s="233"/>
      <c r="I181" s="233"/>
      <c r="J181" s="623">
        <v>6728670</v>
      </c>
      <c r="K181" s="624" t="s">
        <v>991</v>
      </c>
      <c r="L181" s="624" t="s">
        <v>2221</v>
      </c>
      <c r="M181" s="624" t="s">
        <v>4706</v>
      </c>
      <c r="N181" s="624" t="s">
        <v>3942</v>
      </c>
      <c r="O181" s="624"/>
      <c r="P181" s="624"/>
    </row>
    <row r="182" spans="1:16" ht="14">
      <c r="A182" s="231" t="s">
        <v>4689</v>
      </c>
      <c r="B182" s="231">
        <v>2236190</v>
      </c>
      <c r="C182" s="618">
        <v>45291</v>
      </c>
      <c r="D182" s="231" t="s">
        <v>4690</v>
      </c>
      <c r="E182" s="708" t="s">
        <v>5069</v>
      </c>
      <c r="F182" s="619"/>
      <c r="G182" s="231" t="s">
        <v>4691</v>
      </c>
      <c r="H182" s="619"/>
      <c r="I182" s="619"/>
      <c r="J182" s="620">
        <v>20931310</v>
      </c>
      <c r="K182" s="621" t="s">
        <v>991</v>
      </c>
      <c r="L182" s="621" t="s">
        <v>2221</v>
      </c>
      <c r="M182" s="621" t="s">
        <v>4707</v>
      </c>
      <c r="N182" s="621" t="s">
        <v>3942</v>
      </c>
      <c r="O182" s="621"/>
      <c r="P182" s="621"/>
    </row>
    <row r="183" spans="1:16" ht="14">
      <c r="A183" s="232" t="s">
        <v>4689</v>
      </c>
      <c r="B183" s="232">
        <v>2236190</v>
      </c>
      <c r="C183" s="622">
        <v>45291</v>
      </c>
      <c r="D183" s="232" t="s">
        <v>4690</v>
      </c>
      <c r="E183" s="708" t="s">
        <v>5069</v>
      </c>
      <c r="F183" s="233"/>
      <c r="G183" s="232" t="s">
        <v>4691</v>
      </c>
      <c r="H183" s="233"/>
      <c r="I183" s="233"/>
      <c r="J183" s="623">
        <v>324929798</v>
      </c>
      <c r="K183" s="624" t="s">
        <v>991</v>
      </c>
      <c r="L183" s="624" t="s">
        <v>2221</v>
      </c>
      <c r="M183" s="624" t="s">
        <v>4708</v>
      </c>
      <c r="N183" s="624" t="s">
        <v>3942</v>
      </c>
      <c r="O183" s="624"/>
      <c r="P183" s="624"/>
    </row>
    <row r="184" spans="1:16" ht="14">
      <c r="A184" s="231" t="s">
        <v>4689</v>
      </c>
      <c r="B184" s="231">
        <v>2236190</v>
      </c>
      <c r="C184" s="618">
        <v>45291</v>
      </c>
      <c r="D184" s="231" t="s">
        <v>4690</v>
      </c>
      <c r="E184" s="708" t="s">
        <v>5069</v>
      </c>
      <c r="F184" s="619"/>
      <c r="G184" s="231" t="s">
        <v>4691</v>
      </c>
      <c r="H184" s="619"/>
      <c r="I184" s="619"/>
      <c r="J184" s="620">
        <v>39343328</v>
      </c>
      <c r="K184" s="621" t="s">
        <v>991</v>
      </c>
      <c r="L184" s="621" t="s">
        <v>2221</v>
      </c>
      <c r="M184" s="621" t="s">
        <v>4692</v>
      </c>
      <c r="N184" s="621" t="s">
        <v>3942</v>
      </c>
      <c r="O184" s="621"/>
      <c r="P184" s="621"/>
    </row>
    <row r="185" spans="1:16" ht="14">
      <c r="A185" s="232" t="s">
        <v>4689</v>
      </c>
      <c r="B185" s="232">
        <v>2236190</v>
      </c>
      <c r="C185" s="622">
        <v>45291</v>
      </c>
      <c r="D185" s="232" t="s">
        <v>4690</v>
      </c>
      <c r="E185" s="708" t="s">
        <v>5069</v>
      </c>
      <c r="F185" s="233"/>
      <c r="G185" s="232" t="s">
        <v>4691</v>
      </c>
      <c r="H185" s="233"/>
      <c r="I185" s="233"/>
      <c r="J185" s="623">
        <v>876422</v>
      </c>
      <c r="K185" s="624" t="s">
        <v>991</v>
      </c>
      <c r="L185" s="624" t="s">
        <v>2221</v>
      </c>
      <c r="M185" s="624" t="s">
        <v>4709</v>
      </c>
      <c r="N185" s="624" t="s">
        <v>3942</v>
      </c>
      <c r="O185" s="624"/>
      <c r="P185" s="624"/>
    </row>
    <row r="186" spans="1:16" ht="14">
      <c r="A186" s="231" t="s">
        <v>4689</v>
      </c>
      <c r="B186" s="231">
        <v>2236190</v>
      </c>
      <c r="C186" s="618">
        <v>45291</v>
      </c>
      <c r="D186" s="231" t="s">
        <v>4690</v>
      </c>
      <c r="E186" s="708" t="s">
        <v>5069</v>
      </c>
      <c r="F186" s="619"/>
      <c r="G186" s="231" t="s">
        <v>4691</v>
      </c>
      <c r="H186" s="619"/>
      <c r="I186" s="619"/>
      <c r="J186" s="620">
        <v>52061381</v>
      </c>
      <c r="K186" s="621" t="s">
        <v>991</v>
      </c>
      <c r="L186" s="621" t="s">
        <v>2221</v>
      </c>
      <c r="M186" s="621" t="s">
        <v>4710</v>
      </c>
      <c r="N186" s="621" t="s">
        <v>3942</v>
      </c>
      <c r="O186" s="621"/>
      <c r="P186" s="621"/>
    </row>
    <row r="187" spans="1:16" ht="14">
      <c r="A187" s="232" t="s">
        <v>4689</v>
      </c>
      <c r="B187" s="232">
        <v>2236190</v>
      </c>
      <c r="C187" s="622">
        <v>45291</v>
      </c>
      <c r="D187" s="232" t="s">
        <v>4690</v>
      </c>
      <c r="E187" s="708" t="s">
        <v>5069</v>
      </c>
      <c r="F187" s="233"/>
      <c r="G187" s="232" t="s">
        <v>4691</v>
      </c>
      <c r="H187" s="233"/>
      <c r="I187" s="233"/>
      <c r="J187" s="623">
        <v>11422581</v>
      </c>
      <c r="K187" s="624" t="s">
        <v>991</v>
      </c>
      <c r="L187" s="624" t="s">
        <v>2221</v>
      </c>
      <c r="M187" s="624" t="s">
        <v>4711</v>
      </c>
      <c r="N187" s="624" t="s">
        <v>3942</v>
      </c>
      <c r="O187" s="624"/>
      <c r="P187" s="624"/>
    </row>
    <row r="188" spans="1:16" ht="14">
      <c r="A188" s="231" t="s">
        <v>4689</v>
      </c>
      <c r="B188" s="231">
        <v>2236190</v>
      </c>
      <c r="C188" s="618">
        <v>45291</v>
      </c>
      <c r="D188" s="231" t="s">
        <v>4690</v>
      </c>
      <c r="E188" s="708" t="s">
        <v>5069</v>
      </c>
      <c r="F188" s="619"/>
      <c r="G188" s="231" t="s">
        <v>4691</v>
      </c>
      <c r="H188" s="619"/>
      <c r="I188" s="619"/>
      <c r="J188" s="620">
        <v>198948</v>
      </c>
      <c r="K188" s="621" t="s">
        <v>991</v>
      </c>
      <c r="L188" s="621" t="s">
        <v>2221</v>
      </c>
      <c r="M188" s="621" t="s">
        <v>4712</v>
      </c>
      <c r="N188" s="621" t="s">
        <v>3942</v>
      </c>
      <c r="O188" s="621"/>
      <c r="P188" s="621"/>
    </row>
    <row r="189" spans="1:16" ht="14">
      <c r="A189" s="232" t="s">
        <v>4689</v>
      </c>
      <c r="B189" s="232">
        <v>2236190</v>
      </c>
      <c r="C189" s="622">
        <v>45291</v>
      </c>
      <c r="D189" s="232" t="s">
        <v>4690</v>
      </c>
      <c r="E189" s="708" t="s">
        <v>5069</v>
      </c>
      <c r="F189" s="233"/>
      <c r="G189" s="232" t="s">
        <v>4691</v>
      </c>
      <c r="H189" s="233"/>
      <c r="I189" s="233"/>
      <c r="J189" s="623">
        <v>12413482</v>
      </c>
      <c r="K189" s="624" t="s">
        <v>991</v>
      </c>
      <c r="L189" s="624" t="s">
        <v>2221</v>
      </c>
      <c r="M189" s="624" t="s">
        <v>4713</v>
      </c>
      <c r="N189" s="624" t="s">
        <v>3942</v>
      </c>
      <c r="O189" s="624"/>
      <c r="P189" s="624"/>
    </row>
    <row r="190" spans="1:16" ht="14">
      <c r="A190" s="231" t="s">
        <v>4689</v>
      </c>
      <c r="B190" s="231">
        <v>2236190</v>
      </c>
      <c r="C190" s="618">
        <v>45291</v>
      </c>
      <c r="D190" s="231" t="s">
        <v>4690</v>
      </c>
      <c r="E190" s="708" t="s">
        <v>5069</v>
      </c>
      <c r="F190" s="619"/>
      <c r="G190" s="231" t="s">
        <v>4691</v>
      </c>
      <c r="H190" s="619"/>
      <c r="I190" s="619"/>
      <c r="J190" s="620">
        <v>34461217</v>
      </c>
      <c r="K190" s="621" t="s">
        <v>991</v>
      </c>
      <c r="L190" s="621" t="s">
        <v>2221</v>
      </c>
      <c r="M190" s="621" t="s">
        <v>4694</v>
      </c>
      <c r="N190" s="621" t="s">
        <v>3942</v>
      </c>
      <c r="O190" s="621"/>
      <c r="P190" s="621"/>
    </row>
    <row r="191" spans="1:16" ht="14">
      <c r="A191" s="232" t="s">
        <v>4689</v>
      </c>
      <c r="B191" s="232">
        <v>2236190</v>
      </c>
      <c r="C191" s="622">
        <v>45291</v>
      </c>
      <c r="D191" s="232" t="s">
        <v>4690</v>
      </c>
      <c r="E191" s="708" t="s">
        <v>5069</v>
      </c>
      <c r="F191" s="233"/>
      <c r="G191" s="232" t="s">
        <v>4691</v>
      </c>
      <c r="H191" s="233"/>
      <c r="I191" s="233"/>
      <c r="J191" s="623">
        <v>402587397</v>
      </c>
      <c r="K191" s="624" t="s">
        <v>991</v>
      </c>
      <c r="L191" s="624" t="s">
        <v>2221</v>
      </c>
      <c r="M191" s="624" t="s">
        <v>4714</v>
      </c>
      <c r="N191" s="624" t="s">
        <v>3942</v>
      </c>
      <c r="O191" s="624"/>
      <c r="P191" s="624"/>
    </row>
    <row r="192" spans="1:16" ht="14">
      <c r="A192" s="231" t="s">
        <v>4689</v>
      </c>
      <c r="B192" s="231">
        <v>2236190</v>
      </c>
      <c r="C192" s="618">
        <v>45291</v>
      </c>
      <c r="D192" s="231" t="s">
        <v>4690</v>
      </c>
      <c r="E192" s="708" t="s">
        <v>5069</v>
      </c>
      <c r="F192" s="619"/>
      <c r="G192" s="231" t="s">
        <v>4691</v>
      </c>
      <c r="H192" s="619"/>
      <c r="I192" s="619"/>
      <c r="J192" s="620">
        <v>81065137</v>
      </c>
      <c r="K192" s="621" t="s">
        <v>991</v>
      </c>
      <c r="L192" s="621" t="s">
        <v>2221</v>
      </c>
      <c r="M192" s="621" t="s">
        <v>4715</v>
      </c>
      <c r="N192" s="621" t="s">
        <v>3942</v>
      </c>
      <c r="O192" s="621"/>
      <c r="P192" s="621"/>
    </row>
    <row r="193" spans="1:16" ht="14">
      <c r="A193" s="232" t="s">
        <v>4689</v>
      </c>
      <c r="B193" s="232">
        <v>2236190</v>
      </c>
      <c r="C193" s="622">
        <v>45291</v>
      </c>
      <c r="D193" s="232" t="s">
        <v>4690</v>
      </c>
      <c r="E193" s="708" t="s">
        <v>5069</v>
      </c>
      <c r="F193" s="233"/>
      <c r="G193" s="232" t="s">
        <v>4691</v>
      </c>
      <c r="H193" s="233"/>
      <c r="I193" s="233"/>
      <c r="J193" s="623">
        <v>781337</v>
      </c>
      <c r="K193" s="624" t="s">
        <v>991</v>
      </c>
      <c r="L193" s="624" t="s">
        <v>2221</v>
      </c>
      <c r="M193" s="624" t="s">
        <v>4716</v>
      </c>
      <c r="N193" s="624" t="s">
        <v>3942</v>
      </c>
      <c r="O193" s="624"/>
      <c r="P193" s="624"/>
    </row>
    <row r="194" spans="1:16" ht="14">
      <c r="A194" s="231" t="s">
        <v>4689</v>
      </c>
      <c r="B194" s="231">
        <v>2236190</v>
      </c>
      <c r="C194" s="618">
        <v>45291</v>
      </c>
      <c r="D194" s="231" t="s">
        <v>4690</v>
      </c>
      <c r="E194" s="708" t="s">
        <v>5069</v>
      </c>
      <c r="F194" s="619"/>
      <c r="G194" s="231" t="s">
        <v>4691</v>
      </c>
      <c r="H194" s="619"/>
      <c r="I194" s="619"/>
      <c r="J194" s="620">
        <v>2573061</v>
      </c>
      <c r="K194" s="621" t="s">
        <v>991</v>
      </c>
      <c r="L194" s="621" t="s">
        <v>2221</v>
      </c>
      <c r="M194" s="621" t="s">
        <v>4717</v>
      </c>
      <c r="N194" s="621" t="s">
        <v>3942</v>
      </c>
      <c r="O194" s="621"/>
      <c r="P194" s="621"/>
    </row>
    <row r="195" spans="1:16" ht="14">
      <c r="A195" s="232" t="s">
        <v>4689</v>
      </c>
      <c r="B195" s="232">
        <v>2236190</v>
      </c>
      <c r="C195" s="622">
        <v>45291</v>
      </c>
      <c r="D195" s="232" t="s">
        <v>4690</v>
      </c>
      <c r="E195" s="708" t="s">
        <v>5069</v>
      </c>
      <c r="F195" s="233"/>
      <c r="G195" s="232" t="s">
        <v>4691</v>
      </c>
      <c r="H195" s="233"/>
      <c r="I195" s="233"/>
      <c r="J195" s="623">
        <v>2415927</v>
      </c>
      <c r="K195" s="624" t="s">
        <v>991</v>
      </c>
      <c r="L195" s="624" t="s">
        <v>2221</v>
      </c>
      <c r="M195" s="624" t="s">
        <v>4718</v>
      </c>
      <c r="N195" s="624" t="s">
        <v>3942</v>
      </c>
      <c r="O195" s="624"/>
      <c r="P195" s="624"/>
    </row>
    <row r="196" spans="1:16" ht="14">
      <c r="A196" s="231" t="s">
        <v>4689</v>
      </c>
      <c r="B196" s="231">
        <v>2236190</v>
      </c>
      <c r="C196" s="618">
        <v>45291</v>
      </c>
      <c r="D196" s="231" t="s">
        <v>4690</v>
      </c>
      <c r="E196" s="708" t="s">
        <v>5069</v>
      </c>
      <c r="F196" s="619"/>
      <c r="G196" s="231" t="s">
        <v>4691</v>
      </c>
      <c r="H196" s="619"/>
      <c r="I196" s="619"/>
      <c r="J196" s="620">
        <v>120687513</v>
      </c>
      <c r="K196" s="621" t="s">
        <v>991</v>
      </c>
      <c r="L196" s="621" t="s">
        <v>2221</v>
      </c>
      <c r="M196" s="621" t="s">
        <v>4719</v>
      </c>
      <c r="N196" s="621" t="s">
        <v>3942</v>
      </c>
      <c r="O196" s="621"/>
      <c r="P196" s="621"/>
    </row>
    <row r="197" spans="1:16" ht="14">
      <c r="A197" s="232" t="s">
        <v>4689</v>
      </c>
      <c r="B197" s="232">
        <v>2236190</v>
      </c>
      <c r="C197" s="622">
        <v>45291</v>
      </c>
      <c r="D197" s="232" t="s">
        <v>4690</v>
      </c>
      <c r="E197" s="708" t="s">
        <v>5069</v>
      </c>
      <c r="F197" s="233"/>
      <c r="G197" s="232" t="s">
        <v>4691</v>
      </c>
      <c r="H197" s="233"/>
      <c r="I197" s="233"/>
      <c r="J197" s="623">
        <v>3963536</v>
      </c>
      <c r="K197" s="624" t="s">
        <v>991</v>
      </c>
      <c r="L197" s="624" t="s">
        <v>2221</v>
      </c>
      <c r="M197" s="624" t="s">
        <v>4720</v>
      </c>
      <c r="N197" s="624" t="s">
        <v>3942</v>
      </c>
      <c r="O197" s="624"/>
      <c r="P197" s="624"/>
    </row>
    <row r="198" spans="1:16" ht="14">
      <c r="A198" s="231" t="s">
        <v>4689</v>
      </c>
      <c r="B198" s="231">
        <v>2236190</v>
      </c>
      <c r="C198" s="618">
        <v>45291</v>
      </c>
      <c r="D198" s="231" t="s">
        <v>4690</v>
      </c>
      <c r="E198" s="708" t="s">
        <v>5069</v>
      </c>
      <c r="F198" s="619"/>
      <c r="G198" s="231" t="s">
        <v>4691</v>
      </c>
      <c r="H198" s="619"/>
      <c r="I198" s="619"/>
      <c r="J198" s="620">
        <v>745382</v>
      </c>
      <c r="K198" s="621" t="s">
        <v>991</v>
      </c>
      <c r="L198" s="621" t="s">
        <v>2221</v>
      </c>
      <c r="M198" s="621" t="s">
        <v>4721</v>
      </c>
      <c r="N198" s="621" t="s">
        <v>3942</v>
      </c>
      <c r="O198" s="621"/>
      <c r="P198" s="621"/>
    </row>
    <row r="199" spans="1:16" ht="14">
      <c r="A199" s="232" t="s">
        <v>4689</v>
      </c>
      <c r="B199" s="232">
        <v>2236190</v>
      </c>
      <c r="C199" s="622">
        <v>45291</v>
      </c>
      <c r="D199" s="232" t="s">
        <v>4690</v>
      </c>
      <c r="E199" s="708" t="s">
        <v>5069</v>
      </c>
      <c r="F199" s="233"/>
      <c r="G199" s="232" t="s">
        <v>4691</v>
      </c>
      <c r="H199" s="233"/>
      <c r="I199" s="233"/>
      <c r="J199" s="623">
        <v>184611</v>
      </c>
      <c r="K199" s="624" t="s">
        <v>991</v>
      </c>
      <c r="L199" s="624" t="s">
        <v>2221</v>
      </c>
      <c r="M199" s="624" t="s">
        <v>4722</v>
      </c>
      <c r="N199" s="624" t="s">
        <v>3942</v>
      </c>
      <c r="O199" s="624"/>
      <c r="P199" s="624"/>
    </row>
    <row r="200" spans="1:16" ht="14">
      <c r="A200" s="231" t="s">
        <v>4689</v>
      </c>
      <c r="B200" s="231">
        <v>2236190</v>
      </c>
      <c r="C200" s="618">
        <v>45291</v>
      </c>
      <c r="D200" s="231" t="s">
        <v>4690</v>
      </c>
      <c r="E200" s="708" t="s">
        <v>5069</v>
      </c>
      <c r="F200" s="619"/>
      <c r="G200" s="231" t="s">
        <v>4691</v>
      </c>
      <c r="H200" s="619"/>
      <c r="I200" s="619"/>
      <c r="J200" s="620">
        <v>4797772</v>
      </c>
      <c r="K200" s="621" t="s">
        <v>991</v>
      </c>
      <c r="L200" s="621" t="s">
        <v>2221</v>
      </c>
      <c r="M200" s="621" t="s">
        <v>4723</v>
      </c>
      <c r="N200" s="621" t="s">
        <v>3942</v>
      </c>
      <c r="O200" s="621"/>
      <c r="P200" s="621"/>
    </row>
    <row r="201" spans="1:16" ht="14">
      <c r="A201" s="232" t="s">
        <v>4689</v>
      </c>
      <c r="B201" s="232">
        <v>2236190</v>
      </c>
      <c r="C201" s="622">
        <v>45291</v>
      </c>
      <c r="D201" s="232" t="s">
        <v>4690</v>
      </c>
      <c r="E201" s="708" t="s">
        <v>5069</v>
      </c>
      <c r="F201" s="233"/>
      <c r="G201" s="232" t="s">
        <v>4691</v>
      </c>
      <c r="H201" s="233"/>
      <c r="I201" s="233"/>
      <c r="J201" s="623">
        <v>2021794</v>
      </c>
      <c r="K201" s="624" t="s">
        <v>991</v>
      </c>
      <c r="L201" s="624" t="s">
        <v>2221</v>
      </c>
      <c r="M201" s="624" t="s">
        <v>4724</v>
      </c>
      <c r="N201" s="624" t="s">
        <v>3942</v>
      </c>
      <c r="O201" s="624"/>
      <c r="P201" s="624"/>
    </row>
    <row r="202" spans="1:16" ht="14">
      <c r="A202" s="231" t="s">
        <v>4689</v>
      </c>
      <c r="B202" s="231">
        <v>2236190</v>
      </c>
      <c r="C202" s="618">
        <v>45291</v>
      </c>
      <c r="D202" s="231" t="s">
        <v>4690</v>
      </c>
      <c r="E202" s="708" t="s">
        <v>5069</v>
      </c>
      <c r="F202" s="619"/>
      <c r="G202" s="231" t="s">
        <v>4691</v>
      </c>
      <c r="H202" s="619"/>
      <c r="I202" s="619"/>
      <c r="J202" s="620">
        <v>425933</v>
      </c>
      <c r="K202" s="621" t="s">
        <v>991</v>
      </c>
      <c r="L202" s="621" t="s">
        <v>2221</v>
      </c>
      <c r="M202" s="621" t="s">
        <v>4725</v>
      </c>
      <c r="N202" s="621" t="s">
        <v>3942</v>
      </c>
      <c r="O202" s="621"/>
      <c r="P202" s="621"/>
    </row>
    <row r="203" spans="1:16" ht="14">
      <c r="A203" s="232" t="s">
        <v>4689</v>
      </c>
      <c r="B203" s="232">
        <v>2236190</v>
      </c>
      <c r="C203" s="622">
        <v>45291</v>
      </c>
      <c r="D203" s="232" t="s">
        <v>4690</v>
      </c>
      <c r="E203" s="708" t="s">
        <v>5069</v>
      </c>
      <c r="F203" s="233"/>
      <c r="G203" s="232" t="s">
        <v>4691</v>
      </c>
      <c r="H203" s="233"/>
      <c r="I203" s="233"/>
      <c r="J203" s="623">
        <v>335718154</v>
      </c>
      <c r="K203" s="624" t="s">
        <v>991</v>
      </c>
      <c r="L203" s="624" t="s">
        <v>2221</v>
      </c>
      <c r="M203" s="624" t="s">
        <v>4726</v>
      </c>
      <c r="N203" s="624" t="s">
        <v>3942</v>
      </c>
      <c r="O203" s="624"/>
      <c r="P203" s="624"/>
    </row>
    <row r="204" spans="1:16" ht="14">
      <c r="A204" s="231" t="s">
        <v>4689</v>
      </c>
      <c r="B204" s="231">
        <v>2236190</v>
      </c>
      <c r="C204" s="618">
        <v>45291</v>
      </c>
      <c r="D204" s="231" t="s">
        <v>4690</v>
      </c>
      <c r="E204" s="708" t="s">
        <v>5069</v>
      </c>
      <c r="F204" s="619"/>
      <c r="G204" s="231" t="s">
        <v>4691</v>
      </c>
      <c r="H204" s="619"/>
      <c r="I204" s="619"/>
      <c r="J204" s="620">
        <v>3818102</v>
      </c>
      <c r="K204" s="621" t="s">
        <v>991</v>
      </c>
      <c r="L204" s="621" t="s">
        <v>2221</v>
      </c>
      <c r="M204" s="621" t="s">
        <v>4727</v>
      </c>
      <c r="N204" s="621" t="s">
        <v>3942</v>
      </c>
      <c r="O204" s="621"/>
      <c r="P204" s="621"/>
    </row>
    <row r="205" spans="1:16" ht="14">
      <c r="A205" s="232" t="s">
        <v>4689</v>
      </c>
      <c r="B205" s="232">
        <v>2236190</v>
      </c>
      <c r="C205" s="622">
        <v>45291</v>
      </c>
      <c r="D205" s="232" t="s">
        <v>4690</v>
      </c>
      <c r="E205" s="708" t="s">
        <v>5069</v>
      </c>
      <c r="F205" s="233"/>
      <c r="G205" s="232" t="s">
        <v>4691</v>
      </c>
      <c r="H205" s="233"/>
      <c r="I205" s="233"/>
      <c r="J205" s="623">
        <v>764800</v>
      </c>
      <c r="K205" s="624" t="s">
        <v>991</v>
      </c>
      <c r="L205" s="624" t="s">
        <v>2221</v>
      </c>
      <c r="M205" s="624" t="s">
        <v>4728</v>
      </c>
      <c r="N205" s="624" t="s">
        <v>3942</v>
      </c>
      <c r="O205" s="624"/>
      <c r="P205" s="624"/>
    </row>
    <row r="206" spans="1:16" ht="14">
      <c r="A206" s="231" t="s">
        <v>4689</v>
      </c>
      <c r="B206" s="231">
        <v>2236190</v>
      </c>
      <c r="C206" s="618">
        <v>45291</v>
      </c>
      <c r="D206" s="231" t="s">
        <v>4690</v>
      </c>
      <c r="E206" s="708" t="s">
        <v>5069</v>
      </c>
      <c r="F206" s="619"/>
      <c r="G206" s="231" t="s">
        <v>4691</v>
      </c>
      <c r="H206" s="619"/>
      <c r="I206" s="619"/>
      <c r="J206" s="620">
        <v>2266450</v>
      </c>
      <c r="K206" s="621" t="s">
        <v>991</v>
      </c>
      <c r="L206" s="621" t="s">
        <v>2221</v>
      </c>
      <c r="M206" s="621" t="s">
        <v>4729</v>
      </c>
      <c r="N206" s="621" t="s">
        <v>3942</v>
      </c>
      <c r="O206" s="621"/>
      <c r="P206" s="621"/>
    </row>
    <row r="207" spans="1:16" ht="14">
      <c r="A207" s="232" t="s">
        <v>4689</v>
      </c>
      <c r="B207" s="232">
        <v>2236190</v>
      </c>
      <c r="C207" s="622">
        <v>45291</v>
      </c>
      <c r="D207" s="232" t="s">
        <v>4690</v>
      </c>
      <c r="E207" s="708" t="s">
        <v>5069</v>
      </c>
      <c r="F207" s="233"/>
      <c r="G207" s="232" t="s">
        <v>4691</v>
      </c>
      <c r="H207" s="233"/>
      <c r="I207" s="233"/>
      <c r="J207" s="623">
        <v>761100</v>
      </c>
      <c r="K207" s="624" t="s">
        <v>991</v>
      </c>
      <c r="L207" s="624" t="s">
        <v>2221</v>
      </c>
      <c r="M207" s="624" t="s">
        <v>4730</v>
      </c>
      <c r="N207" s="624" t="s">
        <v>3942</v>
      </c>
      <c r="O207" s="624"/>
      <c r="P207" s="624"/>
    </row>
    <row r="208" spans="1:16" ht="14">
      <c r="A208" s="231" t="s">
        <v>4689</v>
      </c>
      <c r="B208" s="231">
        <v>2236190</v>
      </c>
      <c r="C208" s="618">
        <v>45291</v>
      </c>
      <c r="D208" s="231" t="s">
        <v>4690</v>
      </c>
      <c r="E208" s="708" t="s">
        <v>5069</v>
      </c>
      <c r="F208" s="619"/>
      <c r="G208" s="231" t="s">
        <v>4691</v>
      </c>
      <c r="H208" s="619"/>
      <c r="I208" s="619"/>
      <c r="J208" s="620">
        <v>382320</v>
      </c>
      <c r="K208" s="621" t="s">
        <v>991</v>
      </c>
      <c r="L208" s="621" t="s">
        <v>2221</v>
      </c>
      <c r="M208" s="621" t="s">
        <v>4731</v>
      </c>
      <c r="N208" s="621" t="s">
        <v>3942</v>
      </c>
      <c r="O208" s="621"/>
      <c r="P208" s="621"/>
    </row>
    <row r="209" spans="1:16" ht="14">
      <c r="A209" s="232" t="s">
        <v>4689</v>
      </c>
      <c r="B209" s="232">
        <v>2236190</v>
      </c>
      <c r="C209" s="622">
        <v>45291</v>
      </c>
      <c r="D209" s="232" t="s">
        <v>4690</v>
      </c>
      <c r="E209" s="708" t="s">
        <v>5069</v>
      </c>
      <c r="F209" s="233"/>
      <c r="G209" s="232" t="s">
        <v>4691</v>
      </c>
      <c r="H209" s="233"/>
      <c r="I209" s="233"/>
      <c r="J209" s="623">
        <v>20364004</v>
      </c>
      <c r="K209" s="624" t="s">
        <v>991</v>
      </c>
      <c r="L209" s="624" t="s">
        <v>2221</v>
      </c>
      <c r="M209" s="624" t="s">
        <v>4732</v>
      </c>
      <c r="N209" s="624" t="s">
        <v>3942</v>
      </c>
      <c r="O209" s="624"/>
      <c r="P209" s="624"/>
    </row>
    <row r="210" spans="1:16" ht="14">
      <c r="A210" s="231" t="s">
        <v>4689</v>
      </c>
      <c r="B210" s="231">
        <v>2236190</v>
      </c>
      <c r="C210" s="618">
        <v>45291</v>
      </c>
      <c r="D210" s="231" t="s">
        <v>4690</v>
      </c>
      <c r="E210" s="708" t="s">
        <v>5069</v>
      </c>
      <c r="F210" s="619"/>
      <c r="G210" s="231" t="s">
        <v>4691</v>
      </c>
      <c r="H210" s="619"/>
      <c r="I210" s="619"/>
      <c r="J210" s="620">
        <v>347492</v>
      </c>
      <c r="K210" s="621" t="s">
        <v>991</v>
      </c>
      <c r="L210" s="621" t="s">
        <v>2221</v>
      </c>
      <c r="M210" s="621" t="s">
        <v>4733</v>
      </c>
      <c r="N210" s="621" t="s">
        <v>3942</v>
      </c>
      <c r="O210" s="621"/>
      <c r="P210" s="621"/>
    </row>
    <row r="211" spans="1:16" ht="14">
      <c r="A211" s="232" t="s">
        <v>4689</v>
      </c>
      <c r="B211" s="232">
        <v>2236190</v>
      </c>
      <c r="C211" s="622">
        <v>45291</v>
      </c>
      <c r="D211" s="232" t="s">
        <v>4690</v>
      </c>
      <c r="E211" s="708" t="s">
        <v>5069</v>
      </c>
      <c r="F211" s="233"/>
      <c r="G211" s="232" t="s">
        <v>4691</v>
      </c>
      <c r="H211" s="233"/>
      <c r="I211" s="233"/>
      <c r="J211" s="623">
        <v>615110</v>
      </c>
      <c r="K211" s="624" t="s">
        <v>991</v>
      </c>
      <c r="L211" s="624" t="s">
        <v>2221</v>
      </c>
      <c r="M211" s="624" t="s">
        <v>4734</v>
      </c>
      <c r="N211" s="624" t="s">
        <v>3942</v>
      </c>
      <c r="O211" s="624"/>
      <c r="P211" s="624"/>
    </row>
    <row r="212" spans="1:16" ht="14">
      <c r="A212" s="231" t="s">
        <v>4689</v>
      </c>
      <c r="B212" s="231">
        <v>2236190</v>
      </c>
      <c r="C212" s="618">
        <v>45291</v>
      </c>
      <c r="D212" s="231" t="s">
        <v>4690</v>
      </c>
      <c r="E212" s="708" t="s">
        <v>5069</v>
      </c>
      <c r="F212" s="619"/>
      <c r="G212" s="231" t="s">
        <v>4691</v>
      </c>
      <c r="H212" s="619"/>
      <c r="I212" s="619"/>
      <c r="J212" s="620">
        <v>310387</v>
      </c>
      <c r="K212" s="621" t="s">
        <v>991</v>
      </c>
      <c r="L212" s="621" t="s">
        <v>2221</v>
      </c>
      <c r="M212" s="621" t="s">
        <v>4735</v>
      </c>
      <c r="N212" s="621" t="s">
        <v>3942</v>
      </c>
      <c r="O212" s="621"/>
      <c r="P212" s="621"/>
    </row>
    <row r="213" spans="1:16" ht="14">
      <c r="A213" s="232" t="s">
        <v>4689</v>
      </c>
      <c r="B213" s="232">
        <v>2236190</v>
      </c>
      <c r="C213" s="622">
        <v>45291</v>
      </c>
      <c r="D213" s="232" t="s">
        <v>4690</v>
      </c>
      <c r="E213" s="708" t="s">
        <v>5069</v>
      </c>
      <c r="F213" s="233"/>
      <c r="G213" s="232" t="s">
        <v>4691</v>
      </c>
      <c r="H213" s="233"/>
      <c r="I213" s="233"/>
      <c r="J213" s="623">
        <v>9941130</v>
      </c>
      <c r="K213" s="624" t="s">
        <v>991</v>
      </c>
      <c r="L213" s="624" t="s">
        <v>2221</v>
      </c>
      <c r="M213" s="624" t="s">
        <v>4736</v>
      </c>
      <c r="N213" s="624" t="s">
        <v>3942</v>
      </c>
      <c r="O213" s="624"/>
      <c r="P213" s="624"/>
    </row>
    <row r="214" spans="1:16" ht="14">
      <c r="A214" s="231" t="s">
        <v>4689</v>
      </c>
      <c r="B214" s="231">
        <v>2236190</v>
      </c>
      <c r="C214" s="618">
        <v>45291</v>
      </c>
      <c r="D214" s="231" t="s">
        <v>4690</v>
      </c>
      <c r="E214" s="708" t="s">
        <v>5069</v>
      </c>
      <c r="F214" s="619"/>
      <c r="G214" s="231" t="s">
        <v>4691</v>
      </c>
      <c r="H214" s="619"/>
      <c r="I214" s="619"/>
      <c r="J214" s="620">
        <v>1770000</v>
      </c>
      <c r="K214" s="621" t="s">
        <v>991</v>
      </c>
      <c r="L214" s="621" t="s">
        <v>2221</v>
      </c>
      <c r="M214" s="621" t="s">
        <v>4737</v>
      </c>
      <c r="N214" s="621" t="s">
        <v>3942</v>
      </c>
      <c r="O214" s="621"/>
      <c r="P214" s="621"/>
    </row>
    <row r="215" spans="1:16" ht="14">
      <c r="A215" s="232" t="s">
        <v>4689</v>
      </c>
      <c r="B215" s="232">
        <v>2236190</v>
      </c>
      <c r="C215" s="622">
        <v>45291</v>
      </c>
      <c r="D215" s="232" t="s">
        <v>4690</v>
      </c>
      <c r="E215" s="708" t="s">
        <v>5069</v>
      </c>
      <c r="F215" s="233"/>
      <c r="G215" s="232" t="s">
        <v>4691</v>
      </c>
      <c r="H215" s="233"/>
      <c r="I215" s="233"/>
      <c r="J215" s="623">
        <v>766693</v>
      </c>
      <c r="K215" s="624" t="s">
        <v>991</v>
      </c>
      <c r="L215" s="624" t="s">
        <v>2221</v>
      </c>
      <c r="M215" s="624" t="s">
        <v>4738</v>
      </c>
      <c r="N215" s="624" t="s">
        <v>3942</v>
      </c>
      <c r="O215" s="624"/>
      <c r="P215" s="624"/>
    </row>
    <row r="216" spans="1:16" ht="14">
      <c r="A216" s="231" t="s">
        <v>4689</v>
      </c>
      <c r="B216" s="231">
        <v>2236190</v>
      </c>
      <c r="C216" s="618">
        <v>45291</v>
      </c>
      <c r="D216" s="231" t="s">
        <v>4690</v>
      </c>
      <c r="E216" s="708" t="s">
        <v>5069</v>
      </c>
      <c r="F216" s="619"/>
      <c r="G216" s="231" t="s">
        <v>4691</v>
      </c>
      <c r="H216" s="619"/>
      <c r="I216" s="619"/>
      <c r="J216" s="620">
        <v>411436</v>
      </c>
      <c r="K216" s="621" t="s">
        <v>991</v>
      </c>
      <c r="L216" s="621" t="s">
        <v>2221</v>
      </c>
      <c r="M216" s="621" t="s">
        <v>4739</v>
      </c>
      <c r="N216" s="621" t="s">
        <v>3942</v>
      </c>
      <c r="O216" s="621"/>
      <c r="P216" s="621"/>
    </row>
    <row r="217" spans="1:16" ht="14">
      <c r="A217" s="232" t="s">
        <v>4689</v>
      </c>
      <c r="B217" s="232">
        <v>2236190</v>
      </c>
      <c r="C217" s="622">
        <v>45291</v>
      </c>
      <c r="D217" s="232" t="s">
        <v>4690</v>
      </c>
      <c r="E217" s="708" t="s">
        <v>5069</v>
      </c>
      <c r="F217" s="233"/>
      <c r="G217" s="232" t="s">
        <v>4691</v>
      </c>
      <c r="H217" s="233"/>
      <c r="I217" s="233"/>
      <c r="J217" s="623">
        <v>345757</v>
      </c>
      <c r="K217" s="624" t="s">
        <v>991</v>
      </c>
      <c r="L217" s="624" t="s">
        <v>2221</v>
      </c>
      <c r="M217" s="624" t="s">
        <v>4740</v>
      </c>
      <c r="N217" s="624" t="s">
        <v>3942</v>
      </c>
      <c r="O217" s="624"/>
      <c r="P217" s="624"/>
    </row>
    <row r="218" spans="1:16" ht="14">
      <c r="A218" s="231" t="s">
        <v>4689</v>
      </c>
      <c r="B218" s="231">
        <v>2236190</v>
      </c>
      <c r="C218" s="618">
        <v>45291</v>
      </c>
      <c r="D218" s="231" t="s">
        <v>4690</v>
      </c>
      <c r="E218" s="708" t="s">
        <v>5069</v>
      </c>
      <c r="F218" s="619"/>
      <c r="G218" s="231" t="s">
        <v>4691</v>
      </c>
      <c r="H218" s="619"/>
      <c r="I218" s="619"/>
      <c r="J218" s="620">
        <v>1844240</v>
      </c>
      <c r="K218" s="621" t="s">
        <v>991</v>
      </c>
      <c r="L218" s="621" t="s">
        <v>2221</v>
      </c>
      <c r="M218" s="621" t="s">
        <v>4741</v>
      </c>
      <c r="N218" s="621" t="s">
        <v>3942</v>
      </c>
      <c r="O218" s="621"/>
      <c r="P218" s="621"/>
    </row>
    <row r="219" spans="1:16" ht="14">
      <c r="A219" s="232" t="s">
        <v>4689</v>
      </c>
      <c r="B219" s="232">
        <v>2236190</v>
      </c>
      <c r="C219" s="622">
        <v>45291</v>
      </c>
      <c r="D219" s="232" t="s">
        <v>4690</v>
      </c>
      <c r="E219" s="708" t="s">
        <v>5069</v>
      </c>
      <c r="F219" s="233"/>
      <c r="G219" s="232" t="s">
        <v>4691</v>
      </c>
      <c r="H219" s="233"/>
      <c r="I219" s="233"/>
      <c r="J219" s="623">
        <v>27236336</v>
      </c>
      <c r="K219" s="624" t="s">
        <v>991</v>
      </c>
      <c r="L219" s="624" t="s">
        <v>2221</v>
      </c>
      <c r="M219" s="624" t="s">
        <v>4742</v>
      </c>
      <c r="N219" s="624" t="s">
        <v>3942</v>
      </c>
      <c r="O219" s="624"/>
      <c r="P219" s="624"/>
    </row>
    <row r="220" spans="1:16" ht="14">
      <c r="A220" s="231" t="s">
        <v>4689</v>
      </c>
      <c r="B220" s="231">
        <v>2236190</v>
      </c>
      <c r="C220" s="618">
        <v>45291</v>
      </c>
      <c r="D220" s="231" t="s">
        <v>4690</v>
      </c>
      <c r="E220" s="708" t="s">
        <v>5069</v>
      </c>
      <c r="F220" s="619"/>
      <c r="G220" s="231" t="s">
        <v>4691</v>
      </c>
      <c r="H220" s="619"/>
      <c r="I220" s="619"/>
      <c r="J220" s="620">
        <v>847544</v>
      </c>
      <c r="K220" s="621" t="s">
        <v>991</v>
      </c>
      <c r="L220" s="621" t="s">
        <v>2221</v>
      </c>
      <c r="M220" s="621" t="s">
        <v>4743</v>
      </c>
      <c r="N220" s="621" t="s">
        <v>3942</v>
      </c>
      <c r="O220" s="621"/>
      <c r="P220" s="621"/>
    </row>
    <row r="221" spans="1:16" ht="14">
      <c r="A221" s="232" t="s">
        <v>4689</v>
      </c>
      <c r="B221" s="232">
        <v>2236190</v>
      </c>
      <c r="C221" s="622">
        <v>45291</v>
      </c>
      <c r="D221" s="232" t="s">
        <v>4690</v>
      </c>
      <c r="E221" s="708" t="s">
        <v>5069</v>
      </c>
      <c r="F221" s="233"/>
      <c r="G221" s="232" t="s">
        <v>4691</v>
      </c>
      <c r="H221" s="233"/>
      <c r="I221" s="233"/>
      <c r="J221" s="623">
        <v>3396417</v>
      </c>
      <c r="K221" s="624" t="s">
        <v>991</v>
      </c>
      <c r="L221" s="624" t="s">
        <v>2221</v>
      </c>
      <c r="M221" s="624" t="s">
        <v>4744</v>
      </c>
      <c r="N221" s="624" t="s">
        <v>3942</v>
      </c>
      <c r="O221" s="624"/>
      <c r="P221" s="624"/>
    </row>
    <row r="222" spans="1:16" ht="14">
      <c r="A222" s="231" t="s">
        <v>4689</v>
      </c>
      <c r="B222" s="231">
        <v>2236190</v>
      </c>
      <c r="C222" s="618">
        <v>45291</v>
      </c>
      <c r="D222" s="231" t="s">
        <v>4690</v>
      </c>
      <c r="E222" s="708" t="s">
        <v>5069</v>
      </c>
      <c r="F222" s="619"/>
      <c r="G222" s="231" t="s">
        <v>4691</v>
      </c>
      <c r="H222" s="619"/>
      <c r="I222" s="619"/>
      <c r="J222" s="620">
        <v>401289</v>
      </c>
      <c r="K222" s="621" t="s">
        <v>991</v>
      </c>
      <c r="L222" s="621" t="s">
        <v>2221</v>
      </c>
      <c r="M222" s="621" t="s">
        <v>4745</v>
      </c>
      <c r="N222" s="621" t="s">
        <v>3942</v>
      </c>
      <c r="O222" s="621"/>
      <c r="P222" s="621"/>
    </row>
    <row r="223" spans="1:16" ht="14">
      <c r="A223" s="232" t="s">
        <v>4689</v>
      </c>
      <c r="B223" s="232">
        <v>2236190</v>
      </c>
      <c r="C223" s="622">
        <v>45291</v>
      </c>
      <c r="D223" s="232" t="s">
        <v>4690</v>
      </c>
      <c r="E223" s="708" t="s">
        <v>5069</v>
      </c>
      <c r="F223" s="233"/>
      <c r="G223" s="232" t="s">
        <v>4691</v>
      </c>
      <c r="H223" s="233"/>
      <c r="I223" s="233"/>
      <c r="J223" s="623">
        <v>990350</v>
      </c>
      <c r="K223" s="624" t="s">
        <v>991</v>
      </c>
      <c r="L223" s="624" t="s">
        <v>2221</v>
      </c>
      <c r="M223" s="624" t="s">
        <v>4746</v>
      </c>
      <c r="N223" s="624" t="s">
        <v>3942</v>
      </c>
      <c r="O223" s="624"/>
      <c r="P223" s="624"/>
    </row>
    <row r="224" spans="1:16" ht="14">
      <c r="A224" s="231" t="s">
        <v>4689</v>
      </c>
      <c r="B224" s="231">
        <v>2236190</v>
      </c>
      <c r="C224" s="618">
        <v>45291</v>
      </c>
      <c r="D224" s="231" t="s">
        <v>4690</v>
      </c>
      <c r="E224" s="708" t="s">
        <v>5069</v>
      </c>
      <c r="F224" s="619"/>
      <c r="G224" s="231" t="s">
        <v>4691</v>
      </c>
      <c r="H224" s="619"/>
      <c r="I224" s="619"/>
      <c r="J224" s="620">
        <v>2301549</v>
      </c>
      <c r="K224" s="621" t="s">
        <v>991</v>
      </c>
      <c r="L224" s="621" t="s">
        <v>2221</v>
      </c>
      <c r="M224" s="621" t="s">
        <v>4747</v>
      </c>
      <c r="N224" s="621" t="s">
        <v>3942</v>
      </c>
      <c r="O224" s="621"/>
      <c r="P224" s="621"/>
    </row>
    <row r="225" spans="1:16" ht="14">
      <c r="A225" s="232" t="s">
        <v>4689</v>
      </c>
      <c r="B225" s="232">
        <v>2236190</v>
      </c>
      <c r="C225" s="622">
        <v>45291</v>
      </c>
      <c r="D225" s="232" t="s">
        <v>4690</v>
      </c>
      <c r="E225" s="708" t="s">
        <v>5069</v>
      </c>
      <c r="F225" s="233"/>
      <c r="G225" s="232" t="s">
        <v>4691</v>
      </c>
      <c r="H225" s="233"/>
      <c r="I225" s="233"/>
      <c r="J225" s="623">
        <v>8832424</v>
      </c>
      <c r="K225" s="624" t="s">
        <v>991</v>
      </c>
      <c r="L225" s="624" t="s">
        <v>2221</v>
      </c>
      <c r="M225" s="624" t="s">
        <v>4695</v>
      </c>
      <c r="N225" s="624" t="s">
        <v>3942</v>
      </c>
      <c r="O225" s="624"/>
      <c r="P225" s="624"/>
    </row>
    <row r="226" spans="1:16" ht="14">
      <c r="A226" s="231" t="s">
        <v>4689</v>
      </c>
      <c r="B226" s="231">
        <v>2236190</v>
      </c>
      <c r="C226" s="618">
        <v>45291</v>
      </c>
      <c r="D226" s="231" t="s">
        <v>4690</v>
      </c>
      <c r="E226" s="708" t="s">
        <v>5069</v>
      </c>
      <c r="F226" s="619"/>
      <c r="G226" s="231" t="s">
        <v>4691</v>
      </c>
      <c r="H226" s="619"/>
      <c r="I226" s="619"/>
      <c r="J226" s="620">
        <v>2422152</v>
      </c>
      <c r="K226" s="621" t="s">
        <v>991</v>
      </c>
      <c r="L226" s="621" t="s">
        <v>2221</v>
      </c>
      <c r="M226" s="621" t="s">
        <v>4748</v>
      </c>
      <c r="N226" s="621" t="s">
        <v>3942</v>
      </c>
      <c r="O226" s="621"/>
      <c r="P226" s="621"/>
    </row>
    <row r="227" spans="1:16" ht="14">
      <c r="A227" s="232" t="s">
        <v>4689</v>
      </c>
      <c r="B227" s="232">
        <v>2236190</v>
      </c>
      <c r="C227" s="622">
        <v>45291</v>
      </c>
      <c r="D227" s="232" t="s">
        <v>4690</v>
      </c>
      <c r="E227" s="708" t="s">
        <v>5069</v>
      </c>
      <c r="F227" s="233"/>
      <c r="G227" s="232" t="s">
        <v>4691</v>
      </c>
      <c r="H227" s="233"/>
      <c r="I227" s="233"/>
      <c r="J227" s="623">
        <v>91896664</v>
      </c>
      <c r="K227" s="624" t="s">
        <v>991</v>
      </c>
      <c r="L227" s="624" t="s">
        <v>2221</v>
      </c>
      <c r="M227" s="624" t="s">
        <v>4749</v>
      </c>
      <c r="N227" s="624" t="s">
        <v>3942</v>
      </c>
      <c r="O227" s="624"/>
      <c r="P227" s="624"/>
    </row>
    <row r="228" spans="1:16">
      <c r="A228" s="231" t="s">
        <v>683</v>
      </c>
      <c r="B228" s="231" t="s">
        <v>1319</v>
      </c>
      <c r="C228" s="618" t="s">
        <v>4750</v>
      </c>
      <c r="D228" s="231" t="s">
        <v>4751</v>
      </c>
      <c r="E228" s="231" t="s">
        <v>5070</v>
      </c>
      <c r="F228" s="619">
        <v>57211.45</v>
      </c>
      <c r="G228" s="231" t="s">
        <v>4691</v>
      </c>
      <c r="H228" s="619"/>
      <c r="I228" s="619"/>
      <c r="J228" s="620">
        <v>2746140350</v>
      </c>
      <c r="K228" s="621"/>
      <c r="L228" s="621"/>
      <c r="M228" s="621"/>
      <c r="N228" s="621" t="s">
        <v>4752</v>
      </c>
      <c r="O228" s="621"/>
      <c r="P228" s="621"/>
    </row>
    <row r="229" spans="1:16">
      <c r="A229" s="232" t="s">
        <v>683</v>
      </c>
      <c r="B229" s="232" t="s">
        <v>1319</v>
      </c>
      <c r="C229" s="622" t="s">
        <v>4750</v>
      </c>
      <c r="D229" s="232" t="s">
        <v>4751</v>
      </c>
      <c r="E229" s="231" t="s">
        <v>5070</v>
      </c>
      <c r="F229" s="233">
        <v>2030</v>
      </c>
      <c r="G229" s="232" t="s">
        <v>4691</v>
      </c>
      <c r="H229" s="233"/>
      <c r="I229" s="233"/>
      <c r="J229" s="623">
        <v>97440000</v>
      </c>
      <c r="K229" s="624"/>
      <c r="L229" s="624"/>
      <c r="M229" s="624"/>
      <c r="N229" s="624" t="s">
        <v>4753</v>
      </c>
      <c r="O229" s="624"/>
      <c r="P229" s="624"/>
    </row>
    <row r="230" spans="1:16">
      <c r="A230" s="231" t="s">
        <v>683</v>
      </c>
      <c r="B230" s="231" t="s">
        <v>1319</v>
      </c>
      <c r="C230" s="618" t="s">
        <v>4750</v>
      </c>
      <c r="D230" s="231" t="s">
        <v>4751</v>
      </c>
      <c r="E230" s="231" t="s">
        <v>5070</v>
      </c>
      <c r="F230" s="619">
        <v>69595.199999999997</v>
      </c>
      <c r="G230" s="231" t="s">
        <v>4691</v>
      </c>
      <c r="H230" s="619"/>
      <c r="I230" s="619"/>
      <c r="J230" s="620">
        <v>3477608400</v>
      </c>
      <c r="K230" s="621"/>
      <c r="L230" s="621"/>
      <c r="M230" s="621"/>
      <c r="N230" s="621" t="s">
        <v>4754</v>
      </c>
      <c r="O230" s="621"/>
      <c r="P230" s="621"/>
    </row>
    <row r="231" spans="1:16">
      <c r="A231" s="232" t="s">
        <v>683</v>
      </c>
      <c r="B231" s="232" t="s">
        <v>1319</v>
      </c>
      <c r="C231" s="622" t="s">
        <v>4750</v>
      </c>
      <c r="D231" s="232" t="s">
        <v>4751</v>
      </c>
      <c r="E231" s="231" t="s">
        <v>5070</v>
      </c>
      <c r="F231" s="233">
        <v>485</v>
      </c>
      <c r="G231" s="232" t="s">
        <v>4691</v>
      </c>
      <c r="H231" s="233"/>
      <c r="I231" s="233"/>
      <c r="J231" s="623">
        <v>23805000</v>
      </c>
      <c r="K231" s="624"/>
      <c r="L231" s="624"/>
      <c r="M231" s="624"/>
      <c r="N231" s="624" t="s">
        <v>4755</v>
      </c>
      <c r="O231" s="624"/>
      <c r="P231" s="624"/>
    </row>
    <row r="232" spans="1:16">
      <c r="A232" s="231" t="s">
        <v>683</v>
      </c>
      <c r="B232" s="231" t="s">
        <v>1319</v>
      </c>
      <c r="C232" s="618" t="s">
        <v>4756</v>
      </c>
      <c r="D232" s="231" t="s">
        <v>4751</v>
      </c>
      <c r="E232" s="231" t="s">
        <v>5070</v>
      </c>
      <c r="F232" s="619">
        <v>64007.3</v>
      </c>
      <c r="G232" s="231" t="s">
        <v>4691</v>
      </c>
      <c r="H232" s="619"/>
      <c r="I232" s="619"/>
      <c r="J232" s="620">
        <v>3132520750</v>
      </c>
      <c r="K232" s="621"/>
      <c r="L232" s="621"/>
      <c r="M232" s="621"/>
      <c r="N232" s="621" t="s">
        <v>4752</v>
      </c>
      <c r="O232" s="621"/>
      <c r="P232" s="621"/>
    </row>
    <row r="233" spans="1:16">
      <c r="A233" s="232" t="s">
        <v>683</v>
      </c>
      <c r="B233" s="232" t="s">
        <v>1319</v>
      </c>
      <c r="C233" s="622" t="s">
        <v>4756</v>
      </c>
      <c r="D233" s="232" t="s">
        <v>4751</v>
      </c>
      <c r="E233" s="231" t="s">
        <v>5070</v>
      </c>
      <c r="F233" s="233">
        <v>3030</v>
      </c>
      <c r="G233" s="232" t="s">
        <v>4691</v>
      </c>
      <c r="H233" s="233"/>
      <c r="I233" s="233"/>
      <c r="J233" s="623">
        <v>145440000</v>
      </c>
      <c r="K233" s="624"/>
      <c r="L233" s="624"/>
      <c r="M233" s="624"/>
      <c r="N233" s="624" t="s">
        <v>4753</v>
      </c>
      <c r="O233" s="624"/>
      <c r="P233" s="624"/>
    </row>
    <row r="234" spans="1:16">
      <c r="A234" s="231" t="s">
        <v>683</v>
      </c>
      <c r="B234" s="231" t="s">
        <v>1319</v>
      </c>
      <c r="C234" s="618" t="s">
        <v>4756</v>
      </c>
      <c r="D234" s="231" t="s">
        <v>4751</v>
      </c>
      <c r="E234" s="231" t="s">
        <v>5070</v>
      </c>
      <c r="F234" s="619">
        <v>70785.899999999994</v>
      </c>
      <c r="G234" s="231" t="s">
        <v>4691</v>
      </c>
      <c r="H234" s="619"/>
      <c r="I234" s="619"/>
      <c r="J234" s="620">
        <v>3325057625</v>
      </c>
      <c r="K234" s="621"/>
      <c r="L234" s="621"/>
      <c r="M234" s="621"/>
      <c r="N234" s="621" t="s">
        <v>4754</v>
      </c>
      <c r="O234" s="621"/>
      <c r="P234" s="621"/>
    </row>
    <row r="235" spans="1:16">
      <c r="A235" s="232" t="s">
        <v>683</v>
      </c>
      <c r="B235" s="232" t="s">
        <v>1319</v>
      </c>
      <c r="C235" s="622" t="s">
        <v>4756</v>
      </c>
      <c r="D235" s="232" t="s">
        <v>4751</v>
      </c>
      <c r="E235" s="231" t="s">
        <v>5070</v>
      </c>
      <c r="F235" s="233">
        <v>0</v>
      </c>
      <c r="G235" s="232" t="s">
        <v>4691</v>
      </c>
      <c r="H235" s="233"/>
      <c r="I235" s="233"/>
      <c r="J235" s="623">
        <v>0</v>
      </c>
      <c r="K235" s="624"/>
      <c r="L235" s="624"/>
      <c r="M235" s="624"/>
      <c r="N235" s="624" t="s">
        <v>4755</v>
      </c>
      <c r="O235" s="624"/>
      <c r="P235" s="624"/>
    </row>
    <row r="236" spans="1:16">
      <c r="A236" s="231" t="s">
        <v>683</v>
      </c>
      <c r="B236" s="231" t="s">
        <v>1319</v>
      </c>
      <c r="C236" s="618" t="s">
        <v>4757</v>
      </c>
      <c r="D236" s="231" t="s">
        <v>4751</v>
      </c>
      <c r="E236" s="231" t="s">
        <v>5070</v>
      </c>
      <c r="F236" s="619">
        <v>54708.6</v>
      </c>
      <c r="G236" s="231" t="s">
        <v>4691</v>
      </c>
      <c r="H236" s="619"/>
      <c r="I236" s="619"/>
      <c r="J236" s="620">
        <v>2678333800</v>
      </c>
      <c r="K236" s="621"/>
      <c r="L236" s="621"/>
      <c r="M236" s="621"/>
      <c r="N236" s="621" t="s">
        <v>4752</v>
      </c>
      <c r="O236" s="621"/>
      <c r="P236" s="621"/>
    </row>
    <row r="237" spans="1:16">
      <c r="A237" s="232" t="s">
        <v>683</v>
      </c>
      <c r="B237" s="232" t="s">
        <v>1319</v>
      </c>
      <c r="C237" s="622" t="s">
        <v>4757</v>
      </c>
      <c r="D237" s="232" t="s">
        <v>4751</v>
      </c>
      <c r="E237" s="231" t="s">
        <v>5070</v>
      </c>
      <c r="F237" s="233">
        <v>2371</v>
      </c>
      <c r="G237" s="232" t="s">
        <v>4691</v>
      </c>
      <c r="H237" s="233"/>
      <c r="I237" s="233"/>
      <c r="J237" s="623">
        <v>113808000</v>
      </c>
      <c r="K237" s="624"/>
      <c r="L237" s="624"/>
      <c r="M237" s="624"/>
      <c r="N237" s="624" t="s">
        <v>4753</v>
      </c>
      <c r="O237" s="624"/>
      <c r="P237" s="624"/>
    </row>
    <row r="238" spans="1:16">
      <c r="A238" s="231" t="s">
        <v>683</v>
      </c>
      <c r="B238" s="231" t="s">
        <v>1319</v>
      </c>
      <c r="C238" s="618" t="s">
        <v>4757</v>
      </c>
      <c r="D238" s="231" t="s">
        <v>4751</v>
      </c>
      <c r="E238" s="231" t="s">
        <v>5070</v>
      </c>
      <c r="F238" s="619">
        <v>76462.2</v>
      </c>
      <c r="G238" s="231" t="s">
        <v>4691</v>
      </c>
      <c r="H238" s="619"/>
      <c r="I238" s="619"/>
      <c r="J238" s="620">
        <v>3803689100</v>
      </c>
      <c r="K238" s="621"/>
      <c r="L238" s="621"/>
      <c r="M238" s="621"/>
      <c r="N238" s="621" t="s">
        <v>4754</v>
      </c>
      <c r="O238" s="621"/>
      <c r="P238" s="621"/>
    </row>
    <row r="239" spans="1:16">
      <c r="A239" s="232" t="s">
        <v>683</v>
      </c>
      <c r="B239" s="232" t="s">
        <v>1319</v>
      </c>
      <c r="C239" s="622" t="s">
        <v>4757</v>
      </c>
      <c r="D239" s="232" t="s">
        <v>4751</v>
      </c>
      <c r="E239" s="231" t="s">
        <v>5070</v>
      </c>
      <c r="F239" s="233">
        <v>613</v>
      </c>
      <c r="G239" s="232" t="s">
        <v>4691</v>
      </c>
      <c r="H239" s="233"/>
      <c r="I239" s="233"/>
      <c r="J239" s="623">
        <v>30299000</v>
      </c>
      <c r="K239" s="624"/>
      <c r="L239" s="624"/>
      <c r="M239" s="624"/>
      <c r="N239" s="624" t="s">
        <v>4755</v>
      </c>
      <c r="O239" s="624"/>
      <c r="P239" s="624"/>
    </row>
    <row r="240" spans="1:16">
      <c r="A240" s="231" t="s">
        <v>683</v>
      </c>
      <c r="B240" s="231" t="s">
        <v>1319</v>
      </c>
      <c r="C240" s="618" t="s">
        <v>4758</v>
      </c>
      <c r="D240" s="231" t="s">
        <v>4751</v>
      </c>
      <c r="E240" s="231" t="s">
        <v>5070</v>
      </c>
      <c r="F240" s="619">
        <v>45686.35</v>
      </c>
      <c r="G240" s="231" t="s">
        <v>4691</v>
      </c>
      <c r="H240" s="619"/>
      <c r="I240" s="619"/>
      <c r="J240" s="620">
        <v>2241726150</v>
      </c>
      <c r="K240" s="621"/>
      <c r="L240" s="621"/>
      <c r="M240" s="621"/>
      <c r="N240" s="621" t="s">
        <v>4752</v>
      </c>
      <c r="O240" s="621"/>
      <c r="P240" s="621"/>
    </row>
    <row r="241" spans="1:16">
      <c r="A241" s="232" t="s">
        <v>683</v>
      </c>
      <c r="B241" s="232" t="s">
        <v>1319</v>
      </c>
      <c r="C241" s="622" t="s">
        <v>4758</v>
      </c>
      <c r="D241" s="232" t="s">
        <v>4751</v>
      </c>
      <c r="E241" s="231" t="s">
        <v>5070</v>
      </c>
      <c r="F241" s="233">
        <v>1927</v>
      </c>
      <c r="G241" s="232" t="s">
        <v>4691</v>
      </c>
      <c r="H241" s="233"/>
      <c r="I241" s="233"/>
      <c r="J241" s="623">
        <v>92496000</v>
      </c>
      <c r="K241" s="624"/>
      <c r="L241" s="624"/>
      <c r="M241" s="624"/>
      <c r="N241" s="624" t="s">
        <v>4753</v>
      </c>
      <c r="O241" s="624"/>
      <c r="P241" s="624"/>
    </row>
    <row r="242" spans="1:16">
      <c r="A242" s="231" t="s">
        <v>683</v>
      </c>
      <c r="B242" s="231" t="s">
        <v>1319</v>
      </c>
      <c r="C242" s="618" t="s">
        <v>4758</v>
      </c>
      <c r="D242" s="231" t="s">
        <v>4751</v>
      </c>
      <c r="E242" s="231" t="s">
        <v>5070</v>
      </c>
      <c r="F242" s="619">
        <v>65202.55</v>
      </c>
      <c r="G242" s="231" t="s">
        <v>4691</v>
      </c>
      <c r="H242" s="619"/>
      <c r="I242" s="619"/>
      <c r="J242" s="620">
        <v>3107995400</v>
      </c>
      <c r="K242" s="621"/>
      <c r="L242" s="621"/>
      <c r="M242" s="621"/>
      <c r="N242" s="621" t="s">
        <v>4754</v>
      </c>
      <c r="O242" s="621"/>
      <c r="P242" s="621"/>
    </row>
    <row r="243" spans="1:16">
      <c r="A243" s="232" t="s">
        <v>683</v>
      </c>
      <c r="B243" s="232" t="s">
        <v>1319</v>
      </c>
      <c r="C243" s="622" t="s">
        <v>4758</v>
      </c>
      <c r="D243" s="232" t="s">
        <v>4751</v>
      </c>
      <c r="E243" s="231" t="s">
        <v>5070</v>
      </c>
      <c r="F243" s="233">
        <v>55.2</v>
      </c>
      <c r="G243" s="232" t="s">
        <v>4691</v>
      </c>
      <c r="H243" s="233"/>
      <c r="I243" s="233"/>
      <c r="J243" s="623">
        <v>2649600</v>
      </c>
      <c r="K243" s="624"/>
      <c r="L243" s="624"/>
      <c r="M243" s="624"/>
      <c r="N243" s="624" t="s">
        <v>4755</v>
      </c>
      <c r="O243" s="624"/>
      <c r="P243" s="624"/>
    </row>
    <row r="244" spans="1:16">
      <c r="A244" s="231" t="s">
        <v>683</v>
      </c>
      <c r="B244" s="231" t="s">
        <v>1319</v>
      </c>
      <c r="C244" s="618" t="s">
        <v>4759</v>
      </c>
      <c r="D244" s="231" t="s">
        <v>4751</v>
      </c>
      <c r="E244" s="231" t="s">
        <v>5070</v>
      </c>
      <c r="F244" s="619">
        <v>57912.3</v>
      </c>
      <c r="G244" s="231" t="s">
        <v>4691</v>
      </c>
      <c r="H244" s="619"/>
      <c r="I244" s="619"/>
      <c r="J244" s="620">
        <v>2838926200</v>
      </c>
      <c r="K244" s="621"/>
      <c r="L244" s="621"/>
      <c r="M244" s="621"/>
      <c r="N244" s="621" t="s">
        <v>4752</v>
      </c>
      <c r="O244" s="621"/>
      <c r="P244" s="621"/>
    </row>
    <row r="245" spans="1:16">
      <c r="A245" s="232" t="s">
        <v>683</v>
      </c>
      <c r="B245" s="232" t="s">
        <v>1319</v>
      </c>
      <c r="C245" s="622" t="s">
        <v>4759</v>
      </c>
      <c r="D245" s="232" t="s">
        <v>4751</v>
      </c>
      <c r="E245" s="231" t="s">
        <v>5070</v>
      </c>
      <c r="F245" s="233">
        <v>2318</v>
      </c>
      <c r="G245" s="232" t="s">
        <v>4691</v>
      </c>
      <c r="H245" s="233"/>
      <c r="I245" s="233"/>
      <c r="J245" s="623">
        <v>111264000</v>
      </c>
      <c r="K245" s="624"/>
      <c r="L245" s="624"/>
      <c r="M245" s="624"/>
      <c r="N245" s="624" t="s">
        <v>4753</v>
      </c>
      <c r="O245" s="624"/>
      <c r="P245" s="624"/>
    </row>
    <row r="246" spans="1:16">
      <c r="A246" s="231" t="s">
        <v>683</v>
      </c>
      <c r="B246" s="231" t="s">
        <v>1319</v>
      </c>
      <c r="C246" s="618" t="s">
        <v>4759</v>
      </c>
      <c r="D246" s="231" t="s">
        <v>4751</v>
      </c>
      <c r="E246" s="231" t="s">
        <v>5070</v>
      </c>
      <c r="F246" s="619">
        <v>78322.399999999994</v>
      </c>
      <c r="G246" s="231" t="s">
        <v>4691</v>
      </c>
      <c r="H246" s="619"/>
      <c r="I246" s="619"/>
      <c r="J246" s="620">
        <v>3846487500</v>
      </c>
      <c r="K246" s="621"/>
      <c r="L246" s="621"/>
      <c r="M246" s="621"/>
      <c r="N246" s="621" t="s">
        <v>4754</v>
      </c>
      <c r="O246" s="621"/>
      <c r="P246" s="621"/>
    </row>
    <row r="247" spans="1:16">
      <c r="A247" s="232" t="s">
        <v>683</v>
      </c>
      <c r="B247" s="232" t="s">
        <v>1319</v>
      </c>
      <c r="C247" s="622" t="s">
        <v>4759</v>
      </c>
      <c r="D247" s="232" t="s">
        <v>4751</v>
      </c>
      <c r="E247" s="231" t="s">
        <v>5070</v>
      </c>
      <c r="F247" s="233">
        <v>0</v>
      </c>
      <c r="G247" s="232" t="s">
        <v>4691</v>
      </c>
      <c r="H247" s="233"/>
      <c r="I247" s="233"/>
      <c r="J247" s="623">
        <v>0</v>
      </c>
      <c r="K247" s="624"/>
      <c r="L247" s="624"/>
      <c r="M247" s="624"/>
      <c r="N247" s="624" t="s">
        <v>4755</v>
      </c>
      <c r="O247" s="624"/>
      <c r="P247" s="624"/>
    </row>
    <row r="248" spans="1:16">
      <c r="A248" s="231" t="s">
        <v>683</v>
      </c>
      <c r="B248" s="231" t="s">
        <v>1319</v>
      </c>
      <c r="C248" s="618" t="s">
        <v>4760</v>
      </c>
      <c r="D248" s="231" t="s">
        <v>4751</v>
      </c>
      <c r="E248" s="231" t="s">
        <v>5070</v>
      </c>
      <c r="F248" s="619">
        <v>44507.6</v>
      </c>
      <c r="G248" s="231" t="s">
        <v>4691</v>
      </c>
      <c r="H248" s="619"/>
      <c r="I248" s="619"/>
      <c r="J248" s="620">
        <v>2181934050</v>
      </c>
      <c r="K248" s="621"/>
      <c r="L248" s="621"/>
      <c r="M248" s="621"/>
      <c r="N248" s="621" t="s">
        <v>4752</v>
      </c>
      <c r="O248" s="621"/>
      <c r="P248" s="621"/>
    </row>
    <row r="249" spans="1:16">
      <c r="A249" s="232" t="s">
        <v>683</v>
      </c>
      <c r="B249" s="232" t="s">
        <v>1319</v>
      </c>
      <c r="C249" s="622" t="s">
        <v>4760</v>
      </c>
      <c r="D249" s="232" t="s">
        <v>4751</v>
      </c>
      <c r="E249" s="231" t="s">
        <v>5070</v>
      </c>
      <c r="F249" s="233">
        <v>2238</v>
      </c>
      <c r="G249" s="232" t="s">
        <v>4691</v>
      </c>
      <c r="H249" s="233"/>
      <c r="I249" s="233"/>
      <c r="J249" s="623">
        <v>107424000</v>
      </c>
      <c r="K249" s="624"/>
      <c r="L249" s="624"/>
      <c r="M249" s="624"/>
      <c r="N249" s="624" t="s">
        <v>4753</v>
      </c>
      <c r="O249" s="624"/>
      <c r="P249" s="624"/>
    </row>
    <row r="250" spans="1:16">
      <c r="A250" s="231" t="s">
        <v>683</v>
      </c>
      <c r="B250" s="231" t="s">
        <v>1319</v>
      </c>
      <c r="C250" s="618" t="s">
        <v>4760</v>
      </c>
      <c r="D250" s="231" t="s">
        <v>4751</v>
      </c>
      <c r="E250" s="231" t="s">
        <v>5070</v>
      </c>
      <c r="F250" s="619">
        <v>58671.199999999997</v>
      </c>
      <c r="G250" s="231" t="s">
        <v>4691</v>
      </c>
      <c r="H250" s="619"/>
      <c r="I250" s="619"/>
      <c r="J250" s="620">
        <v>2906838375</v>
      </c>
      <c r="K250" s="621"/>
      <c r="L250" s="621"/>
      <c r="M250" s="621"/>
      <c r="N250" s="621" t="s">
        <v>4754</v>
      </c>
      <c r="O250" s="621"/>
      <c r="P250" s="621"/>
    </row>
    <row r="251" spans="1:16">
      <c r="A251" s="232" t="s">
        <v>683</v>
      </c>
      <c r="B251" s="232" t="s">
        <v>1319</v>
      </c>
      <c r="C251" s="622" t="s">
        <v>4760</v>
      </c>
      <c r="D251" s="232" t="s">
        <v>4751</v>
      </c>
      <c r="E251" s="231" t="s">
        <v>5070</v>
      </c>
      <c r="F251" s="233">
        <v>50</v>
      </c>
      <c r="G251" s="232" t="s">
        <v>4691</v>
      </c>
      <c r="H251" s="233"/>
      <c r="I251" s="233"/>
      <c r="J251" s="623">
        <v>2400000</v>
      </c>
      <c r="K251" s="624"/>
      <c r="L251" s="624"/>
      <c r="M251" s="624"/>
      <c r="N251" s="624" t="s">
        <v>4755</v>
      </c>
      <c r="O251" s="624"/>
      <c r="P251" s="624"/>
    </row>
    <row r="252" spans="1:16">
      <c r="A252" s="231" t="s">
        <v>683</v>
      </c>
      <c r="B252" s="231" t="s">
        <v>1319</v>
      </c>
      <c r="C252" s="618" t="s">
        <v>4761</v>
      </c>
      <c r="D252" s="231" t="s">
        <v>4751</v>
      </c>
      <c r="E252" s="231" t="s">
        <v>5070</v>
      </c>
      <c r="F252" s="619">
        <v>37107.599999999999</v>
      </c>
      <c r="G252" s="231" t="s">
        <v>4691</v>
      </c>
      <c r="H252" s="619"/>
      <c r="I252" s="619"/>
      <c r="J252" s="620">
        <v>1821139900</v>
      </c>
      <c r="K252" s="621"/>
      <c r="L252" s="621"/>
      <c r="M252" s="621"/>
      <c r="N252" s="621" t="s">
        <v>4752</v>
      </c>
      <c r="O252" s="621"/>
      <c r="P252" s="621"/>
    </row>
    <row r="253" spans="1:16">
      <c r="A253" s="232" t="s">
        <v>683</v>
      </c>
      <c r="B253" s="232" t="s">
        <v>1319</v>
      </c>
      <c r="C253" s="622" t="s">
        <v>4761</v>
      </c>
      <c r="D253" s="232" t="s">
        <v>4751</v>
      </c>
      <c r="E253" s="231" t="s">
        <v>5070</v>
      </c>
      <c r="F253" s="233">
        <v>600</v>
      </c>
      <c r="G253" s="232" t="s">
        <v>4691</v>
      </c>
      <c r="H253" s="233"/>
      <c r="I253" s="233"/>
      <c r="J253" s="623">
        <v>28800000</v>
      </c>
      <c r="K253" s="624"/>
      <c r="L253" s="624"/>
      <c r="M253" s="624"/>
      <c r="N253" s="624" t="s">
        <v>4753</v>
      </c>
      <c r="O253" s="624"/>
      <c r="P253" s="624"/>
    </row>
    <row r="254" spans="1:16">
      <c r="A254" s="231" t="s">
        <v>683</v>
      </c>
      <c r="B254" s="231" t="s">
        <v>1319</v>
      </c>
      <c r="C254" s="618" t="s">
        <v>4761</v>
      </c>
      <c r="D254" s="231" t="s">
        <v>4751</v>
      </c>
      <c r="E254" s="231" t="s">
        <v>5070</v>
      </c>
      <c r="F254" s="619">
        <v>70907.45</v>
      </c>
      <c r="G254" s="231" t="s">
        <v>4691</v>
      </c>
      <c r="H254" s="619"/>
      <c r="I254" s="619"/>
      <c r="J254" s="620">
        <v>3556245500</v>
      </c>
      <c r="K254" s="621"/>
      <c r="L254" s="621"/>
      <c r="M254" s="621"/>
      <c r="N254" s="621" t="s">
        <v>4754</v>
      </c>
      <c r="O254" s="621"/>
      <c r="P254" s="621"/>
    </row>
    <row r="255" spans="1:16">
      <c r="A255" s="232" t="s">
        <v>683</v>
      </c>
      <c r="B255" s="232" t="s">
        <v>1319</v>
      </c>
      <c r="C255" s="622" t="s">
        <v>4761</v>
      </c>
      <c r="D255" s="232" t="s">
        <v>4751</v>
      </c>
      <c r="E255" s="231" t="s">
        <v>5070</v>
      </c>
      <c r="F255" s="233">
        <v>0</v>
      </c>
      <c r="G255" s="232" t="s">
        <v>4691</v>
      </c>
      <c r="H255" s="233"/>
      <c r="I255" s="233"/>
      <c r="J255" s="623">
        <v>0</v>
      </c>
      <c r="K255" s="624"/>
      <c r="L255" s="624"/>
      <c r="M255" s="624"/>
      <c r="N255" s="624" t="s">
        <v>4755</v>
      </c>
      <c r="O255" s="624"/>
      <c r="P255" s="624"/>
    </row>
    <row r="256" spans="1:16">
      <c r="A256" s="231" t="s">
        <v>683</v>
      </c>
      <c r="B256" s="231" t="s">
        <v>1319</v>
      </c>
      <c r="C256" s="618" t="s">
        <v>4762</v>
      </c>
      <c r="D256" s="231" t="s">
        <v>4751</v>
      </c>
      <c r="E256" s="231" t="s">
        <v>5070</v>
      </c>
      <c r="F256" s="619">
        <v>40960.6</v>
      </c>
      <c r="G256" s="231" t="s">
        <v>4691</v>
      </c>
      <c r="H256" s="619"/>
      <c r="I256" s="619"/>
      <c r="J256" s="620">
        <v>2008119400</v>
      </c>
      <c r="K256" s="621"/>
      <c r="L256" s="621"/>
      <c r="M256" s="621"/>
      <c r="N256" s="621" t="s">
        <v>4752</v>
      </c>
      <c r="O256" s="621"/>
      <c r="P256" s="621"/>
    </row>
    <row r="257" spans="1:16">
      <c r="A257" s="232" t="s">
        <v>683</v>
      </c>
      <c r="B257" s="232" t="s">
        <v>1319</v>
      </c>
      <c r="C257" s="622" t="s">
        <v>4762</v>
      </c>
      <c r="D257" s="232" t="s">
        <v>4751</v>
      </c>
      <c r="E257" s="231" t="s">
        <v>5070</v>
      </c>
      <c r="F257" s="233">
        <v>2064</v>
      </c>
      <c r="G257" s="232" t="s">
        <v>4691</v>
      </c>
      <c r="H257" s="233"/>
      <c r="I257" s="233"/>
      <c r="J257" s="623">
        <v>99072000</v>
      </c>
      <c r="K257" s="624"/>
      <c r="L257" s="624"/>
      <c r="M257" s="624"/>
      <c r="N257" s="624" t="s">
        <v>4753</v>
      </c>
      <c r="O257" s="624"/>
      <c r="P257" s="624"/>
    </row>
    <row r="258" spans="1:16">
      <c r="A258" s="231" t="s">
        <v>683</v>
      </c>
      <c r="B258" s="231" t="s">
        <v>1319</v>
      </c>
      <c r="C258" s="618" t="s">
        <v>4762</v>
      </c>
      <c r="D258" s="231" t="s">
        <v>4751</v>
      </c>
      <c r="E258" s="231" t="s">
        <v>5070</v>
      </c>
      <c r="F258" s="619">
        <v>76184.7</v>
      </c>
      <c r="G258" s="231" t="s">
        <v>4691</v>
      </c>
      <c r="H258" s="619"/>
      <c r="I258" s="619"/>
      <c r="J258" s="620">
        <v>3749177000</v>
      </c>
      <c r="K258" s="621"/>
      <c r="L258" s="621"/>
      <c r="M258" s="621"/>
      <c r="N258" s="621" t="s">
        <v>4754</v>
      </c>
      <c r="O258" s="621"/>
      <c r="P258" s="621"/>
    </row>
    <row r="259" spans="1:16">
      <c r="A259" s="232" t="s">
        <v>683</v>
      </c>
      <c r="B259" s="232" t="s">
        <v>1319</v>
      </c>
      <c r="C259" s="622" t="s">
        <v>4762</v>
      </c>
      <c r="D259" s="232" t="s">
        <v>4751</v>
      </c>
      <c r="E259" s="231" t="s">
        <v>5070</v>
      </c>
      <c r="F259" s="233">
        <v>24.5</v>
      </c>
      <c r="G259" s="232" t="s">
        <v>4691</v>
      </c>
      <c r="H259" s="233"/>
      <c r="I259" s="233"/>
      <c r="J259" s="623">
        <v>1176000</v>
      </c>
      <c r="K259" s="624"/>
      <c r="L259" s="624"/>
      <c r="M259" s="624"/>
      <c r="N259" s="624" t="s">
        <v>4755</v>
      </c>
      <c r="O259" s="624"/>
      <c r="P259" s="624"/>
    </row>
    <row r="260" spans="1:16">
      <c r="A260" s="231" t="s">
        <v>683</v>
      </c>
      <c r="B260" s="231" t="s">
        <v>1319</v>
      </c>
      <c r="C260" s="618" t="s">
        <v>4763</v>
      </c>
      <c r="D260" s="231" t="s">
        <v>4751</v>
      </c>
      <c r="E260" s="231" t="s">
        <v>5070</v>
      </c>
      <c r="F260" s="619">
        <v>30575.3</v>
      </c>
      <c r="G260" s="231" t="s">
        <v>4691</v>
      </c>
      <c r="H260" s="619"/>
      <c r="I260" s="619"/>
      <c r="J260" s="620">
        <v>1498732725</v>
      </c>
      <c r="K260" s="621"/>
      <c r="L260" s="621"/>
      <c r="M260" s="621"/>
      <c r="N260" s="621" t="s">
        <v>4752</v>
      </c>
      <c r="O260" s="621"/>
      <c r="P260" s="621"/>
    </row>
    <row r="261" spans="1:16">
      <c r="A261" s="232" t="s">
        <v>683</v>
      </c>
      <c r="B261" s="232" t="s">
        <v>1319</v>
      </c>
      <c r="C261" s="622" t="s">
        <v>4763</v>
      </c>
      <c r="D261" s="232" t="s">
        <v>4751</v>
      </c>
      <c r="E261" s="231" t="s">
        <v>5070</v>
      </c>
      <c r="F261" s="233">
        <v>1265</v>
      </c>
      <c r="G261" s="232" t="s">
        <v>4691</v>
      </c>
      <c r="H261" s="233"/>
      <c r="I261" s="233"/>
      <c r="J261" s="623">
        <v>60720000</v>
      </c>
      <c r="K261" s="624"/>
      <c r="L261" s="624"/>
      <c r="M261" s="624"/>
      <c r="N261" s="624" t="s">
        <v>4753</v>
      </c>
      <c r="O261" s="624"/>
      <c r="P261" s="624"/>
    </row>
    <row r="262" spans="1:16">
      <c r="A262" s="231" t="s">
        <v>683</v>
      </c>
      <c r="B262" s="231" t="s">
        <v>1319</v>
      </c>
      <c r="C262" s="618" t="s">
        <v>4763</v>
      </c>
      <c r="D262" s="231" t="s">
        <v>4751</v>
      </c>
      <c r="E262" s="231" t="s">
        <v>5070</v>
      </c>
      <c r="F262" s="619">
        <v>63438.75</v>
      </c>
      <c r="G262" s="231" t="s">
        <v>4691</v>
      </c>
      <c r="H262" s="619"/>
      <c r="I262" s="619"/>
      <c r="J262" s="620">
        <v>3102157500</v>
      </c>
      <c r="K262" s="621"/>
      <c r="L262" s="621"/>
      <c r="M262" s="621"/>
      <c r="N262" s="621" t="s">
        <v>4754</v>
      </c>
      <c r="O262" s="621"/>
      <c r="P262" s="621"/>
    </row>
    <row r="263" spans="1:16">
      <c r="A263" s="232" t="s">
        <v>683</v>
      </c>
      <c r="B263" s="232" t="s">
        <v>1319</v>
      </c>
      <c r="C263" s="622" t="s">
        <v>4763</v>
      </c>
      <c r="D263" s="232" t="s">
        <v>4751</v>
      </c>
      <c r="E263" s="231" t="s">
        <v>5070</v>
      </c>
      <c r="F263" s="233">
        <v>0</v>
      </c>
      <c r="G263" s="232" t="s">
        <v>4691</v>
      </c>
      <c r="H263" s="233"/>
      <c r="I263" s="233"/>
      <c r="J263" s="623">
        <v>0</v>
      </c>
      <c r="K263" s="624"/>
      <c r="L263" s="624"/>
      <c r="M263" s="624"/>
      <c r="N263" s="624" t="s">
        <v>4755</v>
      </c>
      <c r="O263" s="624"/>
      <c r="P263" s="624"/>
    </row>
    <row r="264" spans="1:16">
      <c r="A264" s="231" t="s">
        <v>683</v>
      </c>
      <c r="B264" s="231" t="s">
        <v>1319</v>
      </c>
      <c r="C264" s="618" t="s">
        <v>4764</v>
      </c>
      <c r="D264" s="231" t="s">
        <v>4751</v>
      </c>
      <c r="E264" s="231" t="s">
        <v>5070</v>
      </c>
      <c r="F264" s="619">
        <v>43250.75</v>
      </c>
      <c r="G264" s="231" t="s">
        <v>4691</v>
      </c>
      <c r="H264" s="619"/>
      <c r="I264" s="619"/>
      <c r="J264" s="620">
        <v>2079237275</v>
      </c>
      <c r="K264" s="621"/>
      <c r="L264" s="621"/>
      <c r="M264" s="621"/>
      <c r="N264" s="621" t="s">
        <v>4752</v>
      </c>
      <c r="O264" s="621"/>
      <c r="P264" s="621"/>
    </row>
    <row r="265" spans="1:16">
      <c r="A265" s="232" t="s">
        <v>683</v>
      </c>
      <c r="B265" s="232" t="s">
        <v>1319</v>
      </c>
      <c r="C265" s="622" t="s">
        <v>4764</v>
      </c>
      <c r="D265" s="232" t="s">
        <v>4751</v>
      </c>
      <c r="E265" s="231" t="s">
        <v>5070</v>
      </c>
      <c r="F265" s="233">
        <v>1645</v>
      </c>
      <c r="G265" s="232" t="s">
        <v>4691</v>
      </c>
      <c r="H265" s="233"/>
      <c r="I265" s="233"/>
      <c r="J265" s="623">
        <v>78960000</v>
      </c>
      <c r="K265" s="624"/>
      <c r="L265" s="624"/>
      <c r="M265" s="624"/>
      <c r="N265" s="624" t="s">
        <v>4753</v>
      </c>
      <c r="O265" s="624"/>
      <c r="P265" s="624"/>
    </row>
    <row r="266" spans="1:16">
      <c r="A266" s="231" t="s">
        <v>683</v>
      </c>
      <c r="B266" s="231" t="s">
        <v>1319</v>
      </c>
      <c r="C266" s="618" t="s">
        <v>4764</v>
      </c>
      <c r="D266" s="231" t="s">
        <v>4751</v>
      </c>
      <c r="E266" s="231" t="s">
        <v>5070</v>
      </c>
      <c r="F266" s="619">
        <v>73264.149999999994</v>
      </c>
      <c r="G266" s="231" t="s">
        <v>4691</v>
      </c>
      <c r="H266" s="619"/>
      <c r="I266" s="619"/>
      <c r="J266" s="620">
        <v>3494283350</v>
      </c>
      <c r="K266" s="621"/>
      <c r="L266" s="621"/>
      <c r="M266" s="621"/>
      <c r="N266" s="621" t="s">
        <v>4754</v>
      </c>
      <c r="O266" s="621"/>
      <c r="P266" s="621"/>
    </row>
    <row r="267" spans="1:16">
      <c r="A267" s="232" t="s">
        <v>683</v>
      </c>
      <c r="B267" s="232" t="s">
        <v>1319</v>
      </c>
      <c r="C267" s="622" t="s">
        <v>4764</v>
      </c>
      <c r="D267" s="232" t="s">
        <v>4751</v>
      </c>
      <c r="E267" s="231" t="s">
        <v>5070</v>
      </c>
      <c r="F267" s="233">
        <v>0</v>
      </c>
      <c r="G267" s="232" t="s">
        <v>4691</v>
      </c>
      <c r="H267" s="233"/>
      <c r="I267" s="233"/>
      <c r="J267" s="623">
        <v>0</v>
      </c>
      <c r="K267" s="624"/>
      <c r="L267" s="624"/>
      <c r="M267" s="624"/>
      <c r="N267" s="624" t="s">
        <v>4755</v>
      </c>
      <c r="O267" s="624"/>
      <c r="P267" s="624"/>
    </row>
    <row r="268" spans="1:16">
      <c r="A268" s="231" t="s">
        <v>683</v>
      </c>
      <c r="B268" s="231" t="s">
        <v>1319</v>
      </c>
      <c r="C268" s="618" t="s">
        <v>4765</v>
      </c>
      <c r="D268" s="231" t="s">
        <v>4751</v>
      </c>
      <c r="E268" s="231" t="s">
        <v>5070</v>
      </c>
      <c r="F268" s="619">
        <v>59076.15</v>
      </c>
      <c r="G268" s="231" t="s">
        <v>4691</v>
      </c>
      <c r="H268" s="619"/>
      <c r="I268" s="619"/>
      <c r="J268" s="620">
        <v>2838958625</v>
      </c>
      <c r="K268" s="621"/>
      <c r="L268" s="621"/>
      <c r="M268" s="621"/>
      <c r="N268" s="621" t="s">
        <v>4752</v>
      </c>
      <c r="O268" s="621"/>
      <c r="P268" s="621"/>
    </row>
    <row r="269" spans="1:16">
      <c r="A269" s="232" t="s">
        <v>683</v>
      </c>
      <c r="B269" s="232" t="s">
        <v>1319</v>
      </c>
      <c r="C269" s="622" t="s">
        <v>4765</v>
      </c>
      <c r="D269" s="232" t="s">
        <v>4751</v>
      </c>
      <c r="E269" s="231" t="s">
        <v>5070</v>
      </c>
      <c r="F269" s="233">
        <v>1656</v>
      </c>
      <c r="G269" s="232" t="s">
        <v>4691</v>
      </c>
      <c r="H269" s="233"/>
      <c r="I269" s="233"/>
      <c r="J269" s="623">
        <v>78488000</v>
      </c>
      <c r="K269" s="624"/>
      <c r="L269" s="624"/>
      <c r="M269" s="624"/>
      <c r="N269" s="624" t="s">
        <v>4753</v>
      </c>
      <c r="O269" s="624"/>
      <c r="P269" s="624"/>
    </row>
    <row r="270" spans="1:16">
      <c r="A270" s="231" t="s">
        <v>683</v>
      </c>
      <c r="B270" s="231" t="s">
        <v>1319</v>
      </c>
      <c r="C270" s="618" t="s">
        <v>4765</v>
      </c>
      <c r="D270" s="231" t="s">
        <v>4751</v>
      </c>
      <c r="E270" s="231" t="s">
        <v>5070</v>
      </c>
      <c r="F270" s="619">
        <v>77091.05</v>
      </c>
      <c r="G270" s="231" t="s">
        <v>4691</v>
      </c>
      <c r="H270" s="619"/>
      <c r="I270" s="619"/>
      <c r="J270" s="620">
        <v>3774412450</v>
      </c>
      <c r="K270" s="621"/>
      <c r="L270" s="621"/>
      <c r="M270" s="621"/>
      <c r="N270" s="621" t="s">
        <v>4754</v>
      </c>
      <c r="O270" s="621"/>
      <c r="P270" s="621"/>
    </row>
    <row r="271" spans="1:16">
      <c r="A271" s="232" t="s">
        <v>683</v>
      </c>
      <c r="B271" s="232" t="s">
        <v>1319</v>
      </c>
      <c r="C271" s="622" t="s">
        <v>4765</v>
      </c>
      <c r="D271" s="232" t="s">
        <v>4751</v>
      </c>
      <c r="E271" s="231" t="s">
        <v>5070</v>
      </c>
      <c r="F271" s="233">
        <v>345</v>
      </c>
      <c r="G271" s="232" t="s">
        <v>4691</v>
      </c>
      <c r="H271" s="233"/>
      <c r="I271" s="233"/>
      <c r="J271" s="623">
        <v>16560000</v>
      </c>
      <c r="K271" s="624"/>
      <c r="L271" s="624"/>
      <c r="M271" s="624"/>
      <c r="N271" s="624" t="s">
        <v>4755</v>
      </c>
      <c r="O271" s="624"/>
      <c r="P271" s="624"/>
    </row>
    <row r="272" spans="1:16">
      <c r="A272" s="231" t="s">
        <v>683</v>
      </c>
      <c r="B272" s="231" t="s">
        <v>1319</v>
      </c>
      <c r="C272" s="618" t="s">
        <v>4766</v>
      </c>
      <c r="D272" s="231" t="s">
        <v>4751</v>
      </c>
      <c r="E272" s="231" t="s">
        <v>5070</v>
      </c>
      <c r="F272" s="619">
        <v>84494.92</v>
      </c>
      <c r="G272" s="231" t="s">
        <v>4691</v>
      </c>
      <c r="H272" s="619"/>
      <c r="I272" s="619"/>
      <c r="J272" s="620">
        <v>4060175520</v>
      </c>
      <c r="K272" s="621"/>
      <c r="L272" s="621"/>
      <c r="M272" s="621"/>
      <c r="N272" s="621" t="s">
        <v>4752</v>
      </c>
      <c r="O272" s="621"/>
      <c r="P272" s="621"/>
    </row>
    <row r="273" spans="1:16">
      <c r="A273" s="232" t="s">
        <v>683</v>
      </c>
      <c r="B273" s="232" t="s">
        <v>1319</v>
      </c>
      <c r="C273" s="622" t="s">
        <v>4766</v>
      </c>
      <c r="D273" s="232" t="s">
        <v>4751</v>
      </c>
      <c r="E273" s="231" t="s">
        <v>5070</v>
      </c>
      <c r="F273" s="233">
        <v>2625</v>
      </c>
      <c r="G273" s="232" t="s">
        <v>4691</v>
      </c>
      <c r="H273" s="233"/>
      <c r="I273" s="233"/>
      <c r="J273" s="623">
        <v>125000000</v>
      </c>
      <c r="K273" s="624"/>
      <c r="L273" s="624"/>
      <c r="M273" s="624"/>
      <c r="N273" s="624" t="s">
        <v>4753</v>
      </c>
      <c r="O273" s="624"/>
      <c r="P273" s="624"/>
    </row>
    <row r="274" spans="1:16">
      <c r="A274" s="231" t="s">
        <v>683</v>
      </c>
      <c r="B274" s="231" t="s">
        <v>1319</v>
      </c>
      <c r="C274" s="618" t="s">
        <v>4766</v>
      </c>
      <c r="D274" s="231" t="s">
        <v>4751</v>
      </c>
      <c r="E274" s="231" t="s">
        <v>5070</v>
      </c>
      <c r="F274" s="619">
        <v>87285.6</v>
      </c>
      <c r="G274" s="231" t="s">
        <v>4691</v>
      </c>
      <c r="H274" s="619"/>
      <c r="I274" s="619"/>
      <c r="J274" s="620">
        <v>4248435700</v>
      </c>
      <c r="K274" s="621"/>
      <c r="L274" s="621"/>
      <c r="M274" s="621"/>
      <c r="N274" s="621" t="s">
        <v>4754</v>
      </c>
      <c r="O274" s="621"/>
      <c r="P274" s="621"/>
    </row>
    <row r="275" spans="1:16">
      <c r="A275" s="232" t="s">
        <v>683</v>
      </c>
      <c r="B275" s="232" t="s">
        <v>1319</v>
      </c>
      <c r="C275" s="622" t="s">
        <v>4766</v>
      </c>
      <c r="D275" s="232" t="s">
        <v>4751</v>
      </c>
      <c r="E275" s="231" t="s">
        <v>5070</v>
      </c>
      <c r="F275" s="233">
        <v>310</v>
      </c>
      <c r="G275" s="232" t="s">
        <v>4691</v>
      </c>
      <c r="H275" s="233"/>
      <c r="I275" s="233"/>
      <c r="J275" s="623">
        <v>14880000</v>
      </c>
      <c r="K275" s="624"/>
      <c r="L275" s="624"/>
      <c r="M275" s="624"/>
      <c r="N275" s="624" t="s">
        <v>4755</v>
      </c>
      <c r="O275" s="624"/>
      <c r="P275" s="624"/>
    </row>
    <row r="276" spans="1:16">
      <c r="A276" s="231" t="s">
        <v>640</v>
      </c>
      <c r="B276" s="231" t="s">
        <v>1343</v>
      </c>
      <c r="C276" s="618">
        <v>45291</v>
      </c>
      <c r="D276" s="231" t="s">
        <v>2169</v>
      </c>
      <c r="E276" s="231" t="s">
        <v>5070</v>
      </c>
      <c r="F276" s="619">
        <v>22058</v>
      </c>
      <c r="G276" s="231" t="s">
        <v>4767</v>
      </c>
      <c r="H276" s="619"/>
      <c r="I276" s="619"/>
      <c r="J276" s="620">
        <v>46887495</v>
      </c>
      <c r="K276" s="621"/>
      <c r="L276" s="621"/>
      <c r="M276" s="621"/>
      <c r="N276" s="621"/>
      <c r="O276" s="621"/>
      <c r="P276" s="621"/>
    </row>
    <row r="277" spans="1:16">
      <c r="A277" s="232" t="s">
        <v>687</v>
      </c>
      <c r="B277" s="232" t="s">
        <v>4768</v>
      </c>
      <c r="C277" s="624">
        <v>2023</v>
      </c>
      <c r="D277" s="232" t="s">
        <v>4769</v>
      </c>
      <c r="E277" s="231" t="s">
        <v>5070</v>
      </c>
      <c r="F277" s="233">
        <v>757</v>
      </c>
      <c r="G277" s="232" t="s">
        <v>4770</v>
      </c>
      <c r="H277" s="233"/>
      <c r="I277" s="233"/>
      <c r="J277" s="623">
        <v>37148000</v>
      </c>
      <c r="K277" s="624" t="s">
        <v>991</v>
      </c>
      <c r="L277" s="624" t="s">
        <v>2240</v>
      </c>
      <c r="M277" s="624" t="s">
        <v>4771</v>
      </c>
      <c r="N277" s="624" t="s">
        <v>4228</v>
      </c>
      <c r="O277" s="624"/>
      <c r="P277" s="624"/>
    </row>
    <row r="278" spans="1:16">
      <c r="A278" s="231" t="s">
        <v>687</v>
      </c>
      <c r="B278" s="231" t="s">
        <v>4768</v>
      </c>
      <c r="C278" s="621">
        <v>2023</v>
      </c>
      <c r="D278" s="231" t="s">
        <v>4769</v>
      </c>
      <c r="E278" s="231" t="s">
        <v>5070</v>
      </c>
      <c r="F278" s="619">
        <v>5935</v>
      </c>
      <c r="G278" s="231" t="s">
        <v>4770</v>
      </c>
      <c r="H278" s="619"/>
      <c r="I278" s="619"/>
      <c r="J278" s="620">
        <v>289920000</v>
      </c>
      <c r="K278" s="621" t="s">
        <v>991</v>
      </c>
      <c r="L278" s="621" t="s">
        <v>2240</v>
      </c>
      <c r="M278" s="621" t="s">
        <v>4772</v>
      </c>
      <c r="N278" s="621" t="s">
        <v>4693</v>
      </c>
      <c r="O278" s="621"/>
      <c r="P278" s="621"/>
    </row>
    <row r="279" spans="1:16">
      <c r="A279" s="232" t="s">
        <v>687</v>
      </c>
      <c r="B279" s="232" t="s">
        <v>4768</v>
      </c>
      <c r="C279" s="624">
        <v>2023</v>
      </c>
      <c r="D279" s="232" t="s">
        <v>4769</v>
      </c>
      <c r="E279" s="231" t="s">
        <v>5070</v>
      </c>
      <c r="F279" s="233">
        <v>2116</v>
      </c>
      <c r="G279" s="232" t="s">
        <v>4770</v>
      </c>
      <c r="H279" s="233"/>
      <c r="I279" s="233"/>
      <c r="J279" s="623">
        <v>104160000</v>
      </c>
      <c r="K279" s="624" t="s">
        <v>991</v>
      </c>
      <c r="L279" s="624" t="s">
        <v>2240</v>
      </c>
      <c r="M279" s="624" t="s">
        <v>4773</v>
      </c>
      <c r="N279" s="624" t="s">
        <v>4693</v>
      </c>
      <c r="O279" s="624"/>
      <c r="P279" s="624"/>
    </row>
    <row r="280" spans="1:16">
      <c r="A280" s="231" t="s">
        <v>687</v>
      </c>
      <c r="B280" s="231" t="s">
        <v>4768</v>
      </c>
      <c r="C280" s="621">
        <v>2023</v>
      </c>
      <c r="D280" s="231" t="s">
        <v>4769</v>
      </c>
      <c r="E280" s="231" t="s">
        <v>5070</v>
      </c>
      <c r="F280" s="619">
        <v>3276</v>
      </c>
      <c r="G280" s="231" t="s">
        <v>4770</v>
      </c>
      <c r="H280" s="619"/>
      <c r="I280" s="619"/>
      <c r="J280" s="620">
        <v>160870520</v>
      </c>
      <c r="K280" s="621" t="s">
        <v>991</v>
      </c>
      <c r="L280" s="621" t="s">
        <v>2240</v>
      </c>
      <c r="M280" s="621" t="s">
        <v>4774</v>
      </c>
      <c r="N280" s="621" t="s">
        <v>4228</v>
      </c>
      <c r="O280" s="621"/>
      <c r="P280" s="621"/>
    </row>
    <row r="281" spans="1:16">
      <c r="A281" s="232" t="s">
        <v>687</v>
      </c>
      <c r="B281" s="232" t="s">
        <v>4768</v>
      </c>
      <c r="C281" s="624">
        <v>2023</v>
      </c>
      <c r="D281" s="232" t="s">
        <v>4769</v>
      </c>
      <c r="E281" s="231" t="s">
        <v>5070</v>
      </c>
      <c r="F281" s="233">
        <v>1337</v>
      </c>
      <c r="G281" s="232" t="s">
        <v>4770</v>
      </c>
      <c r="H281" s="233"/>
      <c r="I281" s="233"/>
      <c r="J281" s="623">
        <v>66620560</v>
      </c>
      <c r="K281" s="624" t="s">
        <v>991</v>
      </c>
      <c r="L281" s="624" t="s">
        <v>2240</v>
      </c>
      <c r="M281" s="624" t="s">
        <v>4775</v>
      </c>
      <c r="N281" s="624" t="s">
        <v>4228</v>
      </c>
      <c r="O281" s="624"/>
      <c r="P281" s="624"/>
    </row>
    <row r="282" spans="1:16">
      <c r="A282" s="231" t="s">
        <v>687</v>
      </c>
      <c r="B282" s="231" t="s">
        <v>4768</v>
      </c>
      <c r="C282" s="621">
        <v>2023</v>
      </c>
      <c r="D282" s="231" t="s">
        <v>4769</v>
      </c>
      <c r="E282" s="231" t="s">
        <v>5070</v>
      </c>
      <c r="F282" s="619">
        <v>192</v>
      </c>
      <c r="G282" s="231" t="s">
        <v>4770</v>
      </c>
      <c r="H282" s="619"/>
      <c r="I282" s="619"/>
      <c r="J282" s="620">
        <v>9600000</v>
      </c>
      <c r="K282" s="621" t="s">
        <v>991</v>
      </c>
      <c r="L282" s="621" t="s">
        <v>2240</v>
      </c>
      <c r="M282" s="621" t="s">
        <v>4776</v>
      </c>
      <c r="N282" s="621" t="s">
        <v>4228</v>
      </c>
      <c r="O282" s="621"/>
      <c r="P282" s="621"/>
    </row>
    <row r="283" spans="1:16">
      <c r="A283" s="232" t="s">
        <v>687</v>
      </c>
      <c r="B283" s="232" t="s">
        <v>4768</v>
      </c>
      <c r="C283" s="624">
        <v>2023</v>
      </c>
      <c r="D283" s="232" t="s">
        <v>4769</v>
      </c>
      <c r="E283" s="231" t="s">
        <v>5070</v>
      </c>
      <c r="F283" s="233">
        <v>855</v>
      </c>
      <c r="G283" s="232" t="s">
        <v>4770</v>
      </c>
      <c r="H283" s="233"/>
      <c r="I283" s="233"/>
      <c r="J283" s="623">
        <v>43231800</v>
      </c>
      <c r="K283" s="624" t="s">
        <v>991</v>
      </c>
      <c r="L283" s="624" t="s">
        <v>2240</v>
      </c>
      <c r="M283" s="624" t="s">
        <v>4777</v>
      </c>
      <c r="N283" s="624" t="s">
        <v>4693</v>
      </c>
      <c r="O283" s="624"/>
      <c r="P283" s="624"/>
    </row>
    <row r="284" spans="1:16">
      <c r="A284" s="231" t="s">
        <v>687</v>
      </c>
      <c r="B284" s="231" t="s">
        <v>4768</v>
      </c>
      <c r="C284" s="621">
        <v>2023</v>
      </c>
      <c r="D284" s="231" t="s">
        <v>4769</v>
      </c>
      <c r="E284" s="231" t="s">
        <v>5070</v>
      </c>
      <c r="F284" s="619">
        <v>1842</v>
      </c>
      <c r="G284" s="231" t="s">
        <v>4770</v>
      </c>
      <c r="H284" s="619"/>
      <c r="I284" s="619"/>
      <c r="J284" s="620">
        <v>90834560</v>
      </c>
      <c r="K284" s="621" t="s">
        <v>991</v>
      </c>
      <c r="L284" s="621" t="s">
        <v>2240</v>
      </c>
      <c r="M284" s="621" t="s">
        <v>4778</v>
      </c>
      <c r="N284" s="621" t="s">
        <v>4228</v>
      </c>
      <c r="O284" s="621"/>
      <c r="P284" s="621"/>
    </row>
    <row r="285" spans="1:16">
      <c r="A285" s="232" t="s">
        <v>687</v>
      </c>
      <c r="B285" s="232" t="s">
        <v>4768</v>
      </c>
      <c r="C285" s="624">
        <v>2023</v>
      </c>
      <c r="D285" s="232" t="s">
        <v>4769</v>
      </c>
      <c r="E285" s="231" t="s">
        <v>5070</v>
      </c>
      <c r="F285" s="233">
        <v>3548</v>
      </c>
      <c r="G285" s="232" t="s">
        <v>4770</v>
      </c>
      <c r="H285" s="233"/>
      <c r="I285" s="233"/>
      <c r="J285" s="623">
        <v>175945460</v>
      </c>
      <c r="K285" s="624" t="s">
        <v>991</v>
      </c>
      <c r="L285" s="624" t="s">
        <v>2240</v>
      </c>
      <c r="M285" s="624" t="s">
        <v>4779</v>
      </c>
      <c r="N285" s="624" t="s">
        <v>4228</v>
      </c>
      <c r="O285" s="624"/>
      <c r="P285" s="624"/>
    </row>
    <row r="286" spans="1:16">
      <c r="A286" s="231" t="s">
        <v>687</v>
      </c>
      <c r="B286" s="231" t="s">
        <v>4768</v>
      </c>
      <c r="C286" s="621">
        <v>2023</v>
      </c>
      <c r="D286" s="231" t="s">
        <v>4769</v>
      </c>
      <c r="E286" s="231" t="s">
        <v>5070</v>
      </c>
      <c r="F286" s="619">
        <v>11439</v>
      </c>
      <c r="G286" s="231" t="s">
        <v>4770</v>
      </c>
      <c r="H286" s="619"/>
      <c r="I286" s="619"/>
      <c r="J286" s="620">
        <v>557272500</v>
      </c>
      <c r="K286" s="621" t="s">
        <v>991</v>
      </c>
      <c r="L286" s="621" t="s">
        <v>2240</v>
      </c>
      <c r="M286" s="621" t="s">
        <v>4780</v>
      </c>
      <c r="N286" s="621" t="s">
        <v>4228</v>
      </c>
      <c r="O286" s="621"/>
      <c r="P286" s="621"/>
    </row>
    <row r="287" spans="1:16">
      <c r="A287" s="232" t="s">
        <v>687</v>
      </c>
      <c r="B287" s="232" t="s">
        <v>4768</v>
      </c>
      <c r="C287" s="624">
        <v>2023</v>
      </c>
      <c r="D287" s="232" t="s">
        <v>4769</v>
      </c>
      <c r="E287" s="231" t="s">
        <v>5070</v>
      </c>
      <c r="F287" s="233">
        <v>2112</v>
      </c>
      <c r="G287" s="232" t="s">
        <v>4770</v>
      </c>
      <c r="H287" s="233"/>
      <c r="I287" s="233"/>
      <c r="J287" s="623">
        <v>103084500</v>
      </c>
      <c r="K287" s="624" t="s">
        <v>991</v>
      </c>
      <c r="L287" s="624" t="s">
        <v>2240</v>
      </c>
      <c r="M287" s="624" t="s">
        <v>4781</v>
      </c>
      <c r="N287" s="624" t="s">
        <v>4228</v>
      </c>
      <c r="O287" s="624"/>
      <c r="P287" s="624"/>
    </row>
    <row r="288" spans="1:16">
      <c r="A288" s="231" t="s">
        <v>687</v>
      </c>
      <c r="B288" s="231" t="s">
        <v>4768</v>
      </c>
      <c r="C288" s="621">
        <v>2023</v>
      </c>
      <c r="D288" s="231" t="s">
        <v>4769</v>
      </c>
      <c r="E288" s="231" t="s">
        <v>5070</v>
      </c>
      <c r="F288" s="619">
        <v>200</v>
      </c>
      <c r="G288" s="231" t="s">
        <v>4770</v>
      </c>
      <c r="H288" s="619"/>
      <c r="I288" s="619"/>
      <c r="J288" s="620">
        <v>9014000</v>
      </c>
      <c r="K288" s="621" t="s">
        <v>991</v>
      </c>
      <c r="L288" s="621" t="s">
        <v>2240</v>
      </c>
      <c r="M288" s="621" t="s">
        <v>4782</v>
      </c>
      <c r="N288" s="621" t="s">
        <v>4783</v>
      </c>
      <c r="O288" s="621"/>
      <c r="P288" s="621"/>
    </row>
    <row r="289" spans="1:16">
      <c r="A289" s="232" t="s">
        <v>687</v>
      </c>
      <c r="B289" s="232" t="s">
        <v>4768</v>
      </c>
      <c r="C289" s="624">
        <v>2023</v>
      </c>
      <c r="D289" s="232" t="s">
        <v>4769</v>
      </c>
      <c r="E289" s="231" t="s">
        <v>5070</v>
      </c>
      <c r="F289" s="233">
        <v>2168</v>
      </c>
      <c r="G289" s="232" t="s">
        <v>4770</v>
      </c>
      <c r="H289" s="233"/>
      <c r="I289" s="233"/>
      <c r="J289" s="623">
        <v>106572500</v>
      </c>
      <c r="K289" s="624" t="s">
        <v>991</v>
      </c>
      <c r="L289" s="624" t="s">
        <v>2240</v>
      </c>
      <c r="M289" s="624" t="s">
        <v>4784</v>
      </c>
      <c r="N289" s="624" t="s">
        <v>4228</v>
      </c>
      <c r="O289" s="624"/>
      <c r="P289" s="624"/>
    </row>
    <row r="290" spans="1:16">
      <c r="A290" s="231" t="s">
        <v>687</v>
      </c>
      <c r="B290" s="231" t="s">
        <v>4768</v>
      </c>
      <c r="C290" s="621">
        <v>2023</v>
      </c>
      <c r="D290" s="231" t="s">
        <v>4769</v>
      </c>
      <c r="E290" s="231" t="s">
        <v>5070</v>
      </c>
      <c r="F290" s="619">
        <v>13966</v>
      </c>
      <c r="G290" s="231" t="s">
        <v>4770</v>
      </c>
      <c r="H290" s="619"/>
      <c r="I290" s="619"/>
      <c r="J290" s="620">
        <v>709208580</v>
      </c>
      <c r="K290" s="621" t="s">
        <v>991</v>
      </c>
      <c r="L290" s="621" t="s">
        <v>2240</v>
      </c>
      <c r="M290" s="621" t="s">
        <v>4785</v>
      </c>
      <c r="N290" s="621" t="s">
        <v>4228</v>
      </c>
      <c r="O290" s="621"/>
      <c r="P290" s="621"/>
    </row>
    <row r="291" spans="1:16">
      <c r="A291" s="232" t="s">
        <v>687</v>
      </c>
      <c r="B291" s="232" t="s">
        <v>4768</v>
      </c>
      <c r="C291" s="624">
        <v>2023</v>
      </c>
      <c r="D291" s="232" t="s">
        <v>4769</v>
      </c>
      <c r="E291" s="231" t="s">
        <v>5070</v>
      </c>
      <c r="F291" s="233">
        <v>2102</v>
      </c>
      <c r="G291" s="232" t="s">
        <v>4770</v>
      </c>
      <c r="H291" s="233"/>
      <c r="I291" s="233"/>
      <c r="J291" s="623">
        <v>105180060</v>
      </c>
      <c r="K291" s="624" t="s">
        <v>991</v>
      </c>
      <c r="L291" s="624" t="s">
        <v>2240</v>
      </c>
      <c r="M291" s="624" t="s">
        <v>4786</v>
      </c>
      <c r="N291" s="624" t="s">
        <v>4228</v>
      </c>
      <c r="O291" s="624"/>
      <c r="P291" s="624"/>
    </row>
    <row r="292" spans="1:16">
      <c r="A292" s="231" t="s">
        <v>687</v>
      </c>
      <c r="B292" s="231" t="s">
        <v>4768</v>
      </c>
      <c r="C292" s="621">
        <v>2023</v>
      </c>
      <c r="D292" s="231" t="s">
        <v>4769</v>
      </c>
      <c r="E292" s="231" t="s">
        <v>5070</v>
      </c>
      <c r="F292" s="619">
        <v>2615</v>
      </c>
      <c r="G292" s="231" t="s">
        <v>4770</v>
      </c>
      <c r="H292" s="619"/>
      <c r="I292" s="619"/>
      <c r="J292" s="620">
        <v>131626060</v>
      </c>
      <c r="K292" s="621" t="s">
        <v>991</v>
      </c>
      <c r="L292" s="621" t="s">
        <v>2240</v>
      </c>
      <c r="M292" s="621" t="s">
        <v>4787</v>
      </c>
      <c r="N292" s="621" t="s">
        <v>4228</v>
      </c>
      <c r="O292" s="621"/>
      <c r="P292" s="621"/>
    </row>
    <row r="293" spans="1:16">
      <c r="A293" s="232" t="s">
        <v>687</v>
      </c>
      <c r="B293" s="232" t="s">
        <v>4768</v>
      </c>
      <c r="C293" s="624">
        <v>2023</v>
      </c>
      <c r="D293" s="232" t="s">
        <v>4769</v>
      </c>
      <c r="E293" s="231" t="s">
        <v>5070</v>
      </c>
      <c r="F293" s="233">
        <v>4144</v>
      </c>
      <c r="G293" s="232" t="s">
        <v>4770</v>
      </c>
      <c r="H293" s="233"/>
      <c r="I293" s="233"/>
      <c r="J293" s="623">
        <v>208023480</v>
      </c>
      <c r="K293" s="624" t="s">
        <v>991</v>
      </c>
      <c r="L293" s="624" t="s">
        <v>2240</v>
      </c>
      <c r="M293" s="624" t="s">
        <v>4788</v>
      </c>
      <c r="N293" s="624" t="s">
        <v>4228</v>
      </c>
      <c r="O293" s="624"/>
      <c r="P293" s="624"/>
    </row>
    <row r="294" spans="1:16">
      <c r="A294" s="231" t="s">
        <v>687</v>
      </c>
      <c r="B294" s="231" t="s">
        <v>4768</v>
      </c>
      <c r="C294" s="621">
        <v>2023</v>
      </c>
      <c r="D294" s="231" t="s">
        <v>4769</v>
      </c>
      <c r="E294" s="231" t="s">
        <v>5070</v>
      </c>
      <c r="F294" s="619">
        <v>273</v>
      </c>
      <c r="G294" s="231" t="s">
        <v>4770</v>
      </c>
      <c r="H294" s="619"/>
      <c r="I294" s="619"/>
      <c r="J294" s="620">
        <v>12967500</v>
      </c>
      <c r="K294" s="621" t="s">
        <v>991</v>
      </c>
      <c r="L294" s="621" t="s">
        <v>2240</v>
      </c>
      <c r="M294" s="621" t="s">
        <v>4789</v>
      </c>
      <c r="N294" s="621" t="s">
        <v>4228</v>
      </c>
      <c r="O294" s="621"/>
      <c r="P294" s="621"/>
    </row>
    <row r="295" spans="1:16">
      <c r="A295" s="232" t="s">
        <v>687</v>
      </c>
      <c r="B295" s="232" t="s">
        <v>4768</v>
      </c>
      <c r="C295" s="624">
        <v>2023</v>
      </c>
      <c r="D295" s="232" t="s">
        <v>4769</v>
      </c>
      <c r="E295" s="231" t="s">
        <v>5070</v>
      </c>
      <c r="F295" s="233">
        <v>440</v>
      </c>
      <c r="G295" s="232" t="s">
        <v>4770</v>
      </c>
      <c r="H295" s="233"/>
      <c r="I295" s="233"/>
      <c r="J295" s="623">
        <v>20900000</v>
      </c>
      <c r="K295" s="624" t="s">
        <v>991</v>
      </c>
      <c r="L295" s="624" t="s">
        <v>2240</v>
      </c>
      <c r="M295" s="624" t="s">
        <v>4790</v>
      </c>
      <c r="N295" s="624" t="s">
        <v>4228</v>
      </c>
      <c r="O295" s="624"/>
      <c r="P295" s="624"/>
    </row>
    <row r="296" spans="1:16">
      <c r="A296" s="231" t="s">
        <v>687</v>
      </c>
      <c r="B296" s="231" t="s">
        <v>4768</v>
      </c>
      <c r="C296" s="621">
        <v>2023</v>
      </c>
      <c r="D296" s="231" t="s">
        <v>4769</v>
      </c>
      <c r="E296" s="231" t="s">
        <v>5070</v>
      </c>
      <c r="F296" s="619">
        <v>4677</v>
      </c>
      <c r="G296" s="231" t="s">
        <v>4770</v>
      </c>
      <c r="H296" s="619"/>
      <c r="I296" s="619"/>
      <c r="J296" s="620">
        <v>233724240</v>
      </c>
      <c r="K296" s="621" t="s">
        <v>991</v>
      </c>
      <c r="L296" s="621" t="s">
        <v>2240</v>
      </c>
      <c r="M296" s="621" t="s">
        <v>4791</v>
      </c>
      <c r="N296" s="621" t="s">
        <v>4228</v>
      </c>
      <c r="O296" s="621"/>
      <c r="P296" s="621"/>
    </row>
    <row r="297" spans="1:16">
      <c r="A297" s="232" t="s">
        <v>687</v>
      </c>
      <c r="B297" s="232" t="s">
        <v>4768</v>
      </c>
      <c r="C297" s="624">
        <v>2023</v>
      </c>
      <c r="D297" s="232" t="s">
        <v>4769</v>
      </c>
      <c r="E297" s="231" t="s">
        <v>5070</v>
      </c>
      <c r="F297" s="233">
        <v>3144</v>
      </c>
      <c r="G297" s="232" t="s">
        <v>4770</v>
      </c>
      <c r="H297" s="233"/>
      <c r="I297" s="233"/>
      <c r="J297" s="623">
        <v>152046700</v>
      </c>
      <c r="K297" s="624" t="s">
        <v>991</v>
      </c>
      <c r="L297" s="624" t="s">
        <v>2240</v>
      </c>
      <c r="M297" s="624" t="s">
        <v>4792</v>
      </c>
      <c r="N297" s="624" t="s">
        <v>4228</v>
      </c>
      <c r="O297" s="624"/>
      <c r="P297" s="624"/>
    </row>
    <row r="298" spans="1:16">
      <c r="A298" s="231" t="s">
        <v>687</v>
      </c>
      <c r="B298" s="231" t="s">
        <v>4768</v>
      </c>
      <c r="C298" s="621">
        <v>2023</v>
      </c>
      <c r="D298" s="231" t="s">
        <v>4769</v>
      </c>
      <c r="E298" s="231" t="s">
        <v>5070</v>
      </c>
      <c r="F298" s="619">
        <v>54</v>
      </c>
      <c r="G298" s="231" t="s">
        <v>4770</v>
      </c>
      <c r="H298" s="619"/>
      <c r="I298" s="619"/>
      <c r="J298" s="620">
        <v>2565000</v>
      </c>
      <c r="K298" s="621" t="s">
        <v>991</v>
      </c>
      <c r="L298" s="621" t="s">
        <v>2240</v>
      </c>
      <c r="M298" s="621" t="s">
        <v>4793</v>
      </c>
      <c r="N298" s="621" t="s">
        <v>4228</v>
      </c>
      <c r="O298" s="621"/>
      <c r="P298" s="621"/>
    </row>
    <row r="299" spans="1:16">
      <c r="A299" s="232" t="s">
        <v>687</v>
      </c>
      <c r="B299" s="232" t="s">
        <v>4768</v>
      </c>
      <c r="C299" s="624">
        <v>2023</v>
      </c>
      <c r="D299" s="232" t="s">
        <v>4769</v>
      </c>
      <c r="E299" s="231" t="s">
        <v>5070</v>
      </c>
      <c r="F299" s="233">
        <v>206</v>
      </c>
      <c r="G299" s="232" t="s">
        <v>4770</v>
      </c>
      <c r="H299" s="233"/>
      <c r="I299" s="233"/>
      <c r="J299" s="623">
        <v>9785000</v>
      </c>
      <c r="K299" s="624" t="s">
        <v>991</v>
      </c>
      <c r="L299" s="624" t="s">
        <v>2240</v>
      </c>
      <c r="M299" s="624" t="s">
        <v>4794</v>
      </c>
      <c r="N299" s="624" t="s">
        <v>4228</v>
      </c>
      <c r="O299" s="624"/>
      <c r="P299" s="624"/>
    </row>
    <row r="300" spans="1:16">
      <c r="A300" s="231" t="s">
        <v>687</v>
      </c>
      <c r="B300" s="231" t="s">
        <v>4768</v>
      </c>
      <c r="C300" s="621">
        <v>2023</v>
      </c>
      <c r="D300" s="231" t="s">
        <v>4769</v>
      </c>
      <c r="E300" s="231" t="s">
        <v>5070</v>
      </c>
      <c r="F300" s="619">
        <v>1619</v>
      </c>
      <c r="G300" s="231" t="s">
        <v>4770</v>
      </c>
      <c r="H300" s="619"/>
      <c r="I300" s="619"/>
      <c r="J300" s="620">
        <v>78826000</v>
      </c>
      <c r="K300" s="621" t="s">
        <v>991</v>
      </c>
      <c r="L300" s="621" t="s">
        <v>2240</v>
      </c>
      <c r="M300" s="621" t="s">
        <v>4795</v>
      </c>
      <c r="N300" s="621" t="s">
        <v>4228</v>
      </c>
      <c r="O300" s="621"/>
      <c r="P300" s="621"/>
    </row>
    <row r="301" spans="1:16">
      <c r="A301" s="232" t="s">
        <v>687</v>
      </c>
      <c r="B301" s="232" t="s">
        <v>4768</v>
      </c>
      <c r="C301" s="624">
        <v>2023</v>
      </c>
      <c r="D301" s="232" t="s">
        <v>4769</v>
      </c>
      <c r="E301" s="231" t="s">
        <v>5070</v>
      </c>
      <c r="F301" s="233">
        <v>6125</v>
      </c>
      <c r="G301" s="232" t="s">
        <v>4770</v>
      </c>
      <c r="H301" s="233"/>
      <c r="I301" s="233"/>
      <c r="J301" s="623">
        <v>303728900</v>
      </c>
      <c r="K301" s="624" t="s">
        <v>991</v>
      </c>
      <c r="L301" s="624" t="s">
        <v>2240</v>
      </c>
      <c r="M301" s="624" t="s">
        <v>4796</v>
      </c>
      <c r="N301" s="624" t="s">
        <v>4228</v>
      </c>
      <c r="O301" s="624"/>
      <c r="P301" s="624"/>
    </row>
    <row r="302" spans="1:16">
      <c r="A302" s="231" t="s">
        <v>687</v>
      </c>
      <c r="B302" s="231" t="s">
        <v>4768</v>
      </c>
      <c r="C302" s="621">
        <v>2023</v>
      </c>
      <c r="D302" s="231" t="s">
        <v>4769</v>
      </c>
      <c r="E302" s="231" t="s">
        <v>5070</v>
      </c>
      <c r="F302" s="619">
        <v>6593</v>
      </c>
      <c r="G302" s="231" t="s">
        <v>4770</v>
      </c>
      <c r="H302" s="619"/>
      <c r="I302" s="619"/>
      <c r="J302" s="620">
        <v>326934240</v>
      </c>
      <c r="K302" s="621" t="s">
        <v>991</v>
      </c>
      <c r="L302" s="621" t="s">
        <v>2240</v>
      </c>
      <c r="M302" s="621" t="s">
        <v>4797</v>
      </c>
      <c r="N302" s="621" t="s">
        <v>4228</v>
      </c>
      <c r="O302" s="621"/>
      <c r="P302" s="621"/>
    </row>
    <row r="303" spans="1:16">
      <c r="A303" s="232" t="s">
        <v>687</v>
      </c>
      <c r="B303" s="232" t="s">
        <v>4768</v>
      </c>
      <c r="C303" s="624">
        <v>2023</v>
      </c>
      <c r="D303" s="232" t="s">
        <v>4769</v>
      </c>
      <c r="E303" s="231" t="s">
        <v>5070</v>
      </c>
      <c r="F303" s="233">
        <v>11696</v>
      </c>
      <c r="G303" s="232" t="s">
        <v>4770</v>
      </c>
      <c r="H303" s="233"/>
      <c r="I303" s="233"/>
      <c r="J303" s="623">
        <v>577275920</v>
      </c>
      <c r="K303" s="624" t="s">
        <v>991</v>
      </c>
      <c r="L303" s="624" t="s">
        <v>2240</v>
      </c>
      <c r="M303" s="624" t="s">
        <v>4798</v>
      </c>
      <c r="N303" s="624" t="s">
        <v>4228</v>
      </c>
      <c r="O303" s="624"/>
      <c r="P303" s="624"/>
    </row>
    <row r="304" spans="1:16">
      <c r="A304" s="231" t="s">
        <v>687</v>
      </c>
      <c r="B304" s="231" t="s">
        <v>4768</v>
      </c>
      <c r="C304" s="621">
        <v>2023</v>
      </c>
      <c r="D304" s="231" t="s">
        <v>4769</v>
      </c>
      <c r="E304" s="231" t="s">
        <v>5070</v>
      </c>
      <c r="F304" s="619">
        <v>1190</v>
      </c>
      <c r="G304" s="231" t="s">
        <v>4770</v>
      </c>
      <c r="H304" s="619"/>
      <c r="I304" s="619"/>
      <c r="J304" s="620">
        <v>58608020</v>
      </c>
      <c r="K304" s="621" t="s">
        <v>991</v>
      </c>
      <c r="L304" s="621" t="s">
        <v>2240</v>
      </c>
      <c r="M304" s="621" t="s">
        <v>4799</v>
      </c>
      <c r="N304" s="621" t="s">
        <v>4228</v>
      </c>
      <c r="O304" s="621"/>
      <c r="P304" s="621"/>
    </row>
    <row r="305" spans="1:16">
      <c r="A305" s="232" t="s">
        <v>687</v>
      </c>
      <c r="B305" s="232" t="s">
        <v>4768</v>
      </c>
      <c r="C305" s="624">
        <v>2023</v>
      </c>
      <c r="D305" s="232" t="s">
        <v>4769</v>
      </c>
      <c r="E305" s="231" t="s">
        <v>5070</v>
      </c>
      <c r="F305" s="233">
        <v>4539</v>
      </c>
      <c r="G305" s="232" t="s">
        <v>4770</v>
      </c>
      <c r="H305" s="233"/>
      <c r="I305" s="233"/>
      <c r="J305" s="623">
        <v>221845280</v>
      </c>
      <c r="K305" s="624" t="s">
        <v>991</v>
      </c>
      <c r="L305" s="624" t="s">
        <v>2240</v>
      </c>
      <c r="M305" s="624" t="s">
        <v>4800</v>
      </c>
      <c r="N305" s="624" t="s">
        <v>4228</v>
      </c>
      <c r="O305" s="624"/>
      <c r="P305" s="624"/>
    </row>
    <row r="306" spans="1:16">
      <c r="A306" s="231" t="s">
        <v>687</v>
      </c>
      <c r="B306" s="231" t="s">
        <v>4768</v>
      </c>
      <c r="C306" s="621">
        <v>2023</v>
      </c>
      <c r="D306" s="231" t="s">
        <v>4769</v>
      </c>
      <c r="E306" s="231" t="s">
        <v>5070</v>
      </c>
      <c r="F306" s="619">
        <v>160</v>
      </c>
      <c r="G306" s="231" t="s">
        <v>4770</v>
      </c>
      <c r="H306" s="619"/>
      <c r="I306" s="619"/>
      <c r="J306" s="620">
        <v>7600000</v>
      </c>
      <c r="K306" s="621" t="s">
        <v>991</v>
      </c>
      <c r="L306" s="621" t="s">
        <v>2240</v>
      </c>
      <c r="M306" s="621" t="s">
        <v>4801</v>
      </c>
      <c r="N306" s="621" t="s">
        <v>4228</v>
      </c>
      <c r="O306" s="621"/>
      <c r="P306" s="621"/>
    </row>
    <row r="307" spans="1:16">
      <c r="A307" s="232" t="s">
        <v>687</v>
      </c>
      <c r="B307" s="232" t="s">
        <v>4768</v>
      </c>
      <c r="C307" s="624">
        <v>2023</v>
      </c>
      <c r="D307" s="232" t="s">
        <v>4769</v>
      </c>
      <c r="E307" s="231" t="s">
        <v>5070</v>
      </c>
      <c r="F307" s="233">
        <v>26293</v>
      </c>
      <c r="G307" s="232" t="s">
        <v>4770</v>
      </c>
      <c r="H307" s="233"/>
      <c r="I307" s="233"/>
      <c r="J307" s="623">
        <v>1314440800</v>
      </c>
      <c r="K307" s="624" t="s">
        <v>991</v>
      </c>
      <c r="L307" s="624" t="s">
        <v>2240</v>
      </c>
      <c r="M307" s="624" t="s">
        <v>4802</v>
      </c>
      <c r="N307" s="624" t="s">
        <v>4228</v>
      </c>
      <c r="O307" s="624"/>
      <c r="P307" s="624"/>
    </row>
    <row r="308" spans="1:16">
      <c r="A308" s="231" t="s">
        <v>687</v>
      </c>
      <c r="B308" s="231" t="s">
        <v>4768</v>
      </c>
      <c r="C308" s="621">
        <v>2023</v>
      </c>
      <c r="D308" s="231" t="s">
        <v>4769</v>
      </c>
      <c r="E308" s="231" t="s">
        <v>5070</v>
      </c>
      <c r="F308" s="619">
        <v>386</v>
      </c>
      <c r="G308" s="231" t="s">
        <v>4770</v>
      </c>
      <c r="H308" s="619"/>
      <c r="I308" s="619"/>
      <c r="J308" s="620">
        <v>19424700</v>
      </c>
      <c r="K308" s="621" t="s">
        <v>991</v>
      </c>
      <c r="L308" s="621" t="s">
        <v>2240</v>
      </c>
      <c r="M308" s="621" t="s">
        <v>4803</v>
      </c>
      <c r="N308" s="621" t="s">
        <v>4228</v>
      </c>
      <c r="O308" s="621"/>
      <c r="P308" s="621"/>
    </row>
    <row r="309" spans="1:16">
      <c r="A309" s="232" t="s">
        <v>687</v>
      </c>
      <c r="B309" s="232" t="s">
        <v>4768</v>
      </c>
      <c r="C309" s="624">
        <v>2023</v>
      </c>
      <c r="D309" s="232" t="s">
        <v>4769</v>
      </c>
      <c r="E309" s="231" t="s">
        <v>5070</v>
      </c>
      <c r="F309" s="233">
        <v>2114</v>
      </c>
      <c r="G309" s="232" t="s">
        <v>4770</v>
      </c>
      <c r="H309" s="233"/>
      <c r="I309" s="233"/>
      <c r="J309" s="623">
        <v>104661820</v>
      </c>
      <c r="K309" s="624" t="s">
        <v>991</v>
      </c>
      <c r="L309" s="624" t="s">
        <v>2240</v>
      </c>
      <c r="M309" s="624" t="s">
        <v>4804</v>
      </c>
      <c r="N309" s="624" t="s">
        <v>4228</v>
      </c>
      <c r="O309" s="624"/>
      <c r="P309" s="624"/>
    </row>
    <row r="310" spans="1:16">
      <c r="A310" s="231" t="s">
        <v>687</v>
      </c>
      <c r="B310" s="231" t="s">
        <v>4768</v>
      </c>
      <c r="C310" s="621">
        <v>2023</v>
      </c>
      <c r="D310" s="231" t="s">
        <v>4769</v>
      </c>
      <c r="E310" s="231" t="s">
        <v>5070</v>
      </c>
      <c r="F310" s="619">
        <v>645</v>
      </c>
      <c r="G310" s="231" t="s">
        <v>4770</v>
      </c>
      <c r="H310" s="619"/>
      <c r="I310" s="619"/>
      <c r="J310" s="620">
        <v>32515400</v>
      </c>
      <c r="K310" s="621" t="s">
        <v>991</v>
      </c>
      <c r="L310" s="621" t="s">
        <v>2240</v>
      </c>
      <c r="M310" s="621" t="s">
        <v>4805</v>
      </c>
      <c r="N310" s="621" t="s">
        <v>4228</v>
      </c>
      <c r="O310" s="621"/>
      <c r="P310" s="621"/>
    </row>
    <row r="311" spans="1:16">
      <c r="A311" s="232" t="s">
        <v>687</v>
      </c>
      <c r="B311" s="232" t="s">
        <v>4768</v>
      </c>
      <c r="C311" s="624">
        <v>2023</v>
      </c>
      <c r="D311" s="232" t="s">
        <v>4769</v>
      </c>
      <c r="E311" s="231" t="s">
        <v>5070</v>
      </c>
      <c r="F311" s="233">
        <v>6019</v>
      </c>
      <c r="G311" s="232" t="s">
        <v>4770</v>
      </c>
      <c r="H311" s="233"/>
      <c r="I311" s="233"/>
      <c r="J311" s="623">
        <v>296793120</v>
      </c>
      <c r="K311" s="624" t="s">
        <v>991</v>
      </c>
      <c r="L311" s="624" t="s">
        <v>2240</v>
      </c>
      <c r="M311" s="624" t="s">
        <v>4806</v>
      </c>
      <c r="N311" s="624" t="s">
        <v>4228</v>
      </c>
      <c r="O311" s="624"/>
      <c r="P311" s="624"/>
    </row>
    <row r="312" spans="1:16">
      <c r="A312" s="231" t="s">
        <v>687</v>
      </c>
      <c r="B312" s="231" t="s">
        <v>4768</v>
      </c>
      <c r="C312" s="621">
        <v>2023</v>
      </c>
      <c r="D312" s="231" t="s">
        <v>4769</v>
      </c>
      <c r="E312" s="231" t="s">
        <v>5070</v>
      </c>
      <c r="F312" s="619">
        <v>1758</v>
      </c>
      <c r="G312" s="231" t="s">
        <v>4770</v>
      </c>
      <c r="H312" s="619"/>
      <c r="I312" s="619"/>
      <c r="J312" s="620">
        <v>89553400</v>
      </c>
      <c r="K312" s="621" t="s">
        <v>991</v>
      </c>
      <c r="L312" s="621" t="s">
        <v>2240</v>
      </c>
      <c r="M312" s="621" t="s">
        <v>4807</v>
      </c>
      <c r="N312" s="621" t="s">
        <v>4228</v>
      </c>
      <c r="O312" s="621"/>
      <c r="P312" s="621"/>
    </row>
    <row r="313" spans="1:16">
      <c r="A313" s="232" t="s">
        <v>687</v>
      </c>
      <c r="B313" s="232" t="s">
        <v>4768</v>
      </c>
      <c r="C313" s="624">
        <v>2023</v>
      </c>
      <c r="D313" s="232" t="s">
        <v>4769</v>
      </c>
      <c r="E313" s="231" t="s">
        <v>5070</v>
      </c>
      <c r="F313" s="233">
        <v>16473</v>
      </c>
      <c r="G313" s="232" t="s">
        <v>4770</v>
      </c>
      <c r="H313" s="233"/>
      <c r="I313" s="233"/>
      <c r="J313" s="623">
        <v>807827500</v>
      </c>
      <c r="K313" s="624" t="s">
        <v>991</v>
      </c>
      <c r="L313" s="624" t="s">
        <v>2240</v>
      </c>
      <c r="M313" s="624" t="s">
        <v>4808</v>
      </c>
      <c r="N313" s="624" t="s">
        <v>4228</v>
      </c>
      <c r="O313" s="624"/>
      <c r="P313" s="624"/>
    </row>
    <row r="314" spans="1:16">
      <c r="A314" s="231" t="s">
        <v>687</v>
      </c>
      <c r="B314" s="231" t="s">
        <v>4768</v>
      </c>
      <c r="C314" s="621">
        <v>2023</v>
      </c>
      <c r="D314" s="231" t="s">
        <v>4769</v>
      </c>
      <c r="E314" s="231" t="s">
        <v>5070</v>
      </c>
      <c r="F314" s="619">
        <v>1505</v>
      </c>
      <c r="G314" s="231" t="s">
        <v>4770</v>
      </c>
      <c r="H314" s="619"/>
      <c r="I314" s="619"/>
      <c r="J314" s="620">
        <v>73398000</v>
      </c>
      <c r="K314" s="621" t="s">
        <v>991</v>
      </c>
      <c r="L314" s="621" t="s">
        <v>2240</v>
      </c>
      <c r="M314" s="621" t="s">
        <v>4809</v>
      </c>
      <c r="N314" s="621" t="s">
        <v>4693</v>
      </c>
      <c r="O314" s="621"/>
      <c r="P314" s="621"/>
    </row>
    <row r="315" spans="1:16">
      <c r="A315" s="232" t="s">
        <v>687</v>
      </c>
      <c r="B315" s="232" t="s">
        <v>4768</v>
      </c>
      <c r="C315" s="624">
        <v>2023</v>
      </c>
      <c r="D315" s="232" t="s">
        <v>4769</v>
      </c>
      <c r="E315" s="231" t="s">
        <v>5070</v>
      </c>
      <c r="F315" s="233">
        <v>10386</v>
      </c>
      <c r="G315" s="232" t="s">
        <v>4770</v>
      </c>
      <c r="H315" s="233"/>
      <c r="I315" s="233"/>
      <c r="J315" s="623">
        <v>515204120</v>
      </c>
      <c r="K315" s="624" t="s">
        <v>991</v>
      </c>
      <c r="L315" s="624" t="s">
        <v>2240</v>
      </c>
      <c r="M315" s="624" t="s">
        <v>4810</v>
      </c>
      <c r="N315" s="624" t="s">
        <v>4228</v>
      </c>
      <c r="O315" s="624"/>
      <c r="P315" s="624"/>
    </row>
    <row r="316" spans="1:16">
      <c r="A316" s="231" t="s">
        <v>687</v>
      </c>
      <c r="B316" s="231" t="s">
        <v>4768</v>
      </c>
      <c r="C316" s="621">
        <v>2023</v>
      </c>
      <c r="D316" s="231" t="s">
        <v>4769</v>
      </c>
      <c r="E316" s="231" t="s">
        <v>5070</v>
      </c>
      <c r="F316" s="619">
        <v>1629</v>
      </c>
      <c r="G316" s="231" t="s">
        <v>4770</v>
      </c>
      <c r="H316" s="619"/>
      <c r="I316" s="619"/>
      <c r="J316" s="620">
        <v>79915000</v>
      </c>
      <c r="K316" s="621" t="s">
        <v>991</v>
      </c>
      <c r="L316" s="621" t="s">
        <v>2240</v>
      </c>
      <c r="M316" s="621" t="s">
        <v>4811</v>
      </c>
      <c r="N316" s="621" t="s">
        <v>4228</v>
      </c>
      <c r="O316" s="621"/>
      <c r="P316" s="621"/>
    </row>
    <row r="317" spans="1:16">
      <c r="A317" s="232" t="s">
        <v>687</v>
      </c>
      <c r="B317" s="232" t="s">
        <v>4768</v>
      </c>
      <c r="C317" s="624">
        <v>2023</v>
      </c>
      <c r="D317" s="232" t="s">
        <v>4769</v>
      </c>
      <c r="E317" s="231" t="s">
        <v>5070</v>
      </c>
      <c r="F317" s="233">
        <v>2072</v>
      </c>
      <c r="G317" s="232" t="s">
        <v>4770</v>
      </c>
      <c r="H317" s="233"/>
      <c r="I317" s="233"/>
      <c r="J317" s="623">
        <v>101211000</v>
      </c>
      <c r="K317" s="624" t="s">
        <v>991</v>
      </c>
      <c r="L317" s="624" t="s">
        <v>2240</v>
      </c>
      <c r="M317" s="624" t="s">
        <v>4812</v>
      </c>
      <c r="N317" s="624" t="s">
        <v>4783</v>
      </c>
      <c r="O317" s="624"/>
      <c r="P317" s="624"/>
    </row>
    <row r="318" spans="1:16">
      <c r="A318" s="231" t="s">
        <v>687</v>
      </c>
      <c r="B318" s="231" t="s">
        <v>4768</v>
      </c>
      <c r="C318" s="621">
        <v>2023</v>
      </c>
      <c r="D318" s="231" t="s">
        <v>4769</v>
      </c>
      <c r="E318" s="231" t="s">
        <v>5070</v>
      </c>
      <c r="F318" s="619">
        <v>187</v>
      </c>
      <c r="G318" s="231" t="s">
        <v>4770</v>
      </c>
      <c r="H318" s="619"/>
      <c r="I318" s="619"/>
      <c r="J318" s="620">
        <v>9149880</v>
      </c>
      <c r="K318" s="621" t="s">
        <v>991</v>
      </c>
      <c r="L318" s="621" t="s">
        <v>2240</v>
      </c>
      <c r="M318" s="621" t="s">
        <v>4813</v>
      </c>
      <c r="N318" s="621" t="s">
        <v>4693</v>
      </c>
      <c r="O318" s="621"/>
      <c r="P318" s="621"/>
    </row>
    <row r="319" spans="1:16">
      <c r="A319" s="232" t="s">
        <v>687</v>
      </c>
      <c r="B319" s="232" t="s">
        <v>4768</v>
      </c>
      <c r="C319" s="624">
        <v>2023</v>
      </c>
      <c r="D319" s="232" t="s">
        <v>4769</v>
      </c>
      <c r="E319" s="231" t="s">
        <v>5070</v>
      </c>
      <c r="F319" s="233">
        <v>8130</v>
      </c>
      <c r="G319" s="232" t="s">
        <v>4770</v>
      </c>
      <c r="H319" s="233"/>
      <c r="I319" s="233"/>
      <c r="J319" s="623">
        <v>394067000</v>
      </c>
      <c r="K319" s="624" t="s">
        <v>991</v>
      </c>
      <c r="L319" s="624" t="s">
        <v>2240</v>
      </c>
      <c r="M319" s="624" t="s">
        <v>4814</v>
      </c>
      <c r="N319" s="624" t="s">
        <v>4228</v>
      </c>
      <c r="O319" s="624"/>
      <c r="P319" s="624"/>
    </row>
    <row r="320" spans="1:16">
      <c r="A320" s="231" t="s">
        <v>687</v>
      </c>
      <c r="B320" s="231" t="s">
        <v>4768</v>
      </c>
      <c r="C320" s="621">
        <v>2023</v>
      </c>
      <c r="D320" s="231" t="s">
        <v>4769</v>
      </c>
      <c r="E320" s="231" t="s">
        <v>5070</v>
      </c>
      <c r="F320" s="619">
        <v>350</v>
      </c>
      <c r="G320" s="231" t="s">
        <v>4770</v>
      </c>
      <c r="H320" s="619"/>
      <c r="I320" s="619"/>
      <c r="J320" s="620">
        <v>17049000</v>
      </c>
      <c r="K320" s="621" t="s">
        <v>991</v>
      </c>
      <c r="L320" s="621" t="s">
        <v>2240</v>
      </c>
      <c r="M320" s="621" t="s">
        <v>4815</v>
      </c>
      <c r="N320" s="621" t="s">
        <v>4783</v>
      </c>
      <c r="O320" s="621"/>
      <c r="P320" s="621"/>
    </row>
    <row r="321" spans="1:16">
      <c r="A321" s="232" t="s">
        <v>687</v>
      </c>
      <c r="B321" s="232" t="s">
        <v>4768</v>
      </c>
      <c r="C321" s="624">
        <v>2023</v>
      </c>
      <c r="D321" s="232" t="s">
        <v>4769</v>
      </c>
      <c r="E321" s="231" t="s">
        <v>5070</v>
      </c>
      <c r="F321" s="233">
        <v>683</v>
      </c>
      <c r="G321" s="232" t="s">
        <v>4770</v>
      </c>
      <c r="H321" s="233"/>
      <c r="I321" s="233"/>
      <c r="J321" s="623">
        <v>33610000</v>
      </c>
      <c r="K321" s="624" t="s">
        <v>991</v>
      </c>
      <c r="L321" s="624" t="s">
        <v>2240</v>
      </c>
      <c r="M321" s="624" t="s">
        <v>4816</v>
      </c>
      <c r="N321" s="624" t="s">
        <v>4228</v>
      </c>
      <c r="O321" s="624"/>
      <c r="P321" s="624"/>
    </row>
    <row r="322" spans="1:16">
      <c r="A322" s="231" t="s">
        <v>687</v>
      </c>
      <c r="B322" s="231" t="s">
        <v>4768</v>
      </c>
      <c r="C322" s="621">
        <v>2023</v>
      </c>
      <c r="D322" s="231" t="s">
        <v>4769</v>
      </c>
      <c r="E322" s="231" t="s">
        <v>5070</v>
      </c>
      <c r="F322" s="619">
        <v>2412</v>
      </c>
      <c r="G322" s="231" t="s">
        <v>4770</v>
      </c>
      <c r="H322" s="619"/>
      <c r="I322" s="619"/>
      <c r="J322" s="620">
        <v>120464240</v>
      </c>
      <c r="K322" s="621" t="s">
        <v>991</v>
      </c>
      <c r="L322" s="621" t="s">
        <v>2240</v>
      </c>
      <c r="M322" s="621" t="s">
        <v>4817</v>
      </c>
      <c r="N322" s="621" t="s">
        <v>4228</v>
      </c>
      <c r="O322" s="621"/>
      <c r="P322" s="621"/>
    </row>
    <row r="323" spans="1:16">
      <c r="A323" s="232" t="s">
        <v>687</v>
      </c>
      <c r="B323" s="232" t="s">
        <v>4768</v>
      </c>
      <c r="C323" s="624">
        <v>2023</v>
      </c>
      <c r="D323" s="232" t="s">
        <v>4769</v>
      </c>
      <c r="E323" s="231" t="s">
        <v>5070</v>
      </c>
      <c r="F323" s="233">
        <v>3297</v>
      </c>
      <c r="G323" s="232" t="s">
        <v>4770</v>
      </c>
      <c r="H323" s="233"/>
      <c r="I323" s="233"/>
      <c r="J323" s="623">
        <v>163239340</v>
      </c>
      <c r="K323" s="624" t="s">
        <v>991</v>
      </c>
      <c r="L323" s="624" t="s">
        <v>2240</v>
      </c>
      <c r="M323" s="624" t="s">
        <v>4818</v>
      </c>
      <c r="N323" s="624" t="s">
        <v>4228</v>
      </c>
      <c r="O323" s="624"/>
      <c r="P323" s="624"/>
    </row>
    <row r="324" spans="1:16">
      <c r="A324" s="231" t="s">
        <v>687</v>
      </c>
      <c r="B324" s="231" t="s">
        <v>4768</v>
      </c>
      <c r="C324" s="621">
        <v>2023</v>
      </c>
      <c r="D324" s="231" t="s">
        <v>4769</v>
      </c>
      <c r="E324" s="231" t="s">
        <v>5070</v>
      </c>
      <c r="F324" s="619">
        <v>800</v>
      </c>
      <c r="G324" s="231" t="s">
        <v>4770</v>
      </c>
      <c r="H324" s="619"/>
      <c r="I324" s="619"/>
      <c r="J324" s="620">
        <v>35200000</v>
      </c>
      <c r="K324" s="621" t="s">
        <v>991</v>
      </c>
      <c r="L324" s="621" t="s">
        <v>2240</v>
      </c>
      <c r="M324" s="621" t="s">
        <v>4819</v>
      </c>
      <c r="N324" s="621" t="s">
        <v>4783</v>
      </c>
      <c r="O324" s="621"/>
      <c r="P324" s="621"/>
    </row>
    <row r="325" spans="1:16">
      <c r="A325" s="232" t="s">
        <v>687</v>
      </c>
      <c r="B325" s="232" t="s">
        <v>4768</v>
      </c>
      <c r="C325" s="624">
        <v>2023</v>
      </c>
      <c r="D325" s="232" t="s">
        <v>4769</v>
      </c>
      <c r="E325" s="231" t="s">
        <v>5070</v>
      </c>
      <c r="F325" s="233">
        <v>3065</v>
      </c>
      <c r="G325" s="232" t="s">
        <v>4770</v>
      </c>
      <c r="H325" s="233"/>
      <c r="I325" s="233"/>
      <c r="J325" s="623">
        <v>151100240</v>
      </c>
      <c r="K325" s="624" t="s">
        <v>991</v>
      </c>
      <c r="L325" s="624" t="s">
        <v>2240</v>
      </c>
      <c r="M325" s="624" t="s">
        <v>4820</v>
      </c>
      <c r="N325" s="624" t="s">
        <v>4228</v>
      </c>
      <c r="O325" s="624"/>
      <c r="P325" s="624"/>
    </row>
    <row r="326" spans="1:16">
      <c r="A326" s="231" t="s">
        <v>687</v>
      </c>
      <c r="B326" s="231" t="s">
        <v>4768</v>
      </c>
      <c r="C326" s="621">
        <v>2023</v>
      </c>
      <c r="D326" s="231" t="s">
        <v>4769</v>
      </c>
      <c r="E326" s="231" t="s">
        <v>5070</v>
      </c>
      <c r="F326" s="619">
        <v>21863</v>
      </c>
      <c r="G326" s="231" t="s">
        <v>4770</v>
      </c>
      <c r="H326" s="619"/>
      <c r="I326" s="619"/>
      <c r="J326" s="620">
        <v>1078383620</v>
      </c>
      <c r="K326" s="621" t="s">
        <v>991</v>
      </c>
      <c r="L326" s="621" t="s">
        <v>2240</v>
      </c>
      <c r="M326" s="621" t="s">
        <v>4821</v>
      </c>
      <c r="N326" s="621" t="s">
        <v>4228</v>
      </c>
      <c r="O326" s="621"/>
      <c r="P326" s="621"/>
    </row>
    <row r="327" spans="1:16">
      <c r="A327" s="232" t="s">
        <v>687</v>
      </c>
      <c r="B327" s="232" t="s">
        <v>4768</v>
      </c>
      <c r="C327" s="624">
        <v>2023</v>
      </c>
      <c r="D327" s="232" t="s">
        <v>4769</v>
      </c>
      <c r="E327" s="231" t="s">
        <v>5070</v>
      </c>
      <c r="F327" s="233">
        <v>14258</v>
      </c>
      <c r="G327" s="232" t="s">
        <v>4770</v>
      </c>
      <c r="H327" s="233"/>
      <c r="I327" s="233"/>
      <c r="J327" s="623">
        <v>707636340</v>
      </c>
      <c r="K327" s="624" t="s">
        <v>991</v>
      </c>
      <c r="L327" s="624" t="s">
        <v>2240</v>
      </c>
      <c r="M327" s="624" t="s">
        <v>4822</v>
      </c>
      <c r="N327" s="624" t="s">
        <v>4228</v>
      </c>
      <c r="O327" s="624"/>
      <c r="P327" s="624"/>
    </row>
    <row r="328" spans="1:16">
      <c r="A328" s="231" t="s">
        <v>687</v>
      </c>
      <c r="B328" s="231" t="s">
        <v>4768</v>
      </c>
      <c r="C328" s="621">
        <v>2023</v>
      </c>
      <c r="D328" s="231" t="s">
        <v>4769</v>
      </c>
      <c r="E328" s="231" t="s">
        <v>5070</v>
      </c>
      <c r="F328" s="619">
        <v>4387</v>
      </c>
      <c r="G328" s="231" t="s">
        <v>4770</v>
      </c>
      <c r="H328" s="619"/>
      <c r="I328" s="619"/>
      <c r="J328" s="620">
        <v>215769500</v>
      </c>
      <c r="K328" s="621" t="s">
        <v>991</v>
      </c>
      <c r="L328" s="621" t="s">
        <v>2240</v>
      </c>
      <c r="M328" s="621" t="s">
        <v>4823</v>
      </c>
      <c r="N328" s="621" t="s">
        <v>4693</v>
      </c>
      <c r="O328" s="621"/>
      <c r="P328" s="621"/>
    </row>
    <row r="329" spans="1:16">
      <c r="A329" s="232" t="s">
        <v>687</v>
      </c>
      <c r="B329" s="232" t="s">
        <v>4768</v>
      </c>
      <c r="C329" s="624">
        <v>2023</v>
      </c>
      <c r="D329" s="232" t="s">
        <v>4769</v>
      </c>
      <c r="E329" s="231" t="s">
        <v>5070</v>
      </c>
      <c r="F329" s="233">
        <v>1048</v>
      </c>
      <c r="G329" s="232" t="s">
        <v>4770</v>
      </c>
      <c r="H329" s="233"/>
      <c r="I329" s="233"/>
      <c r="J329" s="623">
        <v>51294000</v>
      </c>
      <c r="K329" s="624" t="s">
        <v>991</v>
      </c>
      <c r="L329" s="624" t="s">
        <v>2240</v>
      </c>
      <c r="M329" s="624" t="s">
        <v>4824</v>
      </c>
      <c r="N329" s="624" t="s">
        <v>4228</v>
      </c>
      <c r="O329" s="624"/>
      <c r="P329" s="624"/>
    </row>
    <row r="330" spans="1:16">
      <c r="A330" s="231" t="s">
        <v>687</v>
      </c>
      <c r="B330" s="231" t="s">
        <v>4768</v>
      </c>
      <c r="C330" s="621">
        <v>2023</v>
      </c>
      <c r="D330" s="231" t="s">
        <v>4769</v>
      </c>
      <c r="E330" s="231" t="s">
        <v>5070</v>
      </c>
      <c r="F330" s="619">
        <v>26330</v>
      </c>
      <c r="G330" s="231" t="s">
        <v>4770</v>
      </c>
      <c r="H330" s="619"/>
      <c r="I330" s="619"/>
      <c r="J330" s="620">
        <v>1241579920</v>
      </c>
      <c r="K330" s="621" t="s">
        <v>991</v>
      </c>
      <c r="L330" s="621" t="s">
        <v>2240</v>
      </c>
      <c r="M330" s="621" t="s">
        <v>4825</v>
      </c>
      <c r="N330" s="621" t="s">
        <v>4693</v>
      </c>
      <c r="O330" s="621"/>
      <c r="P330" s="621"/>
    </row>
    <row r="331" spans="1:16">
      <c r="A331" s="232" t="s">
        <v>687</v>
      </c>
      <c r="B331" s="232" t="s">
        <v>4768</v>
      </c>
      <c r="C331" s="624">
        <v>2023</v>
      </c>
      <c r="D331" s="232" t="s">
        <v>4769</v>
      </c>
      <c r="E331" s="231" t="s">
        <v>5070</v>
      </c>
      <c r="F331" s="233">
        <v>2785</v>
      </c>
      <c r="G331" s="232" t="s">
        <v>4770</v>
      </c>
      <c r="H331" s="233"/>
      <c r="I331" s="233"/>
      <c r="J331" s="623">
        <v>138267200</v>
      </c>
      <c r="K331" s="624" t="s">
        <v>991</v>
      </c>
      <c r="L331" s="624" t="s">
        <v>2240</v>
      </c>
      <c r="M331" s="624" t="s">
        <v>4826</v>
      </c>
      <c r="N331" s="624" t="s">
        <v>4228</v>
      </c>
      <c r="O331" s="624"/>
      <c r="P331" s="624"/>
    </row>
    <row r="332" spans="1:16">
      <c r="A332" s="231" t="s">
        <v>687</v>
      </c>
      <c r="B332" s="231" t="s">
        <v>4768</v>
      </c>
      <c r="C332" s="621">
        <v>2023</v>
      </c>
      <c r="D332" s="231" t="s">
        <v>4769</v>
      </c>
      <c r="E332" s="231" t="s">
        <v>5070</v>
      </c>
      <c r="F332" s="619">
        <v>230</v>
      </c>
      <c r="G332" s="231" t="s">
        <v>4770</v>
      </c>
      <c r="H332" s="619"/>
      <c r="I332" s="619"/>
      <c r="J332" s="620">
        <v>11500000</v>
      </c>
      <c r="K332" s="621" t="s">
        <v>991</v>
      </c>
      <c r="L332" s="621" t="s">
        <v>2240</v>
      </c>
      <c r="M332" s="621" t="s">
        <v>4827</v>
      </c>
      <c r="N332" s="621" t="s">
        <v>4228</v>
      </c>
      <c r="O332" s="621"/>
      <c r="P332" s="621"/>
    </row>
    <row r="333" spans="1:16">
      <c r="A333" s="232" t="s">
        <v>687</v>
      </c>
      <c r="B333" s="232" t="s">
        <v>4768</v>
      </c>
      <c r="C333" s="624">
        <v>2023</v>
      </c>
      <c r="D333" s="232" t="s">
        <v>4769</v>
      </c>
      <c r="E333" s="231" t="s">
        <v>5070</v>
      </c>
      <c r="F333" s="233">
        <v>998</v>
      </c>
      <c r="G333" s="232" t="s">
        <v>4770</v>
      </c>
      <c r="H333" s="233"/>
      <c r="I333" s="233"/>
      <c r="J333" s="623">
        <v>48900000</v>
      </c>
      <c r="K333" s="624" t="s">
        <v>991</v>
      </c>
      <c r="L333" s="624" t="s">
        <v>2240</v>
      </c>
      <c r="M333" s="624" t="s">
        <v>4828</v>
      </c>
      <c r="N333" s="624" t="s">
        <v>4228</v>
      </c>
      <c r="O333" s="624"/>
      <c r="P333" s="624"/>
    </row>
    <row r="334" spans="1:16">
      <c r="A334" s="231" t="s">
        <v>687</v>
      </c>
      <c r="B334" s="231" t="s">
        <v>4768</v>
      </c>
      <c r="C334" s="621">
        <v>2023</v>
      </c>
      <c r="D334" s="231" t="s">
        <v>4769</v>
      </c>
      <c r="E334" s="231" t="s">
        <v>5070</v>
      </c>
      <c r="F334" s="619">
        <v>45</v>
      </c>
      <c r="G334" s="231" t="s">
        <v>4770</v>
      </c>
      <c r="H334" s="619"/>
      <c r="I334" s="619"/>
      <c r="J334" s="620">
        <v>2250000</v>
      </c>
      <c r="K334" s="621" t="s">
        <v>991</v>
      </c>
      <c r="L334" s="621" t="s">
        <v>2240</v>
      </c>
      <c r="M334" s="621" t="s">
        <v>4829</v>
      </c>
      <c r="N334" s="621" t="s">
        <v>4693</v>
      </c>
      <c r="O334" s="621"/>
      <c r="P334" s="621"/>
    </row>
    <row r="335" spans="1:16">
      <c r="A335" s="232" t="s">
        <v>687</v>
      </c>
      <c r="B335" s="232" t="s">
        <v>4768</v>
      </c>
      <c r="C335" s="624">
        <v>2023</v>
      </c>
      <c r="D335" s="232" t="s">
        <v>4769</v>
      </c>
      <c r="E335" s="231" t="s">
        <v>5070</v>
      </c>
      <c r="F335" s="233">
        <v>217</v>
      </c>
      <c r="G335" s="232" t="s">
        <v>4770</v>
      </c>
      <c r="H335" s="233"/>
      <c r="I335" s="233"/>
      <c r="J335" s="623">
        <v>10560000</v>
      </c>
      <c r="K335" s="624" t="s">
        <v>991</v>
      </c>
      <c r="L335" s="624" t="s">
        <v>2240</v>
      </c>
      <c r="M335" s="624" t="s">
        <v>4830</v>
      </c>
      <c r="N335" s="624" t="s">
        <v>4228</v>
      </c>
      <c r="O335" s="624"/>
      <c r="P335" s="624"/>
    </row>
    <row r="336" spans="1:16">
      <c r="A336" s="231" t="s">
        <v>687</v>
      </c>
      <c r="B336" s="231" t="s">
        <v>4768</v>
      </c>
      <c r="C336" s="621">
        <v>2023</v>
      </c>
      <c r="D336" s="231" t="s">
        <v>4769</v>
      </c>
      <c r="E336" s="231" t="s">
        <v>5070</v>
      </c>
      <c r="F336" s="619">
        <v>50</v>
      </c>
      <c r="G336" s="231" t="s">
        <v>4770</v>
      </c>
      <c r="H336" s="619"/>
      <c r="I336" s="619"/>
      <c r="J336" s="620">
        <v>2607000</v>
      </c>
      <c r="K336" s="621" t="s">
        <v>991</v>
      </c>
      <c r="L336" s="621" t="s">
        <v>2240</v>
      </c>
      <c r="M336" s="621" t="s">
        <v>4831</v>
      </c>
      <c r="N336" s="621" t="s">
        <v>4693</v>
      </c>
      <c r="O336" s="621"/>
      <c r="P336" s="621"/>
    </row>
    <row r="337" spans="1:16">
      <c r="A337" s="232" t="s">
        <v>687</v>
      </c>
      <c r="B337" s="232" t="s">
        <v>4768</v>
      </c>
      <c r="C337" s="624">
        <v>2023</v>
      </c>
      <c r="D337" s="232" t="s">
        <v>4769</v>
      </c>
      <c r="E337" s="231" t="s">
        <v>5070</v>
      </c>
      <c r="F337" s="233">
        <v>5221</v>
      </c>
      <c r="G337" s="232" t="s">
        <v>4770</v>
      </c>
      <c r="H337" s="233"/>
      <c r="I337" s="233"/>
      <c r="J337" s="623">
        <v>256166540</v>
      </c>
      <c r="K337" s="624" t="s">
        <v>991</v>
      </c>
      <c r="L337" s="624" t="s">
        <v>2240</v>
      </c>
      <c r="M337" s="624" t="s">
        <v>4832</v>
      </c>
      <c r="N337" s="624" t="s">
        <v>4228</v>
      </c>
      <c r="O337" s="624"/>
      <c r="P337" s="624"/>
    </row>
    <row r="338" spans="1:16">
      <c r="A338" s="231" t="s">
        <v>687</v>
      </c>
      <c r="B338" s="231" t="s">
        <v>4768</v>
      </c>
      <c r="C338" s="621">
        <v>2023</v>
      </c>
      <c r="D338" s="231" t="s">
        <v>4769</v>
      </c>
      <c r="E338" s="231" t="s">
        <v>5070</v>
      </c>
      <c r="F338" s="619">
        <v>20736</v>
      </c>
      <c r="G338" s="231" t="s">
        <v>4770</v>
      </c>
      <c r="H338" s="619"/>
      <c r="I338" s="619"/>
      <c r="J338" s="620">
        <v>985331140</v>
      </c>
      <c r="K338" s="621" t="s">
        <v>991</v>
      </c>
      <c r="L338" s="621" t="s">
        <v>2240</v>
      </c>
      <c r="M338" s="621" t="s">
        <v>4833</v>
      </c>
      <c r="N338" s="621" t="s">
        <v>4228</v>
      </c>
      <c r="O338" s="621"/>
      <c r="P338" s="621"/>
    </row>
    <row r="339" spans="1:16">
      <c r="A339" s="232" t="s">
        <v>687</v>
      </c>
      <c r="B339" s="232" t="s">
        <v>4768</v>
      </c>
      <c r="C339" s="624">
        <v>2023</v>
      </c>
      <c r="D339" s="232" t="s">
        <v>4769</v>
      </c>
      <c r="E339" s="231" t="s">
        <v>5070</v>
      </c>
      <c r="F339" s="233">
        <v>4175</v>
      </c>
      <c r="G339" s="232" t="s">
        <v>4770</v>
      </c>
      <c r="H339" s="233"/>
      <c r="I339" s="233"/>
      <c r="J339" s="623">
        <v>198601100</v>
      </c>
      <c r="K339" s="624" t="s">
        <v>991</v>
      </c>
      <c r="L339" s="624" t="s">
        <v>2240</v>
      </c>
      <c r="M339" s="624" t="s">
        <v>4834</v>
      </c>
      <c r="N339" s="624" t="s">
        <v>4783</v>
      </c>
      <c r="O339" s="624"/>
      <c r="P339" s="624"/>
    </row>
    <row r="340" spans="1:16">
      <c r="A340" s="231" t="s">
        <v>684</v>
      </c>
      <c r="B340" s="231" t="s">
        <v>1353</v>
      </c>
      <c r="C340" s="618">
        <v>44928</v>
      </c>
      <c r="D340" s="231" t="s">
        <v>4835</v>
      </c>
      <c r="E340" s="231" t="s">
        <v>5073</v>
      </c>
      <c r="F340" s="619">
        <v>2000.655</v>
      </c>
      <c r="G340" s="231" t="s">
        <v>4836</v>
      </c>
      <c r="H340" s="619">
        <v>301.37</v>
      </c>
      <c r="I340" s="619">
        <v>737441.43</v>
      </c>
      <c r="J340" s="620">
        <v>453810110.76999998</v>
      </c>
      <c r="K340" s="621" t="s">
        <v>991</v>
      </c>
      <c r="L340" s="621" t="s">
        <v>4837</v>
      </c>
      <c r="M340" s="621" t="s">
        <v>4838</v>
      </c>
      <c r="N340" s="621" t="s">
        <v>4092</v>
      </c>
      <c r="O340" s="621"/>
      <c r="P340" s="621"/>
    </row>
    <row r="341" spans="1:16">
      <c r="A341" s="232" t="s">
        <v>684</v>
      </c>
      <c r="B341" s="232" t="s">
        <v>1353</v>
      </c>
      <c r="C341" s="622">
        <v>44939</v>
      </c>
      <c r="D341" s="232" t="s">
        <v>4839</v>
      </c>
      <c r="E341" s="231" t="s">
        <v>5073</v>
      </c>
      <c r="F341" s="233">
        <v>40</v>
      </c>
      <c r="G341" s="232" t="s">
        <v>4836</v>
      </c>
      <c r="H341" s="233">
        <v>2055.65</v>
      </c>
      <c r="I341" s="233">
        <v>82226</v>
      </c>
      <c r="J341" s="623">
        <v>49803755.299999997</v>
      </c>
      <c r="K341" s="624" t="s">
        <v>991</v>
      </c>
      <c r="L341" s="624" t="s">
        <v>4837</v>
      </c>
      <c r="M341" s="624" t="s">
        <v>4838</v>
      </c>
      <c r="N341" s="624" t="s">
        <v>4092</v>
      </c>
      <c r="O341" s="624"/>
      <c r="P341" s="624"/>
    </row>
    <row r="342" spans="1:16">
      <c r="A342" s="231" t="s">
        <v>684</v>
      </c>
      <c r="B342" s="231" t="s">
        <v>1353</v>
      </c>
      <c r="C342" s="618">
        <v>44947</v>
      </c>
      <c r="D342" s="231" t="s">
        <v>4840</v>
      </c>
      <c r="E342" s="231" t="s">
        <v>5074</v>
      </c>
      <c r="F342" s="619">
        <v>484.70350000000002</v>
      </c>
      <c r="G342" s="231" t="s">
        <v>4836</v>
      </c>
      <c r="H342" s="619">
        <v>2091.2800000000002</v>
      </c>
      <c r="I342" s="619">
        <v>1013662.24</v>
      </c>
      <c r="J342" s="620">
        <v>611745467.71000004</v>
      </c>
      <c r="K342" s="621" t="s">
        <v>991</v>
      </c>
      <c r="L342" s="621" t="s">
        <v>4837</v>
      </c>
      <c r="M342" s="621" t="s">
        <v>4838</v>
      </c>
      <c r="N342" s="621" t="s">
        <v>4092</v>
      </c>
      <c r="O342" s="621"/>
      <c r="P342" s="621"/>
    </row>
    <row r="343" spans="1:16">
      <c r="A343" s="232" t="s">
        <v>684</v>
      </c>
      <c r="B343" s="232" t="s">
        <v>1353</v>
      </c>
      <c r="C343" s="622">
        <v>44947</v>
      </c>
      <c r="D343" s="232" t="s">
        <v>4839</v>
      </c>
      <c r="E343" s="231" t="s">
        <v>5073</v>
      </c>
      <c r="F343" s="233">
        <v>40</v>
      </c>
      <c r="G343" s="232" t="s">
        <v>4836</v>
      </c>
      <c r="H343" s="233">
        <v>2069.1</v>
      </c>
      <c r="I343" s="233">
        <v>82764</v>
      </c>
      <c r="J343" s="623">
        <v>49948098.969999999</v>
      </c>
      <c r="K343" s="624" t="s">
        <v>991</v>
      </c>
      <c r="L343" s="624" t="s">
        <v>4837</v>
      </c>
      <c r="M343" s="624" t="s">
        <v>4838</v>
      </c>
      <c r="N343" s="624" t="s">
        <v>4092</v>
      </c>
      <c r="O343" s="624"/>
      <c r="P343" s="624"/>
    </row>
    <row r="344" spans="1:16">
      <c r="A344" s="231" t="s">
        <v>684</v>
      </c>
      <c r="B344" s="231" t="s">
        <v>1353</v>
      </c>
      <c r="C344" s="618">
        <v>44947</v>
      </c>
      <c r="D344" s="231" t="s">
        <v>4839</v>
      </c>
      <c r="E344" s="231" t="s">
        <v>5073</v>
      </c>
      <c r="F344" s="619">
        <v>80</v>
      </c>
      <c r="G344" s="231" t="s">
        <v>4836</v>
      </c>
      <c r="H344" s="619">
        <v>2004</v>
      </c>
      <c r="I344" s="619">
        <v>160320</v>
      </c>
      <c r="J344" s="620">
        <v>96753168.379999995</v>
      </c>
      <c r="K344" s="621" t="s">
        <v>991</v>
      </c>
      <c r="L344" s="621" t="s">
        <v>4837</v>
      </c>
      <c r="M344" s="621" t="s">
        <v>4838</v>
      </c>
      <c r="N344" s="621" t="s">
        <v>4092</v>
      </c>
      <c r="O344" s="621"/>
      <c r="P344" s="621"/>
    </row>
    <row r="345" spans="1:16">
      <c r="A345" s="232" t="s">
        <v>684</v>
      </c>
      <c r="B345" s="232" t="s">
        <v>1353</v>
      </c>
      <c r="C345" s="622">
        <v>44947</v>
      </c>
      <c r="D345" s="232" t="s">
        <v>4839</v>
      </c>
      <c r="E345" s="231" t="s">
        <v>5073</v>
      </c>
      <c r="F345" s="233">
        <v>60</v>
      </c>
      <c r="G345" s="232" t="s">
        <v>4836</v>
      </c>
      <c r="H345" s="233">
        <v>2156.4</v>
      </c>
      <c r="I345" s="233">
        <v>129384</v>
      </c>
      <c r="J345" s="623">
        <v>78083283.040000007</v>
      </c>
      <c r="K345" s="624" t="s">
        <v>991</v>
      </c>
      <c r="L345" s="624" t="s">
        <v>4837</v>
      </c>
      <c r="M345" s="624" t="s">
        <v>4838</v>
      </c>
      <c r="N345" s="624" t="s">
        <v>4092</v>
      </c>
      <c r="O345" s="624"/>
      <c r="P345" s="624"/>
    </row>
    <row r="346" spans="1:16">
      <c r="A346" s="231" t="s">
        <v>684</v>
      </c>
      <c r="B346" s="231" t="s">
        <v>1353</v>
      </c>
      <c r="C346" s="618">
        <v>44947</v>
      </c>
      <c r="D346" s="231" t="s">
        <v>4839</v>
      </c>
      <c r="E346" s="231" t="s">
        <v>5073</v>
      </c>
      <c r="F346" s="619">
        <v>20</v>
      </c>
      <c r="G346" s="231" t="s">
        <v>4836</v>
      </c>
      <c r="H346" s="619">
        <v>2105.85</v>
      </c>
      <c r="I346" s="619">
        <v>42117</v>
      </c>
      <c r="J346" s="620">
        <v>25417622.210000001</v>
      </c>
      <c r="K346" s="621" t="s">
        <v>991</v>
      </c>
      <c r="L346" s="621" t="s">
        <v>4837</v>
      </c>
      <c r="M346" s="621" t="s">
        <v>4838</v>
      </c>
      <c r="N346" s="621" t="s">
        <v>4092</v>
      </c>
      <c r="O346" s="621"/>
      <c r="P346" s="621"/>
    </row>
    <row r="347" spans="1:16">
      <c r="A347" s="232" t="s">
        <v>684</v>
      </c>
      <c r="B347" s="232" t="s">
        <v>1353</v>
      </c>
      <c r="C347" s="622">
        <v>44947</v>
      </c>
      <c r="D347" s="232" t="s">
        <v>4839</v>
      </c>
      <c r="E347" s="231" t="s">
        <v>5073</v>
      </c>
      <c r="F347" s="233">
        <v>100</v>
      </c>
      <c r="G347" s="232" t="s">
        <v>4836</v>
      </c>
      <c r="H347" s="233">
        <v>2105.85</v>
      </c>
      <c r="I347" s="233">
        <v>210585</v>
      </c>
      <c r="J347" s="623">
        <v>127088111.04000001</v>
      </c>
      <c r="K347" s="624" t="s">
        <v>991</v>
      </c>
      <c r="L347" s="624" t="s">
        <v>4837</v>
      </c>
      <c r="M347" s="624" t="s">
        <v>4838</v>
      </c>
      <c r="N347" s="624" t="s">
        <v>4092</v>
      </c>
      <c r="O347" s="624"/>
      <c r="P347" s="624"/>
    </row>
    <row r="348" spans="1:16">
      <c r="A348" s="231" t="s">
        <v>684</v>
      </c>
      <c r="B348" s="231" t="s">
        <v>1353</v>
      </c>
      <c r="C348" s="618">
        <v>44947</v>
      </c>
      <c r="D348" s="231" t="s">
        <v>4839</v>
      </c>
      <c r="E348" s="231" t="s">
        <v>5073</v>
      </c>
      <c r="F348" s="619">
        <v>20</v>
      </c>
      <c r="G348" s="231" t="s">
        <v>4836</v>
      </c>
      <c r="H348" s="619">
        <v>2105.85</v>
      </c>
      <c r="I348" s="619">
        <v>42117</v>
      </c>
      <c r="J348" s="620">
        <v>25417622.210000001</v>
      </c>
      <c r="K348" s="621" t="s">
        <v>991</v>
      </c>
      <c r="L348" s="621" t="s">
        <v>4837</v>
      </c>
      <c r="M348" s="621" t="s">
        <v>4838</v>
      </c>
      <c r="N348" s="621" t="s">
        <v>4092</v>
      </c>
      <c r="O348" s="621"/>
      <c r="P348" s="621"/>
    </row>
    <row r="349" spans="1:16">
      <c r="A349" s="232" t="s">
        <v>684</v>
      </c>
      <c r="B349" s="232" t="s">
        <v>1353</v>
      </c>
      <c r="C349" s="622">
        <v>44947</v>
      </c>
      <c r="D349" s="232" t="s">
        <v>4839</v>
      </c>
      <c r="E349" s="231" t="s">
        <v>5073</v>
      </c>
      <c r="F349" s="233">
        <v>40</v>
      </c>
      <c r="G349" s="232" t="s">
        <v>4836</v>
      </c>
      <c r="H349" s="233">
        <v>2054.61</v>
      </c>
      <c r="I349" s="233">
        <v>82184.400000000009</v>
      </c>
      <c r="J349" s="623">
        <v>49598310.200000003</v>
      </c>
      <c r="K349" s="624" t="s">
        <v>991</v>
      </c>
      <c r="L349" s="624" t="s">
        <v>4837</v>
      </c>
      <c r="M349" s="624" t="s">
        <v>4838</v>
      </c>
      <c r="N349" s="624" t="s">
        <v>4092</v>
      </c>
      <c r="O349" s="624"/>
      <c r="P349" s="624"/>
    </row>
    <row r="350" spans="1:16">
      <c r="A350" s="231" t="s">
        <v>684</v>
      </c>
      <c r="B350" s="231" t="s">
        <v>1353</v>
      </c>
      <c r="C350" s="618">
        <v>44947</v>
      </c>
      <c r="D350" s="231" t="s">
        <v>4839</v>
      </c>
      <c r="E350" s="231" t="s">
        <v>5073</v>
      </c>
      <c r="F350" s="619">
        <v>20</v>
      </c>
      <c r="G350" s="231" t="s">
        <v>4836</v>
      </c>
      <c r="H350" s="619">
        <v>2159.1799999999998</v>
      </c>
      <c r="I350" s="619">
        <v>43183.6</v>
      </c>
      <c r="J350" s="620">
        <v>26061315.629999999</v>
      </c>
      <c r="K350" s="621" t="s">
        <v>991</v>
      </c>
      <c r="L350" s="621" t="s">
        <v>4837</v>
      </c>
      <c r="M350" s="621" t="s">
        <v>4838</v>
      </c>
      <c r="N350" s="621" t="s">
        <v>4092</v>
      </c>
      <c r="O350" s="621"/>
      <c r="P350" s="621"/>
    </row>
    <row r="351" spans="1:16">
      <c r="A351" s="232" t="s">
        <v>684</v>
      </c>
      <c r="B351" s="232" t="s">
        <v>1353</v>
      </c>
      <c r="C351" s="622">
        <v>44947</v>
      </c>
      <c r="D351" s="232" t="s">
        <v>4841</v>
      </c>
      <c r="E351" s="231" t="s">
        <v>5073</v>
      </c>
      <c r="F351" s="233">
        <v>80</v>
      </c>
      <c r="G351" s="232" t="s">
        <v>4836</v>
      </c>
      <c r="H351" s="233">
        <v>1413.4</v>
      </c>
      <c r="I351" s="233">
        <v>113072</v>
      </c>
      <c r="J351" s="623">
        <v>68238986.120000005</v>
      </c>
      <c r="K351" s="624" t="s">
        <v>991</v>
      </c>
      <c r="L351" s="624" t="s">
        <v>4837</v>
      </c>
      <c r="M351" s="624" t="s">
        <v>4838</v>
      </c>
      <c r="N351" s="624" t="s">
        <v>4092</v>
      </c>
      <c r="O351" s="624"/>
      <c r="P351" s="624"/>
    </row>
    <row r="352" spans="1:16">
      <c r="A352" s="231" t="s">
        <v>684</v>
      </c>
      <c r="B352" s="231" t="s">
        <v>1353</v>
      </c>
      <c r="C352" s="618">
        <v>44949</v>
      </c>
      <c r="D352" s="231" t="s">
        <v>4835</v>
      </c>
      <c r="E352" s="231" t="s">
        <v>5073</v>
      </c>
      <c r="F352" s="619"/>
      <c r="G352" s="231" t="s">
        <v>4836</v>
      </c>
      <c r="H352" s="619"/>
      <c r="I352" s="619">
        <v>-134504.03</v>
      </c>
      <c r="J352" s="620">
        <v>-81222240.340000004</v>
      </c>
      <c r="K352" s="621" t="s">
        <v>991</v>
      </c>
      <c r="L352" s="621" t="s">
        <v>4837</v>
      </c>
      <c r="M352" s="621" t="s">
        <v>4838</v>
      </c>
      <c r="N352" s="621" t="s">
        <v>4092</v>
      </c>
      <c r="O352" s="621"/>
      <c r="P352" s="621"/>
    </row>
    <row r="353" spans="1:16">
      <c r="A353" s="232" t="s">
        <v>684</v>
      </c>
      <c r="B353" s="232" t="s">
        <v>1353</v>
      </c>
      <c r="C353" s="622">
        <v>44953</v>
      </c>
      <c r="D353" s="232" t="s">
        <v>4840</v>
      </c>
      <c r="E353" s="231" t="s">
        <v>5074</v>
      </c>
      <c r="F353" s="233">
        <v>308.39100000000002</v>
      </c>
      <c r="G353" s="232" t="s">
        <v>4836</v>
      </c>
      <c r="H353" s="233">
        <v>1918.2</v>
      </c>
      <c r="I353" s="233">
        <v>806677.21</v>
      </c>
      <c r="J353" s="623">
        <v>488007991.52999997</v>
      </c>
      <c r="K353" s="624" t="s">
        <v>991</v>
      </c>
      <c r="L353" s="624" t="s">
        <v>4837</v>
      </c>
      <c r="M353" s="624" t="s">
        <v>4838</v>
      </c>
      <c r="N353" s="624" t="s">
        <v>4092</v>
      </c>
      <c r="O353" s="624"/>
      <c r="P353" s="624"/>
    </row>
    <row r="354" spans="1:16">
      <c r="A354" s="231" t="s">
        <v>684</v>
      </c>
      <c r="B354" s="231" t="s">
        <v>1353</v>
      </c>
      <c r="C354" s="618">
        <v>44953</v>
      </c>
      <c r="D354" s="231" t="s">
        <v>4841</v>
      </c>
      <c r="E354" s="231" t="s">
        <v>5073</v>
      </c>
      <c r="F354" s="619">
        <v>180</v>
      </c>
      <c r="G354" s="231" t="s">
        <v>4836</v>
      </c>
      <c r="H354" s="619">
        <v>1516.75</v>
      </c>
      <c r="I354" s="619">
        <v>273015</v>
      </c>
      <c r="J354" s="620">
        <v>165163339.38</v>
      </c>
      <c r="K354" s="621" t="s">
        <v>991</v>
      </c>
      <c r="L354" s="621" t="s">
        <v>4837</v>
      </c>
      <c r="M354" s="621" t="s">
        <v>4838</v>
      </c>
      <c r="N354" s="621" t="s">
        <v>4092</v>
      </c>
      <c r="O354" s="621"/>
      <c r="P354" s="621"/>
    </row>
    <row r="355" spans="1:16">
      <c r="A355" s="232" t="s">
        <v>684</v>
      </c>
      <c r="B355" s="232" t="s">
        <v>1353</v>
      </c>
      <c r="C355" s="622">
        <v>44956</v>
      </c>
      <c r="D355" s="232" t="s">
        <v>4840</v>
      </c>
      <c r="E355" s="231" t="s">
        <v>5074</v>
      </c>
      <c r="F355" s="233">
        <v>154.14250000000001</v>
      </c>
      <c r="G355" s="232" t="s">
        <v>4836</v>
      </c>
      <c r="H355" s="233">
        <v>1965.18</v>
      </c>
      <c r="I355" s="233">
        <v>302920.71000000002</v>
      </c>
      <c r="J355" s="623">
        <v>182812739.88999999</v>
      </c>
      <c r="K355" s="624" t="s">
        <v>991</v>
      </c>
      <c r="L355" s="624" t="s">
        <v>4837</v>
      </c>
      <c r="M355" s="624" t="s">
        <v>4838</v>
      </c>
      <c r="N355" s="624" t="s">
        <v>4092</v>
      </c>
      <c r="O355" s="624"/>
      <c r="P355" s="624"/>
    </row>
    <row r="356" spans="1:16">
      <c r="A356" s="231" t="s">
        <v>684</v>
      </c>
      <c r="B356" s="231" t="s">
        <v>1353</v>
      </c>
      <c r="C356" s="618">
        <v>44956</v>
      </c>
      <c r="D356" s="231" t="s">
        <v>4840</v>
      </c>
      <c r="E356" s="231" t="s">
        <v>5074</v>
      </c>
      <c r="F356" s="619">
        <v>154.185</v>
      </c>
      <c r="G356" s="231" t="s">
        <v>4836</v>
      </c>
      <c r="H356" s="619">
        <v>1916.68</v>
      </c>
      <c r="I356" s="619">
        <v>295525.21999999997</v>
      </c>
      <c r="J356" s="620">
        <v>178349559.44</v>
      </c>
      <c r="K356" s="621" t="s">
        <v>991</v>
      </c>
      <c r="L356" s="621" t="s">
        <v>4837</v>
      </c>
      <c r="M356" s="621" t="s">
        <v>4838</v>
      </c>
      <c r="N356" s="621" t="s">
        <v>4092</v>
      </c>
      <c r="O356" s="621"/>
      <c r="P356" s="621"/>
    </row>
    <row r="357" spans="1:16">
      <c r="A357" s="232" t="s">
        <v>684</v>
      </c>
      <c r="B357" s="232" t="s">
        <v>1353</v>
      </c>
      <c r="C357" s="622">
        <v>44957</v>
      </c>
      <c r="D357" s="232" t="s">
        <v>4842</v>
      </c>
      <c r="E357" s="231" t="s">
        <v>5073</v>
      </c>
      <c r="F357" s="233"/>
      <c r="G357" s="232" t="s">
        <v>4836</v>
      </c>
      <c r="H357" s="233"/>
      <c r="I357" s="233">
        <v>-291711.63</v>
      </c>
      <c r="J357" s="623">
        <v>-176206504.34</v>
      </c>
      <c r="K357" s="624" t="s">
        <v>991</v>
      </c>
      <c r="L357" s="624" t="s">
        <v>4837</v>
      </c>
      <c r="M357" s="624" t="s">
        <v>4838</v>
      </c>
      <c r="N357" s="624" t="s">
        <v>4092</v>
      </c>
      <c r="O357" s="624"/>
      <c r="P357" s="624"/>
    </row>
    <row r="358" spans="1:16">
      <c r="A358" s="231" t="s">
        <v>684</v>
      </c>
      <c r="B358" s="231" t="s">
        <v>1353</v>
      </c>
      <c r="C358" s="618">
        <v>44957</v>
      </c>
      <c r="D358" s="231" t="s">
        <v>4835</v>
      </c>
      <c r="E358" s="231" t="s">
        <v>5073</v>
      </c>
      <c r="F358" s="619"/>
      <c r="G358" s="231" t="s">
        <v>4836</v>
      </c>
      <c r="H358" s="619"/>
      <c r="I358" s="619">
        <v>654728.0199999999</v>
      </c>
      <c r="J358" s="620">
        <v>395484183.13</v>
      </c>
      <c r="K358" s="621" t="s">
        <v>991</v>
      </c>
      <c r="L358" s="621" t="s">
        <v>4837</v>
      </c>
      <c r="M358" s="621" t="s">
        <v>4838</v>
      </c>
      <c r="N358" s="621" t="s">
        <v>4092</v>
      </c>
      <c r="O358" s="621"/>
      <c r="P358" s="621"/>
    </row>
    <row r="359" spans="1:16">
      <c r="A359" s="232" t="s">
        <v>684</v>
      </c>
      <c r="B359" s="232" t="s">
        <v>1353</v>
      </c>
      <c r="C359" s="622">
        <v>44957</v>
      </c>
      <c r="D359" s="232" t="s">
        <v>4840</v>
      </c>
      <c r="E359" s="231" t="s">
        <v>5074</v>
      </c>
      <c r="F359" s="233"/>
      <c r="G359" s="232" t="s">
        <v>4836</v>
      </c>
      <c r="H359" s="233"/>
      <c r="I359" s="233">
        <v>25702.660000000007</v>
      </c>
      <c r="J359" s="623">
        <v>15525523.859999999</v>
      </c>
      <c r="K359" s="624" t="s">
        <v>991</v>
      </c>
      <c r="L359" s="624" t="s">
        <v>4837</v>
      </c>
      <c r="M359" s="624" t="s">
        <v>4838</v>
      </c>
      <c r="N359" s="624" t="s">
        <v>4092</v>
      </c>
      <c r="O359" s="624"/>
      <c r="P359" s="624"/>
    </row>
    <row r="360" spans="1:16">
      <c r="A360" s="231" t="s">
        <v>684</v>
      </c>
      <c r="B360" s="231" t="s">
        <v>1353</v>
      </c>
      <c r="C360" s="618">
        <v>44957</v>
      </c>
      <c r="D360" s="231" t="s">
        <v>4843</v>
      </c>
      <c r="E360" s="231" t="s">
        <v>5074</v>
      </c>
      <c r="F360" s="619"/>
      <c r="G360" s="231" t="s">
        <v>4836</v>
      </c>
      <c r="H360" s="619"/>
      <c r="I360" s="619">
        <v>-467168.7</v>
      </c>
      <c r="J360" s="620">
        <v>-282190201.20999998</v>
      </c>
      <c r="K360" s="621" t="s">
        <v>991</v>
      </c>
      <c r="L360" s="621" t="s">
        <v>4837</v>
      </c>
      <c r="M360" s="621" t="s">
        <v>4838</v>
      </c>
      <c r="N360" s="621" t="s">
        <v>4092</v>
      </c>
      <c r="O360" s="621"/>
      <c r="P360" s="621"/>
    </row>
    <row r="361" spans="1:16">
      <c r="A361" s="232" t="s">
        <v>684</v>
      </c>
      <c r="B361" s="232" t="s">
        <v>1353</v>
      </c>
      <c r="C361" s="622">
        <v>44957</v>
      </c>
      <c r="D361" s="232" t="s">
        <v>4839</v>
      </c>
      <c r="E361" s="231" t="s">
        <v>5073</v>
      </c>
      <c r="F361" s="233"/>
      <c r="G361" s="232" t="s">
        <v>4836</v>
      </c>
      <c r="H361" s="233"/>
      <c r="I361" s="233">
        <v>-28600.98</v>
      </c>
      <c r="J361" s="623">
        <v>-17276235.120000001</v>
      </c>
      <c r="K361" s="624" t="s">
        <v>991</v>
      </c>
      <c r="L361" s="624" t="s">
        <v>4837</v>
      </c>
      <c r="M361" s="624" t="s">
        <v>4838</v>
      </c>
      <c r="N361" s="624" t="s">
        <v>4092</v>
      </c>
      <c r="O361" s="624"/>
      <c r="P361" s="624"/>
    </row>
    <row r="362" spans="1:16">
      <c r="A362" s="231" t="s">
        <v>684</v>
      </c>
      <c r="B362" s="231" t="s">
        <v>1353</v>
      </c>
      <c r="C362" s="618">
        <v>44957</v>
      </c>
      <c r="D362" s="231" t="s">
        <v>4841</v>
      </c>
      <c r="E362" s="231" t="s">
        <v>5073</v>
      </c>
      <c r="F362" s="619"/>
      <c r="G362" s="231" t="s">
        <v>4836</v>
      </c>
      <c r="H362" s="619"/>
      <c r="I362" s="619">
        <v>1611.1</v>
      </c>
      <c r="J362" s="620">
        <v>973174.43</v>
      </c>
      <c r="K362" s="621" t="s">
        <v>991</v>
      </c>
      <c r="L362" s="621" t="s">
        <v>4837</v>
      </c>
      <c r="M362" s="621" t="s">
        <v>4838</v>
      </c>
      <c r="N362" s="621" t="s">
        <v>4092</v>
      </c>
      <c r="O362" s="621"/>
      <c r="P362" s="621"/>
    </row>
    <row r="363" spans="1:16">
      <c r="A363" s="232" t="s">
        <v>684</v>
      </c>
      <c r="B363" s="232" t="s">
        <v>1353</v>
      </c>
      <c r="C363" s="622">
        <v>44957</v>
      </c>
      <c r="D363" s="232" t="s">
        <v>4844</v>
      </c>
      <c r="E363" s="231" t="s">
        <v>5074</v>
      </c>
      <c r="F363" s="233"/>
      <c r="G363" s="232" t="s">
        <v>4836</v>
      </c>
      <c r="H363" s="233"/>
      <c r="I363" s="233">
        <v>-228061.62</v>
      </c>
      <c r="J363" s="623">
        <v>-137759131.63</v>
      </c>
      <c r="K363" s="624" t="s">
        <v>991</v>
      </c>
      <c r="L363" s="624" t="s">
        <v>4837</v>
      </c>
      <c r="M363" s="624" t="s">
        <v>4838</v>
      </c>
      <c r="N363" s="624" t="s">
        <v>4092</v>
      </c>
      <c r="O363" s="624"/>
      <c r="P363" s="624"/>
    </row>
    <row r="364" spans="1:16">
      <c r="A364" s="231" t="s">
        <v>684</v>
      </c>
      <c r="B364" s="231" t="s">
        <v>1353</v>
      </c>
      <c r="C364" s="618">
        <v>44957</v>
      </c>
      <c r="D364" s="231" t="s">
        <v>4840</v>
      </c>
      <c r="E364" s="231" t="s">
        <v>5074</v>
      </c>
      <c r="F364" s="619"/>
      <c r="G364" s="231" t="s">
        <v>4836</v>
      </c>
      <c r="H364" s="619"/>
      <c r="I364" s="619">
        <v>-215121.59</v>
      </c>
      <c r="J364" s="620">
        <v>-129904341.79000001</v>
      </c>
      <c r="K364" s="621" t="s">
        <v>991</v>
      </c>
      <c r="L364" s="621" t="s">
        <v>4837</v>
      </c>
      <c r="M364" s="621" t="s">
        <v>4838</v>
      </c>
      <c r="N364" s="621" t="s">
        <v>4092</v>
      </c>
      <c r="O364" s="621"/>
      <c r="P364" s="621"/>
    </row>
    <row r="365" spans="1:16">
      <c r="A365" s="232" t="s">
        <v>684</v>
      </c>
      <c r="B365" s="232" t="s">
        <v>1353</v>
      </c>
      <c r="C365" s="622">
        <v>44957</v>
      </c>
      <c r="D365" s="232" t="s">
        <v>4842</v>
      </c>
      <c r="E365" s="231" t="s">
        <v>5073</v>
      </c>
      <c r="F365" s="233"/>
      <c r="G365" s="232" t="s">
        <v>4836</v>
      </c>
      <c r="H365" s="233"/>
      <c r="I365" s="233">
        <v>291711.63</v>
      </c>
      <c r="J365" s="623">
        <v>178476937.19999999</v>
      </c>
      <c r="K365" s="624" t="s">
        <v>991</v>
      </c>
      <c r="L365" s="624" t="s">
        <v>4837</v>
      </c>
      <c r="M365" s="624" t="s">
        <v>4845</v>
      </c>
      <c r="N365" s="624" t="s">
        <v>4092</v>
      </c>
      <c r="O365" s="624"/>
      <c r="P365" s="624"/>
    </row>
    <row r="366" spans="1:16">
      <c r="A366" s="231" t="s">
        <v>684</v>
      </c>
      <c r="B366" s="231" t="s">
        <v>1353</v>
      </c>
      <c r="C366" s="618">
        <v>44957</v>
      </c>
      <c r="D366" s="231" t="s">
        <v>4835</v>
      </c>
      <c r="E366" s="231" t="s">
        <v>5073</v>
      </c>
      <c r="F366" s="619"/>
      <c r="G366" s="231" t="s">
        <v>4836</v>
      </c>
      <c r="H366" s="619"/>
      <c r="I366" s="619">
        <v>-732979.55</v>
      </c>
      <c r="J366" s="620">
        <v>-448456392.06</v>
      </c>
      <c r="K366" s="621" t="s">
        <v>991</v>
      </c>
      <c r="L366" s="621" t="s">
        <v>4837</v>
      </c>
      <c r="M366" s="621" t="s">
        <v>4845</v>
      </c>
      <c r="N366" s="621" t="s">
        <v>4092</v>
      </c>
      <c r="O366" s="621"/>
      <c r="P366" s="621"/>
    </row>
    <row r="367" spans="1:16">
      <c r="A367" s="232" t="s">
        <v>684</v>
      </c>
      <c r="B367" s="232" t="s">
        <v>1353</v>
      </c>
      <c r="C367" s="622">
        <v>44957</v>
      </c>
      <c r="D367" s="232" t="s">
        <v>4840</v>
      </c>
      <c r="E367" s="231" t="s">
        <v>5074</v>
      </c>
      <c r="F367" s="233"/>
      <c r="G367" s="232" t="s">
        <v>4836</v>
      </c>
      <c r="H367" s="233"/>
      <c r="I367" s="233">
        <v>-25333.13</v>
      </c>
      <c r="J367" s="623">
        <v>-15499483.01</v>
      </c>
      <c r="K367" s="624" t="s">
        <v>991</v>
      </c>
      <c r="L367" s="624" t="s">
        <v>4837</v>
      </c>
      <c r="M367" s="624" t="s">
        <v>4845</v>
      </c>
      <c r="N367" s="624" t="s">
        <v>4092</v>
      </c>
      <c r="O367" s="624"/>
      <c r="P367" s="624"/>
    </row>
    <row r="368" spans="1:16">
      <c r="A368" s="231" t="s">
        <v>684</v>
      </c>
      <c r="B368" s="231" t="s">
        <v>1353</v>
      </c>
      <c r="C368" s="618">
        <v>44957</v>
      </c>
      <c r="D368" s="231" t="s">
        <v>4843</v>
      </c>
      <c r="E368" s="231" t="s">
        <v>5074</v>
      </c>
      <c r="F368" s="619"/>
      <c r="G368" s="231" t="s">
        <v>4836</v>
      </c>
      <c r="H368" s="619"/>
      <c r="I368" s="619">
        <v>478203.19390000001</v>
      </c>
      <c r="J368" s="620">
        <v>292577435.82999998</v>
      </c>
      <c r="K368" s="621" t="s">
        <v>991</v>
      </c>
      <c r="L368" s="621" t="s">
        <v>4837</v>
      </c>
      <c r="M368" s="621" t="s">
        <v>4845</v>
      </c>
      <c r="N368" s="621" t="s">
        <v>4092</v>
      </c>
      <c r="O368" s="621"/>
      <c r="P368" s="621"/>
    </row>
    <row r="369" spans="1:16">
      <c r="A369" s="232" t="s">
        <v>684</v>
      </c>
      <c r="B369" s="232" t="s">
        <v>1353</v>
      </c>
      <c r="C369" s="622">
        <v>44957</v>
      </c>
      <c r="D369" s="232" t="s">
        <v>4839</v>
      </c>
      <c r="E369" s="231" t="s">
        <v>5073</v>
      </c>
      <c r="F369" s="233"/>
      <c r="G369" s="232" t="s">
        <v>4836</v>
      </c>
      <c r="H369" s="233"/>
      <c r="I369" s="233">
        <v>20121.93</v>
      </c>
      <c r="J369" s="623">
        <v>12311132.189999999</v>
      </c>
      <c r="K369" s="624" t="s">
        <v>991</v>
      </c>
      <c r="L369" s="624" t="s">
        <v>4837</v>
      </c>
      <c r="M369" s="624" t="s">
        <v>4845</v>
      </c>
      <c r="N369" s="624" t="s">
        <v>4092</v>
      </c>
      <c r="O369" s="624"/>
      <c r="P369" s="624"/>
    </row>
    <row r="370" spans="1:16">
      <c r="A370" s="231" t="s">
        <v>684</v>
      </c>
      <c r="B370" s="231" t="s">
        <v>1353</v>
      </c>
      <c r="C370" s="618">
        <v>44957</v>
      </c>
      <c r="D370" s="231" t="s">
        <v>4841</v>
      </c>
      <c r="E370" s="231" t="s">
        <v>5073</v>
      </c>
      <c r="F370" s="619"/>
      <c r="G370" s="231" t="s">
        <v>4836</v>
      </c>
      <c r="H370" s="619"/>
      <c r="I370" s="619">
        <v>-1661.4</v>
      </c>
      <c r="J370" s="620">
        <v>-1016488.73</v>
      </c>
      <c r="K370" s="621" t="s">
        <v>991</v>
      </c>
      <c r="L370" s="621" t="s">
        <v>4837</v>
      </c>
      <c r="M370" s="621" t="s">
        <v>4845</v>
      </c>
      <c r="N370" s="621" t="s">
        <v>4092</v>
      </c>
      <c r="O370" s="621"/>
      <c r="P370" s="621"/>
    </row>
    <row r="371" spans="1:16">
      <c r="A371" s="232" t="s">
        <v>684</v>
      </c>
      <c r="B371" s="232" t="s">
        <v>1353</v>
      </c>
      <c r="C371" s="622">
        <v>44957</v>
      </c>
      <c r="D371" s="232" t="s">
        <v>4844</v>
      </c>
      <c r="E371" s="231" t="s">
        <v>5074</v>
      </c>
      <c r="F371" s="233"/>
      <c r="G371" s="232" t="s">
        <v>4836</v>
      </c>
      <c r="H371" s="233"/>
      <c r="I371" s="233">
        <v>272596.34000000003</v>
      </c>
      <c r="J371" s="623">
        <v>166781694.15000001</v>
      </c>
      <c r="K371" s="624" t="s">
        <v>991</v>
      </c>
      <c r="L371" s="624" t="s">
        <v>4837</v>
      </c>
      <c r="M371" s="624" t="s">
        <v>4845</v>
      </c>
      <c r="N371" s="624" t="s">
        <v>4092</v>
      </c>
      <c r="O371" s="624"/>
      <c r="P371" s="624"/>
    </row>
    <row r="372" spans="1:16">
      <c r="A372" s="231" t="s">
        <v>684</v>
      </c>
      <c r="B372" s="231" t="s">
        <v>1353</v>
      </c>
      <c r="C372" s="618">
        <v>44961</v>
      </c>
      <c r="D372" s="231" t="s">
        <v>4843</v>
      </c>
      <c r="E372" s="231" t="s">
        <v>5074</v>
      </c>
      <c r="F372" s="619">
        <v>200.09700000000001</v>
      </c>
      <c r="G372" s="231" t="s">
        <v>4836</v>
      </c>
      <c r="H372" s="619">
        <v>2272.8000000000002</v>
      </c>
      <c r="I372" s="619">
        <v>454780.46</v>
      </c>
      <c r="J372" s="620">
        <v>275791667.68000001</v>
      </c>
      <c r="K372" s="621" t="s">
        <v>991</v>
      </c>
      <c r="L372" s="621" t="s">
        <v>4837</v>
      </c>
      <c r="M372" s="621" t="s">
        <v>4838</v>
      </c>
      <c r="N372" s="621" t="s">
        <v>4092</v>
      </c>
      <c r="O372" s="621"/>
      <c r="P372" s="621"/>
    </row>
    <row r="373" spans="1:16">
      <c r="A373" s="232" t="s">
        <v>684</v>
      </c>
      <c r="B373" s="232" t="s">
        <v>1353</v>
      </c>
      <c r="C373" s="622">
        <v>44961</v>
      </c>
      <c r="D373" s="232" t="s">
        <v>4843</v>
      </c>
      <c r="E373" s="231" t="s">
        <v>5074</v>
      </c>
      <c r="F373" s="233">
        <v>120.11799999999999</v>
      </c>
      <c r="G373" s="232" t="s">
        <v>4836</v>
      </c>
      <c r="H373" s="233">
        <v>2128.25</v>
      </c>
      <c r="I373" s="233">
        <v>255641.13</v>
      </c>
      <c r="J373" s="623">
        <v>155027974.53</v>
      </c>
      <c r="K373" s="624" t="s">
        <v>991</v>
      </c>
      <c r="L373" s="624" t="s">
        <v>4837</v>
      </c>
      <c r="M373" s="624" t="s">
        <v>4838</v>
      </c>
      <c r="N373" s="624" t="s">
        <v>4092</v>
      </c>
      <c r="O373" s="624"/>
      <c r="P373" s="624"/>
    </row>
    <row r="374" spans="1:16">
      <c r="A374" s="231" t="s">
        <v>684</v>
      </c>
      <c r="B374" s="231" t="s">
        <v>1353</v>
      </c>
      <c r="C374" s="618">
        <v>44961</v>
      </c>
      <c r="D374" s="231" t="s">
        <v>4840</v>
      </c>
      <c r="E374" s="231" t="s">
        <v>5074</v>
      </c>
      <c r="F374" s="619">
        <v>40.008000000000003</v>
      </c>
      <c r="G374" s="231" t="s">
        <v>4836</v>
      </c>
      <c r="H374" s="619">
        <v>1967.15</v>
      </c>
      <c r="I374" s="619">
        <v>78701.740000000005</v>
      </c>
      <c r="J374" s="620">
        <v>47726949.670000002</v>
      </c>
      <c r="K374" s="621" t="s">
        <v>991</v>
      </c>
      <c r="L374" s="621" t="s">
        <v>4837</v>
      </c>
      <c r="M374" s="621" t="s">
        <v>4838</v>
      </c>
      <c r="N374" s="621" t="s">
        <v>4092</v>
      </c>
      <c r="O374" s="621"/>
      <c r="P374" s="621"/>
    </row>
    <row r="375" spans="1:16">
      <c r="A375" s="232" t="s">
        <v>684</v>
      </c>
      <c r="B375" s="232" t="s">
        <v>1353</v>
      </c>
      <c r="C375" s="622">
        <v>44968</v>
      </c>
      <c r="D375" s="232" t="s">
        <v>4840</v>
      </c>
      <c r="E375" s="231" t="s">
        <v>5074</v>
      </c>
      <c r="F375" s="233">
        <v>88.152500000000003</v>
      </c>
      <c r="G375" s="232" t="s">
        <v>4836</v>
      </c>
      <c r="H375" s="233">
        <v>1948.22</v>
      </c>
      <c r="I375" s="233">
        <v>171741.44</v>
      </c>
      <c r="J375" s="623">
        <v>105427526.09</v>
      </c>
      <c r="K375" s="624" t="s">
        <v>991</v>
      </c>
      <c r="L375" s="624" t="s">
        <v>4837</v>
      </c>
      <c r="M375" s="624" t="s">
        <v>4838</v>
      </c>
      <c r="N375" s="624" t="s">
        <v>4092</v>
      </c>
      <c r="O375" s="624"/>
      <c r="P375" s="624"/>
    </row>
    <row r="376" spans="1:16">
      <c r="A376" s="231" t="s">
        <v>684</v>
      </c>
      <c r="B376" s="231" t="s">
        <v>1353</v>
      </c>
      <c r="C376" s="618">
        <v>44975</v>
      </c>
      <c r="D376" s="231" t="s">
        <v>4839</v>
      </c>
      <c r="E376" s="231" t="s">
        <v>5073</v>
      </c>
      <c r="F376" s="619">
        <v>40</v>
      </c>
      <c r="G376" s="231" t="s">
        <v>4836</v>
      </c>
      <c r="H376" s="619">
        <v>2069.1</v>
      </c>
      <c r="I376" s="619">
        <v>82764</v>
      </c>
      <c r="J376" s="620">
        <v>50744328.630000003</v>
      </c>
      <c r="K376" s="621" t="s">
        <v>991</v>
      </c>
      <c r="L376" s="621" t="s">
        <v>4837</v>
      </c>
      <c r="M376" s="621" t="s">
        <v>4838</v>
      </c>
      <c r="N376" s="621" t="s">
        <v>4092</v>
      </c>
      <c r="O376" s="621"/>
      <c r="P376" s="621"/>
    </row>
    <row r="377" spans="1:16">
      <c r="A377" s="232" t="s">
        <v>684</v>
      </c>
      <c r="B377" s="232" t="s">
        <v>1353</v>
      </c>
      <c r="C377" s="622">
        <v>44975</v>
      </c>
      <c r="D377" s="232" t="s">
        <v>4839</v>
      </c>
      <c r="E377" s="231" t="s">
        <v>5073</v>
      </c>
      <c r="F377" s="233">
        <v>40</v>
      </c>
      <c r="G377" s="232" t="s">
        <v>4836</v>
      </c>
      <c r="H377" s="233">
        <v>1985.1</v>
      </c>
      <c r="I377" s="233">
        <v>79404</v>
      </c>
      <c r="J377" s="623">
        <v>48684242.799999997</v>
      </c>
      <c r="K377" s="624" t="s">
        <v>991</v>
      </c>
      <c r="L377" s="624" t="s">
        <v>4837</v>
      </c>
      <c r="M377" s="624" t="s">
        <v>4838</v>
      </c>
      <c r="N377" s="624" t="s">
        <v>4092</v>
      </c>
      <c r="O377" s="624"/>
      <c r="P377" s="624"/>
    </row>
    <row r="378" spans="1:16">
      <c r="A378" s="231" t="s">
        <v>684</v>
      </c>
      <c r="B378" s="231" t="s">
        <v>1353</v>
      </c>
      <c r="C378" s="618">
        <v>44975</v>
      </c>
      <c r="D378" s="231" t="s">
        <v>4843</v>
      </c>
      <c r="E378" s="231" t="s">
        <v>5074</v>
      </c>
      <c r="F378" s="619">
        <v>78.039000000000001</v>
      </c>
      <c r="G378" s="231" t="s">
        <v>4836</v>
      </c>
      <c r="H378" s="619">
        <v>2243.5300000000002</v>
      </c>
      <c r="I378" s="619">
        <v>175082.84</v>
      </c>
      <c r="J378" s="620">
        <v>107346928.26000001</v>
      </c>
      <c r="K378" s="621" t="s">
        <v>991</v>
      </c>
      <c r="L378" s="621" t="s">
        <v>4837</v>
      </c>
      <c r="M378" s="621" t="s">
        <v>4838</v>
      </c>
      <c r="N378" s="621" t="s">
        <v>4092</v>
      </c>
      <c r="O378" s="621"/>
      <c r="P378" s="621"/>
    </row>
    <row r="379" spans="1:16">
      <c r="A379" s="232" t="s">
        <v>684</v>
      </c>
      <c r="B379" s="232" t="s">
        <v>1353</v>
      </c>
      <c r="C379" s="622">
        <v>44975</v>
      </c>
      <c r="D379" s="232" t="s">
        <v>4843</v>
      </c>
      <c r="E379" s="231" t="s">
        <v>5074</v>
      </c>
      <c r="F379" s="233">
        <v>160.07400000000001</v>
      </c>
      <c r="G379" s="232" t="s">
        <v>4836</v>
      </c>
      <c r="H379" s="233">
        <v>2260.19</v>
      </c>
      <c r="I379" s="233">
        <v>361797.65</v>
      </c>
      <c r="J379" s="623">
        <v>221825659.09999999</v>
      </c>
      <c r="K379" s="624" t="s">
        <v>991</v>
      </c>
      <c r="L379" s="624" t="s">
        <v>4837</v>
      </c>
      <c r="M379" s="624" t="s">
        <v>4838</v>
      </c>
      <c r="N379" s="624" t="s">
        <v>4092</v>
      </c>
      <c r="O379" s="624"/>
      <c r="P379" s="624"/>
    </row>
    <row r="380" spans="1:16">
      <c r="A380" s="231" t="s">
        <v>684</v>
      </c>
      <c r="B380" s="231" t="s">
        <v>1353</v>
      </c>
      <c r="C380" s="618">
        <v>44982</v>
      </c>
      <c r="D380" s="231" t="s">
        <v>4841</v>
      </c>
      <c r="E380" s="231" t="s">
        <v>5073</v>
      </c>
      <c r="F380" s="619">
        <v>60</v>
      </c>
      <c r="G380" s="231" t="s">
        <v>4836</v>
      </c>
      <c r="H380" s="619">
        <v>1586</v>
      </c>
      <c r="I380" s="619">
        <v>95160</v>
      </c>
      <c r="J380" s="620">
        <v>59068901.299999997</v>
      </c>
      <c r="K380" s="621" t="s">
        <v>991</v>
      </c>
      <c r="L380" s="621" t="s">
        <v>4837</v>
      </c>
      <c r="M380" s="621" t="s">
        <v>4838</v>
      </c>
      <c r="N380" s="621" t="s">
        <v>4092</v>
      </c>
      <c r="O380" s="621"/>
      <c r="P380" s="621"/>
    </row>
    <row r="381" spans="1:16">
      <c r="A381" s="232" t="s">
        <v>684</v>
      </c>
      <c r="B381" s="232" t="s">
        <v>1353</v>
      </c>
      <c r="C381" s="622">
        <v>44982</v>
      </c>
      <c r="D381" s="232" t="s">
        <v>4841</v>
      </c>
      <c r="E381" s="231" t="s">
        <v>5073</v>
      </c>
      <c r="F381" s="233">
        <v>20</v>
      </c>
      <c r="G381" s="232" t="s">
        <v>4836</v>
      </c>
      <c r="H381" s="233">
        <v>1521.05</v>
      </c>
      <c r="I381" s="233">
        <v>30421</v>
      </c>
      <c r="J381" s="623">
        <v>18883302.300000001</v>
      </c>
      <c r="K381" s="624" t="s">
        <v>991</v>
      </c>
      <c r="L381" s="624" t="s">
        <v>4837</v>
      </c>
      <c r="M381" s="624" t="s">
        <v>4838</v>
      </c>
      <c r="N381" s="624" t="s">
        <v>4092</v>
      </c>
      <c r="O381" s="624"/>
      <c r="P381" s="624"/>
    </row>
    <row r="382" spans="1:16">
      <c r="A382" s="231" t="s">
        <v>684</v>
      </c>
      <c r="B382" s="231" t="s">
        <v>1353</v>
      </c>
      <c r="C382" s="618">
        <v>44982</v>
      </c>
      <c r="D382" s="231" t="s">
        <v>4844</v>
      </c>
      <c r="E382" s="231" t="s">
        <v>5074</v>
      </c>
      <c r="F382" s="619">
        <v>898.89</v>
      </c>
      <c r="G382" s="231" t="s">
        <v>4836</v>
      </c>
      <c r="H382" s="619">
        <v>238.38</v>
      </c>
      <c r="I382" s="619">
        <v>214280.19</v>
      </c>
      <c r="J382" s="620">
        <v>132517124.3</v>
      </c>
      <c r="K382" s="621" t="s">
        <v>991</v>
      </c>
      <c r="L382" s="621" t="s">
        <v>4837</v>
      </c>
      <c r="M382" s="621" t="s">
        <v>4838</v>
      </c>
      <c r="N382" s="621" t="s">
        <v>4092</v>
      </c>
      <c r="O382" s="621"/>
      <c r="P382" s="621"/>
    </row>
    <row r="383" spans="1:16">
      <c r="A383" s="232" t="s">
        <v>684</v>
      </c>
      <c r="B383" s="232" t="s">
        <v>1353</v>
      </c>
      <c r="C383" s="622">
        <v>44982</v>
      </c>
      <c r="D383" s="232" t="s">
        <v>4843</v>
      </c>
      <c r="E383" s="231" t="s">
        <v>5074</v>
      </c>
      <c r="F383" s="233">
        <v>39.999000000000002</v>
      </c>
      <c r="G383" s="232" t="s">
        <v>4836</v>
      </c>
      <c r="H383" s="233">
        <v>2272.8000000000002</v>
      </c>
      <c r="I383" s="233">
        <v>90909.73</v>
      </c>
      <c r="J383" s="623">
        <v>56221230.670000002</v>
      </c>
      <c r="K383" s="624" t="s">
        <v>991</v>
      </c>
      <c r="L383" s="624" t="s">
        <v>4837</v>
      </c>
      <c r="M383" s="624" t="s">
        <v>4838</v>
      </c>
      <c r="N383" s="624" t="s">
        <v>4092</v>
      </c>
      <c r="O383" s="624"/>
      <c r="P383" s="624"/>
    </row>
    <row r="384" spans="1:16">
      <c r="A384" s="231" t="s">
        <v>684</v>
      </c>
      <c r="B384" s="231" t="s">
        <v>1353</v>
      </c>
      <c r="C384" s="618">
        <v>44982</v>
      </c>
      <c r="D384" s="231" t="s">
        <v>4843</v>
      </c>
      <c r="E384" s="231" t="s">
        <v>5074</v>
      </c>
      <c r="F384" s="619">
        <v>198.31</v>
      </c>
      <c r="G384" s="231" t="s">
        <v>4836</v>
      </c>
      <c r="H384" s="619">
        <v>2136.14</v>
      </c>
      <c r="I384" s="619">
        <v>423620.06</v>
      </c>
      <c r="J384" s="620">
        <v>261979010.50999999</v>
      </c>
      <c r="K384" s="621" t="s">
        <v>991</v>
      </c>
      <c r="L384" s="621" t="s">
        <v>4837</v>
      </c>
      <c r="M384" s="621" t="s">
        <v>4838</v>
      </c>
      <c r="N384" s="621" t="s">
        <v>4092</v>
      </c>
      <c r="O384" s="621"/>
      <c r="P384" s="621"/>
    </row>
    <row r="385" spans="1:16">
      <c r="A385" s="232" t="s">
        <v>684</v>
      </c>
      <c r="B385" s="232" t="s">
        <v>1353</v>
      </c>
      <c r="C385" s="622">
        <v>44982</v>
      </c>
      <c r="D385" s="232" t="s">
        <v>4843</v>
      </c>
      <c r="E385" s="231" t="s">
        <v>5074</v>
      </c>
      <c r="F385" s="233">
        <v>200.011</v>
      </c>
      <c r="G385" s="232" t="s">
        <v>4836</v>
      </c>
      <c r="H385" s="233">
        <v>2134</v>
      </c>
      <c r="I385" s="233">
        <v>853646.95</v>
      </c>
      <c r="J385" s="623">
        <v>529886374.92000002</v>
      </c>
      <c r="K385" s="624" t="s">
        <v>991</v>
      </c>
      <c r="L385" s="624" t="s">
        <v>4837</v>
      </c>
      <c r="M385" s="624" t="s">
        <v>4838</v>
      </c>
      <c r="N385" s="624" t="s">
        <v>4092</v>
      </c>
      <c r="O385" s="624"/>
      <c r="P385" s="624"/>
    </row>
    <row r="386" spans="1:16">
      <c r="A386" s="231" t="s">
        <v>684</v>
      </c>
      <c r="B386" s="231" t="s">
        <v>1353</v>
      </c>
      <c r="C386" s="618">
        <v>44982</v>
      </c>
      <c r="D386" s="231" t="s">
        <v>4840</v>
      </c>
      <c r="E386" s="231" t="s">
        <v>5074</v>
      </c>
      <c r="F386" s="619">
        <v>198.29374999999999</v>
      </c>
      <c r="G386" s="231" t="s">
        <v>4836</v>
      </c>
      <c r="H386" s="619">
        <v>1928.51</v>
      </c>
      <c r="I386" s="619">
        <v>382413.89</v>
      </c>
      <c r="J386" s="620">
        <v>236495912.18000001</v>
      </c>
      <c r="K386" s="621" t="s">
        <v>991</v>
      </c>
      <c r="L386" s="621" t="s">
        <v>4837</v>
      </c>
      <c r="M386" s="621" t="s">
        <v>4838</v>
      </c>
      <c r="N386" s="621" t="s">
        <v>4092</v>
      </c>
      <c r="O386" s="621"/>
      <c r="P386" s="621"/>
    </row>
    <row r="387" spans="1:16">
      <c r="A387" s="232" t="s">
        <v>684</v>
      </c>
      <c r="B387" s="232" t="s">
        <v>1353</v>
      </c>
      <c r="C387" s="622">
        <v>44982</v>
      </c>
      <c r="D387" s="232" t="s">
        <v>4840</v>
      </c>
      <c r="E387" s="231" t="s">
        <v>5074</v>
      </c>
      <c r="F387" s="233">
        <v>220.30699999999999</v>
      </c>
      <c r="G387" s="232" t="s">
        <v>4836</v>
      </c>
      <c r="H387" s="233">
        <v>1991.56</v>
      </c>
      <c r="I387" s="233">
        <v>438760.58</v>
      </c>
      <c r="J387" s="623">
        <v>272352936.06</v>
      </c>
      <c r="K387" s="624" t="s">
        <v>991</v>
      </c>
      <c r="L387" s="624" t="s">
        <v>4837</v>
      </c>
      <c r="M387" s="624" t="s">
        <v>4838</v>
      </c>
      <c r="N387" s="624" t="s">
        <v>4092</v>
      </c>
      <c r="O387" s="624"/>
      <c r="P387" s="624"/>
    </row>
    <row r="388" spans="1:16">
      <c r="A388" s="231" t="s">
        <v>684</v>
      </c>
      <c r="B388" s="231" t="s">
        <v>1353</v>
      </c>
      <c r="C388" s="618">
        <v>44982</v>
      </c>
      <c r="D388" s="231" t="s">
        <v>4841</v>
      </c>
      <c r="E388" s="231" t="s">
        <v>5073</v>
      </c>
      <c r="F388" s="619">
        <v>60</v>
      </c>
      <c r="G388" s="231" t="s">
        <v>4836</v>
      </c>
      <c r="H388" s="619">
        <v>1344.4</v>
      </c>
      <c r="I388" s="619">
        <v>80664</v>
      </c>
      <c r="J388" s="620">
        <v>50070763.5</v>
      </c>
      <c r="K388" s="621" t="s">
        <v>991</v>
      </c>
      <c r="L388" s="621" t="s">
        <v>4837</v>
      </c>
      <c r="M388" s="621" t="s">
        <v>4838</v>
      </c>
      <c r="N388" s="621" t="s">
        <v>4092</v>
      </c>
      <c r="O388" s="621"/>
      <c r="P388" s="621"/>
    </row>
    <row r="389" spans="1:16">
      <c r="A389" s="232" t="s">
        <v>684</v>
      </c>
      <c r="B389" s="232" t="s">
        <v>1353</v>
      </c>
      <c r="C389" s="622">
        <v>44982</v>
      </c>
      <c r="D389" s="232" t="s">
        <v>4841</v>
      </c>
      <c r="E389" s="231" t="s">
        <v>5073</v>
      </c>
      <c r="F389" s="233">
        <v>80</v>
      </c>
      <c r="G389" s="232" t="s">
        <v>4836</v>
      </c>
      <c r="H389" s="233">
        <v>1380.3</v>
      </c>
      <c r="I389" s="233">
        <v>110424</v>
      </c>
      <c r="J389" s="623">
        <v>68289424.859999999</v>
      </c>
      <c r="K389" s="624" t="s">
        <v>991</v>
      </c>
      <c r="L389" s="624" t="s">
        <v>4837</v>
      </c>
      <c r="M389" s="624" t="s">
        <v>4838</v>
      </c>
      <c r="N389" s="624" t="s">
        <v>4092</v>
      </c>
      <c r="O389" s="624"/>
      <c r="P389" s="624"/>
    </row>
    <row r="390" spans="1:16">
      <c r="A390" s="231" t="s">
        <v>684</v>
      </c>
      <c r="B390" s="231" t="s">
        <v>1353</v>
      </c>
      <c r="C390" s="618">
        <v>44985</v>
      </c>
      <c r="D390" s="231" t="s">
        <v>4842</v>
      </c>
      <c r="E390" s="231" t="s">
        <v>5073</v>
      </c>
      <c r="F390" s="619"/>
      <c r="G390" s="231" t="s">
        <v>4836</v>
      </c>
      <c r="H390" s="619"/>
      <c r="I390" s="619">
        <v>-291711.63</v>
      </c>
      <c r="J390" s="620">
        <v>-180418607.66999999</v>
      </c>
      <c r="K390" s="621" t="s">
        <v>991</v>
      </c>
      <c r="L390" s="621" t="s">
        <v>4837</v>
      </c>
      <c r="M390" s="621" t="s">
        <v>4838</v>
      </c>
      <c r="N390" s="621" t="s">
        <v>4092</v>
      </c>
      <c r="O390" s="621"/>
      <c r="P390" s="621"/>
    </row>
    <row r="391" spans="1:16">
      <c r="A391" s="232" t="s">
        <v>684</v>
      </c>
      <c r="B391" s="232" t="s">
        <v>1353</v>
      </c>
      <c r="C391" s="622">
        <v>44985</v>
      </c>
      <c r="D391" s="232" t="s">
        <v>4835</v>
      </c>
      <c r="E391" s="231" t="s">
        <v>5073</v>
      </c>
      <c r="F391" s="233"/>
      <c r="G391" s="232" t="s">
        <v>4836</v>
      </c>
      <c r="H391" s="233"/>
      <c r="I391" s="233">
        <v>654728.0199999999</v>
      </c>
      <c r="J391" s="623">
        <v>404937978.55000001</v>
      </c>
      <c r="K391" s="624" t="s">
        <v>991</v>
      </c>
      <c r="L391" s="624" t="s">
        <v>4837</v>
      </c>
      <c r="M391" s="624" t="s">
        <v>4838</v>
      </c>
      <c r="N391" s="624" t="s">
        <v>4092</v>
      </c>
      <c r="O391" s="624"/>
      <c r="P391" s="624"/>
    </row>
    <row r="392" spans="1:16">
      <c r="A392" s="231" t="s">
        <v>684</v>
      </c>
      <c r="B392" s="231" t="s">
        <v>1353</v>
      </c>
      <c r="C392" s="618">
        <v>44985</v>
      </c>
      <c r="D392" s="231" t="s">
        <v>4840</v>
      </c>
      <c r="E392" s="231" t="s">
        <v>5074</v>
      </c>
      <c r="F392" s="619"/>
      <c r="G392" s="231" t="s">
        <v>4836</v>
      </c>
      <c r="H392" s="619"/>
      <c r="I392" s="619">
        <v>12134.63</v>
      </c>
      <c r="J392" s="620">
        <v>7505059.1900000004</v>
      </c>
      <c r="K392" s="621" t="s">
        <v>991</v>
      </c>
      <c r="L392" s="621" t="s">
        <v>4837</v>
      </c>
      <c r="M392" s="621" t="s">
        <v>4838</v>
      </c>
      <c r="N392" s="621" t="s">
        <v>4092</v>
      </c>
      <c r="O392" s="621"/>
      <c r="P392" s="621"/>
    </row>
    <row r="393" spans="1:16">
      <c r="A393" s="232" t="s">
        <v>684</v>
      </c>
      <c r="B393" s="232" t="s">
        <v>1353</v>
      </c>
      <c r="C393" s="622">
        <v>44985</v>
      </c>
      <c r="D393" s="232" t="s">
        <v>4843</v>
      </c>
      <c r="E393" s="231" t="s">
        <v>5074</v>
      </c>
      <c r="F393" s="233"/>
      <c r="G393" s="232" t="s">
        <v>4836</v>
      </c>
      <c r="H393" s="233"/>
      <c r="I393" s="233">
        <v>-483259.11390000005</v>
      </c>
      <c r="J393" s="623">
        <v>-298887417.58999997</v>
      </c>
      <c r="K393" s="624" t="s">
        <v>991</v>
      </c>
      <c r="L393" s="624" t="s">
        <v>4837</v>
      </c>
      <c r="M393" s="624" t="s">
        <v>4838</v>
      </c>
      <c r="N393" s="624" t="s">
        <v>4092</v>
      </c>
      <c r="O393" s="624"/>
      <c r="P393" s="624"/>
    </row>
    <row r="394" spans="1:16">
      <c r="A394" s="231" t="s">
        <v>684</v>
      </c>
      <c r="B394" s="231" t="s">
        <v>1353</v>
      </c>
      <c r="C394" s="618">
        <v>44985</v>
      </c>
      <c r="D394" s="231" t="s">
        <v>4839</v>
      </c>
      <c r="E394" s="231" t="s">
        <v>5073</v>
      </c>
      <c r="F394" s="619"/>
      <c r="G394" s="231" t="s">
        <v>4836</v>
      </c>
      <c r="H394" s="619"/>
      <c r="I394" s="619">
        <v>-46391.429999999978</v>
      </c>
      <c r="J394" s="620">
        <v>-28692298.649999999</v>
      </c>
      <c r="K394" s="621" t="s">
        <v>991</v>
      </c>
      <c r="L394" s="621" t="s">
        <v>4837</v>
      </c>
      <c r="M394" s="621" t="s">
        <v>4838</v>
      </c>
      <c r="N394" s="621" t="s">
        <v>4092</v>
      </c>
      <c r="O394" s="621"/>
      <c r="P394" s="621"/>
    </row>
    <row r="395" spans="1:16">
      <c r="A395" s="232" t="s">
        <v>684</v>
      </c>
      <c r="B395" s="232" t="s">
        <v>1353</v>
      </c>
      <c r="C395" s="622">
        <v>44985</v>
      </c>
      <c r="D395" s="232" t="s">
        <v>4841</v>
      </c>
      <c r="E395" s="231" t="s">
        <v>5073</v>
      </c>
      <c r="F395" s="233"/>
      <c r="G395" s="232" t="s">
        <v>4836</v>
      </c>
      <c r="H395" s="233"/>
      <c r="I395" s="233">
        <v>-44892.17</v>
      </c>
      <c r="J395" s="623">
        <v>-27765032.219999999</v>
      </c>
      <c r="K395" s="624" t="s">
        <v>991</v>
      </c>
      <c r="L395" s="624" t="s">
        <v>4837</v>
      </c>
      <c r="M395" s="624" t="s">
        <v>4838</v>
      </c>
      <c r="N395" s="624" t="s">
        <v>4092</v>
      </c>
      <c r="O395" s="624"/>
      <c r="P395" s="624"/>
    </row>
    <row r="396" spans="1:16">
      <c r="A396" s="231" t="s">
        <v>684</v>
      </c>
      <c r="B396" s="231" t="s">
        <v>1353</v>
      </c>
      <c r="C396" s="618">
        <v>44985</v>
      </c>
      <c r="D396" s="231" t="s">
        <v>4844</v>
      </c>
      <c r="E396" s="231" t="s">
        <v>5074</v>
      </c>
      <c r="F396" s="619"/>
      <c r="G396" s="231" t="s">
        <v>4836</v>
      </c>
      <c r="H396" s="619"/>
      <c r="I396" s="619">
        <v>-194329.42999999996</v>
      </c>
      <c r="J396" s="620">
        <v>-120189397.97</v>
      </c>
      <c r="K396" s="621" t="s">
        <v>991</v>
      </c>
      <c r="L396" s="621" t="s">
        <v>4837</v>
      </c>
      <c r="M396" s="621" t="s">
        <v>4838</v>
      </c>
      <c r="N396" s="621" t="s">
        <v>4092</v>
      </c>
      <c r="O396" s="621"/>
      <c r="P396" s="621"/>
    </row>
    <row r="397" spans="1:16">
      <c r="A397" s="232" t="s">
        <v>684</v>
      </c>
      <c r="B397" s="232" t="s">
        <v>1353</v>
      </c>
      <c r="C397" s="622">
        <v>44985</v>
      </c>
      <c r="D397" s="232" t="s">
        <v>4842</v>
      </c>
      <c r="E397" s="231" t="s">
        <v>5073</v>
      </c>
      <c r="F397" s="233"/>
      <c r="G397" s="232" t="s">
        <v>4836</v>
      </c>
      <c r="H397" s="233"/>
      <c r="I397" s="233">
        <v>291711.63</v>
      </c>
      <c r="J397" s="623">
        <v>176206504.34</v>
      </c>
      <c r="K397" s="624" t="s">
        <v>991</v>
      </c>
      <c r="L397" s="624" t="s">
        <v>4837</v>
      </c>
      <c r="M397" s="624" t="s">
        <v>4838</v>
      </c>
      <c r="N397" s="624" t="s">
        <v>4092</v>
      </c>
      <c r="O397" s="624"/>
      <c r="P397" s="624"/>
    </row>
    <row r="398" spans="1:16">
      <c r="A398" s="231" t="s">
        <v>684</v>
      </c>
      <c r="B398" s="231" t="s">
        <v>1353</v>
      </c>
      <c r="C398" s="618">
        <v>44985</v>
      </c>
      <c r="D398" s="231" t="s">
        <v>4835</v>
      </c>
      <c r="E398" s="231" t="s">
        <v>5073</v>
      </c>
      <c r="F398" s="619"/>
      <c r="G398" s="231" t="s">
        <v>4836</v>
      </c>
      <c r="H398" s="619"/>
      <c r="I398" s="619">
        <v>-654728.0199999999</v>
      </c>
      <c r="J398" s="620">
        <v>-395484183.13</v>
      </c>
      <c r="K398" s="621" t="s">
        <v>991</v>
      </c>
      <c r="L398" s="621" t="s">
        <v>4837</v>
      </c>
      <c r="M398" s="621" t="s">
        <v>4838</v>
      </c>
      <c r="N398" s="621" t="s">
        <v>4092</v>
      </c>
      <c r="O398" s="621"/>
      <c r="P398" s="621"/>
    </row>
    <row r="399" spans="1:16">
      <c r="A399" s="232" t="s">
        <v>684</v>
      </c>
      <c r="B399" s="232" t="s">
        <v>1353</v>
      </c>
      <c r="C399" s="622">
        <v>44985</v>
      </c>
      <c r="D399" s="232" t="s">
        <v>4840</v>
      </c>
      <c r="E399" s="231" t="s">
        <v>5074</v>
      </c>
      <c r="F399" s="233"/>
      <c r="G399" s="232" t="s">
        <v>4836</v>
      </c>
      <c r="H399" s="233"/>
      <c r="I399" s="233">
        <v>-25702.660000000007</v>
      </c>
      <c r="J399" s="623">
        <v>-15525523.859999999</v>
      </c>
      <c r="K399" s="624" t="s">
        <v>991</v>
      </c>
      <c r="L399" s="624" t="s">
        <v>4837</v>
      </c>
      <c r="M399" s="624" t="s">
        <v>4838</v>
      </c>
      <c r="N399" s="624" t="s">
        <v>4092</v>
      </c>
      <c r="O399" s="624"/>
      <c r="P399" s="624"/>
    </row>
    <row r="400" spans="1:16">
      <c r="A400" s="231" t="s">
        <v>684</v>
      </c>
      <c r="B400" s="231" t="s">
        <v>1353</v>
      </c>
      <c r="C400" s="618">
        <v>44985</v>
      </c>
      <c r="D400" s="231" t="s">
        <v>4843</v>
      </c>
      <c r="E400" s="231" t="s">
        <v>5074</v>
      </c>
      <c r="F400" s="619"/>
      <c r="G400" s="231" t="s">
        <v>4836</v>
      </c>
      <c r="H400" s="619"/>
      <c r="I400" s="619">
        <v>467168.7</v>
      </c>
      <c r="J400" s="620">
        <v>282190201.20999998</v>
      </c>
      <c r="K400" s="621" t="s">
        <v>991</v>
      </c>
      <c r="L400" s="621" t="s">
        <v>4837</v>
      </c>
      <c r="M400" s="621" t="s">
        <v>4838</v>
      </c>
      <c r="N400" s="621" t="s">
        <v>4092</v>
      </c>
      <c r="O400" s="621"/>
      <c r="P400" s="621"/>
    </row>
    <row r="401" spans="1:16">
      <c r="A401" s="232" t="s">
        <v>684</v>
      </c>
      <c r="B401" s="232" t="s">
        <v>1353</v>
      </c>
      <c r="C401" s="622">
        <v>44985</v>
      </c>
      <c r="D401" s="232" t="s">
        <v>4839</v>
      </c>
      <c r="E401" s="231" t="s">
        <v>5073</v>
      </c>
      <c r="F401" s="233"/>
      <c r="G401" s="232" t="s">
        <v>4836</v>
      </c>
      <c r="H401" s="233"/>
      <c r="I401" s="233">
        <v>28600.98</v>
      </c>
      <c r="J401" s="623">
        <v>17276235.120000001</v>
      </c>
      <c r="K401" s="624" t="s">
        <v>991</v>
      </c>
      <c r="L401" s="624" t="s">
        <v>4837</v>
      </c>
      <c r="M401" s="624" t="s">
        <v>4838</v>
      </c>
      <c r="N401" s="624" t="s">
        <v>4092</v>
      </c>
      <c r="O401" s="624"/>
      <c r="P401" s="624"/>
    </row>
    <row r="402" spans="1:16">
      <c r="A402" s="231" t="s">
        <v>684</v>
      </c>
      <c r="B402" s="231" t="s">
        <v>1353</v>
      </c>
      <c r="C402" s="618">
        <v>44985</v>
      </c>
      <c r="D402" s="231" t="s">
        <v>4841</v>
      </c>
      <c r="E402" s="231" t="s">
        <v>5073</v>
      </c>
      <c r="F402" s="619"/>
      <c r="G402" s="231" t="s">
        <v>4836</v>
      </c>
      <c r="H402" s="619"/>
      <c r="I402" s="619">
        <v>-1611.1</v>
      </c>
      <c r="J402" s="620">
        <v>-973174.43</v>
      </c>
      <c r="K402" s="621" t="s">
        <v>991</v>
      </c>
      <c r="L402" s="621" t="s">
        <v>4837</v>
      </c>
      <c r="M402" s="621" t="s">
        <v>4838</v>
      </c>
      <c r="N402" s="621" t="s">
        <v>4092</v>
      </c>
      <c r="O402" s="621"/>
      <c r="P402" s="621"/>
    </row>
    <row r="403" spans="1:16">
      <c r="A403" s="232" t="s">
        <v>684</v>
      </c>
      <c r="B403" s="232" t="s">
        <v>1353</v>
      </c>
      <c r="C403" s="622">
        <v>44985</v>
      </c>
      <c r="D403" s="232" t="s">
        <v>4844</v>
      </c>
      <c r="E403" s="231" t="s">
        <v>5074</v>
      </c>
      <c r="F403" s="233"/>
      <c r="G403" s="232" t="s">
        <v>4836</v>
      </c>
      <c r="H403" s="233"/>
      <c r="I403" s="233">
        <v>228061.62</v>
      </c>
      <c r="J403" s="623">
        <v>137759131.63</v>
      </c>
      <c r="K403" s="624" t="s">
        <v>991</v>
      </c>
      <c r="L403" s="624" t="s">
        <v>4837</v>
      </c>
      <c r="M403" s="624" t="s">
        <v>4838</v>
      </c>
      <c r="N403" s="624" t="s">
        <v>4092</v>
      </c>
      <c r="O403" s="624"/>
      <c r="P403" s="624"/>
    </row>
    <row r="404" spans="1:16">
      <c r="A404" s="231" t="s">
        <v>684</v>
      </c>
      <c r="B404" s="231" t="s">
        <v>1353</v>
      </c>
      <c r="C404" s="618">
        <v>44985</v>
      </c>
      <c r="D404" s="231" t="s">
        <v>4843</v>
      </c>
      <c r="E404" s="231" t="s">
        <v>5074</v>
      </c>
      <c r="F404" s="619"/>
      <c r="G404" s="231" t="s">
        <v>4836</v>
      </c>
      <c r="H404" s="619"/>
      <c r="I404" s="619">
        <v>-426823.48</v>
      </c>
      <c r="J404" s="620">
        <v>-263960098.94999999</v>
      </c>
      <c r="K404" s="621" t="s">
        <v>991</v>
      </c>
      <c r="L404" s="621" t="s">
        <v>4837</v>
      </c>
      <c r="M404" s="621" t="s">
        <v>4838</v>
      </c>
      <c r="N404" s="621" t="s">
        <v>4092</v>
      </c>
      <c r="O404" s="621"/>
      <c r="P404" s="621"/>
    </row>
    <row r="405" spans="1:16">
      <c r="A405" s="232" t="s">
        <v>684</v>
      </c>
      <c r="B405" s="232" t="s">
        <v>1353</v>
      </c>
      <c r="C405" s="622">
        <v>44985</v>
      </c>
      <c r="D405" s="232" t="s">
        <v>4843</v>
      </c>
      <c r="E405" s="231" t="s">
        <v>5074</v>
      </c>
      <c r="F405" s="233">
        <v>66.041250000000005</v>
      </c>
      <c r="G405" s="232" t="s">
        <v>4836</v>
      </c>
      <c r="H405" s="233">
        <v>2251.33</v>
      </c>
      <c r="I405" s="233">
        <v>148682.34</v>
      </c>
      <c r="J405" s="623">
        <v>91949499.069999993</v>
      </c>
      <c r="K405" s="624" t="s">
        <v>991</v>
      </c>
      <c r="L405" s="624" t="s">
        <v>4837</v>
      </c>
      <c r="M405" s="624" t="s">
        <v>4838</v>
      </c>
      <c r="N405" s="624" t="s">
        <v>4092</v>
      </c>
      <c r="O405" s="624"/>
      <c r="P405" s="624"/>
    </row>
    <row r="406" spans="1:16">
      <c r="A406" s="231" t="s">
        <v>684</v>
      </c>
      <c r="B406" s="231" t="s">
        <v>1353</v>
      </c>
      <c r="C406" s="618">
        <v>44985</v>
      </c>
      <c r="D406" s="231" t="s">
        <v>4843</v>
      </c>
      <c r="E406" s="231" t="s">
        <v>5074</v>
      </c>
      <c r="F406" s="619">
        <v>66.08</v>
      </c>
      <c r="G406" s="231" t="s">
        <v>4836</v>
      </c>
      <c r="H406" s="619">
        <v>2108.27</v>
      </c>
      <c r="I406" s="619">
        <v>139314.48000000001</v>
      </c>
      <c r="J406" s="620">
        <v>86156141</v>
      </c>
      <c r="K406" s="621" t="s">
        <v>991</v>
      </c>
      <c r="L406" s="621" t="s">
        <v>4837</v>
      </c>
      <c r="M406" s="621" t="s">
        <v>4838</v>
      </c>
      <c r="N406" s="621" t="s">
        <v>4092</v>
      </c>
      <c r="O406" s="621"/>
      <c r="P406" s="621"/>
    </row>
    <row r="407" spans="1:16">
      <c r="A407" s="232" t="s">
        <v>684</v>
      </c>
      <c r="B407" s="232" t="s">
        <v>1353</v>
      </c>
      <c r="C407" s="622">
        <v>44985</v>
      </c>
      <c r="D407" s="232" t="s">
        <v>4840</v>
      </c>
      <c r="E407" s="231" t="s">
        <v>5074</v>
      </c>
      <c r="F407" s="233">
        <v>60.037999999999997</v>
      </c>
      <c r="G407" s="232" t="s">
        <v>4836</v>
      </c>
      <c r="H407" s="233">
        <v>1973.05</v>
      </c>
      <c r="I407" s="233">
        <v>118457.98</v>
      </c>
      <c r="J407" s="623">
        <v>73257872.599999994</v>
      </c>
      <c r="K407" s="624" t="s">
        <v>991</v>
      </c>
      <c r="L407" s="624" t="s">
        <v>4837</v>
      </c>
      <c r="M407" s="624" t="s">
        <v>4838</v>
      </c>
      <c r="N407" s="624" t="s">
        <v>4092</v>
      </c>
      <c r="O407" s="624"/>
      <c r="P407" s="624"/>
    </row>
    <row r="408" spans="1:16">
      <c r="A408" s="231" t="s">
        <v>684</v>
      </c>
      <c r="B408" s="231" t="s">
        <v>1353</v>
      </c>
      <c r="C408" s="618">
        <v>44985</v>
      </c>
      <c r="D408" s="231" t="s">
        <v>4843</v>
      </c>
      <c r="E408" s="231" t="s">
        <v>5074</v>
      </c>
      <c r="F408" s="619">
        <v>484.58449999999999</v>
      </c>
      <c r="G408" s="231" t="s">
        <v>4836</v>
      </c>
      <c r="H408" s="619">
        <v>2212.5300000000002</v>
      </c>
      <c r="I408" s="619">
        <v>1072165.49</v>
      </c>
      <c r="J408" s="620">
        <v>663058435.37</v>
      </c>
      <c r="K408" s="621" t="s">
        <v>991</v>
      </c>
      <c r="L408" s="621" t="s">
        <v>4837</v>
      </c>
      <c r="M408" s="621" t="s">
        <v>4838</v>
      </c>
      <c r="N408" s="621" t="s">
        <v>4092</v>
      </c>
      <c r="O408" s="621"/>
      <c r="P408" s="621"/>
    </row>
    <row r="409" spans="1:16">
      <c r="A409" s="232" t="s">
        <v>684</v>
      </c>
      <c r="B409" s="232" t="s">
        <v>1353</v>
      </c>
      <c r="C409" s="622">
        <v>44992</v>
      </c>
      <c r="D409" s="232" t="s">
        <v>4840</v>
      </c>
      <c r="E409" s="231" t="s">
        <v>5074</v>
      </c>
      <c r="F409" s="233">
        <v>418.38099999999997</v>
      </c>
      <c r="G409" s="232" t="s">
        <v>4836</v>
      </c>
      <c r="H409" s="233">
        <v>1965.18</v>
      </c>
      <c r="I409" s="233">
        <v>822203.8</v>
      </c>
      <c r="J409" s="623">
        <v>509419950.43000001</v>
      </c>
      <c r="K409" s="624" t="s">
        <v>991</v>
      </c>
      <c r="L409" s="624" t="s">
        <v>4837</v>
      </c>
      <c r="M409" s="624" t="s">
        <v>4838</v>
      </c>
      <c r="N409" s="624" t="s">
        <v>4092</v>
      </c>
      <c r="O409" s="624"/>
      <c r="P409" s="624"/>
    </row>
    <row r="410" spans="1:16">
      <c r="A410" s="231" t="s">
        <v>684</v>
      </c>
      <c r="B410" s="231" t="s">
        <v>1353</v>
      </c>
      <c r="C410" s="618">
        <v>44992</v>
      </c>
      <c r="D410" s="231" t="s">
        <v>4843</v>
      </c>
      <c r="E410" s="231" t="s">
        <v>5074</v>
      </c>
      <c r="F410" s="619">
        <v>286.35559999999998</v>
      </c>
      <c r="G410" s="231" t="s">
        <v>4836</v>
      </c>
      <c r="H410" s="619">
        <v>2111.75</v>
      </c>
      <c r="I410" s="619">
        <v>604718.62</v>
      </c>
      <c r="J410" s="620">
        <v>374670768.27999997</v>
      </c>
      <c r="K410" s="621" t="s">
        <v>991</v>
      </c>
      <c r="L410" s="621" t="s">
        <v>4837</v>
      </c>
      <c r="M410" s="621" t="s">
        <v>4838</v>
      </c>
      <c r="N410" s="621" t="s">
        <v>4092</v>
      </c>
      <c r="O410" s="621"/>
      <c r="P410" s="621"/>
    </row>
    <row r="411" spans="1:16">
      <c r="A411" s="232" t="s">
        <v>684</v>
      </c>
      <c r="B411" s="232" t="s">
        <v>1353</v>
      </c>
      <c r="C411" s="622">
        <v>44992</v>
      </c>
      <c r="D411" s="232" t="s">
        <v>4843</v>
      </c>
      <c r="E411" s="231" t="s">
        <v>5074</v>
      </c>
      <c r="F411" s="233">
        <v>132.23500000000001</v>
      </c>
      <c r="G411" s="232" t="s">
        <v>4836</v>
      </c>
      <c r="H411" s="233">
        <v>2100.98</v>
      </c>
      <c r="I411" s="233">
        <v>277827.28999999998</v>
      </c>
      <c r="J411" s="623">
        <v>172135867.41</v>
      </c>
      <c r="K411" s="624" t="s">
        <v>991</v>
      </c>
      <c r="L411" s="624" t="s">
        <v>4837</v>
      </c>
      <c r="M411" s="624" t="s">
        <v>4838</v>
      </c>
      <c r="N411" s="624" t="s">
        <v>4092</v>
      </c>
      <c r="O411" s="624"/>
      <c r="P411" s="624"/>
    </row>
    <row r="412" spans="1:16">
      <c r="A412" s="231" t="s">
        <v>684</v>
      </c>
      <c r="B412" s="231" t="s">
        <v>1353</v>
      </c>
      <c r="C412" s="618">
        <v>44992</v>
      </c>
      <c r="D412" s="231" t="s">
        <v>4841</v>
      </c>
      <c r="E412" s="231" t="s">
        <v>5073</v>
      </c>
      <c r="F412" s="619">
        <v>60</v>
      </c>
      <c r="G412" s="231" t="s">
        <v>4836</v>
      </c>
      <c r="H412" s="619">
        <v>1356.55</v>
      </c>
      <c r="I412" s="619">
        <v>81393</v>
      </c>
      <c r="J412" s="620">
        <v>50429368.030000001</v>
      </c>
      <c r="K412" s="621" t="s">
        <v>991</v>
      </c>
      <c r="L412" s="621" t="s">
        <v>4837</v>
      </c>
      <c r="M412" s="621" t="s">
        <v>4838</v>
      </c>
      <c r="N412" s="621" t="s">
        <v>4092</v>
      </c>
      <c r="O412" s="621"/>
      <c r="P412" s="621"/>
    </row>
    <row r="413" spans="1:16">
      <c r="A413" s="232" t="s">
        <v>684</v>
      </c>
      <c r="B413" s="232" t="s">
        <v>1353</v>
      </c>
      <c r="C413" s="622">
        <v>44992</v>
      </c>
      <c r="D413" s="232" t="s">
        <v>4840</v>
      </c>
      <c r="E413" s="231" t="s">
        <v>5074</v>
      </c>
      <c r="F413" s="233">
        <v>132.07124999999999</v>
      </c>
      <c r="G413" s="232" t="s">
        <v>4836</v>
      </c>
      <c r="H413" s="233">
        <v>2011.27</v>
      </c>
      <c r="I413" s="233">
        <v>265634.46000000002</v>
      </c>
      <c r="J413" s="623">
        <v>164581449.81</v>
      </c>
      <c r="K413" s="624" t="s">
        <v>991</v>
      </c>
      <c r="L413" s="624" t="s">
        <v>4837</v>
      </c>
      <c r="M413" s="624" t="s">
        <v>4838</v>
      </c>
      <c r="N413" s="624" t="s">
        <v>4092</v>
      </c>
      <c r="O413" s="624"/>
      <c r="P413" s="624"/>
    </row>
    <row r="414" spans="1:16">
      <c r="A414" s="231" t="s">
        <v>684</v>
      </c>
      <c r="B414" s="231" t="s">
        <v>1353</v>
      </c>
      <c r="C414" s="618">
        <v>44996</v>
      </c>
      <c r="D414" s="231" t="s">
        <v>4844</v>
      </c>
      <c r="E414" s="231"/>
      <c r="F414" s="619">
        <v>877.76</v>
      </c>
      <c r="G414" s="231" t="s">
        <v>4836</v>
      </c>
      <c r="H414" s="619">
        <v>282.25</v>
      </c>
      <c r="I414" s="619">
        <v>247744.69</v>
      </c>
      <c r="J414" s="620">
        <v>152740252.77000001</v>
      </c>
      <c r="K414" s="621" t="s">
        <v>991</v>
      </c>
      <c r="L414" s="621" t="s">
        <v>4837</v>
      </c>
      <c r="M414" s="621" t="s">
        <v>4838</v>
      </c>
      <c r="N414" s="621" t="s">
        <v>4092</v>
      </c>
      <c r="O414" s="621"/>
      <c r="P414" s="621"/>
    </row>
    <row r="415" spans="1:16">
      <c r="A415" s="232" t="s">
        <v>684</v>
      </c>
      <c r="B415" s="232" t="s">
        <v>1353</v>
      </c>
      <c r="C415" s="622">
        <v>44996</v>
      </c>
      <c r="D415" s="232" t="s">
        <v>4843</v>
      </c>
      <c r="E415" s="231" t="s">
        <v>5074</v>
      </c>
      <c r="F415" s="233">
        <v>200.001</v>
      </c>
      <c r="G415" s="232" t="s">
        <v>4836</v>
      </c>
      <c r="H415" s="233">
        <v>2195.1999999999998</v>
      </c>
      <c r="I415" s="233">
        <v>439042.2</v>
      </c>
      <c r="J415" s="623">
        <v>270679531.44</v>
      </c>
      <c r="K415" s="624" t="s">
        <v>991</v>
      </c>
      <c r="L415" s="624" t="s">
        <v>4837</v>
      </c>
      <c r="M415" s="624" t="s">
        <v>4838</v>
      </c>
      <c r="N415" s="624" t="s">
        <v>4092</v>
      </c>
      <c r="O415" s="624"/>
      <c r="P415" s="624"/>
    </row>
    <row r="416" spans="1:16">
      <c r="A416" s="231" t="s">
        <v>684</v>
      </c>
      <c r="B416" s="231" t="s">
        <v>1353</v>
      </c>
      <c r="C416" s="618">
        <v>44996</v>
      </c>
      <c r="D416" s="231" t="s">
        <v>4843</v>
      </c>
      <c r="E416" s="231" t="s">
        <v>5074</v>
      </c>
      <c r="F416" s="619">
        <v>100.011</v>
      </c>
      <c r="G416" s="231" t="s">
        <v>4836</v>
      </c>
      <c r="H416" s="619">
        <v>2079.75</v>
      </c>
      <c r="I416" s="619">
        <v>1039989.39</v>
      </c>
      <c r="J416" s="620">
        <v>641177182.49000001</v>
      </c>
      <c r="K416" s="621" t="s">
        <v>991</v>
      </c>
      <c r="L416" s="621" t="s">
        <v>4837</v>
      </c>
      <c r="M416" s="621" t="s">
        <v>4838</v>
      </c>
      <c r="N416" s="621" t="s">
        <v>4092</v>
      </c>
      <c r="O416" s="621"/>
      <c r="P416" s="621"/>
    </row>
    <row r="417" spans="1:16">
      <c r="A417" s="232" t="s">
        <v>684</v>
      </c>
      <c r="B417" s="232" t="s">
        <v>1353</v>
      </c>
      <c r="C417" s="622">
        <v>44997</v>
      </c>
      <c r="D417" s="232" t="s">
        <v>4841</v>
      </c>
      <c r="E417" s="231" t="s">
        <v>5073</v>
      </c>
      <c r="F417" s="233">
        <v>20</v>
      </c>
      <c r="G417" s="232" t="s">
        <v>4836</v>
      </c>
      <c r="H417" s="233">
        <v>1479.55</v>
      </c>
      <c r="I417" s="233">
        <v>29591</v>
      </c>
      <c r="J417" s="623">
        <v>18243526.510000002</v>
      </c>
      <c r="K417" s="624" t="s">
        <v>991</v>
      </c>
      <c r="L417" s="624" t="s">
        <v>4837</v>
      </c>
      <c r="M417" s="624" t="s">
        <v>4838</v>
      </c>
      <c r="N417" s="624" t="s">
        <v>4092</v>
      </c>
      <c r="O417" s="624"/>
      <c r="P417" s="624"/>
    </row>
    <row r="418" spans="1:16">
      <c r="A418" s="231" t="s">
        <v>684</v>
      </c>
      <c r="B418" s="231" t="s">
        <v>1353</v>
      </c>
      <c r="C418" s="618">
        <v>44998</v>
      </c>
      <c r="D418" s="231" t="s">
        <v>4835</v>
      </c>
      <c r="E418" s="231" t="s">
        <v>5073</v>
      </c>
      <c r="F418" s="619">
        <v>34900.146999999997</v>
      </c>
      <c r="G418" s="231" t="s">
        <v>4836</v>
      </c>
      <c r="H418" s="619">
        <v>328.62</v>
      </c>
      <c r="I418" s="619">
        <v>11468746.710000001</v>
      </c>
      <c r="J418" s="620">
        <v>7010236375.3100004</v>
      </c>
      <c r="K418" s="621" t="s">
        <v>991</v>
      </c>
      <c r="L418" s="621" t="s">
        <v>4837</v>
      </c>
      <c r="M418" s="621" t="s">
        <v>4838</v>
      </c>
      <c r="N418" s="621" t="s">
        <v>4092</v>
      </c>
      <c r="O418" s="621"/>
      <c r="P418" s="621"/>
    </row>
    <row r="419" spans="1:16">
      <c r="A419" s="232" t="s">
        <v>684</v>
      </c>
      <c r="B419" s="232" t="s">
        <v>1353</v>
      </c>
      <c r="C419" s="622">
        <v>45003</v>
      </c>
      <c r="D419" s="232" t="s">
        <v>4841</v>
      </c>
      <c r="E419" s="231" t="s">
        <v>5073</v>
      </c>
      <c r="F419" s="233">
        <v>40</v>
      </c>
      <c r="G419" s="232" t="s">
        <v>4836</v>
      </c>
      <c r="H419" s="233">
        <v>1484.45</v>
      </c>
      <c r="I419" s="233">
        <v>59378</v>
      </c>
      <c r="J419" s="623">
        <v>36361298.219999999</v>
      </c>
      <c r="K419" s="624" t="s">
        <v>991</v>
      </c>
      <c r="L419" s="624" t="s">
        <v>4837</v>
      </c>
      <c r="M419" s="624" t="s">
        <v>4838</v>
      </c>
      <c r="N419" s="624" t="s">
        <v>4092</v>
      </c>
      <c r="O419" s="624"/>
      <c r="P419" s="624"/>
    </row>
    <row r="420" spans="1:16">
      <c r="A420" s="231" t="s">
        <v>684</v>
      </c>
      <c r="B420" s="231" t="s">
        <v>1353</v>
      </c>
      <c r="C420" s="618">
        <v>45003</v>
      </c>
      <c r="D420" s="231" t="s">
        <v>4844</v>
      </c>
      <c r="E420" s="231"/>
      <c r="F420" s="619">
        <v>422.86</v>
      </c>
      <c r="G420" s="231" t="s">
        <v>4836</v>
      </c>
      <c r="H420" s="619">
        <v>326.52</v>
      </c>
      <c r="I420" s="619">
        <v>123384.84</v>
      </c>
      <c r="J420" s="620">
        <v>75557158.599999994</v>
      </c>
      <c r="K420" s="621" t="s">
        <v>991</v>
      </c>
      <c r="L420" s="621" t="s">
        <v>4837</v>
      </c>
      <c r="M420" s="621" t="s">
        <v>4838</v>
      </c>
      <c r="N420" s="621" t="s">
        <v>4092</v>
      </c>
      <c r="O420" s="621"/>
      <c r="P420" s="621"/>
    </row>
    <row r="421" spans="1:16">
      <c r="A421" s="232" t="s">
        <v>684</v>
      </c>
      <c r="B421" s="232" t="s">
        <v>1353</v>
      </c>
      <c r="C421" s="622">
        <v>45003</v>
      </c>
      <c r="D421" s="232" t="s">
        <v>4841</v>
      </c>
      <c r="E421" s="231" t="s">
        <v>5073</v>
      </c>
      <c r="F421" s="233">
        <v>140</v>
      </c>
      <c r="G421" s="232" t="s">
        <v>4836</v>
      </c>
      <c r="H421" s="233">
        <v>1542.1</v>
      </c>
      <c r="I421" s="233">
        <v>215894</v>
      </c>
      <c r="J421" s="623">
        <v>132206981.02</v>
      </c>
      <c r="K421" s="624" t="s">
        <v>991</v>
      </c>
      <c r="L421" s="624" t="s">
        <v>4837</v>
      </c>
      <c r="M421" s="624" t="s">
        <v>4838</v>
      </c>
      <c r="N421" s="624" t="s">
        <v>4092</v>
      </c>
      <c r="O421" s="624"/>
      <c r="P421" s="624"/>
    </row>
    <row r="422" spans="1:16">
      <c r="A422" s="231" t="s">
        <v>684</v>
      </c>
      <c r="B422" s="231" t="s">
        <v>1353</v>
      </c>
      <c r="C422" s="618">
        <v>45003</v>
      </c>
      <c r="D422" s="231" t="s">
        <v>4839</v>
      </c>
      <c r="E422" s="231" t="s">
        <v>5073</v>
      </c>
      <c r="F422" s="619">
        <v>60</v>
      </c>
      <c r="G422" s="231" t="s">
        <v>4836</v>
      </c>
      <c r="H422" s="619">
        <v>2016.15</v>
      </c>
      <c r="I422" s="619">
        <v>120969</v>
      </c>
      <c r="J422" s="620">
        <v>74077770.969999999</v>
      </c>
      <c r="K422" s="621" t="s">
        <v>991</v>
      </c>
      <c r="L422" s="621" t="s">
        <v>4837</v>
      </c>
      <c r="M422" s="621" t="s">
        <v>4838</v>
      </c>
      <c r="N422" s="621" t="s">
        <v>4092</v>
      </c>
      <c r="O422" s="621"/>
      <c r="P422" s="621"/>
    </row>
    <row r="423" spans="1:16">
      <c r="A423" s="232" t="s">
        <v>684</v>
      </c>
      <c r="B423" s="232" t="s">
        <v>1353</v>
      </c>
      <c r="C423" s="622">
        <v>45003</v>
      </c>
      <c r="D423" s="232" t="s">
        <v>4839</v>
      </c>
      <c r="E423" s="231" t="s">
        <v>5073</v>
      </c>
      <c r="F423" s="233">
        <v>80</v>
      </c>
      <c r="G423" s="232" t="s">
        <v>4836</v>
      </c>
      <c r="H423" s="233">
        <v>2012.2</v>
      </c>
      <c r="I423" s="233">
        <v>160976</v>
      </c>
      <c r="J423" s="623">
        <v>98576852.420000002</v>
      </c>
      <c r="K423" s="624" t="s">
        <v>991</v>
      </c>
      <c r="L423" s="624" t="s">
        <v>4837</v>
      </c>
      <c r="M423" s="624" t="s">
        <v>4838</v>
      </c>
      <c r="N423" s="624" t="s">
        <v>4092</v>
      </c>
      <c r="O423" s="624"/>
      <c r="P423" s="624"/>
    </row>
    <row r="424" spans="1:16">
      <c r="A424" s="231" t="s">
        <v>684</v>
      </c>
      <c r="B424" s="231" t="s">
        <v>1353</v>
      </c>
      <c r="C424" s="618">
        <v>45010</v>
      </c>
      <c r="D424" s="231" t="s">
        <v>4840</v>
      </c>
      <c r="E424" s="231" t="s">
        <v>5074</v>
      </c>
      <c r="F424" s="619">
        <v>40.005000000000003</v>
      </c>
      <c r="G424" s="231" t="s">
        <v>4836</v>
      </c>
      <c r="H424" s="619">
        <v>1984.95</v>
      </c>
      <c r="I424" s="619">
        <v>79407.92</v>
      </c>
      <c r="J424" s="620">
        <v>48331052.950000003</v>
      </c>
      <c r="K424" s="621" t="s">
        <v>991</v>
      </c>
      <c r="L424" s="621" t="s">
        <v>4837</v>
      </c>
      <c r="M424" s="621" t="s">
        <v>4838</v>
      </c>
      <c r="N424" s="621" t="s">
        <v>4092</v>
      </c>
      <c r="O424" s="621"/>
      <c r="P424" s="621"/>
    </row>
    <row r="425" spans="1:16">
      <c r="A425" s="232" t="s">
        <v>684</v>
      </c>
      <c r="B425" s="232" t="s">
        <v>1353</v>
      </c>
      <c r="C425" s="622">
        <v>45010</v>
      </c>
      <c r="D425" s="232" t="s">
        <v>4840</v>
      </c>
      <c r="E425" s="231" t="s">
        <v>5074</v>
      </c>
      <c r="F425" s="233">
        <v>154.095</v>
      </c>
      <c r="G425" s="232" t="s">
        <v>4836</v>
      </c>
      <c r="H425" s="233">
        <v>1969.58</v>
      </c>
      <c r="I425" s="233">
        <v>303502.43</v>
      </c>
      <c r="J425" s="623">
        <v>184724546.59999999</v>
      </c>
      <c r="K425" s="624" t="s">
        <v>991</v>
      </c>
      <c r="L425" s="624" t="s">
        <v>4837</v>
      </c>
      <c r="M425" s="624" t="s">
        <v>4838</v>
      </c>
      <c r="N425" s="624" t="s">
        <v>4092</v>
      </c>
      <c r="O425" s="624"/>
      <c r="P425" s="624"/>
    </row>
    <row r="426" spans="1:16">
      <c r="A426" s="231" t="s">
        <v>684</v>
      </c>
      <c r="B426" s="231" t="s">
        <v>1353</v>
      </c>
      <c r="C426" s="618">
        <v>45010</v>
      </c>
      <c r="D426" s="231" t="s">
        <v>4840</v>
      </c>
      <c r="E426" s="231" t="s">
        <v>5074</v>
      </c>
      <c r="F426" s="619">
        <v>154.1525</v>
      </c>
      <c r="G426" s="231" t="s">
        <v>4836</v>
      </c>
      <c r="H426" s="619">
        <v>1916.68</v>
      </c>
      <c r="I426" s="619">
        <v>295463.89</v>
      </c>
      <c r="J426" s="620">
        <v>179831947.69999999</v>
      </c>
      <c r="K426" s="621" t="s">
        <v>991</v>
      </c>
      <c r="L426" s="621" t="s">
        <v>4837</v>
      </c>
      <c r="M426" s="621" t="s">
        <v>4838</v>
      </c>
      <c r="N426" s="621" t="s">
        <v>4092</v>
      </c>
      <c r="O426" s="621"/>
      <c r="P426" s="621"/>
    </row>
    <row r="427" spans="1:16">
      <c r="A427" s="232" t="s">
        <v>684</v>
      </c>
      <c r="B427" s="232" t="s">
        <v>1353</v>
      </c>
      <c r="C427" s="622">
        <v>45010</v>
      </c>
      <c r="D427" s="232" t="s">
        <v>4843</v>
      </c>
      <c r="E427" s="231" t="s">
        <v>5074</v>
      </c>
      <c r="F427" s="233">
        <v>199.96700000000001</v>
      </c>
      <c r="G427" s="232" t="s">
        <v>4836</v>
      </c>
      <c r="H427" s="233">
        <v>2144.0500000000002</v>
      </c>
      <c r="I427" s="233">
        <v>428739.25</v>
      </c>
      <c r="J427" s="623">
        <v>260949026.19999999</v>
      </c>
      <c r="K427" s="624" t="s">
        <v>991</v>
      </c>
      <c r="L427" s="624" t="s">
        <v>4837</v>
      </c>
      <c r="M427" s="624" t="s">
        <v>4838</v>
      </c>
      <c r="N427" s="624" t="s">
        <v>4092</v>
      </c>
      <c r="O427" s="624"/>
      <c r="P427" s="624"/>
    </row>
    <row r="428" spans="1:16">
      <c r="A428" s="231" t="s">
        <v>684</v>
      </c>
      <c r="B428" s="231" t="s">
        <v>1353</v>
      </c>
      <c r="C428" s="618">
        <v>45010</v>
      </c>
      <c r="D428" s="231" t="s">
        <v>4843</v>
      </c>
      <c r="E428" s="231" t="s">
        <v>5074</v>
      </c>
      <c r="F428" s="619">
        <v>59.999000000000002</v>
      </c>
      <c r="G428" s="231" t="s">
        <v>4836</v>
      </c>
      <c r="H428" s="619">
        <v>2201.9</v>
      </c>
      <c r="I428" s="619">
        <v>132111.79999999999</v>
      </c>
      <c r="J428" s="620">
        <v>80408886.180000007</v>
      </c>
      <c r="K428" s="621" t="s">
        <v>991</v>
      </c>
      <c r="L428" s="621" t="s">
        <v>4837</v>
      </c>
      <c r="M428" s="621" t="s">
        <v>4838</v>
      </c>
      <c r="N428" s="621" t="s">
        <v>4092</v>
      </c>
      <c r="O428" s="621"/>
      <c r="P428" s="621"/>
    </row>
    <row r="429" spans="1:16">
      <c r="A429" s="232" t="s">
        <v>684</v>
      </c>
      <c r="B429" s="232" t="s">
        <v>1353</v>
      </c>
      <c r="C429" s="622">
        <v>45010</v>
      </c>
      <c r="D429" s="232" t="s">
        <v>4843</v>
      </c>
      <c r="E429" s="231" t="s">
        <v>5074</v>
      </c>
      <c r="F429" s="233">
        <v>140.01400000000001</v>
      </c>
      <c r="G429" s="232" t="s">
        <v>4836</v>
      </c>
      <c r="H429" s="233">
        <v>2176.9499999999998</v>
      </c>
      <c r="I429" s="233">
        <v>304803.48</v>
      </c>
      <c r="J429" s="623">
        <v>185516421.19999999</v>
      </c>
      <c r="K429" s="624" t="s">
        <v>991</v>
      </c>
      <c r="L429" s="624" t="s">
        <v>4837</v>
      </c>
      <c r="M429" s="624" t="s">
        <v>4838</v>
      </c>
      <c r="N429" s="624" t="s">
        <v>4092</v>
      </c>
      <c r="O429" s="624"/>
      <c r="P429" s="624"/>
    </row>
    <row r="430" spans="1:16">
      <c r="A430" s="231" t="s">
        <v>684</v>
      </c>
      <c r="B430" s="231" t="s">
        <v>1353</v>
      </c>
      <c r="C430" s="618">
        <v>45010</v>
      </c>
      <c r="D430" s="231" t="s">
        <v>4844</v>
      </c>
      <c r="E430" s="231"/>
      <c r="F430" s="619">
        <v>1379.35</v>
      </c>
      <c r="G430" s="231" t="s">
        <v>4836</v>
      </c>
      <c r="H430" s="619">
        <v>247.92</v>
      </c>
      <c r="I430" s="619">
        <v>341973.69</v>
      </c>
      <c r="J430" s="620">
        <v>208139799.15000001</v>
      </c>
      <c r="K430" s="621" t="s">
        <v>991</v>
      </c>
      <c r="L430" s="621" t="s">
        <v>4837</v>
      </c>
      <c r="M430" s="621" t="s">
        <v>4838</v>
      </c>
      <c r="N430" s="621" t="s">
        <v>4092</v>
      </c>
      <c r="O430" s="621"/>
      <c r="P430" s="621"/>
    </row>
    <row r="431" spans="1:16">
      <c r="A431" s="232" t="s">
        <v>684</v>
      </c>
      <c r="B431" s="232" t="s">
        <v>1353</v>
      </c>
      <c r="C431" s="622">
        <v>45012</v>
      </c>
      <c r="D431" s="232" t="s">
        <v>4843</v>
      </c>
      <c r="E431" s="231" t="s">
        <v>5074</v>
      </c>
      <c r="F431" s="233"/>
      <c r="G431" s="232" t="s">
        <v>4836</v>
      </c>
      <c r="H431" s="233"/>
      <c r="I431" s="233">
        <v>-831991.51</v>
      </c>
      <c r="J431" s="623">
        <v>-508241606.60000002</v>
      </c>
      <c r="K431" s="624" t="s">
        <v>991</v>
      </c>
      <c r="L431" s="624" t="s">
        <v>4837</v>
      </c>
      <c r="M431" s="624" t="s">
        <v>4838</v>
      </c>
      <c r="N431" s="624" t="s">
        <v>4092</v>
      </c>
      <c r="O431" s="624"/>
      <c r="P431" s="624"/>
    </row>
    <row r="432" spans="1:16">
      <c r="A432" s="231" t="s">
        <v>684</v>
      </c>
      <c r="B432" s="231" t="s">
        <v>1353</v>
      </c>
      <c r="C432" s="618">
        <v>45013</v>
      </c>
      <c r="D432" s="231" t="s">
        <v>4846</v>
      </c>
      <c r="E432" s="231" t="s">
        <v>5073</v>
      </c>
      <c r="F432" s="619">
        <v>20001.785</v>
      </c>
      <c r="G432" s="231" t="s">
        <v>4836</v>
      </c>
      <c r="H432" s="619">
        <v>295.85000000000002</v>
      </c>
      <c r="I432" s="619">
        <v>5917528.0922999997</v>
      </c>
      <c r="J432" s="620">
        <v>3579871802.7800002</v>
      </c>
      <c r="K432" s="621" t="s">
        <v>991</v>
      </c>
      <c r="L432" s="621" t="s">
        <v>4837</v>
      </c>
      <c r="M432" s="621" t="s">
        <v>4838</v>
      </c>
      <c r="N432" s="621" t="s">
        <v>4092</v>
      </c>
      <c r="O432" s="621"/>
      <c r="P432" s="621"/>
    </row>
    <row r="433" spans="1:16">
      <c r="A433" s="232" t="s">
        <v>684</v>
      </c>
      <c r="B433" s="232" t="s">
        <v>1353</v>
      </c>
      <c r="C433" s="622">
        <v>45013</v>
      </c>
      <c r="D433" s="232" t="s">
        <v>4840</v>
      </c>
      <c r="E433" s="231" t="s">
        <v>5074</v>
      </c>
      <c r="F433" s="233">
        <v>154.16249999999999</v>
      </c>
      <c r="G433" s="232" t="s">
        <v>4836</v>
      </c>
      <c r="H433" s="233">
        <v>1969.58</v>
      </c>
      <c r="I433" s="233">
        <v>303638.33</v>
      </c>
      <c r="J433" s="623">
        <v>183689249.90000001</v>
      </c>
      <c r="K433" s="624" t="s">
        <v>991</v>
      </c>
      <c r="L433" s="624" t="s">
        <v>4837</v>
      </c>
      <c r="M433" s="624" t="s">
        <v>4838</v>
      </c>
      <c r="N433" s="624" t="s">
        <v>4092</v>
      </c>
      <c r="O433" s="624"/>
      <c r="P433" s="624"/>
    </row>
    <row r="434" spans="1:16">
      <c r="A434" s="231" t="s">
        <v>684</v>
      </c>
      <c r="B434" s="231" t="s">
        <v>1353</v>
      </c>
      <c r="C434" s="618">
        <v>45013</v>
      </c>
      <c r="D434" s="231" t="s">
        <v>4840</v>
      </c>
      <c r="E434" s="231" t="s">
        <v>5074</v>
      </c>
      <c r="F434" s="619">
        <v>154.27000000000001</v>
      </c>
      <c r="G434" s="231" t="s">
        <v>4836</v>
      </c>
      <c r="H434" s="619">
        <v>1921.08</v>
      </c>
      <c r="I434" s="619">
        <v>296366.93</v>
      </c>
      <c r="J434" s="620">
        <v>179290338.80000001</v>
      </c>
      <c r="K434" s="621" t="s">
        <v>991</v>
      </c>
      <c r="L434" s="621" t="s">
        <v>4837</v>
      </c>
      <c r="M434" s="621" t="s">
        <v>4838</v>
      </c>
      <c r="N434" s="621" t="s">
        <v>4092</v>
      </c>
      <c r="O434" s="621"/>
      <c r="P434" s="621"/>
    </row>
    <row r="435" spans="1:16">
      <c r="A435" s="232" t="s">
        <v>684</v>
      </c>
      <c r="B435" s="232" t="s">
        <v>1353</v>
      </c>
      <c r="C435" s="622">
        <v>45013</v>
      </c>
      <c r="D435" s="232" t="s">
        <v>4840</v>
      </c>
      <c r="E435" s="231" t="s">
        <v>5074</v>
      </c>
      <c r="F435" s="233">
        <v>396.46600000000001</v>
      </c>
      <c r="G435" s="232" t="s">
        <v>4836</v>
      </c>
      <c r="H435" s="233">
        <v>1969.58</v>
      </c>
      <c r="I435" s="233">
        <v>780881.35</v>
      </c>
      <c r="J435" s="623">
        <v>472402510.60000002</v>
      </c>
      <c r="K435" s="624" t="s">
        <v>991</v>
      </c>
      <c r="L435" s="624" t="s">
        <v>4837</v>
      </c>
      <c r="M435" s="624" t="s">
        <v>4838</v>
      </c>
      <c r="N435" s="624" t="s">
        <v>4092</v>
      </c>
      <c r="O435" s="624"/>
      <c r="P435" s="624"/>
    </row>
    <row r="436" spans="1:16">
      <c r="A436" s="231" t="s">
        <v>684</v>
      </c>
      <c r="B436" s="231" t="s">
        <v>1353</v>
      </c>
      <c r="C436" s="618">
        <v>45013</v>
      </c>
      <c r="D436" s="231" t="s">
        <v>4843</v>
      </c>
      <c r="E436" s="231" t="s">
        <v>5074</v>
      </c>
      <c r="F436" s="619">
        <v>22.05</v>
      </c>
      <c r="G436" s="231" t="s">
        <v>4836</v>
      </c>
      <c r="H436" s="619">
        <v>2216.9299999999998</v>
      </c>
      <c r="I436" s="619">
        <v>48883.31</v>
      </c>
      <c r="J436" s="620">
        <v>29572480.34</v>
      </c>
      <c r="K436" s="621" t="s">
        <v>991</v>
      </c>
      <c r="L436" s="621" t="s">
        <v>4837</v>
      </c>
      <c r="M436" s="621" t="s">
        <v>4838</v>
      </c>
      <c r="N436" s="621" t="s">
        <v>4092</v>
      </c>
      <c r="O436" s="621"/>
      <c r="P436" s="621"/>
    </row>
    <row r="437" spans="1:16">
      <c r="A437" s="232" t="s">
        <v>684</v>
      </c>
      <c r="B437" s="232" t="s">
        <v>1353</v>
      </c>
      <c r="C437" s="622">
        <v>45013</v>
      </c>
      <c r="D437" s="232" t="s">
        <v>4843</v>
      </c>
      <c r="E437" s="231" t="s">
        <v>5074</v>
      </c>
      <c r="F437" s="233">
        <v>176.29249999999999</v>
      </c>
      <c r="G437" s="232" t="s">
        <v>4836</v>
      </c>
      <c r="H437" s="233">
        <v>2195.11</v>
      </c>
      <c r="I437" s="233">
        <v>386984.72</v>
      </c>
      <c r="J437" s="623">
        <v>234110538.40000001</v>
      </c>
      <c r="K437" s="624" t="s">
        <v>991</v>
      </c>
      <c r="L437" s="624" t="s">
        <v>4837</v>
      </c>
      <c r="M437" s="624" t="s">
        <v>4838</v>
      </c>
      <c r="N437" s="624" t="s">
        <v>4092</v>
      </c>
      <c r="O437" s="624"/>
      <c r="P437" s="624"/>
    </row>
    <row r="438" spans="1:16">
      <c r="A438" s="231" t="s">
        <v>684</v>
      </c>
      <c r="B438" s="231" t="s">
        <v>1353</v>
      </c>
      <c r="C438" s="618">
        <v>45013</v>
      </c>
      <c r="D438" s="231" t="s">
        <v>4843</v>
      </c>
      <c r="E438" s="231" t="s">
        <v>5074</v>
      </c>
      <c r="F438" s="619">
        <v>286.41250000000002</v>
      </c>
      <c r="G438" s="231" t="s">
        <v>4836</v>
      </c>
      <c r="H438" s="619">
        <v>2147.9699999999998</v>
      </c>
      <c r="I438" s="619">
        <v>615212.98</v>
      </c>
      <c r="J438" s="620">
        <v>372179661.19999999</v>
      </c>
      <c r="K438" s="621" t="s">
        <v>991</v>
      </c>
      <c r="L438" s="621" t="s">
        <v>4837</v>
      </c>
      <c r="M438" s="621" t="s">
        <v>4838</v>
      </c>
      <c r="N438" s="621" t="s">
        <v>4092</v>
      </c>
      <c r="O438" s="621"/>
      <c r="P438" s="621"/>
    </row>
    <row r="439" spans="1:16">
      <c r="A439" s="232" t="s">
        <v>684</v>
      </c>
      <c r="B439" s="232" t="s">
        <v>1353</v>
      </c>
      <c r="C439" s="622">
        <v>45013</v>
      </c>
      <c r="D439" s="232" t="s">
        <v>4843</v>
      </c>
      <c r="E439" s="231" t="s">
        <v>5074</v>
      </c>
      <c r="F439" s="233">
        <v>132.17250000000001</v>
      </c>
      <c r="G439" s="232" t="s">
        <v>4836</v>
      </c>
      <c r="H439" s="233">
        <v>2105.38</v>
      </c>
      <c r="I439" s="233">
        <v>278276.5</v>
      </c>
      <c r="J439" s="623">
        <v>168346340</v>
      </c>
      <c r="K439" s="624" t="s">
        <v>991</v>
      </c>
      <c r="L439" s="624" t="s">
        <v>4837</v>
      </c>
      <c r="M439" s="624" t="s">
        <v>4838</v>
      </c>
      <c r="N439" s="624" t="s">
        <v>4092</v>
      </c>
      <c r="O439" s="624"/>
      <c r="P439" s="624"/>
    </row>
    <row r="440" spans="1:16">
      <c r="A440" s="231" t="s">
        <v>684</v>
      </c>
      <c r="B440" s="231" t="s">
        <v>1353</v>
      </c>
      <c r="C440" s="618">
        <v>45013</v>
      </c>
      <c r="D440" s="231" t="s">
        <v>4843</v>
      </c>
      <c r="E440" s="231" t="s">
        <v>5074</v>
      </c>
      <c r="F440" s="619">
        <v>154.4425</v>
      </c>
      <c r="G440" s="231" t="s">
        <v>4836</v>
      </c>
      <c r="H440" s="619">
        <v>2142.8200000000002</v>
      </c>
      <c r="I440" s="619">
        <v>330943.55</v>
      </c>
      <c r="J440" s="620">
        <v>200207834.19999999</v>
      </c>
      <c r="K440" s="621" t="s">
        <v>991</v>
      </c>
      <c r="L440" s="621" t="s">
        <v>4837</v>
      </c>
      <c r="M440" s="621" t="s">
        <v>4838</v>
      </c>
      <c r="N440" s="621" t="s">
        <v>4092</v>
      </c>
      <c r="O440" s="621"/>
      <c r="P440" s="621"/>
    </row>
    <row r="441" spans="1:16">
      <c r="A441" s="232" t="s">
        <v>684</v>
      </c>
      <c r="B441" s="232" t="s">
        <v>1353</v>
      </c>
      <c r="C441" s="622">
        <v>45013</v>
      </c>
      <c r="D441" s="232" t="s">
        <v>4843</v>
      </c>
      <c r="E441" s="231" t="s">
        <v>5074</v>
      </c>
      <c r="F441" s="233">
        <v>88.277500000000003</v>
      </c>
      <c r="G441" s="232" t="s">
        <v>4836</v>
      </c>
      <c r="H441" s="233">
        <v>2119.9299999999998</v>
      </c>
      <c r="I441" s="233">
        <v>187145.3</v>
      </c>
      <c r="J441" s="623">
        <v>113215547.5</v>
      </c>
      <c r="K441" s="624" t="s">
        <v>991</v>
      </c>
      <c r="L441" s="624" t="s">
        <v>4837</v>
      </c>
      <c r="M441" s="624" t="s">
        <v>4838</v>
      </c>
      <c r="N441" s="624" t="s">
        <v>4092</v>
      </c>
      <c r="O441" s="624"/>
      <c r="P441" s="624"/>
    </row>
    <row r="442" spans="1:16">
      <c r="A442" s="231" t="s">
        <v>684</v>
      </c>
      <c r="B442" s="231" t="s">
        <v>1353</v>
      </c>
      <c r="C442" s="618">
        <v>45016</v>
      </c>
      <c r="D442" s="231" t="s">
        <v>4842</v>
      </c>
      <c r="E442" s="231" t="s">
        <v>5073</v>
      </c>
      <c r="F442" s="619"/>
      <c r="G442" s="231" t="s">
        <v>4836</v>
      </c>
      <c r="H442" s="619"/>
      <c r="I442" s="619">
        <v>-291711.63</v>
      </c>
      <c r="J442" s="620">
        <v>-175998135.71000001</v>
      </c>
      <c r="K442" s="621" t="s">
        <v>991</v>
      </c>
      <c r="L442" s="621" t="s">
        <v>4837</v>
      </c>
      <c r="M442" s="621" t="s">
        <v>4838</v>
      </c>
      <c r="N442" s="621" t="s">
        <v>4092</v>
      </c>
      <c r="O442" s="621"/>
      <c r="P442" s="621"/>
    </row>
    <row r="443" spans="1:16">
      <c r="A443" s="232" t="s">
        <v>684</v>
      </c>
      <c r="B443" s="232" t="s">
        <v>1353</v>
      </c>
      <c r="C443" s="622">
        <v>45016</v>
      </c>
      <c r="D443" s="232" t="s">
        <v>4835</v>
      </c>
      <c r="E443" s="231" t="s">
        <v>5073</v>
      </c>
      <c r="F443" s="233"/>
      <c r="G443" s="232" t="s">
        <v>4836</v>
      </c>
      <c r="H443" s="233"/>
      <c r="I443" s="233">
        <v>412694.06</v>
      </c>
      <c r="J443" s="623">
        <v>248990364.83000001</v>
      </c>
      <c r="K443" s="624" t="s">
        <v>991</v>
      </c>
      <c r="L443" s="624" t="s">
        <v>4837</v>
      </c>
      <c r="M443" s="624" t="s">
        <v>4838</v>
      </c>
      <c r="N443" s="624" t="s">
        <v>4092</v>
      </c>
      <c r="O443" s="624"/>
      <c r="P443" s="624"/>
    </row>
    <row r="444" spans="1:16">
      <c r="A444" s="231" t="s">
        <v>684</v>
      </c>
      <c r="B444" s="231" t="s">
        <v>1353</v>
      </c>
      <c r="C444" s="618">
        <v>45016</v>
      </c>
      <c r="D444" s="231" t="s">
        <v>4840</v>
      </c>
      <c r="E444" s="231" t="s">
        <v>5074</v>
      </c>
      <c r="F444" s="619"/>
      <c r="G444" s="231" t="s">
        <v>4836</v>
      </c>
      <c r="H444" s="619"/>
      <c r="I444" s="619">
        <v>-118864.56</v>
      </c>
      <c r="J444" s="620">
        <v>-71714456.370000005</v>
      </c>
      <c r="K444" s="621" t="s">
        <v>991</v>
      </c>
      <c r="L444" s="621" t="s">
        <v>4837</v>
      </c>
      <c r="M444" s="621" t="s">
        <v>4838</v>
      </c>
      <c r="N444" s="621" t="s">
        <v>4092</v>
      </c>
      <c r="O444" s="621"/>
      <c r="P444" s="621"/>
    </row>
    <row r="445" spans="1:16">
      <c r="A445" s="232" t="s">
        <v>684</v>
      </c>
      <c r="B445" s="232" t="s">
        <v>1353</v>
      </c>
      <c r="C445" s="622">
        <v>45016</v>
      </c>
      <c r="D445" s="232" t="s">
        <v>4843</v>
      </c>
      <c r="E445" s="231" t="s">
        <v>5074</v>
      </c>
      <c r="F445" s="233"/>
      <c r="G445" s="232" t="s">
        <v>4836</v>
      </c>
      <c r="H445" s="233"/>
      <c r="I445" s="233">
        <v>-710073.78390000004</v>
      </c>
      <c r="J445" s="623">
        <v>-428408224.57999998</v>
      </c>
      <c r="K445" s="624" t="s">
        <v>991</v>
      </c>
      <c r="L445" s="624" t="s">
        <v>4837</v>
      </c>
      <c r="M445" s="624" t="s">
        <v>4838</v>
      </c>
      <c r="N445" s="624" t="s">
        <v>4092</v>
      </c>
      <c r="O445" s="624"/>
      <c r="P445" s="624"/>
    </row>
    <row r="446" spans="1:16">
      <c r="A446" s="231" t="s">
        <v>684</v>
      </c>
      <c r="B446" s="231" t="s">
        <v>1353</v>
      </c>
      <c r="C446" s="618">
        <v>45016</v>
      </c>
      <c r="D446" s="231" t="s">
        <v>4839</v>
      </c>
      <c r="E446" s="231" t="s">
        <v>5073</v>
      </c>
      <c r="F446" s="619"/>
      <c r="G446" s="231" t="s">
        <v>4836</v>
      </c>
      <c r="H446" s="619"/>
      <c r="I446" s="619">
        <v>-59493.53</v>
      </c>
      <c r="J446" s="620">
        <v>-35894182.100000001</v>
      </c>
      <c r="K446" s="621" t="s">
        <v>991</v>
      </c>
      <c r="L446" s="621" t="s">
        <v>4837</v>
      </c>
      <c r="M446" s="621" t="s">
        <v>4838</v>
      </c>
      <c r="N446" s="621" t="s">
        <v>4092</v>
      </c>
      <c r="O446" s="621"/>
      <c r="P446" s="621"/>
    </row>
    <row r="447" spans="1:16">
      <c r="A447" s="232" t="s">
        <v>684</v>
      </c>
      <c r="B447" s="232" t="s">
        <v>1353</v>
      </c>
      <c r="C447" s="622">
        <v>45016</v>
      </c>
      <c r="D447" s="232" t="s">
        <v>4841</v>
      </c>
      <c r="E447" s="231" t="s">
        <v>5073</v>
      </c>
      <c r="F447" s="233"/>
      <c r="G447" s="232" t="s">
        <v>4836</v>
      </c>
      <c r="H447" s="233"/>
      <c r="I447" s="233">
        <v>-90805.34</v>
      </c>
      <c r="J447" s="623">
        <v>-54785510.450000003</v>
      </c>
      <c r="K447" s="624" t="s">
        <v>991</v>
      </c>
      <c r="L447" s="624" t="s">
        <v>4837</v>
      </c>
      <c r="M447" s="624" t="s">
        <v>4838</v>
      </c>
      <c r="N447" s="624" t="s">
        <v>4092</v>
      </c>
      <c r="O447" s="624"/>
      <c r="P447" s="624"/>
    </row>
    <row r="448" spans="1:16">
      <c r="A448" s="231" t="s">
        <v>684</v>
      </c>
      <c r="B448" s="231" t="s">
        <v>1353</v>
      </c>
      <c r="C448" s="618">
        <v>45016</v>
      </c>
      <c r="D448" s="231" t="s">
        <v>4844</v>
      </c>
      <c r="E448" s="231" t="s">
        <v>5074</v>
      </c>
      <c r="F448" s="619"/>
      <c r="G448" s="231" t="s">
        <v>4836</v>
      </c>
      <c r="H448" s="619"/>
      <c r="I448" s="619">
        <v>-231054.03</v>
      </c>
      <c r="J448" s="620">
        <v>-139401636.22999999</v>
      </c>
      <c r="K448" s="621" t="s">
        <v>991</v>
      </c>
      <c r="L448" s="621" t="s">
        <v>4837</v>
      </c>
      <c r="M448" s="621" t="s">
        <v>4838</v>
      </c>
      <c r="N448" s="621" t="s">
        <v>4092</v>
      </c>
      <c r="O448" s="621"/>
      <c r="P448" s="621"/>
    </row>
    <row r="449" spans="1:16">
      <c r="A449" s="232" t="s">
        <v>684</v>
      </c>
      <c r="B449" s="232" t="s">
        <v>1353</v>
      </c>
      <c r="C449" s="622">
        <v>45016</v>
      </c>
      <c r="D449" s="232" t="s">
        <v>4842</v>
      </c>
      <c r="E449" s="231" t="s">
        <v>5073</v>
      </c>
      <c r="F449" s="233"/>
      <c r="G449" s="232" t="s">
        <v>4836</v>
      </c>
      <c r="H449" s="233"/>
      <c r="I449" s="233">
        <v>291711.63</v>
      </c>
      <c r="J449" s="623">
        <v>180418607.66999999</v>
      </c>
      <c r="K449" s="624" t="s">
        <v>991</v>
      </c>
      <c r="L449" s="624" t="s">
        <v>4837</v>
      </c>
      <c r="M449" s="624" t="s">
        <v>4838</v>
      </c>
      <c r="N449" s="624" t="s">
        <v>4092</v>
      </c>
      <c r="O449" s="624"/>
      <c r="P449" s="624"/>
    </row>
    <row r="450" spans="1:16">
      <c r="A450" s="231" t="s">
        <v>684</v>
      </c>
      <c r="B450" s="231" t="s">
        <v>1353</v>
      </c>
      <c r="C450" s="618">
        <v>45016</v>
      </c>
      <c r="D450" s="231" t="s">
        <v>4835</v>
      </c>
      <c r="E450" s="231" t="s">
        <v>5073</v>
      </c>
      <c r="F450" s="619"/>
      <c r="G450" s="231" t="s">
        <v>4836</v>
      </c>
      <c r="H450" s="619"/>
      <c r="I450" s="619">
        <v>-654728.0199999999</v>
      </c>
      <c r="J450" s="620">
        <v>-404937978.55000001</v>
      </c>
      <c r="K450" s="621" t="s">
        <v>991</v>
      </c>
      <c r="L450" s="621" t="s">
        <v>4837</v>
      </c>
      <c r="M450" s="621" t="s">
        <v>4838</v>
      </c>
      <c r="N450" s="621" t="s">
        <v>4092</v>
      </c>
      <c r="O450" s="621"/>
      <c r="P450" s="621"/>
    </row>
    <row r="451" spans="1:16">
      <c r="A451" s="232" t="s">
        <v>684</v>
      </c>
      <c r="B451" s="232" t="s">
        <v>1353</v>
      </c>
      <c r="C451" s="622">
        <v>45016</v>
      </c>
      <c r="D451" s="232" t="s">
        <v>4840</v>
      </c>
      <c r="E451" s="231" t="s">
        <v>5074</v>
      </c>
      <c r="F451" s="233"/>
      <c r="G451" s="232" t="s">
        <v>4836</v>
      </c>
      <c r="H451" s="233"/>
      <c r="I451" s="233">
        <v>-12134.63</v>
      </c>
      <c r="J451" s="623">
        <v>-7505059.1900000004</v>
      </c>
      <c r="K451" s="624" t="s">
        <v>991</v>
      </c>
      <c r="L451" s="624" t="s">
        <v>4837</v>
      </c>
      <c r="M451" s="624" t="s">
        <v>4838</v>
      </c>
      <c r="N451" s="624" t="s">
        <v>4092</v>
      </c>
      <c r="O451" s="624"/>
      <c r="P451" s="624"/>
    </row>
    <row r="452" spans="1:16">
      <c r="A452" s="231" t="s">
        <v>684</v>
      </c>
      <c r="B452" s="231" t="s">
        <v>1353</v>
      </c>
      <c r="C452" s="618">
        <v>45016</v>
      </c>
      <c r="D452" s="231" t="s">
        <v>4843</v>
      </c>
      <c r="E452" s="231" t="s">
        <v>5074</v>
      </c>
      <c r="F452" s="619"/>
      <c r="G452" s="231" t="s">
        <v>4836</v>
      </c>
      <c r="H452" s="619"/>
      <c r="I452" s="619">
        <v>483259.11390000005</v>
      </c>
      <c r="J452" s="620">
        <v>298887417.58999997</v>
      </c>
      <c r="K452" s="621" t="s">
        <v>991</v>
      </c>
      <c r="L452" s="621" t="s">
        <v>4837</v>
      </c>
      <c r="M452" s="621" t="s">
        <v>4838</v>
      </c>
      <c r="N452" s="621" t="s">
        <v>4092</v>
      </c>
      <c r="O452" s="621"/>
      <c r="P452" s="621"/>
    </row>
    <row r="453" spans="1:16">
      <c r="A453" s="232" t="s">
        <v>684</v>
      </c>
      <c r="B453" s="232" t="s">
        <v>1353</v>
      </c>
      <c r="C453" s="622">
        <v>45016</v>
      </c>
      <c r="D453" s="232" t="s">
        <v>4839</v>
      </c>
      <c r="E453" s="231" t="s">
        <v>5073</v>
      </c>
      <c r="F453" s="233"/>
      <c r="G453" s="232" t="s">
        <v>4836</v>
      </c>
      <c r="H453" s="233"/>
      <c r="I453" s="233">
        <v>46391.429999999978</v>
      </c>
      <c r="J453" s="623">
        <v>28692298.649999999</v>
      </c>
      <c r="K453" s="624" t="s">
        <v>991</v>
      </c>
      <c r="L453" s="624" t="s">
        <v>4837</v>
      </c>
      <c r="M453" s="624" t="s">
        <v>4838</v>
      </c>
      <c r="N453" s="624" t="s">
        <v>4092</v>
      </c>
      <c r="O453" s="624"/>
      <c r="P453" s="624"/>
    </row>
    <row r="454" spans="1:16">
      <c r="A454" s="231" t="s">
        <v>684</v>
      </c>
      <c r="B454" s="231" t="s">
        <v>1353</v>
      </c>
      <c r="C454" s="618">
        <v>45016</v>
      </c>
      <c r="D454" s="231" t="s">
        <v>4841</v>
      </c>
      <c r="E454" s="231" t="s">
        <v>5073</v>
      </c>
      <c r="F454" s="619"/>
      <c r="G454" s="231" t="s">
        <v>4836</v>
      </c>
      <c r="H454" s="619"/>
      <c r="I454" s="619">
        <v>44892.17</v>
      </c>
      <c r="J454" s="620">
        <v>27765032.219999999</v>
      </c>
      <c r="K454" s="621" t="s">
        <v>991</v>
      </c>
      <c r="L454" s="621" t="s">
        <v>4837</v>
      </c>
      <c r="M454" s="621" t="s">
        <v>4838</v>
      </c>
      <c r="N454" s="621" t="s">
        <v>4092</v>
      </c>
      <c r="O454" s="621"/>
      <c r="P454" s="621"/>
    </row>
    <row r="455" spans="1:16">
      <c r="A455" s="232" t="s">
        <v>684</v>
      </c>
      <c r="B455" s="232" t="s">
        <v>1353</v>
      </c>
      <c r="C455" s="622">
        <v>45016</v>
      </c>
      <c r="D455" s="232" t="s">
        <v>4844</v>
      </c>
      <c r="E455" s="231" t="s">
        <v>5074</v>
      </c>
      <c r="F455" s="233"/>
      <c r="G455" s="232" t="s">
        <v>4836</v>
      </c>
      <c r="H455" s="233"/>
      <c r="I455" s="233">
        <v>194329.42999999996</v>
      </c>
      <c r="J455" s="623">
        <v>120189397.97</v>
      </c>
      <c r="K455" s="624" t="s">
        <v>991</v>
      </c>
      <c r="L455" s="624" t="s">
        <v>4837</v>
      </c>
      <c r="M455" s="624" t="s">
        <v>4838</v>
      </c>
      <c r="N455" s="624" t="s">
        <v>4092</v>
      </c>
      <c r="O455" s="624"/>
      <c r="P455" s="624"/>
    </row>
    <row r="456" spans="1:16">
      <c r="A456" s="231" t="s">
        <v>684</v>
      </c>
      <c r="B456" s="231" t="s">
        <v>1353</v>
      </c>
      <c r="C456" s="618">
        <v>45016</v>
      </c>
      <c r="D456" s="231" t="s">
        <v>4843</v>
      </c>
      <c r="E456" s="231" t="s">
        <v>5074</v>
      </c>
      <c r="F456" s="619">
        <v>100.004</v>
      </c>
      <c r="G456" s="231" t="s">
        <v>4836</v>
      </c>
      <c r="H456" s="619">
        <v>2176.9499999999998</v>
      </c>
      <c r="I456" s="619">
        <v>217703.71</v>
      </c>
      <c r="J456" s="620">
        <v>131384254.68000001</v>
      </c>
      <c r="K456" s="621" t="s">
        <v>991</v>
      </c>
      <c r="L456" s="621" t="s">
        <v>4837</v>
      </c>
      <c r="M456" s="621" t="s">
        <v>4838</v>
      </c>
      <c r="N456" s="621" t="s">
        <v>4092</v>
      </c>
      <c r="O456" s="621"/>
      <c r="P456" s="621"/>
    </row>
    <row r="457" spans="1:16">
      <c r="A457" s="232" t="s">
        <v>684</v>
      </c>
      <c r="B457" s="232" t="s">
        <v>1353</v>
      </c>
      <c r="C457" s="622">
        <v>45016</v>
      </c>
      <c r="D457" s="232" t="s">
        <v>4840</v>
      </c>
      <c r="E457" s="231" t="s">
        <v>5074</v>
      </c>
      <c r="F457" s="233">
        <v>396.82650000000001</v>
      </c>
      <c r="G457" s="232" t="s">
        <v>4836</v>
      </c>
      <c r="H457" s="233">
        <v>1969.58</v>
      </c>
      <c r="I457" s="233">
        <v>827566.31</v>
      </c>
      <c r="J457" s="623">
        <v>499436517.80000001</v>
      </c>
      <c r="K457" s="624" t="s">
        <v>991</v>
      </c>
      <c r="L457" s="624" t="s">
        <v>4837</v>
      </c>
      <c r="M457" s="624" t="s">
        <v>4838</v>
      </c>
      <c r="N457" s="624" t="s">
        <v>4092</v>
      </c>
      <c r="O457" s="624"/>
      <c r="P457" s="624"/>
    </row>
    <row r="458" spans="1:16">
      <c r="A458" s="231" t="s">
        <v>684</v>
      </c>
      <c r="B458" s="231" t="s">
        <v>1353</v>
      </c>
      <c r="C458" s="618">
        <v>45016</v>
      </c>
      <c r="D458" s="231" t="s">
        <v>4840</v>
      </c>
      <c r="E458" s="231" t="s">
        <v>5074</v>
      </c>
      <c r="F458" s="619">
        <v>286.33499999999998</v>
      </c>
      <c r="G458" s="231" t="s">
        <v>4836</v>
      </c>
      <c r="H458" s="619">
        <v>2046.88</v>
      </c>
      <c r="I458" s="619">
        <v>586097.48</v>
      </c>
      <c r="J458" s="620">
        <v>353710006.04000002</v>
      </c>
      <c r="K458" s="621" t="s">
        <v>991</v>
      </c>
      <c r="L458" s="621" t="s">
        <v>4837</v>
      </c>
      <c r="M458" s="621" t="s">
        <v>4838</v>
      </c>
      <c r="N458" s="621" t="s">
        <v>4092</v>
      </c>
      <c r="O458" s="621"/>
      <c r="P458" s="621"/>
    </row>
    <row r="459" spans="1:16">
      <c r="A459" s="232" t="s">
        <v>684</v>
      </c>
      <c r="B459" s="232" t="s">
        <v>1353</v>
      </c>
      <c r="C459" s="622">
        <v>45016</v>
      </c>
      <c r="D459" s="232" t="s">
        <v>4843</v>
      </c>
      <c r="E459" s="231" t="s">
        <v>5074</v>
      </c>
      <c r="F459" s="233">
        <v>110.6875</v>
      </c>
      <c r="G459" s="232" t="s">
        <v>4836</v>
      </c>
      <c r="H459" s="233">
        <v>2111.4499999999998</v>
      </c>
      <c r="I459" s="233">
        <v>233714.29</v>
      </c>
      <c r="J459" s="623">
        <v>141046644.53999999</v>
      </c>
      <c r="K459" s="624" t="s">
        <v>991</v>
      </c>
      <c r="L459" s="624" t="s">
        <v>4837</v>
      </c>
      <c r="M459" s="624" t="s">
        <v>4838</v>
      </c>
      <c r="N459" s="624" t="s">
        <v>4092</v>
      </c>
      <c r="O459" s="624"/>
      <c r="P459" s="624"/>
    </row>
    <row r="460" spans="1:16">
      <c r="A460" s="231" t="s">
        <v>684</v>
      </c>
      <c r="B460" s="231" t="s">
        <v>1353</v>
      </c>
      <c r="C460" s="618">
        <v>45016</v>
      </c>
      <c r="D460" s="231" t="s">
        <v>4843</v>
      </c>
      <c r="E460" s="231" t="s">
        <v>5074</v>
      </c>
      <c r="F460" s="619">
        <v>59.997</v>
      </c>
      <c r="G460" s="231" t="s">
        <v>4836</v>
      </c>
      <c r="H460" s="619">
        <v>2137.25</v>
      </c>
      <c r="I460" s="619">
        <v>128228.59</v>
      </c>
      <c r="J460" s="620">
        <v>77385992.760000005</v>
      </c>
      <c r="K460" s="621" t="s">
        <v>991</v>
      </c>
      <c r="L460" s="621" t="s">
        <v>4837</v>
      </c>
      <c r="M460" s="621" t="s">
        <v>4838</v>
      </c>
      <c r="N460" s="621" t="s">
        <v>4092</v>
      </c>
      <c r="O460" s="621"/>
      <c r="P460" s="621"/>
    </row>
    <row r="461" spans="1:16">
      <c r="A461" s="232" t="s">
        <v>684</v>
      </c>
      <c r="B461" s="232" t="s">
        <v>1353</v>
      </c>
      <c r="C461" s="622">
        <v>45016</v>
      </c>
      <c r="D461" s="232" t="s">
        <v>4843</v>
      </c>
      <c r="E461" s="231" t="s">
        <v>5074</v>
      </c>
      <c r="F461" s="233">
        <v>176.11799999999999</v>
      </c>
      <c r="G461" s="232" t="s">
        <v>4836</v>
      </c>
      <c r="H461" s="233">
        <v>2119.9299999999998</v>
      </c>
      <c r="I461" s="233">
        <v>373359.95</v>
      </c>
      <c r="J461" s="623">
        <v>225322842.49000001</v>
      </c>
      <c r="K461" s="624" t="s">
        <v>991</v>
      </c>
      <c r="L461" s="624" t="s">
        <v>4837</v>
      </c>
      <c r="M461" s="624" t="s">
        <v>4838</v>
      </c>
      <c r="N461" s="624" t="s">
        <v>4092</v>
      </c>
      <c r="O461" s="624"/>
      <c r="P461" s="624"/>
    </row>
    <row r="462" spans="1:16">
      <c r="A462" s="231" t="s">
        <v>684</v>
      </c>
      <c r="B462" s="231" t="s">
        <v>1353</v>
      </c>
      <c r="C462" s="618">
        <v>45016</v>
      </c>
      <c r="D462" s="231" t="s">
        <v>4843</v>
      </c>
      <c r="E462" s="231" t="s">
        <v>5074</v>
      </c>
      <c r="F462" s="619">
        <v>199.97800000000001</v>
      </c>
      <c r="G462" s="231" t="s">
        <v>4836</v>
      </c>
      <c r="H462" s="619">
        <v>2215.75</v>
      </c>
      <c r="I462" s="619">
        <v>443101.25</v>
      </c>
      <c r="J462" s="620">
        <v>267411738.08000001</v>
      </c>
      <c r="K462" s="621" t="s">
        <v>991</v>
      </c>
      <c r="L462" s="621" t="s">
        <v>4837</v>
      </c>
      <c r="M462" s="621" t="s">
        <v>4838</v>
      </c>
      <c r="N462" s="621" t="s">
        <v>4092</v>
      </c>
      <c r="O462" s="621"/>
      <c r="P462" s="621"/>
    </row>
    <row r="463" spans="1:16">
      <c r="A463" s="232" t="s">
        <v>684</v>
      </c>
      <c r="B463" s="232" t="s">
        <v>1353</v>
      </c>
      <c r="C463" s="622">
        <v>45016</v>
      </c>
      <c r="D463" s="232" t="s">
        <v>4843</v>
      </c>
      <c r="E463" s="231" t="s">
        <v>5074</v>
      </c>
      <c r="F463" s="233">
        <v>58.517000000000003</v>
      </c>
      <c r="G463" s="232" t="s">
        <v>4836</v>
      </c>
      <c r="H463" s="233">
        <v>2194.4899999999998</v>
      </c>
      <c r="I463" s="233">
        <v>128414.97</v>
      </c>
      <c r="J463" s="623">
        <v>77498473.140000001</v>
      </c>
      <c r="K463" s="624" t="s">
        <v>991</v>
      </c>
      <c r="L463" s="624" t="s">
        <v>4837</v>
      </c>
      <c r="M463" s="624" t="s">
        <v>4838</v>
      </c>
      <c r="N463" s="624" t="s">
        <v>4092</v>
      </c>
      <c r="O463" s="624"/>
      <c r="P463" s="624"/>
    </row>
    <row r="464" spans="1:16">
      <c r="A464" s="231" t="s">
        <v>684</v>
      </c>
      <c r="B464" s="231" t="s">
        <v>1353</v>
      </c>
      <c r="C464" s="618">
        <v>45016</v>
      </c>
      <c r="D464" s="231" t="s">
        <v>4843</v>
      </c>
      <c r="E464" s="231" t="s">
        <v>5074</v>
      </c>
      <c r="F464" s="619">
        <v>159.99799999999999</v>
      </c>
      <c r="G464" s="231" t="s">
        <v>4836</v>
      </c>
      <c r="H464" s="619">
        <v>2119.0500000000002</v>
      </c>
      <c r="I464" s="619">
        <v>339043.76</v>
      </c>
      <c r="J464" s="620">
        <v>204613011.47</v>
      </c>
      <c r="K464" s="621" t="s">
        <v>991</v>
      </c>
      <c r="L464" s="621" t="s">
        <v>4837</v>
      </c>
      <c r="M464" s="621" t="s">
        <v>4838</v>
      </c>
      <c r="N464" s="621" t="s">
        <v>4092</v>
      </c>
      <c r="O464" s="621"/>
      <c r="P464" s="621"/>
    </row>
    <row r="465" spans="1:16">
      <c r="A465" s="232" t="s">
        <v>684</v>
      </c>
      <c r="B465" s="232" t="s">
        <v>1353</v>
      </c>
      <c r="C465" s="622">
        <v>45016</v>
      </c>
      <c r="D465" s="232" t="s">
        <v>4841</v>
      </c>
      <c r="E465" s="231" t="s">
        <v>5073</v>
      </c>
      <c r="F465" s="233">
        <v>80</v>
      </c>
      <c r="G465" s="232" t="s">
        <v>4836</v>
      </c>
      <c r="H465" s="233">
        <v>1410</v>
      </c>
      <c r="I465" s="233">
        <v>112800</v>
      </c>
      <c r="J465" s="623">
        <v>68074834.040000007</v>
      </c>
      <c r="K465" s="624" t="s">
        <v>991</v>
      </c>
      <c r="L465" s="624" t="s">
        <v>4837</v>
      </c>
      <c r="M465" s="624" t="s">
        <v>4838</v>
      </c>
      <c r="N465" s="624" t="s">
        <v>4092</v>
      </c>
      <c r="O465" s="624"/>
      <c r="P465" s="624"/>
    </row>
    <row r="466" spans="1:16">
      <c r="A466" s="231" t="s">
        <v>684</v>
      </c>
      <c r="B466" s="231" t="s">
        <v>1353</v>
      </c>
      <c r="C466" s="618">
        <v>45016</v>
      </c>
      <c r="D466" s="231" t="s">
        <v>4844</v>
      </c>
      <c r="E466" s="231" t="s">
        <v>5074</v>
      </c>
      <c r="F466" s="619"/>
      <c r="G466" s="231" t="s">
        <v>4836</v>
      </c>
      <c r="H466" s="619"/>
      <c r="I466" s="619">
        <v>14687.41</v>
      </c>
      <c r="J466" s="620">
        <v>8837190.1300000008</v>
      </c>
      <c r="K466" s="621" t="s">
        <v>991</v>
      </c>
      <c r="L466" s="621" t="s">
        <v>4837</v>
      </c>
      <c r="M466" s="621" t="s">
        <v>4838</v>
      </c>
      <c r="N466" s="621" t="s">
        <v>4092</v>
      </c>
      <c r="O466" s="621"/>
      <c r="P466" s="621"/>
    </row>
    <row r="467" spans="1:16">
      <c r="A467" s="232" t="s">
        <v>684</v>
      </c>
      <c r="B467" s="232" t="s">
        <v>1353</v>
      </c>
      <c r="C467" s="622">
        <v>45024</v>
      </c>
      <c r="D467" s="232" t="s">
        <v>4841</v>
      </c>
      <c r="E467" s="231" t="s">
        <v>5073</v>
      </c>
      <c r="F467" s="233">
        <v>100</v>
      </c>
      <c r="G467" s="232" t="s">
        <v>4836</v>
      </c>
      <c r="H467" s="233">
        <v>1467.95</v>
      </c>
      <c r="I467" s="233">
        <v>244658.33</v>
      </c>
      <c r="J467" s="623">
        <v>146414320.77000001</v>
      </c>
      <c r="K467" s="624" t="s">
        <v>991</v>
      </c>
      <c r="L467" s="624" t="s">
        <v>4837</v>
      </c>
      <c r="M467" s="624" t="s">
        <v>4838</v>
      </c>
      <c r="N467" s="624" t="s">
        <v>4092</v>
      </c>
      <c r="O467" s="624"/>
      <c r="P467" s="624"/>
    </row>
    <row r="468" spans="1:16">
      <c r="A468" s="231" t="s">
        <v>684</v>
      </c>
      <c r="B468" s="231" t="s">
        <v>1353</v>
      </c>
      <c r="C468" s="618">
        <v>45024</v>
      </c>
      <c r="D468" s="231" t="s">
        <v>4840</v>
      </c>
      <c r="E468" s="231" t="s">
        <v>5074</v>
      </c>
      <c r="F468" s="619">
        <v>88.142499999999998</v>
      </c>
      <c r="G468" s="231" t="s">
        <v>4836</v>
      </c>
      <c r="H468" s="619">
        <v>1946.45</v>
      </c>
      <c r="I468" s="619">
        <v>171567.89</v>
      </c>
      <c r="J468" s="620">
        <v>102673782.17</v>
      </c>
      <c r="K468" s="621" t="s">
        <v>991</v>
      </c>
      <c r="L468" s="621" t="s">
        <v>4837</v>
      </c>
      <c r="M468" s="621" t="s">
        <v>4838</v>
      </c>
      <c r="N468" s="621" t="s">
        <v>4092</v>
      </c>
      <c r="O468" s="621"/>
      <c r="P468" s="621"/>
    </row>
    <row r="469" spans="1:16">
      <c r="A469" s="232" t="s">
        <v>684</v>
      </c>
      <c r="B469" s="232" t="s">
        <v>1353</v>
      </c>
      <c r="C469" s="622">
        <v>45024</v>
      </c>
      <c r="D469" s="232" t="s">
        <v>4840</v>
      </c>
      <c r="E469" s="231" t="s">
        <v>5074</v>
      </c>
      <c r="F469" s="233">
        <v>198.33</v>
      </c>
      <c r="G469" s="232" t="s">
        <v>4836</v>
      </c>
      <c r="H469" s="233">
        <v>1959.5</v>
      </c>
      <c r="I469" s="233">
        <v>403040.37</v>
      </c>
      <c r="J469" s="623">
        <v>241197109.52000001</v>
      </c>
      <c r="K469" s="624" t="s">
        <v>991</v>
      </c>
      <c r="L469" s="624" t="s">
        <v>4837</v>
      </c>
      <c r="M469" s="624" t="s">
        <v>4838</v>
      </c>
      <c r="N469" s="624" t="s">
        <v>4092</v>
      </c>
      <c r="O469" s="624"/>
      <c r="P469" s="624"/>
    </row>
    <row r="470" spans="1:16">
      <c r="A470" s="231" t="s">
        <v>684</v>
      </c>
      <c r="B470" s="231" t="s">
        <v>1353</v>
      </c>
      <c r="C470" s="618">
        <v>45026</v>
      </c>
      <c r="D470" s="231" t="s">
        <v>4843</v>
      </c>
      <c r="E470" s="231" t="s">
        <v>5074</v>
      </c>
      <c r="F470" s="619">
        <v>59.923999999999999</v>
      </c>
      <c r="G470" s="231" t="s">
        <v>4836</v>
      </c>
      <c r="H470" s="619">
        <v>2047.9</v>
      </c>
      <c r="I470" s="619">
        <v>122718.36</v>
      </c>
      <c r="J470" s="620">
        <v>74284721.549999997</v>
      </c>
      <c r="K470" s="621" t="s">
        <v>991</v>
      </c>
      <c r="L470" s="621" t="s">
        <v>4837</v>
      </c>
      <c r="M470" s="621" t="s">
        <v>4838</v>
      </c>
      <c r="N470" s="621" t="s">
        <v>4092</v>
      </c>
      <c r="O470" s="621"/>
      <c r="P470" s="621"/>
    </row>
    <row r="471" spans="1:16">
      <c r="A471" s="232" t="s">
        <v>684</v>
      </c>
      <c r="B471" s="232" t="s">
        <v>1353</v>
      </c>
      <c r="C471" s="622">
        <v>45026</v>
      </c>
      <c r="D471" s="232" t="s">
        <v>4843</v>
      </c>
      <c r="E471" s="231" t="s">
        <v>5074</v>
      </c>
      <c r="F471" s="233">
        <v>120.056</v>
      </c>
      <c r="G471" s="232" t="s">
        <v>4836</v>
      </c>
      <c r="H471" s="233">
        <v>2193.4</v>
      </c>
      <c r="I471" s="233">
        <v>263330.83</v>
      </c>
      <c r="J471" s="623">
        <v>159401228.81</v>
      </c>
      <c r="K471" s="624" t="s">
        <v>991</v>
      </c>
      <c r="L471" s="624" t="s">
        <v>4837</v>
      </c>
      <c r="M471" s="624" t="s">
        <v>4838</v>
      </c>
      <c r="N471" s="624" t="s">
        <v>4092</v>
      </c>
      <c r="O471" s="624"/>
      <c r="P471" s="624"/>
    </row>
    <row r="472" spans="1:16">
      <c r="A472" s="231" t="s">
        <v>684</v>
      </c>
      <c r="B472" s="231" t="s">
        <v>1353</v>
      </c>
      <c r="C472" s="618">
        <v>45026</v>
      </c>
      <c r="D472" s="231" t="s">
        <v>4843</v>
      </c>
      <c r="E472" s="231" t="s">
        <v>5074</v>
      </c>
      <c r="F472" s="619">
        <v>110.1375</v>
      </c>
      <c r="G472" s="231" t="s">
        <v>4836</v>
      </c>
      <c r="H472" s="619">
        <v>2105.38</v>
      </c>
      <c r="I472" s="619">
        <v>231884.45</v>
      </c>
      <c r="J472" s="620">
        <v>140365889.83000001</v>
      </c>
      <c r="K472" s="621" t="s">
        <v>991</v>
      </c>
      <c r="L472" s="621" t="s">
        <v>4837</v>
      </c>
      <c r="M472" s="621" t="s">
        <v>4838</v>
      </c>
      <c r="N472" s="621" t="s">
        <v>4092</v>
      </c>
      <c r="O472" s="621"/>
      <c r="P472" s="621"/>
    </row>
    <row r="473" spans="1:16">
      <c r="A473" s="232" t="s">
        <v>684</v>
      </c>
      <c r="B473" s="232" t="s">
        <v>1353</v>
      </c>
      <c r="C473" s="622">
        <v>45026</v>
      </c>
      <c r="D473" s="232" t="s">
        <v>4843</v>
      </c>
      <c r="E473" s="231" t="s">
        <v>5074</v>
      </c>
      <c r="F473" s="233">
        <v>154.29300000000001</v>
      </c>
      <c r="G473" s="232" t="s">
        <v>4836</v>
      </c>
      <c r="H473" s="233">
        <v>2142.8200000000002</v>
      </c>
      <c r="I473" s="233">
        <v>330624.27</v>
      </c>
      <c r="J473" s="623">
        <v>200135756.66</v>
      </c>
      <c r="K473" s="624" t="s">
        <v>991</v>
      </c>
      <c r="L473" s="624" t="s">
        <v>4837</v>
      </c>
      <c r="M473" s="624" t="s">
        <v>4838</v>
      </c>
      <c r="N473" s="624" t="s">
        <v>4092</v>
      </c>
      <c r="O473" s="624"/>
      <c r="P473" s="624"/>
    </row>
    <row r="474" spans="1:16">
      <c r="A474" s="231" t="s">
        <v>684</v>
      </c>
      <c r="B474" s="231" t="s">
        <v>1353</v>
      </c>
      <c r="C474" s="618">
        <v>45031</v>
      </c>
      <c r="D474" s="231" t="s">
        <v>4844</v>
      </c>
      <c r="E474" s="231" t="s">
        <v>5074</v>
      </c>
      <c r="F474" s="619">
        <v>294.43</v>
      </c>
      <c r="G474" s="231" t="s">
        <v>4836</v>
      </c>
      <c r="H474" s="619">
        <v>273.85000000000002</v>
      </c>
      <c r="I474" s="619">
        <v>234467.42</v>
      </c>
      <c r="J474" s="620">
        <v>139315163.40000001</v>
      </c>
      <c r="K474" s="621" t="s">
        <v>991</v>
      </c>
      <c r="L474" s="621" t="s">
        <v>4837</v>
      </c>
      <c r="M474" s="621" t="s">
        <v>4838</v>
      </c>
      <c r="N474" s="621" t="s">
        <v>4092</v>
      </c>
      <c r="O474" s="621"/>
      <c r="P474" s="621"/>
    </row>
    <row r="475" spans="1:16">
      <c r="A475" s="232" t="s">
        <v>684</v>
      </c>
      <c r="B475" s="232" t="s">
        <v>1353</v>
      </c>
      <c r="C475" s="622">
        <v>45031</v>
      </c>
      <c r="D475" s="232" t="s">
        <v>4840</v>
      </c>
      <c r="E475" s="231" t="s">
        <v>5074</v>
      </c>
      <c r="F475" s="233">
        <v>198.23779999999999</v>
      </c>
      <c r="G475" s="232" t="s">
        <v>4836</v>
      </c>
      <c r="H475" s="233">
        <v>1979.75</v>
      </c>
      <c r="I475" s="233">
        <v>392461.68</v>
      </c>
      <c r="J475" s="623">
        <v>233191729.06</v>
      </c>
      <c r="K475" s="624" t="s">
        <v>991</v>
      </c>
      <c r="L475" s="624" t="s">
        <v>4837</v>
      </c>
      <c r="M475" s="624" t="s">
        <v>4838</v>
      </c>
      <c r="N475" s="624" t="s">
        <v>4092</v>
      </c>
      <c r="O475" s="624"/>
      <c r="P475" s="624"/>
    </row>
    <row r="476" spans="1:16">
      <c r="A476" s="231" t="s">
        <v>684</v>
      </c>
      <c r="B476" s="231" t="s">
        <v>1353</v>
      </c>
      <c r="C476" s="618">
        <v>45031</v>
      </c>
      <c r="D476" s="231" t="s">
        <v>4839</v>
      </c>
      <c r="E476" s="231" t="s">
        <v>5073</v>
      </c>
      <c r="F476" s="619">
        <v>60</v>
      </c>
      <c r="G476" s="231" t="s">
        <v>4836</v>
      </c>
      <c r="H476" s="619">
        <v>2016.15</v>
      </c>
      <c r="I476" s="619">
        <v>120969</v>
      </c>
      <c r="J476" s="620">
        <v>71877005.349999994</v>
      </c>
      <c r="K476" s="621" t="s">
        <v>991</v>
      </c>
      <c r="L476" s="621" t="s">
        <v>4837</v>
      </c>
      <c r="M476" s="621" t="s">
        <v>4838</v>
      </c>
      <c r="N476" s="621" t="s">
        <v>4092</v>
      </c>
      <c r="O476" s="621"/>
      <c r="P476" s="621"/>
    </row>
    <row r="477" spans="1:16">
      <c r="A477" s="232" t="s">
        <v>684</v>
      </c>
      <c r="B477" s="232" t="s">
        <v>1353</v>
      </c>
      <c r="C477" s="622">
        <v>45031</v>
      </c>
      <c r="D477" s="232" t="s">
        <v>4839</v>
      </c>
      <c r="E477" s="231" t="s">
        <v>5073</v>
      </c>
      <c r="F477" s="233">
        <v>60</v>
      </c>
      <c r="G477" s="232" t="s">
        <v>4836</v>
      </c>
      <c r="H477" s="233">
        <v>2022.8</v>
      </c>
      <c r="I477" s="233">
        <v>121368</v>
      </c>
      <c r="J477" s="623">
        <v>72114082</v>
      </c>
      <c r="K477" s="624" t="s">
        <v>991</v>
      </c>
      <c r="L477" s="624" t="s">
        <v>4837</v>
      </c>
      <c r="M477" s="624" t="s">
        <v>4838</v>
      </c>
      <c r="N477" s="624" t="s">
        <v>4092</v>
      </c>
      <c r="O477" s="624"/>
      <c r="P477" s="624"/>
    </row>
    <row r="478" spans="1:16">
      <c r="A478" s="231" t="s">
        <v>684</v>
      </c>
      <c r="B478" s="231" t="s">
        <v>1353</v>
      </c>
      <c r="C478" s="618">
        <v>45031</v>
      </c>
      <c r="D478" s="231" t="s">
        <v>4841</v>
      </c>
      <c r="E478" s="231" t="s">
        <v>5073</v>
      </c>
      <c r="F478" s="619">
        <v>80</v>
      </c>
      <c r="G478" s="231" t="s">
        <v>4836</v>
      </c>
      <c r="H478" s="619">
        <v>1513.55</v>
      </c>
      <c r="I478" s="619">
        <v>121084</v>
      </c>
      <c r="J478" s="620">
        <v>71945335.709999993</v>
      </c>
      <c r="K478" s="621" t="s">
        <v>991</v>
      </c>
      <c r="L478" s="621" t="s">
        <v>4837</v>
      </c>
      <c r="M478" s="621" t="s">
        <v>4838</v>
      </c>
      <c r="N478" s="621" t="s">
        <v>4092</v>
      </c>
      <c r="O478" s="621"/>
      <c r="P478" s="621"/>
    </row>
    <row r="479" spans="1:16">
      <c r="A479" s="232" t="s">
        <v>684</v>
      </c>
      <c r="B479" s="232" t="s">
        <v>1353</v>
      </c>
      <c r="C479" s="622">
        <v>45031</v>
      </c>
      <c r="D479" s="232" t="s">
        <v>4839</v>
      </c>
      <c r="E479" s="231" t="s">
        <v>5073</v>
      </c>
      <c r="F479" s="233">
        <v>40</v>
      </c>
      <c r="G479" s="232" t="s">
        <v>4836</v>
      </c>
      <c r="H479" s="233">
        <v>2090.15</v>
      </c>
      <c r="I479" s="233">
        <v>83606</v>
      </c>
      <c r="J479" s="623">
        <v>49676767.68</v>
      </c>
      <c r="K479" s="624" t="s">
        <v>991</v>
      </c>
      <c r="L479" s="624" t="s">
        <v>4837</v>
      </c>
      <c r="M479" s="624" t="s">
        <v>4838</v>
      </c>
      <c r="N479" s="624" t="s">
        <v>4092</v>
      </c>
      <c r="O479" s="624"/>
      <c r="P479" s="624"/>
    </row>
    <row r="480" spans="1:16">
      <c r="A480" s="231" t="s">
        <v>684</v>
      </c>
      <c r="B480" s="231" t="s">
        <v>1353</v>
      </c>
      <c r="C480" s="618">
        <v>45031</v>
      </c>
      <c r="D480" s="231" t="s">
        <v>4846</v>
      </c>
      <c r="E480" s="231" t="s">
        <v>5073</v>
      </c>
      <c r="F480" s="619">
        <v>1012.475</v>
      </c>
      <c r="G480" s="231" t="s">
        <v>4836</v>
      </c>
      <c r="H480" s="619">
        <v>548.23</v>
      </c>
      <c r="I480" s="619">
        <v>555069.16925000004</v>
      </c>
      <c r="J480" s="620">
        <v>329809370.17000002</v>
      </c>
      <c r="K480" s="621" t="s">
        <v>991</v>
      </c>
      <c r="L480" s="621" t="s">
        <v>4837</v>
      </c>
      <c r="M480" s="621" t="s">
        <v>4838</v>
      </c>
      <c r="N480" s="621" t="s">
        <v>4092</v>
      </c>
      <c r="O480" s="621"/>
      <c r="P480" s="621"/>
    </row>
    <row r="481" spans="1:16">
      <c r="A481" s="232" t="s">
        <v>684</v>
      </c>
      <c r="B481" s="232" t="s">
        <v>1353</v>
      </c>
      <c r="C481" s="622">
        <v>45031</v>
      </c>
      <c r="D481" s="232" t="s">
        <v>4841</v>
      </c>
      <c r="E481" s="231" t="s">
        <v>5073</v>
      </c>
      <c r="F481" s="233">
        <v>100</v>
      </c>
      <c r="G481" s="232" t="s">
        <v>4836</v>
      </c>
      <c r="H481" s="233">
        <v>1503.3</v>
      </c>
      <c r="I481" s="233">
        <v>150330</v>
      </c>
      <c r="J481" s="623">
        <v>89322638.150000006</v>
      </c>
      <c r="K481" s="624" t="s">
        <v>991</v>
      </c>
      <c r="L481" s="624" t="s">
        <v>4837</v>
      </c>
      <c r="M481" s="624" t="s">
        <v>4838</v>
      </c>
      <c r="N481" s="624" t="s">
        <v>4092</v>
      </c>
      <c r="O481" s="624"/>
      <c r="P481" s="624"/>
    </row>
    <row r="482" spans="1:16">
      <c r="A482" s="231" t="s">
        <v>684</v>
      </c>
      <c r="B482" s="231" t="s">
        <v>1353</v>
      </c>
      <c r="C482" s="618">
        <v>45033</v>
      </c>
      <c r="D482" s="231" t="s">
        <v>4841</v>
      </c>
      <c r="E482" s="231" t="s">
        <v>5073</v>
      </c>
      <c r="F482" s="619"/>
      <c r="G482" s="231" t="s">
        <v>4836</v>
      </c>
      <c r="H482" s="619"/>
      <c r="I482" s="619">
        <v>-97863.33</v>
      </c>
      <c r="J482" s="620">
        <v>-58812097.359999999</v>
      </c>
      <c r="K482" s="621" t="s">
        <v>991</v>
      </c>
      <c r="L482" s="621" t="s">
        <v>4837</v>
      </c>
      <c r="M482" s="621" t="s">
        <v>4838</v>
      </c>
      <c r="N482" s="621" t="s">
        <v>4092</v>
      </c>
      <c r="O482" s="621"/>
      <c r="P482" s="621"/>
    </row>
    <row r="483" spans="1:16">
      <c r="A483" s="232" t="s">
        <v>684</v>
      </c>
      <c r="B483" s="232" t="s">
        <v>1353</v>
      </c>
      <c r="C483" s="622">
        <v>45033</v>
      </c>
      <c r="D483" s="232" t="s">
        <v>4840</v>
      </c>
      <c r="E483" s="231" t="s">
        <v>5074</v>
      </c>
      <c r="F483" s="233"/>
      <c r="G483" s="232" t="s">
        <v>4836</v>
      </c>
      <c r="H483" s="233"/>
      <c r="I483" s="233">
        <v>-14412.74</v>
      </c>
      <c r="J483" s="623">
        <v>-8661502.4000000004</v>
      </c>
      <c r="K483" s="624" t="s">
        <v>991</v>
      </c>
      <c r="L483" s="624" t="s">
        <v>4837</v>
      </c>
      <c r="M483" s="624" t="s">
        <v>4838</v>
      </c>
      <c r="N483" s="624" t="s">
        <v>4092</v>
      </c>
      <c r="O483" s="624"/>
      <c r="P483" s="624"/>
    </row>
    <row r="484" spans="1:16">
      <c r="A484" s="231" t="s">
        <v>684</v>
      </c>
      <c r="B484" s="231" t="s">
        <v>1353</v>
      </c>
      <c r="C484" s="618">
        <v>45034</v>
      </c>
      <c r="D484" s="231" t="s">
        <v>4835</v>
      </c>
      <c r="E484" s="231" t="s">
        <v>5073</v>
      </c>
      <c r="F484" s="619">
        <v>12000.875</v>
      </c>
      <c r="G484" s="231" t="s">
        <v>4836</v>
      </c>
      <c r="H484" s="619">
        <v>327.14999999999998</v>
      </c>
      <c r="I484" s="619">
        <v>3926086.2562499996</v>
      </c>
      <c r="J484" s="620">
        <v>2350949856.29</v>
      </c>
      <c r="K484" s="621" t="s">
        <v>991</v>
      </c>
      <c r="L484" s="621" t="s">
        <v>4837</v>
      </c>
      <c r="M484" s="621" t="s">
        <v>4838</v>
      </c>
      <c r="N484" s="621" t="s">
        <v>4092</v>
      </c>
      <c r="O484" s="621"/>
      <c r="P484" s="621"/>
    </row>
    <row r="485" spans="1:16">
      <c r="A485" s="232" t="s">
        <v>684</v>
      </c>
      <c r="B485" s="232" t="s">
        <v>1353</v>
      </c>
      <c r="C485" s="622">
        <v>45034</v>
      </c>
      <c r="D485" s="232" t="s">
        <v>4835</v>
      </c>
      <c r="E485" s="231" t="s">
        <v>5073</v>
      </c>
      <c r="F485" s="233">
        <v>3000</v>
      </c>
      <c r="G485" s="232" t="s">
        <v>4836</v>
      </c>
      <c r="H485" s="233">
        <v>317.45</v>
      </c>
      <c r="I485" s="233">
        <v>952350</v>
      </c>
      <c r="J485" s="623">
        <v>570269461.08000004</v>
      </c>
      <c r="K485" s="624" t="s">
        <v>991</v>
      </c>
      <c r="L485" s="624" t="s">
        <v>4837</v>
      </c>
      <c r="M485" s="624" t="s">
        <v>4838</v>
      </c>
      <c r="N485" s="624" t="s">
        <v>4092</v>
      </c>
      <c r="O485" s="624"/>
      <c r="P485" s="624"/>
    </row>
    <row r="486" spans="1:16">
      <c r="A486" s="231" t="s">
        <v>684</v>
      </c>
      <c r="B486" s="231" t="s">
        <v>1353</v>
      </c>
      <c r="C486" s="618">
        <v>45034</v>
      </c>
      <c r="D486" s="231" t="s">
        <v>4835</v>
      </c>
      <c r="E486" s="231" t="s">
        <v>5073</v>
      </c>
      <c r="F486" s="619">
        <v>10000.744000000001</v>
      </c>
      <c r="G486" s="231" t="s">
        <v>4836</v>
      </c>
      <c r="H486" s="619">
        <v>317.45</v>
      </c>
      <c r="I486" s="619">
        <v>3174736.1828000001</v>
      </c>
      <c r="J486" s="620">
        <v>1901039628.74</v>
      </c>
      <c r="K486" s="621" t="s">
        <v>991</v>
      </c>
      <c r="L486" s="621" t="s">
        <v>4837</v>
      </c>
      <c r="M486" s="621" t="s">
        <v>4838</v>
      </c>
      <c r="N486" s="621" t="s">
        <v>4092</v>
      </c>
      <c r="O486" s="621"/>
      <c r="P486" s="621"/>
    </row>
    <row r="487" spans="1:16">
      <c r="A487" s="232" t="s">
        <v>684</v>
      </c>
      <c r="B487" s="232" t="s">
        <v>1353</v>
      </c>
      <c r="C487" s="622">
        <v>45034</v>
      </c>
      <c r="D487" s="232" t="s">
        <v>4842</v>
      </c>
      <c r="E487" s="231" t="s">
        <v>5073</v>
      </c>
      <c r="F487" s="233">
        <v>5000</v>
      </c>
      <c r="G487" s="232" t="s">
        <v>4836</v>
      </c>
      <c r="H487" s="233">
        <v>264.10000000000002</v>
      </c>
      <c r="I487" s="233">
        <v>1320500</v>
      </c>
      <c r="J487" s="623">
        <v>790718562.87</v>
      </c>
      <c r="K487" s="624" t="s">
        <v>991</v>
      </c>
      <c r="L487" s="624" t="s">
        <v>4837</v>
      </c>
      <c r="M487" s="624" t="s">
        <v>4838</v>
      </c>
      <c r="N487" s="624" t="s">
        <v>4092</v>
      </c>
      <c r="O487" s="624"/>
      <c r="P487" s="624"/>
    </row>
    <row r="488" spans="1:16">
      <c r="A488" s="231" t="s">
        <v>684</v>
      </c>
      <c r="B488" s="231" t="s">
        <v>1353</v>
      </c>
      <c r="C488" s="618">
        <v>45034</v>
      </c>
      <c r="D488" s="231" t="s">
        <v>4843</v>
      </c>
      <c r="E488" s="231" t="s">
        <v>5074</v>
      </c>
      <c r="F488" s="619">
        <v>176.1925</v>
      </c>
      <c r="G488" s="231" t="s">
        <v>4836</v>
      </c>
      <c r="H488" s="619">
        <v>2145.88</v>
      </c>
      <c r="I488" s="619">
        <v>378091.18</v>
      </c>
      <c r="J488" s="620">
        <v>226401904.19</v>
      </c>
      <c r="K488" s="621" t="s">
        <v>991</v>
      </c>
      <c r="L488" s="621" t="s">
        <v>4837</v>
      </c>
      <c r="M488" s="621" t="s">
        <v>4838</v>
      </c>
      <c r="N488" s="621" t="s">
        <v>4092</v>
      </c>
      <c r="O488" s="621"/>
      <c r="P488" s="621"/>
    </row>
    <row r="489" spans="1:16">
      <c r="A489" s="232" t="s">
        <v>684</v>
      </c>
      <c r="B489" s="232" t="s">
        <v>1353</v>
      </c>
      <c r="C489" s="622">
        <v>45034</v>
      </c>
      <c r="D489" s="232" t="s">
        <v>4843</v>
      </c>
      <c r="E489" s="231" t="s">
        <v>5074</v>
      </c>
      <c r="F489" s="233">
        <v>264.4375</v>
      </c>
      <c r="G489" s="232" t="s">
        <v>4836</v>
      </c>
      <c r="H489" s="233">
        <v>2147.9699999999998</v>
      </c>
      <c r="I489" s="233">
        <v>568009.18999999994</v>
      </c>
      <c r="J489" s="623">
        <v>340125263.47000003</v>
      </c>
      <c r="K489" s="624" t="s">
        <v>991</v>
      </c>
      <c r="L489" s="624" t="s">
        <v>4837</v>
      </c>
      <c r="M489" s="624" t="s">
        <v>4838</v>
      </c>
      <c r="N489" s="624" t="s">
        <v>4092</v>
      </c>
      <c r="O489" s="624"/>
      <c r="P489" s="624"/>
    </row>
    <row r="490" spans="1:16">
      <c r="A490" s="231" t="s">
        <v>684</v>
      </c>
      <c r="B490" s="231" t="s">
        <v>1353</v>
      </c>
      <c r="C490" s="618">
        <v>45034</v>
      </c>
      <c r="D490" s="231" t="s">
        <v>4844</v>
      </c>
      <c r="E490" s="231" t="s">
        <v>5074</v>
      </c>
      <c r="F490" s="619">
        <v>315.01499999999999</v>
      </c>
      <c r="G490" s="231" t="s">
        <v>4836</v>
      </c>
      <c r="H490" s="619">
        <v>291.79000000000002</v>
      </c>
      <c r="I490" s="619">
        <v>91917.119999999995</v>
      </c>
      <c r="J490" s="620">
        <v>55040191.619999997</v>
      </c>
      <c r="K490" s="621" t="s">
        <v>991</v>
      </c>
      <c r="L490" s="621" t="s">
        <v>4837</v>
      </c>
      <c r="M490" s="621" t="s">
        <v>4838</v>
      </c>
      <c r="N490" s="621" t="s">
        <v>4092</v>
      </c>
      <c r="O490" s="621"/>
      <c r="P490" s="621"/>
    </row>
    <row r="491" spans="1:16">
      <c r="A491" s="232" t="s">
        <v>684</v>
      </c>
      <c r="B491" s="232" t="s">
        <v>1353</v>
      </c>
      <c r="C491" s="622">
        <v>45038</v>
      </c>
      <c r="D491" s="232" t="s">
        <v>4840</v>
      </c>
      <c r="E491" s="231" t="s">
        <v>5074</v>
      </c>
      <c r="F491" s="233">
        <v>198.14500000000001</v>
      </c>
      <c r="G491" s="232" t="s">
        <v>4836</v>
      </c>
      <c r="H491" s="233">
        <v>2100</v>
      </c>
      <c r="I491" s="233">
        <v>416104.5</v>
      </c>
      <c r="J491" s="623">
        <v>246653526.97</v>
      </c>
      <c r="K491" s="624" t="s">
        <v>991</v>
      </c>
      <c r="L491" s="624" t="s">
        <v>4837</v>
      </c>
      <c r="M491" s="624" t="s">
        <v>4838</v>
      </c>
      <c r="N491" s="624" t="s">
        <v>4092</v>
      </c>
      <c r="O491" s="624"/>
      <c r="P491" s="624"/>
    </row>
    <row r="492" spans="1:16">
      <c r="A492" s="231" t="s">
        <v>684</v>
      </c>
      <c r="B492" s="231" t="s">
        <v>1353</v>
      </c>
      <c r="C492" s="618">
        <v>45038</v>
      </c>
      <c r="D492" s="231" t="s">
        <v>4840</v>
      </c>
      <c r="E492" s="231" t="s">
        <v>5074</v>
      </c>
      <c r="F492" s="619">
        <v>88.019499999999994</v>
      </c>
      <c r="G492" s="231" t="s">
        <v>4836</v>
      </c>
      <c r="H492" s="619">
        <v>1968.59</v>
      </c>
      <c r="I492" s="619">
        <v>173275.29</v>
      </c>
      <c r="J492" s="620">
        <v>102712086.54000001</v>
      </c>
      <c r="K492" s="621" t="s">
        <v>991</v>
      </c>
      <c r="L492" s="621" t="s">
        <v>4837</v>
      </c>
      <c r="M492" s="621" t="s">
        <v>4838</v>
      </c>
      <c r="N492" s="621" t="s">
        <v>4092</v>
      </c>
      <c r="O492" s="621"/>
      <c r="P492" s="621"/>
    </row>
    <row r="493" spans="1:16">
      <c r="A493" s="232" t="s">
        <v>684</v>
      </c>
      <c r="B493" s="232" t="s">
        <v>1353</v>
      </c>
      <c r="C493" s="622">
        <v>45038</v>
      </c>
      <c r="D493" s="232" t="s">
        <v>4843</v>
      </c>
      <c r="E493" s="231" t="s">
        <v>5074</v>
      </c>
      <c r="F493" s="233">
        <v>198.99600000000001</v>
      </c>
      <c r="G493" s="232" t="s">
        <v>4836</v>
      </c>
      <c r="H493" s="233">
        <v>2215.75</v>
      </c>
      <c r="I493" s="233">
        <v>440925.39</v>
      </c>
      <c r="J493" s="623">
        <v>261366561.94</v>
      </c>
      <c r="K493" s="624" t="s">
        <v>991</v>
      </c>
      <c r="L493" s="624" t="s">
        <v>4837</v>
      </c>
      <c r="M493" s="624" t="s">
        <v>4838</v>
      </c>
      <c r="N493" s="624" t="s">
        <v>4092</v>
      </c>
      <c r="O493" s="624"/>
      <c r="P493" s="624"/>
    </row>
    <row r="494" spans="1:16">
      <c r="A494" s="231" t="s">
        <v>684</v>
      </c>
      <c r="B494" s="231" t="s">
        <v>1353</v>
      </c>
      <c r="C494" s="618">
        <v>45038</v>
      </c>
      <c r="D494" s="231" t="s">
        <v>4843</v>
      </c>
      <c r="E494" s="231" t="s">
        <v>5074</v>
      </c>
      <c r="F494" s="619">
        <v>110.15</v>
      </c>
      <c r="G494" s="231" t="s">
        <v>4836</v>
      </c>
      <c r="H494" s="619">
        <v>2172.98</v>
      </c>
      <c r="I494" s="619">
        <v>239355.92</v>
      </c>
      <c r="J494" s="620">
        <v>141882584.47</v>
      </c>
      <c r="K494" s="621" t="s">
        <v>991</v>
      </c>
      <c r="L494" s="621" t="s">
        <v>4837</v>
      </c>
      <c r="M494" s="621" t="s">
        <v>4838</v>
      </c>
      <c r="N494" s="621" t="s">
        <v>4092</v>
      </c>
      <c r="O494" s="621"/>
      <c r="P494" s="621"/>
    </row>
    <row r="495" spans="1:16">
      <c r="A495" s="232" t="s">
        <v>684</v>
      </c>
      <c r="B495" s="232" t="s">
        <v>1353</v>
      </c>
      <c r="C495" s="622">
        <v>45038</v>
      </c>
      <c r="D495" s="232" t="s">
        <v>4843</v>
      </c>
      <c r="E495" s="231" t="s">
        <v>5074</v>
      </c>
      <c r="F495" s="233">
        <v>39.002000000000002</v>
      </c>
      <c r="G495" s="232" t="s">
        <v>4836</v>
      </c>
      <c r="H495" s="233">
        <v>2171.67</v>
      </c>
      <c r="I495" s="233">
        <v>84699.47</v>
      </c>
      <c r="J495" s="623">
        <v>50207154.710000001</v>
      </c>
      <c r="K495" s="624" t="s">
        <v>991</v>
      </c>
      <c r="L495" s="624" t="s">
        <v>4837</v>
      </c>
      <c r="M495" s="624" t="s">
        <v>4838</v>
      </c>
      <c r="N495" s="624" t="s">
        <v>4092</v>
      </c>
      <c r="O495" s="624"/>
      <c r="P495" s="624"/>
    </row>
    <row r="496" spans="1:16">
      <c r="A496" s="231" t="s">
        <v>684</v>
      </c>
      <c r="B496" s="231" t="s">
        <v>1353</v>
      </c>
      <c r="C496" s="618">
        <v>45038</v>
      </c>
      <c r="D496" s="231" t="s">
        <v>4839</v>
      </c>
      <c r="E496" s="231" t="s">
        <v>5073</v>
      </c>
      <c r="F496" s="619">
        <v>60</v>
      </c>
      <c r="G496" s="231" t="s">
        <v>4836</v>
      </c>
      <c r="H496" s="619">
        <v>2007.45</v>
      </c>
      <c r="I496" s="619">
        <v>120447</v>
      </c>
      <c r="J496" s="620">
        <v>71397154.709999993</v>
      </c>
      <c r="K496" s="621" t="s">
        <v>991</v>
      </c>
      <c r="L496" s="621" t="s">
        <v>4837</v>
      </c>
      <c r="M496" s="621" t="s">
        <v>4838</v>
      </c>
      <c r="N496" s="621" t="s">
        <v>4092</v>
      </c>
      <c r="O496" s="621"/>
      <c r="P496" s="621"/>
    </row>
    <row r="497" spans="1:16">
      <c r="A497" s="232" t="s">
        <v>684</v>
      </c>
      <c r="B497" s="232" t="s">
        <v>1353</v>
      </c>
      <c r="C497" s="622">
        <v>45040</v>
      </c>
      <c r="D497" s="232" t="s">
        <v>4843</v>
      </c>
      <c r="E497" s="231" t="s">
        <v>5074</v>
      </c>
      <c r="F497" s="233">
        <v>99.97</v>
      </c>
      <c r="G497" s="232" t="s">
        <v>4836</v>
      </c>
      <c r="H497" s="233">
        <v>2194.6999999999998</v>
      </c>
      <c r="I497" s="233">
        <v>219404.16</v>
      </c>
      <c r="J497" s="623">
        <v>130520023.8</v>
      </c>
      <c r="K497" s="624" t="s">
        <v>991</v>
      </c>
      <c r="L497" s="624" t="s">
        <v>4837</v>
      </c>
      <c r="M497" s="624" t="s">
        <v>4838</v>
      </c>
      <c r="N497" s="624" t="s">
        <v>4092</v>
      </c>
      <c r="O497" s="624"/>
      <c r="P497" s="624"/>
    </row>
    <row r="498" spans="1:16">
      <c r="A498" s="231" t="s">
        <v>684</v>
      </c>
      <c r="B498" s="231" t="s">
        <v>1353</v>
      </c>
      <c r="C498" s="618">
        <v>45040</v>
      </c>
      <c r="D498" s="231" t="s">
        <v>4843</v>
      </c>
      <c r="E498" s="231" t="s">
        <v>5074</v>
      </c>
      <c r="F498" s="619">
        <v>60.003</v>
      </c>
      <c r="G498" s="231" t="s">
        <v>4836</v>
      </c>
      <c r="H498" s="619">
        <v>2049.1999999999998</v>
      </c>
      <c r="I498" s="619">
        <v>122958.15</v>
      </c>
      <c r="J498" s="620">
        <v>73145835.810000002</v>
      </c>
      <c r="K498" s="621" t="s">
        <v>991</v>
      </c>
      <c r="L498" s="621" t="s">
        <v>4837</v>
      </c>
      <c r="M498" s="621" t="s">
        <v>4838</v>
      </c>
      <c r="N498" s="621" t="s">
        <v>4092</v>
      </c>
      <c r="O498" s="621"/>
      <c r="P498" s="621"/>
    </row>
    <row r="499" spans="1:16">
      <c r="A499" s="232" t="s">
        <v>684</v>
      </c>
      <c r="B499" s="232" t="s">
        <v>1353</v>
      </c>
      <c r="C499" s="622">
        <v>45040</v>
      </c>
      <c r="D499" s="232" t="s">
        <v>4843</v>
      </c>
      <c r="E499" s="231" t="s">
        <v>5074</v>
      </c>
      <c r="F499" s="233">
        <v>120.029</v>
      </c>
      <c r="G499" s="232" t="s">
        <v>4836</v>
      </c>
      <c r="H499" s="233">
        <v>2194.6999999999998</v>
      </c>
      <c r="I499" s="233">
        <v>263427.65000000002</v>
      </c>
      <c r="J499" s="623">
        <v>156708893.52000001</v>
      </c>
      <c r="K499" s="624" t="s">
        <v>991</v>
      </c>
      <c r="L499" s="624" t="s">
        <v>4837</v>
      </c>
      <c r="M499" s="624" t="s">
        <v>4838</v>
      </c>
      <c r="N499" s="624" t="s">
        <v>4092</v>
      </c>
      <c r="O499" s="624"/>
      <c r="P499" s="624"/>
    </row>
    <row r="500" spans="1:16">
      <c r="A500" s="231" t="s">
        <v>684</v>
      </c>
      <c r="B500" s="231" t="s">
        <v>1353</v>
      </c>
      <c r="C500" s="618">
        <v>45042</v>
      </c>
      <c r="D500" s="231" t="s">
        <v>4843</v>
      </c>
      <c r="E500" s="231" t="s">
        <v>5074</v>
      </c>
      <c r="F500" s="619">
        <v>176.16874999999999</v>
      </c>
      <c r="G500" s="231" t="s">
        <v>4836</v>
      </c>
      <c r="H500" s="619">
        <v>2119.9299999999998</v>
      </c>
      <c r="I500" s="619">
        <v>373468.07</v>
      </c>
      <c r="J500" s="620">
        <v>221642771.50999999</v>
      </c>
      <c r="K500" s="621" t="s">
        <v>991</v>
      </c>
      <c r="L500" s="621" t="s">
        <v>4837</v>
      </c>
      <c r="M500" s="621" t="s">
        <v>4838</v>
      </c>
      <c r="N500" s="621" t="s">
        <v>4092</v>
      </c>
      <c r="O500" s="621"/>
      <c r="P500" s="621"/>
    </row>
    <row r="501" spans="1:16">
      <c r="A501" s="232" t="s">
        <v>684</v>
      </c>
      <c r="B501" s="232" t="s">
        <v>1353</v>
      </c>
      <c r="C501" s="622">
        <v>45042</v>
      </c>
      <c r="D501" s="232" t="s">
        <v>4840</v>
      </c>
      <c r="E501" s="231" t="s">
        <v>5074</v>
      </c>
      <c r="F501" s="233">
        <v>88.114999999999995</v>
      </c>
      <c r="G501" s="232" t="s">
        <v>4836</v>
      </c>
      <c r="H501" s="233">
        <v>1921.08</v>
      </c>
      <c r="I501" s="233">
        <v>169275.96</v>
      </c>
      <c r="J501" s="623">
        <v>100460510.39</v>
      </c>
      <c r="K501" s="624" t="s">
        <v>991</v>
      </c>
      <c r="L501" s="624" t="s">
        <v>4837</v>
      </c>
      <c r="M501" s="624" t="s">
        <v>4838</v>
      </c>
      <c r="N501" s="624" t="s">
        <v>4092</v>
      </c>
      <c r="O501" s="624"/>
      <c r="P501" s="624"/>
    </row>
    <row r="502" spans="1:16">
      <c r="A502" s="231" t="s">
        <v>684</v>
      </c>
      <c r="B502" s="231" t="s">
        <v>1353</v>
      </c>
      <c r="C502" s="618">
        <v>45042</v>
      </c>
      <c r="D502" s="231" t="s">
        <v>4840</v>
      </c>
      <c r="E502" s="231" t="s">
        <v>5074</v>
      </c>
      <c r="F502" s="619">
        <v>22.01</v>
      </c>
      <c r="G502" s="231" t="s">
        <v>4836</v>
      </c>
      <c r="H502" s="619">
        <v>1958.67</v>
      </c>
      <c r="I502" s="619">
        <v>43110.33</v>
      </c>
      <c r="J502" s="620">
        <v>25584765.579999998</v>
      </c>
      <c r="K502" s="621" t="s">
        <v>991</v>
      </c>
      <c r="L502" s="621" t="s">
        <v>4837</v>
      </c>
      <c r="M502" s="621" t="s">
        <v>4838</v>
      </c>
      <c r="N502" s="621" t="s">
        <v>4092</v>
      </c>
      <c r="O502" s="621"/>
      <c r="P502" s="621"/>
    </row>
    <row r="503" spans="1:16">
      <c r="A503" s="232" t="s">
        <v>684</v>
      </c>
      <c r="B503" s="232" t="s">
        <v>1353</v>
      </c>
      <c r="C503" s="622">
        <v>45044</v>
      </c>
      <c r="D503" s="232" t="s">
        <v>4844</v>
      </c>
      <c r="E503" s="231" t="s">
        <v>5074</v>
      </c>
      <c r="F503" s="233"/>
      <c r="G503" s="232" t="s">
        <v>4836</v>
      </c>
      <c r="H503" s="233"/>
      <c r="I503" s="233">
        <v>-153837.76000000001</v>
      </c>
      <c r="J503" s="623">
        <v>-91570095.239999995</v>
      </c>
      <c r="K503" s="624" t="s">
        <v>991</v>
      </c>
      <c r="L503" s="624" t="s">
        <v>4837</v>
      </c>
      <c r="M503" s="624" t="s">
        <v>4838</v>
      </c>
      <c r="N503" s="624" t="s">
        <v>4092</v>
      </c>
      <c r="O503" s="624"/>
      <c r="P503" s="624"/>
    </row>
    <row r="504" spans="1:16">
      <c r="A504" s="231" t="s">
        <v>684</v>
      </c>
      <c r="B504" s="231" t="s">
        <v>1353</v>
      </c>
      <c r="C504" s="618">
        <v>45045</v>
      </c>
      <c r="D504" s="231" t="s">
        <v>4843</v>
      </c>
      <c r="E504" s="231" t="s">
        <v>5074</v>
      </c>
      <c r="F504" s="619">
        <v>200.02099999999999</v>
      </c>
      <c r="G504" s="231" t="s">
        <v>4836</v>
      </c>
      <c r="H504" s="619">
        <v>2215.75</v>
      </c>
      <c r="I504" s="619">
        <v>443196.53</v>
      </c>
      <c r="J504" s="620">
        <v>263807458.33000001</v>
      </c>
      <c r="K504" s="621" t="s">
        <v>991</v>
      </c>
      <c r="L504" s="621" t="s">
        <v>4837</v>
      </c>
      <c r="M504" s="621" t="s">
        <v>4838</v>
      </c>
      <c r="N504" s="621" t="s">
        <v>4092</v>
      </c>
      <c r="O504" s="621"/>
      <c r="P504" s="621"/>
    </row>
    <row r="505" spans="1:16">
      <c r="A505" s="232" t="s">
        <v>684</v>
      </c>
      <c r="B505" s="232" t="s">
        <v>1353</v>
      </c>
      <c r="C505" s="622">
        <v>45045</v>
      </c>
      <c r="D505" s="232" t="s">
        <v>4843</v>
      </c>
      <c r="E505" s="231" t="s">
        <v>5074</v>
      </c>
      <c r="F505" s="233">
        <v>400.06200000000001</v>
      </c>
      <c r="G505" s="232" t="s">
        <v>4836</v>
      </c>
      <c r="H505" s="233">
        <v>2088.9</v>
      </c>
      <c r="I505" s="233">
        <v>835689.51</v>
      </c>
      <c r="J505" s="623">
        <v>497434232.13999999</v>
      </c>
      <c r="K505" s="624" t="s">
        <v>991</v>
      </c>
      <c r="L505" s="624" t="s">
        <v>4837</v>
      </c>
      <c r="M505" s="624" t="s">
        <v>4838</v>
      </c>
      <c r="N505" s="624" t="s">
        <v>4092</v>
      </c>
      <c r="O505" s="624"/>
      <c r="P505" s="624"/>
    </row>
    <row r="506" spans="1:16">
      <c r="A506" s="231" t="s">
        <v>684</v>
      </c>
      <c r="B506" s="231" t="s">
        <v>1353</v>
      </c>
      <c r="C506" s="618">
        <v>45045</v>
      </c>
      <c r="D506" s="231" t="s">
        <v>4840</v>
      </c>
      <c r="E506" s="231" t="s">
        <v>5074</v>
      </c>
      <c r="F506" s="619">
        <v>220.33099999999999</v>
      </c>
      <c r="G506" s="231" t="s">
        <v>4836</v>
      </c>
      <c r="H506" s="619">
        <v>1969.58</v>
      </c>
      <c r="I506" s="619">
        <v>433965.44</v>
      </c>
      <c r="J506" s="620">
        <v>258312761.90000001</v>
      </c>
      <c r="K506" s="621" t="s">
        <v>991</v>
      </c>
      <c r="L506" s="621" t="s">
        <v>4837</v>
      </c>
      <c r="M506" s="621" t="s">
        <v>4838</v>
      </c>
      <c r="N506" s="621" t="s">
        <v>4092</v>
      </c>
      <c r="O506" s="621"/>
      <c r="P506" s="621"/>
    </row>
    <row r="507" spans="1:16">
      <c r="A507" s="232" t="s">
        <v>684</v>
      </c>
      <c r="B507" s="232" t="s">
        <v>1353</v>
      </c>
      <c r="C507" s="622">
        <v>45045</v>
      </c>
      <c r="D507" s="232" t="s">
        <v>4843</v>
      </c>
      <c r="E507" s="231" t="s">
        <v>5074</v>
      </c>
      <c r="F507" s="233">
        <v>59.994</v>
      </c>
      <c r="G507" s="232" t="s">
        <v>4836</v>
      </c>
      <c r="H507" s="233">
        <v>2122</v>
      </c>
      <c r="I507" s="233">
        <v>127307.27</v>
      </c>
      <c r="J507" s="623">
        <v>75778136.900000006</v>
      </c>
      <c r="K507" s="624" t="s">
        <v>991</v>
      </c>
      <c r="L507" s="624" t="s">
        <v>4837</v>
      </c>
      <c r="M507" s="624" t="s">
        <v>4838</v>
      </c>
      <c r="N507" s="624" t="s">
        <v>4092</v>
      </c>
      <c r="O507" s="624"/>
      <c r="P507" s="624"/>
    </row>
    <row r="508" spans="1:16">
      <c r="A508" s="231" t="s">
        <v>684</v>
      </c>
      <c r="B508" s="231" t="s">
        <v>1353</v>
      </c>
      <c r="C508" s="618">
        <v>45045</v>
      </c>
      <c r="D508" s="231" t="s">
        <v>4844</v>
      </c>
      <c r="E508" s="231" t="s">
        <v>5074</v>
      </c>
      <c r="F508" s="619">
        <v>517.99</v>
      </c>
      <c r="G508" s="231" t="s">
        <v>4836</v>
      </c>
      <c r="H508" s="619">
        <v>247.92</v>
      </c>
      <c r="I508" s="619">
        <v>128421.69</v>
      </c>
      <c r="J508" s="620">
        <v>76441482.140000001</v>
      </c>
      <c r="K508" s="621" t="s">
        <v>991</v>
      </c>
      <c r="L508" s="621" t="s">
        <v>4837</v>
      </c>
      <c r="M508" s="621" t="s">
        <v>4838</v>
      </c>
      <c r="N508" s="621" t="s">
        <v>4092</v>
      </c>
      <c r="O508" s="621"/>
      <c r="P508" s="621"/>
    </row>
    <row r="509" spans="1:16">
      <c r="A509" s="232" t="s">
        <v>684</v>
      </c>
      <c r="B509" s="232" t="s">
        <v>1353</v>
      </c>
      <c r="C509" s="622">
        <v>45045</v>
      </c>
      <c r="D509" s="232" t="s">
        <v>4843</v>
      </c>
      <c r="E509" s="231" t="s">
        <v>5074</v>
      </c>
      <c r="F509" s="233">
        <v>99.992000000000004</v>
      </c>
      <c r="G509" s="232" t="s">
        <v>4836</v>
      </c>
      <c r="H509" s="233">
        <v>2057.3000000000002</v>
      </c>
      <c r="I509" s="233">
        <v>205713.54</v>
      </c>
      <c r="J509" s="623">
        <v>122448535.70999999</v>
      </c>
      <c r="K509" s="624" t="s">
        <v>991</v>
      </c>
      <c r="L509" s="624" t="s">
        <v>4837</v>
      </c>
      <c r="M509" s="624" t="s">
        <v>4838</v>
      </c>
      <c r="N509" s="624" t="s">
        <v>4092</v>
      </c>
      <c r="O509" s="624"/>
      <c r="P509" s="624"/>
    </row>
    <row r="510" spans="1:16">
      <c r="A510" s="231" t="s">
        <v>684</v>
      </c>
      <c r="B510" s="231" t="s">
        <v>1353</v>
      </c>
      <c r="C510" s="618">
        <v>45045</v>
      </c>
      <c r="D510" s="231" t="s">
        <v>4843</v>
      </c>
      <c r="E510" s="231" t="s">
        <v>5074</v>
      </c>
      <c r="F510" s="619">
        <v>99.989000000000004</v>
      </c>
      <c r="G510" s="231" t="s">
        <v>4836</v>
      </c>
      <c r="H510" s="619">
        <v>2176.9499999999998</v>
      </c>
      <c r="I510" s="619">
        <v>217671.05</v>
      </c>
      <c r="J510" s="620">
        <v>129566101.19</v>
      </c>
      <c r="K510" s="621" t="s">
        <v>991</v>
      </c>
      <c r="L510" s="621" t="s">
        <v>4837</v>
      </c>
      <c r="M510" s="621" t="s">
        <v>4838</v>
      </c>
      <c r="N510" s="621" t="s">
        <v>4092</v>
      </c>
      <c r="O510" s="621"/>
      <c r="P510" s="621"/>
    </row>
    <row r="511" spans="1:16">
      <c r="A511" s="232" t="s">
        <v>684</v>
      </c>
      <c r="B511" s="232" t="s">
        <v>1353</v>
      </c>
      <c r="C511" s="622">
        <v>45045</v>
      </c>
      <c r="D511" s="232" t="s">
        <v>4844</v>
      </c>
      <c r="E511" s="231" t="s">
        <v>5074</v>
      </c>
      <c r="F511" s="233">
        <v>510.05</v>
      </c>
      <c r="G511" s="232" t="s">
        <v>4836</v>
      </c>
      <c r="H511" s="233">
        <v>237.33</v>
      </c>
      <c r="I511" s="233">
        <v>121051.44</v>
      </c>
      <c r="J511" s="623">
        <v>72054428.569999993</v>
      </c>
      <c r="K511" s="624" t="s">
        <v>991</v>
      </c>
      <c r="L511" s="624" t="s">
        <v>4837</v>
      </c>
      <c r="M511" s="624" t="s">
        <v>4838</v>
      </c>
      <c r="N511" s="624" t="s">
        <v>4092</v>
      </c>
      <c r="O511" s="624"/>
      <c r="P511" s="624"/>
    </row>
    <row r="512" spans="1:16">
      <c r="A512" s="231" t="s">
        <v>684</v>
      </c>
      <c r="B512" s="231" t="s">
        <v>1353</v>
      </c>
      <c r="C512" s="618">
        <v>45045</v>
      </c>
      <c r="D512" s="231" t="s">
        <v>4840</v>
      </c>
      <c r="E512" s="231" t="s">
        <v>5074</v>
      </c>
      <c r="F512" s="619">
        <v>154.1825</v>
      </c>
      <c r="G512" s="231" t="s">
        <v>4836</v>
      </c>
      <c r="H512" s="619">
        <v>1969.58</v>
      </c>
      <c r="I512" s="619">
        <v>303679.69</v>
      </c>
      <c r="J512" s="620">
        <v>180761720.24000001</v>
      </c>
      <c r="K512" s="621" t="s">
        <v>991</v>
      </c>
      <c r="L512" s="621" t="s">
        <v>4837</v>
      </c>
      <c r="M512" s="621" t="s">
        <v>4838</v>
      </c>
      <c r="N512" s="621" t="s">
        <v>4092</v>
      </c>
      <c r="O512" s="621"/>
      <c r="P512" s="621"/>
    </row>
    <row r="513" spans="1:16">
      <c r="A513" s="232" t="s">
        <v>684</v>
      </c>
      <c r="B513" s="232" t="s">
        <v>1353</v>
      </c>
      <c r="C513" s="622">
        <v>45045</v>
      </c>
      <c r="D513" s="232" t="s">
        <v>4841</v>
      </c>
      <c r="E513" s="231" t="s">
        <v>5073</v>
      </c>
      <c r="F513" s="233">
        <v>120</v>
      </c>
      <c r="G513" s="232" t="s">
        <v>4836</v>
      </c>
      <c r="H513" s="233">
        <v>1398.1</v>
      </c>
      <c r="I513" s="233">
        <v>167772</v>
      </c>
      <c r="J513" s="623">
        <v>99864285.709999993</v>
      </c>
      <c r="K513" s="624" t="s">
        <v>991</v>
      </c>
      <c r="L513" s="624" t="s">
        <v>4837</v>
      </c>
      <c r="M513" s="624" t="s">
        <v>4838</v>
      </c>
      <c r="N513" s="624" t="s">
        <v>4092</v>
      </c>
      <c r="O513" s="624"/>
      <c r="P513" s="624"/>
    </row>
    <row r="514" spans="1:16">
      <c r="A514" s="231" t="s">
        <v>684</v>
      </c>
      <c r="B514" s="231" t="s">
        <v>1353</v>
      </c>
      <c r="C514" s="618">
        <v>45045</v>
      </c>
      <c r="D514" s="231" t="s">
        <v>4841</v>
      </c>
      <c r="E514" s="231" t="s">
        <v>5073</v>
      </c>
      <c r="F514" s="619">
        <v>60</v>
      </c>
      <c r="G514" s="231" t="s">
        <v>4836</v>
      </c>
      <c r="H514" s="619">
        <v>1410</v>
      </c>
      <c r="I514" s="619">
        <v>84600</v>
      </c>
      <c r="J514" s="620">
        <v>50357142.859999999</v>
      </c>
      <c r="K514" s="621" t="s">
        <v>991</v>
      </c>
      <c r="L514" s="621" t="s">
        <v>4837</v>
      </c>
      <c r="M514" s="621" t="s">
        <v>4838</v>
      </c>
      <c r="N514" s="621" t="s">
        <v>4092</v>
      </c>
      <c r="O514" s="621"/>
      <c r="P514" s="621"/>
    </row>
    <row r="515" spans="1:16">
      <c r="A515" s="232" t="s">
        <v>684</v>
      </c>
      <c r="B515" s="232" t="s">
        <v>1353</v>
      </c>
      <c r="C515" s="622">
        <v>45046</v>
      </c>
      <c r="D515" s="232" t="s">
        <v>4842</v>
      </c>
      <c r="E515" s="231" t="s">
        <v>5073</v>
      </c>
      <c r="F515" s="233"/>
      <c r="G515" s="232" t="s">
        <v>4836</v>
      </c>
      <c r="H515" s="233"/>
      <c r="I515" s="233">
        <v>-291711.63</v>
      </c>
      <c r="J515" s="623">
        <v>-173688534.16</v>
      </c>
      <c r="K515" s="624" t="s">
        <v>991</v>
      </c>
      <c r="L515" s="624" t="s">
        <v>4837</v>
      </c>
      <c r="M515" s="624" t="s">
        <v>4838</v>
      </c>
      <c r="N515" s="624" t="s">
        <v>4092</v>
      </c>
      <c r="O515" s="624"/>
      <c r="P515" s="624"/>
    </row>
    <row r="516" spans="1:16">
      <c r="A516" s="231" t="s">
        <v>684</v>
      </c>
      <c r="B516" s="231" t="s">
        <v>1353</v>
      </c>
      <c r="C516" s="618">
        <v>45046</v>
      </c>
      <c r="D516" s="231" t="s">
        <v>4846</v>
      </c>
      <c r="E516" s="231" t="s">
        <v>5073</v>
      </c>
      <c r="F516" s="619"/>
      <c r="G516" s="231" t="s">
        <v>4836</v>
      </c>
      <c r="H516" s="619"/>
      <c r="I516" s="619">
        <v>421.28</v>
      </c>
      <c r="J516" s="620">
        <v>250835.06</v>
      </c>
      <c r="K516" s="621" t="s">
        <v>991</v>
      </c>
      <c r="L516" s="621" t="s">
        <v>4837</v>
      </c>
      <c r="M516" s="621" t="s">
        <v>4838</v>
      </c>
      <c r="N516" s="621" t="s">
        <v>4092</v>
      </c>
      <c r="O516" s="621"/>
      <c r="P516" s="621"/>
    </row>
    <row r="517" spans="1:16">
      <c r="A517" s="232" t="s">
        <v>684</v>
      </c>
      <c r="B517" s="232" t="s">
        <v>1353</v>
      </c>
      <c r="C517" s="622">
        <v>45046</v>
      </c>
      <c r="D517" s="232" t="s">
        <v>4835</v>
      </c>
      <c r="E517" s="231" t="s">
        <v>5073</v>
      </c>
      <c r="F517" s="233"/>
      <c r="G517" s="232" t="s">
        <v>4836</v>
      </c>
      <c r="H517" s="233"/>
      <c r="I517" s="233">
        <v>412775.46999999991</v>
      </c>
      <c r="J517" s="623">
        <v>245771367.84</v>
      </c>
      <c r="K517" s="624" t="s">
        <v>991</v>
      </c>
      <c r="L517" s="624" t="s">
        <v>4837</v>
      </c>
      <c r="M517" s="624" t="s">
        <v>4838</v>
      </c>
      <c r="N517" s="624" t="s">
        <v>4092</v>
      </c>
      <c r="O517" s="624"/>
      <c r="P517" s="624"/>
    </row>
    <row r="518" spans="1:16">
      <c r="A518" s="231" t="s">
        <v>684</v>
      </c>
      <c r="B518" s="231" t="s">
        <v>1353</v>
      </c>
      <c r="C518" s="618">
        <v>45046</v>
      </c>
      <c r="D518" s="231" t="s">
        <v>4840</v>
      </c>
      <c r="E518" s="231" t="s">
        <v>5074</v>
      </c>
      <c r="F518" s="619"/>
      <c r="G518" s="231" t="s">
        <v>4836</v>
      </c>
      <c r="H518" s="619"/>
      <c r="I518" s="619">
        <v>17461.260000000006</v>
      </c>
      <c r="J518" s="620">
        <v>10396639.5</v>
      </c>
      <c r="K518" s="621" t="s">
        <v>991</v>
      </c>
      <c r="L518" s="621" t="s">
        <v>4837</v>
      </c>
      <c r="M518" s="621" t="s">
        <v>4838</v>
      </c>
      <c r="N518" s="621" t="s">
        <v>4092</v>
      </c>
      <c r="O518" s="621"/>
      <c r="P518" s="621"/>
    </row>
    <row r="519" spans="1:16">
      <c r="A519" s="232" t="s">
        <v>684</v>
      </c>
      <c r="B519" s="232" t="s">
        <v>1353</v>
      </c>
      <c r="C519" s="622">
        <v>45046</v>
      </c>
      <c r="D519" s="232" t="s">
        <v>4843</v>
      </c>
      <c r="E519" s="231" t="s">
        <v>5074</v>
      </c>
      <c r="F519" s="233"/>
      <c r="G519" s="232" t="s">
        <v>4836</v>
      </c>
      <c r="H519" s="233"/>
      <c r="I519" s="233">
        <v>-551596.47</v>
      </c>
      <c r="J519" s="623">
        <v>-328427023.35000002</v>
      </c>
      <c r="K519" s="624" t="s">
        <v>991</v>
      </c>
      <c r="L519" s="624" t="s">
        <v>4837</v>
      </c>
      <c r="M519" s="624" t="s">
        <v>4838</v>
      </c>
      <c r="N519" s="624" t="s">
        <v>4092</v>
      </c>
      <c r="O519" s="624"/>
      <c r="P519" s="624"/>
    </row>
    <row r="520" spans="1:16">
      <c r="A520" s="231" t="s">
        <v>684</v>
      </c>
      <c r="B520" s="231" t="s">
        <v>1353</v>
      </c>
      <c r="C520" s="618">
        <v>45046</v>
      </c>
      <c r="D520" s="231" t="s">
        <v>4839</v>
      </c>
      <c r="E520" s="231" t="s">
        <v>5073</v>
      </c>
      <c r="F520" s="619"/>
      <c r="G520" s="231" t="s">
        <v>4836</v>
      </c>
      <c r="H520" s="619"/>
      <c r="I520" s="619">
        <v>-36186.04</v>
      </c>
      <c r="J520" s="620">
        <v>-21545593.66</v>
      </c>
      <c r="K520" s="621" t="s">
        <v>991</v>
      </c>
      <c r="L520" s="621" t="s">
        <v>4837</v>
      </c>
      <c r="M520" s="621" t="s">
        <v>4838</v>
      </c>
      <c r="N520" s="621" t="s">
        <v>4092</v>
      </c>
      <c r="O520" s="621"/>
      <c r="P520" s="621"/>
    </row>
    <row r="521" spans="1:16">
      <c r="A521" s="232" t="s">
        <v>684</v>
      </c>
      <c r="B521" s="232" t="s">
        <v>1353</v>
      </c>
      <c r="C521" s="622">
        <v>45046</v>
      </c>
      <c r="D521" s="232" t="s">
        <v>4841</v>
      </c>
      <c r="E521" s="231" t="s">
        <v>5073</v>
      </c>
      <c r="F521" s="233"/>
      <c r="G521" s="232" t="s">
        <v>4836</v>
      </c>
      <c r="H521" s="233"/>
      <c r="I521" s="233">
        <v>-33714.14</v>
      </c>
      <c r="J521" s="623">
        <v>-20073795.329999998</v>
      </c>
      <c r="K521" s="624" t="s">
        <v>991</v>
      </c>
      <c r="L521" s="624" t="s">
        <v>4837</v>
      </c>
      <c r="M521" s="624" t="s">
        <v>4838</v>
      </c>
      <c r="N521" s="624" t="s">
        <v>4092</v>
      </c>
      <c r="O521" s="624"/>
      <c r="P521" s="624"/>
    </row>
    <row r="522" spans="1:16">
      <c r="A522" s="231" t="s">
        <v>684</v>
      </c>
      <c r="B522" s="231" t="s">
        <v>1353</v>
      </c>
      <c r="C522" s="618">
        <v>45046</v>
      </c>
      <c r="D522" s="231" t="s">
        <v>4844</v>
      </c>
      <c r="E522" s="231"/>
      <c r="F522" s="619"/>
      <c r="G522" s="231" t="s">
        <v>4836</v>
      </c>
      <c r="H522" s="619"/>
      <c r="I522" s="619">
        <v>-497049.85000000003</v>
      </c>
      <c r="J522" s="620">
        <v>-295949324.50999999</v>
      </c>
      <c r="K522" s="621" t="s">
        <v>991</v>
      </c>
      <c r="L522" s="621" t="s">
        <v>4837</v>
      </c>
      <c r="M522" s="621" t="s">
        <v>4838</v>
      </c>
      <c r="N522" s="621" t="s">
        <v>4092</v>
      </c>
      <c r="O522" s="621"/>
      <c r="P522" s="621"/>
    </row>
    <row r="523" spans="1:16">
      <c r="A523" s="232" t="s">
        <v>684</v>
      </c>
      <c r="B523" s="232" t="s">
        <v>1353</v>
      </c>
      <c r="C523" s="622">
        <v>45046</v>
      </c>
      <c r="D523" s="232" t="s">
        <v>4842</v>
      </c>
      <c r="E523" s="231" t="s">
        <v>5073</v>
      </c>
      <c r="F523" s="233"/>
      <c r="G523" s="232" t="s">
        <v>4836</v>
      </c>
      <c r="H523" s="233"/>
      <c r="I523" s="233">
        <v>291711.63</v>
      </c>
      <c r="J523" s="623">
        <v>175998135.71000001</v>
      </c>
      <c r="K523" s="624" t="s">
        <v>991</v>
      </c>
      <c r="L523" s="624" t="s">
        <v>4837</v>
      </c>
      <c r="M523" s="624" t="s">
        <v>4838</v>
      </c>
      <c r="N523" s="624" t="s">
        <v>4092</v>
      </c>
      <c r="O523" s="624"/>
      <c r="P523" s="624"/>
    </row>
    <row r="524" spans="1:16">
      <c r="A524" s="231" t="s">
        <v>684</v>
      </c>
      <c r="B524" s="231" t="s">
        <v>1353</v>
      </c>
      <c r="C524" s="618">
        <v>45046</v>
      </c>
      <c r="D524" s="231" t="s">
        <v>4835</v>
      </c>
      <c r="E524" s="231" t="s">
        <v>5073</v>
      </c>
      <c r="F524" s="619"/>
      <c r="G524" s="231" t="s">
        <v>4836</v>
      </c>
      <c r="H524" s="619"/>
      <c r="I524" s="619">
        <v>-412694.06</v>
      </c>
      <c r="J524" s="620">
        <v>-248990364.83000001</v>
      </c>
      <c r="K524" s="621" t="s">
        <v>991</v>
      </c>
      <c r="L524" s="621" t="s">
        <v>4837</v>
      </c>
      <c r="M524" s="621" t="s">
        <v>4838</v>
      </c>
      <c r="N524" s="621" t="s">
        <v>4092</v>
      </c>
      <c r="O524" s="621"/>
      <c r="P524" s="621"/>
    </row>
    <row r="525" spans="1:16">
      <c r="A525" s="232" t="s">
        <v>684</v>
      </c>
      <c r="B525" s="232" t="s">
        <v>1353</v>
      </c>
      <c r="C525" s="622">
        <v>45046</v>
      </c>
      <c r="D525" s="232" t="s">
        <v>4840</v>
      </c>
      <c r="E525" s="231" t="s">
        <v>5074</v>
      </c>
      <c r="F525" s="233"/>
      <c r="G525" s="232" t="s">
        <v>4836</v>
      </c>
      <c r="H525" s="233"/>
      <c r="I525" s="233">
        <v>118864.56</v>
      </c>
      <c r="J525" s="623">
        <v>71714456.370000005</v>
      </c>
      <c r="K525" s="624" t="s">
        <v>991</v>
      </c>
      <c r="L525" s="624" t="s">
        <v>4837</v>
      </c>
      <c r="M525" s="624" t="s">
        <v>4838</v>
      </c>
      <c r="N525" s="624" t="s">
        <v>4092</v>
      </c>
      <c r="O525" s="624"/>
      <c r="P525" s="624"/>
    </row>
    <row r="526" spans="1:16">
      <c r="A526" s="231" t="s">
        <v>684</v>
      </c>
      <c r="B526" s="231" t="s">
        <v>1353</v>
      </c>
      <c r="C526" s="618">
        <v>45046</v>
      </c>
      <c r="D526" s="231" t="s">
        <v>4843</v>
      </c>
      <c r="E526" s="231" t="s">
        <v>5074</v>
      </c>
      <c r="F526" s="619"/>
      <c r="G526" s="231" t="s">
        <v>4836</v>
      </c>
      <c r="H526" s="619"/>
      <c r="I526" s="619">
        <v>710073.78390000004</v>
      </c>
      <c r="J526" s="620">
        <v>428408224.57999998</v>
      </c>
      <c r="K526" s="621" t="s">
        <v>991</v>
      </c>
      <c r="L526" s="621" t="s">
        <v>4837</v>
      </c>
      <c r="M526" s="621" t="s">
        <v>4838</v>
      </c>
      <c r="N526" s="621" t="s">
        <v>4092</v>
      </c>
      <c r="O526" s="621"/>
      <c r="P526" s="621"/>
    </row>
    <row r="527" spans="1:16">
      <c r="A527" s="232" t="s">
        <v>684</v>
      </c>
      <c r="B527" s="232" t="s">
        <v>1353</v>
      </c>
      <c r="C527" s="622">
        <v>45046</v>
      </c>
      <c r="D527" s="232" t="s">
        <v>4839</v>
      </c>
      <c r="E527" s="231" t="s">
        <v>5073</v>
      </c>
      <c r="F527" s="233"/>
      <c r="G527" s="232" t="s">
        <v>4836</v>
      </c>
      <c r="H527" s="233"/>
      <c r="I527" s="233">
        <v>59493.53</v>
      </c>
      <c r="J527" s="623">
        <v>35894182.100000001</v>
      </c>
      <c r="K527" s="624" t="s">
        <v>991</v>
      </c>
      <c r="L527" s="624" t="s">
        <v>4837</v>
      </c>
      <c r="M527" s="624" t="s">
        <v>4838</v>
      </c>
      <c r="N527" s="624" t="s">
        <v>4092</v>
      </c>
      <c r="O527" s="624"/>
      <c r="P527" s="624"/>
    </row>
    <row r="528" spans="1:16">
      <c r="A528" s="231" t="s">
        <v>684</v>
      </c>
      <c r="B528" s="231" t="s">
        <v>1353</v>
      </c>
      <c r="C528" s="618">
        <v>45046</v>
      </c>
      <c r="D528" s="231" t="s">
        <v>4841</v>
      </c>
      <c r="E528" s="231" t="s">
        <v>5073</v>
      </c>
      <c r="F528" s="619"/>
      <c r="G528" s="231" t="s">
        <v>4836</v>
      </c>
      <c r="H528" s="619"/>
      <c r="I528" s="619">
        <v>90805.34</v>
      </c>
      <c r="J528" s="620">
        <v>54785510.450000003</v>
      </c>
      <c r="K528" s="621" t="s">
        <v>991</v>
      </c>
      <c r="L528" s="621" t="s">
        <v>4837</v>
      </c>
      <c r="M528" s="621" t="s">
        <v>4838</v>
      </c>
      <c r="N528" s="621" t="s">
        <v>4092</v>
      </c>
      <c r="O528" s="621"/>
      <c r="P528" s="621"/>
    </row>
    <row r="529" spans="1:16">
      <c r="A529" s="232" t="s">
        <v>684</v>
      </c>
      <c r="B529" s="232" t="s">
        <v>1353</v>
      </c>
      <c r="C529" s="622">
        <v>45046</v>
      </c>
      <c r="D529" s="232" t="s">
        <v>4844</v>
      </c>
      <c r="E529" s="232"/>
      <c r="F529" s="233"/>
      <c r="G529" s="232" t="s">
        <v>4836</v>
      </c>
      <c r="H529" s="233"/>
      <c r="I529" s="233">
        <v>231054.03</v>
      </c>
      <c r="J529" s="623">
        <v>139401636.22999999</v>
      </c>
      <c r="K529" s="624" t="s">
        <v>991</v>
      </c>
      <c r="L529" s="624" t="s">
        <v>4837</v>
      </c>
      <c r="M529" s="624" t="s">
        <v>4838</v>
      </c>
      <c r="N529" s="624" t="s">
        <v>4092</v>
      </c>
      <c r="O529" s="624"/>
      <c r="P529" s="624"/>
    </row>
    <row r="530" spans="1:16">
      <c r="A530" s="231" t="s">
        <v>684</v>
      </c>
      <c r="B530" s="231" t="s">
        <v>1353</v>
      </c>
      <c r="C530" s="618">
        <v>45046</v>
      </c>
      <c r="D530" s="231" t="s">
        <v>4840</v>
      </c>
      <c r="E530" s="231" t="s">
        <v>5074</v>
      </c>
      <c r="F530" s="619"/>
      <c r="G530" s="231" t="s">
        <v>4836</v>
      </c>
      <c r="H530" s="619"/>
      <c r="I530" s="619">
        <v>-45984.772130000099</v>
      </c>
      <c r="J530" s="620">
        <v>-27635078.129999999</v>
      </c>
      <c r="K530" s="621" t="s">
        <v>991</v>
      </c>
      <c r="L530" s="621" t="s">
        <v>4837</v>
      </c>
      <c r="M530" s="621" t="s">
        <v>4838</v>
      </c>
      <c r="N530" s="621" t="s">
        <v>4092</v>
      </c>
      <c r="O530" s="621"/>
      <c r="P530" s="621"/>
    </row>
    <row r="531" spans="1:16">
      <c r="A531" s="232" t="s">
        <v>684</v>
      </c>
      <c r="B531" s="232" t="s">
        <v>1353</v>
      </c>
      <c r="C531" s="622">
        <v>45047</v>
      </c>
      <c r="D531" s="232" t="s">
        <v>4835</v>
      </c>
      <c r="E531" s="231" t="s">
        <v>5073</v>
      </c>
      <c r="F531" s="233">
        <v>12000.987999999999</v>
      </c>
      <c r="G531" s="232" t="s">
        <v>4836</v>
      </c>
      <c r="H531" s="233">
        <v>329.8</v>
      </c>
      <c r="I531" s="233">
        <v>3957925.84</v>
      </c>
      <c r="J531" s="623">
        <v>2355908238.0999999</v>
      </c>
      <c r="K531" s="624" t="s">
        <v>991</v>
      </c>
      <c r="L531" s="624" t="s">
        <v>4837</v>
      </c>
      <c r="M531" s="624" t="s">
        <v>4838</v>
      </c>
      <c r="N531" s="624" t="s">
        <v>4092</v>
      </c>
      <c r="O531" s="624"/>
      <c r="P531" s="624"/>
    </row>
    <row r="532" spans="1:16">
      <c r="A532" s="231" t="s">
        <v>684</v>
      </c>
      <c r="B532" s="231" t="s">
        <v>1353</v>
      </c>
      <c r="C532" s="618">
        <v>45047</v>
      </c>
      <c r="D532" s="231" t="s">
        <v>4843</v>
      </c>
      <c r="E532" s="231" t="s">
        <v>5074</v>
      </c>
      <c r="F532" s="619">
        <v>80.016999999999996</v>
      </c>
      <c r="G532" s="231" t="s">
        <v>4836</v>
      </c>
      <c r="H532" s="619">
        <v>2062.75</v>
      </c>
      <c r="I532" s="619">
        <v>163970.84</v>
      </c>
      <c r="J532" s="620">
        <v>97601690.480000004</v>
      </c>
      <c r="K532" s="621" t="s">
        <v>991</v>
      </c>
      <c r="L532" s="621" t="s">
        <v>4837</v>
      </c>
      <c r="M532" s="621" t="s">
        <v>4838</v>
      </c>
      <c r="N532" s="621" t="s">
        <v>4092</v>
      </c>
      <c r="O532" s="621"/>
      <c r="P532" s="621"/>
    </row>
    <row r="533" spans="1:16">
      <c r="A533" s="232" t="s">
        <v>684</v>
      </c>
      <c r="B533" s="232" t="s">
        <v>1353</v>
      </c>
      <c r="C533" s="622">
        <v>45052</v>
      </c>
      <c r="D533" s="232" t="s">
        <v>4839</v>
      </c>
      <c r="E533" s="231" t="s">
        <v>5073</v>
      </c>
      <c r="F533" s="233">
        <v>60</v>
      </c>
      <c r="G533" s="232" t="s">
        <v>4836</v>
      </c>
      <c r="H533" s="233">
        <v>1992.7</v>
      </c>
      <c r="I533" s="233">
        <v>119561.7</v>
      </c>
      <c r="J533" s="623">
        <v>70042003.519999996</v>
      </c>
      <c r="K533" s="624" t="s">
        <v>991</v>
      </c>
      <c r="L533" s="624" t="s">
        <v>4837</v>
      </c>
      <c r="M533" s="624" t="s">
        <v>4838</v>
      </c>
      <c r="N533" s="624" t="s">
        <v>4092</v>
      </c>
      <c r="O533" s="624"/>
      <c r="P533" s="624"/>
    </row>
    <row r="534" spans="1:16">
      <c r="A534" s="231" t="s">
        <v>684</v>
      </c>
      <c r="B534" s="231" t="s">
        <v>1353</v>
      </c>
      <c r="C534" s="618">
        <v>45055</v>
      </c>
      <c r="D534" s="231" t="s">
        <v>4843</v>
      </c>
      <c r="E534" s="231" t="s">
        <v>5074</v>
      </c>
      <c r="F534" s="619">
        <v>176.23</v>
      </c>
      <c r="G534" s="231" t="s">
        <v>4836</v>
      </c>
      <c r="H534" s="619">
        <v>2105.38</v>
      </c>
      <c r="I534" s="619">
        <v>371033.22</v>
      </c>
      <c r="J534" s="620">
        <v>222175580.84</v>
      </c>
      <c r="K534" s="621" t="s">
        <v>991</v>
      </c>
      <c r="L534" s="621" t="s">
        <v>4837</v>
      </c>
      <c r="M534" s="621" t="s">
        <v>4838</v>
      </c>
      <c r="N534" s="621" t="s">
        <v>4092</v>
      </c>
      <c r="O534" s="621"/>
      <c r="P534" s="621"/>
    </row>
    <row r="535" spans="1:16">
      <c r="A535" s="232" t="s">
        <v>684</v>
      </c>
      <c r="B535" s="232" t="s">
        <v>1353</v>
      </c>
      <c r="C535" s="622">
        <v>45061</v>
      </c>
      <c r="D535" s="232" t="s">
        <v>4843</v>
      </c>
      <c r="E535" s="231" t="s">
        <v>5074</v>
      </c>
      <c r="F535" s="233">
        <v>308.43124999999998</v>
      </c>
      <c r="G535" s="232" t="s">
        <v>4836</v>
      </c>
      <c r="H535" s="233">
        <v>2142.88</v>
      </c>
      <c r="I535" s="233">
        <v>660937.05000000005</v>
      </c>
      <c r="J535" s="623">
        <v>398635132.69</v>
      </c>
      <c r="K535" s="624" t="s">
        <v>991</v>
      </c>
      <c r="L535" s="624" t="s">
        <v>4837</v>
      </c>
      <c r="M535" s="624" t="s">
        <v>4838</v>
      </c>
      <c r="N535" s="624" t="s">
        <v>4092</v>
      </c>
      <c r="O535" s="624"/>
      <c r="P535" s="624"/>
    </row>
    <row r="536" spans="1:16">
      <c r="A536" s="231" t="s">
        <v>684</v>
      </c>
      <c r="B536" s="231" t="s">
        <v>1353</v>
      </c>
      <c r="C536" s="618">
        <v>45063</v>
      </c>
      <c r="D536" s="231" t="s">
        <v>4843</v>
      </c>
      <c r="E536" s="231" t="s">
        <v>5074</v>
      </c>
      <c r="F536" s="619"/>
      <c r="G536" s="231" t="s">
        <v>4836</v>
      </c>
      <c r="H536" s="619"/>
      <c r="I536" s="619">
        <v>1084.23</v>
      </c>
      <c r="J536" s="620">
        <v>656711.07999999996</v>
      </c>
      <c r="K536" s="621" t="s">
        <v>991</v>
      </c>
      <c r="L536" s="621" t="s">
        <v>4837</v>
      </c>
      <c r="M536" s="621" t="s">
        <v>4838</v>
      </c>
      <c r="N536" s="621" t="s">
        <v>4092</v>
      </c>
      <c r="O536" s="621"/>
      <c r="P536" s="621"/>
    </row>
    <row r="537" spans="1:16">
      <c r="A537" s="232" t="s">
        <v>684</v>
      </c>
      <c r="B537" s="232" t="s">
        <v>1353</v>
      </c>
      <c r="C537" s="622">
        <v>45064</v>
      </c>
      <c r="D537" s="232" t="s">
        <v>4840</v>
      </c>
      <c r="E537" s="231" t="s">
        <v>5074</v>
      </c>
      <c r="F537" s="233">
        <v>66.055000000000007</v>
      </c>
      <c r="G537" s="232" t="s">
        <v>4836</v>
      </c>
      <c r="H537" s="233">
        <v>1924.9</v>
      </c>
      <c r="I537" s="233">
        <v>127151.19</v>
      </c>
      <c r="J537" s="623">
        <v>77389646.989999995</v>
      </c>
      <c r="K537" s="624" t="s">
        <v>991</v>
      </c>
      <c r="L537" s="624" t="s">
        <v>4837</v>
      </c>
      <c r="M537" s="624" t="s">
        <v>4838</v>
      </c>
      <c r="N537" s="624" t="s">
        <v>4092</v>
      </c>
      <c r="O537" s="624"/>
      <c r="P537" s="624"/>
    </row>
    <row r="538" spans="1:16">
      <c r="A538" s="231" t="s">
        <v>684</v>
      </c>
      <c r="B538" s="231" t="s">
        <v>1353</v>
      </c>
      <c r="C538" s="618">
        <v>45064</v>
      </c>
      <c r="D538" s="231" t="s">
        <v>4840</v>
      </c>
      <c r="E538" s="231" t="s">
        <v>5074</v>
      </c>
      <c r="F538" s="619">
        <v>154.11750000000001</v>
      </c>
      <c r="G538" s="231" t="s">
        <v>4836</v>
      </c>
      <c r="H538" s="619">
        <v>1973.4</v>
      </c>
      <c r="I538" s="619">
        <v>304138.43</v>
      </c>
      <c r="J538" s="620">
        <v>185111643.34</v>
      </c>
      <c r="K538" s="621" t="s">
        <v>991</v>
      </c>
      <c r="L538" s="621" t="s">
        <v>4837</v>
      </c>
      <c r="M538" s="621" t="s">
        <v>4838</v>
      </c>
      <c r="N538" s="621" t="s">
        <v>4092</v>
      </c>
      <c r="O538" s="621"/>
      <c r="P538" s="621"/>
    </row>
    <row r="539" spans="1:16">
      <c r="A539" s="232" t="s">
        <v>684</v>
      </c>
      <c r="B539" s="232" t="s">
        <v>1353</v>
      </c>
      <c r="C539" s="622">
        <v>45064</v>
      </c>
      <c r="D539" s="232" t="s">
        <v>4840</v>
      </c>
      <c r="E539" s="231" t="s">
        <v>5074</v>
      </c>
      <c r="F539" s="233">
        <v>396.32</v>
      </c>
      <c r="G539" s="232" t="s">
        <v>4836</v>
      </c>
      <c r="H539" s="233">
        <v>1973.4</v>
      </c>
      <c r="I539" s="233">
        <v>782109.73</v>
      </c>
      <c r="J539" s="623">
        <v>476025398.66000003</v>
      </c>
      <c r="K539" s="624" t="s">
        <v>991</v>
      </c>
      <c r="L539" s="624" t="s">
        <v>4837</v>
      </c>
      <c r="M539" s="624" t="s">
        <v>4838</v>
      </c>
      <c r="N539" s="624" t="s">
        <v>4092</v>
      </c>
      <c r="O539" s="624"/>
      <c r="P539" s="624"/>
    </row>
    <row r="540" spans="1:16">
      <c r="A540" s="231" t="s">
        <v>684</v>
      </c>
      <c r="B540" s="231" t="s">
        <v>1353</v>
      </c>
      <c r="C540" s="618">
        <v>45064</v>
      </c>
      <c r="D540" s="231" t="s">
        <v>4843</v>
      </c>
      <c r="E540" s="231" t="s">
        <v>5074</v>
      </c>
      <c r="F540" s="619">
        <v>176.14750000000001</v>
      </c>
      <c r="G540" s="231" t="s">
        <v>4836</v>
      </c>
      <c r="H540" s="619">
        <v>2109.1999999999998</v>
      </c>
      <c r="I540" s="619">
        <v>371535.58</v>
      </c>
      <c r="J540" s="620">
        <v>226132428.47999999</v>
      </c>
      <c r="K540" s="621" t="s">
        <v>991</v>
      </c>
      <c r="L540" s="621" t="s">
        <v>4837</v>
      </c>
      <c r="M540" s="621" t="s">
        <v>4838</v>
      </c>
      <c r="N540" s="621" t="s">
        <v>4092</v>
      </c>
      <c r="O540" s="621"/>
      <c r="P540" s="621"/>
    </row>
    <row r="541" spans="1:16">
      <c r="A541" s="232" t="s">
        <v>684</v>
      </c>
      <c r="B541" s="232" t="s">
        <v>1353</v>
      </c>
      <c r="C541" s="622">
        <v>45067</v>
      </c>
      <c r="D541" s="232" t="s">
        <v>4840</v>
      </c>
      <c r="E541" s="231" t="s">
        <v>5074</v>
      </c>
      <c r="F541" s="233">
        <v>154.14750000000001</v>
      </c>
      <c r="G541" s="232" t="s">
        <v>4836</v>
      </c>
      <c r="H541" s="233">
        <v>2048.56</v>
      </c>
      <c r="I541" s="233">
        <v>315781.43</v>
      </c>
      <c r="J541" s="623">
        <v>191498744.69</v>
      </c>
      <c r="K541" s="624" t="s">
        <v>991</v>
      </c>
      <c r="L541" s="624" t="s">
        <v>4837</v>
      </c>
      <c r="M541" s="624" t="s">
        <v>4838</v>
      </c>
      <c r="N541" s="624" t="s">
        <v>4092</v>
      </c>
      <c r="O541" s="624"/>
      <c r="P541" s="624"/>
    </row>
    <row r="542" spans="1:16">
      <c r="A542" s="231" t="s">
        <v>684</v>
      </c>
      <c r="B542" s="231" t="s">
        <v>1353</v>
      </c>
      <c r="C542" s="618">
        <v>45067</v>
      </c>
      <c r="D542" s="231" t="s">
        <v>4843</v>
      </c>
      <c r="E542" s="231" t="s">
        <v>5074</v>
      </c>
      <c r="F542" s="619">
        <v>119.99</v>
      </c>
      <c r="G542" s="231" t="s">
        <v>4836</v>
      </c>
      <c r="H542" s="619">
        <v>2062.0500000000002</v>
      </c>
      <c r="I542" s="619">
        <v>247425.38</v>
      </c>
      <c r="J542" s="620">
        <v>150045712.55000001</v>
      </c>
      <c r="K542" s="621" t="s">
        <v>991</v>
      </c>
      <c r="L542" s="621" t="s">
        <v>4837</v>
      </c>
      <c r="M542" s="621" t="s">
        <v>4838</v>
      </c>
      <c r="N542" s="621" t="s">
        <v>4092</v>
      </c>
      <c r="O542" s="621"/>
      <c r="P542" s="621"/>
    </row>
    <row r="543" spans="1:16">
      <c r="A543" s="232" t="s">
        <v>684</v>
      </c>
      <c r="B543" s="232" t="s">
        <v>1353</v>
      </c>
      <c r="C543" s="622">
        <v>45067</v>
      </c>
      <c r="D543" s="232" t="s">
        <v>4843</v>
      </c>
      <c r="E543" s="231" t="s">
        <v>5074</v>
      </c>
      <c r="F543" s="233">
        <v>198.227</v>
      </c>
      <c r="G543" s="232" t="s">
        <v>4836</v>
      </c>
      <c r="H543" s="233">
        <v>2149.4699999999998</v>
      </c>
      <c r="I543" s="233">
        <v>426085.14</v>
      </c>
      <c r="J543" s="623">
        <v>258390018.19</v>
      </c>
      <c r="K543" s="624" t="s">
        <v>991</v>
      </c>
      <c r="L543" s="624" t="s">
        <v>4837</v>
      </c>
      <c r="M543" s="624" t="s">
        <v>4838</v>
      </c>
      <c r="N543" s="624" t="s">
        <v>4092</v>
      </c>
      <c r="O543" s="624"/>
      <c r="P543" s="624"/>
    </row>
    <row r="544" spans="1:16">
      <c r="A544" s="231" t="s">
        <v>684</v>
      </c>
      <c r="B544" s="231" t="s">
        <v>1353</v>
      </c>
      <c r="C544" s="618">
        <v>45067</v>
      </c>
      <c r="D544" s="231" t="s">
        <v>4843</v>
      </c>
      <c r="E544" s="231" t="s">
        <v>5074</v>
      </c>
      <c r="F544" s="619">
        <v>110.1495</v>
      </c>
      <c r="G544" s="231" t="s">
        <v>4836</v>
      </c>
      <c r="H544" s="619">
        <v>2174.66</v>
      </c>
      <c r="I544" s="619">
        <v>239540.97</v>
      </c>
      <c r="J544" s="620">
        <v>145264384.47999999</v>
      </c>
      <c r="K544" s="621" t="s">
        <v>991</v>
      </c>
      <c r="L544" s="621" t="s">
        <v>4837</v>
      </c>
      <c r="M544" s="621" t="s">
        <v>4838</v>
      </c>
      <c r="N544" s="621" t="s">
        <v>4092</v>
      </c>
      <c r="O544" s="621"/>
      <c r="P544" s="621"/>
    </row>
    <row r="545" spans="1:16">
      <c r="A545" s="232" t="s">
        <v>684</v>
      </c>
      <c r="B545" s="232" t="s">
        <v>1353</v>
      </c>
      <c r="C545" s="622">
        <v>45067</v>
      </c>
      <c r="D545" s="232" t="s">
        <v>4843</v>
      </c>
      <c r="E545" s="231" t="s">
        <v>5074</v>
      </c>
      <c r="F545" s="233">
        <v>110.11199999999999</v>
      </c>
      <c r="G545" s="232" t="s">
        <v>4836</v>
      </c>
      <c r="H545" s="233">
        <v>2162.5500000000002</v>
      </c>
      <c r="I545" s="233">
        <v>238124.87</v>
      </c>
      <c r="J545" s="623">
        <v>144405621.59</v>
      </c>
      <c r="K545" s="624" t="s">
        <v>991</v>
      </c>
      <c r="L545" s="624" t="s">
        <v>4837</v>
      </c>
      <c r="M545" s="624" t="s">
        <v>4838</v>
      </c>
      <c r="N545" s="624" t="s">
        <v>4092</v>
      </c>
      <c r="O545" s="624"/>
      <c r="P545" s="624"/>
    </row>
    <row r="546" spans="1:16">
      <c r="A546" s="231" t="s">
        <v>684</v>
      </c>
      <c r="B546" s="231" t="s">
        <v>1353</v>
      </c>
      <c r="C546" s="618">
        <v>45067</v>
      </c>
      <c r="D546" s="231" t="s">
        <v>4843</v>
      </c>
      <c r="E546" s="231" t="s">
        <v>5074</v>
      </c>
      <c r="F546" s="619">
        <v>198.14500000000001</v>
      </c>
      <c r="G546" s="231" t="s">
        <v>4836</v>
      </c>
      <c r="H546" s="619">
        <v>2149.4699999999998</v>
      </c>
      <c r="I546" s="619">
        <v>425911.03</v>
      </c>
      <c r="J546" s="620">
        <v>258284432.99000001</v>
      </c>
      <c r="K546" s="621" t="s">
        <v>991</v>
      </c>
      <c r="L546" s="621" t="s">
        <v>4837</v>
      </c>
      <c r="M546" s="621" t="s">
        <v>4838</v>
      </c>
      <c r="N546" s="621" t="s">
        <v>4092</v>
      </c>
      <c r="O546" s="621"/>
      <c r="P546" s="621"/>
    </row>
    <row r="547" spans="1:16">
      <c r="A547" s="232" t="s">
        <v>684</v>
      </c>
      <c r="B547" s="232" t="s">
        <v>1353</v>
      </c>
      <c r="C547" s="622">
        <v>45067</v>
      </c>
      <c r="D547" s="232" t="s">
        <v>4843</v>
      </c>
      <c r="E547" s="231" t="s">
        <v>5074</v>
      </c>
      <c r="F547" s="233">
        <v>44.057499999999997</v>
      </c>
      <c r="G547" s="232" t="s">
        <v>4836</v>
      </c>
      <c r="H547" s="233">
        <v>2088.23</v>
      </c>
      <c r="I547" s="233">
        <v>92003.24</v>
      </c>
      <c r="J547" s="623">
        <v>55793353.549999997</v>
      </c>
      <c r="K547" s="624" t="s">
        <v>991</v>
      </c>
      <c r="L547" s="624" t="s">
        <v>4837</v>
      </c>
      <c r="M547" s="624" t="s">
        <v>4838</v>
      </c>
      <c r="N547" s="624" t="s">
        <v>4092</v>
      </c>
      <c r="O547" s="624"/>
      <c r="P547" s="624"/>
    </row>
    <row r="548" spans="1:16">
      <c r="A548" s="231" t="s">
        <v>684</v>
      </c>
      <c r="B548" s="231" t="s">
        <v>1353</v>
      </c>
      <c r="C548" s="618">
        <v>45067</v>
      </c>
      <c r="D548" s="231" t="s">
        <v>4843</v>
      </c>
      <c r="E548" s="231" t="s">
        <v>5074</v>
      </c>
      <c r="F548" s="619">
        <v>40.005000000000003</v>
      </c>
      <c r="G548" s="231" t="s">
        <v>4836</v>
      </c>
      <c r="H548" s="619">
        <v>2122.0500000000002</v>
      </c>
      <c r="I548" s="619">
        <v>84892.61</v>
      </c>
      <c r="J548" s="620">
        <v>51481267.43</v>
      </c>
      <c r="K548" s="621" t="s">
        <v>991</v>
      </c>
      <c r="L548" s="621" t="s">
        <v>4837</v>
      </c>
      <c r="M548" s="621" t="s">
        <v>4838</v>
      </c>
      <c r="N548" s="621" t="s">
        <v>4092</v>
      </c>
      <c r="O548" s="621"/>
      <c r="P548" s="621"/>
    </row>
    <row r="549" spans="1:16">
      <c r="A549" s="232" t="s">
        <v>684</v>
      </c>
      <c r="B549" s="232" t="s">
        <v>1353</v>
      </c>
      <c r="C549" s="622">
        <v>45067</v>
      </c>
      <c r="D549" s="232" t="s">
        <v>4839</v>
      </c>
      <c r="E549" s="231" t="s">
        <v>5073</v>
      </c>
      <c r="F549" s="233">
        <v>40</v>
      </c>
      <c r="G549" s="232" t="s">
        <v>4836</v>
      </c>
      <c r="H549" s="233">
        <v>2018.4</v>
      </c>
      <c r="I549" s="233">
        <v>80736</v>
      </c>
      <c r="J549" s="623">
        <v>48960582.170000002</v>
      </c>
      <c r="K549" s="624" t="s">
        <v>991</v>
      </c>
      <c r="L549" s="624" t="s">
        <v>4837</v>
      </c>
      <c r="M549" s="624" t="s">
        <v>4838</v>
      </c>
      <c r="N549" s="624" t="s">
        <v>4092</v>
      </c>
      <c r="O549" s="624"/>
      <c r="P549" s="624"/>
    </row>
    <row r="550" spans="1:16">
      <c r="A550" s="231" t="s">
        <v>684</v>
      </c>
      <c r="B550" s="231" t="s">
        <v>1353</v>
      </c>
      <c r="C550" s="618">
        <v>45067</v>
      </c>
      <c r="D550" s="231" t="s">
        <v>4839</v>
      </c>
      <c r="E550" s="231" t="s">
        <v>5073</v>
      </c>
      <c r="F550" s="619">
        <v>80</v>
      </c>
      <c r="G550" s="231" t="s">
        <v>4836</v>
      </c>
      <c r="H550" s="619">
        <v>2018.4</v>
      </c>
      <c r="I550" s="619">
        <v>161472</v>
      </c>
      <c r="J550" s="620">
        <v>97921164.340000004</v>
      </c>
      <c r="K550" s="621" t="s">
        <v>991</v>
      </c>
      <c r="L550" s="621" t="s">
        <v>4837</v>
      </c>
      <c r="M550" s="621" t="s">
        <v>4838</v>
      </c>
      <c r="N550" s="621" t="s">
        <v>4092</v>
      </c>
      <c r="O550" s="621"/>
      <c r="P550" s="621"/>
    </row>
    <row r="551" spans="1:16">
      <c r="A551" s="232" t="s">
        <v>684</v>
      </c>
      <c r="B551" s="232" t="s">
        <v>1353</v>
      </c>
      <c r="C551" s="622">
        <v>45067</v>
      </c>
      <c r="D551" s="232" t="s">
        <v>4844</v>
      </c>
      <c r="E551" s="232"/>
      <c r="F551" s="233">
        <v>925.173</v>
      </c>
      <c r="G551" s="232" t="s">
        <v>4836</v>
      </c>
      <c r="H551" s="233">
        <v>273.85000000000002</v>
      </c>
      <c r="I551" s="233">
        <v>253361.41</v>
      </c>
      <c r="J551" s="623">
        <v>153645488.16999999</v>
      </c>
      <c r="K551" s="624" t="s">
        <v>991</v>
      </c>
      <c r="L551" s="624" t="s">
        <v>4837</v>
      </c>
      <c r="M551" s="624" t="s">
        <v>4838</v>
      </c>
      <c r="N551" s="624" t="s">
        <v>4092</v>
      </c>
      <c r="O551" s="624"/>
      <c r="P551" s="624"/>
    </row>
    <row r="552" spans="1:16">
      <c r="A552" s="231" t="s">
        <v>684</v>
      </c>
      <c r="B552" s="231" t="s">
        <v>1353</v>
      </c>
      <c r="C552" s="618">
        <v>45067</v>
      </c>
      <c r="D552" s="231" t="s">
        <v>4841</v>
      </c>
      <c r="E552" s="231" t="s">
        <v>5073</v>
      </c>
      <c r="F552" s="619">
        <v>40</v>
      </c>
      <c r="G552" s="231" t="s">
        <v>4836</v>
      </c>
      <c r="H552" s="619">
        <v>1503.3</v>
      </c>
      <c r="I552" s="619">
        <v>60132</v>
      </c>
      <c r="J552" s="620">
        <v>36465736.810000002</v>
      </c>
      <c r="K552" s="621" t="s">
        <v>991</v>
      </c>
      <c r="L552" s="621" t="s">
        <v>4837</v>
      </c>
      <c r="M552" s="621" t="s">
        <v>4838</v>
      </c>
      <c r="N552" s="621" t="s">
        <v>4092</v>
      </c>
      <c r="O552" s="621"/>
      <c r="P552" s="621"/>
    </row>
    <row r="553" spans="1:16">
      <c r="A553" s="232" t="s">
        <v>684</v>
      </c>
      <c r="B553" s="232" t="s">
        <v>1353</v>
      </c>
      <c r="C553" s="622">
        <v>45069</v>
      </c>
      <c r="D553" s="232" t="s">
        <v>4843</v>
      </c>
      <c r="E553" s="231" t="s">
        <v>5074</v>
      </c>
      <c r="F553" s="233">
        <v>140.07400000000001</v>
      </c>
      <c r="G553" s="232" t="s">
        <v>4836</v>
      </c>
      <c r="H553" s="233">
        <v>2218.4499999999998</v>
      </c>
      <c r="I553" s="233">
        <v>310747.17</v>
      </c>
      <c r="J553" s="623">
        <v>188674663.02000001</v>
      </c>
      <c r="K553" s="624" t="s">
        <v>991</v>
      </c>
      <c r="L553" s="624" t="s">
        <v>4837</v>
      </c>
      <c r="M553" s="624" t="s">
        <v>4838</v>
      </c>
      <c r="N553" s="624" t="s">
        <v>4092</v>
      </c>
      <c r="O553" s="624"/>
      <c r="P553" s="624"/>
    </row>
    <row r="554" spans="1:16">
      <c r="A554" s="231" t="s">
        <v>684</v>
      </c>
      <c r="B554" s="231" t="s">
        <v>1353</v>
      </c>
      <c r="C554" s="618">
        <v>45069</v>
      </c>
      <c r="D554" s="231" t="s">
        <v>4843</v>
      </c>
      <c r="E554" s="231" t="s">
        <v>5074</v>
      </c>
      <c r="F554" s="619">
        <v>300.13299999999998</v>
      </c>
      <c r="G554" s="231" t="s">
        <v>4836</v>
      </c>
      <c r="H554" s="619">
        <v>2179.65</v>
      </c>
      <c r="I554" s="619">
        <v>654184.89</v>
      </c>
      <c r="J554" s="620">
        <v>397197868.85000002</v>
      </c>
      <c r="K554" s="621" t="s">
        <v>991</v>
      </c>
      <c r="L554" s="621" t="s">
        <v>4837</v>
      </c>
      <c r="M554" s="621" t="s">
        <v>4838</v>
      </c>
      <c r="N554" s="621" t="s">
        <v>4092</v>
      </c>
      <c r="O554" s="621"/>
      <c r="P554" s="621"/>
    </row>
    <row r="555" spans="1:16">
      <c r="A555" s="232" t="s">
        <v>684</v>
      </c>
      <c r="B555" s="232" t="s">
        <v>1353</v>
      </c>
      <c r="C555" s="622">
        <v>45076</v>
      </c>
      <c r="D555" s="232" t="s">
        <v>4839</v>
      </c>
      <c r="E555" s="231" t="s">
        <v>5073</v>
      </c>
      <c r="F555" s="233">
        <v>60</v>
      </c>
      <c r="G555" s="232" t="s">
        <v>4836</v>
      </c>
      <c r="H555" s="233">
        <v>2092.85</v>
      </c>
      <c r="I555" s="233">
        <v>125571</v>
      </c>
      <c r="J555" s="623">
        <v>76895897.120000005</v>
      </c>
      <c r="K555" s="624" t="s">
        <v>991</v>
      </c>
      <c r="L555" s="624" t="s">
        <v>4837</v>
      </c>
      <c r="M555" s="624" t="s">
        <v>4838</v>
      </c>
      <c r="N555" s="624" t="s">
        <v>4092</v>
      </c>
      <c r="O555" s="624"/>
      <c r="P555" s="624"/>
    </row>
    <row r="556" spans="1:16">
      <c r="A556" s="231" t="s">
        <v>684</v>
      </c>
      <c r="B556" s="231" t="s">
        <v>1353</v>
      </c>
      <c r="C556" s="618">
        <v>45076</v>
      </c>
      <c r="D556" s="231" t="s">
        <v>4840</v>
      </c>
      <c r="E556" s="231" t="s">
        <v>5074</v>
      </c>
      <c r="F556" s="619">
        <v>198.24</v>
      </c>
      <c r="G556" s="231" t="s">
        <v>4836</v>
      </c>
      <c r="H556" s="619">
        <v>1976.68</v>
      </c>
      <c r="I556" s="619">
        <v>385866.19</v>
      </c>
      <c r="J556" s="620">
        <v>236292829.15000001</v>
      </c>
      <c r="K556" s="621" t="s">
        <v>991</v>
      </c>
      <c r="L556" s="621" t="s">
        <v>4837</v>
      </c>
      <c r="M556" s="621" t="s">
        <v>4838</v>
      </c>
      <c r="N556" s="621" t="s">
        <v>4092</v>
      </c>
      <c r="O556" s="621"/>
      <c r="P556" s="621"/>
    </row>
    <row r="557" spans="1:16">
      <c r="A557" s="232" t="s">
        <v>684</v>
      </c>
      <c r="B557" s="232" t="s">
        <v>1353</v>
      </c>
      <c r="C557" s="622">
        <v>45076</v>
      </c>
      <c r="D557" s="232" t="s">
        <v>4844</v>
      </c>
      <c r="E557" s="232"/>
      <c r="F557" s="233">
        <v>1500.1079999999999</v>
      </c>
      <c r="G557" s="232" t="s">
        <v>4836</v>
      </c>
      <c r="H557" s="233">
        <v>252.92</v>
      </c>
      <c r="I557" s="233">
        <v>379411.97</v>
      </c>
      <c r="J557" s="623">
        <v>232340459.28</v>
      </c>
      <c r="K557" s="624" t="s">
        <v>991</v>
      </c>
      <c r="L557" s="624" t="s">
        <v>4837</v>
      </c>
      <c r="M557" s="624" t="s">
        <v>4838</v>
      </c>
      <c r="N557" s="624" t="s">
        <v>4092</v>
      </c>
      <c r="O557" s="624"/>
      <c r="P557" s="624"/>
    </row>
    <row r="558" spans="1:16">
      <c r="A558" s="231" t="s">
        <v>684</v>
      </c>
      <c r="B558" s="231" t="s">
        <v>1353</v>
      </c>
      <c r="C558" s="618">
        <v>45077</v>
      </c>
      <c r="D558" s="231" t="s">
        <v>4846</v>
      </c>
      <c r="E558" s="231" t="s">
        <v>5073</v>
      </c>
      <c r="F558" s="619"/>
      <c r="G558" s="231" t="s">
        <v>4836</v>
      </c>
      <c r="H558" s="619"/>
      <c r="I558" s="619">
        <v>-1715.28</v>
      </c>
      <c r="J558" s="620">
        <v>-1056154.8700000001</v>
      </c>
      <c r="K558" s="621" t="s">
        <v>991</v>
      </c>
      <c r="L558" s="621" t="s">
        <v>4837</v>
      </c>
      <c r="M558" s="621" t="s">
        <v>4838</v>
      </c>
      <c r="N558" s="621" t="s">
        <v>4092</v>
      </c>
      <c r="O558" s="621"/>
      <c r="P558" s="621"/>
    </row>
    <row r="559" spans="1:16">
      <c r="A559" s="232" t="s">
        <v>684</v>
      </c>
      <c r="B559" s="232" t="s">
        <v>1353</v>
      </c>
      <c r="C559" s="622">
        <v>45077</v>
      </c>
      <c r="D559" s="232" t="s">
        <v>4835</v>
      </c>
      <c r="E559" s="231" t="s">
        <v>5073</v>
      </c>
      <c r="F559" s="233"/>
      <c r="G559" s="232" t="s">
        <v>4836</v>
      </c>
      <c r="H559" s="233"/>
      <c r="I559" s="233">
        <v>-249228.57</v>
      </c>
      <c r="J559" s="623">
        <v>-153458308.69999999</v>
      </c>
      <c r="K559" s="624" t="s">
        <v>991</v>
      </c>
      <c r="L559" s="624" t="s">
        <v>4837</v>
      </c>
      <c r="M559" s="624" t="s">
        <v>4838</v>
      </c>
      <c r="N559" s="624" t="s">
        <v>4092</v>
      </c>
      <c r="O559" s="624"/>
      <c r="P559" s="624"/>
    </row>
    <row r="560" spans="1:16">
      <c r="A560" s="231" t="s">
        <v>684</v>
      </c>
      <c r="B560" s="231" t="s">
        <v>1353</v>
      </c>
      <c r="C560" s="618">
        <v>45077</v>
      </c>
      <c r="D560" s="231" t="s">
        <v>4840</v>
      </c>
      <c r="E560" s="231" t="s">
        <v>5074</v>
      </c>
      <c r="F560" s="619"/>
      <c r="G560" s="231" t="s">
        <v>4836</v>
      </c>
      <c r="H560" s="619"/>
      <c r="I560" s="619">
        <v>8665.0799999999963</v>
      </c>
      <c r="J560" s="620">
        <v>5335377.57</v>
      </c>
      <c r="K560" s="621" t="s">
        <v>991</v>
      </c>
      <c r="L560" s="621" t="s">
        <v>4837</v>
      </c>
      <c r="M560" s="621" t="s">
        <v>4838</v>
      </c>
      <c r="N560" s="621" t="s">
        <v>4092</v>
      </c>
      <c r="O560" s="621"/>
      <c r="P560" s="621"/>
    </row>
    <row r="561" spans="1:16">
      <c r="A561" s="232" t="s">
        <v>684</v>
      </c>
      <c r="B561" s="232" t="s">
        <v>1353</v>
      </c>
      <c r="C561" s="622">
        <v>45077</v>
      </c>
      <c r="D561" s="232" t="s">
        <v>4843</v>
      </c>
      <c r="E561" s="231" t="s">
        <v>5074</v>
      </c>
      <c r="F561" s="233"/>
      <c r="G561" s="232" t="s">
        <v>4836</v>
      </c>
      <c r="H561" s="233"/>
      <c r="I561" s="233">
        <v>37559.990000000013</v>
      </c>
      <c r="J561" s="623">
        <v>23126933.399999999</v>
      </c>
      <c r="K561" s="624" t="s">
        <v>991</v>
      </c>
      <c r="L561" s="624" t="s">
        <v>4837</v>
      </c>
      <c r="M561" s="624" t="s">
        <v>4838</v>
      </c>
      <c r="N561" s="624" t="s">
        <v>4092</v>
      </c>
      <c r="O561" s="624"/>
      <c r="P561" s="624"/>
    </row>
    <row r="562" spans="1:16">
      <c r="A562" s="231" t="s">
        <v>684</v>
      </c>
      <c r="B562" s="231" t="s">
        <v>1353</v>
      </c>
      <c r="C562" s="618">
        <v>45077</v>
      </c>
      <c r="D562" s="231" t="s">
        <v>4839</v>
      </c>
      <c r="E562" s="231" t="s">
        <v>5073</v>
      </c>
      <c r="F562" s="619"/>
      <c r="G562" s="231" t="s">
        <v>4836</v>
      </c>
      <c r="H562" s="619"/>
      <c r="I562" s="619">
        <v>83347.12</v>
      </c>
      <c r="J562" s="620">
        <v>51319590.170000002</v>
      </c>
      <c r="K562" s="621" t="s">
        <v>991</v>
      </c>
      <c r="L562" s="621" t="s">
        <v>4837</v>
      </c>
      <c r="M562" s="621" t="s">
        <v>4838</v>
      </c>
      <c r="N562" s="621" t="s">
        <v>4092</v>
      </c>
      <c r="O562" s="621"/>
      <c r="P562" s="621"/>
    </row>
    <row r="563" spans="1:16">
      <c r="A563" s="232" t="s">
        <v>684</v>
      </c>
      <c r="B563" s="232" t="s">
        <v>1353</v>
      </c>
      <c r="C563" s="622">
        <v>45077</v>
      </c>
      <c r="D563" s="232" t="s">
        <v>4841</v>
      </c>
      <c r="E563" s="231" t="s">
        <v>5073</v>
      </c>
      <c r="F563" s="233"/>
      <c r="G563" s="232" t="s">
        <v>4836</v>
      </c>
      <c r="H563" s="233"/>
      <c r="I563" s="233">
        <v>8678.0800000000017</v>
      </c>
      <c r="J563" s="623">
        <v>5343382.0999999996</v>
      </c>
      <c r="K563" s="624" t="s">
        <v>991</v>
      </c>
      <c r="L563" s="624" t="s">
        <v>4837</v>
      </c>
      <c r="M563" s="624" t="s">
        <v>4838</v>
      </c>
      <c r="N563" s="624" t="s">
        <v>4092</v>
      </c>
      <c r="O563" s="624"/>
      <c r="P563" s="624"/>
    </row>
    <row r="564" spans="1:16">
      <c r="A564" s="231" t="s">
        <v>684</v>
      </c>
      <c r="B564" s="231" t="s">
        <v>1353</v>
      </c>
      <c r="C564" s="618">
        <v>45077</v>
      </c>
      <c r="D564" s="231" t="s">
        <v>4844</v>
      </c>
      <c r="E564" s="231"/>
      <c r="F564" s="619"/>
      <c r="G564" s="231" t="s">
        <v>4836</v>
      </c>
      <c r="H564" s="619"/>
      <c r="I564" s="619">
        <v>9561.5500000000102</v>
      </c>
      <c r="J564" s="620">
        <v>5887363.9199999999</v>
      </c>
      <c r="K564" s="621" t="s">
        <v>991</v>
      </c>
      <c r="L564" s="621" t="s">
        <v>4837</v>
      </c>
      <c r="M564" s="621" t="s">
        <v>4838</v>
      </c>
      <c r="N564" s="621" t="s">
        <v>4092</v>
      </c>
      <c r="O564" s="621"/>
      <c r="P564" s="621"/>
    </row>
    <row r="565" spans="1:16">
      <c r="A565" s="232" t="s">
        <v>684</v>
      </c>
      <c r="B565" s="232" t="s">
        <v>1353</v>
      </c>
      <c r="C565" s="622">
        <v>45077</v>
      </c>
      <c r="D565" s="232" t="s">
        <v>4842</v>
      </c>
      <c r="E565" s="231" t="s">
        <v>5073</v>
      </c>
      <c r="F565" s="233"/>
      <c r="G565" s="232" t="s">
        <v>4836</v>
      </c>
      <c r="H565" s="233"/>
      <c r="I565" s="233">
        <v>291711.63</v>
      </c>
      <c r="J565" s="623">
        <v>173688534.16</v>
      </c>
      <c r="K565" s="624" t="s">
        <v>991</v>
      </c>
      <c r="L565" s="624" t="s">
        <v>4837</v>
      </c>
      <c r="M565" s="624" t="s">
        <v>4838</v>
      </c>
      <c r="N565" s="624" t="s">
        <v>4092</v>
      </c>
      <c r="O565" s="624"/>
      <c r="P565" s="624"/>
    </row>
    <row r="566" spans="1:16">
      <c r="A566" s="231" t="s">
        <v>684</v>
      </c>
      <c r="B566" s="231" t="s">
        <v>1353</v>
      </c>
      <c r="C566" s="618">
        <v>45077</v>
      </c>
      <c r="D566" s="231" t="s">
        <v>4846</v>
      </c>
      <c r="E566" s="231" t="s">
        <v>5073</v>
      </c>
      <c r="F566" s="619"/>
      <c r="G566" s="231" t="s">
        <v>4836</v>
      </c>
      <c r="H566" s="619"/>
      <c r="I566" s="619">
        <v>-421.28</v>
      </c>
      <c r="J566" s="620">
        <v>-250835.06</v>
      </c>
      <c r="K566" s="621" t="s">
        <v>991</v>
      </c>
      <c r="L566" s="621" t="s">
        <v>4837</v>
      </c>
      <c r="M566" s="621" t="s">
        <v>4838</v>
      </c>
      <c r="N566" s="621" t="s">
        <v>4092</v>
      </c>
      <c r="O566" s="621"/>
      <c r="P566" s="621"/>
    </row>
    <row r="567" spans="1:16">
      <c r="A567" s="232" t="s">
        <v>684</v>
      </c>
      <c r="B567" s="232" t="s">
        <v>1353</v>
      </c>
      <c r="C567" s="622">
        <v>45077</v>
      </c>
      <c r="D567" s="232" t="s">
        <v>4835</v>
      </c>
      <c r="E567" s="231" t="s">
        <v>5073</v>
      </c>
      <c r="F567" s="233"/>
      <c r="G567" s="232" t="s">
        <v>4836</v>
      </c>
      <c r="H567" s="233"/>
      <c r="I567" s="233">
        <v>-412775.47</v>
      </c>
      <c r="J567" s="623">
        <v>-245771367.84</v>
      </c>
      <c r="K567" s="624" t="s">
        <v>991</v>
      </c>
      <c r="L567" s="624" t="s">
        <v>4837</v>
      </c>
      <c r="M567" s="624" t="s">
        <v>4838</v>
      </c>
      <c r="N567" s="624" t="s">
        <v>4092</v>
      </c>
      <c r="O567" s="624"/>
      <c r="P567" s="624"/>
    </row>
    <row r="568" spans="1:16">
      <c r="A568" s="231" t="s">
        <v>684</v>
      </c>
      <c r="B568" s="231" t="s">
        <v>1353</v>
      </c>
      <c r="C568" s="618">
        <v>45077</v>
      </c>
      <c r="D568" s="231" t="s">
        <v>4840</v>
      </c>
      <c r="E568" s="231" t="s">
        <v>5074</v>
      </c>
      <c r="F568" s="619"/>
      <c r="G568" s="231" t="s">
        <v>4836</v>
      </c>
      <c r="H568" s="619"/>
      <c r="I568" s="619">
        <v>-17461.259999999998</v>
      </c>
      <c r="J568" s="620">
        <v>-10396639.5</v>
      </c>
      <c r="K568" s="621" t="s">
        <v>991</v>
      </c>
      <c r="L568" s="621" t="s">
        <v>4837</v>
      </c>
      <c r="M568" s="621" t="s">
        <v>4838</v>
      </c>
      <c r="N568" s="621" t="s">
        <v>4092</v>
      </c>
      <c r="O568" s="621"/>
      <c r="P568" s="621"/>
    </row>
    <row r="569" spans="1:16">
      <c r="A569" s="232" t="s">
        <v>684</v>
      </c>
      <c r="B569" s="232" t="s">
        <v>1353</v>
      </c>
      <c r="C569" s="622">
        <v>45077</v>
      </c>
      <c r="D569" s="232" t="s">
        <v>4843</v>
      </c>
      <c r="E569" s="231" t="s">
        <v>5074</v>
      </c>
      <c r="F569" s="233"/>
      <c r="G569" s="232" t="s">
        <v>4836</v>
      </c>
      <c r="H569" s="233"/>
      <c r="I569" s="233">
        <v>551596.47</v>
      </c>
      <c r="J569" s="623">
        <v>328427023.35000002</v>
      </c>
      <c r="K569" s="624" t="s">
        <v>991</v>
      </c>
      <c r="L569" s="624" t="s">
        <v>4837</v>
      </c>
      <c r="M569" s="624" t="s">
        <v>4838</v>
      </c>
      <c r="N569" s="624" t="s">
        <v>4092</v>
      </c>
      <c r="O569" s="624"/>
      <c r="P569" s="624"/>
    </row>
    <row r="570" spans="1:16">
      <c r="A570" s="231" t="s">
        <v>684</v>
      </c>
      <c r="B570" s="231" t="s">
        <v>1353</v>
      </c>
      <c r="C570" s="618">
        <v>45077</v>
      </c>
      <c r="D570" s="231" t="s">
        <v>4839</v>
      </c>
      <c r="E570" s="231" t="s">
        <v>5073</v>
      </c>
      <c r="F570" s="619"/>
      <c r="G570" s="231" t="s">
        <v>4836</v>
      </c>
      <c r="H570" s="619"/>
      <c r="I570" s="619">
        <v>36186.04</v>
      </c>
      <c r="J570" s="620">
        <v>21545593.66</v>
      </c>
      <c r="K570" s="621" t="s">
        <v>991</v>
      </c>
      <c r="L570" s="621" t="s">
        <v>4837</v>
      </c>
      <c r="M570" s="621" t="s">
        <v>4838</v>
      </c>
      <c r="N570" s="621" t="s">
        <v>4092</v>
      </c>
      <c r="O570" s="621"/>
      <c r="P570" s="621"/>
    </row>
    <row r="571" spans="1:16">
      <c r="A571" s="232" t="s">
        <v>684</v>
      </c>
      <c r="B571" s="232" t="s">
        <v>1353</v>
      </c>
      <c r="C571" s="622">
        <v>45077</v>
      </c>
      <c r="D571" s="232" t="s">
        <v>4841</v>
      </c>
      <c r="E571" s="231" t="s">
        <v>5073</v>
      </c>
      <c r="F571" s="233"/>
      <c r="G571" s="232" t="s">
        <v>4836</v>
      </c>
      <c r="H571" s="233"/>
      <c r="I571" s="233">
        <v>33714.14</v>
      </c>
      <c r="J571" s="623">
        <v>20073795.329999998</v>
      </c>
      <c r="K571" s="624" t="s">
        <v>991</v>
      </c>
      <c r="L571" s="624" t="s">
        <v>4837</v>
      </c>
      <c r="M571" s="624" t="s">
        <v>4838</v>
      </c>
      <c r="N571" s="624" t="s">
        <v>4092</v>
      </c>
      <c r="O571" s="624"/>
      <c r="P571" s="624"/>
    </row>
    <row r="572" spans="1:16">
      <c r="A572" s="231" t="s">
        <v>684</v>
      </c>
      <c r="B572" s="231" t="s">
        <v>1353</v>
      </c>
      <c r="C572" s="618">
        <v>45077</v>
      </c>
      <c r="D572" s="231" t="s">
        <v>4844</v>
      </c>
      <c r="E572" s="231"/>
      <c r="F572" s="619"/>
      <c r="G572" s="231" t="s">
        <v>4836</v>
      </c>
      <c r="H572" s="619"/>
      <c r="I572" s="619">
        <v>497049.85</v>
      </c>
      <c r="J572" s="620">
        <v>295949324.50999999</v>
      </c>
      <c r="K572" s="621" t="s">
        <v>991</v>
      </c>
      <c r="L572" s="621" t="s">
        <v>4837</v>
      </c>
      <c r="M572" s="621" t="s">
        <v>4838</v>
      </c>
      <c r="N572" s="621" t="s">
        <v>4092</v>
      </c>
      <c r="O572" s="621"/>
      <c r="P572" s="621"/>
    </row>
    <row r="573" spans="1:16">
      <c r="A573" s="232" t="s">
        <v>684</v>
      </c>
      <c r="B573" s="232" t="s">
        <v>1353</v>
      </c>
      <c r="C573" s="622">
        <v>45077</v>
      </c>
      <c r="D573" s="232" t="s">
        <v>4843</v>
      </c>
      <c r="E573" s="231" t="s">
        <v>5074</v>
      </c>
      <c r="F573" s="233">
        <v>220.18</v>
      </c>
      <c r="G573" s="232" t="s">
        <v>4836</v>
      </c>
      <c r="H573" s="233">
        <v>2123.75</v>
      </c>
      <c r="I573" s="233">
        <v>467611.52</v>
      </c>
      <c r="J573" s="623">
        <v>287938128.07999998</v>
      </c>
      <c r="K573" s="624" t="s">
        <v>991</v>
      </c>
      <c r="L573" s="624" t="s">
        <v>4837</v>
      </c>
      <c r="M573" s="624" t="s">
        <v>4838</v>
      </c>
      <c r="N573" s="624" t="s">
        <v>4092</v>
      </c>
      <c r="O573" s="624"/>
      <c r="P573" s="624"/>
    </row>
    <row r="574" spans="1:16">
      <c r="A574" s="231" t="s">
        <v>684</v>
      </c>
      <c r="B574" s="231" t="s">
        <v>1353</v>
      </c>
      <c r="C574" s="618">
        <v>45077</v>
      </c>
      <c r="D574" s="231" t="s">
        <v>4840</v>
      </c>
      <c r="E574" s="231" t="s">
        <v>5074</v>
      </c>
      <c r="F574" s="619">
        <v>220.1825</v>
      </c>
      <c r="G574" s="231" t="s">
        <v>4836</v>
      </c>
      <c r="H574" s="619">
        <v>2041.3</v>
      </c>
      <c r="I574" s="619">
        <v>449461.6</v>
      </c>
      <c r="J574" s="620">
        <v>276762068.97000003</v>
      </c>
      <c r="K574" s="621" t="s">
        <v>991</v>
      </c>
      <c r="L574" s="621" t="s">
        <v>4837</v>
      </c>
      <c r="M574" s="621" t="s">
        <v>4838</v>
      </c>
      <c r="N574" s="621" t="s">
        <v>4092</v>
      </c>
      <c r="O574" s="621"/>
      <c r="P574" s="621"/>
    </row>
    <row r="575" spans="1:16">
      <c r="A575" s="232" t="s">
        <v>684</v>
      </c>
      <c r="B575" s="232" t="s">
        <v>1353</v>
      </c>
      <c r="C575" s="622">
        <v>45077</v>
      </c>
      <c r="D575" s="232" t="s">
        <v>4843</v>
      </c>
      <c r="E575" s="231" t="s">
        <v>5074</v>
      </c>
      <c r="F575" s="233"/>
      <c r="G575" s="232" t="s">
        <v>4836</v>
      </c>
      <c r="H575" s="233"/>
      <c r="I575" s="233">
        <v>-9690</v>
      </c>
      <c r="J575" s="623">
        <v>-5966748.7699999986</v>
      </c>
      <c r="K575" s="624" t="s">
        <v>991</v>
      </c>
      <c r="L575" s="624" t="s">
        <v>4837</v>
      </c>
      <c r="M575" s="624" t="s">
        <v>4838</v>
      </c>
      <c r="N575" s="624" t="s">
        <v>4092</v>
      </c>
      <c r="O575" s="624"/>
      <c r="P575" s="624"/>
    </row>
    <row r="576" spans="1:16">
      <c r="A576" s="231" t="s">
        <v>684</v>
      </c>
      <c r="B576" s="231" t="s">
        <v>1353</v>
      </c>
      <c r="C576" s="618">
        <v>45077</v>
      </c>
      <c r="D576" s="231" t="s">
        <v>4839</v>
      </c>
      <c r="E576" s="231" t="s">
        <v>5073</v>
      </c>
      <c r="F576" s="619"/>
      <c r="G576" s="231" t="s">
        <v>4836</v>
      </c>
      <c r="H576" s="619"/>
      <c r="I576" s="619">
        <v>85774.55</v>
      </c>
      <c r="J576" s="620">
        <v>52816841.130000003</v>
      </c>
      <c r="K576" s="621" t="s">
        <v>991</v>
      </c>
      <c r="L576" s="621" t="s">
        <v>4837</v>
      </c>
      <c r="M576" s="621" t="s">
        <v>4838</v>
      </c>
      <c r="N576" s="621" t="s">
        <v>4092</v>
      </c>
      <c r="O576" s="621"/>
      <c r="P576" s="621"/>
    </row>
    <row r="577" spans="1:16">
      <c r="A577" s="232" t="s">
        <v>684</v>
      </c>
      <c r="B577" s="232" t="s">
        <v>1353</v>
      </c>
      <c r="C577" s="622">
        <v>45077</v>
      </c>
      <c r="D577" s="232" t="s">
        <v>4835</v>
      </c>
      <c r="E577" s="231" t="s">
        <v>5073</v>
      </c>
      <c r="F577" s="233"/>
      <c r="G577" s="232" t="s">
        <v>4836</v>
      </c>
      <c r="H577" s="233"/>
      <c r="I577" s="233">
        <v>483635.36</v>
      </c>
      <c r="J577" s="623">
        <v>297805024.63</v>
      </c>
      <c r="K577" s="624" t="s">
        <v>991</v>
      </c>
      <c r="L577" s="624" t="s">
        <v>4837</v>
      </c>
      <c r="M577" s="624" t="s">
        <v>4838</v>
      </c>
      <c r="N577" s="624" t="s">
        <v>4092</v>
      </c>
      <c r="O577" s="624"/>
      <c r="P577" s="624"/>
    </row>
    <row r="578" spans="1:16">
      <c r="A578" s="231" t="s">
        <v>684</v>
      </c>
      <c r="B578" s="231" t="s">
        <v>1353</v>
      </c>
      <c r="C578" s="618">
        <v>45077</v>
      </c>
      <c r="D578" s="231" t="s">
        <v>4840</v>
      </c>
      <c r="E578" s="231" t="s">
        <v>5074</v>
      </c>
      <c r="F578" s="619"/>
      <c r="G578" s="231" t="s">
        <v>4836</v>
      </c>
      <c r="H578" s="619"/>
      <c r="I578" s="619">
        <v>467.63</v>
      </c>
      <c r="J578" s="620">
        <v>287949.51</v>
      </c>
      <c r="K578" s="621" t="s">
        <v>991</v>
      </c>
      <c r="L578" s="621" t="s">
        <v>4837</v>
      </c>
      <c r="M578" s="621" t="s">
        <v>4838</v>
      </c>
      <c r="N578" s="621" t="s">
        <v>4092</v>
      </c>
      <c r="O578" s="621"/>
      <c r="P578" s="621"/>
    </row>
    <row r="579" spans="1:16">
      <c r="A579" s="232" t="s">
        <v>684</v>
      </c>
      <c r="B579" s="232" t="s">
        <v>1353</v>
      </c>
      <c r="C579" s="622">
        <v>45077</v>
      </c>
      <c r="D579" s="232" t="s">
        <v>4840</v>
      </c>
      <c r="E579" s="231" t="s">
        <v>5074</v>
      </c>
      <c r="F579" s="233"/>
      <c r="G579" s="232" t="s">
        <v>4836</v>
      </c>
      <c r="H579" s="233"/>
      <c r="I579" s="233">
        <v>1520.86</v>
      </c>
      <c r="J579" s="623">
        <v>936490.15</v>
      </c>
      <c r="K579" s="624" t="s">
        <v>991</v>
      </c>
      <c r="L579" s="624" t="s">
        <v>4837</v>
      </c>
      <c r="M579" s="624" t="s">
        <v>4838</v>
      </c>
      <c r="N579" s="624" t="s">
        <v>4092</v>
      </c>
      <c r="O579" s="624"/>
      <c r="P579" s="624"/>
    </row>
    <row r="580" spans="1:16">
      <c r="A580" s="231" t="s">
        <v>684</v>
      </c>
      <c r="B580" s="231" t="s">
        <v>1353</v>
      </c>
      <c r="C580" s="618">
        <v>45077</v>
      </c>
      <c r="D580" s="231" t="s">
        <v>4843</v>
      </c>
      <c r="E580" s="231" t="s">
        <v>5074</v>
      </c>
      <c r="F580" s="619"/>
      <c r="G580" s="231" t="s">
        <v>4836</v>
      </c>
      <c r="H580" s="619"/>
      <c r="I580" s="619">
        <v>4128.82</v>
      </c>
      <c r="J580" s="620">
        <v>2542376.85</v>
      </c>
      <c r="K580" s="621" t="s">
        <v>991</v>
      </c>
      <c r="L580" s="621" t="s">
        <v>4837</v>
      </c>
      <c r="M580" s="621" t="s">
        <v>4838</v>
      </c>
      <c r="N580" s="621" t="s">
        <v>4092</v>
      </c>
      <c r="O580" s="621"/>
      <c r="P580" s="621"/>
    </row>
    <row r="581" spans="1:16">
      <c r="A581" s="232" t="s">
        <v>684</v>
      </c>
      <c r="B581" s="232" t="s">
        <v>1353</v>
      </c>
      <c r="C581" s="622">
        <v>45077</v>
      </c>
      <c r="D581" s="232" t="s">
        <v>4843</v>
      </c>
      <c r="E581" s="231" t="s">
        <v>5074</v>
      </c>
      <c r="F581" s="233"/>
      <c r="G581" s="232" t="s">
        <v>4836</v>
      </c>
      <c r="H581" s="233"/>
      <c r="I581" s="233">
        <v>548.77</v>
      </c>
      <c r="J581" s="623">
        <v>337912.56</v>
      </c>
      <c r="K581" s="624" t="s">
        <v>991</v>
      </c>
      <c r="L581" s="624" t="s">
        <v>4837</v>
      </c>
      <c r="M581" s="624" t="s">
        <v>4838</v>
      </c>
      <c r="N581" s="624" t="s">
        <v>4092</v>
      </c>
      <c r="O581" s="624"/>
      <c r="P581" s="624"/>
    </row>
    <row r="582" spans="1:16">
      <c r="A582" s="231" t="s">
        <v>684</v>
      </c>
      <c r="B582" s="231" t="s">
        <v>1353</v>
      </c>
      <c r="C582" s="618">
        <v>45077</v>
      </c>
      <c r="D582" s="231" t="s">
        <v>4843</v>
      </c>
      <c r="E582" s="231" t="s">
        <v>5074</v>
      </c>
      <c r="F582" s="619"/>
      <c r="G582" s="231" t="s">
        <v>4836</v>
      </c>
      <c r="H582" s="619"/>
      <c r="I582" s="619">
        <v>8516.8799999999992</v>
      </c>
      <c r="J582" s="620">
        <v>5244384.24</v>
      </c>
      <c r="K582" s="621" t="s">
        <v>991</v>
      </c>
      <c r="L582" s="621" t="s">
        <v>4837</v>
      </c>
      <c r="M582" s="621" t="s">
        <v>4838</v>
      </c>
      <c r="N582" s="621" t="s">
        <v>4092</v>
      </c>
      <c r="O582" s="621"/>
      <c r="P582" s="621"/>
    </row>
    <row r="583" spans="1:16">
      <c r="A583" s="232" t="s">
        <v>684</v>
      </c>
      <c r="B583" s="232" t="s">
        <v>1353</v>
      </c>
      <c r="C583" s="622">
        <v>45077</v>
      </c>
      <c r="D583" s="232" t="s">
        <v>4840</v>
      </c>
      <c r="E583" s="231" t="s">
        <v>5074</v>
      </c>
      <c r="F583" s="233"/>
      <c r="G583" s="232" t="s">
        <v>4836</v>
      </c>
      <c r="H583" s="233"/>
      <c r="I583" s="233">
        <v>290.16000000000003</v>
      </c>
      <c r="J583" s="623">
        <v>178669.95</v>
      </c>
      <c r="K583" s="624" t="s">
        <v>991</v>
      </c>
      <c r="L583" s="624" t="s">
        <v>4837</v>
      </c>
      <c r="M583" s="624" t="s">
        <v>4838</v>
      </c>
      <c r="N583" s="624" t="s">
        <v>4092</v>
      </c>
      <c r="O583" s="624"/>
      <c r="P583" s="624"/>
    </row>
    <row r="584" spans="1:16">
      <c r="A584" s="231" t="s">
        <v>684</v>
      </c>
      <c r="B584" s="231" t="s">
        <v>1353</v>
      </c>
      <c r="C584" s="618">
        <v>45077</v>
      </c>
      <c r="D584" s="231" t="s">
        <v>4843</v>
      </c>
      <c r="E584" s="231" t="s">
        <v>5074</v>
      </c>
      <c r="F584" s="619"/>
      <c r="G584" s="231" t="s">
        <v>4836</v>
      </c>
      <c r="H584" s="619"/>
      <c r="I584" s="619">
        <v>215.37</v>
      </c>
      <c r="J584" s="620">
        <v>132617</v>
      </c>
      <c r="K584" s="621" t="s">
        <v>991</v>
      </c>
      <c r="L584" s="621" t="s">
        <v>4837</v>
      </c>
      <c r="M584" s="621" t="s">
        <v>4838</v>
      </c>
      <c r="N584" s="621" t="s">
        <v>4092</v>
      </c>
      <c r="O584" s="621"/>
      <c r="P584" s="621"/>
    </row>
    <row r="585" spans="1:16">
      <c r="A585" s="232" t="s">
        <v>684</v>
      </c>
      <c r="B585" s="232" t="s">
        <v>1353</v>
      </c>
      <c r="C585" s="622">
        <v>45077</v>
      </c>
      <c r="D585" s="232" t="s">
        <v>4841</v>
      </c>
      <c r="E585" s="231" t="s">
        <v>5073</v>
      </c>
      <c r="F585" s="233"/>
      <c r="G585" s="232" t="s">
        <v>4836</v>
      </c>
      <c r="H585" s="233"/>
      <c r="I585" s="233">
        <v>102</v>
      </c>
      <c r="J585" s="623">
        <v>62807.88</v>
      </c>
      <c r="K585" s="624" t="s">
        <v>991</v>
      </c>
      <c r="L585" s="624" t="s">
        <v>4837</v>
      </c>
      <c r="M585" s="624" t="s">
        <v>4838</v>
      </c>
      <c r="N585" s="624" t="s">
        <v>4092</v>
      </c>
      <c r="O585" s="624"/>
      <c r="P585" s="624"/>
    </row>
    <row r="586" spans="1:16">
      <c r="A586" s="231" t="s">
        <v>684</v>
      </c>
      <c r="B586" s="231" t="s">
        <v>1353</v>
      </c>
      <c r="C586" s="618">
        <v>45077</v>
      </c>
      <c r="D586" s="231" t="s">
        <v>4843</v>
      </c>
      <c r="E586" s="231" t="s">
        <v>5074</v>
      </c>
      <c r="F586" s="619"/>
      <c r="G586" s="231" t="s">
        <v>4836</v>
      </c>
      <c r="H586" s="619"/>
      <c r="I586" s="619">
        <v>33.5</v>
      </c>
      <c r="J586" s="620">
        <v>20628.080000000002</v>
      </c>
      <c r="K586" s="621" t="s">
        <v>991</v>
      </c>
      <c r="L586" s="621" t="s">
        <v>4837</v>
      </c>
      <c r="M586" s="621" t="s">
        <v>4838</v>
      </c>
      <c r="N586" s="621" t="s">
        <v>4092</v>
      </c>
      <c r="O586" s="621"/>
      <c r="P586" s="621"/>
    </row>
    <row r="587" spans="1:16">
      <c r="A587" s="232" t="s">
        <v>684</v>
      </c>
      <c r="B587" s="232" t="s">
        <v>1353</v>
      </c>
      <c r="C587" s="622">
        <v>45077</v>
      </c>
      <c r="D587" s="232" t="s">
        <v>4843</v>
      </c>
      <c r="E587" s="231" t="s">
        <v>5074</v>
      </c>
      <c r="F587" s="233"/>
      <c r="G587" s="232" t="s">
        <v>4836</v>
      </c>
      <c r="H587" s="233"/>
      <c r="I587" s="233">
        <v>-8802.75</v>
      </c>
      <c r="J587" s="623">
        <v>-5420412.5599999996</v>
      </c>
      <c r="K587" s="624" t="s">
        <v>991</v>
      </c>
      <c r="L587" s="624" t="s">
        <v>4837</v>
      </c>
      <c r="M587" s="624" t="s">
        <v>4838</v>
      </c>
      <c r="N587" s="624" t="s">
        <v>4092</v>
      </c>
      <c r="O587" s="624"/>
      <c r="P587" s="624"/>
    </row>
    <row r="588" spans="1:16">
      <c r="A588" s="231" t="s">
        <v>684</v>
      </c>
      <c r="B588" s="231" t="s">
        <v>1353</v>
      </c>
      <c r="C588" s="618">
        <v>45077</v>
      </c>
      <c r="D588" s="231" t="s">
        <v>4840</v>
      </c>
      <c r="E588" s="231" t="s">
        <v>5074</v>
      </c>
      <c r="F588" s="619"/>
      <c r="G588" s="231" t="s">
        <v>4836</v>
      </c>
      <c r="H588" s="619"/>
      <c r="I588" s="619">
        <v>621.01</v>
      </c>
      <c r="J588" s="620">
        <v>382395.32</v>
      </c>
      <c r="K588" s="621" t="s">
        <v>991</v>
      </c>
      <c r="L588" s="621" t="s">
        <v>4837</v>
      </c>
      <c r="M588" s="621" t="s">
        <v>4838</v>
      </c>
      <c r="N588" s="621" t="s">
        <v>4092</v>
      </c>
      <c r="O588" s="621"/>
      <c r="P588" s="621"/>
    </row>
    <row r="589" spans="1:16">
      <c r="A589" s="232" t="s">
        <v>684</v>
      </c>
      <c r="B589" s="232" t="s">
        <v>1353</v>
      </c>
      <c r="C589" s="622">
        <v>45077</v>
      </c>
      <c r="D589" s="232" t="s">
        <v>4843</v>
      </c>
      <c r="E589" s="231" t="s">
        <v>5074</v>
      </c>
      <c r="F589" s="233"/>
      <c r="G589" s="232" t="s">
        <v>4836</v>
      </c>
      <c r="H589" s="233"/>
      <c r="I589" s="233">
        <v>1952.19</v>
      </c>
      <c r="J589" s="623">
        <v>1202087.44</v>
      </c>
      <c r="K589" s="624" t="s">
        <v>991</v>
      </c>
      <c r="L589" s="624" t="s">
        <v>4837</v>
      </c>
      <c r="M589" s="624" t="s">
        <v>4838</v>
      </c>
      <c r="N589" s="624" t="s">
        <v>4092</v>
      </c>
      <c r="O589" s="624"/>
      <c r="P589" s="624"/>
    </row>
    <row r="590" spans="1:16">
      <c r="A590" s="231" t="s">
        <v>684</v>
      </c>
      <c r="B590" s="231" t="s">
        <v>1353</v>
      </c>
      <c r="C590" s="618">
        <v>45077</v>
      </c>
      <c r="D590" s="231" t="s">
        <v>4843</v>
      </c>
      <c r="E590" s="231" t="s">
        <v>5074</v>
      </c>
      <c r="F590" s="619"/>
      <c r="G590" s="231" t="s">
        <v>4836</v>
      </c>
      <c r="H590" s="619"/>
      <c r="I590" s="619">
        <v>3998.37</v>
      </c>
      <c r="J590" s="620">
        <v>2462050.4900000002</v>
      </c>
      <c r="K590" s="621" t="s">
        <v>991</v>
      </c>
      <c r="L590" s="621" t="s">
        <v>4837</v>
      </c>
      <c r="M590" s="621" t="s">
        <v>4838</v>
      </c>
      <c r="N590" s="621" t="s">
        <v>4092</v>
      </c>
      <c r="O590" s="621"/>
      <c r="P590" s="621"/>
    </row>
    <row r="591" spans="1:16">
      <c r="A591" s="232" t="s">
        <v>684</v>
      </c>
      <c r="B591" s="232" t="s">
        <v>1353</v>
      </c>
      <c r="C591" s="622">
        <v>45077</v>
      </c>
      <c r="D591" s="232" t="s">
        <v>4840</v>
      </c>
      <c r="E591" s="231" t="s">
        <v>5074</v>
      </c>
      <c r="F591" s="233"/>
      <c r="G591" s="232" t="s">
        <v>4836</v>
      </c>
      <c r="H591" s="233"/>
      <c r="I591" s="233">
        <v>1594.68</v>
      </c>
      <c r="J591" s="623">
        <v>981945.81</v>
      </c>
      <c r="K591" s="624" t="s">
        <v>991</v>
      </c>
      <c r="L591" s="624" t="s">
        <v>4837</v>
      </c>
      <c r="M591" s="624" t="s">
        <v>4838</v>
      </c>
      <c r="N591" s="624" t="s">
        <v>4092</v>
      </c>
      <c r="O591" s="624"/>
      <c r="P591" s="624"/>
    </row>
    <row r="592" spans="1:16">
      <c r="A592" s="231" t="s">
        <v>684</v>
      </c>
      <c r="B592" s="231" t="s">
        <v>1353</v>
      </c>
      <c r="C592" s="618">
        <v>45077</v>
      </c>
      <c r="D592" s="231" t="s">
        <v>4844</v>
      </c>
      <c r="E592" s="231"/>
      <c r="F592" s="619"/>
      <c r="G592" s="231" t="s">
        <v>4836</v>
      </c>
      <c r="H592" s="619"/>
      <c r="I592" s="619">
        <v>13180.75</v>
      </c>
      <c r="J592" s="620">
        <v>8116225.3700000001</v>
      </c>
      <c r="K592" s="621" t="s">
        <v>991</v>
      </c>
      <c r="L592" s="621" t="s">
        <v>4837</v>
      </c>
      <c r="M592" s="621" t="s">
        <v>4838</v>
      </c>
      <c r="N592" s="621" t="s">
        <v>4092</v>
      </c>
      <c r="O592" s="621"/>
      <c r="P592" s="621"/>
    </row>
    <row r="593" spans="1:16">
      <c r="A593" s="232" t="s">
        <v>684</v>
      </c>
      <c r="B593" s="232" t="s">
        <v>1353</v>
      </c>
      <c r="C593" s="622">
        <v>45077</v>
      </c>
      <c r="D593" s="232" t="s">
        <v>4844</v>
      </c>
      <c r="E593" s="232"/>
      <c r="F593" s="233"/>
      <c r="G593" s="232" t="s">
        <v>4836</v>
      </c>
      <c r="H593" s="233"/>
      <c r="I593" s="233">
        <v>-71552.759999999995</v>
      </c>
      <c r="J593" s="623">
        <v>-44059581.280000001</v>
      </c>
      <c r="K593" s="624" t="s">
        <v>991</v>
      </c>
      <c r="L593" s="624" t="s">
        <v>4837</v>
      </c>
      <c r="M593" s="624" t="s">
        <v>4838</v>
      </c>
      <c r="N593" s="624" t="s">
        <v>4092</v>
      </c>
      <c r="O593" s="624"/>
      <c r="P593" s="624"/>
    </row>
    <row r="594" spans="1:16">
      <c r="A594" s="231" t="s">
        <v>684</v>
      </c>
      <c r="B594" s="231" t="s">
        <v>1353</v>
      </c>
      <c r="C594" s="618">
        <v>45077</v>
      </c>
      <c r="D594" s="231" t="s">
        <v>4840</v>
      </c>
      <c r="E594" s="231" t="s">
        <v>5074</v>
      </c>
      <c r="F594" s="619"/>
      <c r="G594" s="231" t="s">
        <v>4836</v>
      </c>
      <c r="H594" s="619"/>
      <c r="I594" s="619">
        <v>17668.75</v>
      </c>
      <c r="J594" s="620">
        <v>10879772.17</v>
      </c>
      <c r="K594" s="621" t="s">
        <v>991</v>
      </c>
      <c r="L594" s="621" t="s">
        <v>4837</v>
      </c>
      <c r="M594" s="621" t="s">
        <v>4838</v>
      </c>
      <c r="N594" s="621" t="s">
        <v>4092</v>
      </c>
      <c r="O594" s="621"/>
      <c r="P594" s="621"/>
    </row>
    <row r="595" spans="1:16">
      <c r="A595" s="232" t="s">
        <v>684</v>
      </c>
      <c r="B595" s="232" t="s">
        <v>1353</v>
      </c>
      <c r="C595" s="622">
        <v>45077</v>
      </c>
      <c r="D595" s="232" t="s">
        <v>4841</v>
      </c>
      <c r="E595" s="231" t="s">
        <v>5073</v>
      </c>
      <c r="F595" s="233"/>
      <c r="G595" s="232" t="s">
        <v>4836</v>
      </c>
      <c r="H595" s="233"/>
      <c r="I595" s="233">
        <v>2397</v>
      </c>
      <c r="J595" s="623">
        <v>1475985.22</v>
      </c>
      <c r="K595" s="624" t="s">
        <v>991</v>
      </c>
      <c r="L595" s="624" t="s">
        <v>4837</v>
      </c>
      <c r="M595" s="624" t="s">
        <v>4838</v>
      </c>
      <c r="N595" s="624" t="s">
        <v>4092</v>
      </c>
      <c r="O595" s="624"/>
      <c r="P595" s="624"/>
    </row>
    <row r="596" spans="1:16">
      <c r="A596" s="231" t="s">
        <v>684</v>
      </c>
      <c r="B596" s="231" t="s">
        <v>1353</v>
      </c>
      <c r="C596" s="618">
        <v>45077</v>
      </c>
      <c r="D596" s="231" t="s">
        <v>4841</v>
      </c>
      <c r="E596" s="231" t="s">
        <v>5073</v>
      </c>
      <c r="F596" s="619"/>
      <c r="G596" s="231" t="s">
        <v>4836</v>
      </c>
      <c r="H596" s="619"/>
      <c r="I596" s="619">
        <v>-1653</v>
      </c>
      <c r="J596" s="620">
        <v>-1017857.14</v>
      </c>
      <c r="K596" s="621" t="s">
        <v>991</v>
      </c>
      <c r="L596" s="621" t="s">
        <v>4837</v>
      </c>
      <c r="M596" s="621" t="s">
        <v>4838</v>
      </c>
      <c r="N596" s="621" t="s">
        <v>4092</v>
      </c>
      <c r="O596" s="621"/>
      <c r="P596" s="621"/>
    </row>
    <row r="597" spans="1:16">
      <c r="A597" s="232" t="s">
        <v>684</v>
      </c>
      <c r="B597" s="232" t="s">
        <v>1353</v>
      </c>
      <c r="C597" s="622">
        <v>45077</v>
      </c>
      <c r="D597" s="232" t="s">
        <v>4835</v>
      </c>
      <c r="E597" s="231" t="s">
        <v>5073</v>
      </c>
      <c r="F597" s="233"/>
      <c r="G597" s="232" t="s">
        <v>4836</v>
      </c>
      <c r="H597" s="233"/>
      <c r="I597" s="233">
        <v>-158.01</v>
      </c>
      <c r="J597" s="623">
        <v>-97296.8</v>
      </c>
      <c r="K597" s="624" t="s">
        <v>991</v>
      </c>
      <c r="L597" s="624" t="s">
        <v>4837</v>
      </c>
      <c r="M597" s="624" t="s">
        <v>4838</v>
      </c>
      <c r="N597" s="624" t="s">
        <v>4092</v>
      </c>
      <c r="O597" s="624"/>
      <c r="P597" s="624"/>
    </row>
    <row r="598" spans="1:16">
      <c r="A598" s="231" t="s">
        <v>684</v>
      </c>
      <c r="B598" s="231" t="s">
        <v>1353</v>
      </c>
      <c r="C598" s="618">
        <v>45077</v>
      </c>
      <c r="D598" s="231" t="s">
        <v>4841</v>
      </c>
      <c r="E598" s="231" t="s">
        <v>5073</v>
      </c>
      <c r="F598" s="619"/>
      <c r="G598" s="231" t="s">
        <v>4836</v>
      </c>
      <c r="H598" s="619"/>
      <c r="I598" s="619">
        <v>1627.83</v>
      </c>
      <c r="J598" s="620">
        <v>1002358.37</v>
      </c>
      <c r="K598" s="621" t="s">
        <v>991</v>
      </c>
      <c r="L598" s="621" t="s">
        <v>4837</v>
      </c>
      <c r="M598" s="621" t="s">
        <v>4838</v>
      </c>
      <c r="N598" s="621" t="s">
        <v>4092</v>
      </c>
      <c r="O598" s="621"/>
      <c r="P598" s="621"/>
    </row>
    <row r="599" spans="1:16">
      <c r="A599" s="232" t="s">
        <v>684</v>
      </c>
      <c r="B599" s="232" t="s">
        <v>1353</v>
      </c>
      <c r="C599" s="622">
        <v>45077</v>
      </c>
      <c r="D599" s="232" t="s">
        <v>4840</v>
      </c>
      <c r="E599" s="231" t="s">
        <v>5074</v>
      </c>
      <c r="F599" s="233"/>
      <c r="G599" s="232" t="s">
        <v>4836</v>
      </c>
      <c r="H599" s="233"/>
      <c r="I599" s="233">
        <v>1070.1199999999999</v>
      </c>
      <c r="J599" s="623">
        <v>658940.89</v>
      </c>
      <c r="K599" s="624" t="s">
        <v>991</v>
      </c>
      <c r="L599" s="624" t="s">
        <v>4837</v>
      </c>
      <c r="M599" s="624" t="s">
        <v>4838</v>
      </c>
      <c r="N599" s="624" t="s">
        <v>4092</v>
      </c>
      <c r="O599" s="624"/>
      <c r="P599" s="624"/>
    </row>
    <row r="600" spans="1:16">
      <c r="A600" s="231" t="s">
        <v>684</v>
      </c>
      <c r="B600" s="231" t="s">
        <v>1353</v>
      </c>
      <c r="C600" s="618">
        <v>45077</v>
      </c>
      <c r="D600" s="231" t="s">
        <v>4840</v>
      </c>
      <c r="E600" s="231" t="s">
        <v>5074</v>
      </c>
      <c r="F600" s="619"/>
      <c r="G600" s="231" t="s">
        <v>4836</v>
      </c>
      <c r="H600" s="619"/>
      <c r="I600" s="619">
        <v>148.63</v>
      </c>
      <c r="J600" s="620">
        <v>91520.94</v>
      </c>
      <c r="K600" s="621" t="s">
        <v>991</v>
      </c>
      <c r="L600" s="621" t="s">
        <v>4837</v>
      </c>
      <c r="M600" s="621" t="s">
        <v>4838</v>
      </c>
      <c r="N600" s="621" t="s">
        <v>4092</v>
      </c>
      <c r="O600" s="621"/>
      <c r="P600" s="621"/>
    </row>
    <row r="601" spans="1:16">
      <c r="A601" s="232" t="s">
        <v>684</v>
      </c>
      <c r="B601" s="232" t="s">
        <v>1353</v>
      </c>
      <c r="C601" s="622">
        <v>45077</v>
      </c>
      <c r="D601" s="232" t="s">
        <v>4843</v>
      </c>
      <c r="E601" s="231" t="s">
        <v>5074</v>
      </c>
      <c r="F601" s="233"/>
      <c r="G601" s="232" t="s">
        <v>4836</v>
      </c>
      <c r="H601" s="233"/>
      <c r="I601" s="233">
        <v>150.13</v>
      </c>
      <c r="J601" s="623">
        <v>92444.58</v>
      </c>
      <c r="K601" s="624" t="s">
        <v>991</v>
      </c>
      <c r="L601" s="624" t="s">
        <v>4837</v>
      </c>
      <c r="M601" s="624" t="s">
        <v>4838</v>
      </c>
      <c r="N601" s="624" t="s">
        <v>4092</v>
      </c>
      <c r="O601" s="624"/>
      <c r="P601" s="624"/>
    </row>
    <row r="602" spans="1:16">
      <c r="A602" s="231" t="s">
        <v>684</v>
      </c>
      <c r="B602" s="231" t="s">
        <v>1353</v>
      </c>
      <c r="C602" s="618">
        <v>45077</v>
      </c>
      <c r="D602" s="231" t="s">
        <v>4840</v>
      </c>
      <c r="E602" s="231" t="s">
        <v>5074</v>
      </c>
      <c r="F602" s="619"/>
      <c r="G602" s="231" t="s">
        <v>4836</v>
      </c>
      <c r="H602" s="619"/>
      <c r="I602" s="619">
        <v>642.4</v>
      </c>
      <c r="J602" s="620">
        <v>395566.5</v>
      </c>
      <c r="K602" s="621" t="s">
        <v>991</v>
      </c>
      <c r="L602" s="621" t="s">
        <v>4837</v>
      </c>
      <c r="M602" s="621" t="s">
        <v>4838</v>
      </c>
      <c r="N602" s="621" t="s">
        <v>4092</v>
      </c>
      <c r="O602" s="621"/>
      <c r="P602" s="621"/>
    </row>
    <row r="603" spans="1:16">
      <c r="A603" s="232" t="s">
        <v>684</v>
      </c>
      <c r="B603" s="232" t="s">
        <v>1353</v>
      </c>
      <c r="C603" s="622">
        <v>45077</v>
      </c>
      <c r="D603" s="232" t="s">
        <v>4843</v>
      </c>
      <c r="E603" s="231" t="s">
        <v>5074</v>
      </c>
      <c r="F603" s="233"/>
      <c r="G603" s="232" t="s">
        <v>4836</v>
      </c>
      <c r="H603" s="233"/>
      <c r="I603" s="233">
        <v>450.62</v>
      </c>
      <c r="J603" s="623">
        <v>277475.37</v>
      </c>
      <c r="K603" s="624" t="s">
        <v>991</v>
      </c>
      <c r="L603" s="624" t="s">
        <v>4837</v>
      </c>
      <c r="M603" s="624" t="s">
        <v>4838</v>
      </c>
      <c r="N603" s="624" t="s">
        <v>4092</v>
      </c>
      <c r="O603" s="624"/>
      <c r="P603" s="624"/>
    </row>
    <row r="604" spans="1:16">
      <c r="A604" s="231" t="s">
        <v>684</v>
      </c>
      <c r="B604" s="231" t="s">
        <v>1353</v>
      </c>
      <c r="C604" s="618">
        <v>45077</v>
      </c>
      <c r="D604" s="231" t="s">
        <v>4843</v>
      </c>
      <c r="E604" s="231" t="s">
        <v>5074</v>
      </c>
      <c r="F604" s="619"/>
      <c r="G604" s="231" t="s">
        <v>4836</v>
      </c>
      <c r="H604" s="619"/>
      <c r="I604" s="619">
        <v>166.84</v>
      </c>
      <c r="J604" s="620">
        <v>102733.99</v>
      </c>
      <c r="K604" s="621" t="s">
        <v>991</v>
      </c>
      <c r="L604" s="621" t="s">
        <v>4837</v>
      </c>
      <c r="M604" s="621" t="s">
        <v>4838</v>
      </c>
      <c r="N604" s="621" t="s">
        <v>4092</v>
      </c>
      <c r="O604" s="621"/>
      <c r="P604" s="621"/>
    </row>
    <row r="605" spans="1:16">
      <c r="A605" s="232" t="s">
        <v>684</v>
      </c>
      <c r="B605" s="232" t="s">
        <v>1353</v>
      </c>
      <c r="C605" s="622">
        <v>45077</v>
      </c>
      <c r="D605" s="232" t="s">
        <v>4840</v>
      </c>
      <c r="E605" s="231" t="s">
        <v>5074</v>
      </c>
      <c r="F605" s="233"/>
      <c r="G605" s="232" t="s">
        <v>4836</v>
      </c>
      <c r="H605" s="233"/>
      <c r="I605" s="233">
        <v>372.07</v>
      </c>
      <c r="J605" s="623">
        <v>229107.14</v>
      </c>
      <c r="K605" s="624" t="s">
        <v>991</v>
      </c>
      <c r="L605" s="624" t="s">
        <v>4837</v>
      </c>
      <c r="M605" s="624" t="s">
        <v>4838</v>
      </c>
      <c r="N605" s="624" t="s">
        <v>4092</v>
      </c>
      <c r="O605" s="624"/>
      <c r="P605" s="624"/>
    </row>
    <row r="606" spans="1:16">
      <c r="A606" s="231" t="s">
        <v>684</v>
      </c>
      <c r="B606" s="231" t="s">
        <v>1353</v>
      </c>
      <c r="C606" s="618">
        <v>45077</v>
      </c>
      <c r="D606" s="231" t="s">
        <v>4843</v>
      </c>
      <c r="E606" s="231" t="s">
        <v>5074</v>
      </c>
      <c r="F606" s="619"/>
      <c r="G606" s="231" t="s">
        <v>4836</v>
      </c>
      <c r="H606" s="619"/>
      <c r="I606" s="619">
        <v>929.98</v>
      </c>
      <c r="J606" s="620">
        <v>572647.78</v>
      </c>
      <c r="K606" s="621" t="s">
        <v>991</v>
      </c>
      <c r="L606" s="621" t="s">
        <v>4837</v>
      </c>
      <c r="M606" s="621" t="s">
        <v>4838</v>
      </c>
      <c r="N606" s="621" t="s">
        <v>4092</v>
      </c>
      <c r="O606" s="621"/>
      <c r="P606" s="621"/>
    </row>
    <row r="607" spans="1:16">
      <c r="A607" s="232" t="s">
        <v>684</v>
      </c>
      <c r="B607" s="232" t="s">
        <v>1353</v>
      </c>
      <c r="C607" s="622">
        <v>45077</v>
      </c>
      <c r="D607" s="232" t="s">
        <v>4843</v>
      </c>
      <c r="E607" s="231" t="s">
        <v>5074</v>
      </c>
      <c r="F607" s="233"/>
      <c r="G607" s="232" t="s">
        <v>4836</v>
      </c>
      <c r="H607" s="233"/>
      <c r="I607" s="233">
        <v>346.88</v>
      </c>
      <c r="J607" s="623">
        <v>213596.06</v>
      </c>
      <c r="K607" s="624" t="s">
        <v>991</v>
      </c>
      <c r="L607" s="624" t="s">
        <v>4837</v>
      </c>
      <c r="M607" s="624" t="s">
        <v>4838</v>
      </c>
      <c r="N607" s="624" t="s">
        <v>4092</v>
      </c>
      <c r="O607" s="624"/>
      <c r="P607" s="624"/>
    </row>
    <row r="608" spans="1:16">
      <c r="A608" s="231" t="s">
        <v>684</v>
      </c>
      <c r="B608" s="231" t="s">
        <v>1353</v>
      </c>
      <c r="C608" s="618">
        <v>45077</v>
      </c>
      <c r="D608" s="231" t="s">
        <v>4840</v>
      </c>
      <c r="E608" s="231" t="s">
        <v>5074</v>
      </c>
      <c r="F608" s="619"/>
      <c r="G608" s="231" t="s">
        <v>4836</v>
      </c>
      <c r="H608" s="619"/>
      <c r="I608" s="619">
        <v>1267.4000000000001</v>
      </c>
      <c r="J608" s="620">
        <v>780418.72</v>
      </c>
      <c r="K608" s="621" t="s">
        <v>991</v>
      </c>
      <c r="L608" s="621" t="s">
        <v>4837</v>
      </c>
      <c r="M608" s="621" t="s">
        <v>4838</v>
      </c>
      <c r="N608" s="621" t="s">
        <v>4092</v>
      </c>
      <c r="O608" s="621"/>
      <c r="P608" s="621"/>
    </row>
    <row r="609" spans="1:16">
      <c r="A609" s="232" t="s">
        <v>684</v>
      </c>
      <c r="B609" s="232" t="s">
        <v>1353</v>
      </c>
      <c r="C609" s="622">
        <v>45077</v>
      </c>
      <c r="D609" s="232" t="s">
        <v>4839</v>
      </c>
      <c r="E609" s="231" t="s">
        <v>5073</v>
      </c>
      <c r="F609" s="233"/>
      <c r="G609" s="232" t="s">
        <v>4836</v>
      </c>
      <c r="H609" s="233"/>
      <c r="I609" s="233">
        <v>2303</v>
      </c>
      <c r="J609" s="623">
        <v>1418103.45</v>
      </c>
      <c r="K609" s="624" t="s">
        <v>991</v>
      </c>
      <c r="L609" s="624" t="s">
        <v>4837</v>
      </c>
      <c r="M609" s="624" t="s">
        <v>4838</v>
      </c>
      <c r="N609" s="624" t="s">
        <v>4092</v>
      </c>
      <c r="O609" s="624"/>
      <c r="P609" s="624"/>
    </row>
    <row r="610" spans="1:16">
      <c r="A610" s="231" t="s">
        <v>684</v>
      </c>
      <c r="B610" s="231" t="s">
        <v>1353</v>
      </c>
      <c r="C610" s="618">
        <v>45077</v>
      </c>
      <c r="D610" s="231" t="s">
        <v>4839</v>
      </c>
      <c r="E610" s="231" t="s">
        <v>5073</v>
      </c>
      <c r="F610" s="619"/>
      <c r="G610" s="231" t="s">
        <v>4836</v>
      </c>
      <c r="H610" s="619"/>
      <c r="I610" s="619">
        <v>165</v>
      </c>
      <c r="J610" s="620">
        <v>101600.99</v>
      </c>
      <c r="K610" s="621" t="s">
        <v>991</v>
      </c>
      <c r="L610" s="621" t="s">
        <v>4837</v>
      </c>
      <c r="M610" s="621" t="s">
        <v>4838</v>
      </c>
      <c r="N610" s="621" t="s">
        <v>4092</v>
      </c>
      <c r="O610" s="621"/>
      <c r="P610" s="621"/>
    </row>
    <row r="611" spans="1:16">
      <c r="A611" s="232" t="s">
        <v>684</v>
      </c>
      <c r="B611" s="232" t="s">
        <v>1353</v>
      </c>
      <c r="C611" s="622">
        <v>45077</v>
      </c>
      <c r="D611" s="232" t="s">
        <v>4839</v>
      </c>
      <c r="E611" s="231" t="s">
        <v>5073</v>
      </c>
      <c r="F611" s="233"/>
      <c r="G611" s="232" t="s">
        <v>4836</v>
      </c>
      <c r="H611" s="233"/>
      <c r="I611" s="233">
        <v>549</v>
      </c>
      <c r="J611" s="623">
        <v>338054.19</v>
      </c>
      <c r="K611" s="624" t="s">
        <v>991</v>
      </c>
      <c r="L611" s="624" t="s">
        <v>4837</v>
      </c>
      <c r="M611" s="624" t="s">
        <v>4838</v>
      </c>
      <c r="N611" s="624" t="s">
        <v>4092</v>
      </c>
      <c r="O611" s="624"/>
      <c r="P611" s="624"/>
    </row>
    <row r="612" spans="1:16">
      <c r="A612" s="231" t="s">
        <v>684</v>
      </c>
      <c r="B612" s="231" t="s">
        <v>1353</v>
      </c>
      <c r="C612" s="618">
        <v>45077</v>
      </c>
      <c r="D612" s="231" t="s">
        <v>4844</v>
      </c>
      <c r="E612" s="231"/>
      <c r="F612" s="619"/>
      <c r="G612" s="231" t="s">
        <v>4836</v>
      </c>
      <c r="H612" s="619"/>
      <c r="I612" s="619">
        <v>14107.9</v>
      </c>
      <c r="J612" s="620">
        <v>8687130.5399999991</v>
      </c>
      <c r="K612" s="621" t="s">
        <v>991</v>
      </c>
      <c r="L612" s="621" t="s">
        <v>4837</v>
      </c>
      <c r="M612" s="621" t="s">
        <v>4838</v>
      </c>
      <c r="N612" s="621" t="s">
        <v>4092</v>
      </c>
      <c r="O612" s="621"/>
      <c r="P612" s="621"/>
    </row>
    <row r="613" spans="1:16">
      <c r="A613" s="232" t="s">
        <v>684</v>
      </c>
      <c r="B613" s="232" t="s">
        <v>1353</v>
      </c>
      <c r="C613" s="622">
        <v>45077</v>
      </c>
      <c r="D613" s="232" t="s">
        <v>4843</v>
      </c>
      <c r="E613" s="231" t="s">
        <v>5074</v>
      </c>
      <c r="F613" s="233"/>
      <c r="G613" s="232" t="s">
        <v>4836</v>
      </c>
      <c r="H613" s="233"/>
      <c r="I613" s="233">
        <v>-2524.15</v>
      </c>
      <c r="J613" s="623">
        <v>-1554279.56</v>
      </c>
      <c r="K613" s="624" t="s">
        <v>991</v>
      </c>
      <c r="L613" s="624" t="s">
        <v>4837</v>
      </c>
      <c r="M613" s="624" t="s">
        <v>4838</v>
      </c>
      <c r="N613" s="624" t="s">
        <v>4092</v>
      </c>
      <c r="O613" s="624"/>
      <c r="P613" s="624"/>
    </row>
    <row r="614" spans="1:16">
      <c r="A614" s="231" t="s">
        <v>684</v>
      </c>
      <c r="B614" s="231" t="s">
        <v>1353</v>
      </c>
      <c r="C614" s="618">
        <v>45077</v>
      </c>
      <c r="D614" s="231" t="s">
        <v>4841</v>
      </c>
      <c r="E614" s="231" t="s">
        <v>5073</v>
      </c>
      <c r="F614" s="619"/>
      <c r="G614" s="231" t="s">
        <v>4836</v>
      </c>
      <c r="H614" s="619"/>
      <c r="I614" s="619">
        <v>818.4</v>
      </c>
      <c r="J614" s="620">
        <v>503940.89</v>
      </c>
      <c r="K614" s="621" t="s">
        <v>991</v>
      </c>
      <c r="L614" s="621" t="s">
        <v>4837</v>
      </c>
      <c r="M614" s="621" t="s">
        <v>4838</v>
      </c>
      <c r="N614" s="621" t="s">
        <v>4092</v>
      </c>
      <c r="O614" s="621"/>
      <c r="P614" s="621"/>
    </row>
    <row r="615" spans="1:16">
      <c r="A615" s="232" t="s">
        <v>684</v>
      </c>
      <c r="B615" s="232" t="s">
        <v>1353</v>
      </c>
      <c r="C615" s="622">
        <v>45077</v>
      </c>
      <c r="D615" s="232" t="s">
        <v>4841</v>
      </c>
      <c r="E615" s="231" t="s">
        <v>5073</v>
      </c>
      <c r="F615" s="233"/>
      <c r="G615" s="232" t="s">
        <v>4836</v>
      </c>
      <c r="H615" s="233"/>
      <c r="I615" s="233">
        <v>142.19999999999999</v>
      </c>
      <c r="J615" s="623">
        <v>87561.58</v>
      </c>
      <c r="K615" s="624" t="s">
        <v>991</v>
      </c>
      <c r="L615" s="624" t="s">
        <v>4837</v>
      </c>
      <c r="M615" s="624" t="s">
        <v>4838</v>
      </c>
      <c r="N615" s="624" t="s">
        <v>4092</v>
      </c>
      <c r="O615" s="624"/>
      <c r="P615" s="624"/>
    </row>
    <row r="616" spans="1:16">
      <c r="A616" s="231" t="s">
        <v>684</v>
      </c>
      <c r="B616" s="231" t="s">
        <v>1353</v>
      </c>
      <c r="C616" s="618">
        <v>45077</v>
      </c>
      <c r="D616" s="231" t="s">
        <v>4843</v>
      </c>
      <c r="E616" s="231" t="s">
        <v>5074</v>
      </c>
      <c r="F616" s="619"/>
      <c r="G616" s="231" t="s">
        <v>4836</v>
      </c>
      <c r="H616" s="619"/>
      <c r="I616" s="619">
        <v>451.4</v>
      </c>
      <c r="J616" s="620">
        <v>277955.67</v>
      </c>
      <c r="K616" s="621" t="s">
        <v>991</v>
      </c>
      <c r="L616" s="621" t="s">
        <v>4837</v>
      </c>
      <c r="M616" s="621" t="s">
        <v>4838</v>
      </c>
      <c r="N616" s="621" t="s">
        <v>4092</v>
      </c>
      <c r="O616" s="621"/>
      <c r="P616" s="621"/>
    </row>
    <row r="617" spans="1:16">
      <c r="A617" s="232" t="s">
        <v>684</v>
      </c>
      <c r="B617" s="232" t="s">
        <v>1353</v>
      </c>
      <c r="C617" s="622">
        <v>45077</v>
      </c>
      <c r="D617" s="232" t="s">
        <v>4844</v>
      </c>
      <c r="E617" s="232"/>
      <c r="F617" s="233"/>
      <c r="G617" s="232" t="s">
        <v>4836</v>
      </c>
      <c r="H617" s="233"/>
      <c r="I617" s="233">
        <v>37532.660000000003</v>
      </c>
      <c r="J617" s="623">
        <v>23111243.84</v>
      </c>
      <c r="K617" s="624" t="s">
        <v>991</v>
      </c>
      <c r="L617" s="624" t="s">
        <v>4837</v>
      </c>
      <c r="M617" s="624" t="s">
        <v>4838</v>
      </c>
      <c r="N617" s="624" t="s">
        <v>4092</v>
      </c>
      <c r="O617" s="624"/>
      <c r="P617" s="624"/>
    </row>
    <row r="618" spans="1:16">
      <c r="A618" s="231" t="s">
        <v>684</v>
      </c>
      <c r="B618" s="231" t="s">
        <v>1353</v>
      </c>
      <c r="C618" s="618">
        <v>45077</v>
      </c>
      <c r="D618" s="231" t="s">
        <v>4840</v>
      </c>
      <c r="E618" s="231" t="s">
        <v>5074</v>
      </c>
      <c r="F618" s="619"/>
      <c r="G618" s="231" t="s">
        <v>4836</v>
      </c>
      <c r="H618" s="619"/>
      <c r="I618" s="619">
        <v>-33.6</v>
      </c>
      <c r="J618" s="620">
        <v>-20689.66</v>
      </c>
      <c r="K618" s="621" t="s">
        <v>991</v>
      </c>
      <c r="L618" s="621" t="s">
        <v>4837</v>
      </c>
      <c r="M618" s="621" t="s">
        <v>4838</v>
      </c>
      <c r="N618" s="621" t="s">
        <v>4092</v>
      </c>
      <c r="O618" s="621"/>
      <c r="P618" s="621"/>
    </row>
    <row r="619" spans="1:16">
      <c r="A619" s="232" t="s">
        <v>684</v>
      </c>
      <c r="B619" s="232" t="s">
        <v>1353</v>
      </c>
      <c r="C619" s="622">
        <v>45077</v>
      </c>
      <c r="D619" s="232" t="s">
        <v>4843</v>
      </c>
      <c r="E619" s="231" t="s">
        <v>5074</v>
      </c>
      <c r="F619" s="233"/>
      <c r="G619" s="232" t="s">
        <v>4836</v>
      </c>
      <c r="H619" s="233"/>
      <c r="I619" s="233">
        <v>-3992.49</v>
      </c>
      <c r="J619" s="623">
        <v>-2458429.7999999998</v>
      </c>
      <c r="K619" s="624" t="s">
        <v>991</v>
      </c>
      <c r="L619" s="624" t="s">
        <v>4837</v>
      </c>
      <c r="M619" s="624" t="s">
        <v>4838</v>
      </c>
      <c r="N619" s="624" t="s">
        <v>4092</v>
      </c>
      <c r="O619" s="624"/>
      <c r="P619" s="624"/>
    </row>
    <row r="620" spans="1:16">
      <c r="A620" s="231" t="s">
        <v>684</v>
      </c>
      <c r="B620" s="231" t="s">
        <v>1353</v>
      </c>
      <c r="C620" s="618">
        <v>45077</v>
      </c>
      <c r="D620" s="231" t="s">
        <v>4843</v>
      </c>
      <c r="E620" s="231" t="s">
        <v>5074</v>
      </c>
      <c r="F620" s="619"/>
      <c r="G620" s="231" t="s">
        <v>4836</v>
      </c>
      <c r="H620" s="619"/>
      <c r="I620" s="619">
        <v>-230.17</v>
      </c>
      <c r="J620" s="620">
        <v>-141730.29999999999</v>
      </c>
      <c r="K620" s="621" t="s">
        <v>991</v>
      </c>
      <c r="L620" s="621" t="s">
        <v>4837</v>
      </c>
      <c r="M620" s="621" t="s">
        <v>4838</v>
      </c>
      <c r="N620" s="621" t="s">
        <v>4092</v>
      </c>
      <c r="O620" s="621"/>
      <c r="P620" s="621"/>
    </row>
    <row r="621" spans="1:16">
      <c r="A621" s="232" t="s">
        <v>684</v>
      </c>
      <c r="B621" s="232" t="s">
        <v>1353</v>
      </c>
      <c r="C621" s="622">
        <v>45077</v>
      </c>
      <c r="D621" s="232" t="s">
        <v>4843</v>
      </c>
      <c r="E621" s="231" t="s">
        <v>5074</v>
      </c>
      <c r="F621" s="233"/>
      <c r="G621" s="232" t="s">
        <v>4836</v>
      </c>
      <c r="H621" s="233"/>
      <c r="I621" s="233">
        <v>472.33</v>
      </c>
      <c r="J621" s="623">
        <v>290843.59999999998</v>
      </c>
      <c r="K621" s="624" t="s">
        <v>991</v>
      </c>
      <c r="L621" s="624" t="s">
        <v>4837</v>
      </c>
      <c r="M621" s="624" t="s">
        <v>4838</v>
      </c>
      <c r="N621" s="624" t="s">
        <v>4092</v>
      </c>
      <c r="O621" s="624"/>
      <c r="P621" s="624"/>
    </row>
    <row r="622" spans="1:16">
      <c r="A622" s="231" t="s">
        <v>684</v>
      </c>
      <c r="B622" s="231" t="s">
        <v>1353</v>
      </c>
      <c r="C622" s="618">
        <v>45077</v>
      </c>
      <c r="D622" s="231" t="s">
        <v>4835</v>
      </c>
      <c r="E622" s="231" t="s">
        <v>5073</v>
      </c>
      <c r="F622" s="619"/>
      <c r="G622" s="231" t="s">
        <v>4836</v>
      </c>
      <c r="H622" s="619"/>
      <c r="I622" s="619">
        <v>-240222.76</v>
      </c>
      <c r="J622" s="620">
        <v>-147920418.72</v>
      </c>
      <c r="K622" s="621" t="s">
        <v>991</v>
      </c>
      <c r="L622" s="621" t="s">
        <v>4837</v>
      </c>
      <c r="M622" s="621" t="s">
        <v>4838</v>
      </c>
      <c r="N622" s="621" t="s">
        <v>4092</v>
      </c>
      <c r="O622" s="621"/>
      <c r="P622" s="621"/>
    </row>
    <row r="623" spans="1:16">
      <c r="A623" s="232" t="s">
        <v>684</v>
      </c>
      <c r="B623" s="232" t="s">
        <v>1353</v>
      </c>
      <c r="C623" s="622">
        <v>45077</v>
      </c>
      <c r="D623" s="232" t="s">
        <v>4839</v>
      </c>
      <c r="E623" s="231" t="s">
        <v>5073</v>
      </c>
      <c r="F623" s="233"/>
      <c r="G623" s="232" t="s">
        <v>4836</v>
      </c>
      <c r="H623" s="233"/>
      <c r="I623" s="233">
        <v>77573.45</v>
      </c>
      <c r="J623" s="623">
        <v>47766902.710000001</v>
      </c>
      <c r="K623" s="624" t="s">
        <v>991</v>
      </c>
      <c r="L623" s="624" t="s">
        <v>4837</v>
      </c>
      <c r="M623" s="624" t="s">
        <v>4838</v>
      </c>
      <c r="N623" s="624" t="s">
        <v>4092</v>
      </c>
      <c r="O623" s="624"/>
      <c r="P623" s="624"/>
    </row>
    <row r="624" spans="1:16">
      <c r="A624" s="231" t="s">
        <v>684</v>
      </c>
      <c r="B624" s="231" t="s">
        <v>1353</v>
      </c>
      <c r="C624" s="618">
        <v>45077</v>
      </c>
      <c r="D624" s="231" t="s">
        <v>4839</v>
      </c>
      <c r="E624" s="231" t="s">
        <v>5073</v>
      </c>
      <c r="F624" s="619"/>
      <c r="G624" s="231" t="s">
        <v>4836</v>
      </c>
      <c r="H624" s="619"/>
      <c r="I624" s="619">
        <v>210</v>
      </c>
      <c r="J624" s="620">
        <v>129310.34</v>
      </c>
      <c r="K624" s="621" t="s">
        <v>991</v>
      </c>
      <c r="L624" s="621" t="s">
        <v>4837</v>
      </c>
      <c r="M624" s="621" t="s">
        <v>4838</v>
      </c>
      <c r="N624" s="621" t="s">
        <v>4092</v>
      </c>
      <c r="O624" s="621"/>
      <c r="P624" s="621"/>
    </row>
    <row r="625" spans="1:16">
      <c r="A625" s="232" t="s">
        <v>684</v>
      </c>
      <c r="B625" s="232" t="s">
        <v>1353</v>
      </c>
      <c r="C625" s="622">
        <v>45077</v>
      </c>
      <c r="D625" s="232" t="s">
        <v>4843</v>
      </c>
      <c r="E625" s="231" t="s">
        <v>5074</v>
      </c>
      <c r="F625" s="233"/>
      <c r="G625" s="232" t="s">
        <v>4836</v>
      </c>
      <c r="H625" s="233"/>
      <c r="I625" s="233">
        <v>-5107.7</v>
      </c>
      <c r="J625" s="623">
        <v>-3145135.47</v>
      </c>
      <c r="K625" s="624" t="s">
        <v>991</v>
      </c>
      <c r="L625" s="624" t="s">
        <v>4837</v>
      </c>
      <c r="M625" s="624" t="s">
        <v>4838</v>
      </c>
      <c r="N625" s="624" t="s">
        <v>4092</v>
      </c>
      <c r="O625" s="624"/>
      <c r="P625" s="624"/>
    </row>
    <row r="626" spans="1:16">
      <c r="A626" s="231" t="s">
        <v>684</v>
      </c>
      <c r="B626" s="231" t="s">
        <v>1353</v>
      </c>
      <c r="C626" s="618">
        <v>45077</v>
      </c>
      <c r="D626" s="231" t="s">
        <v>4843</v>
      </c>
      <c r="E626" s="231" t="s">
        <v>5074</v>
      </c>
      <c r="F626" s="619"/>
      <c r="G626" s="231" t="s">
        <v>4836</v>
      </c>
      <c r="H626" s="619"/>
      <c r="I626" s="619">
        <v>-13225.09</v>
      </c>
      <c r="J626" s="620">
        <v>-8143528.3300000001</v>
      </c>
      <c r="K626" s="621" t="s">
        <v>991</v>
      </c>
      <c r="L626" s="621" t="s">
        <v>4837</v>
      </c>
      <c r="M626" s="621" t="s">
        <v>4838</v>
      </c>
      <c r="N626" s="621" t="s">
        <v>4092</v>
      </c>
      <c r="O626" s="621"/>
      <c r="P626" s="621"/>
    </row>
    <row r="627" spans="1:16">
      <c r="A627" s="232" t="s">
        <v>684</v>
      </c>
      <c r="B627" s="232" t="s">
        <v>1353</v>
      </c>
      <c r="C627" s="622">
        <v>45077</v>
      </c>
      <c r="D627" s="232" t="s">
        <v>4839</v>
      </c>
      <c r="E627" s="231" t="s">
        <v>5073</v>
      </c>
      <c r="F627" s="233"/>
      <c r="G627" s="232" t="s">
        <v>4836</v>
      </c>
      <c r="H627" s="233"/>
      <c r="I627" s="233">
        <v>32</v>
      </c>
      <c r="J627" s="623">
        <v>19704.43</v>
      </c>
      <c r="K627" s="624" t="s">
        <v>991</v>
      </c>
      <c r="L627" s="624" t="s">
        <v>4837</v>
      </c>
      <c r="M627" s="624" t="s">
        <v>4838</v>
      </c>
      <c r="N627" s="624" t="s">
        <v>4092</v>
      </c>
      <c r="O627" s="624"/>
      <c r="P627" s="624"/>
    </row>
    <row r="628" spans="1:16">
      <c r="A628" s="231" t="s">
        <v>684</v>
      </c>
      <c r="B628" s="231" t="s">
        <v>1353</v>
      </c>
      <c r="C628" s="618">
        <v>45077</v>
      </c>
      <c r="D628" s="231" t="s">
        <v>4835</v>
      </c>
      <c r="E628" s="231" t="s">
        <v>5073</v>
      </c>
      <c r="F628" s="619"/>
      <c r="G628" s="231" t="s">
        <v>4836</v>
      </c>
      <c r="H628" s="619"/>
      <c r="I628" s="619">
        <v>-79672.19</v>
      </c>
      <c r="J628" s="620">
        <v>-49059230.299999997</v>
      </c>
      <c r="K628" s="621" t="s">
        <v>991</v>
      </c>
      <c r="L628" s="621" t="s">
        <v>4837</v>
      </c>
      <c r="M628" s="621" t="s">
        <v>4838</v>
      </c>
      <c r="N628" s="621" t="s">
        <v>4092</v>
      </c>
      <c r="O628" s="621"/>
      <c r="P628" s="621"/>
    </row>
    <row r="629" spans="1:16">
      <c r="A629" s="232" t="s">
        <v>684</v>
      </c>
      <c r="B629" s="232" t="s">
        <v>1353</v>
      </c>
      <c r="C629" s="622">
        <v>45077</v>
      </c>
      <c r="D629" s="232" t="s">
        <v>4843</v>
      </c>
      <c r="E629" s="231" t="s">
        <v>5074</v>
      </c>
      <c r="F629" s="233"/>
      <c r="G629" s="232" t="s">
        <v>4836</v>
      </c>
      <c r="H629" s="233"/>
      <c r="I629" s="233">
        <v>-6047.94</v>
      </c>
      <c r="J629" s="623">
        <v>-3724100.99</v>
      </c>
      <c r="K629" s="624" t="s">
        <v>991</v>
      </c>
      <c r="L629" s="624" t="s">
        <v>4837</v>
      </c>
      <c r="M629" s="624" t="s">
        <v>4838</v>
      </c>
      <c r="N629" s="624" t="s">
        <v>4092</v>
      </c>
      <c r="O629" s="624"/>
      <c r="P629" s="624"/>
    </row>
    <row r="630" spans="1:16">
      <c r="A630" s="231" t="s">
        <v>684</v>
      </c>
      <c r="B630" s="231" t="s">
        <v>1353</v>
      </c>
      <c r="C630" s="618">
        <v>45077</v>
      </c>
      <c r="D630" s="231" t="s">
        <v>4844</v>
      </c>
      <c r="E630" s="231"/>
      <c r="F630" s="619"/>
      <c r="G630" s="231" t="s">
        <v>4836</v>
      </c>
      <c r="H630" s="619"/>
      <c r="I630" s="619">
        <v>-107167.52</v>
      </c>
      <c r="J630" s="620">
        <v>-65989852.219999999</v>
      </c>
      <c r="K630" s="621" t="s">
        <v>991</v>
      </c>
      <c r="L630" s="621" t="s">
        <v>4837</v>
      </c>
      <c r="M630" s="621" t="s">
        <v>4838</v>
      </c>
      <c r="N630" s="621" t="s">
        <v>4092</v>
      </c>
      <c r="O630" s="621"/>
      <c r="P630" s="621"/>
    </row>
    <row r="631" spans="1:16">
      <c r="A631" s="232" t="s">
        <v>684</v>
      </c>
      <c r="B631" s="232" t="s">
        <v>1353</v>
      </c>
      <c r="C631" s="622">
        <v>45077</v>
      </c>
      <c r="D631" s="232" t="s">
        <v>4844</v>
      </c>
      <c r="E631" s="232"/>
      <c r="F631" s="233"/>
      <c r="G631" s="232" t="s">
        <v>4836</v>
      </c>
      <c r="H631" s="233"/>
      <c r="I631" s="233">
        <v>-86781.6</v>
      </c>
      <c r="J631" s="623">
        <v>-53436945.810000002</v>
      </c>
      <c r="K631" s="624" t="s">
        <v>991</v>
      </c>
      <c r="L631" s="624" t="s">
        <v>4837</v>
      </c>
      <c r="M631" s="624" t="s">
        <v>4838</v>
      </c>
      <c r="N631" s="624" t="s">
        <v>4092</v>
      </c>
      <c r="O631" s="624"/>
      <c r="P631" s="624"/>
    </row>
    <row r="632" spans="1:16">
      <c r="A632" s="231" t="s">
        <v>684</v>
      </c>
      <c r="B632" s="231" t="s">
        <v>1353</v>
      </c>
      <c r="C632" s="618">
        <v>45077</v>
      </c>
      <c r="D632" s="231" t="s">
        <v>4844</v>
      </c>
      <c r="E632" s="231"/>
      <c r="F632" s="619"/>
      <c r="G632" s="231" t="s">
        <v>4836</v>
      </c>
      <c r="H632" s="619"/>
      <c r="I632" s="619">
        <v>9583.16</v>
      </c>
      <c r="J632" s="620">
        <v>5900960.5899999999</v>
      </c>
      <c r="K632" s="621" t="s">
        <v>991</v>
      </c>
      <c r="L632" s="621" t="s">
        <v>4837</v>
      </c>
      <c r="M632" s="621" t="s">
        <v>4838</v>
      </c>
      <c r="N632" s="621" t="s">
        <v>4092</v>
      </c>
      <c r="O632" s="621"/>
      <c r="P632" s="621"/>
    </row>
    <row r="633" spans="1:16">
      <c r="A633" s="232" t="s">
        <v>684</v>
      </c>
      <c r="B633" s="232" t="s">
        <v>1353</v>
      </c>
      <c r="C633" s="622">
        <v>45077</v>
      </c>
      <c r="D633" s="232" t="s">
        <v>4844</v>
      </c>
      <c r="E633" s="232"/>
      <c r="F633" s="233"/>
      <c r="G633" s="232" t="s">
        <v>4836</v>
      </c>
      <c r="H633" s="233"/>
      <c r="I633" s="233">
        <v>73034.210000000006</v>
      </c>
      <c r="J633" s="623">
        <v>44971804.189999998</v>
      </c>
      <c r="K633" s="624" t="s">
        <v>991</v>
      </c>
      <c r="L633" s="624" t="s">
        <v>4837</v>
      </c>
      <c r="M633" s="624" t="s">
        <v>4838</v>
      </c>
      <c r="N633" s="624" t="s">
        <v>4092</v>
      </c>
      <c r="O633" s="624"/>
      <c r="P633" s="624"/>
    </row>
    <row r="634" spans="1:16">
      <c r="A634" s="231" t="s">
        <v>684</v>
      </c>
      <c r="B634" s="231" t="s">
        <v>1353</v>
      </c>
      <c r="C634" s="618">
        <v>45077</v>
      </c>
      <c r="D634" s="231" t="s">
        <v>4841</v>
      </c>
      <c r="E634" s="231" t="s">
        <v>5073</v>
      </c>
      <c r="F634" s="619"/>
      <c r="G634" s="231" t="s">
        <v>4836</v>
      </c>
      <c r="H634" s="619"/>
      <c r="I634" s="619">
        <v>-7152.87</v>
      </c>
      <c r="J634" s="620">
        <v>-4404476.5999999996</v>
      </c>
      <c r="K634" s="621" t="s">
        <v>991</v>
      </c>
      <c r="L634" s="621" t="s">
        <v>4837</v>
      </c>
      <c r="M634" s="621" t="s">
        <v>4838</v>
      </c>
      <c r="N634" s="621" t="s">
        <v>4092</v>
      </c>
      <c r="O634" s="621"/>
      <c r="P634" s="621"/>
    </row>
    <row r="635" spans="1:16">
      <c r="A635" s="232" t="s">
        <v>684</v>
      </c>
      <c r="B635" s="232" t="s">
        <v>1353</v>
      </c>
      <c r="C635" s="622">
        <v>45077</v>
      </c>
      <c r="D635" s="232" t="s">
        <v>4841</v>
      </c>
      <c r="E635" s="231" t="s">
        <v>5073</v>
      </c>
      <c r="F635" s="233"/>
      <c r="G635" s="232" t="s">
        <v>4836</v>
      </c>
      <c r="H635" s="233"/>
      <c r="I635" s="233">
        <v>-8865.16</v>
      </c>
      <c r="J635" s="623">
        <v>-5458842.3600000003</v>
      </c>
      <c r="K635" s="624" t="s">
        <v>991</v>
      </c>
      <c r="L635" s="624" t="s">
        <v>4837</v>
      </c>
      <c r="M635" s="624" t="s">
        <v>4838</v>
      </c>
      <c r="N635" s="624" t="s">
        <v>4092</v>
      </c>
      <c r="O635" s="624"/>
      <c r="P635" s="624"/>
    </row>
    <row r="636" spans="1:16">
      <c r="A636" s="231" t="s">
        <v>684</v>
      </c>
      <c r="B636" s="231" t="s">
        <v>1353</v>
      </c>
      <c r="C636" s="618">
        <v>45077</v>
      </c>
      <c r="D636" s="231" t="s">
        <v>4841</v>
      </c>
      <c r="E636" s="231" t="s">
        <v>5073</v>
      </c>
      <c r="F636" s="619"/>
      <c r="G636" s="231" t="s">
        <v>4836</v>
      </c>
      <c r="H636" s="619"/>
      <c r="I636" s="619">
        <v>-8145.44</v>
      </c>
      <c r="J636" s="620">
        <v>-5015665.0199999996</v>
      </c>
      <c r="K636" s="621" t="s">
        <v>991</v>
      </c>
      <c r="L636" s="621" t="s">
        <v>4837</v>
      </c>
      <c r="M636" s="621" t="s">
        <v>4838</v>
      </c>
      <c r="N636" s="621" t="s">
        <v>4092</v>
      </c>
      <c r="O636" s="621"/>
      <c r="P636" s="621"/>
    </row>
    <row r="637" spans="1:16">
      <c r="A637" s="232" t="s">
        <v>684</v>
      </c>
      <c r="B637" s="232" t="s">
        <v>1353</v>
      </c>
      <c r="C637" s="622">
        <v>45077</v>
      </c>
      <c r="D637" s="232" t="s">
        <v>4841</v>
      </c>
      <c r="E637" s="231" t="s">
        <v>5073</v>
      </c>
      <c r="F637" s="233"/>
      <c r="G637" s="232" t="s">
        <v>4836</v>
      </c>
      <c r="H637" s="233"/>
      <c r="I637" s="233">
        <v>150.44999999999999</v>
      </c>
      <c r="J637" s="623">
        <v>92641.63</v>
      </c>
      <c r="K637" s="624" t="s">
        <v>991</v>
      </c>
      <c r="L637" s="624" t="s">
        <v>4837</v>
      </c>
      <c r="M637" s="624" t="s">
        <v>4838</v>
      </c>
      <c r="N637" s="624" t="s">
        <v>4092</v>
      </c>
      <c r="O637" s="624"/>
      <c r="P637" s="624"/>
    </row>
    <row r="638" spans="1:16">
      <c r="A638" s="231" t="s">
        <v>684</v>
      </c>
      <c r="B638" s="231" t="s">
        <v>1353</v>
      </c>
      <c r="C638" s="618">
        <v>45077</v>
      </c>
      <c r="D638" s="231" t="s">
        <v>4843</v>
      </c>
      <c r="E638" s="231" t="s">
        <v>5074</v>
      </c>
      <c r="F638" s="619"/>
      <c r="G638" s="231" t="s">
        <v>4836</v>
      </c>
      <c r="H638" s="619"/>
      <c r="I638" s="619">
        <v>-32.92</v>
      </c>
      <c r="J638" s="620">
        <v>-20270.939999999999</v>
      </c>
      <c r="K638" s="621" t="s">
        <v>991</v>
      </c>
      <c r="L638" s="621" t="s">
        <v>4837</v>
      </c>
      <c r="M638" s="621" t="s">
        <v>4838</v>
      </c>
      <c r="N638" s="621" t="s">
        <v>4092</v>
      </c>
      <c r="O638" s="621"/>
      <c r="P638" s="621"/>
    </row>
    <row r="639" spans="1:16">
      <c r="A639" s="232" t="s">
        <v>684</v>
      </c>
      <c r="B639" s="232" t="s">
        <v>1353</v>
      </c>
      <c r="C639" s="622">
        <v>45077</v>
      </c>
      <c r="D639" s="232" t="s">
        <v>4839</v>
      </c>
      <c r="E639" s="231" t="s">
        <v>5073</v>
      </c>
      <c r="F639" s="233"/>
      <c r="G639" s="232" t="s">
        <v>4836</v>
      </c>
      <c r="H639" s="233"/>
      <c r="I639" s="233">
        <v>-20268.93</v>
      </c>
      <c r="J639" s="623">
        <v>-12480868.23</v>
      </c>
      <c r="K639" s="624" t="s">
        <v>991</v>
      </c>
      <c r="L639" s="624" t="s">
        <v>4837</v>
      </c>
      <c r="M639" s="624" t="s">
        <v>4838</v>
      </c>
      <c r="N639" s="624" t="s">
        <v>4092</v>
      </c>
      <c r="O639" s="624"/>
      <c r="P639" s="624"/>
    </row>
    <row r="640" spans="1:16">
      <c r="A640" s="231" t="s">
        <v>684</v>
      </c>
      <c r="B640" s="231" t="s">
        <v>1353</v>
      </c>
      <c r="C640" s="618">
        <v>45077</v>
      </c>
      <c r="D640" s="231" t="s">
        <v>4840</v>
      </c>
      <c r="E640" s="231" t="s">
        <v>5074</v>
      </c>
      <c r="F640" s="619"/>
      <c r="G640" s="231" t="s">
        <v>4836</v>
      </c>
      <c r="H640" s="619"/>
      <c r="I640" s="619">
        <v>-807.12</v>
      </c>
      <c r="J640" s="620">
        <v>-496995.07</v>
      </c>
      <c r="K640" s="621" t="s">
        <v>991</v>
      </c>
      <c r="L640" s="621" t="s">
        <v>4837</v>
      </c>
      <c r="M640" s="621" t="s">
        <v>4838</v>
      </c>
      <c r="N640" s="621" t="s">
        <v>4092</v>
      </c>
      <c r="O640" s="621"/>
      <c r="P640" s="621"/>
    </row>
    <row r="641" spans="1:16">
      <c r="A641" s="232" t="s">
        <v>684</v>
      </c>
      <c r="B641" s="232" t="s">
        <v>1353</v>
      </c>
      <c r="C641" s="622">
        <v>45077</v>
      </c>
      <c r="D641" s="232" t="s">
        <v>4843</v>
      </c>
      <c r="E641" s="231" t="s">
        <v>5074</v>
      </c>
      <c r="F641" s="233"/>
      <c r="G641" s="232" t="s">
        <v>4836</v>
      </c>
      <c r="H641" s="233"/>
      <c r="I641" s="233">
        <v>-6961.47</v>
      </c>
      <c r="J641" s="623">
        <v>-4286619.46</v>
      </c>
      <c r="K641" s="624" t="s">
        <v>991</v>
      </c>
      <c r="L641" s="624" t="s">
        <v>4837</v>
      </c>
      <c r="M641" s="624" t="s">
        <v>4838</v>
      </c>
      <c r="N641" s="624" t="s">
        <v>4092</v>
      </c>
      <c r="O641" s="624"/>
      <c r="P641" s="624"/>
    </row>
    <row r="642" spans="1:16">
      <c r="A642" s="231" t="s">
        <v>684</v>
      </c>
      <c r="B642" s="231" t="s">
        <v>1353</v>
      </c>
      <c r="C642" s="618">
        <v>45077</v>
      </c>
      <c r="D642" s="231" t="s">
        <v>4843</v>
      </c>
      <c r="E642" s="231" t="s">
        <v>5074</v>
      </c>
      <c r="F642" s="619"/>
      <c r="G642" s="231" t="s">
        <v>4836</v>
      </c>
      <c r="H642" s="619"/>
      <c r="I642" s="619">
        <v>2061.88</v>
      </c>
      <c r="J642" s="620">
        <v>1269630.54</v>
      </c>
      <c r="K642" s="621" t="s">
        <v>991</v>
      </c>
      <c r="L642" s="621" t="s">
        <v>4837</v>
      </c>
      <c r="M642" s="621" t="s">
        <v>4838</v>
      </c>
      <c r="N642" s="621" t="s">
        <v>4092</v>
      </c>
      <c r="O642" s="621"/>
      <c r="P642" s="621"/>
    </row>
    <row r="643" spans="1:16">
      <c r="A643" s="232" t="s">
        <v>684</v>
      </c>
      <c r="B643" s="232" t="s">
        <v>1353</v>
      </c>
      <c r="C643" s="622">
        <v>45077</v>
      </c>
      <c r="D643" s="232" t="s">
        <v>4840</v>
      </c>
      <c r="E643" s="231" t="s">
        <v>5074</v>
      </c>
      <c r="F643" s="233"/>
      <c r="G643" s="232" t="s">
        <v>4836</v>
      </c>
      <c r="H643" s="233"/>
      <c r="I643" s="233">
        <v>-14131.35</v>
      </c>
      <c r="J643" s="623">
        <v>-8701570.1999999993</v>
      </c>
      <c r="K643" s="624" t="s">
        <v>991</v>
      </c>
      <c r="L643" s="624" t="s">
        <v>4837</v>
      </c>
      <c r="M643" s="624" t="s">
        <v>4838</v>
      </c>
      <c r="N643" s="624" t="s">
        <v>4092</v>
      </c>
      <c r="O643" s="624"/>
      <c r="P643" s="624"/>
    </row>
    <row r="644" spans="1:16">
      <c r="A644" s="231" t="s">
        <v>684</v>
      </c>
      <c r="B644" s="231" t="s">
        <v>1353</v>
      </c>
      <c r="C644" s="618">
        <v>45077</v>
      </c>
      <c r="D644" s="231" t="s">
        <v>4843</v>
      </c>
      <c r="E644" s="231" t="s">
        <v>5074</v>
      </c>
      <c r="F644" s="619"/>
      <c r="G644" s="231" t="s">
        <v>4836</v>
      </c>
      <c r="H644" s="619"/>
      <c r="I644" s="619">
        <v>35.29</v>
      </c>
      <c r="J644" s="620">
        <v>21730.3</v>
      </c>
      <c r="K644" s="621" t="s">
        <v>991</v>
      </c>
      <c r="L644" s="621" t="s">
        <v>4837</v>
      </c>
      <c r="M644" s="621" t="s">
        <v>4838</v>
      </c>
      <c r="N644" s="621" t="s">
        <v>4092</v>
      </c>
      <c r="O644" s="621"/>
      <c r="P644" s="621"/>
    </row>
    <row r="645" spans="1:16">
      <c r="A645" s="232" t="s">
        <v>684</v>
      </c>
      <c r="B645" s="232" t="s">
        <v>1353</v>
      </c>
      <c r="C645" s="622">
        <v>45077</v>
      </c>
      <c r="D645" s="232" t="s">
        <v>4840</v>
      </c>
      <c r="E645" s="231" t="s">
        <v>5074</v>
      </c>
      <c r="F645" s="233"/>
      <c r="G645" s="232" t="s">
        <v>4836</v>
      </c>
      <c r="H645" s="233"/>
      <c r="I645" s="233">
        <v>-741.77</v>
      </c>
      <c r="J645" s="623">
        <v>-456754.93</v>
      </c>
      <c r="K645" s="624" t="s">
        <v>991</v>
      </c>
      <c r="L645" s="624" t="s">
        <v>4837</v>
      </c>
      <c r="M645" s="624" t="s">
        <v>4838</v>
      </c>
      <c r="N645" s="624" t="s">
        <v>4092</v>
      </c>
      <c r="O645" s="624"/>
      <c r="P645" s="624"/>
    </row>
    <row r="646" spans="1:16">
      <c r="A646" s="231" t="s">
        <v>684</v>
      </c>
      <c r="B646" s="231" t="s">
        <v>1353</v>
      </c>
      <c r="C646" s="618">
        <v>45077</v>
      </c>
      <c r="D646" s="231" t="s">
        <v>4840</v>
      </c>
      <c r="E646" s="231" t="s">
        <v>5074</v>
      </c>
      <c r="F646" s="619"/>
      <c r="G646" s="231" t="s">
        <v>4836</v>
      </c>
      <c r="H646" s="619"/>
      <c r="I646" s="619">
        <v>5691.46</v>
      </c>
      <c r="J646" s="620">
        <v>3504593.6</v>
      </c>
      <c r="K646" s="621" t="s">
        <v>991</v>
      </c>
      <c r="L646" s="621" t="s">
        <v>4837</v>
      </c>
      <c r="M646" s="621" t="s">
        <v>4838</v>
      </c>
      <c r="N646" s="621" t="s">
        <v>4092</v>
      </c>
      <c r="O646" s="621"/>
      <c r="P646" s="621"/>
    </row>
    <row r="647" spans="1:16">
      <c r="A647" s="232" t="s">
        <v>684</v>
      </c>
      <c r="B647" s="232" t="s">
        <v>1353</v>
      </c>
      <c r="C647" s="622">
        <v>45077</v>
      </c>
      <c r="D647" s="232" t="s">
        <v>4843</v>
      </c>
      <c r="E647" s="231" t="s">
        <v>5074</v>
      </c>
      <c r="F647" s="233"/>
      <c r="G647" s="232" t="s">
        <v>4836</v>
      </c>
      <c r="H647" s="233"/>
      <c r="I647" s="233">
        <v>-14244.18</v>
      </c>
      <c r="J647" s="623">
        <v>-8771046.8000000007</v>
      </c>
      <c r="K647" s="624" t="s">
        <v>991</v>
      </c>
      <c r="L647" s="624" t="s">
        <v>4837</v>
      </c>
      <c r="M647" s="624" t="s">
        <v>4838</v>
      </c>
      <c r="N647" s="624" t="s">
        <v>4092</v>
      </c>
      <c r="O647" s="624"/>
      <c r="P647" s="624"/>
    </row>
    <row r="648" spans="1:16">
      <c r="A648" s="231" t="s">
        <v>684</v>
      </c>
      <c r="B648" s="231" t="s">
        <v>1353</v>
      </c>
      <c r="C648" s="618">
        <v>45077</v>
      </c>
      <c r="D648" s="231" t="s">
        <v>4843</v>
      </c>
      <c r="E648" s="231" t="s">
        <v>5074</v>
      </c>
      <c r="F648" s="619"/>
      <c r="G648" s="231" t="s">
        <v>4836</v>
      </c>
      <c r="H648" s="619"/>
      <c r="I648" s="619">
        <v>239.62</v>
      </c>
      <c r="J648" s="620">
        <v>147549.26</v>
      </c>
      <c r="K648" s="621" t="s">
        <v>991</v>
      </c>
      <c r="L648" s="621" t="s">
        <v>4837</v>
      </c>
      <c r="M648" s="621" t="s">
        <v>4838</v>
      </c>
      <c r="N648" s="621" t="s">
        <v>4092</v>
      </c>
      <c r="O648" s="621"/>
      <c r="P648" s="621"/>
    </row>
    <row r="649" spans="1:16">
      <c r="A649" s="232" t="s">
        <v>684</v>
      </c>
      <c r="B649" s="232" t="s">
        <v>1353</v>
      </c>
      <c r="C649" s="622">
        <v>45077</v>
      </c>
      <c r="D649" s="232" t="s">
        <v>4843</v>
      </c>
      <c r="E649" s="231" t="s">
        <v>5074</v>
      </c>
      <c r="F649" s="233"/>
      <c r="G649" s="232" t="s">
        <v>4836</v>
      </c>
      <c r="H649" s="233"/>
      <c r="I649" s="233">
        <v>-169991.99</v>
      </c>
      <c r="J649" s="623">
        <v>-104674870.69</v>
      </c>
      <c r="K649" s="624" t="s">
        <v>991</v>
      </c>
      <c r="L649" s="624" t="s">
        <v>4837</v>
      </c>
      <c r="M649" s="624" t="s">
        <v>4838</v>
      </c>
      <c r="N649" s="624" t="s">
        <v>4092</v>
      </c>
      <c r="O649" s="624"/>
      <c r="P649" s="624"/>
    </row>
    <row r="650" spans="1:16">
      <c r="A650" s="231" t="s">
        <v>684</v>
      </c>
      <c r="B650" s="231" t="s">
        <v>1353</v>
      </c>
      <c r="C650" s="618">
        <v>45077</v>
      </c>
      <c r="D650" s="231" t="s">
        <v>4842</v>
      </c>
      <c r="E650" s="231" t="s">
        <v>5073</v>
      </c>
      <c r="F650" s="619"/>
      <c r="G650" s="231" t="s">
        <v>4836</v>
      </c>
      <c r="H650" s="619"/>
      <c r="I650" s="619">
        <v>-70154.649999999994</v>
      </c>
      <c r="J650" s="620">
        <v>-43198676.109999999</v>
      </c>
      <c r="K650" s="621" t="s">
        <v>991</v>
      </c>
      <c r="L650" s="621" t="s">
        <v>4837</v>
      </c>
      <c r="M650" s="621" t="s">
        <v>4838</v>
      </c>
      <c r="N650" s="621" t="s">
        <v>4092</v>
      </c>
      <c r="O650" s="621"/>
      <c r="P650" s="621"/>
    </row>
    <row r="651" spans="1:16">
      <c r="A651" s="232" t="s">
        <v>684</v>
      </c>
      <c r="B651" s="232" t="s">
        <v>1353</v>
      </c>
      <c r="C651" s="622">
        <v>45077</v>
      </c>
      <c r="D651" s="232" t="s">
        <v>4842</v>
      </c>
      <c r="E651" s="231" t="s">
        <v>5073</v>
      </c>
      <c r="F651" s="233"/>
      <c r="G651" s="232" t="s">
        <v>4836</v>
      </c>
      <c r="H651" s="233"/>
      <c r="I651" s="233">
        <v>-213088.68</v>
      </c>
      <c r="J651" s="623">
        <v>-131212241.38</v>
      </c>
      <c r="K651" s="624" t="s">
        <v>991</v>
      </c>
      <c r="L651" s="624" t="s">
        <v>4837</v>
      </c>
      <c r="M651" s="624" t="s">
        <v>4838</v>
      </c>
      <c r="N651" s="624" t="s">
        <v>4092</v>
      </c>
      <c r="O651" s="624"/>
      <c r="P651" s="624"/>
    </row>
    <row r="652" spans="1:16">
      <c r="A652" s="231" t="s">
        <v>684</v>
      </c>
      <c r="B652" s="231" t="s">
        <v>1353</v>
      </c>
      <c r="C652" s="618">
        <v>45077</v>
      </c>
      <c r="D652" s="231" t="s">
        <v>4842</v>
      </c>
      <c r="E652" s="231" t="s">
        <v>5073</v>
      </c>
      <c r="F652" s="619"/>
      <c r="G652" s="231" t="s">
        <v>4836</v>
      </c>
      <c r="H652" s="619"/>
      <c r="I652" s="619">
        <v>-8468.51</v>
      </c>
      <c r="J652" s="620">
        <v>-5214599.75</v>
      </c>
      <c r="K652" s="621" t="s">
        <v>991</v>
      </c>
      <c r="L652" s="621" t="s">
        <v>4837</v>
      </c>
      <c r="M652" s="621" t="s">
        <v>4838</v>
      </c>
      <c r="N652" s="621" t="s">
        <v>4092</v>
      </c>
      <c r="O652" s="621"/>
      <c r="P652" s="621"/>
    </row>
    <row r="653" spans="1:16">
      <c r="A653" s="232" t="s">
        <v>684</v>
      </c>
      <c r="B653" s="232" t="s">
        <v>1353</v>
      </c>
      <c r="C653" s="622">
        <v>45077</v>
      </c>
      <c r="D653" s="232" t="s">
        <v>4844</v>
      </c>
      <c r="E653" s="232"/>
      <c r="F653" s="233"/>
      <c r="G653" s="232" t="s">
        <v>4836</v>
      </c>
      <c r="H653" s="233"/>
      <c r="I653" s="233">
        <v>-2201.5300000000002</v>
      </c>
      <c r="J653" s="623">
        <v>-1355621.92</v>
      </c>
      <c r="K653" s="624" t="s">
        <v>991</v>
      </c>
      <c r="L653" s="624" t="s">
        <v>4837</v>
      </c>
      <c r="M653" s="624" t="s">
        <v>4838</v>
      </c>
      <c r="N653" s="624" t="s">
        <v>4092</v>
      </c>
      <c r="O653" s="624"/>
      <c r="P653" s="624"/>
    </row>
    <row r="654" spans="1:16">
      <c r="A654" s="231" t="s">
        <v>684</v>
      </c>
      <c r="B654" s="231" t="s">
        <v>1353</v>
      </c>
      <c r="C654" s="618">
        <v>45077</v>
      </c>
      <c r="D654" s="231" t="s">
        <v>4844</v>
      </c>
      <c r="E654" s="231"/>
      <c r="F654" s="619"/>
      <c r="G654" s="231" t="s">
        <v>4836</v>
      </c>
      <c r="H654" s="619"/>
      <c r="I654" s="619">
        <v>-86696</v>
      </c>
      <c r="J654" s="620">
        <v>-53384236.450000003</v>
      </c>
      <c r="K654" s="621" t="s">
        <v>991</v>
      </c>
      <c r="L654" s="621" t="s">
        <v>4837</v>
      </c>
      <c r="M654" s="621" t="s">
        <v>4838</v>
      </c>
      <c r="N654" s="621" t="s">
        <v>4092</v>
      </c>
      <c r="O654" s="621"/>
      <c r="P654" s="621"/>
    </row>
    <row r="655" spans="1:16">
      <c r="A655" s="232" t="s">
        <v>684</v>
      </c>
      <c r="B655" s="232" t="s">
        <v>1353</v>
      </c>
      <c r="C655" s="622">
        <v>45077</v>
      </c>
      <c r="D655" s="232" t="s">
        <v>4835</v>
      </c>
      <c r="E655" s="231" t="s">
        <v>5073</v>
      </c>
      <c r="F655" s="233"/>
      <c r="G655" s="232" t="s">
        <v>4836</v>
      </c>
      <c r="H655" s="233"/>
      <c r="I655" s="233">
        <v>-36.659999999999997</v>
      </c>
      <c r="J655" s="623">
        <v>-22573.89</v>
      </c>
      <c r="K655" s="624" t="s">
        <v>991</v>
      </c>
      <c r="L655" s="624" t="s">
        <v>4837</v>
      </c>
      <c r="M655" s="624" t="s">
        <v>4838</v>
      </c>
      <c r="N655" s="624" t="s">
        <v>4092</v>
      </c>
      <c r="O655" s="624"/>
      <c r="P655" s="624"/>
    </row>
    <row r="656" spans="1:16">
      <c r="A656" s="231" t="s">
        <v>684</v>
      </c>
      <c r="B656" s="231" t="s">
        <v>1353</v>
      </c>
      <c r="C656" s="618">
        <v>45077</v>
      </c>
      <c r="D656" s="231" t="s">
        <v>4844</v>
      </c>
      <c r="E656" s="231"/>
      <c r="F656" s="619"/>
      <c r="G656" s="231" t="s">
        <v>4836</v>
      </c>
      <c r="H656" s="619"/>
      <c r="I656" s="619">
        <v>-3518.29</v>
      </c>
      <c r="J656" s="620">
        <v>-2166434.73</v>
      </c>
      <c r="K656" s="621" t="s">
        <v>991</v>
      </c>
      <c r="L656" s="621" t="s">
        <v>4837</v>
      </c>
      <c r="M656" s="621" t="s">
        <v>4838</v>
      </c>
      <c r="N656" s="621" t="s">
        <v>4092</v>
      </c>
      <c r="O656" s="621"/>
      <c r="P656" s="621"/>
    </row>
    <row r="657" spans="1:16">
      <c r="A657" s="232" t="s">
        <v>684</v>
      </c>
      <c r="B657" s="232" t="s">
        <v>1353</v>
      </c>
      <c r="C657" s="622">
        <v>45077</v>
      </c>
      <c r="D657" s="232" t="s">
        <v>4844</v>
      </c>
      <c r="E657" s="232"/>
      <c r="F657" s="233"/>
      <c r="G657" s="232" t="s">
        <v>4836</v>
      </c>
      <c r="H657" s="233"/>
      <c r="I657" s="233">
        <v>56383.18</v>
      </c>
      <c r="J657" s="623">
        <v>34718706.899999999</v>
      </c>
      <c r="K657" s="624" t="s">
        <v>991</v>
      </c>
      <c r="L657" s="624" t="s">
        <v>4837</v>
      </c>
      <c r="M657" s="624" t="s">
        <v>4838</v>
      </c>
      <c r="N657" s="624" t="s">
        <v>4092</v>
      </c>
      <c r="O657" s="624"/>
      <c r="P657" s="624"/>
    </row>
    <row r="658" spans="1:16">
      <c r="A658" s="231" t="s">
        <v>684</v>
      </c>
      <c r="B658" s="231" t="s">
        <v>1353</v>
      </c>
      <c r="C658" s="618">
        <v>45077</v>
      </c>
      <c r="D658" s="231" t="s">
        <v>4843</v>
      </c>
      <c r="E658" s="231" t="s">
        <v>5074</v>
      </c>
      <c r="F658" s="619"/>
      <c r="G658" s="231" t="s">
        <v>4836</v>
      </c>
      <c r="H658" s="619"/>
      <c r="I658" s="619">
        <v>-112153.39</v>
      </c>
      <c r="J658" s="620">
        <v>-69059969.209999993</v>
      </c>
      <c r="K658" s="621" t="s">
        <v>991</v>
      </c>
      <c r="L658" s="621" t="s">
        <v>4837</v>
      </c>
      <c r="M658" s="621" t="s">
        <v>4838</v>
      </c>
      <c r="N658" s="621" t="s">
        <v>4092</v>
      </c>
      <c r="O658" s="621"/>
      <c r="P658" s="621"/>
    </row>
    <row r="659" spans="1:16">
      <c r="A659" s="232" t="s">
        <v>684</v>
      </c>
      <c r="B659" s="232" t="s">
        <v>1353</v>
      </c>
      <c r="C659" s="622">
        <v>45077</v>
      </c>
      <c r="D659" s="232" t="s">
        <v>4843</v>
      </c>
      <c r="E659" s="231" t="s">
        <v>5074</v>
      </c>
      <c r="F659" s="233"/>
      <c r="G659" s="232" t="s">
        <v>4836</v>
      </c>
      <c r="H659" s="233"/>
      <c r="I659" s="233">
        <v>-9439.07</v>
      </c>
      <c r="J659" s="623">
        <v>-5812235.2199999997</v>
      </c>
      <c r="K659" s="624" t="s">
        <v>991</v>
      </c>
      <c r="L659" s="624" t="s">
        <v>4837</v>
      </c>
      <c r="M659" s="624" t="s">
        <v>4838</v>
      </c>
      <c r="N659" s="624" t="s">
        <v>4092</v>
      </c>
      <c r="O659" s="624"/>
      <c r="P659" s="624"/>
    </row>
    <row r="660" spans="1:16">
      <c r="A660" s="231" t="s">
        <v>684</v>
      </c>
      <c r="B660" s="231" t="s">
        <v>1353</v>
      </c>
      <c r="C660" s="618">
        <v>45077</v>
      </c>
      <c r="D660" s="231" t="s">
        <v>4840</v>
      </c>
      <c r="E660" s="231" t="s">
        <v>5074</v>
      </c>
      <c r="F660" s="619"/>
      <c r="G660" s="231" t="s">
        <v>4836</v>
      </c>
      <c r="H660" s="619"/>
      <c r="I660" s="619">
        <v>153.80000000000001</v>
      </c>
      <c r="J660" s="620">
        <v>94704.43</v>
      </c>
      <c r="K660" s="621" t="s">
        <v>991</v>
      </c>
      <c r="L660" s="621" t="s">
        <v>4837</v>
      </c>
      <c r="M660" s="621" t="s">
        <v>4838</v>
      </c>
      <c r="N660" s="621" t="s">
        <v>4092</v>
      </c>
      <c r="O660" s="621"/>
      <c r="P660" s="621"/>
    </row>
    <row r="661" spans="1:16">
      <c r="A661" s="232" t="s">
        <v>684</v>
      </c>
      <c r="B661" s="232" t="s">
        <v>1353</v>
      </c>
      <c r="C661" s="622">
        <v>45077</v>
      </c>
      <c r="D661" s="232" t="s">
        <v>4839</v>
      </c>
      <c r="E661" s="231" t="s">
        <v>5073</v>
      </c>
      <c r="F661" s="233"/>
      <c r="G661" s="232" t="s">
        <v>4836</v>
      </c>
      <c r="H661" s="233"/>
      <c r="I661" s="233">
        <v>-13004.56</v>
      </c>
      <c r="J661" s="623">
        <v>-8007733.9900000002</v>
      </c>
      <c r="K661" s="624" t="s">
        <v>991</v>
      </c>
      <c r="L661" s="624" t="s">
        <v>4837</v>
      </c>
      <c r="M661" s="624" t="s">
        <v>4838</v>
      </c>
      <c r="N661" s="624" t="s">
        <v>4092</v>
      </c>
      <c r="O661" s="624"/>
      <c r="P661" s="624"/>
    </row>
    <row r="662" spans="1:16">
      <c r="A662" s="231" t="s">
        <v>684</v>
      </c>
      <c r="B662" s="231" t="s">
        <v>1353</v>
      </c>
      <c r="C662" s="618">
        <v>45077</v>
      </c>
      <c r="D662" s="231" t="s">
        <v>4843</v>
      </c>
      <c r="E662" s="231" t="s">
        <v>5074</v>
      </c>
      <c r="F662" s="619"/>
      <c r="G662" s="231" t="s">
        <v>4836</v>
      </c>
      <c r="H662" s="619"/>
      <c r="I662" s="619">
        <v>-113332.81</v>
      </c>
      <c r="J662" s="620">
        <v>-69786213.049999997</v>
      </c>
      <c r="K662" s="621" t="s">
        <v>991</v>
      </c>
      <c r="L662" s="621" t="s">
        <v>4837</v>
      </c>
      <c r="M662" s="621" t="s">
        <v>4838</v>
      </c>
      <c r="N662" s="621" t="s">
        <v>4092</v>
      </c>
      <c r="O662" s="621"/>
      <c r="P662" s="621"/>
    </row>
    <row r="663" spans="1:16">
      <c r="A663" s="232" t="s">
        <v>684</v>
      </c>
      <c r="B663" s="232" t="s">
        <v>1353</v>
      </c>
      <c r="C663" s="622">
        <v>45077</v>
      </c>
      <c r="D663" s="232" t="s">
        <v>4839</v>
      </c>
      <c r="E663" s="231" t="s">
        <v>5073</v>
      </c>
      <c r="F663" s="233"/>
      <c r="G663" s="232" t="s">
        <v>4836</v>
      </c>
      <c r="H663" s="233"/>
      <c r="I663" s="233">
        <v>-85774.55</v>
      </c>
      <c r="J663" s="623">
        <v>-52816841.130000003</v>
      </c>
      <c r="K663" s="624" t="s">
        <v>991</v>
      </c>
      <c r="L663" s="624" t="s">
        <v>4837</v>
      </c>
      <c r="M663" s="624" t="s">
        <v>4838</v>
      </c>
      <c r="N663" s="624" t="s">
        <v>4092</v>
      </c>
      <c r="O663" s="624"/>
      <c r="P663" s="624"/>
    </row>
    <row r="664" spans="1:16">
      <c r="A664" s="231" t="s">
        <v>684</v>
      </c>
      <c r="B664" s="231" t="s">
        <v>1353</v>
      </c>
      <c r="C664" s="618">
        <v>45077</v>
      </c>
      <c r="D664" s="231" t="s">
        <v>4844</v>
      </c>
      <c r="E664" s="231"/>
      <c r="F664" s="619"/>
      <c r="G664" s="231" t="s">
        <v>4836</v>
      </c>
      <c r="H664" s="619"/>
      <c r="I664" s="619">
        <v>-34664.339999999997</v>
      </c>
      <c r="J664" s="620">
        <v>-21345036.949999999</v>
      </c>
      <c r="K664" s="621" t="s">
        <v>991</v>
      </c>
      <c r="L664" s="621" t="s">
        <v>4837</v>
      </c>
      <c r="M664" s="621" t="s">
        <v>4838</v>
      </c>
      <c r="N664" s="621" t="s">
        <v>4092</v>
      </c>
      <c r="O664" s="621"/>
      <c r="P664" s="621"/>
    </row>
    <row r="665" spans="1:16">
      <c r="A665" s="232" t="s">
        <v>684</v>
      </c>
      <c r="B665" s="232" t="s">
        <v>1353</v>
      </c>
      <c r="C665" s="622">
        <v>45077</v>
      </c>
      <c r="D665" s="232" t="s">
        <v>4844</v>
      </c>
      <c r="E665" s="232"/>
      <c r="F665" s="233"/>
      <c r="G665" s="232" t="s">
        <v>4836</v>
      </c>
      <c r="H665" s="233"/>
      <c r="I665" s="233">
        <v>-186292.99</v>
      </c>
      <c r="J665" s="623">
        <v>-114712432.27</v>
      </c>
      <c r="K665" s="624" t="s">
        <v>991</v>
      </c>
      <c r="L665" s="624" t="s">
        <v>4837</v>
      </c>
      <c r="M665" s="624" t="s">
        <v>4838</v>
      </c>
      <c r="N665" s="624" t="s">
        <v>4092</v>
      </c>
      <c r="O665" s="624"/>
      <c r="P665" s="624"/>
    </row>
    <row r="666" spans="1:16">
      <c r="A666" s="231" t="s">
        <v>684</v>
      </c>
      <c r="B666" s="231" t="s">
        <v>1353</v>
      </c>
      <c r="C666" s="618">
        <v>45077</v>
      </c>
      <c r="D666" s="231" t="s">
        <v>4841</v>
      </c>
      <c r="E666" s="231" t="s">
        <v>5073</v>
      </c>
      <c r="F666" s="619"/>
      <c r="G666" s="231" t="s">
        <v>4836</v>
      </c>
      <c r="H666" s="619"/>
      <c r="I666" s="619">
        <v>-925.55</v>
      </c>
      <c r="J666" s="620">
        <v>-569919.94999999995</v>
      </c>
      <c r="K666" s="621" t="s">
        <v>991</v>
      </c>
      <c r="L666" s="621" t="s">
        <v>4837</v>
      </c>
      <c r="M666" s="621" t="s">
        <v>4838</v>
      </c>
      <c r="N666" s="621" t="s">
        <v>4092</v>
      </c>
      <c r="O666" s="621"/>
      <c r="P666" s="621"/>
    </row>
    <row r="667" spans="1:16">
      <c r="A667" s="232" t="s">
        <v>684</v>
      </c>
      <c r="B667" s="232" t="s">
        <v>1353</v>
      </c>
      <c r="C667" s="622">
        <v>45077</v>
      </c>
      <c r="D667" s="232" t="s">
        <v>4844</v>
      </c>
      <c r="E667" s="232"/>
      <c r="F667" s="233"/>
      <c r="G667" s="232" t="s">
        <v>4836</v>
      </c>
      <c r="H667" s="233"/>
      <c r="I667" s="233">
        <v>-62985.71</v>
      </c>
      <c r="J667" s="623">
        <v>-38784304.189999998</v>
      </c>
      <c r="K667" s="624" t="s">
        <v>991</v>
      </c>
      <c r="L667" s="624" t="s">
        <v>4837</v>
      </c>
      <c r="M667" s="624" t="s">
        <v>4838</v>
      </c>
      <c r="N667" s="624" t="s">
        <v>4092</v>
      </c>
      <c r="O667" s="624"/>
      <c r="P667" s="624"/>
    </row>
    <row r="668" spans="1:16">
      <c r="A668" s="231" t="s">
        <v>684</v>
      </c>
      <c r="B668" s="231" t="s">
        <v>1353</v>
      </c>
      <c r="C668" s="618">
        <v>45077</v>
      </c>
      <c r="D668" s="231" t="s">
        <v>4844</v>
      </c>
      <c r="E668" s="231"/>
      <c r="F668" s="619"/>
      <c r="G668" s="231" t="s">
        <v>4836</v>
      </c>
      <c r="H668" s="619"/>
      <c r="I668" s="619">
        <v>-13271.97</v>
      </c>
      <c r="J668" s="620">
        <v>-8172395.3200000003</v>
      </c>
      <c r="K668" s="621" t="s">
        <v>991</v>
      </c>
      <c r="L668" s="621" t="s">
        <v>4837</v>
      </c>
      <c r="M668" s="621" t="s">
        <v>4838</v>
      </c>
      <c r="N668" s="621" t="s">
        <v>4092</v>
      </c>
      <c r="O668" s="621"/>
      <c r="P668" s="621"/>
    </row>
    <row r="669" spans="1:16">
      <c r="A669" s="232" t="s">
        <v>684</v>
      </c>
      <c r="B669" s="232" t="s">
        <v>1353</v>
      </c>
      <c r="C669" s="622">
        <v>45077</v>
      </c>
      <c r="D669" s="232" t="s">
        <v>4843</v>
      </c>
      <c r="E669" s="231" t="s">
        <v>5074</v>
      </c>
      <c r="F669" s="233"/>
      <c r="G669" s="232" t="s">
        <v>4836</v>
      </c>
      <c r="H669" s="233"/>
      <c r="I669" s="233">
        <v>-55.39</v>
      </c>
      <c r="J669" s="623">
        <v>-34107.14</v>
      </c>
      <c r="K669" s="624" t="s">
        <v>991</v>
      </c>
      <c r="L669" s="624" t="s">
        <v>4837</v>
      </c>
      <c r="M669" s="624" t="s">
        <v>4838</v>
      </c>
      <c r="N669" s="624" t="s">
        <v>4092</v>
      </c>
      <c r="O669" s="624"/>
      <c r="P669" s="624"/>
    </row>
    <row r="670" spans="1:16">
      <c r="A670" s="231" t="s">
        <v>684</v>
      </c>
      <c r="B670" s="231" t="s">
        <v>1353</v>
      </c>
      <c r="C670" s="618">
        <v>45077</v>
      </c>
      <c r="D670" s="231" t="s">
        <v>4840</v>
      </c>
      <c r="E670" s="231" t="s">
        <v>5074</v>
      </c>
      <c r="F670" s="619"/>
      <c r="G670" s="231" t="s">
        <v>4836</v>
      </c>
      <c r="H670" s="619"/>
      <c r="I670" s="619">
        <v>-11908.56</v>
      </c>
      <c r="J670" s="620">
        <v>-7332857.1399999997</v>
      </c>
      <c r="K670" s="621" t="s">
        <v>991</v>
      </c>
      <c r="L670" s="621" t="s">
        <v>4837</v>
      </c>
      <c r="M670" s="621" t="s">
        <v>4838</v>
      </c>
      <c r="N670" s="621" t="s">
        <v>4092</v>
      </c>
      <c r="O670" s="621"/>
      <c r="P670" s="621"/>
    </row>
    <row r="671" spans="1:16">
      <c r="A671" s="232" t="s">
        <v>684</v>
      </c>
      <c r="B671" s="232" t="s">
        <v>1353</v>
      </c>
      <c r="C671" s="622">
        <v>45077</v>
      </c>
      <c r="D671" s="232" t="s">
        <v>4843</v>
      </c>
      <c r="E671" s="231" t="s">
        <v>5074</v>
      </c>
      <c r="F671" s="233"/>
      <c r="G671" s="232" t="s">
        <v>4836</v>
      </c>
      <c r="H671" s="233"/>
      <c r="I671" s="233">
        <v>-36110.33</v>
      </c>
      <c r="J671" s="623">
        <v>-22235424.879999999</v>
      </c>
      <c r="K671" s="624" t="s">
        <v>991</v>
      </c>
      <c r="L671" s="624" t="s">
        <v>4837</v>
      </c>
      <c r="M671" s="624" t="s">
        <v>4838</v>
      </c>
      <c r="N671" s="624" t="s">
        <v>4092</v>
      </c>
      <c r="O671" s="624"/>
      <c r="P671" s="624"/>
    </row>
    <row r="672" spans="1:16">
      <c r="A672" s="231" t="s">
        <v>684</v>
      </c>
      <c r="B672" s="231" t="s">
        <v>1353</v>
      </c>
      <c r="C672" s="618">
        <v>45077</v>
      </c>
      <c r="D672" s="231" t="s">
        <v>4843</v>
      </c>
      <c r="E672" s="231" t="s">
        <v>5074</v>
      </c>
      <c r="F672" s="619"/>
      <c r="G672" s="231" t="s">
        <v>4836</v>
      </c>
      <c r="H672" s="619"/>
      <c r="I672" s="619">
        <v>-9977.41</v>
      </c>
      <c r="J672" s="620">
        <v>-6143725.3700000001</v>
      </c>
      <c r="K672" s="621" t="s">
        <v>991</v>
      </c>
      <c r="L672" s="621" t="s">
        <v>4837</v>
      </c>
      <c r="M672" s="621" t="s">
        <v>4838</v>
      </c>
      <c r="N672" s="621" t="s">
        <v>4092</v>
      </c>
      <c r="O672" s="621"/>
      <c r="P672" s="621"/>
    </row>
    <row r="673" spans="1:16">
      <c r="A673" s="232" t="s">
        <v>684</v>
      </c>
      <c r="B673" s="232" t="s">
        <v>1353</v>
      </c>
      <c r="C673" s="622">
        <v>45078</v>
      </c>
      <c r="D673" s="232" t="s">
        <v>4843</v>
      </c>
      <c r="E673" s="231" t="s">
        <v>5074</v>
      </c>
      <c r="F673" s="233"/>
      <c r="G673" s="232" t="s">
        <v>4836</v>
      </c>
      <c r="H673" s="233"/>
      <c r="I673" s="233">
        <v>-4177.8</v>
      </c>
      <c r="J673" s="623">
        <v>-2509189.19</v>
      </c>
      <c r="K673" s="624" t="s">
        <v>991</v>
      </c>
      <c r="L673" s="624" t="s">
        <v>4837</v>
      </c>
      <c r="M673" s="624" t="s">
        <v>4838</v>
      </c>
      <c r="N673" s="624" t="s">
        <v>4092</v>
      </c>
      <c r="O673" s="624"/>
      <c r="P673" s="624"/>
    </row>
    <row r="674" spans="1:16">
      <c r="A674" s="231" t="s">
        <v>684</v>
      </c>
      <c r="B674" s="231" t="s">
        <v>1353</v>
      </c>
      <c r="C674" s="618">
        <v>45078</v>
      </c>
      <c r="D674" s="231" t="s">
        <v>4839</v>
      </c>
      <c r="E674" s="231" t="s">
        <v>5073</v>
      </c>
      <c r="F674" s="619">
        <v>2</v>
      </c>
      <c r="G674" s="231" t="s">
        <v>4836</v>
      </c>
      <c r="H674" s="619">
        <v>2058.29</v>
      </c>
      <c r="I674" s="619">
        <v>4116.58</v>
      </c>
      <c r="J674" s="620">
        <v>2525509.2000000002</v>
      </c>
      <c r="K674" s="621" t="s">
        <v>991</v>
      </c>
      <c r="L674" s="621" t="s">
        <v>4837</v>
      </c>
      <c r="M674" s="621" t="s">
        <v>4838</v>
      </c>
      <c r="N674" s="621" t="s">
        <v>4092</v>
      </c>
      <c r="O674" s="621"/>
      <c r="P674" s="621"/>
    </row>
    <row r="675" spans="1:16">
      <c r="A675" s="232" t="s">
        <v>684</v>
      </c>
      <c r="B675" s="232" t="s">
        <v>1353</v>
      </c>
      <c r="C675" s="622">
        <v>45078</v>
      </c>
      <c r="D675" s="232" t="s">
        <v>4843</v>
      </c>
      <c r="E675" s="231" t="s">
        <v>5074</v>
      </c>
      <c r="F675" s="233">
        <v>79.978999999999999</v>
      </c>
      <c r="G675" s="232" t="s">
        <v>4836</v>
      </c>
      <c r="H675" s="233">
        <v>2049.1999999999998</v>
      </c>
      <c r="I675" s="233">
        <v>163892.97</v>
      </c>
      <c r="J675" s="623">
        <v>99995710.799999997</v>
      </c>
      <c r="K675" s="624" t="s">
        <v>991</v>
      </c>
      <c r="L675" s="624" t="s">
        <v>4837</v>
      </c>
      <c r="M675" s="624" t="s">
        <v>4838</v>
      </c>
      <c r="N675" s="624" t="s">
        <v>4092</v>
      </c>
      <c r="O675" s="624"/>
      <c r="P675" s="624"/>
    </row>
    <row r="676" spans="1:16">
      <c r="A676" s="231" t="s">
        <v>684</v>
      </c>
      <c r="B676" s="231" t="s">
        <v>1353</v>
      </c>
      <c r="C676" s="618">
        <v>45078</v>
      </c>
      <c r="D676" s="231" t="s">
        <v>4843</v>
      </c>
      <c r="E676" s="231" t="s">
        <v>5074</v>
      </c>
      <c r="F676" s="619">
        <v>99.96</v>
      </c>
      <c r="G676" s="231" t="s">
        <v>4836</v>
      </c>
      <c r="H676" s="619">
        <v>2194.6999999999998</v>
      </c>
      <c r="I676" s="619">
        <v>219382.21</v>
      </c>
      <c r="J676" s="620">
        <v>133851256.86</v>
      </c>
      <c r="K676" s="621" t="s">
        <v>991</v>
      </c>
      <c r="L676" s="621" t="s">
        <v>4837</v>
      </c>
      <c r="M676" s="621" t="s">
        <v>4838</v>
      </c>
      <c r="N676" s="621" t="s">
        <v>4092</v>
      </c>
      <c r="O676" s="621"/>
      <c r="P676" s="621"/>
    </row>
    <row r="677" spans="1:16">
      <c r="A677" s="232" t="s">
        <v>684</v>
      </c>
      <c r="B677" s="232" t="s">
        <v>1353</v>
      </c>
      <c r="C677" s="622">
        <v>45078</v>
      </c>
      <c r="D677" s="232" t="s">
        <v>4843</v>
      </c>
      <c r="E677" s="231" t="s">
        <v>5074</v>
      </c>
      <c r="F677" s="233">
        <v>60.009</v>
      </c>
      <c r="G677" s="232" t="s">
        <v>4836</v>
      </c>
      <c r="H677" s="233">
        <v>2235.85</v>
      </c>
      <c r="I677" s="233">
        <v>134171.12</v>
      </c>
      <c r="J677" s="623">
        <v>81861574.129999995</v>
      </c>
      <c r="K677" s="624" t="s">
        <v>991</v>
      </c>
      <c r="L677" s="624" t="s">
        <v>4837</v>
      </c>
      <c r="M677" s="624" t="s">
        <v>4838</v>
      </c>
      <c r="N677" s="624" t="s">
        <v>4092</v>
      </c>
      <c r="O677" s="624"/>
      <c r="P677" s="624"/>
    </row>
    <row r="678" spans="1:16">
      <c r="A678" s="231" t="s">
        <v>684</v>
      </c>
      <c r="B678" s="231" t="s">
        <v>1353</v>
      </c>
      <c r="C678" s="618">
        <v>45079</v>
      </c>
      <c r="D678" s="231" t="s">
        <v>4835</v>
      </c>
      <c r="E678" s="231" t="s">
        <v>5073</v>
      </c>
      <c r="F678" s="619">
        <v>32055.723000000002</v>
      </c>
      <c r="G678" s="231" t="s">
        <v>4836</v>
      </c>
      <c r="H678" s="619">
        <v>326.11</v>
      </c>
      <c r="I678" s="619">
        <v>10453691.83</v>
      </c>
      <c r="J678" s="620">
        <v>6399312960.1400003</v>
      </c>
      <c r="K678" s="621" t="s">
        <v>991</v>
      </c>
      <c r="L678" s="621" t="s">
        <v>4837</v>
      </c>
      <c r="M678" s="621" t="s">
        <v>4838</v>
      </c>
      <c r="N678" s="621" t="s">
        <v>4092</v>
      </c>
      <c r="O678" s="621"/>
      <c r="P678" s="621"/>
    </row>
    <row r="679" spans="1:16">
      <c r="A679" s="232" t="s">
        <v>684</v>
      </c>
      <c r="B679" s="232" t="s">
        <v>1353</v>
      </c>
      <c r="C679" s="622">
        <v>45083</v>
      </c>
      <c r="D679" s="232" t="s">
        <v>4846</v>
      </c>
      <c r="E679" s="231" t="s">
        <v>5073</v>
      </c>
      <c r="F679" s="233">
        <v>20041.213</v>
      </c>
      <c r="G679" s="232" t="s">
        <v>4836</v>
      </c>
      <c r="H679" s="233">
        <v>295.85000000000002</v>
      </c>
      <c r="I679" s="233">
        <v>5929192.8700000001</v>
      </c>
      <c r="J679" s="623">
        <v>3637541638.04</v>
      </c>
      <c r="K679" s="624" t="s">
        <v>991</v>
      </c>
      <c r="L679" s="624" t="s">
        <v>4837</v>
      </c>
      <c r="M679" s="624" t="s">
        <v>4838</v>
      </c>
      <c r="N679" s="624" t="s">
        <v>4092</v>
      </c>
      <c r="O679" s="624"/>
      <c r="P679" s="624"/>
    </row>
    <row r="680" spans="1:16">
      <c r="A680" s="231" t="s">
        <v>684</v>
      </c>
      <c r="B680" s="231" t="s">
        <v>1353</v>
      </c>
      <c r="C680" s="618">
        <v>45088</v>
      </c>
      <c r="D680" s="231" t="s">
        <v>4840</v>
      </c>
      <c r="E680" s="231" t="s">
        <v>5074</v>
      </c>
      <c r="F680" s="619"/>
      <c r="G680" s="231" t="s">
        <v>4836</v>
      </c>
      <c r="H680" s="619"/>
      <c r="I680" s="619">
        <v>252014.7</v>
      </c>
      <c r="J680" s="620">
        <v>153386914.18000001</v>
      </c>
      <c r="K680" s="621" t="s">
        <v>991</v>
      </c>
      <c r="L680" s="621" t="s">
        <v>4837</v>
      </c>
      <c r="M680" s="621" t="s">
        <v>4838</v>
      </c>
      <c r="N680" s="621" t="s">
        <v>4092</v>
      </c>
      <c r="O680" s="621"/>
      <c r="P680" s="621"/>
    </row>
    <row r="681" spans="1:16">
      <c r="A681" s="232" t="s">
        <v>684</v>
      </c>
      <c r="B681" s="232" t="s">
        <v>1353</v>
      </c>
      <c r="C681" s="622">
        <v>45088</v>
      </c>
      <c r="D681" s="232" t="s">
        <v>4839</v>
      </c>
      <c r="E681" s="231" t="s">
        <v>5073</v>
      </c>
      <c r="F681" s="233">
        <v>60</v>
      </c>
      <c r="G681" s="232" t="s">
        <v>4836</v>
      </c>
      <c r="H681" s="233">
        <v>2056.7399999999998</v>
      </c>
      <c r="I681" s="233">
        <v>123404.4</v>
      </c>
      <c r="J681" s="623">
        <v>75109190.510000005</v>
      </c>
      <c r="K681" s="624" t="s">
        <v>991</v>
      </c>
      <c r="L681" s="624" t="s">
        <v>4837</v>
      </c>
      <c r="M681" s="624" t="s">
        <v>4838</v>
      </c>
      <c r="N681" s="624" t="s">
        <v>4092</v>
      </c>
      <c r="O681" s="624"/>
      <c r="P681" s="624"/>
    </row>
    <row r="682" spans="1:16">
      <c r="A682" s="231" t="s">
        <v>684</v>
      </c>
      <c r="B682" s="231" t="s">
        <v>1353</v>
      </c>
      <c r="C682" s="618">
        <v>45088</v>
      </c>
      <c r="D682" s="231" t="s">
        <v>4843</v>
      </c>
      <c r="E682" s="231" t="s">
        <v>5074</v>
      </c>
      <c r="F682" s="619">
        <v>506.57825000000003</v>
      </c>
      <c r="G682" s="231" t="s">
        <v>4836</v>
      </c>
      <c r="H682" s="619">
        <v>2142.88</v>
      </c>
      <c r="I682" s="619">
        <v>1085546.58</v>
      </c>
      <c r="J682" s="620">
        <v>660710030.42999995</v>
      </c>
      <c r="K682" s="621" t="s">
        <v>991</v>
      </c>
      <c r="L682" s="621" t="s">
        <v>4837</v>
      </c>
      <c r="M682" s="621" t="s">
        <v>4838</v>
      </c>
      <c r="N682" s="621" t="s">
        <v>4092</v>
      </c>
      <c r="O682" s="621"/>
      <c r="P682" s="621"/>
    </row>
    <row r="683" spans="1:16">
      <c r="A683" s="232" t="s">
        <v>684</v>
      </c>
      <c r="B683" s="232" t="s">
        <v>1353</v>
      </c>
      <c r="C683" s="622">
        <v>45088</v>
      </c>
      <c r="D683" s="232" t="s">
        <v>4843</v>
      </c>
      <c r="E683" s="231" t="s">
        <v>5074</v>
      </c>
      <c r="F683" s="233">
        <v>200</v>
      </c>
      <c r="G683" s="232" t="s">
        <v>4836</v>
      </c>
      <c r="H683" s="233">
        <v>2153.4499999999998</v>
      </c>
      <c r="I683" s="233">
        <v>430690</v>
      </c>
      <c r="J683" s="623">
        <v>262136335.97</v>
      </c>
      <c r="K683" s="624" t="s">
        <v>991</v>
      </c>
      <c r="L683" s="624" t="s">
        <v>4837</v>
      </c>
      <c r="M683" s="624" t="s">
        <v>4838</v>
      </c>
      <c r="N683" s="624" t="s">
        <v>4092</v>
      </c>
      <c r="O683" s="624"/>
      <c r="P683" s="624"/>
    </row>
    <row r="684" spans="1:16">
      <c r="A684" s="231" t="s">
        <v>684</v>
      </c>
      <c r="B684" s="231" t="s">
        <v>1353</v>
      </c>
      <c r="C684" s="618">
        <v>45088</v>
      </c>
      <c r="D684" s="231" t="s">
        <v>4840</v>
      </c>
      <c r="E684" s="231" t="s">
        <v>5074</v>
      </c>
      <c r="F684" s="619">
        <v>120.00700000000001</v>
      </c>
      <c r="G684" s="231" t="s">
        <v>4836</v>
      </c>
      <c r="H684" s="619">
        <v>1990.39</v>
      </c>
      <c r="I684" s="619">
        <v>238860.73</v>
      </c>
      <c r="J684" s="620">
        <v>145380846.00999999</v>
      </c>
      <c r="K684" s="621" t="s">
        <v>991</v>
      </c>
      <c r="L684" s="621" t="s">
        <v>4837</v>
      </c>
      <c r="M684" s="621" t="s">
        <v>4838</v>
      </c>
      <c r="N684" s="621" t="s">
        <v>4092</v>
      </c>
      <c r="O684" s="621"/>
      <c r="P684" s="621"/>
    </row>
    <row r="685" spans="1:16">
      <c r="A685" s="232" t="s">
        <v>684</v>
      </c>
      <c r="B685" s="232" t="s">
        <v>1353</v>
      </c>
      <c r="C685" s="622">
        <v>45088</v>
      </c>
      <c r="D685" s="232" t="s">
        <v>4840</v>
      </c>
      <c r="E685" s="231" t="s">
        <v>5074</v>
      </c>
      <c r="F685" s="233">
        <v>80.016000000000005</v>
      </c>
      <c r="G685" s="232" t="s">
        <v>4836</v>
      </c>
      <c r="H685" s="233">
        <v>1984.95</v>
      </c>
      <c r="I685" s="233">
        <v>158827.76</v>
      </c>
      <c r="J685" s="623">
        <v>96669360.930000007</v>
      </c>
      <c r="K685" s="624" t="s">
        <v>991</v>
      </c>
      <c r="L685" s="624" t="s">
        <v>4837</v>
      </c>
      <c r="M685" s="624" t="s">
        <v>4838</v>
      </c>
      <c r="N685" s="624" t="s">
        <v>4092</v>
      </c>
      <c r="O685" s="624"/>
      <c r="P685" s="624"/>
    </row>
    <row r="686" spans="1:16">
      <c r="A686" s="231" t="s">
        <v>684</v>
      </c>
      <c r="B686" s="231" t="s">
        <v>1353</v>
      </c>
      <c r="C686" s="618">
        <v>45097</v>
      </c>
      <c r="D686" s="231" t="s">
        <v>4840</v>
      </c>
      <c r="E686" s="231" t="s">
        <v>5074</v>
      </c>
      <c r="F686" s="619"/>
      <c r="G686" s="231" t="s">
        <v>4836</v>
      </c>
      <c r="H686" s="619"/>
      <c r="I686" s="619">
        <v>5990.85</v>
      </c>
      <c r="J686" s="620">
        <v>3598108.11</v>
      </c>
      <c r="K686" s="621" t="s">
        <v>991</v>
      </c>
      <c r="L686" s="621" t="s">
        <v>4837</v>
      </c>
      <c r="M686" s="621" t="s">
        <v>4838</v>
      </c>
      <c r="N686" s="621" t="s">
        <v>4092</v>
      </c>
      <c r="O686" s="621"/>
      <c r="P686" s="621"/>
    </row>
    <row r="687" spans="1:16">
      <c r="A687" s="232" t="s">
        <v>684</v>
      </c>
      <c r="B687" s="232" t="s">
        <v>1353</v>
      </c>
      <c r="C687" s="622">
        <v>45098</v>
      </c>
      <c r="D687" s="232" t="s">
        <v>4843</v>
      </c>
      <c r="E687" s="231" t="s">
        <v>5074</v>
      </c>
      <c r="F687" s="233">
        <v>132.143</v>
      </c>
      <c r="G687" s="232" t="s">
        <v>4836</v>
      </c>
      <c r="H687" s="233">
        <v>2123.75</v>
      </c>
      <c r="I687" s="233">
        <v>280640.82</v>
      </c>
      <c r="J687" s="623">
        <v>168654338.94</v>
      </c>
      <c r="K687" s="624" t="s">
        <v>991</v>
      </c>
      <c r="L687" s="624" t="s">
        <v>4837</v>
      </c>
      <c r="M687" s="624" t="s">
        <v>4838</v>
      </c>
      <c r="N687" s="624" t="s">
        <v>4092</v>
      </c>
      <c r="O687" s="624"/>
      <c r="P687" s="624"/>
    </row>
    <row r="688" spans="1:16">
      <c r="A688" s="231" t="s">
        <v>684</v>
      </c>
      <c r="B688" s="231" t="s">
        <v>1353</v>
      </c>
      <c r="C688" s="618">
        <v>45098</v>
      </c>
      <c r="D688" s="231" t="s">
        <v>4840</v>
      </c>
      <c r="E688" s="231" t="s">
        <v>5074</v>
      </c>
      <c r="F688" s="619">
        <v>484.48099999999999</v>
      </c>
      <c r="G688" s="231" t="s">
        <v>4836</v>
      </c>
      <c r="H688" s="619">
        <v>1973.4</v>
      </c>
      <c r="I688" s="619">
        <v>956082.7</v>
      </c>
      <c r="J688" s="620">
        <v>574568930.28999996</v>
      </c>
      <c r="K688" s="621" t="s">
        <v>991</v>
      </c>
      <c r="L688" s="621" t="s">
        <v>4837</v>
      </c>
      <c r="M688" s="621" t="s">
        <v>4838</v>
      </c>
      <c r="N688" s="621" t="s">
        <v>4092</v>
      </c>
      <c r="O688" s="621"/>
      <c r="P688" s="621"/>
    </row>
    <row r="689" spans="1:16">
      <c r="A689" s="232" t="s">
        <v>684</v>
      </c>
      <c r="B689" s="232" t="s">
        <v>1353</v>
      </c>
      <c r="C689" s="622">
        <v>45098</v>
      </c>
      <c r="D689" s="232" t="s">
        <v>4843</v>
      </c>
      <c r="E689" s="231" t="s">
        <v>5074</v>
      </c>
      <c r="F689" s="233">
        <v>220.2</v>
      </c>
      <c r="G689" s="232" t="s">
        <v>4836</v>
      </c>
      <c r="H689" s="233">
        <v>2123.75</v>
      </c>
      <c r="I689" s="233">
        <v>467656.12</v>
      </c>
      <c r="J689" s="623">
        <v>281043341.35000002</v>
      </c>
      <c r="K689" s="624" t="s">
        <v>991</v>
      </c>
      <c r="L689" s="624" t="s">
        <v>4837</v>
      </c>
      <c r="M689" s="624" t="s">
        <v>4838</v>
      </c>
      <c r="N689" s="624" t="s">
        <v>4092</v>
      </c>
      <c r="O689" s="624"/>
      <c r="P689" s="624"/>
    </row>
    <row r="690" spans="1:16">
      <c r="A690" s="231" t="s">
        <v>684</v>
      </c>
      <c r="B690" s="231" t="s">
        <v>1353</v>
      </c>
      <c r="C690" s="618">
        <v>45098</v>
      </c>
      <c r="D690" s="231" t="s">
        <v>4843</v>
      </c>
      <c r="E690" s="231" t="s">
        <v>5074</v>
      </c>
      <c r="F690" s="619">
        <v>220.33500000000001</v>
      </c>
      <c r="G690" s="231" t="s">
        <v>4836</v>
      </c>
      <c r="H690" s="619">
        <v>2123.75</v>
      </c>
      <c r="I690" s="619">
        <v>467938.58</v>
      </c>
      <c r="J690" s="620">
        <v>281213088.94</v>
      </c>
      <c r="K690" s="621" t="s">
        <v>991</v>
      </c>
      <c r="L690" s="621" t="s">
        <v>4837</v>
      </c>
      <c r="M690" s="621" t="s">
        <v>4838</v>
      </c>
      <c r="N690" s="621" t="s">
        <v>4092</v>
      </c>
      <c r="O690" s="621"/>
      <c r="P690" s="621"/>
    </row>
    <row r="691" spans="1:16">
      <c r="A691" s="232" t="s">
        <v>684</v>
      </c>
      <c r="B691" s="232" t="s">
        <v>1353</v>
      </c>
      <c r="C691" s="622">
        <v>45099</v>
      </c>
      <c r="D691" s="232" t="s">
        <v>4846</v>
      </c>
      <c r="E691" s="231" t="s">
        <v>5073</v>
      </c>
      <c r="F691" s="233">
        <v>10000.19</v>
      </c>
      <c r="G691" s="232" t="s">
        <v>4836</v>
      </c>
      <c r="H691" s="233">
        <v>320.10000000000002</v>
      </c>
      <c r="I691" s="233">
        <v>3201060.8190000001</v>
      </c>
      <c r="J691" s="623">
        <v>1909940823.3900001</v>
      </c>
      <c r="K691" s="624" t="s">
        <v>991</v>
      </c>
      <c r="L691" s="624" t="s">
        <v>4837</v>
      </c>
      <c r="M691" s="624" t="s">
        <v>4838</v>
      </c>
      <c r="N691" s="624" t="s">
        <v>4092</v>
      </c>
      <c r="O691" s="624"/>
      <c r="P691" s="624"/>
    </row>
    <row r="692" spans="1:16">
      <c r="A692" s="231" t="s">
        <v>684</v>
      </c>
      <c r="B692" s="231" t="s">
        <v>1353</v>
      </c>
      <c r="C692" s="618">
        <v>45101</v>
      </c>
      <c r="D692" s="231" t="s">
        <v>4840</v>
      </c>
      <c r="E692" s="231" t="s">
        <v>5074</v>
      </c>
      <c r="F692" s="619">
        <v>198.12799999999999</v>
      </c>
      <c r="G692" s="231" t="s">
        <v>4836</v>
      </c>
      <c r="H692" s="619">
        <v>2100</v>
      </c>
      <c r="I692" s="619">
        <v>416070.9</v>
      </c>
      <c r="J692" s="620">
        <v>251098913.69999999</v>
      </c>
      <c r="K692" s="621" t="s">
        <v>991</v>
      </c>
      <c r="L692" s="621" t="s">
        <v>4837</v>
      </c>
      <c r="M692" s="621" t="s">
        <v>4838</v>
      </c>
      <c r="N692" s="621" t="s">
        <v>4092</v>
      </c>
      <c r="O692" s="621"/>
      <c r="P692" s="621"/>
    </row>
    <row r="693" spans="1:16">
      <c r="A693" s="232" t="s">
        <v>684</v>
      </c>
      <c r="B693" s="232" t="s">
        <v>1353</v>
      </c>
      <c r="C693" s="622">
        <v>45101</v>
      </c>
      <c r="D693" s="232" t="s">
        <v>4840</v>
      </c>
      <c r="E693" s="231" t="s">
        <v>5074</v>
      </c>
      <c r="F693" s="233">
        <v>286.26299999999998</v>
      </c>
      <c r="G693" s="232" t="s">
        <v>4836</v>
      </c>
      <c r="H693" s="233">
        <v>1998.83</v>
      </c>
      <c r="I693" s="233">
        <v>572193.06999999995</v>
      </c>
      <c r="J693" s="623">
        <v>345318690.39999998</v>
      </c>
      <c r="K693" s="624" t="s">
        <v>991</v>
      </c>
      <c r="L693" s="624" t="s">
        <v>4837</v>
      </c>
      <c r="M693" s="624" t="s">
        <v>4838</v>
      </c>
      <c r="N693" s="624" t="s">
        <v>4092</v>
      </c>
      <c r="O693" s="624"/>
      <c r="P693" s="624"/>
    </row>
    <row r="694" spans="1:16">
      <c r="A694" s="231" t="s">
        <v>684</v>
      </c>
      <c r="B694" s="231" t="s">
        <v>1353</v>
      </c>
      <c r="C694" s="618">
        <v>45101</v>
      </c>
      <c r="D694" s="231" t="s">
        <v>4843</v>
      </c>
      <c r="E694" s="231" t="s">
        <v>5074</v>
      </c>
      <c r="F694" s="619">
        <v>78.003</v>
      </c>
      <c r="G694" s="231" t="s">
        <v>4836</v>
      </c>
      <c r="H694" s="619">
        <v>2171.67</v>
      </c>
      <c r="I694" s="619">
        <v>169396.78</v>
      </c>
      <c r="J694" s="620">
        <v>102231007.84999999</v>
      </c>
      <c r="K694" s="621" t="s">
        <v>991</v>
      </c>
      <c r="L694" s="621" t="s">
        <v>4837</v>
      </c>
      <c r="M694" s="621" t="s">
        <v>4838</v>
      </c>
      <c r="N694" s="621" t="s">
        <v>4092</v>
      </c>
      <c r="O694" s="621"/>
      <c r="P694" s="621"/>
    </row>
    <row r="695" spans="1:16">
      <c r="A695" s="232" t="s">
        <v>684</v>
      </c>
      <c r="B695" s="232" t="s">
        <v>1353</v>
      </c>
      <c r="C695" s="622">
        <v>45101</v>
      </c>
      <c r="D695" s="232" t="s">
        <v>4843</v>
      </c>
      <c r="E695" s="231" t="s">
        <v>5074</v>
      </c>
      <c r="F695" s="233">
        <v>487.44499999999999</v>
      </c>
      <c r="G695" s="232" t="s">
        <v>4836</v>
      </c>
      <c r="H695" s="233">
        <v>2296.16</v>
      </c>
      <c r="I695" s="233">
        <v>1119251.71</v>
      </c>
      <c r="J695" s="623">
        <v>675468744.72000003</v>
      </c>
      <c r="K695" s="624" t="s">
        <v>991</v>
      </c>
      <c r="L695" s="624" t="s">
        <v>4837</v>
      </c>
      <c r="M695" s="624" t="s">
        <v>4838</v>
      </c>
      <c r="N695" s="624" t="s">
        <v>4092</v>
      </c>
      <c r="O695" s="624"/>
      <c r="P695" s="624"/>
    </row>
    <row r="696" spans="1:16">
      <c r="A696" s="231" t="s">
        <v>684</v>
      </c>
      <c r="B696" s="231" t="s">
        <v>1353</v>
      </c>
      <c r="C696" s="618">
        <v>45101</v>
      </c>
      <c r="D696" s="231" t="s">
        <v>4843</v>
      </c>
      <c r="E696" s="231" t="s">
        <v>5074</v>
      </c>
      <c r="F696" s="619">
        <v>487.43900000000002</v>
      </c>
      <c r="G696" s="231" t="s">
        <v>4836</v>
      </c>
      <c r="H696" s="619">
        <v>2300.27</v>
      </c>
      <c r="I696" s="619">
        <v>1121241.31</v>
      </c>
      <c r="J696" s="620">
        <v>676669468.91999996</v>
      </c>
      <c r="K696" s="621" t="s">
        <v>991</v>
      </c>
      <c r="L696" s="621" t="s">
        <v>4837</v>
      </c>
      <c r="M696" s="621" t="s">
        <v>4838</v>
      </c>
      <c r="N696" s="621" t="s">
        <v>4092</v>
      </c>
      <c r="O696" s="621"/>
      <c r="P696" s="621"/>
    </row>
    <row r="697" spans="1:16">
      <c r="A697" s="232" t="s">
        <v>684</v>
      </c>
      <c r="B697" s="232" t="s">
        <v>1353</v>
      </c>
      <c r="C697" s="622">
        <v>45102</v>
      </c>
      <c r="D697" s="232" t="s">
        <v>4841</v>
      </c>
      <c r="E697" s="231" t="s">
        <v>5073</v>
      </c>
      <c r="F697" s="233">
        <v>100</v>
      </c>
      <c r="G697" s="232" t="s">
        <v>4836</v>
      </c>
      <c r="H697" s="233">
        <v>1489.3</v>
      </c>
      <c r="I697" s="233">
        <v>148930</v>
      </c>
      <c r="J697" s="623">
        <v>89879299.939999998</v>
      </c>
      <c r="K697" s="624" t="s">
        <v>991</v>
      </c>
      <c r="L697" s="624" t="s">
        <v>4837</v>
      </c>
      <c r="M697" s="624" t="s">
        <v>4838</v>
      </c>
      <c r="N697" s="624" t="s">
        <v>4092</v>
      </c>
      <c r="O697" s="624"/>
      <c r="P697" s="624"/>
    </row>
    <row r="698" spans="1:16">
      <c r="A698" s="231" t="s">
        <v>684</v>
      </c>
      <c r="B698" s="231" t="s">
        <v>1353</v>
      </c>
      <c r="C698" s="618">
        <v>45102</v>
      </c>
      <c r="D698" s="231" t="s">
        <v>4835</v>
      </c>
      <c r="E698" s="231" t="s">
        <v>5073</v>
      </c>
      <c r="F698" s="619">
        <v>20</v>
      </c>
      <c r="G698" s="231" t="s">
        <v>4836</v>
      </c>
      <c r="H698" s="619">
        <v>762.25</v>
      </c>
      <c r="I698" s="619">
        <v>15245</v>
      </c>
      <c r="J698" s="620">
        <v>9200362.0999999996</v>
      </c>
      <c r="K698" s="621" t="s">
        <v>991</v>
      </c>
      <c r="L698" s="621" t="s">
        <v>4837</v>
      </c>
      <c r="M698" s="621" t="s">
        <v>4838</v>
      </c>
      <c r="N698" s="621" t="s">
        <v>4092</v>
      </c>
      <c r="O698" s="621"/>
      <c r="P698" s="621"/>
    </row>
    <row r="699" spans="1:16">
      <c r="A699" s="232" t="s">
        <v>684</v>
      </c>
      <c r="B699" s="232" t="s">
        <v>1353</v>
      </c>
      <c r="C699" s="622">
        <v>45102</v>
      </c>
      <c r="D699" s="232" t="s">
        <v>4843</v>
      </c>
      <c r="E699" s="231" t="s">
        <v>5074</v>
      </c>
      <c r="F699" s="233">
        <v>138.041</v>
      </c>
      <c r="G699" s="232" t="s">
        <v>4836</v>
      </c>
      <c r="H699" s="233">
        <v>2062.0500000000002</v>
      </c>
      <c r="I699" s="233">
        <v>284647.44</v>
      </c>
      <c r="J699" s="623">
        <v>171784815.93000001</v>
      </c>
      <c r="K699" s="624" t="s">
        <v>991</v>
      </c>
      <c r="L699" s="624" t="s">
        <v>4837</v>
      </c>
      <c r="M699" s="624" t="s">
        <v>4838</v>
      </c>
      <c r="N699" s="624" t="s">
        <v>4092</v>
      </c>
      <c r="O699" s="624"/>
      <c r="P699" s="624"/>
    </row>
    <row r="700" spans="1:16">
      <c r="A700" s="231" t="s">
        <v>684</v>
      </c>
      <c r="B700" s="231" t="s">
        <v>1353</v>
      </c>
      <c r="C700" s="618">
        <v>45102</v>
      </c>
      <c r="D700" s="231" t="s">
        <v>4843</v>
      </c>
      <c r="E700" s="231" t="s">
        <v>5074</v>
      </c>
      <c r="F700" s="619">
        <v>176.13</v>
      </c>
      <c r="G700" s="231" t="s">
        <v>4836</v>
      </c>
      <c r="H700" s="619">
        <v>2088.23</v>
      </c>
      <c r="I700" s="619">
        <v>367806.21</v>
      </c>
      <c r="J700" s="620">
        <v>221971158.72</v>
      </c>
      <c r="K700" s="621" t="s">
        <v>991</v>
      </c>
      <c r="L700" s="621" t="s">
        <v>4837</v>
      </c>
      <c r="M700" s="621" t="s">
        <v>4838</v>
      </c>
      <c r="N700" s="621" t="s">
        <v>4092</v>
      </c>
      <c r="O700" s="621"/>
      <c r="P700" s="621"/>
    </row>
    <row r="701" spans="1:16">
      <c r="A701" s="232" t="s">
        <v>684</v>
      </c>
      <c r="B701" s="232" t="s">
        <v>1353</v>
      </c>
      <c r="C701" s="622">
        <v>45102</v>
      </c>
      <c r="D701" s="232" t="s">
        <v>4843</v>
      </c>
      <c r="E701" s="231" t="s">
        <v>5074</v>
      </c>
      <c r="F701" s="233">
        <v>198.364</v>
      </c>
      <c r="G701" s="232" t="s">
        <v>4836</v>
      </c>
      <c r="H701" s="233">
        <v>2149.4699999999998</v>
      </c>
      <c r="I701" s="233">
        <v>426377.47</v>
      </c>
      <c r="J701" s="623">
        <v>257318931.80000001</v>
      </c>
      <c r="K701" s="624" t="s">
        <v>991</v>
      </c>
      <c r="L701" s="624" t="s">
        <v>4837</v>
      </c>
      <c r="M701" s="624" t="s">
        <v>4838</v>
      </c>
      <c r="N701" s="624" t="s">
        <v>4092</v>
      </c>
      <c r="O701" s="624"/>
      <c r="P701" s="624"/>
    </row>
    <row r="702" spans="1:16">
      <c r="A702" s="231" t="s">
        <v>684</v>
      </c>
      <c r="B702" s="231" t="s">
        <v>1353</v>
      </c>
      <c r="C702" s="618">
        <v>45102</v>
      </c>
      <c r="D702" s="231" t="s">
        <v>4843</v>
      </c>
      <c r="E702" s="231" t="s">
        <v>5074</v>
      </c>
      <c r="F702" s="619">
        <v>60.006999999999998</v>
      </c>
      <c r="G702" s="231" t="s">
        <v>4836</v>
      </c>
      <c r="H702" s="619">
        <v>2218.9499999999998</v>
      </c>
      <c r="I702" s="619">
        <v>133152.53</v>
      </c>
      <c r="J702" s="620">
        <v>80357592.030000001</v>
      </c>
      <c r="K702" s="621" t="s">
        <v>991</v>
      </c>
      <c r="L702" s="621" t="s">
        <v>4837</v>
      </c>
      <c r="M702" s="621" t="s">
        <v>4838</v>
      </c>
      <c r="N702" s="621" t="s">
        <v>4092</v>
      </c>
      <c r="O702" s="621"/>
      <c r="P702" s="621"/>
    </row>
    <row r="703" spans="1:16">
      <c r="A703" s="232" t="s">
        <v>684</v>
      </c>
      <c r="B703" s="232" t="s">
        <v>1353</v>
      </c>
      <c r="C703" s="622">
        <v>45102</v>
      </c>
      <c r="D703" s="232" t="s">
        <v>4843</v>
      </c>
      <c r="E703" s="231" t="s">
        <v>5074</v>
      </c>
      <c r="F703" s="233">
        <v>140</v>
      </c>
      <c r="G703" s="232" t="s">
        <v>4836</v>
      </c>
      <c r="H703" s="233">
        <v>2218.4499999999998</v>
      </c>
      <c r="I703" s="233">
        <v>310583</v>
      </c>
      <c r="J703" s="623">
        <v>187436934.22</v>
      </c>
      <c r="K703" s="624" t="s">
        <v>991</v>
      </c>
      <c r="L703" s="624" t="s">
        <v>4837</v>
      </c>
      <c r="M703" s="624" t="s">
        <v>4838</v>
      </c>
      <c r="N703" s="624" t="s">
        <v>4092</v>
      </c>
      <c r="O703" s="624"/>
      <c r="P703" s="624"/>
    </row>
    <row r="704" spans="1:16">
      <c r="A704" s="231" t="s">
        <v>684</v>
      </c>
      <c r="B704" s="231" t="s">
        <v>1353</v>
      </c>
      <c r="C704" s="618">
        <v>45102</v>
      </c>
      <c r="D704" s="231" t="s">
        <v>4844</v>
      </c>
      <c r="E704" s="231"/>
      <c r="F704" s="619">
        <v>921.952</v>
      </c>
      <c r="G704" s="231" t="s">
        <v>4836</v>
      </c>
      <c r="H704" s="619">
        <v>291.79000000000002</v>
      </c>
      <c r="I704" s="619">
        <v>269013.15000000002</v>
      </c>
      <c r="J704" s="620">
        <v>162349517.19999999</v>
      </c>
      <c r="K704" s="621" t="s">
        <v>991</v>
      </c>
      <c r="L704" s="621" t="s">
        <v>4837</v>
      </c>
      <c r="M704" s="621" t="s">
        <v>4838</v>
      </c>
      <c r="N704" s="621" t="s">
        <v>4092</v>
      </c>
      <c r="O704" s="621"/>
      <c r="P704" s="621"/>
    </row>
    <row r="705" spans="1:16">
      <c r="A705" s="232" t="s">
        <v>684</v>
      </c>
      <c r="B705" s="232" t="s">
        <v>1353</v>
      </c>
      <c r="C705" s="622">
        <v>45102</v>
      </c>
      <c r="D705" s="232" t="s">
        <v>4841</v>
      </c>
      <c r="E705" s="231" t="s">
        <v>5073</v>
      </c>
      <c r="F705" s="233">
        <v>60</v>
      </c>
      <c r="G705" s="232" t="s">
        <v>4836</v>
      </c>
      <c r="H705" s="233">
        <v>1455.05</v>
      </c>
      <c r="I705" s="233">
        <v>87303</v>
      </c>
      <c r="J705" s="623">
        <v>52687386.840000004</v>
      </c>
      <c r="K705" s="624" t="s">
        <v>991</v>
      </c>
      <c r="L705" s="624" t="s">
        <v>4837</v>
      </c>
      <c r="M705" s="624" t="s">
        <v>4838</v>
      </c>
      <c r="N705" s="624" t="s">
        <v>4092</v>
      </c>
      <c r="O705" s="624"/>
      <c r="P705" s="624"/>
    </row>
    <row r="706" spans="1:16">
      <c r="A706" s="231" t="s">
        <v>684</v>
      </c>
      <c r="B706" s="231" t="s">
        <v>1353</v>
      </c>
      <c r="C706" s="618">
        <v>45102</v>
      </c>
      <c r="D706" s="231" t="s">
        <v>4841</v>
      </c>
      <c r="E706" s="231" t="s">
        <v>5073</v>
      </c>
      <c r="F706" s="619">
        <v>60</v>
      </c>
      <c r="G706" s="231" t="s">
        <v>4836</v>
      </c>
      <c r="H706" s="619">
        <v>1296.25</v>
      </c>
      <c r="I706" s="619">
        <v>77775</v>
      </c>
      <c r="J706" s="620">
        <v>46937235.969999999</v>
      </c>
      <c r="K706" s="621" t="s">
        <v>991</v>
      </c>
      <c r="L706" s="621" t="s">
        <v>4837</v>
      </c>
      <c r="M706" s="621" t="s">
        <v>4838</v>
      </c>
      <c r="N706" s="621" t="s">
        <v>4092</v>
      </c>
      <c r="O706" s="621"/>
      <c r="P706" s="621"/>
    </row>
    <row r="707" spans="1:16">
      <c r="A707" s="232" t="s">
        <v>684</v>
      </c>
      <c r="B707" s="232" t="s">
        <v>1353</v>
      </c>
      <c r="C707" s="622">
        <v>45102</v>
      </c>
      <c r="D707" s="232" t="s">
        <v>4841</v>
      </c>
      <c r="E707" s="231" t="s">
        <v>5073</v>
      </c>
      <c r="F707" s="233">
        <v>60</v>
      </c>
      <c r="G707" s="232" t="s">
        <v>4836</v>
      </c>
      <c r="H707" s="233">
        <v>1411.35</v>
      </c>
      <c r="I707" s="233">
        <v>84099</v>
      </c>
      <c r="J707" s="623">
        <v>50753771.880000003</v>
      </c>
      <c r="K707" s="624" t="s">
        <v>991</v>
      </c>
      <c r="L707" s="624" t="s">
        <v>4837</v>
      </c>
      <c r="M707" s="624" t="s">
        <v>4838</v>
      </c>
      <c r="N707" s="624" t="s">
        <v>4092</v>
      </c>
      <c r="O707" s="624"/>
      <c r="P707" s="624"/>
    </row>
    <row r="708" spans="1:16">
      <c r="A708" s="231" t="s">
        <v>684</v>
      </c>
      <c r="B708" s="231" t="s">
        <v>1353</v>
      </c>
      <c r="C708" s="618">
        <v>45104</v>
      </c>
      <c r="D708" s="231" t="s">
        <v>4846</v>
      </c>
      <c r="E708" s="231" t="s">
        <v>5073</v>
      </c>
      <c r="F708" s="619">
        <v>5000.7849999999999</v>
      </c>
      <c r="G708" s="231" t="s">
        <v>4836</v>
      </c>
      <c r="H708" s="619">
        <v>373.45</v>
      </c>
      <c r="I708" s="619">
        <v>1867543.1582499999</v>
      </c>
      <c r="J708" s="620">
        <v>1120301835.6300001</v>
      </c>
      <c r="K708" s="621" t="s">
        <v>991</v>
      </c>
      <c r="L708" s="621" t="s">
        <v>4837</v>
      </c>
      <c r="M708" s="621" t="s">
        <v>4838</v>
      </c>
      <c r="N708" s="621" t="s">
        <v>4092</v>
      </c>
      <c r="O708" s="621"/>
      <c r="P708" s="621"/>
    </row>
    <row r="709" spans="1:16">
      <c r="A709" s="232" t="s">
        <v>684</v>
      </c>
      <c r="B709" s="232" t="s">
        <v>1353</v>
      </c>
      <c r="C709" s="622">
        <v>45104</v>
      </c>
      <c r="D709" s="232" t="s">
        <v>4835</v>
      </c>
      <c r="E709" s="231" t="s">
        <v>5073</v>
      </c>
      <c r="F709" s="233">
        <v>10000</v>
      </c>
      <c r="G709" s="232" t="s">
        <v>4836</v>
      </c>
      <c r="H709" s="233">
        <v>358.9</v>
      </c>
      <c r="I709" s="233">
        <v>3589000</v>
      </c>
      <c r="J709" s="623">
        <v>2152969406.1199999</v>
      </c>
      <c r="K709" s="624" t="s">
        <v>991</v>
      </c>
      <c r="L709" s="624" t="s">
        <v>4837</v>
      </c>
      <c r="M709" s="624" t="s">
        <v>4838</v>
      </c>
      <c r="N709" s="624" t="s">
        <v>4092</v>
      </c>
      <c r="O709" s="624"/>
      <c r="P709" s="624"/>
    </row>
    <row r="710" spans="1:16">
      <c r="A710" s="231" t="s">
        <v>684</v>
      </c>
      <c r="B710" s="231" t="s">
        <v>1353</v>
      </c>
      <c r="C710" s="618">
        <v>45104</v>
      </c>
      <c r="D710" s="231" t="s">
        <v>4835</v>
      </c>
      <c r="E710" s="231" t="s">
        <v>5073</v>
      </c>
      <c r="F710" s="619">
        <v>19710.190999999999</v>
      </c>
      <c r="G710" s="231" t="s">
        <v>4836</v>
      </c>
      <c r="H710" s="619">
        <v>308.14</v>
      </c>
      <c r="I710" s="619">
        <v>6073484.46</v>
      </c>
      <c r="J710" s="620">
        <v>3643362003.5999999</v>
      </c>
      <c r="K710" s="621" t="s">
        <v>991</v>
      </c>
      <c r="L710" s="621" t="s">
        <v>4837</v>
      </c>
      <c r="M710" s="621" t="s">
        <v>4838</v>
      </c>
      <c r="N710" s="621" t="s">
        <v>4092</v>
      </c>
      <c r="O710" s="621"/>
      <c r="P710" s="621"/>
    </row>
    <row r="711" spans="1:16">
      <c r="A711" s="232" t="s">
        <v>684</v>
      </c>
      <c r="B711" s="232" t="s">
        <v>1353</v>
      </c>
      <c r="C711" s="622">
        <v>45104</v>
      </c>
      <c r="D711" s="232" t="s">
        <v>4843</v>
      </c>
      <c r="E711" s="231" t="s">
        <v>5074</v>
      </c>
      <c r="F711" s="233">
        <v>80.048000000000002</v>
      </c>
      <c r="G711" s="232" t="s">
        <v>4836</v>
      </c>
      <c r="H711" s="233">
        <v>2062.75</v>
      </c>
      <c r="I711" s="233">
        <v>165119.01</v>
      </c>
      <c r="J711" s="623">
        <v>99051595.680000007</v>
      </c>
      <c r="K711" s="624" t="s">
        <v>991</v>
      </c>
      <c r="L711" s="624" t="s">
        <v>4837</v>
      </c>
      <c r="M711" s="624" t="s">
        <v>4838</v>
      </c>
      <c r="N711" s="624" t="s">
        <v>4092</v>
      </c>
      <c r="O711" s="624"/>
      <c r="P711" s="624"/>
    </row>
    <row r="712" spans="1:16">
      <c r="A712" s="231" t="s">
        <v>684</v>
      </c>
      <c r="B712" s="231" t="s">
        <v>1353</v>
      </c>
      <c r="C712" s="618">
        <v>45104</v>
      </c>
      <c r="D712" s="231" t="s">
        <v>4843</v>
      </c>
      <c r="E712" s="231" t="s">
        <v>5074</v>
      </c>
      <c r="F712" s="619">
        <v>100.032</v>
      </c>
      <c r="G712" s="231" t="s">
        <v>4836</v>
      </c>
      <c r="H712" s="619">
        <v>2208.25</v>
      </c>
      <c r="I712" s="619">
        <v>220895.66</v>
      </c>
      <c r="J712" s="620">
        <v>132510893.81999999</v>
      </c>
      <c r="K712" s="621" t="s">
        <v>991</v>
      </c>
      <c r="L712" s="621" t="s">
        <v>4837</v>
      </c>
      <c r="M712" s="621" t="s">
        <v>4838</v>
      </c>
      <c r="N712" s="621" t="s">
        <v>4092</v>
      </c>
      <c r="O712" s="621"/>
      <c r="P712" s="621"/>
    </row>
    <row r="713" spans="1:16">
      <c r="A713" s="232" t="s">
        <v>684</v>
      </c>
      <c r="B713" s="232" t="s">
        <v>1353</v>
      </c>
      <c r="C713" s="622">
        <v>45104</v>
      </c>
      <c r="D713" s="232" t="s">
        <v>4843</v>
      </c>
      <c r="E713" s="231" t="s">
        <v>5074</v>
      </c>
      <c r="F713" s="233">
        <v>110.098</v>
      </c>
      <c r="G713" s="232" t="s">
        <v>4836</v>
      </c>
      <c r="H713" s="233">
        <v>2144.59</v>
      </c>
      <c r="I713" s="233">
        <v>236117.21</v>
      </c>
      <c r="J713" s="623">
        <v>141641997.59999999</v>
      </c>
      <c r="K713" s="624" t="s">
        <v>991</v>
      </c>
      <c r="L713" s="624" t="s">
        <v>4837</v>
      </c>
      <c r="M713" s="624" t="s">
        <v>4838</v>
      </c>
      <c r="N713" s="624" t="s">
        <v>4092</v>
      </c>
      <c r="O713" s="624"/>
      <c r="P713" s="624"/>
    </row>
    <row r="714" spans="1:16">
      <c r="A714" s="231" t="s">
        <v>684</v>
      </c>
      <c r="B714" s="231" t="s">
        <v>1353</v>
      </c>
      <c r="C714" s="618">
        <v>45104</v>
      </c>
      <c r="D714" s="231" t="s">
        <v>4843</v>
      </c>
      <c r="E714" s="231" t="s">
        <v>5074</v>
      </c>
      <c r="F714" s="619">
        <v>220.13499999999999</v>
      </c>
      <c r="G714" s="231" t="s">
        <v>4836</v>
      </c>
      <c r="H714" s="619">
        <v>2103.25</v>
      </c>
      <c r="I714" s="619">
        <v>463005.25</v>
      </c>
      <c r="J714" s="620">
        <v>277747600.48000002</v>
      </c>
      <c r="K714" s="621" t="s">
        <v>991</v>
      </c>
      <c r="L714" s="621" t="s">
        <v>4837</v>
      </c>
      <c r="M714" s="621" t="s">
        <v>4838</v>
      </c>
      <c r="N714" s="621" t="s">
        <v>4092</v>
      </c>
      <c r="O714" s="621"/>
      <c r="P714" s="621"/>
    </row>
    <row r="715" spans="1:16">
      <c r="A715" s="232" t="s">
        <v>684</v>
      </c>
      <c r="B715" s="232" t="s">
        <v>1353</v>
      </c>
      <c r="C715" s="622">
        <v>45105</v>
      </c>
      <c r="D715" s="232" t="s">
        <v>4839</v>
      </c>
      <c r="E715" s="231" t="s">
        <v>5073</v>
      </c>
      <c r="F715" s="233"/>
      <c r="G715" s="232" t="s">
        <v>4836</v>
      </c>
      <c r="H715" s="233"/>
      <c r="I715" s="233">
        <v>-8174.55</v>
      </c>
      <c r="J715" s="623">
        <v>-4903749.25</v>
      </c>
      <c r="K715" s="624" t="s">
        <v>991</v>
      </c>
      <c r="L715" s="624" t="s">
        <v>4837</v>
      </c>
      <c r="M715" s="624" t="s">
        <v>4838</v>
      </c>
      <c r="N715" s="624" t="s">
        <v>4092</v>
      </c>
      <c r="O715" s="624"/>
      <c r="P715" s="624"/>
    </row>
    <row r="716" spans="1:16">
      <c r="A716" s="231" t="s">
        <v>684</v>
      </c>
      <c r="B716" s="231" t="s">
        <v>1353</v>
      </c>
      <c r="C716" s="618">
        <v>45107</v>
      </c>
      <c r="D716" s="231" t="s">
        <v>4846</v>
      </c>
      <c r="E716" s="231" t="s">
        <v>5073</v>
      </c>
      <c r="F716" s="619"/>
      <c r="G716" s="231" t="s">
        <v>4836</v>
      </c>
      <c r="H716" s="619"/>
      <c r="I716" s="619">
        <v>1715.28</v>
      </c>
      <c r="J716" s="620">
        <v>1029048.63</v>
      </c>
      <c r="K716" s="621" t="s">
        <v>991</v>
      </c>
      <c r="L716" s="621" t="s">
        <v>4837</v>
      </c>
      <c r="M716" s="621" t="s">
        <v>4838</v>
      </c>
      <c r="N716" s="621" t="s">
        <v>4092</v>
      </c>
      <c r="O716" s="621"/>
      <c r="P716" s="621"/>
    </row>
    <row r="717" spans="1:16">
      <c r="A717" s="232" t="s">
        <v>684</v>
      </c>
      <c r="B717" s="232" t="s">
        <v>1353</v>
      </c>
      <c r="C717" s="622">
        <v>45107</v>
      </c>
      <c r="D717" s="232" t="s">
        <v>4835</v>
      </c>
      <c r="E717" s="231" t="s">
        <v>5073</v>
      </c>
      <c r="F717" s="233"/>
      <c r="G717" s="232" t="s">
        <v>4836</v>
      </c>
      <c r="H717" s="233"/>
      <c r="I717" s="233">
        <v>141997.82</v>
      </c>
      <c r="J717" s="623">
        <v>85188810.099999994</v>
      </c>
      <c r="K717" s="624" t="s">
        <v>991</v>
      </c>
      <c r="L717" s="624" t="s">
        <v>4837</v>
      </c>
      <c r="M717" s="624" t="s">
        <v>4838</v>
      </c>
      <c r="N717" s="624" t="s">
        <v>4092</v>
      </c>
      <c r="O717" s="624"/>
      <c r="P717" s="624"/>
    </row>
    <row r="718" spans="1:16">
      <c r="A718" s="231" t="s">
        <v>684</v>
      </c>
      <c r="B718" s="231" t="s">
        <v>1353</v>
      </c>
      <c r="C718" s="618">
        <v>45107</v>
      </c>
      <c r="D718" s="231" t="s">
        <v>4840</v>
      </c>
      <c r="E718" s="231" t="s">
        <v>5074</v>
      </c>
      <c r="F718" s="619"/>
      <c r="G718" s="231" t="s">
        <v>4836</v>
      </c>
      <c r="H718" s="619"/>
      <c r="I718" s="619">
        <v>22681.689999999995</v>
      </c>
      <c r="J718" s="620">
        <v>13607435.539999999</v>
      </c>
      <c r="K718" s="621" t="s">
        <v>991</v>
      </c>
      <c r="L718" s="621" t="s">
        <v>4837</v>
      </c>
      <c r="M718" s="621" t="s">
        <v>4838</v>
      </c>
      <c r="N718" s="621" t="s">
        <v>4092</v>
      </c>
      <c r="O718" s="621"/>
      <c r="P718" s="621"/>
    </row>
    <row r="719" spans="1:16">
      <c r="A719" s="232" t="s">
        <v>684</v>
      </c>
      <c r="B719" s="232" t="s">
        <v>1353</v>
      </c>
      <c r="C719" s="622">
        <v>45107</v>
      </c>
      <c r="D719" s="232" t="s">
        <v>4843</v>
      </c>
      <c r="E719" s="231" t="s">
        <v>5074</v>
      </c>
      <c r="F719" s="233"/>
      <c r="G719" s="232" t="s">
        <v>4836</v>
      </c>
      <c r="H719" s="233"/>
      <c r="I719" s="233">
        <v>80164.319999999992</v>
      </c>
      <c r="J719" s="623">
        <v>48093013.210000001</v>
      </c>
      <c r="K719" s="624" t="s">
        <v>991</v>
      </c>
      <c r="L719" s="624" t="s">
        <v>4837</v>
      </c>
      <c r="M719" s="624" t="s">
        <v>4838</v>
      </c>
      <c r="N719" s="624" t="s">
        <v>4092</v>
      </c>
      <c r="O719" s="624"/>
      <c r="P719" s="624"/>
    </row>
    <row r="720" spans="1:16">
      <c r="A720" s="231" t="s">
        <v>684</v>
      </c>
      <c r="B720" s="231" t="s">
        <v>1353</v>
      </c>
      <c r="C720" s="618">
        <v>45107</v>
      </c>
      <c r="D720" s="231" t="s">
        <v>4839</v>
      </c>
      <c r="E720" s="231" t="s">
        <v>5073</v>
      </c>
      <c r="F720" s="619"/>
      <c r="G720" s="231" t="s">
        <v>4836</v>
      </c>
      <c r="H720" s="619"/>
      <c r="I720" s="619">
        <v>-77987.070000000007</v>
      </c>
      <c r="J720" s="620">
        <v>-46786814.729999997</v>
      </c>
      <c r="K720" s="621" t="s">
        <v>991</v>
      </c>
      <c r="L720" s="621" t="s">
        <v>4837</v>
      </c>
      <c r="M720" s="621" t="s">
        <v>4838</v>
      </c>
      <c r="N720" s="621" t="s">
        <v>4092</v>
      </c>
      <c r="O720" s="621"/>
      <c r="P720" s="621"/>
    </row>
    <row r="721" spans="1:16">
      <c r="A721" s="232" t="s">
        <v>684</v>
      </c>
      <c r="B721" s="232" t="s">
        <v>1353</v>
      </c>
      <c r="C721" s="622">
        <v>45107</v>
      </c>
      <c r="D721" s="232" t="s">
        <v>4841</v>
      </c>
      <c r="E721" s="231" t="s">
        <v>5073</v>
      </c>
      <c r="F721" s="233"/>
      <c r="G721" s="232" t="s">
        <v>4836</v>
      </c>
      <c r="H721" s="233"/>
      <c r="I721" s="233">
        <v>-13774.080000000002</v>
      </c>
      <c r="J721" s="623">
        <v>-8263489.4400000004</v>
      </c>
      <c r="K721" s="624" t="s">
        <v>991</v>
      </c>
      <c r="L721" s="624" t="s">
        <v>4837</v>
      </c>
      <c r="M721" s="624" t="s">
        <v>4838</v>
      </c>
      <c r="N721" s="624" t="s">
        <v>4092</v>
      </c>
      <c r="O721" s="624"/>
      <c r="P721" s="624"/>
    </row>
    <row r="722" spans="1:16">
      <c r="A722" s="231" t="s">
        <v>684</v>
      </c>
      <c r="B722" s="231" t="s">
        <v>1353</v>
      </c>
      <c r="C722" s="618">
        <v>45107</v>
      </c>
      <c r="D722" s="231" t="s">
        <v>4844</v>
      </c>
      <c r="E722" s="231"/>
      <c r="F722" s="619"/>
      <c r="G722" s="231" t="s">
        <v>4836</v>
      </c>
      <c r="H722" s="619"/>
      <c r="I722" s="619">
        <v>-157630.89999999997</v>
      </c>
      <c r="J722" s="620">
        <v>-94567570.159999996</v>
      </c>
      <c r="K722" s="621" t="s">
        <v>991</v>
      </c>
      <c r="L722" s="621" t="s">
        <v>4837</v>
      </c>
      <c r="M722" s="621" t="s">
        <v>4838</v>
      </c>
      <c r="N722" s="621" t="s">
        <v>4092</v>
      </c>
      <c r="O722" s="621"/>
      <c r="P722" s="621"/>
    </row>
    <row r="723" spans="1:16">
      <c r="A723" s="232" t="s">
        <v>684</v>
      </c>
      <c r="B723" s="232" t="s">
        <v>1353</v>
      </c>
      <c r="C723" s="622">
        <v>45107</v>
      </c>
      <c r="D723" s="232" t="s">
        <v>4840</v>
      </c>
      <c r="E723" s="231" t="s">
        <v>5074</v>
      </c>
      <c r="F723" s="233"/>
      <c r="G723" s="232" t="s">
        <v>4836</v>
      </c>
      <c r="H723" s="233"/>
      <c r="I723" s="233">
        <v>-252014.7</v>
      </c>
      <c r="J723" s="623">
        <v>-153386914.18000001</v>
      </c>
      <c r="K723" s="624" t="s">
        <v>991</v>
      </c>
      <c r="L723" s="624" t="s">
        <v>4837</v>
      </c>
      <c r="M723" s="624" t="s">
        <v>4838</v>
      </c>
      <c r="N723" s="624" t="s">
        <v>4092</v>
      </c>
      <c r="O723" s="624"/>
      <c r="P723" s="624"/>
    </row>
    <row r="724" spans="1:16">
      <c r="A724" s="231" t="s">
        <v>684</v>
      </c>
      <c r="B724" s="231" t="s">
        <v>1353</v>
      </c>
      <c r="C724" s="618">
        <v>45107</v>
      </c>
      <c r="D724" s="231" t="s">
        <v>4846</v>
      </c>
      <c r="E724" s="231" t="s">
        <v>5073</v>
      </c>
      <c r="F724" s="619"/>
      <c r="G724" s="231" t="s">
        <v>4836</v>
      </c>
      <c r="H724" s="619"/>
      <c r="I724" s="619">
        <v>1715.28</v>
      </c>
      <c r="J724" s="620">
        <v>1056154.8700000001</v>
      </c>
      <c r="K724" s="621" t="s">
        <v>991</v>
      </c>
      <c r="L724" s="621" t="s">
        <v>4837</v>
      </c>
      <c r="M724" s="621" t="s">
        <v>4838</v>
      </c>
      <c r="N724" s="621" t="s">
        <v>4092</v>
      </c>
      <c r="O724" s="621"/>
      <c r="P724" s="621"/>
    </row>
    <row r="725" spans="1:16">
      <c r="A725" s="232" t="s">
        <v>684</v>
      </c>
      <c r="B725" s="232" t="s">
        <v>1353</v>
      </c>
      <c r="C725" s="622">
        <v>45107</v>
      </c>
      <c r="D725" s="232" t="s">
        <v>4835</v>
      </c>
      <c r="E725" s="231" t="s">
        <v>5073</v>
      </c>
      <c r="F725" s="233"/>
      <c r="G725" s="232" t="s">
        <v>4836</v>
      </c>
      <c r="H725" s="233"/>
      <c r="I725" s="233">
        <v>249228.57</v>
      </c>
      <c r="J725" s="623">
        <v>153458308.69999999</v>
      </c>
      <c r="K725" s="624" t="s">
        <v>991</v>
      </c>
      <c r="L725" s="624" t="s">
        <v>4837</v>
      </c>
      <c r="M725" s="624" t="s">
        <v>4838</v>
      </c>
      <c r="N725" s="624" t="s">
        <v>4092</v>
      </c>
      <c r="O725" s="624"/>
      <c r="P725" s="624"/>
    </row>
    <row r="726" spans="1:16">
      <c r="A726" s="231" t="s">
        <v>684</v>
      </c>
      <c r="B726" s="231" t="s">
        <v>1353</v>
      </c>
      <c r="C726" s="618">
        <v>45107</v>
      </c>
      <c r="D726" s="231" t="s">
        <v>4840</v>
      </c>
      <c r="E726" s="231" t="s">
        <v>5074</v>
      </c>
      <c r="F726" s="619"/>
      <c r="G726" s="231" t="s">
        <v>4836</v>
      </c>
      <c r="H726" s="619"/>
      <c r="I726" s="619">
        <v>-8665.0799999999963</v>
      </c>
      <c r="J726" s="620">
        <v>-5335377.57</v>
      </c>
      <c r="K726" s="621" t="s">
        <v>991</v>
      </c>
      <c r="L726" s="621" t="s">
        <v>4837</v>
      </c>
      <c r="M726" s="621" t="s">
        <v>4838</v>
      </c>
      <c r="N726" s="621" t="s">
        <v>4092</v>
      </c>
      <c r="O726" s="621"/>
      <c r="P726" s="621"/>
    </row>
    <row r="727" spans="1:16">
      <c r="A727" s="232" t="s">
        <v>684</v>
      </c>
      <c r="B727" s="232" t="s">
        <v>1353</v>
      </c>
      <c r="C727" s="622">
        <v>45107</v>
      </c>
      <c r="D727" s="232" t="s">
        <v>4843</v>
      </c>
      <c r="E727" s="231" t="s">
        <v>5074</v>
      </c>
      <c r="F727" s="233"/>
      <c r="G727" s="232" t="s">
        <v>4836</v>
      </c>
      <c r="H727" s="233"/>
      <c r="I727" s="233">
        <v>-37559.990000000013</v>
      </c>
      <c r="J727" s="623">
        <v>-23126933.399999999</v>
      </c>
      <c r="K727" s="624" t="s">
        <v>991</v>
      </c>
      <c r="L727" s="624" t="s">
        <v>4837</v>
      </c>
      <c r="M727" s="624" t="s">
        <v>4838</v>
      </c>
      <c r="N727" s="624" t="s">
        <v>4092</v>
      </c>
      <c r="O727" s="624"/>
      <c r="P727" s="624"/>
    </row>
    <row r="728" spans="1:16">
      <c r="A728" s="231" t="s">
        <v>684</v>
      </c>
      <c r="B728" s="231" t="s">
        <v>1353</v>
      </c>
      <c r="C728" s="618">
        <v>45107</v>
      </c>
      <c r="D728" s="231" t="s">
        <v>4839</v>
      </c>
      <c r="E728" s="231" t="s">
        <v>5073</v>
      </c>
      <c r="F728" s="619"/>
      <c r="G728" s="231" t="s">
        <v>4836</v>
      </c>
      <c r="H728" s="619"/>
      <c r="I728" s="619">
        <v>-83347.12</v>
      </c>
      <c r="J728" s="620">
        <v>-51319590.170000002</v>
      </c>
      <c r="K728" s="621" t="s">
        <v>991</v>
      </c>
      <c r="L728" s="621" t="s">
        <v>4837</v>
      </c>
      <c r="M728" s="621" t="s">
        <v>4838</v>
      </c>
      <c r="N728" s="621" t="s">
        <v>4092</v>
      </c>
      <c r="O728" s="621"/>
      <c r="P728" s="621"/>
    </row>
    <row r="729" spans="1:16">
      <c r="A729" s="232" t="s">
        <v>684</v>
      </c>
      <c r="B729" s="232" t="s">
        <v>1353</v>
      </c>
      <c r="C729" s="622">
        <v>45107</v>
      </c>
      <c r="D729" s="232" t="s">
        <v>4841</v>
      </c>
      <c r="E729" s="231" t="s">
        <v>5073</v>
      </c>
      <c r="F729" s="233"/>
      <c r="G729" s="232" t="s">
        <v>4836</v>
      </c>
      <c r="H729" s="233"/>
      <c r="I729" s="233">
        <v>-8678.0800000000017</v>
      </c>
      <c r="J729" s="623">
        <v>-5343382.0999999996</v>
      </c>
      <c r="K729" s="624" t="s">
        <v>991</v>
      </c>
      <c r="L729" s="624" t="s">
        <v>4837</v>
      </c>
      <c r="M729" s="624" t="s">
        <v>4838</v>
      </c>
      <c r="N729" s="624" t="s">
        <v>4092</v>
      </c>
      <c r="O729" s="624"/>
      <c r="P729" s="624"/>
    </row>
    <row r="730" spans="1:16">
      <c r="A730" s="231" t="s">
        <v>684</v>
      </c>
      <c r="B730" s="231" t="s">
        <v>1353</v>
      </c>
      <c r="C730" s="618">
        <v>45107</v>
      </c>
      <c r="D730" s="231" t="s">
        <v>4844</v>
      </c>
      <c r="E730" s="231"/>
      <c r="F730" s="619"/>
      <c r="G730" s="231" t="s">
        <v>4836</v>
      </c>
      <c r="H730" s="619"/>
      <c r="I730" s="619">
        <v>-9561.5500000000102</v>
      </c>
      <c r="J730" s="620">
        <v>-5887363.9199999999</v>
      </c>
      <c r="K730" s="621" t="s">
        <v>991</v>
      </c>
      <c r="L730" s="621" t="s">
        <v>4837</v>
      </c>
      <c r="M730" s="621" t="s">
        <v>4838</v>
      </c>
      <c r="N730" s="621" t="s">
        <v>4092</v>
      </c>
      <c r="O730" s="621"/>
      <c r="P730" s="621"/>
    </row>
    <row r="731" spans="1:16">
      <c r="A731" s="232" t="s">
        <v>684</v>
      </c>
      <c r="B731" s="232" t="s">
        <v>1353</v>
      </c>
      <c r="C731" s="622">
        <v>45107</v>
      </c>
      <c r="D731" s="232" t="s">
        <v>4841</v>
      </c>
      <c r="E731" s="231" t="s">
        <v>5073</v>
      </c>
      <c r="F731" s="233">
        <v>60</v>
      </c>
      <c r="G731" s="232" t="s">
        <v>4836</v>
      </c>
      <c r="H731" s="233">
        <v>1411.35</v>
      </c>
      <c r="I731" s="233">
        <v>84681</v>
      </c>
      <c r="J731" s="623">
        <v>50802706.890000001</v>
      </c>
      <c r="K731" s="624" t="s">
        <v>991</v>
      </c>
      <c r="L731" s="624" t="s">
        <v>4837</v>
      </c>
      <c r="M731" s="624" t="s">
        <v>4838</v>
      </c>
      <c r="N731" s="624" t="s">
        <v>4092</v>
      </c>
      <c r="O731" s="624"/>
      <c r="P731" s="624"/>
    </row>
    <row r="732" spans="1:16">
      <c r="A732" s="231" t="s">
        <v>684</v>
      </c>
      <c r="B732" s="231" t="s">
        <v>1353</v>
      </c>
      <c r="C732" s="618">
        <v>45107</v>
      </c>
      <c r="D732" s="231" t="s">
        <v>4841</v>
      </c>
      <c r="E732" s="231" t="s">
        <v>5073</v>
      </c>
      <c r="F732" s="619">
        <v>40</v>
      </c>
      <c r="G732" s="231" t="s">
        <v>4836</v>
      </c>
      <c r="H732" s="619">
        <v>1199.25</v>
      </c>
      <c r="I732" s="619">
        <v>47970</v>
      </c>
      <c r="J732" s="620">
        <v>28776244.75</v>
      </c>
      <c r="K732" s="621" t="s">
        <v>991</v>
      </c>
      <c r="L732" s="621" t="s">
        <v>4837</v>
      </c>
      <c r="M732" s="621" t="s">
        <v>4838</v>
      </c>
      <c r="N732" s="621" t="s">
        <v>4092</v>
      </c>
      <c r="O732" s="621"/>
      <c r="P732" s="621"/>
    </row>
    <row r="733" spans="1:16">
      <c r="A733" s="232" t="s">
        <v>684</v>
      </c>
      <c r="B733" s="232" t="s">
        <v>1353</v>
      </c>
      <c r="C733" s="622">
        <v>45107</v>
      </c>
      <c r="D733" s="232" t="s">
        <v>4841</v>
      </c>
      <c r="E733" s="231" t="s">
        <v>5073</v>
      </c>
      <c r="F733" s="233">
        <v>60</v>
      </c>
      <c r="G733" s="232" t="s">
        <v>4836</v>
      </c>
      <c r="H733" s="233">
        <v>1455.05</v>
      </c>
      <c r="I733" s="233">
        <v>87303</v>
      </c>
      <c r="J733" s="623">
        <v>52371325.729999997</v>
      </c>
      <c r="K733" s="624" t="s">
        <v>991</v>
      </c>
      <c r="L733" s="624" t="s">
        <v>4837</v>
      </c>
      <c r="M733" s="624" t="s">
        <v>4838</v>
      </c>
      <c r="N733" s="624" t="s">
        <v>4092</v>
      </c>
      <c r="O733" s="624"/>
      <c r="P733" s="624"/>
    </row>
    <row r="734" spans="1:16">
      <c r="A734" s="231" t="s">
        <v>684</v>
      </c>
      <c r="B734" s="231" t="s">
        <v>1353</v>
      </c>
      <c r="C734" s="618">
        <v>45107</v>
      </c>
      <c r="D734" s="231" t="s">
        <v>4841</v>
      </c>
      <c r="E734" s="231" t="s">
        <v>5073</v>
      </c>
      <c r="F734" s="619">
        <v>40</v>
      </c>
      <c r="G734" s="231" t="s">
        <v>4836</v>
      </c>
      <c r="H734" s="619">
        <v>1455.05</v>
      </c>
      <c r="I734" s="619">
        <v>58202</v>
      </c>
      <c r="J734" s="620">
        <v>34914217.159999996</v>
      </c>
      <c r="K734" s="621" t="s">
        <v>991</v>
      </c>
      <c r="L734" s="621" t="s">
        <v>4837</v>
      </c>
      <c r="M734" s="621" t="s">
        <v>4838</v>
      </c>
      <c r="N734" s="621" t="s">
        <v>4092</v>
      </c>
      <c r="O734" s="621"/>
      <c r="P734" s="621"/>
    </row>
    <row r="735" spans="1:16">
      <c r="A735" s="232" t="s">
        <v>684</v>
      </c>
      <c r="B735" s="232" t="s">
        <v>1353</v>
      </c>
      <c r="C735" s="622">
        <v>45107</v>
      </c>
      <c r="D735" s="232" t="s">
        <v>4843</v>
      </c>
      <c r="E735" s="231" t="s">
        <v>5074</v>
      </c>
      <c r="F735" s="233">
        <v>100.047</v>
      </c>
      <c r="G735" s="232" t="s">
        <v>4836</v>
      </c>
      <c r="H735" s="233">
        <v>2182.5</v>
      </c>
      <c r="I735" s="233">
        <v>218352.58</v>
      </c>
      <c r="J735" s="623">
        <v>130985350.93000001</v>
      </c>
      <c r="K735" s="624" t="s">
        <v>991</v>
      </c>
      <c r="L735" s="624" t="s">
        <v>4837</v>
      </c>
      <c r="M735" s="624" t="s">
        <v>4838</v>
      </c>
      <c r="N735" s="624" t="s">
        <v>4092</v>
      </c>
      <c r="O735" s="624"/>
      <c r="P735" s="624"/>
    </row>
    <row r="736" spans="1:16">
      <c r="A736" s="231" t="s">
        <v>684</v>
      </c>
      <c r="B736" s="231" t="s">
        <v>1353</v>
      </c>
      <c r="C736" s="618">
        <v>45107</v>
      </c>
      <c r="D736" s="231" t="s">
        <v>4843</v>
      </c>
      <c r="E736" s="231" t="s">
        <v>5074</v>
      </c>
      <c r="F736" s="619">
        <v>159.91</v>
      </c>
      <c r="G736" s="231" t="s">
        <v>4836</v>
      </c>
      <c r="H736" s="619">
        <v>2131.15</v>
      </c>
      <c r="I736" s="619">
        <v>340792.2</v>
      </c>
      <c r="J736" s="620">
        <v>204434433.11000001</v>
      </c>
      <c r="K736" s="621" t="s">
        <v>991</v>
      </c>
      <c r="L736" s="621" t="s">
        <v>4837</v>
      </c>
      <c r="M736" s="621" t="s">
        <v>4838</v>
      </c>
      <c r="N736" s="621" t="s">
        <v>4092</v>
      </c>
      <c r="O736" s="621"/>
      <c r="P736" s="621"/>
    </row>
    <row r="737" spans="1:16">
      <c r="A737" s="232" t="s">
        <v>684</v>
      </c>
      <c r="B737" s="232" t="s">
        <v>1353</v>
      </c>
      <c r="C737" s="622">
        <v>45107</v>
      </c>
      <c r="D737" s="232" t="s">
        <v>4843</v>
      </c>
      <c r="E737" s="231" t="s">
        <v>5074</v>
      </c>
      <c r="F737" s="233">
        <v>200.04</v>
      </c>
      <c r="G737" s="232" t="s">
        <v>4836</v>
      </c>
      <c r="H737" s="233">
        <v>2153.4499999999998</v>
      </c>
      <c r="I737" s="233">
        <v>430776.14</v>
      </c>
      <c r="J737" s="623">
        <v>258414001.19999999</v>
      </c>
      <c r="K737" s="624" t="s">
        <v>991</v>
      </c>
      <c r="L737" s="624" t="s">
        <v>4837</v>
      </c>
      <c r="M737" s="624" t="s">
        <v>4838</v>
      </c>
      <c r="N737" s="624" t="s">
        <v>4092</v>
      </c>
      <c r="O737" s="624"/>
      <c r="P737" s="624"/>
    </row>
    <row r="738" spans="1:16">
      <c r="A738" s="231" t="s">
        <v>684</v>
      </c>
      <c r="B738" s="231" t="s">
        <v>1353</v>
      </c>
      <c r="C738" s="618">
        <v>45107</v>
      </c>
      <c r="D738" s="231" t="s">
        <v>4843</v>
      </c>
      <c r="E738" s="231" t="s">
        <v>5074</v>
      </c>
      <c r="F738" s="619">
        <v>180.04499999999999</v>
      </c>
      <c r="G738" s="231" t="s">
        <v>4836</v>
      </c>
      <c r="H738" s="619">
        <v>1956.05</v>
      </c>
      <c r="I738" s="619">
        <v>352177.02</v>
      </c>
      <c r="J738" s="620">
        <v>211263959.21000001</v>
      </c>
      <c r="K738" s="621" t="s">
        <v>991</v>
      </c>
      <c r="L738" s="621" t="s">
        <v>4837</v>
      </c>
      <c r="M738" s="621" t="s">
        <v>4838</v>
      </c>
      <c r="N738" s="621" t="s">
        <v>4092</v>
      </c>
      <c r="O738" s="621"/>
      <c r="P738" s="621"/>
    </row>
    <row r="739" spans="1:16">
      <c r="A739" s="232" t="s">
        <v>684</v>
      </c>
      <c r="B739" s="232" t="s">
        <v>1353</v>
      </c>
      <c r="C739" s="622">
        <v>45107</v>
      </c>
      <c r="D739" s="232" t="s">
        <v>4840</v>
      </c>
      <c r="E739" s="231" t="s">
        <v>5074</v>
      </c>
      <c r="F739" s="233">
        <v>528.42499999999995</v>
      </c>
      <c r="G739" s="232" t="s">
        <v>4836</v>
      </c>
      <c r="H739" s="233">
        <v>1900.65</v>
      </c>
      <c r="I739" s="233">
        <v>1004369.98</v>
      </c>
      <c r="J739" s="623">
        <v>602501487.70000005</v>
      </c>
      <c r="K739" s="624" t="s">
        <v>991</v>
      </c>
      <c r="L739" s="624" t="s">
        <v>4837</v>
      </c>
      <c r="M739" s="624" t="s">
        <v>4838</v>
      </c>
      <c r="N739" s="624" t="s">
        <v>4092</v>
      </c>
      <c r="O739" s="624"/>
      <c r="P739" s="624"/>
    </row>
    <row r="740" spans="1:16">
      <c r="A740" s="231" t="s">
        <v>684</v>
      </c>
      <c r="B740" s="231" t="s">
        <v>1353</v>
      </c>
      <c r="C740" s="618">
        <v>45107</v>
      </c>
      <c r="D740" s="231" t="s">
        <v>4840</v>
      </c>
      <c r="E740" s="231" t="s">
        <v>5074</v>
      </c>
      <c r="F740" s="619">
        <v>506.31599999999997</v>
      </c>
      <c r="G740" s="231" t="s">
        <v>4836</v>
      </c>
      <c r="H740" s="619">
        <v>1900.65</v>
      </c>
      <c r="I740" s="619">
        <v>962337.11</v>
      </c>
      <c r="J740" s="620">
        <v>577286808.63999999</v>
      </c>
      <c r="K740" s="621" t="s">
        <v>991</v>
      </c>
      <c r="L740" s="621" t="s">
        <v>4837</v>
      </c>
      <c r="M740" s="621" t="s">
        <v>4838</v>
      </c>
      <c r="N740" s="621" t="s">
        <v>4092</v>
      </c>
      <c r="O740" s="621"/>
      <c r="P740" s="621"/>
    </row>
    <row r="741" spans="1:16">
      <c r="A741" s="232" t="s">
        <v>684</v>
      </c>
      <c r="B741" s="232" t="s">
        <v>1353</v>
      </c>
      <c r="C741" s="622">
        <v>45107</v>
      </c>
      <c r="D741" s="232" t="s">
        <v>4840</v>
      </c>
      <c r="E741" s="231" t="s">
        <v>5074</v>
      </c>
      <c r="F741" s="233">
        <v>154.096</v>
      </c>
      <c r="G741" s="232" t="s">
        <v>4836</v>
      </c>
      <c r="H741" s="233">
        <v>2048.56</v>
      </c>
      <c r="I741" s="233">
        <v>315676.95</v>
      </c>
      <c r="J741" s="623">
        <v>189368296.34</v>
      </c>
      <c r="K741" s="624" t="s">
        <v>991</v>
      </c>
      <c r="L741" s="624" t="s">
        <v>4837</v>
      </c>
      <c r="M741" s="624" t="s">
        <v>4838</v>
      </c>
      <c r="N741" s="624" t="s">
        <v>4092</v>
      </c>
      <c r="O741" s="624"/>
      <c r="P741" s="624"/>
    </row>
    <row r="742" spans="1:16">
      <c r="A742" s="231" t="s">
        <v>684</v>
      </c>
      <c r="B742" s="231" t="s">
        <v>1353</v>
      </c>
      <c r="C742" s="618">
        <v>45107</v>
      </c>
      <c r="D742" s="231" t="s">
        <v>4840</v>
      </c>
      <c r="E742" s="231" t="s">
        <v>5074</v>
      </c>
      <c r="F742" s="619">
        <v>88.09</v>
      </c>
      <c r="G742" s="231" t="s">
        <v>4836</v>
      </c>
      <c r="H742" s="619">
        <v>1924.9</v>
      </c>
      <c r="I742" s="619">
        <v>169566.37</v>
      </c>
      <c r="J742" s="620">
        <v>101719478.09999999</v>
      </c>
      <c r="K742" s="621" t="s">
        <v>991</v>
      </c>
      <c r="L742" s="621" t="s">
        <v>4837</v>
      </c>
      <c r="M742" s="621" t="s">
        <v>4838</v>
      </c>
      <c r="N742" s="621" t="s">
        <v>4092</v>
      </c>
      <c r="O742" s="621"/>
      <c r="P742" s="621"/>
    </row>
    <row r="743" spans="1:16">
      <c r="A743" s="232" t="s">
        <v>684</v>
      </c>
      <c r="B743" s="232" t="s">
        <v>1353</v>
      </c>
      <c r="C743" s="622">
        <v>45107</v>
      </c>
      <c r="D743" s="232" t="s">
        <v>4840</v>
      </c>
      <c r="E743" s="231" t="s">
        <v>5074</v>
      </c>
      <c r="F743" s="233">
        <v>132.16</v>
      </c>
      <c r="G743" s="232" t="s">
        <v>4836</v>
      </c>
      <c r="H743" s="233">
        <v>1973.4</v>
      </c>
      <c r="I743" s="233">
        <v>260808.49</v>
      </c>
      <c r="J743" s="623">
        <v>156453803.24000001</v>
      </c>
      <c r="K743" s="624" t="s">
        <v>991</v>
      </c>
      <c r="L743" s="624" t="s">
        <v>4837</v>
      </c>
      <c r="M743" s="624" t="s">
        <v>4838</v>
      </c>
      <c r="N743" s="624" t="s">
        <v>4092</v>
      </c>
      <c r="O743" s="624"/>
      <c r="P743" s="624"/>
    </row>
    <row r="744" spans="1:16">
      <c r="A744" s="231" t="s">
        <v>684</v>
      </c>
      <c r="B744" s="231" t="s">
        <v>1353</v>
      </c>
      <c r="C744" s="618">
        <v>45107</v>
      </c>
      <c r="D744" s="231" t="s">
        <v>4843</v>
      </c>
      <c r="E744" s="231" t="s">
        <v>5074</v>
      </c>
      <c r="F744" s="619">
        <v>99.995999999999995</v>
      </c>
      <c r="G744" s="231" t="s">
        <v>4836</v>
      </c>
      <c r="H744" s="619">
        <v>2127.3000000000002</v>
      </c>
      <c r="I744" s="619">
        <v>212721.49</v>
      </c>
      <c r="J744" s="620">
        <v>127607372.53</v>
      </c>
      <c r="K744" s="621" t="s">
        <v>991</v>
      </c>
      <c r="L744" s="621" t="s">
        <v>4837</v>
      </c>
      <c r="M744" s="621" t="s">
        <v>4838</v>
      </c>
      <c r="N744" s="621" t="s">
        <v>4092</v>
      </c>
      <c r="O744" s="621"/>
      <c r="P744" s="621"/>
    </row>
    <row r="745" spans="1:16">
      <c r="A745" s="232" t="s">
        <v>684</v>
      </c>
      <c r="B745" s="232" t="s">
        <v>1353</v>
      </c>
      <c r="C745" s="622">
        <v>45107</v>
      </c>
      <c r="D745" s="232" t="s">
        <v>4844</v>
      </c>
      <c r="E745" s="232"/>
      <c r="F745" s="233">
        <v>1519.3240000000001</v>
      </c>
      <c r="G745" s="232" t="s">
        <v>4836</v>
      </c>
      <c r="H745" s="233">
        <v>237.33</v>
      </c>
      <c r="I745" s="233">
        <v>360584.96000000002</v>
      </c>
      <c r="J745" s="623">
        <v>216307714.46000001</v>
      </c>
      <c r="K745" s="624" t="s">
        <v>991</v>
      </c>
      <c r="L745" s="624" t="s">
        <v>4837</v>
      </c>
      <c r="M745" s="624" t="s">
        <v>4838</v>
      </c>
      <c r="N745" s="624" t="s">
        <v>4092</v>
      </c>
      <c r="O745" s="624"/>
      <c r="P745" s="624"/>
    </row>
    <row r="746" spans="1:16">
      <c r="A746" s="231" t="s">
        <v>684</v>
      </c>
      <c r="B746" s="231" t="s">
        <v>1353</v>
      </c>
      <c r="C746" s="618">
        <v>45107</v>
      </c>
      <c r="D746" s="231" t="s">
        <v>4839</v>
      </c>
      <c r="E746" s="231" t="s">
        <v>5073</v>
      </c>
      <c r="F746" s="619">
        <v>60</v>
      </c>
      <c r="G746" s="231" t="s">
        <v>4836</v>
      </c>
      <c r="H746" s="619">
        <v>2061.25</v>
      </c>
      <c r="I746" s="619">
        <v>123675</v>
      </c>
      <c r="J746" s="620">
        <v>74190161.969999999</v>
      </c>
      <c r="K746" s="621" t="s">
        <v>991</v>
      </c>
      <c r="L746" s="621" t="s">
        <v>4837</v>
      </c>
      <c r="M746" s="621" t="s">
        <v>4838</v>
      </c>
      <c r="N746" s="621" t="s">
        <v>4092</v>
      </c>
      <c r="O746" s="621"/>
      <c r="P746" s="621"/>
    </row>
    <row r="747" spans="1:16">
      <c r="A747" s="232" t="s">
        <v>684</v>
      </c>
      <c r="B747" s="232" t="s">
        <v>1353</v>
      </c>
      <c r="C747" s="622">
        <v>45107</v>
      </c>
      <c r="D747" s="232" t="s">
        <v>4841</v>
      </c>
      <c r="E747" s="231" t="s">
        <v>5073</v>
      </c>
      <c r="F747" s="233">
        <v>60</v>
      </c>
      <c r="G747" s="232" t="s">
        <v>4836</v>
      </c>
      <c r="H747" s="233">
        <v>1506</v>
      </c>
      <c r="I747" s="233">
        <v>90360</v>
      </c>
      <c r="J747" s="623">
        <v>54205158.969999999</v>
      </c>
      <c r="K747" s="624" t="s">
        <v>991</v>
      </c>
      <c r="L747" s="624" t="s">
        <v>4837</v>
      </c>
      <c r="M747" s="624" t="s">
        <v>4838</v>
      </c>
      <c r="N747" s="624" t="s">
        <v>4092</v>
      </c>
      <c r="O747" s="624"/>
      <c r="P747" s="624"/>
    </row>
    <row r="748" spans="1:16">
      <c r="A748" s="231" t="s">
        <v>684</v>
      </c>
      <c r="B748" s="231" t="s">
        <v>1353</v>
      </c>
      <c r="C748" s="618">
        <v>45107</v>
      </c>
      <c r="D748" s="231" t="s">
        <v>4840</v>
      </c>
      <c r="E748" s="231" t="s">
        <v>5074</v>
      </c>
      <c r="F748" s="619">
        <v>220.15600000000001</v>
      </c>
      <c r="G748" s="231" t="s">
        <v>4836</v>
      </c>
      <c r="H748" s="619">
        <v>2041.3</v>
      </c>
      <c r="I748" s="619">
        <v>449410.57</v>
      </c>
      <c r="J748" s="620">
        <v>269592423.51999998</v>
      </c>
      <c r="K748" s="621" t="s">
        <v>991</v>
      </c>
      <c r="L748" s="621" t="s">
        <v>4837</v>
      </c>
      <c r="M748" s="621" t="s">
        <v>4838</v>
      </c>
      <c r="N748" s="621" t="s">
        <v>4092</v>
      </c>
      <c r="O748" s="621"/>
      <c r="P748" s="621"/>
    </row>
    <row r="749" spans="1:16">
      <c r="A749" s="232" t="s">
        <v>684</v>
      </c>
      <c r="B749" s="232" t="s">
        <v>1353</v>
      </c>
      <c r="C749" s="622">
        <v>45107</v>
      </c>
      <c r="D749" s="232" t="s">
        <v>4843</v>
      </c>
      <c r="E749" s="231" t="s">
        <v>5074</v>
      </c>
      <c r="F749" s="233">
        <v>176.15899999999999</v>
      </c>
      <c r="G749" s="232" t="s">
        <v>4836</v>
      </c>
      <c r="H749" s="233">
        <v>2109.1999999999998</v>
      </c>
      <c r="I749" s="233">
        <v>371556.67</v>
      </c>
      <c r="J749" s="623">
        <v>222889424.12</v>
      </c>
      <c r="K749" s="624" t="s">
        <v>991</v>
      </c>
      <c r="L749" s="624" t="s">
        <v>4837</v>
      </c>
      <c r="M749" s="624" t="s">
        <v>4838</v>
      </c>
      <c r="N749" s="624" t="s">
        <v>4092</v>
      </c>
      <c r="O749" s="624"/>
      <c r="P749" s="624"/>
    </row>
    <row r="750" spans="1:16">
      <c r="A750" s="231" t="s">
        <v>684</v>
      </c>
      <c r="B750" s="231" t="s">
        <v>1353</v>
      </c>
      <c r="C750" s="618">
        <v>45108</v>
      </c>
      <c r="D750" s="231" t="s">
        <v>4841</v>
      </c>
      <c r="E750" s="231" t="s">
        <v>5073</v>
      </c>
      <c r="F750" s="619"/>
      <c r="G750" s="231" t="s">
        <v>4836</v>
      </c>
      <c r="H750" s="619"/>
      <c r="I750" s="619">
        <v>84681</v>
      </c>
      <c r="J750" s="620">
        <v>50798440.310000002</v>
      </c>
      <c r="K750" s="621" t="s">
        <v>991</v>
      </c>
      <c r="L750" s="621" t="s">
        <v>4837</v>
      </c>
      <c r="M750" s="621" t="s">
        <v>4838</v>
      </c>
      <c r="N750" s="621" t="s">
        <v>4092</v>
      </c>
      <c r="O750" s="621"/>
      <c r="P750" s="621"/>
    </row>
    <row r="751" spans="1:16">
      <c r="A751" s="232" t="s">
        <v>684</v>
      </c>
      <c r="B751" s="232" t="s">
        <v>1353</v>
      </c>
      <c r="C751" s="622">
        <v>45110</v>
      </c>
      <c r="D751" s="232" t="s">
        <v>4839</v>
      </c>
      <c r="E751" s="231" t="s">
        <v>5073</v>
      </c>
      <c r="F751" s="233">
        <v>40</v>
      </c>
      <c r="G751" s="232" t="s">
        <v>4836</v>
      </c>
      <c r="H751" s="233">
        <v>2008.15</v>
      </c>
      <c r="I751" s="233">
        <v>80326</v>
      </c>
      <c r="J751" s="623">
        <v>48330926.590000004</v>
      </c>
      <c r="K751" s="624" t="s">
        <v>991</v>
      </c>
      <c r="L751" s="624" t="s">
        <v>4837</v>
      </c>
      <c r="M751" s="624" t="s">
        <v>4838</v>
      </c>
      <c r="N751" s="624" t="s">
        <v>4092</v>
      </c>
      <c r="O751" s="624"/>
      <c r="P751" s="624"/>
    </row>
    <row r="752" spans="1:16">
      <c r="A752" s="231" t="s">
        <v>684</v>
      </c>
      <c r="B752" s="231" t="s">
        <v>1353</v>
      </c>
      <c r="C752" s="618">
        <v>45114</v>
      </c>
      <c r="D752" s="231" t="s">
        <v>4839</v>
      </c>
      <c r="E752" s="231" t="s">
        <v>5073</v>
      </c>
      <c r="F752" s="619">
        <v>80</v>
      </c>
      <c r="G752" s="231" t="s">
        <v>4836</v>
      </c>
      <c r="H752" s="619">
        <v>2092.85</v>
      </c>
      <c r="I752" s="619">
        <v>167428</v>
      </c>
      <c r="J752" s="620">
        <v>100921036.77</v>
      </c>
      <c r="K752" s="621" t="s">
        <v>991</v>
      </c>
      <c r="L752" s="621" t="s">
        <v>4837</v>
      </c>
      <c r="M752" s="621" t="s">
        <v>4838</v>
      </c>
      <c r="N752" s="621" t="s">
        <v>4092</v>
      </c>
      <c r="O752" s="621"/>
      <c r="P752" s="621"/>
    </row>
    <row r="753" spans="1:16">
      <c r="A753" s="232" t="s">
        <v>684</v>
      </c>
      <c r="B753" s="232" t="s">
        <v>1353</v>
      </c>
      <c r="C753" s="622">
        <v>45130</v>
      </c>
      <c r="D753" s="232" t="s">
        <v>4841</v>
      </c>
      <c r="E753" s="231" t="s">
        <v>5073</v>
      </c>
      <c r="F753" s="233">
        <v>40</v>
      </c>
      <c r="G753" s="232" t="s">
        <v>4836</v>
      </c>
      <c r="H753" s="233">
        <v>1556.85</v>
      </c>
      <c r="I753" s="233">
        <v>62274</v>
      </c>
      <c r="J753" s="623">
        <v>36696523.280000001</v>
      </c>
      <c r="K753" s="624" t="s">
        <v>991</v>
      </c>
      <c r="L753" s="624" t="s">
        <v>4837</v>
      </c>
      <c r="M753" s="624" t="s">
        <v>4838</v>
      </c>
      <c r="N753" s="624" t="s">
        <v>4092</v>
      </c>
      <c r="O753" s="624"/>
      <c r="P753" s="624"/>
    </row>
    <row r="754" spans="1:16">
      <c r="A754" s="231" t="s">
        <v>684</v>
      </c>
      <c r="B754" s="231" t="s">
        <v>1353</v>
      </c>
      <c r="C754" s="618">
        <v>45130</v>
      </c>
      <c r="D754" s="231" t="s">
        <v>4843</v>
      </c>
      <c r="E754" s="231" t="s">
        <v>5074</v>
      </c>
      <c r="F754" s="619">
        <v>154.245</v>
      </c>
      <c r="G754" s="231" t="s">
        <v>4836</v>
      </c>
      <c r="H754" s="619">
        <v>1947.14</v>
      </c>
      <c r="I754" s="619">
        <v>300340.5</v>
      </c>
      <c r="J754" s="620">
        <v>176983205.66</v>
      </c>
      <c r="K754" s="621" t="s">
        <v>991</v>
      </c>
      <c r="L754" s="621" t="s">
        <v>4837</v>
      </c>
      <c r="M754" s="621" t="s">
        <v>4838</v>
      </c>
      <c r="N754" s="621" t="s">
        <v>4092</v>
      </c>
      <c r="O754" s="621"/>
      <c r="P754" s="621"/>
    </row>
    <row r="755" spans="1:16">
      <c r="A755" s="232" t="s">
        <v>684</v>
      </c>
      <c r="B755" s="232" t="s">
        <v>1353</v>
      </c>
      <c r="C755" s="622">
        <v>45130</v>
      </c>
      <c r="D755" s="232" t="s">
        <v>4841</v>
      </c>
      <c r="E755" s="231" t="s">
        <v>5073</v>
      </c>
      <c r="F755" s="233">
        <v>40</v>
      </c>
      <c r="G755" s="232" t="s">
        <v>4836</v>
      </c>
      <c r="H755" s="233">
        <v>1489.3</v>
      </c>
      <c r="I755" s="233">
        <v>62080</v>
      </c>
      <c r="J755" s="623">
        <v>36582203.890000001</v>
      </c>
      <c r="K755" s="624" t="s">
        <v>991</v>
      </c>
      <c r="L755" s="624" t="s">
        <v>4837</v>
      </c>
      <c r="M755" s="624" t="s">
        <v>4838</v>
      </c>
      <c r="N755" s="624" t="s">
        <v>4092</v>
      </c>
      <c r="O755" s="624"/>
      <c r="P755" s="624"/>
    </row>
    <row r="756" spans="1:16">
      <c r="A756" s="231" t="s">
        <v>684</v>
      </c>
      <c r="B756" s="231" t="s">
        <v>1353</v>
      </c>
      <c r="C756" s="618">
        <v>45134</v>
      </c>
      <c r="D756" s="231" t="s">
        <v>4843</v>
      </c>
      <c r="E756" s="231" t="s">
        <v>5074</v>
      </c>
      <c r="F756" s="619">
        <v>308.57249999999999</v>
      </c>
      <c r="G756" s="231" t="s">
        <v>4836</v>
      </c>
      <c r="H756" s="619">
        <v>1960.32</v>
      </c>
      <c r="I756" s="619">
        <v>604907.69999999995</v>
      </c>
      <c r="J756" s="620">
        <v>358357642.18000001</v>
      </c>
      <c r="K756" s="621" t="s">
        <v>991</v>
      </c>
      <c r="L756" s="621" t="s">
        <v>4837</v>
      </c>
      <c r="M756" s="621" t="s">
        <v>4838</v>
      </c>
      <c r="N756" s="621" t="s">
        <v>4092</v>
      </c>
      <c r="O756" s="621"/>
      <c r="P756" s="621"/>
    </row>
    <row r="757" spans="1:16">
      <c r="A757" s="232" t="s">
        <v>684</v>
      </c>
      <c r="B757" s="232" t="s">
        <v>1353</v>
      </c>
      <c r="C757" s="622">
        <v>45134</v>
      </c>
      <c r="D757" s="232" t="s">
        <v>4840</v>
      </c>
      <c r="E757" s="231" t="s">
        <v>5074</v>
      </c>
      <c r="F757" s="233">
        <v>198.20435000000001</v>
      </c>
      <c r="G757" s="232" t="s">
        <v>4836</v>
      </c>
      <c r="H757" s="233">
        <v>1934.6</v>
      </c>
      <c r="I757" s="233">
        <v>383451.26</v>
      </c>
      <c r="J757" s="623">
        <v>227163068.72</v>
      </c>
      <c r="K757" s="624" t="s">
        <v>991</v>
      </c>
      <c r="L757" s="624" t="s">
        <v>4837</v>
      </c>
      <c r="M757" s="624" t="s">
        <v>4838</v>
      </c>
      <c r="N757" s="624" t="s">
        <v>4092</v>
      </c>
      <c r="O757" s="624"/>
      <c r="P757" s="624"/>
    </row>
    <row r="758" spans="1:16">
      <c r="A758" s="231" t="s">
        <v>684</v>
      </c>
      <c r="B758" s="231" t="s">
        <v>1353</v>
      </c>
      <c r="C758" s="618">
        <v>45134</v>
      </c>
      <c r="D758" s="231" t="s">
        <v>4840</v>
      </c>
      <c r="E758" s="231" t="s">
        <v>5074</v>
      </c>
      <c r="F758" s="619">
        <v>110.1125</v>
      </c>
      <c r="G758" s="231" t="s">
        <v>4836</v>
      </c>
      <c r="H758" s="619">
        <v>1900.65</v>
      </c>
      <c r="I758" s="619">
        <v>209290.07</v>
      </c>
      <c r="J758" s="620">
        <v>123987008.29000001</v>
      </c>
      <c r="K758" s="621" t="s">
        <v>991</v>
      </c>
      <c r="L758" s="621" t="s">
        <v>4837</v>
      </c>
      <c r="M758" s="621" t="s">
        <v>4838</v>
      </c>
      <c r="N758" s="621" t="s">
        <v>4092</v>
      </c>
      <c r="O758" s="621"/>
      <c r="P758" s="621"/>
    </row>
    <row r="759" spans="1:16">
      <c r="A759" s="232" t="s">
        <v>684</v>
      </c>
      <c r="B759" s="232" t="s">
        <v>1353</v>
      </c>
      <c r="C759" s="622">
        <v>45134</v>
      </c>
      <c r="D759" s="232" t="s">
        <v>4843</v>
      </c>
      <c r="E759" s="231" t="s">
        <v>5074</v>
      </c>
      <c r="F759" s="233">
        <v>242.27875</v>
      </c>
      <c r="G759" s="232" t="s">
        <v>4836</v>
      </c>
      <c r="H759" s="233">
        <v>1954</v>
      </c>
      <c r="I759" s="233">
        <v>473419.03</v>
      </c>
      <c r="J759" s="623">
        <v>280461510.66000003</v>
      </c>
      <c r="K759" s="624" t="s">
        <v>991</v>
      </c>
      <c r="L759" s="624" t="s">
        <v>4837</v>
      </c>
      <c r="M759" s="624" t="s">
        <v>4838</v>
      </c>
      <c r="N759" s="624" t="s">
        <v>4092</v>
      </c>
      <c r="O759" s="624"/>
      <c r="P759" s="624"/>
    </row>
    <row r="760" spans="1:16">
      <c r="A760" s="231" t="s">
        <v>684</v>
      </c>
      <c r="B760" s="231" t="s">
        <v>1353</v>
      </c>
      <c r="C760" s="618">
        <v>45134</v>
      </c>
      <c r="D760" s="231" t="s">
        <v>4843</v>
      </c>
      <c r="E760" s="231" t="s">
        <v>5074</v>
      </c>
      <c r="F760" s="619">
        <v>132.17250000000001</v>
      </c>
      <c r="G760" s="231" t="s">
        <v>4836</v>
      </c>
      <c r="H760" s="619">
        <v>1954</v>
      </c>
      <c r="I760" s="619">
        <v>258268</v>
      </c>
      <c r="J760" s="620">
        <v>153002369.66999999</v>
      </c>
      <c r="K760" s="621" t="s">
        <v>991</v>
      </c>
      <c r="L760" s="621" t="s">
        <v>4837</v>
      </c>
      <c r="M760" s="621" t="s">
        <v>4838</v>
      </c>
      <c r="N760" s="621" t="s">
        <v>4092</v>
      </c>
      <c r="O760" s="621"/>
      <c r="P760" s="621"/>
    </row>
    <row r="761" spans="1:16">
      <c r="A761" s="232" t="s">
        <v>684</v>
      </c>
      <c r="B761" s="232" t="s">
        <v>1353</v>
      </c>
      <c r="C761" s="622">
        <v>45134</v>
      </c>
      <c r="D761" s="232" t="s">
        <v>4843</v>
      </c>
      <c r="E761" s="231" t="s">
        <v>5074</v>
      </c>
      <c r="F761" s="233">
        <v>176.2175</v>
      </c>
      <c r="G761" s="232" t="s">
        <v>4836</v>
      </c>
      <c r="H761" s="233">
        <v>1954</v>
      </c>
      <c r="I761" s="233">
        <v>344331.93</v>
      </c>
      <c r="J761" s="623">
        <v>203988110.19</v>
      </c>
      <c r="K761" s="624" t="s">
        <v>991</v>
      </c>
      <c r="L761" s="624" t="s">
        <v>4837</v>
      </c>
      <c r="M761" s="624" t="s">
        <v>4838</v>
      </c>
      <c r="N761" s="624" t="s">
        <v>4092</v>
      </c>
      <c r="O761" s="624"/>
      <c r="P761" s="624"/>
    </row>
    <row r="762" spans="1:16">
      <c r="A762" s="231" t="s">
        <v>684</v>
      </c>
      <c r="B762" s="231" t="s">
        <v>1353</v>
      </c>
      <c r="C762" s="618">
        <v>45134</v>
      </c>
      <c r="D762" s="231" t="s">
        <v>4839</v>
      </c>
      <c r="E762" s="231" t="s">
        <v>5073</v>
      </c>
      <c r="F762" s="619">
        <v>80</v>
      </c>
      <c r="G762" s="231" t="s">
        <v>4836</v>
      </c>
      <c r="H762" s="619">
        <v>1997.31</v>
      </c>
      <c r="I762" s="619">
        <v>159784.79999999999</v>
      </c>
      <c r="J762" s="620">
        <v>94659241.709999993</v>
      </c>
      <c r="K762" s="621" t="s">
        <v>991</v>
      </c>
      <c r="L762" s="621" t="s">
        <v>4837</v>
      </c>
      <c r="M762" s="621" t="s">
        <v>4838</v>
      </c>
      <c r="N762" s="621" t="s">
        <v>4092</v>
      </c>
      <c r="O762" s="621"/>
      <c r="P762" s="621"/>
    </row>
    <row r="763" spans="1:16">
      <c r="A763" s="232" t="s">
        <v>684</v>
      </c>
      <c r="B763" s="232" t="s">
        <v>1353</v>
      </c>
      <c r="C763" s="622">
        <v>45134</v>
      </c>
      <c r="D763" s="232" t="s">
        <v>4841</v>
      </c>
      <c r="E763" s="231" t="s">
        <v>5073</v>
      </c>
      <c r="F763" s="233">
        <v>20</v>
      </c>
      <c r="G763" s="232" t="s">
        <v>4836</v>
      </c>
      <c r="H763" s="233">
        <v>1506</v>
      </c>
      <c r="I763" s="233">
        <v>30120</v>
      </c>
      <c r="J763" s="623">
        <v>17843601.899999999</v>
      </c>
      <c r="K763" s="624" t="s">
        <v>991</v>
      </c>
      <c r="L763" s="624" t="s">
        <v>4837</v>
      </c>
      <c r="M763" s="624" t="s">
        <v>4838</v>
      </c>
      <c r="N763" s="624" t="s">
        <v>4092</v>
      </c>
      <c r="O763" s="624"/>
      <c r="P763" s="624"/>
    </row>
    <row r="764" spans="1:16">
      <c r="A764" s="231" t="s">
        <v>684</v>
      </c>
      <c r="B764" s="231" t="s">
        <v>1353</v>
      </c>
      <c r="C764" s="618">
        <v>45134</v>
      </c>
      <c r="D764" s="231" t="s">
        <v>4841</v>
      </c>
      <c r="E764" s="231" t="s">
        <v>5073</v>
      </c>
      <c r="F764" s="619">
        <v>60</v>
      </c>
      <c r="G764" s="231" t="s">
        <v>4836</v>
      </c>
      <c r="H764" s="619">
        <v>1349.65</v>
      </c>
      <c r="I764" s="619">
        <v>84681</v>
      </c>
      <c r="J764" s="620">
        <v>50166469.189999998</v>
      </c>
      <c r="K764" s="621" t="s">
        <v>991</v>
      </c>
      <c r="L764" s="621" t="s">
        <v>4837</v>
      </c>
      <c r="M764" s="621" t="s">
        <v>4838</v>
      </c>
      <c r="N764" s="621" t="s">
        <v>4092</v>
      </c>
      <c r="O764" s="621"/>
      <c r="P764" s="621"/>
    </row>
    <row r="765" spans="1:16">
      <c r="A765" s="232" t="s">
        <v>684</v>
      </c>
      <c r="B765" s="232" t="s">
        <v>1353</v>
      </c>
      <c r="C765" s="622">
        <v>45134</v>
      </c>
      <c r="D765" s="232" t="s">
        <v>4841</v>
      </c>
      <c r="E765" s="231" t="s">
        <v>5073</v>
      </c>
      <c r="F765" s="233">
        <v>60</v>
      </c>
      <c r="G765" s="232" t="s">
        <v>4836</v>
      </c>
      <c r="H765" s="233">
        <v>1349.65</v>
      </c>
      <c r="I765" s="233">
        <v>84681</v>
      </c>
      <c r="J765" s="623">
        <v>50166469.189999998</v>
      </c>
      <c r="K765" s="624" t="s">
        <v>991</v>
      </c>
      <c r="L765" s="624" t="s">
        <v>4837</v>
      </c>
      <c r="M765" s="624" t="s">
        <v>4838</v>
      </c>
      <c r="N765" s="624" t="s">
        <v>4092</v>
      </c>
      <c r="O765" s="624"/>
      <c r="P765" s="624"/>
    </row>
    <row r="766" spans="1:16">
      <c r="A766" s="231" t="s">
        <v>684</v>
      </c>
      <c r="B766" s="231" t="s">
        <v>1353</v>
      </c>
      <c r="C766" s="618">
        <v>45135</v>
      </c>
      <c r="D766" s="231" t="s">
        <v>4843</v>
      </c>
      <c r="E766" s="231" t="s">
        <v>5074</v>
      </c>
      <c r="F766" s="619">
        <v>506.43427000000003</v>
      </c>
      <c r="G766" s="231" t="s">
        <v>4836</v>
      </c>
      <c r="H766" s="619">
        <v>1800.15</v>
      </c>
      <c r="I766" s="619">
        <v>911666.17</v>
      </c>
      <c r="J766" s="620">
        <v>540086593.60000002</v>
      </c>
      <c r="K766" s="621" t="s">
        <v>991</v>
      </c>
      <c r="L766" s="621" t="s">
        <v>4837</v>
      </c>
      <c r="M766" s="621" t="s">
        <v>4838</v>
      </c>
      <c r="N766" s="621" t="s">
        <v>4092</v>
      </c>
      <c r="O766" s="621"/>
      <c r="P766" s="621"/>
    </row>
    <row r="767" spans="1:16">
      <c r="A767" s="232" t="s">
        <v>684</v>
      </c>
      <c r="B767" s="232" t="s">
        <v>1353</v>
      </c>
      <c r="C767" s="622">
        <v>45135</v>
      </c>
      <c r="D767" s="232" t="s">
        <v>4841</v>
      </c>
      <c r="E767" s="231" t="s">
        <v>5073</v>
      </c>
      <c r="F767" s="233">
        <v>40</v>
      </c>
      <c r="G767" s="232" t="s">
        <v>4836</v>
      </c>
      <c r="H767" s="233">
        <v>1489.6</v>
      </c>
      <c r="I767" s="233">
        <v>62662</v>
      </c>
      <c r="J767" s="623">
        <v>37122037.909999996</v>
      </c>
      <c r="K767" s="624" t="s">
        <v>991</v>
      </c>
      <c r="L767" s="624" t="s">
        <v>4837</v>
      </c>
      <c r="M767" s="624" t="s">
        <v>4838</v>
      </c>
      <c r="N767" s="624" t="s">
        <v>4092</v>
      </c>
      <c r="O767" s="624"/>
      <c r="P767" s="624"/>
    </row>
    <row r="768" spans="1:16">
      <c r="A768" s="231" t="s">
        <v>684</v>
      </c>
      <c r="B768" s="231" t="s">
        <v>1353</v>
      </c>
      <c r="C768" s="618">
        <v>45137</v>
      </c>
      <c r="D768" s="231" t="s">
        <v>4841</v>
      </c>
      <c r="E768" s="231" t="s">
        <v>5073</v>
      </c>
      <c r="F768" s="619"/>
      <c r="G768" s="231" t="s">
        <v>4836</v>
      </c>
      <c r="H768" s="619"/>
      <c r="I768" s="619">
        <v>-84681</v>
      </c>
      <c r="J768" s="620">
        <v>-50802706.890000001</v>
      </c>
      <c r="K768" s="621" t="s">
        <v>991</v>
      </c>
      <c r="L768" s="621" t="s">
        <v>4837</v>
      </c>
      <c r="M768" s="621" t="s">
        <v>4838</v>
      </c>
      <c r="N768" s="621" t="s">
        <v>4092</v>
      </c>
      <c r="O768" s="621"/>
      <c r="P768" s="621"/>
    </row>
    <row r="769" spans="1:16">
      <c r="A769" s="232" t="s">
        <v>684</v>
      </c>
      <c r="B769" s="232" t="s">
        <v>1353</v>
      </c>
      <c r="C769" s="622">
        <v>45138</v>
      </c>
      <c r="D769" s="232" t="s">
        <v>4841</v>
      </c>
      <c r="E769" s="231" t="s">
        <v>5073</v>
      </c>
      <c r="F769" s="233"/>
      <c r="G769" s="232" t="s">
        <v>4836</v>
      </c>
      <c r="H769" s="233"/>
      <c r="I769" s="233">
        <v>-3078</v>
      </c>
      <c r="J769" s="623">
        <v>-1823837.88</v>
      </c>
      <c r="K769" s="624" t="s">
        <v>991</v>
      </c>
      <c r="L769" s="624" t="s">
        <v>4837</v>
      </c>
      <c r="M769" s="624" t="s">
        <v>4838</v>
      </c>
      <c r="N769" s="624" t="s">
        <v>4092</v>
      </c>
      <c r="O769" s="624"/>
      <c r="P769" s="624"/>
    </row>
    <row r="770" spans="1:16">
      <c r="A770" s="231" t="s">
        <v>684</v>
      </c>
      <c r="B770" s="231" t="s">
        <v>1353</v>
      </c>
      <c r="C770" s="618">
        <v>45138</v>
      </c>
      <c r="D770" s="231" t="s">
        <v>4841</v>
      </c>
      <c r="E770" s="231" t="s">
        <v>5073</v>
      </c>
      <c r="F770" s="619"/>
      <c r="G770" s="231" t="s">
        <v>4836</v>
      </c>
      <c r="H770" s="619"/>
      <c r="I770" s="619">
        <v>-3702</v>
      </c>
      <c r="J770" s="620">
        <v>-2193582.79</v>
      </c>
      <c r="K770" s="621" t="s">
        <v>991</v>
      </c>
      <c r="L770" s="621" t="s">
        <v>4837</v>
      </c>
      <c r="M770" s="621" t="s">
        <v>4838</v>
      </c>
      <c r="N770" s="621" t="s">
        <v>4092</v>
      </c>
      <c r="O770" s="621"/>
      <c r="P770" s="621"/>
    </row>
    <row r="771" spans="1:16">
      <c r="A771" s="232" t="s">
        <v>684</v>
      </c>
      <c r="B771" s="232" t="s">
        <v>1353</v>
      </c>
      <c r="C771" s="622">
        <v>45138</v>
      </c>
      <c r="D771" s="232" t="s">
        <v>4841</v>
      </c>
      <c r="E771" s="231" t="s">
        <v>5073</v>
      </c>
      <c r="F771" s="233"/>
      <c r="G771" s="232" t="s">
        <v>4836</v>
      </c>
      <c r="H771" s="233"/>
      <c r="I771" s="233">
        <v>-3702</v>
      </c>
      <c r="J771" s="623">
        <v>-2193582.79</v>
      </c>
      <c r="K771" s="624" t="s">
        <v>991</v>
      </c>
      <c r="L771" s="624" t="s">
        <v>4837</v>
      </c>
      <c r="M771" s="624" t="s">
        <v>4838</v>
      </c>
      <c r="N771" s="624" t="s">
        <v>4092</v>
      </c>
      <c r="O771" s="624"/>
      <c r="P771" s="624"/>
    </row>
    <row r="772" spans="1:16">
      <c r="A772" s="231" t="s">
        <v>684</v>
      </c>
      <c r="B772" s="231" t="s">
        <v>1353</v>
      </c>
      <c r="C772" s="618">
        <v>45138</v>
      </c>
      <c r="D772" s="231" t="s">
        <v>4841</v>
      </c>
      <c r="E772" s="231" t="s">
        <v>5073</v>
      </c>
      <c r="F772" s="619"/>
      <c r="G772" s="231" t="s">
        <v>4836</v>
      </c>
      <c r="H772" s="619"/>
      <c r="I772" s="619">
        <v>-2508</v>
      </c>
      <c r="J772" s="620">
        <v>-1486090.13</v>
      </c>
      <c r="K772" s="621" t="s">
        <v>991</v>
      </c>
      <c r="L772" s="621" t="s">
        <v>4837</v>
      </c>
      <c r="M772" s="621" t="s">
        <v>4838</v>
      </c>
      <c r="N772" s="621" t="s">
        <v>4092</v>
      </c>
      <c r="O772" s="621"/>
      <c r="P772" s="621"/>
    </row>
    <row r="773" spans="1:16">
      <c r="A773" s="232" t="s">
        <v>684</v>
      </c>
      <c r="B773" s="232" t="s">
        <v>1353</v>
      </c>
      <c r="C773" s="622">
        <v>45139</v>
      </c>
      <c r="D773" s="232" t="s">
        <v>4841</v>
      </c>
      <c r="E773" s="231" t="s">
        <v>5073</v>
      </c>
      <c r="F773" s="233"/>
      <c r="G773" s="232" t="s">
        <v>4836</v>
      </c>
      <c r="H773" s="233"/>
      <c r="I773" s="233">
        <v>-3078</v>
      </c>
      <c r="J773" s="623">
        <v>-1847539.02</v>
      </c>
      <c r="K773" s="624" t="s">
        <v>991</v>
      </c>
      <c r="L773" s="624" t="s">
        <v>4837</v>
      </c>
      <c r="M773" s="624" t="s">
        <v>4838</v>
      </c>
      <c r="N773" s="624" t="s">
        <v>4092</v>
      </c>
      <c r="O773" s="624"/>
      <c r="P773" s="624"/>
    </row>
    <row r="774" spans="1:16">
      <c r="A774" s="231" t="s">
        <v>684</v>
      </c>
      <c r="B774" s="231" t="s">
        <v>1353</v>
      </c>
      <c r="C774" s="618">
        <v>45139</v>
      </c>
      <c r="D774" s="231" t="s">
        <v>4841</v>
      </c>
      <c r="E774" s="231" t="s">
        <v>5073</v>
      </c>
      <c r="F774" s="619"/>
      <c r="G774" s="231" t="s">
        <v>4836</v>
      </c>
      <c r="H774" s="619"/>
      <c r="I774" s="619">
        <v>-3702</v>
      </c>
      <c r="J774" s="620">
        <v>-2222088.84</v>
      </c>
      <c r="K774" s="621" t="s">
        <v>991</v>
      </c>
      <c r="L774" s="621" t="s">
        <v>4837</v>
      </c>
      <c r="M774" s="621" t="s">
        <v>4838</v>
      </c>
      <c r="N774" s="621" t="s">
        <v>4092</v>
      </c>
      <c r="O774" s="621"/>
      <c r="P774" s="621"/>
    </row>
    <row r="775" spans="1:16">
      <c r="A775" s="232" t="s">
        <v>684</v>
      </c>
      <c r="B775" s="232" t="s">
        <v>1353</v>
      </c>
      <c r="C775" s="622">
        <v>45139</v>
      </c>
      <c r="D775" s="232" t="s">
        <v>4841</v>
      </c>
      <c r="E775" s="231" t="s">
        <v>5073</v>
      </c>
      <c r="F775" s="233"/>
      <c r="G775" s="232" t="s">
        <v>4836</v>
      </c>
      <c r="H775" s="233"/>
      <c r="I775" s="233">
        <v>-3702</v>
      </c>
      <c r="J775" s="623">
        <v>-2218094.67</v>
      </c>
      <c r="K775" s="624" t="s">
        <v>991</v>
      </c>
      <c r="L775" s="624" t="s">
        <v>4837</v>
      </c>
      <c r="M775" s="624" t="s">
        <v>4838</v>
      </c>
      <c r="N775" s="624" t="s">
        <v>4092</v>
      </c>
      <c r="O775" s="624"/>
      <c r="P775" s="624"/>
    </row>
    <row r="776" spans="1:16">
      <c r="A776" s="231" t="s">
        <v>684</v>
      </c>
      <c r="B776" s="231" t="s">
        <v>1353</v>
      </c>
      <c r="C776" s="618">
        <v>45139</v>
      </c>
      <c r="D776" s="231" t="s">
        <v>4841</v>
      </c>
      <c r="E776" s="231" t="s">
        <v>5073</v>
      </c>
      <c r="F776" s="619"/>
      <c r="G776" s="231" t="s">
        <v>4836</v>
      </c>
      <c r="H776" s="619"/>
      <c r="I776" s="619">
        <v>-2508</v>
      </c>
      <c r="J776" s="620">
        <v>-1505402.16</v>
      </c>
      <c r="K776" s="621" t="s">
        <v>991</v>
      </c>
      <c r="L776" s="621" t="s">
        <v>4837</v>
      </c>
      <c r="M776" s="621" t="s">
        <v>4838</v>
      </c>
      <c r="N776" s="621" t="s">
        <v>4092</v>
      </c>
      <c r="O776" s="621"/>
      <c r="P776" s="621"/>
    </row>
    <row r="777" spans="1:16">
      <c r="A777" s="232" t="s">
        <v>684</v>
      </c>
      <c r="B777" s="232" t="s">
        <v>1353</v>
      </c>
      <c r="C777" s="622">
        <v>45139</v>
      </c>
      <c r="D777" s="232" t="s">
        <v>4841</v>
      </c>
      <c r="E777" s="231" t="s">
        <v>5073</v>
      </c>
      <c r="F777" s="233"/>
      <c r="G777" s="232" t="s">
        <v>4836</v>
      </c>
      <c r="H777" s="233"/>
      <c r="I777" s="233">
        <v>3078</v>
      </c>
      <c r="J777" s="623">
        <v>1847539.02</v>
      </c>
      <c r="K777" s="624" t="s">
        <v>991</v>
      </c>
      <c r="L777" s="624" t="s">
        <v>4837</v>
      </c>
      <c r="M777" s="624" t="s">
        <v>4838</v>
      </c>
      <c r="N777" s="624" t="s">
        <v>4092</v>
      </c>
      <c r="O777" s="624"/>
      <c r="P777" s="624"/>
    </row>
    <row r="778" spans="1:16">
      <c r="A778" s="231" t="s">
        <v>684</v>
      </c>
      <c r="B778" s="231" t="s">
        <v>1353</v>
      </c>
      <c r="C778" s="618">
        <v>45139</v>
      </c>
      <c r="D778" s="231" t="s">
        <v>4841</v>
      </c>
      <c r="E778" s="231" t="s">
        <v>5073</v>
      </c>
      <c r="F778" s="619"/>
      <c r="G778" s="231" t="s">
        <v>4836</v>
      </c>
      <c r="H778" s="619"/>
      <c r="I778" s="619">
        <v>3702</v>
      </c>
      <c r="J778" s="620">
        <v>2222088.84</v>
      </c>
      <c r="K778" s="621" t="s">
        <v>991</v>
      </c>
      <c r="L778" s="621" t="s">
        <v>4837</v>
      </c>
      <c r="M778" s="621" t="s">
        <v>4838</v>
      </c>
      <c r="N778" s="621" t="s">
        <v>4092</v>
      </c>
      <c r="O778" s="621"/>
      <c r="P778" s="621"/>
    </row>
    <row r="779" spans="1:16">
      <c r="A779" s="232" t="s">
        <v>684</v>
      </c>
      <c r="B779" s="232" t="s">
        <v>1353</v>
      </c>
      <c r="C779" s="622">
        <v>45139</v>
      </c>
      <c r="D779" s="232" t="s">
        <v>4841</v>
      </c>
      <c r="E779" s="231" t="s">
        <v>5073</v>
      </c>
      <c r="F779" s="233"/>
      <c r="G779" s="232" t="s">
        <v>4836</v>
      </c>
      <c r="H779" s="233"/>
      <c r="I779" s="233">
        <v>3702</v>
      </c>
      <c r="J779" s="623">
        <v>2218094.67</v>
      </c>
      <c r="K779" s="624" t="s">
        <v>991</v>
      </c>
      <c r="L779" s="624" t="s">
        <v>4837</v>
      </c>
      <c r="M779" s="624" t="s">
        <v>4838</v>
      </c>
      <c r="N779" s="624" t="s">
        <v>4092</v>
      </c>
      <c r="O779" s="624"/>
      <c r="P779" s="624"/>
    </row>
    <row r="780" spans="1:16">
      <c r="A780" s="231" t="s">
        <v>684</v>
      </c>
      <c r="B780" s="231" t="s">
        <v>1353</v>
      </c>
      <c r="C780" s="618">
        <v>45139</v>
      </c>
      <c r="D780" s="231" t="s">
        <v>4841</v>
      </c>
      <c r="E780" s="231" t="s">
        <v>5073</v>
      </c>
      <c r="F780" s="619"/>
      <c r="G780" s="231" t="s">
        <v>4836</v>
      </c>
      <c r="H780" s="619"/>
      <c r="I780" s="619">
        <v>2508</v>
      </c>
      <c r="J780" s="620">
        <v>1505402.16</v>
      </c>
      <c r="K780" s="621" t="s">
        <v>991</v>
      </c>
      <c r="L780" s="621" t="s">
        <v>4837</v>
      </c>
      <c r="M780" s="621" t="s">
        <v>4838</v>
      </c>
      <c r="N780" s="621" t="s">
        <v>4092</v>
      </c>
      <c r="O780" s="621"/>
      <c r="P780" s="621"/>
    </row>
    <row r="781" spans="1:16">
      <c r="A781" s="232" t="s">
        <v>684</v>
      </c>
      <c r="B781" s="232" t="s">
        <v>1353</v>
      </c>
      <c r="C781" s="622">
        <v>45140</v>
      </c>
      <c r="D781" s="232" t="s">
        <v>4844</v>
      </c>
      <c r="E781" s="232"/>
      <c r="F781" s="233">
        <v>1069.04</v>
      </c>
      <c r="G781" s="232" t="s">
        <v>4836</v>
      </c>
      <c r="H781" s="233">
        <v>226.31</v>
      </c>
      <c r="I781" s="233">
        <v>241937.23</v>
      </c>
      <c r="J781" s="623">
        <v>144440137.31</v>
      </c>
      <c r="K781" s="624" t="s">
        <v>991</v>
      </c>
      <c r="L781" s="624" t="s">
        <v>4837</v>
      </c>
      <c r="M781" s="624" t="s">
        <v>4838</v>
      </c>
      <c r="N781" s="624" t="s">
        <v>4092</v>
      </c>
      <c r="O781" s="624"/>
      <c r="P781" s="624"/>
    </row>
    <row r="782" spans="1:16">
      <c r="A782" s="231" t="s">
        <v>684</v>
      </c>
      <c r="B782" s="231" t="s">
        <v>1353</v>
      </c>
      <c r="C782" s="618">
        <v>45140</v>
      </c>
      <c r="D782" s="231" t="s">
        <v>4844</v>
      </c>
      <c r="E782" s="231"/>
      <c r="F782" s="619">
        <v>728.42</v>
      </c>
      <c r="G782" s="231" t="s">
        <v>4836</v>
      </c>
      <c r="H782" s="619">
        <v>243.25</v>
      </c>
      <c r="I782" s="619">
        <v>177188</v>
      </c>
      <c r="J782" s="620">
        <v>106419219.22</v>
      </c>
      <c r="K782" s="621" t="s">
        <v>991</v>
      </c>
      <c r="L782" s="621" t="s">
        <v>4837</v>
      </c>
      <c r="M782" s="621" t="s">
        <v>4838</v>
      </c>
      <c r="N782" s="621" t="s">
        <v>4092</v>
      </c>
      <c r="O782" s="621"/>
      <c r="P782" s="621"/>
    </row>
    <row r="783" spans="1:16">
      <c r="A783" s="232" t="s">
        <v>684</v>
      </c>
      <c r="B783" s="232" t="s">
        <v>1353</v>
      </c>
      <c r="C783" s="622">
        <v>45140</v>
      </c>
      <c r="D783" s="232" t="s">
        <v>4839</v>
      </c>
      <c r="E783" s="231" t="s">
        <v>5073</v>
      </c>
      <c r="F783" s="233">
        <v>80</v>
      </c>
      <c r="G783" s="232" t="s">
        <v>4836</v>
      </c>
      <c r="H783" s="233">
        <v>1926.25</v>
      </c>
      <c r="I783" s="233">
        <v>154100</v>
      </c>
      <c r="J783" s="623">
        <v>92552552.549999997</v>
      </c>
      <c r="K783" s="624" t="s">
        <v>991</v>
      </c>
      <c r="L783" s="624" t="s">
        <v>4837</v>
      </c>
      <c r="M783" s="624" t="s">
        <v>4838</v>
      </c>
      <c r="N783" s="624" t="s">
        <v>4092</v>
      </c>
      <c r="O783" s="624"/>
      <c r="P783" s="624"/>
    </row>
    <row r="784" spans="1:16">
      <c r="A784" s="231" t="s">
        <v>684</v>
      </c>
      <c r="B784" s="231" t="s">
        <v>1353</v>
      </c>
      <c r="C784" s="618">
        <v>45140</v>
      </c>
      <c r="D784" s="231" t="s">
        <v>4841</v>
      </c>
      <c r="E784" s="231" t="s">
        <v>5073</v>
      </c>
      <c r="F784" s="619">
        <v>60</v>
      </c>
      <c r="G784" s="231" t="s">
        <v>4836</v>
      </c>
      <c r="H784" s="619">
        <v>1296.25</v>
      </c>
      <c r="I784" s="619">
        <v>77775</v>
      </c>
      <c r="J784" s="620">
        <v>46711711.710000001</v>
      </c>
      <c r="K784" s="621" t="s">
        <v>991</v>
      </c>
      <c r="L784" s="621" t="s">
        <v>4837</v>
      </c>
      <c r="M784" s="621" t="s">
        <v>4838</v>
      </c>
      <c r="N784" s="621" t="s">
        <v>4092</v>
      </c>
      <c r="O784" s="621"/>
      <c r="P784" s="621"/>
    </row>
    <row r="785" spans="1:16">
      <c r="A785" s="232" t="s">
        <v>684</v>
      </c>
      <c r="B785" s="232" t="s">
        <v>1353</v>
      </c>
      <c r="C785" s="622">
        <v>45140</v>
      </c>
      <c r="D785" s="232" t="s">
        <v>4841</v>
      </c>
      <c r="E785" s="231" t="s">
        <v>5073</v>
      </c>
      <c r="F785" s="233">
        <v>140</v>
      </c>
      <c r="G785" s="232" t="s">
        <v>4836</v>
      </c>
      <c r="H785" s="233">
        <v>1296.25</v>
      </c>
      <c r="I785" s="233">
        <v>181475</v>
      </c>
      <c r="J785" s="623">
        <v>108343283.58</v>
      </c>
      <c r="K785" s="624" t="s">
        <v>991</v>
      </c>
      <c r="L785" s="624" t="s">
        <v>4837</v>
      </c>
      <c r="M785" s="624" t="s">
        <v>4838</v>
      </c>
      <c r="N785" s="624" t="s">
        <v>4092</v>
      </c>
      <c r="O785" s="624"/>
      <c r="P785" s="624"/>
    </row>
    <row r="786" spans="1:16">
      <c r="A786" s="231" t="s">
        <v>684</v>
      </c>
      <c r="B786" s="231" t="s">
        <v>1353</v>
      </c>
      <c r="C786" s="618">
        <v>45141</v>
      </c>
      <c r="D786" s="231" t="s">
        <v>4843</v>
      </c>
      <c r="E786" s="231" t="s">
        <v>5074</v>
      </c>
      <c r="F786" s="619">
        <v>66.092500000000001</v>
      </c>
      <c r="G786" s="231" t="s">
        <v>4836</v>
      </c>
      <c r="H786" s="619">
        <v>1951.77</v>
      </c>
      <c r="I786" s="619">
        <v>129000.29</v>
      </c>
      <c r="J786" s="620">
        <v>77477651.650000006</v>
      </c>
      <c r="K786" s="621" t="s">
        <v>991</v>
      </c>
      <c r="L786" s="621" t="s">
        <v>4837</v>
      </c>
      <c r="M786" s="621" t="s">
        <v>4838</v>
      </c>
      <c r="N786" s="621" t="s">
        <v>4092</v>
      </c>
      <c r="O786" s="621"/>
      <c r="P786" s="621"/>
    </row>
    <row r="787" spans="1:16">
      <c r="A787" s="232" t="s">
        <v>684</v>
      </c>
      <c r="B787" s="232" t="s">
        <v>1353</v>
      </c>
      <c r="C787" s="622">
        <v>45141</v>
      </c>
      <c r="D787" s="232" t="s">
        <v>4840</v>
      </c>
      <c r="E787" s="231" t="s">
        <v>5074</v>
      </c>
      <c r="F787" s="233">
        <v>110.1125</v>
      </c>
      <c r="G787" s="232" t="s">
        <v>4836</v>
      </c>
      <c r="H787" s="233">
        <v>1900.65</v>
      </c>
      <c r="I787" s="233">
        <v>231237.3</v>
      </c>
      <c r="J787" s="623">
        <v>138881261.25999999</v>
      </c>
      <c r="K787" s="624" t="s">
        <v>991</v>
      </c>
      <c r="L787" s="624" t="s">
        <v>4837</v>
      </c>
      <c r="M787" s="624" t="s">
        <v>4838</v>
      </c>
      <c r="N787" s="624" t="s">
        <v>4092</v>
      </c>
      <c r="O787" s="624"/>
      <c r="P787" s="624"/>
    </row>
    <row r="788" spans="1:16">
      <c r="A788" s="231" t="s">
        <v>684</v>
      </c>
      <c r="B788" s="231" t="s">
        <v>1353</v>
      </c>
      <c r="C788" s="618">
        <v>45141</v>
      </c>
      <c r="D788" s="231" t="s">
        <v>4840</v>
      </c>
      <c r="E788" s="231" t="s">
        <v>5074</v>
      </c>
      <c r="F788" s="619">
        <v>132.2225</v>
      </c>
      <c r="G788" s="231" t="s">
        <v>4836</v>
      </c>
      <c r="H788" s="619">
        <v>1905.5</v>
      </c>
      <c r="I788" s="619">
        <v>277670.40000000002</v>
      </c>
      <c r="J788" s="620">
        <v>166769009.00999999</v>
      </c>
      <c r="K788" s="621" t="s">
        <v>991</v>
      </c>
      <c r="L788" s="621" t="s">
        <v>4837</v>
      </c>
      <c r="M788" s="621" t="s">
        <v>4838</v>
      </c>
      <c r="N788" s="621" t="s">
        <v>4092</v>
      </c>
      <c r="O788" s="621"/>
      <c r="P788" s="621"/>
    </row>
    <row r="789" spans="1:16">
      <c r="A789" s="232" t="s">
        <v>684</v>
      </c>
      <c r="B789" s="232" t="s">
        <v>1353</v>
      </c>
      <c r="C789" s="622">
        <v>45143</v>
      </c>
      <c r="D789" s="232" t="s">
        <v>4840</v>
      </c>
      <c r="E789" s="231" t="s">
        <v>5074</v>
      </c>
      <c r="F789" s="233">
        <v>198.1525</v>
      </c>
      <c r="G789" s="232" t="s">
        <v>4836</v>
      </c>
      <c r="H789" s="233">
        <v>1902.7</v>
      </c>
      <c r="I789" s="233">
        <v>377029.52</v>
      </c>
      <c r="J789" s="623">
        <v>225901449.97</v>
      </c>
      <c r="K789" s="624" t="s">
        <v>991</v>
      </c>
      <c r="L789" s="624" t="s">
        <v>4837</v>
      </c>
      <c r="M789" s="624" t="s">
        <v>4838</v>
      </c>
      <c r="N789" s="624" t="s">
        <v>4092</v>
      </c>
      <c r="O789" s="624"/>
      <c r="P789" s="624"/>
    </row>
    <row r="790" spans="1:16">
      <c r="A790" s="231" t="s">
        <v>684</v>
      </c>
      <c r="B790" s="231" t="s">
        <v>1353</v>
      </c>
      <c r="C790" s="618">
        <v>45143</v>
      </c>
      <c r="D790" s="231" t="s">
        <v>4840</v>
      </c>
      <c r="E790" s="231" t="s">
        <v>5074</v>
      </c>
      <c r="F790" s="619">
        <v>308.74250000000001</v>
      </c>
      <c r="G790" s="231" t="s">
        <v>4836</v>
      </c>
      <c r="H790" s="619">
        <v>2100</v>
      </c>
      <c r="I790" s="619">
        <v>648364.5</v>
      </c>
      <c r="J790" s="620">
        <v>388474835.23000002</v>
      </c>
      <c r="K790" s="621" t="s">
        <v>991</v>
      </c>
      <c r="L790" s="621" t="s">
        <v>4837</v>
      </c>
      <c r="M790" s="621" t="s">
        <v>4838</v>
      </c>
      <c r="N790" s="621" t="s">
        <v>4092</v>
      </c>
      <c r="O790" s="621"/>
      <c r="P790" s="621"/>
    </row>
    <row r="791" spans="1:16">
      <c r="A791" s="232" t="s">
        <v>684</v>
      </c>
      <c r="B791" s="232" t="s">
        <v>1353</v>
      </c>
      <c r="C791" s="622">
        <v>45147</v>
      </c>
      <c r="D791" s="232" t="s">
        <v>4840</v>
      </c>
      <c r="E791" s="231" t="s">
        <v>5074</v>
      </c>
      <c r="F791" s="233">
        <v>79.992999999999995</v>
      </c>
      <c r="G791" s="232" t="s">
        <v>4836</v>
      </c>
      <c r="H791" s="233">
        <v>1873.4</v>
      </c>
      <c r="I791" s="233">
        <v>149858.89000000001</v>
      </c>
      <c r="J791" s="623">
        <v>89521439.670000002</v>
      </c>
      <c r="K791" s="624" t="s">
        <v>991</v>
      </c>
      <c r="L791" s="624" t="s">
        <v>4837</v>
      </c>
      <c r="M791" s="624" t="s">
        <v>4838</v>
      </c>
      <c r="N791" s="624" t="s">
        <v>4092</v>
      </c>
      <c r="O791" s="624"/>
      <c r="P791" s="624"/>
    </row>
    <row r="792" spans="1:16">
      <c r="A792" s="231" t="s">
        <v>684</v>
      </c>
      <c r="B792" s="231" t="s">
        <v>1353</v>
      </c>
      <c r="C792" s="618">
        <v>45149</v>
      </c>
      <c r="D792" s="231" t="s">
        <v>4835</v>
      </c>
      <c r="E792" s="231" t="s">
        <v>5073</v>
      </c>
      <c r="F792" s="619">
        <v>35000.582999999999</v>
      </c>
      <c r="G792" s="231" t="s">
        <v>4836</v>
      </c>
      <c r="H792" s="619">
        <v>309.02</v>
      </c>
      <c r="I792" s="619">
        <v>10815911.66</v>
      </c>
      <c r="J792" s="620">
        <v>6453407911.6899996</v>
      </c>
      <c r="K792" s="621" t="s">
        <v>991</v>
      </c>
      <c r="L792" s="621" t="s">
        <v>4837</v>
      </c>
      <c r="M792" s="621" t="s">
        <v>4838</v>
      </c>
      <c r="N792" s="621" t="s">
        <v>4092</v>
      </c>
      <c r="O792" s="621"/>
      <c r="P792" s="621"/>
    </row>
    <row r="793" spans="1:16">
      <c r="A793" s="232" t="s">
        <v>684</v>
      </c>
      <c r="B793" s="232" t="s">
        <v>1353</v>
      </c>
      <c r="C793" s="622">
        <v>45150</v>
      </c>
      <c r="D793" s="232" t="s">
        <v>4840</v>
      </c>
      <c r="E793" s="231" t="s">
        <v>5074</v>
      </c>
      <c r="F793" s="233">
        <v>132.12875</v>
      </c>
      <c r="G793" s="232" t="s">
        <v>4836</v>
      </c>
      <c r="H793" s="233">
        <v>1905.5</v>
      </c>
      <c r="I793" s="233">
        <v>251773.72</v>
      </c>
      <c r="J793" s="623">
        <v>150222983.28999999</v>
      </c>
      <c r="K793" s="624" t="s">
        <v>991</v>
      </c>
      <c r="L793" s="624" t="s">
        <v>4837</v>
      </c>
      <c r="M793" s="624" t="s">
        <v>4838</v>
      </c>
      <c r="N793" s="624" t="s">
        <v>4092</v>
      </c>
      <c r="O793" s="624"/>
      <c r="P793" s="624"/>
    </row>
    <row r="794" spans="1:16">
      <c r="A794" s="231" t="s">
        <v>684</v>
      </c>
      <c r="B794" s="231" t="s">
        <v>1353</v>
      </c>
      <c r="C794" s="618">
        <v>45153</v>
      </c>
      <c r="D794" s="231" t="s">
        <v>4843</v>
      </c>
      <c r="E794" s="231" t="s">
        <v>5074</v>
      </c>
      <c r="F794" s="619">
        <v>199.96799999999999</v>
      </c>
      <c r="G794" s="231" t="s">
        <v>4836</v>
      </c>
      <c r="H794" s="619">
        <v>2020.2</v>
      </c>
      <c r="I794" s="619">
        <v>403975.35</v>
      </c>
      <c r="J794" s="620">
        <v>242919633.19</v>
      </c>
      <c r="K794" s="621" t="s">
        <v>991</v>
      </c>
      <c r="L794" s="621" t="s">
        <v>4837</v>
      </c>
      <c r="M794" s="621" t="s">
        <v>4838</v>
      </c>
      <c r="N794" s="621" t="s">
        <v>4092</v>
      </c>
      <c r="O794" s="621"/>
      <c r="P794" s="621"/>
    </row>
    <row r="795" spans="1:16">
      <c r="A795" s="232" t="s">
        <v>684</v>
      </c>
      <c r="B795" s="232" t="s">
        <v>1353</v>
      </c>
      <c r="C795" s="622">
        <v>45153</v>
      </c>
      <c r="D795" s="232" t="s">
        <v>4843</v>
      </c>
      <c r="E795" s="231" t="s">
        <v>5074</v>
      </c>
      <c r="F795" s="233">
        <v>200.10400000000001</v>
      </c>
      <c r="G795" s="232" t="s">
        <v>4836</v>
      </c>
      <c r="H795" s="233">
        <v>1804.05</v>
      </c>
      <c r="I795" s="233">
        <v>360997.62</v>
      </c>
      <c r="J795" s="623">
        <v>216425431.65000001</v>
      </c>
      <c r="K795" s="624" t="s">
        <v>991</v>
      </c>
      <c r="L795" s="624" t="s">
        <v>4837</v>
      </c>
      <c r="M795" s="624" t="s">
        <v>4838</v>
      </c>
      <c r="N795" s="624" t="s">
        <v>4092</v>
      </c>
      <c r="O795" s="624"/>
      <c r="P795" s="624"/>
    </row>
    <row r="796" spans="1:16">
      <c r="A796" s="231" t="s">
        <v>684</v>
      </c>
      <c r="B796" s="231" t="s">
        <v>1353</v>
      </c>
      <c r="C796" s="618">
        <v>45153</v>
      </c>
      <c r="D796" s="231" t="s">
        <v>4843</v>
      </c>
      <c r="E796" s="231" t="s">
        <v>5074</v>
      </c>
      <c r="F796" s="619">
        <v>100.035</v>
      </c>
      <c r="G796" s="231" t="s">
        <v>4836</v>
      </c>
      <c r="H796" s="619">
        <v>2127.3000000000002</v>
      </c>
      <c r="I796" s="619">
        <v>212804.46</v>
      </c>
      <c r="J796" s="620">
        <v>127580611.51000001</v>
      </c>
      <c r="K796" s="621" t="s">
        <v>991</v>
      </c>
      <c r="L796" s="621" t="s">
        <v>4837</v>
      </c>
      <c r="M796" s="621" t="s">
        <v>4838</v>
      </c>
      <c r="N796" s="621" t="s">
        <v>4092</v>
      </c>
      <c r="O796" s="621"/>
      <c r="P796" s="621"/>
    </row>
    <row r="797" spans="1:16">
      <c r="A797" s="232" t="s">
        <v>684</v>
      </c>
      <c r="B797" s="232" t="s">
        <v>1353</v>
      </c>
      <c r="C797" s="622">
        <v>45153</v>
      </c>
      <c r="D797" s="232" t="s">
        <v>4839</v>
      </c>
      <c r="E797" s="231" t="s">
        <v>5073</v>
      </c>
      <c r="F797" s="233">
        <v>100</v>
      </c>
      <c r="G797" s="232" t="s">
        <v>4836</v>
      </c>
      <c r="H797" s="233">
        <v>1960.2</v>
      </c>
      <c r="I797" s="233">
        <v>196020</v>
      </c>
      <c r="J797" s="623">
        <v>117517985.61</v>
      </c>
      <c r="K797" s="624" t="s">
        <v>991</v>
      </c>
      <c r="L797" s="624" t="s">
        <v>4837</v>
      </c>
      <c r="M797" s="624" t="s">
        <v>4838</v>
      </c>
      <c r="N797" s="624" t="s">
        <v>4092</v>
      </c>
      <c r="O797" s="624"/>
      <c r="P797" s="624"/>
    </row>
    <row r="798" spans="1:16">
      <c r="A798" s="231" t="s">
        <v>684</v>
      </c>
      <c r="B798" s="231" t="s">
        <v>1353</v>
      </c>
      <c r="C798" s="618">
        <v>45153</v>
      </c>
      <c r="D798" s="231" t="s">
        <v>4839</v>
      </c>
      <c r="E798" s="231" t="s">
        <v>5073</v>
      </c>
      <c r="F798" s="619">
        <v>80</v>
      </c>
      <c r="G798" s="231" t="s">
        <v>4836</v>
      </c>
      <c r="H798" s="619">
        <v>1926.25</v>
      </c>
      <c r="I798" s="619">
        <v>154100</v>
      </c>
      <c r="J798" s="620">
        <v>92386091.129999995</v>
      </c>
      <c r="K798" s="621" t="s">
        <v>991</v>
      </c>
      <c r="L798" s="621" t="s">
        <v>4837</v>
      </c>
      <c r="M798" s="621" t="s">
        <v>4838</v>
      </c>
      <c r="N798" s="621" t="s">
        <v>4092</v>
      </c>
      <c r="O798" s="621"/>
      <c r="P798" s="621"/>
    </row>
    <row r="799" spans="1:16">
      <c r="A799" s="232" t="s">
        <v>684</v>
      </c>
      <c r="B799" s="232" t="s">
        <v>1353</v>
      </c>
      <c r="C799" s="622">
        <v>45153</v>
      </c>
      <c r="D799" s="232" t="s">
        <v>4839</v>
      </c>
      <c r="E799" s="231" t="s">
        <v>5073</v>
      </c>
      <c r="F799" s="233">
        <v>80</v>
      </c>
      <c r="G799" s="232" t="s">
        <v>4836</v>
      </c>
      <c r="H799" s="233">
        <v>1960.2</v>
      </c>
      <c r="I799" s="233">
        <v>156816</v>
      </c>
      <c r="J799" s="623">
        <v>94297053.519999996</v>
      </c>
      <c r="K799" s="624" t="s">
        <v>991</v>
      </c>
      <c r="L799" s="624" t="s">
        <v>4837</v>
      </c>
      <c r="M799" s="624" t="s">
        <v>4838</v>
      </c>
      <c r="N799" s="624" t="s">
        <v>4092</v>
      </c>
      <c r="O799" s="624"/>
      <c r="P799" s="624"/>
    </row>
    <row r="800" spans="1:16">
      <c r="A800" s="231" t="s">
        <v>684</v>
      </c>
      <c r="B800" s="231" t="s">
        <v>1353</v>
      </c>
      <c r="C800" s="618">
        <v>45155</v>
      </c>
      <c r="D800" s="231" t="s">
        <v>4843</v>
      </c>
      <c r="E800" s="231" t="s">
        <v>5074</v>
      </c>
      <c r="F800" s="619">
        <v>220.30250000000001</v>
      </c>
      <c r="G800" s="231" t="s">
        <v>4836</v>
      </c>
      <c r="H800" s="619">
        <v>1978.25</v>
      </c>
      <c r="I800" s="619">
        <v>435816.39</v>
      </c>
      <c r="J800" s="620">
        <v>262698245.93000001</v>
      </c>
      <c r="K800" s="621" t="s">
        <v>991</v>
      </c>
      <c r="L800" s="621" t="s">
        <v>4837</v>
      </c>
      <c r="M800" s="621" t="s">
        <v>4838</v>
      </c>
      <c r="N800" s="621" t="s">
        <v>4092</v>
      </c>
      <c r="O800" s="621"/>
      <c r="P800" s="621"/>
    </row>
    <row r="801" spans="1:16">
      <c r="A801" s="232" t="s">
        <v>684</v>
      </c>
      <c r="B801" s="232" t="s">
        <v>1353</v>
      </c>
      <c r="C801" s="622">
        <v>45155</v>
      </c>
      <c r="D801" s="232" t="s">
        <v>4840</v>
      </c>
      <c r="E801" s="231" t="s">
        <v>5074</v>
      </c>
      <c r="F801" s="233">
        <v>550.46749999999997</v>
      </c>
      <c r="G801" s="232" t="s">
        <v>4836</v>
      </c>
      <c r="H801" s="233">
        <v>1900.65</v>
      </c>
      <c r="I801" s="233">
        <v>1155989.1000000001</v>
      </c>
      <c r="J801" s="623">
        <v>696798734.17999995</v>
      </c>
      <c r="K801" s="624" t="s">
        <v>991</v>
      </c>
      <c r="L801" s="624" t="s">
        <v>4837</v>
      </c>
      <c r="M801" s="624" t="s">
        <v>4838</v>
      </c>
      <c r="N801" s="624" t="s">
        <v>4092</v>
      </c>
      <c r="O801" s="624"/>
      <c r="P801" s="624"/>
    </row>
    <row r="802" spans="1:16">
      <c r="A802" s="231" t="s">
        <v>684</v>
      </c>
      <c r="B802" s="231" t="s">
        <v>1353</v>
      </c>
      <c r="C802" s="618">
        <v>45156</v>
      </c>
      <c r="D802" s="231" t="s">
        <v>4843</v>
      </c>
      <c r="E802" s="231" t="s">
        <v>5074</v>
      </c>
      <c r="F802" s="619">
        <v>175.49199999999999</v>
      </c>
      <c r="G802" s="231" t="s">
        <v>4836</v>
      </c>
      <c r="H802" s="619">
        <v>1984.42</v>
      </c>
      <c r="I802" s="619">
        <v>348249.83</v>
      </c>
      <c r="J802" s="620">
        <v>210168877.49000001</v>
      </c>
      <c r="K802" s="621" t="s">
        <v>991</v>
      </c>
      <c r="L802" s="621" t="s">
        <v>4837</v>
      </c>
      <c r="M802" s="621" t="s">
        <v>4838</v>
      </c>
      <c r="N802" s="621" t="s">
        <v>4092</v>
      </c>
      <c r="O802" s="621"/>
      <c r="P802" s="621"/>
    </row>
    <row r="803" spans="1:16">
      <c r="A803" s="232" t="s">
        <v>684</v>
      </c>
      <c r="B803" s="232" t="s">
        <v>1353</v>
      </c>
      <c r="C803" s="622">
        <v>45158</v>
      </c>
      <c r="D803" s="232" t="s">
        <v>4840</v>
      </c>
      <c r="E803" s="231" t="s">
        <v>5074</v>
      </c>
      <c r="F803" s="233">
        <v>132.06</v>
      </c>
      <c r="G803" s="232" t="s">
        <v>4836</v>
      </c>
      <c r="H803" s="233">
        <v>1905.5</v>
      </c>
      <c r="I803" s="233">
        <v>251644.14</v>
      </c>
      <c r="J803" s="623">
        <v>151684231.46000001</v>
      </c>
      <c r="K803" s="624" t="s">
        <v>991</v>
      </c>
      <c r="L803" s="624" t="s">
        <v>4837</v>
      </c>
      <c r="M803" s="624" t="s">
        <v>4838</v>
      </c>
      <c r="N803" s="624" t="s">
        <v>4092</v>
      </c>
      <c r="O803" s="624"/>
      <c r="P803" s="624"/>
    </row>
    <row r="804" spans="1:16">
      <c r="A804" s="231" t="s">
        <v>684</v>
      </c>
      <c r="B804" s="231" t="s">
        <v>1353</v>
      </c>
      <c r="C804" s="618">
        <v>45160</v>
      </c>
      <c r="D804" s="231" t="s">
        <v>4844</v>
      </c>
      <c r="E804" s="231"/>
      <c r="F804" s="619">
        <v>1188.51</v>
      </c>
      <c r="G804" s="231" t="s">
        <v>4836</v>
      </c>
      <c r="H804" s="619">
        <v>296.79000000000002</v>
      </c>
      <c r="I804" s="619">
        <v>352733.72</v>
      </c>
      <c r="J804" s="620">
        <v>211724921.97</v>
      </c>
      <c r="K804" s="621" t="s">
        <v>991</v>
      </c>
      <c r="L804" s="621" t="s">
        <v>4837</v>
      </c>
      <c r="M804" s="621" t="s">
        <v>4838</v>
      </c>
      <c r="N804" s="621" t="s">
        <v>4092</v>
      </c>
      <c r="O804" s="621"/>
      <c r="P804" s="621"/>
    </row>
    <row r="805" spans="1:16">
      <c r="A805" s="232" t="s">
        <v>684</v>
      </c>
      <c r="B805" s="232" t="s">
        <v>1353</v>
      </c>
      <c r="C805" s="622">
        <v>45160</v>
      </c>
      <c r="D805" s="232" t="s">
        <v>4841</v>
      </c>
      <c r="E805" s="231" t="s">
        <v>5073</v>
      </c>
      <c r="F805" s="233">
        <v>60</v>
      </c>
      <c r="G805" s="232" t="s">
        <v>4836</v>
      </c>
      <c r="H805" s="233">
        <v>1398.1</v>
      </c>
      <c r="I805" s="233">
        <v>83886</v>
      </c>
      <c r="J805" s="623">
        <v>50351740.700000003</v>
      </c>
      <c r="K805" s="624" t="s">
        <v>991</v>
      </c>
      <c r="L805" s="624" t="s">
        <v>4837</v>
      </c>
      <c r="M805" s="624" t="s">
        <v>4838</v>
      </c>
      <c r="N805" s="624" t="s">
        <v>4092</v>
      </c>
      <c r="O805" s="624"/>
      <c r="P805" s="624"/>
    </row>
    <row r="806" spans="1:16">
      <c r="A806" s="231" t="s">
        <v>684</v>
      </c>
      <c r="B806" s="231" t="s">
        <v>1353</v>
      </c>
      <c r="C806" s="618">
        <v>45160</v>
      </c>
      <c r="D806" s="231" t="s">
        <v>4841</v>
      </c>
      <c r="E806" s="231" t="s">
        <v>5073</v>
      </c>
      <c r="F806" s="619">
        <v>40</v>
      </c>
      <c r="G806" s="231" t="s">
        <v>4836</v>
      </c>
      <c r="H806" s="619">
        <v>1489.6</v>
      </c>
      <c r="I806" s="619">
        <v>59584</v>
      </c>
      <c r="J806" s="620">
        <v>35764705.880000003</v>
      </c>
      <c r="K806" s="621" t="s">
        <v>991</v>
      </c>
      <c r="L806" s="621" t="s">
        <v>4837</v>
      </c>
      <c r="M806" s="621" t="s">
        <v>4838</v>
      </c>
      <c r="N806" s="621" t="s">
        <v>4092</v>
      </c>
      <c r="O806" s="621"/>
      <c r="P806" s="621"/>
    </row>
    <row r="807" spans="1:16">
      <c r="A807" s="232" t="s">
        <v>684</v>
      </c>
      <c r="B807" s="232" t="s">
        <v>1353</v>
      </c>
      <c r="C807" s="622">
        <v>45160</v>
      </c>
      <c r="D807" s="232" t="s">
        <v>4840</v>
      </c>
      <c r="E807" s="231" t="s">
        <v>5074</v>
      </c>
      <c r="F807" s="233"/>
      <c r="G807" s="232" t="s">
        <v>4836</v>
      </c>
      <c r="H807" s="233"/>
      <c r="I807" s="233">
        <v>-109736.39</v>
      </c>
      <c r="J807" s="623">
        <v>-65868181.270000003</v>
      </c>
      <c r="K807" s="624" t="s">
        <v>991</v>
      </c>
      <c r="L807" s="624" t="s">
        <v>4837</v>
      </c>
      <c r="M807" s="624" t="s">
        <v>4838</v>
      </c>
      <c r="N807" s="624" t="s">
        <v>4092</v>
      </c>
      <c r="O807" s="624"/>
      <c r="P807" s="624"/>
    </row>
    <row r="808" spans="1:16">
      <c r="A808" s="231" t="s">
        <v>684</v>
      </c>
      <c r="B808" s="231" t="s">
        <v>1353</v>
      </c>
      <c r="C808" s="618">
        <v>45160</v>
      </c>
      <c r="D808" s="231" t="s">
        <v>4840</v>
      </c>
      <c r="E808" s="231" t="s">
        <v>5074</v>
      </c>
      <c r="F808" s="619"/>
      <c r="G808" s="231" t="s">
        <v>4836</v>
      </c>
      <c r="H808" s="619"/>
      <c r="I808" s="619">
        <v>-21951.02</v>
      </c>
      <c r="J808" s="620">
        <v>-13175882.35</v>
      </c>
      <c r="K808" s="621" t="s">
        <v>991</v>
      </c>
      <c r="L808" s="621" t="s">
        <v>4837</v>
      </c>
      <c r="M808" s="621" t="s">
        <v>4838</v>
      </c>
      <c r="N808" s="621" t="s">
        <v>4092</v>
      </c>
      <c r="O808" s="621"/>
      <c r="P808" s="621"/>
    </row>
    <row r="809" spans="1:16">
      <c r="A809" s="232" t="s">
        <v>684</v>
      </c>
      <c r="B809" s="232" t="s">
        <v>1353</v>
      </c>
      <c r="C809" s="622">
        <v>45160</v>
      </c>
      <c r="D809" s="232" t="s">
        <v>4840</v>
      </c>
      <c r="E809" s="231" t="s">
        <v>5074</v>
      </c>
      <c r="F809" s="233"/>
      <c r="G809" s="232" t="s">
        <v>4836</v>
      </c>
      <c r="H809" s="233"/>
      <c r="I809" s="233">
        <v>-25717.57</v>
      </c>
      <c r="J809" s="623">
        <v>-15436716.689999999</v>
      </c>
      <c r="K809" s="624" t="s">
        <v>991</v>
      </c>
      <c r="L809" s="624" t="s">
        <v>4837</v>
      </c>
      <c r="M809" s="624" t="s">
        <v>4838</v>
      </c>
      <c r="N809" s="624" t="s">
        <v>4092</v>
      </c>
      <c r="O809" s="624"/>
      <c r="P809" s="624"/>
    </row>
    <row r="810" spans="1:16">
      <c r="A810" s="231" t="s">
        <v>684</v>
      </c>
      <c r="B810" s="231" t="s">
        <v>1353</v>
      </c>
      <c r="C810" s="618">
        <v>45162</v>
      </c>
      <c r="D810" s="231" t="s">
        <v>4841</v>
      </c>
      <c r="E810" s="231" t="s">
        <v>5073</v>
      </c>
      <c r="F810" s="619">
        <v>80</v>
      </c>
      <c r="G810" s="231" t="s">
        <v>4836</v>
      </c>
      <c r="H810" s="619">
        <v>1450.65</v>
      </c>
      <c r="I810" s="619">
        <v>116052</v>
      </c>
      <c r="J810" s="620">
        <v>70079710.150000006</v>
      </c>
      <c r="K810" s="621" t="s">
        <v>991</v>
      </c>
      <c r="L810" s="621" t="s">
        <v>4837</v>
      </c>
      <c r="M810" s="621" t="s">
        <v>4838</v>
      </c>
      <c r="N810" s="621" t="s">
        <v>4092</v>
      </c>
      <c r="O810" s="621"/>
      <c r="P810" s="621"/>
    </row>
    <row r="811" spans="1:16">
      <c r="A811" s="232" t="s">
        <v>684</v>
      </c>
      <c r="B811" s="232" t="s">
        <v>1353</v>
      </c>
      <c r="C811" s="622">
        <v>45167</v>
      </c>
      <c r="D811" s="232" t="s">
        <v>4843</v>
      </c>
      <c r="E811" s="231" t="s">
        <v>5074</v>
      </c>
      <c r="F811" s="233">
        <v>59.988999999999997</v>
      </c>
      <c r="G811" s="232" t="s">
        <v>4836</v>
      </c>
      <c r="H811" s="233">
        <v>2131.15</v>
      </c>
      <c r="I811" s="233">
        <v>127845.56</v>
      </c>
      <c r="J811" s="623">
        <v>77576189.319999993</v>
      </c>
      <c r="K811" s="624" t="s">
        <v>991</v>
      </c>
      <c r="L811" s="624" t="s">
        <v>4837</v>
      </c>
      <c r="M811" s="624" t="s">
        <v>4838</v>
      </c>
      <c r="N811" s="624" t="s">
        <v>4092</v>
      </c>
      <c r="O811" s="624"/>
      <c r="P811" s="624"/>
    </row>
    <row r="812" spans="1:16">
      <c r="A812" s="231" t="s">
        <v>684</v>
      </c>
      <c r="B812" s="231" t="s">
        <v>1353</v>
      </c>
      <c r="C812" s="618">
        <v>45167</v>
      </c>
      <c r="D812" s="231" t="s">
        <v>4843</v>
      </c>
      <c r="E812" s="231" t="s">
        <v>5074</v>
      </c>
      <c r="F812" s="619">
        <v>60.003</v>
      </c>
      <c r="G812" s="231" t="s">
        <v>4836</v>
      </c>
      <c r="H812" s="619">
        <v>2151.0500000000002</v>
      </c>
      <c r="I812" s="619">
        <v>129069.45</v>
      </c>
      <c r="J812" s="620">
        <v>78318841.019999996</v>
      </c>
      <c r="K812" s="621" t="s">
        <v>991</v>
      </c>
      <c r="L812" s="621" t="s">
        <v>4837</v>
      </c>
      <c r="M812" s="621" t="s">
        <v>4838</v>
      </c>
      <c r="N812" s="621" t="s">
        <v>4092</v>
      </c>
      <c r="O812" s="621"/>
      <c r="P812" s="621"/>
    </row>
    <row r="813" spans="1:16">
      <c r="A813" s="232" t="s">
        <v>684</v>
      </c>
      <c r="B813" s="232" t="s">
        <v>1353</v>
      </c>
      <c r="C813" s="622">
        <v>45167</v>
      </c>
      <c r="D813" s="232" t="s">
        <v>4840</v>
      </c>
      <c r="E813" s="231" t="s">
        <v>5074</v>
      </c>
      <c r="F813" s="233">
        <v>19.981000000000002</v>
      </c>
      <c r="G813" s="232" t="s">
        <v>4836</v>
      </c>
      <c r="H813" s="233">
        <v>1949.68</v>
      </c>
      <c r="I813" s="233">
        <v>38956.46</v>
      </c>
      <c r="J813" s="623">
        <v>23638628.640000001</v>
      </c>
      <c r="K813" s="624" t="s">
        <v>991</v>
      </c>
      <c r="L813" s="624" t="s">
        <v>4837</v>
      </c>
      <c r="M813" s="624" t="s">
        <v>4838</v>
      </c>
      <c r="N813" s="624" t="s">
        <v>4092</v>
      </c>
      <c r="O813" s="624"/>
      <c r="P813" s="624"/>
    </row>
    <row r="814" spans="1:16">
      <c r="A814" s="231" t="s">
        <v>684</v>
      </c>
      <c r="B814" s="231" t="s">
        <v>1353</v>
      </c>
      <c r="C814" s="618">
        <v>45167</v>
      </c>
      <c r="D814" s="231" t="s">
        <v>4843</v>
      </c>
      <c r="E814" s="231" t="s">
        <v>5074</v>
      </c>
      <c r="F814" s="619">
        <v>159.982</v>
      </c>
      <c r="G814" s="231" t="s">
        <v>4836</v>
      </c>
      <c r="H814" s="619">
        <v>2131.15</v>
      </c>
      <c r="I814" s="619">
        <v>340945.64</v>
      </c>
      <c r="J814" s="620">
        <v>206884490.28999999</v>
      </c>
      <c r="K814" s="621" t="s">
        <v>991</v>
      </c>
      <c r="L814" s="621" t="s">
        <v>4837</v>
      </c>
      <c r="M814" s="621" t="s">
        <v>4838</v>
      </c>
      <c r="N814" s="621" t="s">
        <v>4092</v>
      </c>
      <c r="O814" s="621"/>
      <c r="P814" s="621"/>
    </row>
    <row r="815" spans="1:16">
      <c r="A815" s="232" t="s">
        <v>684</v>
      </c>
      <c r="B815" s="232" t="s">
        <v>1353</v>
      </c>
      <c r="C815" s="622">
        <v>45167</v>
      </c>
      <c r="D815" s="232" t="s">
        <v>4841</v>
      </c>
      <c r="E815" s="231" t="s">
        <v>5073</v>
      </c>
      <c r="F815" s="233">
        <v>60</v>
      </c>
      <c r="G815" s="232" t="s">
        <v>4836</v>
      </c>
      <c r="H815" s="233">
        <v>1398.1</v>
      </c>
      <c r="I815" s="233">
        <v>83886</v>
      </c>
      <c r="J815" s="623">
        <v>50901699.030000001</v>
      </c>
      <c r="K815" s="624" t="s">
        <v>991</v>
      </c>
      <c r="L815" s="624" t="s">
        <v>4837</v>
      </c>
      <c r="M815" s="624" t="s">
        <v>4838</v>
      </c>
      <c r="N815" s="624" t="s">
        <v>4092</v>
      </c>
      <c r="O815" s="624"/>
      <c r="P815" s="624"/>
    </row>
    <row r="816" spans="1:16">
      <c r="A816" s="231" t="s">
        <v>684</v>
      </c>
      <c r="B816" s="231" t="s">
        <v>1353</v>
      </c>
      <c r="C816" s="618">
        <v>45168</v>
      </c>
      <c r="D816" s="231" t="s">
        <v>4839</v>
      </c>
      <c r="E816" s="231" t="s">
        <v>5073</v>
      </c>
      <c r="F816" s="619">
        <v>80</v>
      </c>
      <c r="G816" s="231" t="s">
        <v>4836</v>
      </c>
      <c r="H816" s="619">
        <v>1926.25</v>
      </c>
      <c r="I816" s="619">
        <v>154100</v>
      </c>
      <c r="J816" s="620">
        <v>92943305.189999998</v>
      </c>
      <c r="K816" s="621" t="s">
        <v>991</v>
      </c>
      <c r="L816" s="621" t="s">
        <v>4837</v>
      </c>
      <c r="M816" s="621" t="s">
        <v>4838</v>
      </c>
      <c r="N816" s="621" t="s">
        <v>4092</v>
      </c>
      <c r="O816" s="621"/>
      <c r="P816" s="621"/>
    </row>
    <row r="817" spans="1:16">
      <c r="A817" s="232" t="s">
        <v>684</v>
      </c>
      <c r="B817" s="232" t="s">
        <v>1353</v>
      </c>
      <c r="C817" s="622">
        <v>45168</v>
      </c>
      <c r="D817" s="232" t="s">
        <v>4843</v>
      </c>
      <c r="E817" s="231" t="s">
        <v>5074</v>
      </c>
      <c r="F817" s="233">
        <v>154.25624999999999</v>
      </c>
      <c r="G817" s="232" t="s">
        <v>4836</v>
      </c>
      <c r="H817" s="233">
        <v>1947.14</v>
      </c>
      <c r="I817" s="233">
        <v>300359.96999999997</v>
      </c>
      <c r="J817" s="623">
        <v>181158003.62</v>
      </c>
      <c r="K817" s="624" t="s">
        <v>991</v>
      </c>
      <c r="L817" s="624" t="s">
        <v>4837</v>
      </c>
      <c r="M817" s="624" t="s">
        <v>4838</v>
      </c>
      <c r="N817" s="624" t="s">
        <v>4092</v>
      </c>
      <c r="O817" s="624"/>
      <c r="P817" s="624"/>
    </row>
    <row r="818" spans="1:16">
      <c r="A818" s="231" t="s">
        <v>684</v>
      </c>
      <c r="B818" s="231" t="s">
        <v>1353</v>
      </c>
      <c r="C818" s="618">
        <v>45168</v>
      </c>
      <c r="D818" s="231" t="s">
        <v>4843</v>
      </c>
      <c r="E818" s="231" t="s">
        <v>5074</v>
      </c>
      <c r="F818" s="619">
        <v>242.21</v>
      </c>
      <c r="G818" s="231" t="s">
        <v>4836</v>
      </c>
      <c r="H818" s="619">
        <v>1954</v>
      </c>
      <c r="I818" s="619">
        <v>473284.2</v>
      </c>
      <c r="J818" s="620">
        <v>285454885.39999998</v>
      </c>
      <c r="K818" s="621" t="s">
        <v>991</v>
      </c>
      <c r="L818" s="621" t="s">
        <v>4837</v>
      </c>
      <c r="M818" s="621" t="s">
        <v>4838</v>
      </c>
      <c r="N818" s="621" t="s">
        <v>4092</v>
      </c>
      <c r="O818" s="621"/>
      <c r="P818" s="621"/>
    </row>
    <row r="819" spans="1:16">
      <c r="A819" s="232" t="s">
        <v>684</v>
      </c>
      <c r="B819" s="232" t="s">
        <v>1353</v>
      </c>
      <c r="C819" s="622">
        <v>45168</v>
      </c>
      <c r="D819" s="232" t="s">
        <v>4843</v>
      </c>
      <c r="E819" s="231" t="s">
        <v>5074</v>
      </c>
      <c r="F819" s="233">
        <v>132.37125</v>
      </c>
      <c r="G819" s="232" t="s">
        <v>4836</v>
      </c>
      <c r="H819" s="233">
        <v>1954</v>
      </c>
      <c r="I819" s="233">
        <v>258658.8</v>
      </c>
      <c r="J819" s="623">
        <v>156006513.87</v>
      </c>
      <c r="K819" s="624" t="s">
        <v>991</v>
      </c>
      <c r="L819" s="624" t="s">
        <v>4837</v>
      </c>
      <c r="M819" s="624" t="s">
        <v>4838</v>
      </c>
      <c r="N819" s="624" t="s">
        <v>4092</v>
      </c>
      <c r="O819" s="624"/>
      <c r="P819" s="624"/>
    </row>
    <row r="820" spans="1:16">
      <c r="A820" s="231" t="s">
        <v>684</v>
      </c>
      <c r="B820" s="231" t="s">
        <v>1353</v>
      </c>
      <c r="C820" s="618">
        <v>45168</v>
      </c>
      <c r="D820" s="231" t="s">
        <v>4843</v>
      </c>
      <c r="E820" s="231" t="s">
        <v>5074</v>
      </c>
      <c r="F820" s="619">
        <v>308.495</v>
      </c>
      <c r="G820" s="231" t="s">
        <v>4836</v>
      </c>
      <c r="H820" s="619">
        <v>1960.32</v>
      </c>
      <c r="I820" s="619">
        <v>604756.76</v>
      </c>
      <c r="J820" s="620">
        <v>364750759.94999999</v>
      </c>
      <c r="K820" s="621" t="s">
        <v>991</v>
      </c>
      <c r="L820" s="621" t="s">
        <v>4837</v>
      </c>
      <c r="M820" s="621" t="s">
        <v>4838</v>
      </c>
      <c r="N820" s="621" t="s">
        <v>4092</v>
      </c>
      <c r="O820" s="621"/>
      <c r="P820" s="621"/>
    </row>
    <row r="821" spans="1:16">
      <c r="A821" s="232" t="s">
        <v>684</v>
      </c>
      <c r="B821" s="232" t="s">
        <v>1353</v>
      </c>
      <c r="C821" s="622">
        <v>45169</v>
      </c>
      <c r="D821" s="232" t="s">
        <v>4846</v>
      </c>
      <c r="E821" s="231" t="s">
        <v>5073</v>
      </c>
      <c r="F821" s="233"/>
      <c r="G821" s="232" t="s">
        <v>4836</v>
      </c>
      <c r="H821" s="233"/>
      <c r="I821" s="233">
        <v>1715.28</v>
      </c>
      <c r="J821" s="623">
        <v>1035165.76</v>
      </c>
      <c r="K821" s="624" t="s">
        <v>991</v>
      </c>
      <c r="L821" s="624" t="s">
        <v>4837</v>
      </c>
      <c r="M821" s="624" t="s">
        <v>4838</v>
      </c>
      <c r="N821" s="624" t="s">
        <v>4092</v>
      </c>
      <c r="O821" s="624"/>
      <c r="P821" s="624"/>
    </row>
    <row r="822" spans="1:16">
      <c r="A822" s="231" t="s">
        <v>684</v>
      </c>
      <c r="B822" s="231" t="s">
        <v>1353</v>
      </c>
      <c r="C822" s="618">
        <v>45169</v>
      </c>
      <c r="D822" s="231" t="s">
        <v>4835</v>
      </c>
      <c r="E822" s="231" t="s">
        <v>5073</v>
      </c>
      <c r="F822" s="619"/>
      <c r="G822" s="231" t="s">
        <v>4836</v>
      </c>
      <c r="H822" s="619"/>
      <c r="I822" s="619">
        <v>445988.1</v>
      </c>
      <c r="J822" s="620">
        <v>269152328.58999997</v>
      </c>
      <c r="K822" s="621" t="s">
        <v>991</v>
      </c>
      <c r="L822" s="621" t="s">
        <v>4837</v>
      </c>
      <c r="M822" s="621" t="s">
        <v>4838</v>
      </c>
      <c r="N822" s="621" t="s">
        <v>4092</v>
      </c>
      <c r="O822" s="621"/>
      <c r="P822" s="621"/>
    </row>
    <row r="823" spans="1:16">
      <c r="A823" s="232" t="s">
        <v>684</v>
      </c>
      <c r="B823" s="232" t="s">
        <v>1353</v>
      </c>
      <c r="C823" s="622">
        <v>45169</v>
      </c>
      <c r="D823" s="232" t="s">
        <v>4840</v>
      </c>
      <c r="E823" s="231" t="s">
        <v>5074</v>
      </c>
      <c r="F823" s="233"/>
      <c r="G823" s="232" t="s">
        <v>4836</v>
      </c>
      <c r="H823" s="233"/>
      <c r="I823" s="233">
        <v>-238399.65000000008</v>
      </c>
      <c r="J823" s="623">
        <v>-143873392.44</v>
      </c>
      <c r="K823" s="624" t="s">
        <v>991</v>
      </c>
      <c r="L823" s="624" t="s">
        <v>4837</v>
      </c>
      <c r="M823" s="624" t="s">
        <v>4838</v>
      </c>
      <c r="N823" s="624" t="s">
        <v>4092</v>
      </c>
      <c r="O823" s="624"/>
      <c r="P823" s="624"/>
    </row>
    <row r="824" spans="1:16">
      <c r="A824" s="231" t="s">
        <v>684</v>
      </c>
      <c r="B824" s="231" t="s">
        <v>1353</v>
      </c>
      <c r="C824" s="618">
        <v>45169</v>
      </c>
      <c r="D824" s="231" t="s">
        <v>4843</v>
      </c>
      <c r="E824" s="231" t="s">
        <v>5074</v>
      </c>
      <c r="F824" s="619"/>
      <c r="G824" s="231" t="s">
        <v>4836</v>
      </c>
      <c r="H824" s="619"/>
      <c r="I824" s="619">
        <v>-8302.4199999999964</v>
      </c>
      <c r="J824" s="620">
        <v>-5010482.74</v>
      </c>
      <c r="K824" s="621" t="s">
        <v>991</v>
      </c>
      <c r="L824" s="621" t="s">
        <v>4837</v>
      </c>
      <c r="M824" s="621" t="s">
        <v>4838</v>
      </c>
      <c r="N824" s="621" t="s">
        <v>4092</v>
      </c>
      <c r="O824" s="621"/>
      <c r="P824" s="621"/>
    </row>
    <row r="825" spans="1:16">
      <c r="A825" s="232" t="s">
        <v>684</v>
      </c>
      <c r="B825" s="232" t="s">
        <v>1353</v>
      </c>
      <c r="C825" s="622">
        <v>45169</v>
      </c>
      <c r="D825" s="232" t="s">
        <v>4839</v>
      </c>
      <c r="E825" s="231" t="s">
        <v>5073</v>
      </c>
      <c r="F825" s="233"/>
      <c r="G825" s="232" t="s">
        <v>4836</v>
      </c>
      <c r="H825" s="233"/>
      <c r="I825" s="233">
        <v>-110864.25000000001</v>
      </c>
      <c r="J825" s="623">
        <v>-66906204.549999997</v>
      </c>
      <c r="K825" s="624" t="s">
        <v>991</v>
      </c>
      <c r="L825" s="624" t="s">
        <v>4837</v>
      </c>
      <c r="M825" s="624" t="s">
        <v>4838</v>
      </c>
      <c r="N825" s="624" t="s">
        <v>4092</v>
      </c>
      <c r="O825" s="624"/>
      <c r="P825" s="624"/>
    </row>
    <row r="826" spans="1:16">
      <c r="A826" s="231" t="s">
        <v>684</v>
      </c>
      <c r="B826" s="231" t="s">
        <v>1353</v>
      </c>
      <c r="C826" s="618">
        <v>45169</v>
      </c>
      <c r="D826" s="231" t="s">
        <v>4841</v>
      </c>
      <c r="E826" s="231" t="s">
        <v>5073</v>
      </c>
      <c r="F826" s="619"/>
      <c r="G826" s="231" t="s">
        <v>4836</v>
      </c>
      <c r="H826" s="619"/>
      <c r="I826" s="619">
        <v>-21431.620000000003</v>
      </c>
      <c r="J826" s="620">
        <v>-12933911.08</v>
      </c>
      <c r="K826" s="621" t="s">
        <v>991</v>
      </c>
      <c r="L826" s="621" t="s">
        <v>4837</v>
      </c>
      <c r="M826" s="621" t="s">
        <v>4838</v>
      </c>
      <c r="N826" s="621" t="s">
        <v>4092</v>
      </c>
      <c r="O826" s="621"/>
      <c r="P826" s="621"/>
    </row>
    <row r="827" spans="1:16">
      <c r="A827" s="232" t="s">
        <v>684</v>
      </c>
      <c r="B827" s="232" t="s">
        <v>1353</v>
      </c>
      <c r="C827" s="622">
        <v>45169</v>
      </c>
      <c r="D827" s="232" t="s">
        <v>4844</v>
      </c>
      <c r="E827" s="232"/>
      <c r="F827" s="233"/>
      <c r="G827" s="232" t="s">
        <v>4836</v>
      </c>
      <c r="H827" s="233"/>
      <c r="I827" s="233">
        <v>-198060.06999999998</v>
      </c>
      <c r="J827" s="623">
        <v>-119528590.65000001</v>
      </c>
      <c r="K827" s="624" t="s">
        <v>991</v>
      </c>
      <c r="L827" s="624" t="s">
        <v>4837</v>
      </c>
      <c r="M827" s="624" t="s">
        <v>4838</v>
      </c>
      <c r="N827" s="624" t="s">
        <v>4092</v>
      </c>
      <c r="O827" s="624"/>
      <c r="P827" s="624"/>
    </row>
    <row r="828" spans="1:16">
      <c r="A828" s="231" t="s">
        <v>684</v>
      </c>
      <c r="B828" s="231" t="s">
        <v>1353</v>
      </c>
      <c r="C828" s="618">
        <v>45169</v>
      </c>
      <c r="D828" s="231" t="s">
        <v>4846</v>
      </c>
      <c r="E828" s="231" t="s">
        <v>5073</v>
      </c>
      <c r="F828" s="619"/>
      <c r="G828" s="231" t="s">
        <v>4836</v>
      </c>
      <c r="H828" s="619"/>
      <c r="I828" s="619">
        <v>-1715.28</v>
      </c>
      <c r="J828" s="620">
        <v>-1029048.63</v>
      </c>
      <c r="K828" s="621" t="s">
        <v>991</v>
      </c>
      <c r="L828" s="621" t="s">
        <v>4837</v>
      </c>
      <c r="M828" s="621" t="s">
        <v>4838</v>
      </c>
      <c r="N828" s="621" t="s">
        <v>4092</v>
      </c>
      <c r="O828" s="621"/>
      <c r="P828" s="621"/>
    </row>
    <row r="829" spans="1:16">
      <c r="A829" s="232" t="s">
        <v>684</v>
      </c>
      <c r="B829" s="232" t="s">
        <v>1353</v>
      </c>
      <c r="C829" s="622">
        <v>45169</v>
      </c>
      <c r="D829" s="232" t="s">
        <v>4835</v>
      </c>
      <c r="E829" s="231" t="s">
        <v>5073</v>
      </c>
      <c r="F829" s="233"/>
      <c r="G829" s="232" t="s">
        <v>4836</v>
      </c>
      <c r="H829" s="233"/>
      <c r="I829" s="233">
        <v>-141997.82</v>
      </c>
      <c r="J829" s="623">
        <v>-85188810.099999994</v>
      </c>
      <c r="K829" s="624" t="s">
        <v>991</v>
      </c>
      <c r="L829" s="624" t="s">
        <v>4837</v>
      </c>
      <c r="M829" s="624" t="s">
        <v>4838</v>
      </c>
      <c r="N829" s="624" t="s">
        <v>4092</v>
      </c>
      <c r="O829" s="624"/>
      <c r="P829" s="624"/>
    </row>
    <row r="830" spans="1:16">
      <c r="A830" s="231" t="s">
        <v>684</v>
      </c>
      <c r="B830" s="231" t="s">
        <v>1353</v>
      </c>
      <c r="C830" s="618">
        <v>45169</v>
      </c>
      <c r="D830" s="231" t="s">
        <v>4840</v>
      </c>
      <c r="E830" s="231" t="s">
        <v>5074</v>
      </c>
      <c r="F830" s="619"/>
      <c r="G830" s="231" t="s">
        <v>4836</v>
      </c>
      <c r="H830" s="619"/>
      <c r="I830" s="619">
        <v>-22681.69</v>
      </c>
      <c r="J830" s="620">
        <v>-13607435.539999999</v>
      </c>
      <c r="K830" s="621" t="s">
        <v>991</v>
      </c>
      <c r="L830" s="621" t="s">
        <v>4837</v>
      </c>
      <c r="M830" s="621" t="s">
        <v>4838</v>
      </c>
      <c r="N830" s="621" t="s">
        <v>4092</v>
      </c>
      <c r="O830" s="621"/>
      <c r="P830" s="621"/>
    </row>
    <row r="831" spans="1:16">
      <c r="A831" s="232" t="s">
        <v>684</v>
      </c>
      <c r="B831" s="232" t="s">
        <v>1353</v>
      </c>
      <c r="C831" s="622">
        <v>45169</v>
      </c>
      <c r="D831" s="232" t="s">
        <v>4843</v>
      </c>
      <c r="E831" s="231" t="s">
        <v>5074</v>
      </c>
      <c r="F831" s="233"/>
      <c r="G831" s="232" t="s">
        <v>4836</v>
      </c>
      <c r="H831" s="233"/>
      <c r="I831" s="233">
        <v>-80164.320000000007</v>
      </c>
      <c r="J831" s="623">
        <v>-48093013.210000001</v>
      </c>
      <c r="K831" s="624" t="s">
        <v>991</v>
      </c>
      <c r="L831" s="624" t="s">
        <v>4837</v>
      </c>
      <c r="M831" s="624" t="s">
        <v>4838</v>
      </c>
      <c r="N831" s="624" t="s">
        <v>4092</v>
      </c>
      <c r="O831" s="624"/>
      <c r="P831" s="624"/>
    </row>
    <row r="832" spans="1:16">
      <c r="A832" s="231" t="s">
        <v>684</v>
      </c>
      <c r="B832" s="231" t="s">
        <v>1353</v>
      </c>
      <c r="C832" s="618">
        <v>45169</v>
      </c>
      <c r="D832" s="231" t="s">
        <v>4839</v>
      </c>
      <c r="E832" s="231" t="s">
        <v>5073</v>
      </c>
      <c r="F832" s="619"/>
      <c r="G832" s="231" t="s">
        <v>4836</v>
      </c>
      <c r="H832" s="619"/>
      <c r="I832" s="619">
        <v>77987.070000000007</v>
      </c>
      <c r="J832" s="620">
        <v>46786814.729999997</v>
      </c>
      <c r="K832" s="621" t="s">
        <v>991</v>
      </c>
      <c r="L832" s="621" t="s">
        <v>4837</v>
      </c>
      <c r="M832" s="621" t="s">
        <v>4838</v>
      </c>
      <c r="N832" s="621" t="s">
        <v>4092</v>
      </c>
      <c r="O832" s="621"/>
      <c r="P832" s="621"/>
    </row>
    <row r="833" spans="1:16">
      <c r="A833" s="232" t="s">
        <v>684</v>
      </c>
      <c r="B833" s="232" t="s">
        <v>1353</v>
      </c>
      <c r="C833" s="622">
        <v>45169</v>
      </c>
      <c r="D833" s="232" t="s">
        <v>4841</v>
      </c>
      <c r="E833" s="231" t="s">
        <v>5073</v>
      </c>
      <c r="F833" s="233"/>
      <c r="G833" s="232" t="s">
        <v>4836</v>
      </c>
      <c r="H833" s="233"/>
      <c r="I833" s="233">
        <v>13774.08</v>
      </c>
      <c r="J833" s="623">
        <v>8263489.4400000004</v>
      </c>
      <c r="K833" s="624" t="s">
        <v>991</v>
      </c>
      <c r="L833" s="624" t="s">
        <v>4837</v>
      </c>
      <c r="M833" s="624" t="s">
        <v>4838</v>
      </c>
      <c r="N833" s="624" t="s">
        <v>4092</v>
      </c>
      <c r="O833" s="624"/>
      <c r="P833" s="624"/>
    </row>
    <row r="834" spans="1:16">
      <c r="A834" s="231" t="s">
        <v>684</v>
      </c>
      <c r="B834" s="231" t="s">
        <v>1353</v>
      </c>
      <c r="C834" s="618">
        <v>45169</v>
      </c>
      <c r="D834" s="231" t="s">
        <v>4844</v>
      </c>
      <c r="E834" s="231"/>
      <c r="F834" s="619"/>
      <c r="G834" s="231" t="s">
        <v>4836</v>
      </c>
      <c r="H834" s="619"/>
      <c r="I834" s="619">
        <v>157630.9</v>
      </c>
      <c r="J834" s="620">
        <v>94567570.159999996</v>
      </c>
      <c r="K834" s="621" t="s">
        <v>991</v>
      </c>
      <c r="L834" s="621" t="s">
        <v>4837</v>
      </c>
      <c r="M834" s="621" t="s">
        <v>4838</v>
      </c>
      <c r="N834" s="621" t="s">
        <v>4092</v>
      </c>
      <c r="O834" s="621"/>
      <c r="P834" s="621"/>
    </row>
    <row r="835" spans="1:16">
      <c r="A835" s="232" t="s">
        <v>684</v>
      </c>
      <c r="B835" s="232" t="s">
        <v>1353</v>
      </c>
      <c r="C835" s="622">
        <v>45171</v>
      </c>
      <c r="D835" s="232" t="s">
        <v>4846</v>
      </c>
      <c r="E835" s="231" t="s">
        <v>5073</v>
      </c>
      <c r="F835" s="233">
        <v>7022.085</v>
      </c>
      <c r="G835" s="232" t="s">
        <v>4836</v>
      </c>
      <c r="H835" s="233">
        <v>295.85000000000002</v>
      </c>
      <c r="I835" s="233">
        <v>2077483.85</v>
      </c>
      <c r="J835" s="623">
        <v>1253762130.3599999</v>
      </c>
      <c r="K835" s="624" t="s">
        <v>991</v>
      </c>
      <c r="L835" s="624" t="s">
        <v>4837</v>
      </c>
      <c r="M835" s="624" t="s">
        <v>4838</v>
      </c>
      <c r="N835" s="624" t="s">
        <v>4092</v>
      </c>
      <c r="O835" s="624"/>
      <c r="P835" s="624"/>
    </row>
    <row r="836" spans="1:16">
      <c r="A836" s="231" t="s">
        <v>684</v>
      </c>
      <c r="B836" s="231" t="s">
        <v>1353</v>
      </c>
      <c r="C836" s="618">
        <v>45176</v>
      </c>
      <c r="D836" s="231" t="s">
        <v>4843</v>
      </c>
      <c r="E836" s="231" t="s">
        <v>5074</v>
      </c>
      <c r="F836" s="619">
        <v>80.016999999999996</v>
      </c>
      <c r="G836" s="231" t="s">
        <v>4836</v>
      </c>
      <c r="H836" s="619">
        <v>1952.35</v>
      </c>
      <c r="I836" s="619">
        <v>156221.19</v>
      </c>
      <c r="J836" s="620">
        <v>95548128.439999998</v>
      </c>
      <c r="K836" s="621" t="s">
        <v>991</v>
      </c>
      <c r="L836" s="621" t="s">
        <v>4837</v>
      </c>
      <c r="M836" s="621" t="s">
        <v>4838</v>
      </c>
      <c r="N836" s="621" t="s">
        <v>4092</v>
      </c>
      <c r="O836" s="621"/>
      <c r="P836" s="621"/>
    </row>
    <row r="837" spans="1:16">
      <c r="A837" s="232" t="s">
        <v>684</v>
      </c>
      <c r="B837" s="232" t="s">
        <v>1353</v>
      </c>
      <c r="C837" s="622">
        <v>45176</v>
      </c>
      <c r="D837" s="232" t="s">
        <v>4843</v>
      </c>
      <c r="E837" s="231" t="s">
        <v>5074</v>
      </c>
      <c r="F837" s="233">
        <v>100.004</v>
      </c>
      <c r="G837" s="232" t="s">
        <v>4836</v>
      </c>
      <c r="H837" s="233">
        <v>2097.85</v>
      </c>
      <c r="I837" s="233">
        <v>209793.39</v>
      </c>
      <c r="J837" s="623">
        <v>128314000</v>
      </c>
      <c r="K837" s="624" t="s">
        <v>991</v>
      </c>
      <c r="L837" s="624" t="s">
        <v>4837</v>
      </c>
      <c r="M837" s="624" t="s">
        <v>4838</v>
      </c>
      <c r="N837" s="624" t="s">
        <v>4092</v>
      </c>
      <c r="O837" s="624"/>
      <c r="P837" s="624"/>
    </row>
    <row r="838" spans="1:16">
      <c r="A838" s="231" t="s">
        <v>684</v>
      </c>
      <c r="B838" s="231" t="s">
        <v>1353</v>
      </c>
      <c r="C838" s="618">
        <v>45183</v>
      </c>
      <c r="D838" s="231" t="s">
        <v>4840</v>
      </c>
      <c r="E838" s="231" t="s">
        <v>5074</v>
      </c>
      <c r="F838" s="619">
        <v>110.13249999999999</v>
      </c>
      <c r="G838" s="231" t="s">
        <v>4836</v>
      </c>
      <c r="H838" s="619">
        <v>1900.65</v>
      </c>
      <c r="I838" s="619">
        <v>209324.29</v>
      </c>
      <c r="J838" s="620">
        <v>127948832.52</v>
      </c>
      <c r="K838" s="621" t="s">
        <v>991</v>
      </c>
      <c r="L838" s="621" t="s">
        <v>4837</v>
      </c>
      <c r="M838" s="621" t="s">
        <v>4838</v>
      </c>
      <c r="N838" s="621" t="s">
        <v>4092</v>
      </c>
      <c r="O838" s="621"/>
      <c r="P838" s="621"/>
    </row>
    <row r="839" spans="1:16">
      <c r="A839" s="232" t="s">
        <v>684</v>
      </c>
      <c r="B839" s="232" t="s">
        <v>1353</v>
      </c>
      <c r="C839" s="622">
        <v>45183</v>
      </c>
      <c r="D839" s="232" t="s">
        <v>4840</v>
      </c>
      <c r="E839" s="231" t="s">
        <v>5074</v>
      </c>
      <c r="F839" s="233">
        <v>19.992000000000001</v>
      </c>
      <c r="G839" s="232" t="s">
        <v>4836</v>
      </c>
      <c r="H839" s="233">
        <v>1949.68</v>
      </c>
      <c r="I839" s="233">
        <v>38977.9</v>
      </c>
      <c r="J839" s="623">
        <v>23825122.25</v>
      </c>
      <c r="K839" s="624" t="s">
        <v>991</v>
      </c>
      <c r="L839" s="624" t="s">
        <v>4837</v>
      </c>
      <c r="M839" s="624" t="s">
        <v>4838</v>
      </c>
      <c r="N839" s="624" t="s">
        <v>4092</v>
      </c>
      <c r="O839" s="624"/>
      <c r="P839" s="624"/>
    </row>
    <row r="840" spans="1:16">
      <c r="A840" s="231" t="s">
        <v>684</v>
      </c>
      <c r="B840" s="231" t="s">
        <v>1353</v>
      </c>
      <c r="C840" s="618">
        <v>45183</v>
      </c>
      <c r="D840" s="231" t="s">
        <v>4840</v>
      </c>
      <c r="E840" s="231" t="s">
        <v>5074</v>
      </c>
      <c r="F840" s="619">
        <v>19.991</v>
      </c>
      <c r="G840" s="231" t="s">
        <v>4836</v>
      </c>
      <c r="H840" s="619">
        <v>1924.15</v>
      </c>
      <c r="I840" s="619">
        <v>38465.68</v>
      </c>
      <c r="J840" s="620">
        <v>23512029.34</v>
      </c>
      <c r="K840" s="621" t="s">
        <v>991</v>
      </c>
      <c r="L840" s="621" t="s">
        <v>4837</v>
      </c>
      <c r="M840" s="621" t="s">
        <v>4838</v>
      </c>
      <c r="N840" s="621" t="s">
        <v>4092</v>
      </c>
      <c r="O840" s="621"/>
      <c r="P840" s="621"/>
    </row>
    <row r="841" spans="1:16">
      <c r="A841" s="232" t="s">
        <v>684</v>
      </c>
      <c r="B841" s="232" t="s">
        <v>1353</v>
      </c>
      <c r="C841" s="622">
        <v>45183</v>
      </c>
      <c r="D841" s="232" t="s">
        <v>4840</v>
      </c>
      <c r="E841" s="231" t="s">
        <v>5074</v>
      </c>
      <c r="F841" s="233">
        <v>132.4725</v>
      </c>
      <c r="G841" s="232" t="s">
        <v>4836</v>
      </c>
      <c r="H841" s="233">
        <v>1890.46</v>
      </c>
      <c r="I841" s="233">
        <v>250436.8</v>
      </c>
      <c r="J841" s="623">
        <v>153078728.61000001</v>
      </c>
      <c r="K841" s="624" t="s">
        <v>991</v>
      </c>
      <c r="L841" s="624" t="s">
        <v>4837</v>
      </c>
      <c r="M841" s="624" t="s">
        <v>4838</v>
      </c>
      <c r="N841" s="624" t="s">
        <v>4092</v>
      </c>
      <c r="O841" s="624"/>
      <c r="P841" s="624"/>
    </row>
    <row r="842" spans="1:16">
      <c r="A842" s="231" t="s">
        <v>684</v>
      </c>
      <c r="B842" s="231" t="s">
        <v>1353</v>
      </c>
      <c r="C842" s="618">
        <v>45183</v>
      </c>
      <c r="D842" s="231" t="s">
        <v>4843</v>
      </c>
      <c r="E842" s="231" t="s">
        <v>5074</v>
      </c>
      <c r="F842" s="619">
        <v>999.90499999999997</v>
      </c>
      <c r="G842" s="231" t="s">
        <v>4836</v>
      </c>
      <c r="H842" s="619">
        <v>1824.72</v>
      </c>
      <c r="I842" s="619">
        <v>1824546.65</v>
      </c>
      <c r="J842" s="620">
        <v>1115248563.5699999</v>
      </c>
      <c r="K842" s="621" t="s">
        <v>991</v>
      </c>
      <c r="L842" s="621" t="s">
        <v>4837</v>
      </c>
      <c r="M842" s="621" t="s">
        <v>4838</v>
      </c>
      <c r="N842" s="621" t="s">
        <v>4092</v>
      </c>
      <c r="O842" s="621"/>
      <c r="P842" s="621"/>
    </row>
    <row r="843" spans="1:16">
      <c r="A843" s="232" t="s">
        <v>684</v>
      </c>
      <c r="B843" s="232" t="s">
        <v>1353</v>
      </c>
      <c r="C843" s="622">
        <v>45183</v>
      </c>
      <c r="D843" s="232" t="s">
        <v>4841</v>
      </c>
      <c r="E843" s="231" t="s">
        <v>5073</v>
      </c>
      <c r="F843" s="233">
        <v>80</v>
      </c>
      <c r="G843" s="232" t="s">
        <v>4836</v>
      </c>
      <c r="H843" s="233">
        <v>1296.3</v>
      </c>
      <c r="I843" s="233">
        <v>108640</v>
      </c>
      <c r="J843" s="623">
        <v>66405867.969999999</v>
      </c>
      <c r="K843" s="624" t="s">
        <v>991</v>
      </c>
      <c r="L843" s="624" t="s">
        <v>4837</v>
      </c>
      <c r="M843" s="624" t="s">
        <v>4838</v>
      </c>
      <c r="N843" s="624" t="s">
        <v>4092</v>
      </c>
      <c r="O843" s="624"/>
      <c r="P843" s="624"/>
    </row>
    <row r="844" spans="1:16">
      <c r="A844" s="231" t="s">
        <v>684</v>
      </c>
      <c r="B844" s="231" t="s">
        <v>1353</v>
      </c>
      <c r="C844" s="618">
        <v>45183</v>
      </c>
      <c r="D844" s="231" t="s">
        <v>4841</v>
      </c>
      <c r="E844" s="231" t="s">
        <v>5073</v>
      </c>
      <c r="F844" s="619">
        <v>200</v>
      </c>
      <c r="G844" s="231" t="s">
        <v>4836</v>
      </c>
      <c r="H844" s="619">
        <v>1310.8</v>
      </c>
      <c r="I844" s="619">
        <v>262160</v>
      </c>
      <c r="J844" s="620">
        <v>160244498.78</v>
      </c>
      <c r="K844" s="621" t="s">
        <v>991</v>
      </c>
      <c r="L844" s="621" t="s">
        <v>4837</v>
      </c>
      <c r="M844" s="621" t="s">
        <v>4838</v>
      </c>
      <c r="N844" s="621" t="s">
        <v>4092</v>
      </c>
      <c r="O844" s="621"/>
      <c r="P844" s="621"/>
    </row>
    <row r="845" spans="1:16">
      <c r="A845" s="232" t="s">
        <v>684</v>
      </c>
      <c r="B845" s="232" t="s">
        <v>1353</v>
      </c>
      <c r="C845" s="622">
        <v>45187</v>
      </c>
      <c r="D845" s="232" t="s">
        <v>4835</v>
      </c>
      <c r="E845" s="231" t="s">
        <v>5073</v>
      </c>
      <c r="F845" s="233">
        <v>20543.982</v>
      </c>
      <c r="G845" s="232" t="s">
        <v>4836</v>
      </c>
      <c r="H845" s="233">
        <v>301.36</v>
      </c>
      <c r="I845" s="233">
        <v>6191126.2000000011</v>
      </c>
      <c r="J845" s="623">
        <v>3807580688.8099999</v>
      </c>
      <c r="K845" s="624" t="s">
        <v>991</v>
      </c>
      <c r="L845" s="624" t="s">
        <v>4837</v>
      </c>
      <c r="M845" s="624" t="s">
        <v>4838</v>
      </c>
      <c r="N845" s="624" t="s">
        <v>4092</v>
      </c>
      <c r="O845" s="624"/>
      <c r="P845" s="624"/>
    </row>
    <row r="846" spans="1:16">
      <c r="A846" s="231" t="s">
        <v>684</v>
      </c>
      <c r="B846" s="231" t="s">
        <v>1353</v>
      </c>
      <c r="C846" s="618">
        <v>45193</v>
      </c>
      <c r="D846" s="231" t="s">
        <v>4841</v>
      </c>
      <c r="E846" s="231" t="s">
        <v>5073</v>
      </c>
      <c r="F846" s="619">
        <v>60</v>
      </c>
      <c r="G846" s="231" t="s">
        <v>4836</v>
      </c>
      <c r="H846" s="619">
        <v>1345.9</v>
      </c>
      <c r="I846" s="619">
        <v>80754</v>
      </c>
      <c r="J846" s="620">
        <v>49664206.640000001</v>
      </c>
      <c r="K846" s="621" t="s">
        <v>991</v>
      </c>
      <c r="L846" s="621" t="s">
        <v>4837</v>
      </c>
      <c r="M846" s="621" t="s">
        <v>4838</v>
      </c>
      <c r="N846" s="621" t="s">
        <v>4092</v>
      </c>
      <c r="O846" s="621"/>
      <c r="P846" s="621"/>
    </row>
    <row r="847" spans="1:16">
      <c r="A847" s="232" t="s">
        <v>684</v>
      </c>
      <c r="B847" s="232" t="s">
        <v>1353</v>
      </c>
      <c r="C847" s="622">
        <v>45193</v>
      </c>
      <c r="D847" s="232" t="s">
        <v>4843</v>
      </c>
      <c r="E847" s="231" t="s">
        <v>5074</v>
      </c>
      <c r="F847" s="233">
        <v>199.93</v>
      </c>
      <c r="G847" s="232" t="s">
        <v>4836</v>
      </c>
      <c r="H847" s="233">
        <v>1804.05</v>
      </c>
      <c r="I847" s="233">
        <v>360683.72</v>
      </c>
      <c r="J847" s="623">
        <v>221822706.03</v>
      </c>
      <c r="K847" s="624" t="s">
        <v>991</v>
      </c>
      <c r="L847" s="624" t="s">
        <v>4837</v>
      </c>
      <c r="M847" s="624" t="s">
        <v>4838</v>
      </c>
      <c r="N847" s="624" t="s">
        <v>4092</v>
      </c>
      <c r="O847" s="624"/>
      <c r="P847" s="624"/>
    </row>
    <row r="848" spans="1:16">
      <c r="A848" s="231" t="s">
        <v>684</v>
      </c>
      <c r="B848" s="231" t="s">
        <v>1353</v>
      </c>
      <c r="C848" s="618">
        <v>45193</v>
      </c>
      <c r="D848" s="231" t="s">
        <v>4843</v>
      </c>
      <c r="E848" s="231" t="s">
        <v>5074</v>
      </c>
      <c r="F848" s="619">
        <v>999.86300000000006</v>
      </c>
      <c r="G848" s="231" t="s">
        <v>4836</v>
      </c>
      <c r="H848" s="619">
        <v>1824.72</v>
      </c>
      <c r="I848" s="619">
        <v>1824470.01</v>
      </c>
      <c r="J848" s="620">
        <v>1122060276.75</v>
      </c>
      <c r="K848" s="621" t="s">
        <v>991</v>
      </c>
      <c r="L848" s="621" t="s">
        <v>4837</v>
      </c>
      <c r="M848" s="621" t="s">
        <v>4838</v>
      </c>
      <c r="N848" s="621" t="s">
        <v>4092</v>
      </c>
      <c r="O848" s="621"/>
      <c r="P848" s="621"/>
    </row>
    <row r="849" spans="1:16">
      <c r="A849" s="232" t="s">
        <v>684</v>
      </c>
      <c r="B849" s="232" t="s">
        <v>1353</v>
      </c>
      <c r="C849" s="622">
        <v>45193</v>
      </c>
      <c r="D849" s="232" t="s">
        <v>4843</v>
      </c>
      <c r="E849" s="231" t="s">
        <v>5074</v>
      </c>
      <c r="F849" s="233">
        <v>99.947999999999993</v>
      </c>
      <c r="G849" s="232" t="s">
        <v>4836</v>
      </c>
      <c r="H849" s="233">
        <v>1952.7</v>
      </c>
      <c r="I849" s="233">
        <v>195168.46</v>
      </c>
      <c r="J849" s="623">
        <v>120029803.2</v>
      </c>
      <c r="K849" s="624" t="s">
        <v>991</v>
      </c>
      <c r="L849" s="624" t="s">
        <v>4837</v>
      </c>
      <c r="M849" s="624" t="s">
        <v>4838</v>
      </c>
      <c r="N849" s="624" t="s">
        <v>4092</v>
      </c>
      <c r="O849" s="624"/>
      <c r="P849" s="624"/>
    </row>
    <row r="850" spans="1:16">
      <c r="A850" s="231" t="s">
        <v>684</v>
      </c>
      <c r="B850" s="231" t="s">
        <v>1353</v>
      </c>
      <c r="C850" s="618">
        <v>45193</v>
      </c>
      <c r="D850" s="231" t="s">
        <v>4839</v>
      </c>
      <c r="E850" s="231" t="s">
        <v>5073</v>
      </c>
      <c r="F850" s="619">
        <v>60</v>
      </c>
      <c r="G850" s="231" t="s">
        <v>4836</v>
      </c>
      <c r="H850" s="619">
        <v>2025.95</v>
      </c>
      <c r="I850" s="619">
        <v>124257</v>
      </c>
      <c r="J850" s="620">
        <v>76418819.189999998</v>
      </c>
      <c r="K850" s="621" t="s">
        <v>991</v>
      </c>
      <c r="L850" s="621" t="s">
        <v>4837</v>
      </c>
      <c r="M850" s="621" t="s">
        <v>4838</v>
      </c>
      <c r="N850" s="621" t="s">
        <v>4092</v>
      </c>
      <c r="O850" s="621"/>
      <c r="P850" s="621"/>
    </row>
    <row r="851" spans="1:16">
      <c r="A851" s="232" t="s">
        <v>684</v>
      </c>
      <c r="B851" s="232" t="s">
        <v>1353</v>
      </c>
      <c r="C851" s="622">
        <v>45193</v>
      </c>
      <c r="D851" s="232" t="s">
        <v>4841</v>
      </c>
      <c r="E851" s="231" t="s">
        <v>5073</v>
      </c>
      <c r="F851" s="233">
        <v>40</v>
      </c>
      <c r="G851" s="232" t="s">
        <v>4836</v>
      </c>
      <c r="H851" s="233">
        <v>1286.5999999999999</v>
      </c>
      <c r="I851" s="233">
        <v>51464</v>
      </c>
      <c r="J851" s="623">
        <v>31650676.510000002</v>
      </c>
      <c r="K851" s="624" t="s">
        <v>991</v>
      </c>
      <c r="L851" s="624" t="s">
        <v>4837</v>
      </c>
      <c r="M851" s="624" t="s">
        <v>4838</v>
      </c>
      <c r="N851" s="624" t="s">
        <v>4092</v>
      </c>
      <c r="O851" s="624"/>
      <c r="P851" s="624"/>
    </row>
    <row r="852" spans="1:16">
      <c r="A852" s="231" t="s">
        <v>684</v>
      </c>
      <c r="B852" s="231" t="s">
        <v>1353</v>
      </c>
      <c r="C852" s="618">
        <v>45193</v>
      </c>
      <c r="D852" s="231" t="s">
        <v>4841</v>
      </c>
      <c r="E852" s="231" t="s">
        <v>5073</v>
      </c>
      <c r="F852" s="619">
        <v>80</v>
      </c>
      <c r="G852" s="231" t="s">
        <v>4836</v>
      </c>
      <c r="H852" s="619">
        <v>1296.3</v>
      </c>
      <c r="I852" s="619">
        <v>103704</v>
      </c>
      <c r="J852" s="620">
        <v>63778597.789999999</v>
      </c>
      <c r="K852" s="621" t="s">
        <v>991</v>
      </c>
      <c r="L852" s="621" t="s">
        <v>4837</v>
      </c>
      <c r="M852" s="621" t="s">
        <v>4838</v>
      </c>
      <c r="N852" s="621" t="s">
        <v>4092</v>
      </c>
      <c r="O852" s="621"/>
      <c r="P852" s="621"/>
    </row>
    <row r="853" spans="1:16">
      <c r="A853" s="232" t="s">
        <v>684</v>
      </c>
      <c r="B853" s="232" t="s">
        <v>1353</v>
      </c>
      <c r="C853" s="622">
        <v>45195</v>
      </c>
      <c r="D853" s="232" t="s">
        <v>4841</v>
      </c>
      <c r="E853" s="231" t="s">
        <v>5073</v>
      </c>
      <c r="F853" s="233"/>
      <c r="G853" s="232" t="s">
        <v>4836</v>
      </c>
      <c r="H853" s="233"/>
      <c r="I853" s="233">
        <v>-4960</v>
      </c>
      <c r="J853" s="623">
        <v>-3056069.01</v>
      </c>
      <c r="K853" s="624" t="s">
        <v>991</v>
      </c>
      <c r="L853" s="624" t="s">
        <v>4837</v>
      </c>
      <c r="M853" s="624" t="s">
        <v>4838</v>
      </c>
      <c r="N853" s="624" t="s">
        <v>4092</v>
      </c>
      <c r="O853" s="624"/>
      <c r="P853" s="624"/>
    </row>
    <row r="854" spans="1:16">
      <c r="A854" s="231" t="s">
        <v>684</v>
      </c>
      <c r="B854" s="231" t="s">
        <v>1353</v>
      </c>
      <c r="C854" s="618">
        <v>45197</v>
      </c>
      <c r="D854" s="231" t="s">
        <v>4840</v>
      </c>
      <c r="E854" s="231" t="s">
        <v>5074</v>
      </c>
      <c r="F854" s="619">
        <v>100.051</v>
      </c>
      <c r="G854" s="231" t="s">
        <v>4836</v>
      </c>
      <c r="H854" s="619">
        <v>1894.5</v>
      </c>
      <c r="I854" s="619">
        <v>189546.62</v>
      </c>
      <c r="J854" s="620">
        <v>118318739.08</v>
      </c>
      <c r="K854" s="621" t="s">
        <v>991</v>
      </c>
      <c r="L854" s="621" t="s">
        <v>4837</v>
      </c>
      <c r="M854" s="621" t="s">
        <v>4838</v>
      </c>
      <c r="N854" s="621" t="s">
        <v>4092</v>
      </c>
      <c r="O854" s="621"/>
      <c r="P854" s="621"/>
    </row>
    <row r="855" spans="1:16">
      <c r="A855" s="232" t="s">
        <v>684</v>
      </c>
      <c r="B855" s="232" t="s">
        <v>1353</v>
      </c>
      <c r="C855" s="622">
        <v>45199</v>
      </c>
      <c r="D855" s="232" t="s">
        <v>4846</v>
      </c>
      <c r="E855" s="231" t="s">
        <v>5073</v>
      </c>
      <c r="F855" s="233"/>
      <c r="G855" s="232" t="s">
        <v>4836</v>
      </c>
      <c r="H855" s="233"/>
      <c r="I855" s="233">
        <v>-69815.5</v>
      </c>
      <c r="J855" s="623">
        <v>-43283818.049999997</v>
      </c>
      <c r="K855" s="624" t="s">
        <v>991</v>
      </c>
      <c r="L855" s="624" t="s">
        <v>4837</v>
      </c>
      <c r="M855" s="624" t="s">
        <v>4838</v>
      </c>
      <c r="N855" s="624" t="s">
        <v>4092</v>
      </c>
      <c r="O855" s="624"/>
      <c r="P855" s="624"/>
    </row>
    <row r="856" spans="1:16">
      <c r="A856" s="231" t="s">
        <v>684</v>
      </c>
      <c r="B856" s="231" t="s">
        <v>1353</v>
      </c>
      <c r="C856" s="618">
        <v>45199</v>
      </c>
      <c r="D856" s="231" t="s">
        <v>4842</v>
      </c>
      <c r="E856" s="231" t="s">
        <v>5073</v>
      </c>
      <c r="F856" s="619"/>
      <c r="G856" s="231" t="s">
        <v>4836</v>
      </c>
      <c r="H856" s="619"/>
      <c r="I856" s="619">
        <v>38.06</v>
      </c>
      <c r="J856" s="620">
        <v>23596.22</v>
      </c>
      <c r="K856" s="621" t="s">
        <v>991</v>
      </c>
      <c r="L856" s="621" t="s">
        <v>4837</v>
      </c>
      <c r="M856" s="621" t="s">
        <v>4838</v>
      </c>
      <c r="N856" s="621" t="s">
        <v>4092</v>
      </c>
      <c r="O856" s="621"/>
      <c r="P856" s="621"/>
    </row>
    <row r="857" spans="1:16">
      <c r="A857" s="232" t="s">
        <v>684</v>
      </c>
      <c r="B857" s="232" t="s">
        <v>1353</v>
      </c>
      <c r="C857" s="622">
        <v>45199</v>
      </c>
      <c r="D857" s="232" t="s">
        <v>4835</v>
      </c>
      <c r="E857" s="231" t="s">
        <v>5073</v>
      </c>
      <c r="F857" s="233"/>
      <c r="G857" s="232" t="s">
        <v>4836</v>
      </c>
      <c r="H857" s="233"/>
      <c r="I857" s="233">
        <v>929571.2</v>
      </c>
      <c r="J857" s="623">
        <v>576310284.75</v>
      </c>
      <c r="K857" s="624" t="s">
        <v>991</v>
      </c>
      <c r="L857" s="624" t="s">
        <v>4837</v>
      </c>
      <c r="M857" s="624" t="s">
        <v>4838</v>
      </c>
      <c r="N857" s="624" t="s">
        <v>4092</v>
      </c>
      <c r="O857" s="624"/>
      <c r="P857" s="624"/>
    </row>
    <row r="858" spans="1:16">
      <c r="A858" s="231" t="s">
        <v>684</v>
      </c>
      <c r="B858" s="231" t="s">
        <v>1353</v>
      </c>
      <c r="C858" s="618">
        <v>45199</v>
      </c>
      <c r="D858" s="231" t="s">
        <v>4840</v>
      </c>
      <c r="E858" s="231" t="s">
        <v>5074</v>
      </c>
      <c r="F858" s="619"/>
      <c r="G858" s="231" t="s">
        <v>4836</v>
      </c>
      <c r="H858" s="619"/>
      <c r="I858" s="619">
        <v>-325855.44000000006</v>
      </c>
      <c r="J858" s="620">
        <v>-202022009.09</v>
      </c>
      <c r="K858" s="621" t="s">
        <v>991</v>
      </c>
      <c r="L858" s="621" t="s">
        <v>4837</v>
      </c>
      <c r="M858" s="621" t="s">
        <v>4838</v>
      </c>
      <c r="N858" s="621" t="s">
        <v>4092</v>
      </c>
      <c r="O858" s="621"/>
      <c r="P858" s="621"/>
    </row>
    <row r="859" spans="1:16">
      <c r="A859" s="232" t="s">
        <v>684</v>
      </c>
      <c r="B859" s="232" t="s">
        <v>1353</v>
      </c>
      <c r="C859" s="622">
        <v>45199</v>
      </c>
      <c r="D859" s="232" t="s">
        <v>4843</v>
      </c>
      <c r="E859" s="231" t="s">
        <v>5074</v>
      </c>
      <c r="F859" s="233"/>
      <c r="G859" s="232" t="s">
        <v>4836</v>
      </c>
      <c r="H859" s="233"/>
      <c r="I859" s="233">
        <v>-130802.42000000001</v>
      </c>
      <c r="J859" s="623">
        <v>-81094143.099999994</v>
      </c>
      <c r="K859" s="624" t="s">
        <v>991</v>
      </c>
      <c r="L859" s="624" t="s">
        <v>4837</v>
      </c>
      <c r="M859" s="624" t="s">
        <v>4838</v>
      </c>
      <c r="N859" s="624" t="s">
        <v>4092</v>
      </c>
      <c r="O859" s="624"/>
      <c r="P859" s="624"/>
    </row>
    <row r="860" spans="1:16">
      <c r="A860" s="231" t="s">
        <v>684</v>
      </c>
      <c r="B860" s="231" t="s">
        <v>1353</v>
      </c>
      <c r="C860" s="618">
        <v>45199</v>
      </c>
      <c r="D860" s="231" t="s">
        <v>4839</v>
      </c>
      <c r="E860" s="231" t="s">
        <v>5073</v>
      </c>
      <c r="F860" s="619"/>
      <c r="G860" s="231" t="s">
        <v>4836</v>
      </c>
      <c r="H860" s="619"/>
      <c r="I860" s="619">
        <v>-108219.23000000001</v>
      </c>
      <c r="J860" s="620">
        <v>-67093144.939999998</v>
      </c>
      <c r="K860" s="621" t="s">
        <v>991</v>
      </c>
      <c r="L860" s="621" t="s">
        <v>4837</v>
      </c>
      <c r="M860" s="621" t="s">
        <v>4838</v>
      </c>
      <c r="N860" s="621" t="s">
        <v>4092</v>
      </c>
      <c r="O860" s="621"/>
      <c r="P860" s="621"/>
    </row>
    <row r="861" spans="1:16">
      <c r="A861" s="232" t="s">
        <v>684</v>
      </c>
      <c r="B861" s="232" t="s">
        <v>1353</v>
      </c>
      <c r="C861" s="622">
        <v>45199</v>
      </c>
      <c r="D861" s="232" t="s">
        <v>4841</v>
      </c>
      <c r="E861" s="231" t="s">
        <v>5073</v>
      </c>
      <c r="F861" s="233"/>
      <c r="G861" s="232" t="s">
        <v>4836</v>
      </c>
      <c r="H861" s="233"/>
      <c r="I861" s="233">
        <v>-75966.570000000007</v>
      </c>
      <c r="J861" s="623">
        <v>-47097323.57</v>
      </c>
      <c r="K861" s="624" t="s">
        <v>991</v>
      </c>
      <c r="L861" s="624" t="s">
        <v>4837</v>
      </c>
      <c r="M861" s="624" t="s">
        <v>4838</v>
      </c>
      <c r="N861" s="624" t="s">
        <v>4092</v>
      </c>
      <c r="O861" s="624"/>
      <c r="P861" s="624"/>
    </row>
    <row r="862" spans="1:16">
      <c r="A862" s="231" t="s">
        <v>684</v>
      </c>
      <c r="B862" s="231" t="s">
        <v>1353</v>
      </c>
      <c r="C862" s="618">
        <v>45199</v>
      </c>
      <c r="D862" s="231" t="s">
        <v>4844</v>
      </c>
      <c r="E862" s="231"/>
      <c r="F862" s="619"/>
      <c r="G862" s="231" t="s">
        <v>4836</v>
      </c>
      <c r="H862" s="619"/>
      <c r="I862" s="619">
        <v>-266791.08</v>
      </c>
      <c r="J862" s="620">
        <v>-165403621.88999999</v>
      </c>
      <c r="K862" s="621" t="s">
        <v>991</v>
      </c>
      <c r="L862" s="621" t="s">
        <v>4837</v>
      </c>
      <c r="M862" s="621" t="s">
        <v>4838</v>
      </c>
      <c r="N862" s="621" t="s">
        <v>4092</v>
      </c>
      <c r="O862" s="621"/>
      <c r="P862" s="621"/>
    </row>
    <row r="863" spans="1:16">
      <c r="A863" s="232" t="s">
        <v>684</v>
      </c>
      <c r="B863" s="232" t="s">
        <v>1353</v>
      </c>
      <c r="C863" s="622">
        <v>45199</v>
      </c>
      <c r="D863" s="232" t="s">
        <v>4846</v>
      </c>
      <c r="E863" s="231" t="s">
        <v>5073</v>
      </c>
      <c r="F863" s="233"/>
      <c r="G863" s="232" t="s">
        <v>4836</v>
      </c>
      <c r="H863" s="233"/>
      <c r="I863" s="233">
        <v>-1715.28</v>
      </c>
      <c r="J863" s="623">
        <v>-1035165.76</v>
      </c>
      <c r="K863" s="624" t="s">
        <v>991</v>
      </c>
      <c r="L863" s="624" t="s">
        <v>4837</v>
      </c>
      <c r="M863" s="624" t="s">
        <v>4838</v>
      </c>
      <c r="N863" s="624" t="s">
        <v>4092</v>
      </c>
      <c r="O863" s="624"/>
      <c r="P863" s="624"/>
    </row>
    <row r="864" spans="1:16">
      <c r="A864" s="231" t="s">
        <v>684</v>
      </c>
      <c r="B864" s="231" t="s">
        <v>1353</v>
      </c>
      <c r="C864" s="618">
        <v>45199</v>
      </c>
      <c r="D864" s="231" t="s">
        <v>4835</v>
      </c>
      <c r="E864" s="231" t="s">
        <v>5073</v>
      </c>
      <c r="F864" s="619"/>
      <c r="G864" s="231" t="s">
        <v>4836</v>
      </c>
      <c r="H864" s="619"/>
      <c r="I864" s="619">
        <v>-445988.1</v>
      </c>
      <c r="J864" s="620">
        <v>-269152328.58999997</v>
      </c>
      <c r="K864" s="621" t="s">
        <v>991</v>
      </c>
      <c r="L864" s="621" t="s">
        <v>4837</v>
      </c>
      <c r="M864" s="621" t="s">
        <v>4838</v>
      </c>
      <c r="N864" s="621" t="s">
        <v>4092</v>
      </c>
      <c r="O864" s="621"/>
      <c r="P864" s="621"/>
    </row>
    <row r="865" spans="1:16">
      <c r="A865" s="232" t="s">
        <v>684</v>
      </c>
      <c r="B865" s="232" t="s">
        <v>1353</v>
      </c>
      <c r="C865" s="622">
        <v>45199</v>
      </c>
      <c r="D865" s="232" t="s">
        <v>4840</v>
      </c>
      <c r="E865" s="231" t="s">
        <v>5074</v>
      </c>
      <c r="F865" s="233"/>
      <c r="G865" s="232" t="s">
        <v>4836</v>
      </c>
      <c r="H865" s="233"/>
      <c r="I865" s="233">
        <v>238399.65000000008</v>
      </c>
      <c r="J865" s="623">
        <v>143873392.44</v>
      </c>
      <c r="K865" s="624" t="s">
        <v>991</v>
      </c>
      <c r="L865" s="624" t="s">
        <v>4837</v>
      </c>
      <c r="M865" s="624" t="s">
        <v>4838</v>
      </c>
      <c r="N865" s="624" t="s">
        <v>4092</v>
      </c>
      <c r="O865" s="624"/>
      <c r="P865" s="624"/>
    </row>
    <row r="866" spans="1:16">
      <c r="A866" s="231" t="s">
        <v>684</v>
      </c>
      <c r="B866" s="231" t="s">
        <v>1353</v>
      </c>
      <c r="C866" s="618">
        <v>45199</v>
      </c>
      <c r="D866" s="231" t="s">
        <v>4843</v>
      </c>
      <c r="E866" s="231" t="s">
        <v>5074</v>
      </c>
      <c r="F866" s="619"/>
      <c r="G866" s="231" t="s">
        <v>4836</v>
      </c>
      <c r="H866" s="619"/>
      <c r="I866" s="619">
        <v>8302.4199999999964</v>
      </c>
      <c r="J866" s="620">
        <v>5010482.74</v>
      </c>
      <c r="K866" s="621" t="s">
        <v>991</v>
      </c>
      <c r="L866" s="621" t="s">
        <v>4837</v>
      </c>
      <c r="M866" s="621" t="s">
        <v>4838</v>
      </c>
      <c r="N866" s="621" t="s">
        <v>4092</v>
      </c>
      <c r="O866" s="621"/>
      <c r="P866" s="621"/>
    </row>
    <row r="867" spans="1:16">
      <c r="A867" s="232" t="s">
        <v>684</v>
      </c>
      <c r="B867" s="232" t="s">
        <v>1353</v>
      </c>
      <c r="C867" s="622">
        <v>45199</v>
      </c>
      <c r="D867" s="232" t="s">
        <v>4839</v>
      </c>
      <c r="E867" s="231" t="s">
        <v>5073</v>
      </c>
      <c r="F867" s="233"/>
      <c r="G867" s="232" t="s">
        <v>4836</v>
      </c>
      <c r="H867" s="233"/>
      <c r="I867" s="233">
        <v>110864.25000000001</v>
      </c>
      <c r="J867" s="623">
        <v>66906204.549999997</v>
      </c>
      <c r="K867" s="624" t="s">
        <v>991</v>
      </c>
      <c r="L867" s="624" t="s">
        <v>4837</v>
      </c>
      <c r="M867" s="624" t="s">
        <v>4838</v>
      </c>
      <c r="N867" s="624" t="s">
        <v>4092</v>
      </c>
      <c r="O867" s="624"/>
      <c r="P867" s="624"/>
    </row>
    <row r="868" spans="1:16">
      <c r="A868" s="231" t="s">
        <v>684</v>
      </c>
      <c r="B868" s="231" t="s">
        <v>1353</v>
      </c>
      <c r="C868" s="618">
        <v>45199</v>
      </c>
      <c r="D868" s="231" t="s">
        <v>4841</v>
      </c>
      <c r="E868" s="231" t="s">
        <v>5073</v>
      </c>
      <c r="F868" s="619"/>
      <c r="G868" s="231" t="s">
        <v>4836</v>
      </c>
      <c r="H868" s="619"/>
      <c r="I868" s="619">
        <v>21431.620000000003</v>
      </c>
      <c r="J868" s="620">
        <v>12933911.08</v>
      </c>
      <c r="K868" s="621" t="s">
        <v>991</v>
      </c>
      <c r="L868" s="621" t="s">
        <v>4837</v>
      </c>
      <c r="M868" s="621" t="s">
        <v>4838</v>
      </c>
      <c r="N868" s="621" t="s">
        <v>4092</v>
      </c>
      <c r="O868" s="621"/>
      <c r="P868" s="621"/>
    </row>
    <row r="869" spans="1:16">
      <c r="A869" s="232" t="s">
        <v>684</v>
      </c>
      <c r="B869" s="232" t="s">
        <v>1353</v>
      </c>
      <c r="C869" s="622">
        <v>45199</v>
      </c>
      <c r="D869" s="232" t="s">
        <v>4844</v>
      </c>
      <c r="E869" s="232"/>
      <c r="F869" s="233"/>
      <c r="G869" s="232" t="s">
        <v>4836</v>
      </c>
      <c r="H869" s="233"/>
      <c r="I869" s="233">
        <v>198060.06999999998</v>
      </c>
      <c r="J869" s="623">
        <v>119528590.65000001</v>
      </c>
      <c r="K869" s="624" t="s">
        <v>991</v>
      </c>
      <c r="L869" s="624" t="s">
        <v>4837</v>
      </c>
      <c r="M869" s="624" t="s">
        <v>4838</v>
      </c>
      <c r="N869" s="624" t="s">
        <v>4092</v>
      </c>
      <c r="O869" s="624"/>
      <c r="P869" s="624"/>
    </row>
    <row r="870" spans="1:16">
      <c r="A870" s="231" t="s">
        <v>684</v>
      </c>
      <c r="B870" s="231" t="s">
        <v>1353</v>
      </c>
      <c r="C870" s="618">
        <v>45199</v>
      </c>
      <c r="D870" s="231" t="s">
        <v>4844</v>
      </c>
      <c r="E870" s="231"/>
      <c r="F870" s="619">
        <v>1773.2049999999999</v>
      </c>
      <c r="G870" s="231" t="s">
        <v>4836</v>
      </c>
      <c r="H870" s="619">
        <v>219.03</v>
      </c>
      <c r="I870" s="619">
        <v>388391.21</v>
      </c>
      <c r="J870" s="620">
        <v>240788102.91</v>
      </c>
      <c r="K870" s="621" t="s">
        <v>991</v>
      </c>
      <c r="L870" s="621" t="s">
        <v>4837</v>
      </c>
      <c r="M870" s="621" t="s">
        <v>4838</v>
      </c>
      <c r="N870" s="621" t="s">
        <v>4092</v>
      </c>
      <c r="O870" s="621"/>
      <c r="P870" s="621"/>
    </row>
    <row r="871" spans="1:16">
      <c r="A871" s="232" t="s">
        <v>684</v>
      </c>
      <c r="B871" s="232" t="s">
        <v>1353</v>
      </c>
      <c r="C871" s="622">
        <v>45199</v>
      </c>
      <c r="D871" s="232" t="s">
        <v>4844</v>
      </c>
      <c r="E871" s="232"/>
      <c r="F871" s="233">
        <v>1030.54</v>
      </c>
      <c r="G871" s="232" t="s">
        <v>4836</v>
      </c>
      <c r="H871" s="233">
        <v>243.26</v>
      </c>
      <c r="I871" s="233">
        <v>250684.95</v>
      </c>
      <c r="J871" s="623">
        <v>155415344.08000001</v>
      </c>
      <c r="K871" s="624" t="s">
        <v>991</v>
      </c>
      <c r="L871" s="624" t="s">
        <v>4837</v>
      </c>
      <c r="M871" s="624" t="s">
        <v>4838</v>
      </c>
      <c r="N871" s="624" t="s">
        <v>4092</v>
      </c>
      <c r="O871" s="624"/>
      <c r="P871" s="624"/>
    </row>
    <row r="872" spans="1:16">
      <c r="A872" s="231" t="s">
        <v>684</v>
      </c>
      <c r="B872" s="231" t="s">
        <v>1353</v>
      </c>
      <c r="C872" s="618">
        <v>45199</v>
      </c>
      <c r="D872" s="231" t="s">
        <v>4841</v>
      </c>
      <c r="E872" s="231" t="s">
        <v>5073</v>
      </c>
      <c r="F872" s="619">
        <v>60</v>
      </c>
      <c r="G872" s="231" t="s">
        <v>4836</v>
      </c>
      <c r="H872" s="619">
        <v>1353.09</v>
      </c>
      <c r="I872" s="619">
        <v>81185.460000000006</v>
      </c>
      <c r="J872" s="620">
        <v>50331965.280000001</v>
      </c>
      <c r="K872" s="621" t="s">
        <v>991</v>
      </c>
      <c r="L872" s="621" t="s">
        <v>4837</v>
      </c>
      <c r="M872" s="621" t="s">
        <v>4838</v>
      </c>
      <c r="N872" s="621" t="s">
        <v>4092</v>
      </c>
      <c r="O872" s="621"/>
      <c r="P872" s="621"/>
    </row>
    <row r="873" spans="1:16">
      <c r="A873" s="232" t="s">
        <v>684</v>
      </c>
      <c r="B873" s="232" t="s">
        <v>1353</v>
      </c>
      <c r="C873" s="622">
        <v>45199</v>
      </c>
      <c r="D873" s="232" t="s">
        <v>4839</v>
      </c>
      <c r="E873" s="231" t="s">
        <v>5073</v>
      </c>
      <c r="F873" s="233">
        <v>40</v>
      </c>
      <c r="G873" s="232" t="s">
        <v>4836</v>
      </c>
      <c r="H873" s="233">
        <v>1979.3</v>
      </c>
      <c r="I873" s="233">
        <v>79172</v>
      </c>
      <c r="J873" s="623">
        <v>49083694.979999997</v>
      </c>
      <c r="K873" s="624" t="s">
        <v>991</v>
      </c>
      <c r="L873" s="624" t="s">
        <v>4837</v>
      </c>
      <c r="M873" s="624" t="s">
        <v>4838</v>
      </c>
      <c r="N873" s="624" t="s">
        <v>4092</v>
      </c>
      <c r="O873" s="624"/>
      <c r="P873" s="624"/>
    </row>
    <row r="874" spans="1:16">
      <c r="A874" s="231" t="s">
        <v>684</v>
      </c>
      <c r="B874" s="231" t="s">
        <v>1353</v>
      </c>
      <c r="C874" s="618">
        <v>45199</v>
      </c>
      <c r="D874" s="231" t="s">
        <v>4846</v>
      </c>
      <c r="E874" s="231" t="s">
        <v>5073</v>
      </c>
      <c r="F874" s="619">
        <v>9318.7540000000008</v>
      </c>
      <c r="G874" s="231" t="s">
        <v>4836</v>
      </c>
      <c r="H874" s="619">
        <v>287</v>
      </c>
      <c r="I874" s="619">
        <v>2674482.4</v>
      </c>
      <c r="J874" s="620">
        <v>1661169192.55</v>
      </c>
      <c r="K874" s="621" t="s">
        <v>991</v>
      </c>
      <c r="L874" s="621" t="s">
        <v>4837</v>
      </c>
      <c r="M874" s="621" t="s">
        <v>4838</v>
      </c>
      <c r="N874" s="621" t="s">
        <v>4092</v>
      </c>
      <c r="O874" s="621"/>
      <c r="P874" s="621"/>
    </row>
    <row r="875" spans="1:16">
      <c r="A875" s="232" t="s">
        <v>684</v>
      </c>
      <c r="B875" s="232" t="s">
        <v>1353</v>
      </c>
      <c r="C875" s="622">
        <v>45199</v>
      </c>
      <c r="D875" s="232" t="s">
        <v>4846</v>
      </c>
      <c r="E875" s="231" t="s">
        <v>5073</v>
      </c>
      <c r="F875" s="233">
        <v>9318.7549999999992</v>
      </c>
      <c r="G875" s="232" t="s">
        <v>4836</v>
      </c>
      <c r="H875" s="233">
        <v>301.55</v>
      </c>
      <c r="I875" s="233">
        <v>2810070.57</v>
      </c>
      <c r="J875" s="623">
        <v>1745385447.21</v>
      </c>
      <c r="K875" s="624" t="s">
        <v>991</v>
      </c>
      <c r="L875" s="624" t="s">
        <v>4837</v>
      </c>
      <c r="M875" s="624" t="s">
        <v>4838</v>
      </c>
      <c r="N875" s="624" t="s">
        <v>4092</v>
      </c>
      <c r="O875" s="624"/>
      <c r="P875" s="624"/>
    </row>
    <row r="876" spans="1:16">
      <c r="A876" s="231" t="s">
        <v>684</v>
      </c>
      <c r="B876" s="231" t="s">
        <v>1353</v>
      </c>
      <c r="C876" s="618">
        <v>45199</v>
      </c>
      <c r="D876" s="231" t="s">
        <v>4842</v>
      </c>
      <c r="E876" s="231" t="s">
        <v>5073</v>
      </c>
      <c r="F876" s="619">
        <v>7000.7250000000004</v>
      </c>
      <c r="G876" s="231" t="s">
        <v>4836</v>
      </c>
      <c r="H876" s="619">
        <v>238.5</v>
      </c>
      <c r="I876" s="619">
        <v>1669672.91</v>
      </c>
      <c r="J876" s="620">
        <v>1037063919.25</v>
      </c>
      <c r="K876" s="621" t="s">
        <v>991</v>
      </c>
      <c r="L876" s="621" t="s">
        <v>4837</v>
      </c>
      <c r="M876" s="621" t="s">
        <v>4838</v>
      </c>
      <c r="N876" s="621" t="s">
        <v>4092</v>
      </c>
      <c r="O876" s="621"/>
      <c r="P876" s="621"/>
    </row>
    <row r="877" spans="1:16">
      <c r="A877" s="232" t="s">
        <v>684</v>
      </c>
      <c r="B877" s="232" t="s">
        <v>1353</v>
      </c>
      <c r="C877" s="622">
        <v>45199</v>
      </c>
      <c r="D877" s="232" t="s">
        <v>4835</v>
      </c>
      <c r="E877" s="231" t="s">
        <v>5073</v>
      </c>
      <c r="F877" s="233">
        <v>5004.848</v>
      </c>
      <c r="G877" s="232" t="s">
        <v>4836</v>
      </c>
      <c r="H877" s="233">
        <v>277.3</v>
      </c>
      <c r="I877" s="233">
        <v>1387844.35</v>
      </c>
      <c r="J877" s="623">
        <v>862015124.22000003</v>
      </c>
      <c r="K877" s="624" t="s">
        <v>991</v>
      </c>
      <c r="L877" s="624" t="s">
        <v>4837</v>
      </c>
      <c r="M877" s="624" t="s">
        <v>4838</v>
      </c>
      <c r="N877" s="624" t="s">
        <v>4092</v>
      </c>
      <c r="O877" s="624"/>
      <c r="P877" s="624"/>
    </row>
    <row r="878" spans="1:16">
      <c r="A878" s="231" t="s">
        <v>684</v>
      </c>
      <c r="B878" s="231" t="s">
        <v>1353</v>
      </c>
      <c r="C878" s="618">
        <v>45199</v>
      </c>
      <c r="D878" s="231" t="s">
        <v>4839</v>
      </c>
      <c r="E878" s="231" t="s">
        <v>5073</v>
      </c>
      <c r="F878" s="619"/>
      <c r="G878" s="231" t="s">
        <v>4836</v>
      </c>
      <c r="H878" s="619"/>
      <c r="I878" s="619">
        <v>-2700</v>
      </c>
      <c r="J878" s="620">
        <v>-1673899.57</v>
      </c>
      <c r="K878" s="621" t="s">
        <v>991</v>
      </c>
      <c r="L878" s="621" t="s">
        <v>4837</v>
      </c>
      <c r="M878" s="621" t="s">
        <v>4838</v>
      </c>
      <c r="N878" s="621" t="s">
        <v>4092</v>
      </c>
      <c r="O878" s="621"/>
      <c r="P878" s="621"/>
    </row>
    <row r="879" spans="1:16">
      <c r="A879" s="232" t="s">
        <v>684</v>
      </c>
      <c r="B879" s="232" t="s">
        <v>1353</v>
      </c>
      <c r="C879" s="622">
        <v>45200</v>
      </c>
      <c r="D879" s="232" t="s">
        <v>4843</v>
      </c>
      <c r="E879" s="231" t="s">
        <v>5074</v>
      </c>
      <c r="F879" s="233">
        <v>119.991</v>
      </c>
      <c r="G879" s="232" t="s">
        <v>4836</v>
      </c>
      <c r="H879" s="233">
        <v>1976.4</v>
      </c>
      <c r="I879" s="233">
        <v>237150.21</v>
      </c>
      <c r="J879" s="623">
        <v>146933215.61000001</v>
      </c>
      <c r="K879" s="624" t="s">
        <v>991</v>
      </c>
      <c r="L879" s="624" t="s">
        <v>4837</v>
      </c>
      <c r="M879" s="624" t="s">
        <v>4838</v>
      </c>
      <c r="N879" s="624" t="s">
        <v>4092</v>
      </c>
      <c r="O879" s="624"/>
      <c r="P879" s="624"/>
    </row>
    <row r="880" spans="1:16">
      <c r="A880" s="231" t="s">
        <v>684</v>
      </c>
      <c r="B880" s="231" t="s">
        <v>1353</v>
      </c>
      <c r="C880" s="618">
        <v>45206</v>
      </c>
      <c r="D880" s="231" t="s">
        <v>4835</v>
      </c>
      <c r="E880" s="231" t="s">
        <v>5073</v>
      </c>
      <c r="F880" s="619">
        <v>25001.984</v>
      </c>
      <c r="G880" s="231" t="s">
        <v>4836</v>
      </c>
      <c r="H880" s="619">
        <v>310.97000000000003</v>
      </c>
      <c r="I880" s="619">
        <v>7774881.9699999997</v>
      </c>
      <c r="J880" s="620">
        <v>4865382959.9499998</v>
      </c>
      <c r="K880" s="621" t="s">
        <v>991</v>
      </c>
      <c r="L880" s="621" t="s">
        <v>4837</v>
      </c>
      <c r="M880" s="621" t="s">
        <v>4838</v>
      </c>
      <c r="N880" s="621" t="s">
        <v>4092</v>
      </c>
      <c r="O880" s="621"/>
      <c r="P880" s="621"/>
    </row>
    <row r="881" spans="1:16">
      <c r="A881" s="232" t="s">
        <v>684</v>
      </c>
      <c r="B881" s="232" t="s">
        <v>1353</v>
      </c>
      <c r="C881" s="622">
        <v>45207</v>
      </c>
      <c r="D881" s="232" t="s">
        <v>4840</v>
      </c>
      <c r="E881" s="231" t="s">
        <v>5074</v>
      </c>
      <c r="F881" s="233">
        <v>500.05099999999999</v>
      </c>
      <c r="G881" s="232" t="s">
        <v>4836</v>
      </c>
      <c r="H881" s="233">
        <v>1610.05</v>
      </c>
      <c r="I881" s="233">
        <v>805107.11</v>
      </c>
      <c r="J881" s="623">
        <v>503821720.89999998</v>
      </c>
      <c r="K881" s="624" t="s">
        <v>991</v>
      </c>
      <c r="L881" s="624" t="s">
        <v>4837</v>
      </c>
      <c r="M881" s="624" t="s">
        <v>4838</v>
      </c>
      <c r="N881" s="624" t="s">
        <v>4092</v>
      </c>
      <c r="O881" s="624"/>
      <c r="P881" s="624"/>
    </row>
    <row r="882" spans="1:16">
      <c r="A882" s="231" t="s">
        <v>684</v>
      </c>
      <c r="B882" s="231" t="s">
        <v>1353</v>
      </c>
      <c r="C882" s="618">
        <v>45207</v>
      </c>
      <c r="D882" s="231" t="s">
        <v>4843</v>
      </c>
      <c r="E882" s="231" t="s">
        <v>5074</v>
      </c>
      <c r="F882" s="619">
        <v>506.40249999999997</v>
      </c>
      <c r="G882" s="231" t="s">
        <v>4836</v>
      </c>
      <c r="H882" s="619">
        <v>1800.15</v>
      </c>
      <c r="I882" s="619">
        <v>911612.16</v>
      </c>
      <c r="J882" s="620">
        <v>570470688.36000001</v>
      </c>
      <c r="K882" s="621" t="s">
        <v>991</v>
      </c>
      <c r="L882" s="621" t="s">
        <v>4837</v>
      </c>
      <c r="M882" s="621" t="s">
        <v>4838</v>
      </c>
      <c r="N882" s="621" t="s">
        <v>4092</v>
      </c>
      <c r="O882" s="621"/>
      <c r="P882" s="621"/>
    </row>
    <row r="883" spans="1:16">
      <c r="A883" s="232" t="s">
        <v>684</v>
      </c>
      <c r="B883" s="232" t="s">
        <v>1353</v>
      </c>
      <c r="C883" s="622">
        <v>45207</v>
      </c>
      <c r="D883" s="232" t="s">
        <v>4844</v>
      </c>
      <c r="E883" s="232"/>
      <c r="F883" s="233">
        <v>1542.32</v>
      </c>
      <c r="G883" s="232" t="s">
        <v>4836</v>
      </c>
      <c r="H883" s="233">
        <v>226.3</v>
      </c>
      <c r="I883" s="233">
        <v>349023.21</v>
      </c>
      <c r="J883" s="623">
        <v>218412521.90000001</v>
      </c>
      <c r="K883" s="624" t="s">
        <v>991</v>
      </c>
      <c r="L883" s="624" t="s">
        <v>4837</v>
      </c>
      <c r="M883" s="624" t="s">
        <v>4838</v>
      </c>
      <c r="N883" s="624" t="s">
        <v>4092</v>
      </c>
      <c r="O883" s="624"/>
      <c r="P883" s="624"/>
    </row>
    <row r="884" spans="1:16">
      <c r="A884" s="231" t="s">
        <v>684</v>
      </c>
      <c r="B884" s="231" t="s">
        <v>1353</v>
      </c>
      <c r="C884" s="618">
        <v>45210</v>
      </c>
      <c r="D884" s="231" t="s">
        <v>4843</v>
      </c>
      <c r="E884" s="231" t="s">
        <v>5074</v>
      </c>
      <c r="F884" s="619">
        <v>199.959</v>
      </c>
      <c r="G884" s="231" t="s">
        <v>4836</v>
      </c>
      <c r="H884" s="619">
        <v>1804.05</v>
      </c>
      <c r="I884" s="619">
        <v>360736.03</v>
      </c>
      <c r="J884" s="620">
        <v>225742196.5</v>
      </c>
      <c r="K884" s="621" t="s">
        <v>991</v>
      </c>
      <c r="L884" s="621" t="s">
        <v>4837</v>
      </c>
      <c r="M884" s="621" t="s">
        <v>4838</v>
      </c>
      <c r="N884" s="621" t="s">
        <v>4092</v>
      </c>
      <c r="O884" s="621"/>
      <c r="P884" s="621"/>
    </row>
    <row r="885" spans="1:16">
      <c r="A885" s="232" t="s">
        <v>684</v>
      </c>
      <c r="B885" s="232" t="s">
        <v>1353</v>
      </c>
      <c r="C885" s="622">
        <v>45210</v>
      </c>
      <c r="D885" s="232" t="s">
        <v>4840</v>
      </c>
      <c r="E885" s="231" t="s">
        <v>5074</v>
      </c>
      <c r="F885" s="233">
        <v>400.00099999999998</v>
      </c>
      <c r="G885" s="232" t="s">
        <v>4836</v>
      </c>
      <c r="H885" s="233">
        <v>1585.05</v>
      </c>
      <c r="I885" s="233">
        <v>634021.59</v>
      </c>
      <c r="J885" s="623">
        <v>396759443.05000001</v>
      </c>
      <c r="K885" s="624" t="s">
        <v>991</v>
      </c>
      <c r="L885" s="624" t="s">
        <v>4837</v>
      </c>
      <c r="M885" s="624" t="s">
        <v>4838</v>
      </c>
      <c r="N885" s="624" t="s">
        <v>4092</v>
      </c>
      <c r="O885" s="624"/>
      <c r="P885" s="624"/>
    </row>
    <row r="886" spans="1:16">
      <c r="A886" s="231" t="s">
        <v>684</v>
      </c>
      <c r="B886" s="231" t="s">
        <v>1353</v>
      </c>
      <c r="C886" s="618">
        <v>45214</v>
      </c>
      <c r="D886" s="231" t="s">
        <v>4843</v>
      </c>
      <c r="E886" s="231" t="s">
        <v>5074</v>
      </c>
      <c r="F886" s="619">
        <v>132.14250000000001</v>
      </c>
      <c r="G886" s="231" t="s">
        <v>4836</v>
      </c>
      <c r="H886" s="619">
        <v>1954</v>
      </c>
      <c r="I886" s="619">
        <v>258209.38</v>
      </c>
      <c r="J886" s="620">
        <v>161078839.68000001</v>
      </c>
      <c r="K886" s="621" t="s">
        <v>991</v>
      </c>
      <c r="L886" s="621" t="s">
        <v>4837</v>
      </c>
      <c r="M886" s="621" t="s">
        <v>4838</v>
      </c>
      <c r="N886" s="621" t="s">
        <v>4092</v>
      </c>
      <c r="O886" s="621"/>
      <c r="P886" s="621"/>
    </row>
    <row r="887" spans="1:16">
      <c r="A887" s="232" t="s">
        <v>684</v>
      </c>
      <c r="B887" s="232" t="s">
        <v>1353</v>
      </c>
      <c r="C887" s="622">
        <v>45214</v>
      </c>
      <c r="D887" s="232" t="s">
        <v>4843</v>
      </c>
      <c r="E887" s="231" t="s">
        <v>5074</v>
      </c>
      <c r="F887" s="233">
        <v>308.29624999999999</v>
      </c>
      <c r="G887" s="232" t="s">
        <v>4836</v>
      </c>
      <c r="H887" s="233">
        <v>1960.32</v>
      </c>
      <c r="I887" s="233">
        <v>604366.66</v>
      </c>
      <c r="J887" s="623">
        <v>377022245.79000002</v>
      </c>
      <c r="K887" s="624" t="s">
        <v>991</v>
      </c>
      <c r="L887" s="624" t="s">
        <v>4837</v>
      </c>
      <c r="M887" s="624" t="s">
        <v>4838</v>
      </c>
      <c r="N887" s="624" t="s">
        <v>4092</v>
      </c>
      <c r="O887" s="624"/>
      <c r="P887" s="624"/>
    </row>
    <row r="888" spans="1:16">
      <c r="A888" s="231" t="s">
        <v>684</v>
      </c>
      <c r="B888" s="231" t="s">
        <v>1353</v>
      </c>
      <c r="C888" s="618">
        <v>45215</v>
      </c>
      <c r="D888" s="231" t="s">
        <v>4841</v>
      </c>
      <c r="E888" s="231" t="s">
        <v>5073</v>
      </c>
      <c r="F888" s="619">
        <v>80</v>
      </c>
      <c r="G888" s="231" t="s">
        <v>4836</v>
      </c>
      <c r="H888" s="619">
        <v>1402.15</v>
      </c>
      <c r="I888" s="619">
        <v>112172</v>
      </c>
      <c r="J888" s="620">
        <v>69932668.329999998</v>
      </c>
      <c r="K888" s="621" t="s">
        <v>991</v>
      </c>
      <c r="L888" s="621" t="s">
        <v>4837</v>
      </c>
      <c r="M888" s="621" t="s">
        <v>4838</v>
      </c>
      <c r="N888" s="621" t="s">
        <v>4092</v>
      </c>
      <c r="O888" s="621"/>
      <c r="P888" s="621"/>
    </row>
    <row r="889" spans="1:16">
      <c r="A889" s="232" t="s">
        <v>684</v>
      </c>
      <c r="B889" s="232" t="s">
        <v>1353</v>
      </c>
      <c r="C889" s="622">
        <v>45216</v>
      </c>
      <c r="D889" s="232" t="s">
        <v>4843</v>
      </c>
      <c r="E889" s="231" t="s">
        <v>5074</v>
      </c>
      <c r="F889" s="233">
        <v>79.998999999999995</v>
      </c>
      <c r="G889" s="232" t="s">
        <v>4836</v>
      </c>
      <c r="H889" s="233">
        <v>1952.35</v>
      </c>
      <c r="I889" s="233">
        <v>156186.04999999999</v>
      </c>
      <c r="J889" s="623">
        <v>97070261.030000001</v>
      </c>
      <c r="K889" s="624" t="s">
        <v>991</v>
      </c>
      <c r="L889" s="624" t="s">
        <v>4837</v>
      </c>
      <c r="M889" s="624" t="s">
        <v>4838</v>
      </c>
      <c r="N889" s="624" t="s">
        <v>4092</v>
      </c>
      <c r="O889" s="624"/>
      <c r="P889" s="624"/>
    </row>
    <row r="890" spans="1:16">
      <c r="A890" s="231" t="s">
        <v>684</v>
      </c>
      <c r="B890" s="231" t="s">
        <v>1353</v>
      </c>
      <c r="C890" s="618">
        <v>45216</v>
      </c>
      <c r="D890" s="231" t="s">
        <v>4843</v>
      </c>
      <c r="E890" s="231" t="s">
        <v>5074</v>
      </c>
      <c r="F890" s="619">
        <v>99.915000000000006</v>
      </c>
      <c r="G890" s="231" t="s">
        <v>4836</v>
      </c>
      <c r="H890" s="619">
        <v>2097.85</v>
      </c>
      <c r="I890" s="619">
        <v>209606.68</v>
      </c>
      <c r="J890" s="620">
        <v>130271398.38</v>
      </c>
      <c r="K890" s="621" t="s">
        <v>991</v>
      </c>
      <c r="L890" s="621" t="s">
        <v>4837</v>
      </c>
      <c r="M890" s="621" t="s">
        <v>4838</v>
      </c>
      <c r="N890" s="621" t="s">
        <v>4092</v>
      </c>
      <c r="O890" s="621"/>
      <c r="P890" s="621"/>
    </row>
    <row r="891" spans="1:16">
      <c r="A891" s="232" t="s">
        <v>684</v>
      </c>
      <c r="B891" s="232" t="s">
        <v>1353</v>
      </c>
      <c r="C891" s="622">
        <v>45217</v>
      </c>
      <c r="D891" s="232" t="s">
        <v>4840</v>
      </c>
      <c r="E891" s="231" t="s">
        <v>5074</v>
      </c>
      <c r="F891" s="233">
        <v>44.082500000000003</v>
      </c>
      <c r="G891" s="232" t="s">
        <v>4836</v>
      </c>
      <c r="H891" s="233">
        <v>1788.65</v>
      </c>
      <c r="I891" s="233">
        <v>78849.06</v>
      </c>
      <c r="J891" s="623">
        <v>48913808.93</v>
      </c>
      <c r="K891" s="624" t="s">
        <v>991</v>
      </c>
      <c r="L891" s="624" t="s">
        <v>4837</v>
      </c>
      <c r="M891" s="624" t="s">
        <v>4838</v>
      </c>
      <c r="N891" s="624" t="s">
        <v>4092</v>
      </c>
      <c r="O891" s="624"/>
      <c r="P891" s="624"/>
    </row>
    <row r="892" spans="1:16">
      <c r="A892" s="231" t="s">
        <v>684</v>
      </c>
      <c r="B892" s="231" t="s">
        <v>1353</v>
      </c>
      <c r="C892" s="618">
        <v>45217</v>
      </c>
      <c r="D892" s="231" t="s">
        <v>4840</v>
      </c>
      <c r="E892" s="231" t="s">
        <v>5074</v>
      </c>
      <c r="F892" s="619">
        <v>599.94399999999996</v>
      </c>
      <c r="G892" s="231" t="s">
        <v>4836</v>
      </c>
      <c r="H892" s="619">
        <v>1610.05</v>
      </c>
      <c r="I892" s="619">
        <v>965939.84</v>
      </c>
      <c r="J892" s="620">
        <v>599218263.02999997</v>
      </c>
      <c r="K892" s="621" t="s">
        <v>991</v>
      </c>
      <c r="L892" s="621" t="s">
        <v>4837</v>
      </c>
      <c r="M892" s="621" t="s">
        <v>4838</v>
      </c>
      <c r="N892" s="621" t="s">
        <v>4092</v>
      </c>
      <c r="O892" s="621"/>
      <c r="P892" s="621"/>
    </row>
    <row r="893" spans="1:16">
      <c r="A893" s="232" t="s">
        <v>684</v>
      </c>
      <c r="B893" s="232" t="s">
        <v>1353</v>
      </c>
      <c r="C893" s="622">
        <v>45217</v>
      </c>
      <c r="D893" s="232" t="s">
        <v>4840</v>
      </c>
      <c r="E893" s="231" t="s">
        <v>5074</v>
      </c>
      <c r="F893" s="233">
        <v>500.00200000000001</v>
      </c>
      <c r="G893" s="232" t="s">
        <v>4836</v>
      </c>
      <c r="H893" s="233">
        <v>1608.4</v>
      </c>
      <c r="I893" s="233">
        <v>804203.22</v>
      </c>
      <c r="J893" s="623">
        <v>498885372.20999998</v>
      </c>
      <c r="K893" s="624" t="s">
        <v>991</v>
      </c>
      <c r="L893" s="624" t="s">
        <v>4837</v>
      </c>
      <c r="M893" s="624" t="s">
        <v>4838</v>
      </c>
      <c r="N893" s="624" t="s">
        <v>4092</v>
      </c>
      <c r="O893" s="624"/>
      <c r="P893" s="624"/>
    </row>
    <row r="894" spans="1:16">
      <c r="A894" s="231" t="s">
        <v>684</v>
      </c>
      <c r="B894" s="231" t="s">
        <v>1353</v>
      </c>
      <c r="C894" s="618">
        <v>45217</v>
      </c>
      <c r="D894" s="231" t="s">
        <v>4843</v>
      </c>
      <c r="E894" s="231" t="s">
        <v>5074</v>
      </c>
      <c r="F894" s="619">
        <v>159.97900000000001</v>
      </c>
      <c r="G894" s="231" t="s">
        <v>4836</v>
      </c>
      <c r="H894" s="619">
        <v>2131.15</v>
      </c>
      <c r="I894" s="619">
        <v>340939.25</v>
      </c>
      <c r="J894" s="620">
        <v>211500775.43000001</v>
      </c>
      <c r="K894" s="621" t="s">
        <v>991</v>
      </c>
      <c r="L894" s="621" t="s">
        <v>4837</v>
      </c>
      <c r="M894" s="621" t="s">
        <v>4838</v>
      </c>
      <c r="N894" s="621" t="s">
        <v>4092</v>
      </c>
      <c r="O894" s="621"/>
      <c r="P894" s="621"/>
    </row>
    <row r="895" spans="1:16">
      <c r="A895" s="232" t="s">
        <v>684</v>
      </c>
      <c r="B895" s="232" t="s">
        <v>1353</v>
      </c>
      <c r="C895" s="622">
        <v>45217</v>
      </c>
      <c r="D895" s="232" t="s">
        <v>4843</v>
      </c>
      <c r="E895" s="231" t="s">
        <v>5074</v>
      </c>
      <c r="F895" s="233">
        <v>160.018</v>
      </c>
      <c r="G895" s="232" t="s">
        <v>4836</v>
      </c>
      <c r="H895" s="233">
        <v>2131.15</v>
      </c>
      <c r="I895" s="233">
        <v>341022.36</v>
      </c>
      <c r="J895" s="623">
        <v>211552332.50999999</v>
      </c>
      <c r="K895" s="624" t="s">
        <v>991</v>
      </c>
      <c r="L895" s="624" t="s">
        <v>4837</v>
      </c>
      <c r="M895" s="624" t="s">
        <v>4838</v>
      </c>
      <c r="N895" s="624" t="s">
        <v>4092</v>
      </c>
      <c r="O895" s="624"/>
      <c r="P895" s="624"/>
    </row>
    <row r="896" spans="1:16">
      <c r="A896" s="231" t="s">
        <v>684</v>
      </c>
      <c r="B896" s="231" t="s">
        <v>1353</v>
      </c>
      <c r="C896" s="618">
        <v>45217</v>
      </c>
      <c r="D896" s="231" t="s">
        <v>4839</v>
      </c>
      <c r="E896" s="231" t="s">
        <v>5073</v>
      </c>
      <c r="F896" s="619">
        <v>100</v>
      </c>
      <c r="G896" s="231" t="s">
        <v>4836</v>
      </c>
      <c r="H896" s="619">
        <v>2063.75</v>
      </c>
      <c r="I896" s="619">
        <v>206375</v>
      </c>
      <c r="J896" s="620">
        <v>128024193.55</v>
      </c>
      <c r="K896" s="621" t="s">
        <v>991</v>
      </c>
      <c r="L896" s="621" t="s">
        <v>4837</v>
      </c>
      <c r="M896" s="621" t="s">
        <v>4838</v>
      </c>
      <c r="N896" s="621" t="s">
        <v>4092</v>
      </c>
      <c r="O896" s="621"/>
      <c r="P896" s="621"/>
    </row>
    <row r="897" spans="1:16">
      <c r="A897" s="232" t="s">
        <v>684</v>
      </c>
      <c r="B897" s="232" t="s">
        <v>1353</v>
      </c>
      <c r="C897" s="622">
        <v>45217</v>
      </c>
      <c r="D897" s="232" t="s">
        <v>4839</v>
      </c>
      <c r="E897" s="231" t="s">
        <v>5073</v>
      </c>
      <c r="F897" s="233">
        <v>100</v>
      </c>
      <c r="G897" s="232" t="s">
        <v>4836</v>
      </c>
      <c r="H897" s="233">
        <v>2063.75</v>
      </c>
      <c r="I897" s="233">
        <v>206375</v>
      </c>
      <c r="J897" s="623">
        <v>128024193.55</v>
      </c>
      <c r="K897" s="624" t="s">
        <v>991</v>
      </c>
      <c r="L897" s="624" t="s">
        <v>4837</v>
      </c>
      <c r="M897" s="624" t="s">
        <v>4838</v>
      </c>
      <c r="N897" s="624" t="s">
        <v>4092</v>
      </c>
      <c r="O897" s="624"/>
      <c r="P897" s="624"/>
    </row>
    <row r="898" spans="1:16">
      <c r="A898" s="231" t="s">
        <v>684</v>
      </c>
      <c r="B898" s="231" t="s">
        <v>1353</v>
      </c>
      <c r="C898" s="618">
        <v>45217</v>
      </c>
      <c r="D898" s="231" t="s">
        <v>4839</v>
      </c>
      <c r="E898" s="231" t="s">
        <v>5073</v>
      </c>
      <c r="F898" s="619">
        <v>80</v>
      </c>
      <c r="G898" s="231" t="s">
        <v>4836</v>
      </c>
      <c r="H898" s="619">
        <v>1960.2</v>
      </c>
      <c r="I898" s="619">
        <v>156816</v>
      </c>
      <c r="J898" s="620">
        <v>97280397.019999996</v>
      </c>
      <c r="K898" s="621" t="s">
        <v>991</v>
      </c>
      <c r="L898" s="621" t="s">
        <v>4837</v>
      </c>
      <c r="M898" s="621" t="s">
        <v>4838</v>
      </c>
      <c r="N898" s="621" t="s">
        <v>4092</v>
      </c>
      <c r="O898" s="621"/>
      <c r="P898" s="621"/>
    </row>
    <row r="899" spans="1:16">
      <c r="A899" s="232" t="s">
        <v>684</v>
      </c>
      <c r="B899" s="232" t="s">
        <v>1353</v>
      </c>
      <c r="C899" s="622">
        <v>45217</v>
      </c>
      <c r="D899" s="232" t="s">
        <v>4841</v>
      </c>
      <c r="E899" s="231" t="s">
        <v>5073</v>
      </c>
      <c r="F899" s="233">
        <v>80</v>
      </c>
      <c r="G899" s="232" t="s">
        <v>4836</v>
      </c>
      <c r="H899" s="233">
        <v>1296.3</v>
      </c>
      <c r="I899" s="233">
        <v>103704</v>
      </c>
      <c r="J899" s="623">
        <v>64332506.200000003</v>
      </c>
      <c r="K899" s="624" t="s">
        <v>991</v>
      </c>
      <c r="L899" s="624" t="s">
        <v>4837</v>
      </c>
      <c r="M899" s="624" t="s">
        <v>4838</v>
      </c>
      <c r="N899" s="624" t="s">
        <v>4092</v>
      </c>
      <c r="O899" s="624"/>
      <c r="P899" s="624"/>
    </row>
    <row r="900" spans="1:16">
      <c r="A900" s="231" t="s">
        <v>684</v>
      </c>
      <c r="B900" s="231" t="s">
        <v>1353</v>
      </c>
      <c r="C900" s="618">
        <v>45217</v>
      </c>
      <c r="D900" s="231" t="s">
        <v>4841</v>
      </c>
      <c r="E900" s="231" t="s">
        <v>5073</v>
      </c>
      <c r="F900" s="619">
        <v>60</v>
      </c>
      <c r="G900" s="231" t="s">
        <v>4836</v>
      </c>
      <c r="H900" s="619">
        <v>1457.5</v>
      </c>
      <c r="I900" s="619">
        <v>87450</v>
      </c>
      <c r="J900" s="620">
        <v>54249379.649999999</v>
      </c>
      <c r="K900" s="621" t="s">
        <v>991</v>
      </c>
      <c r="L900" s="621" t="s">
        <v>4837</v>
      </c>
      <c r="M900" s="621" t="s">
        <v>4838</v>
      </c>
      <c r="N900" s="621" t="s">
        <v>4092</v>
      </c>
      <c r="O900" s="621"/>
      <c r="P900" s="621"/>
    </row>
    <row r="901" spans="1:16">
      <c r="A901" s="232" t="s">
        <v>684</v>
      </c>
      <c r="B901" s="232" t="s">
        <v>1353</v>
      </c>
      <c r="C901" s="622">
        <v>45219</v>
      </c>
      <c r="D901" s="232" t="s">
        <v>4841</v>
      </c>
      <c r="E901" s="231" t="s">
        <v>5073</v>
      </c>
      <c r="F901" s="233">
        <v>40</v>
      </c>
      <c r="G901" s="232" t="s">
        <v>4836</v>
      </c>
      <c r="H901" s="233">
        <v>1445.26</v>
      </c>
      <c r="I901" s="233">
        <v>57810.35</v>
      </c>
      <c r="J901" s="623">
        <v>35974082.140000001</v>
      </c>
      <c r="K901" s="624" t="s">
        <v>991</v>
      </c>
      <c r="L901" s="624" t="s">
        <v>4837</v>
      </c>
      <c r="M901" s="624" t="s">
        <v>4838</v>
      </c>
      <c r="N901" s="624" t="s">
        <v>4092</v>
      </c>
      <c r="O901" s="624"/>
      <c r="P901" s="624"/>
    </row>
    <row r="902" spans="1:16">
      <c r="A902" s="231" t="s">
        <v>684</v>
      </c>
      <c r="B902" s="231" t="s">
        <v>1353</v>
      </c>
      <c r="C902" s="618">
        <v>45219</v>
      </c>
      <c r="D902" s="231" t="s">
        <v>4843</v>
      </c>
      <c r="E902" s="231" t="s">
        <v>5074</v>
      </c>
      <c r="F902" s="619">
        <v>154.1925</v>
      </c>
      <c r="G902" s="231" t="s">
        <v>4836</v>
      </c>
      <c r="H902" s="619">
        <v>1947.14</v>
      </c>
      <c r="I902" s="619">
        <v>300237.31</v>
      </c>
      <c r="J902" s="620">
        <v>186830933.41999999</v>
      </c>
      <c r="K902" s="621" t="s">
        <v>991</v>
      </c>
      <c r="L902" s="621" t="s">
        <v>4837</v>
      </c>
      <c r="M902" s="621" t="s">
        <v>4838</v>
      </c>
      <c r="N902" s="621" t="s">
        <v>4092</v>
      </c>
      <c r="O902" s="621"/>
      <c r="P902" s="621"/>
    </row>
    <row r="903" spans="1:16">
      <c r="A903" s="232" t="s">
        <v>684</v>
      </c>
      <c r="B903" s="232" t="s">
        <v>1353</v>
      </c>
      <c r="C903" s="622">
        <v>45220</v>
      </c>
      <c r="D903" s="232" t="s">
        <v>4839</v>
      </c>
      <c r="E903" s="231" t="s">
        <v>5073</v>
      </c>
      <c r="F903" s="233">
        <v>80</v>
      </c>
      <c r="G903" s="232" t="s">
        <v>4836</v>
      </c>
      <c r="H903" s="233">
        <v>1973.95</v>
      </c>
      <c r="I903" s="233">
        <v>163348</v>
      </c>
      <c r="J903" s="623">
        <v>101081683.17</v>
      </c>
      <c r="K903" s="624" t="s">
        <v>991</v>
      </c>
      <c r="L903" s="624" t="s">
        <v>4837</v>
      </c>
      <c r="M903" s="624" t="s">
        <v>4838</v>
      </c>
      <c r="N903" s="624" t="s">
        <v>4092</v>
      </c>
      <c r="O903" s="624"/>
      <c r="P903" s="624"/>
    </row>
    <row r="904" spans="1:16">
      <c r="A904" s="231" t="s">
        <v>684</v>
      </c>
      <c r="B904" s="231" t="s">
        <v>1353</v>
      </c>
      <c r="C904" s="618">
        <v>45220</v>
      </c>
      <c r="D904" s="231" t="s">
        <v>4841</v>
      </c>
      <c r="E904" s="231" t="s">
        <v>5073</v>
      </c>
      <c r="F904" s="619">
        <v>60</v>
      </c>
      <c r="G904" s="231" t="s">
        <v>4836</v>
      </c>
      <c r="H904" s="619">
        <v>1345.9</v>
      </c>
      <c r="I904" s="619">
        <v>80754</v>
      </c>
      <c r="J904" s="620">
        <v>49971534.649999999</v>
      </c>
      <c r="K904" s="621" t="s">
        <v>991</v>
      </c>
      <c r="L904" s="621" t="s">
        <v>4837</v>
      </c>
      <c r="M904" s="621" t="s">
        <v>4838</v>
      </c>
      <c r="N904" s="621" t="s">
        <v>4092</v>
      </c>
      <c r="O904" s="621"/>
      <c r="P904" s="621"/>
    </row>
    <row r="905" spans="1:16">
      <c r="A905" s="232" t="s">
        <v>684</v>
      </c>
      <c r="B905" s="232" t="s">
        <v>1353</v>
      </c>
      <c r="C905" s="622">
        <v>45224</v>
      </c>
      <c r="D905" s="232" t="s">
        <v>4840</v>
      </c>
      <c r="E905" s="231" t="s">
        <v>5074</v>
      </c>
      <c r="F905" s="233">
        <v>19.998000000000001</v>
      </c>
      <c r="G905" s="232" t="s">
        <v>4836</v>
      </c>
      <c r="H905" s="233">
        <v>1764.31</v>
      </c>
      <c r="I905" s="233">
        <v>35282.629999999997</v>
      </c>
      <c r="J905" s="623">
        <v>21846829.719999999</v>
      </c>
      <c r="K905" s="624" t="s">
        <v>991</v>
      </c>
      <c r="L905" s="624" t="s">
        <v>4837</v>
      </c>
      <c r="M905" s="624" t="s">
        <v>4838</v>
      </c>
      <c r="N905" s="624" t="s">
        <v>4092</v>
      </c>
      <c r="O905" s="624"/>
      <c r="P905" s="624"/>
    </row>
    <row r="906" spans="1:16">
      <c r="A906" s="231" t="s">
        <v>684</v>
      </c>
      <c r="B906" s="231" t="s">
        <v>1353</v>
      </c>
      <c r="C906" s="618">
        <v>45224</v>
      </c>
      <c r="D906" s="231" t="s">
        <v>4840</v>
      </c>
      <c r="E906" s="231" t="s">
        <v>5074</v>
      </c>
      <c r="F906" s="619">
        <v>10</v>
      </c>
      <c r="G906" s="231" t="s">
        <v>4836</v>
      </c>
      <c r="H906" s="619">
        <v>1869.25</v>
      </c>
      <c r="I906" s="619">
        <v>18692.5</v>
      </c>
      <c r="J906" s="620">
        <v>11574303.41</v>
      </c>
      <c r="K906" s="621" t="s">
        <v>991</v>
      </c>
      <c r="L906" s="621" t="s">
        <v>4837</v>
      </c>
      <c r="M906" s="621" t="s">
        <v>4838</v>
      </c>
      <c r="N906" s="621" t="s">
        <v>4092</v>
      </c>
      <c r="O906" s="621"/>
      <c r="P906" s="621"/>
    </row>
    <row r="907" spans="1:16">
      <c r="A907" s="232" t="s">
        <v>684</v>
      </c>
      <c r="B907" s="232" t="s">
        <v>1353</v>
      </c>
      <c r="C907" s="622">
        <v>45224</v>
      </c>
      <c r="D907" s="232" t="s">
        <v>4843</v>
      </c>
      <c r="E907" s="231" t="s">
        <v>5074</v>
      </c>
      <c r="F907" s="233">
        <v>9.9979999999999993</v>
      </c>
      <c r="G907" s="232" t="s">
        <v>4836</v>
      </c>
      <c r="H907" s="233">
        <v>1946.85</v>
      </c>
      <c r="I907" s="233">
        <v>19464.61</v>
      </c>
      <c r="J907" s="623">
        <v>12052390.09</v>
      </c>
      <c r="K907" s="624" t="s">
        <v>991</v>
      </c>
      <c r="L907" s="624" t="s">
        <v>4837</v>
      </c>
      <c r="M907" s="624" t="s">
        <v>4838</v>
      </c>
      <c r="N907" s="624" t="s">
        <v>4092</v>
      </c>
      <c r="O907" s="624"/>
      <c r="P907" s="624"/>
    </row>
    <row r="908" spans="1:16">
      <c r="A908" s="231" t="s">
        <v>684</v>
      </c>
      <c r="B908" s="231" t="s">
        <v>1353</v>
      </c>
      <c r="C908" s="618">
        <v>45224</v>
      </c>
      <c r="D908" s="231" t="s">
        <v>4843</v>
      </c>
      <c r="E908" s="231" t="s">
        <v>5074</v>
      </c>
      <c r="F908" s="619">
        <v>100.01600000000001</v>
      </c>
      <c r="G908" s="231" t="s">
        <v>4836</v>
      </c>
      <c r="H908" s="619">
        <v>1946.85</v>
      </c>
      <c r="I908" s="619">
        <v>194716.15</v>
      </c>
      <c r="J908" s="620">
        <v>120567275.54000001</v>
      </c>
      <c r="K908" s="621" t="s">
        <v>991</v>
      </c>
      <c r="L908" s="621" t="s">
        <v>4837</v>
      </c>
      <c r="M908" s="621" t="s">
        <v>4838</v>
      </c>
      <c r="N908" s="621" t="s">
        <v>4092</v>
      </c>
      <c r="O908" s="621"/>
      <c r="P908" s="621"/>
    </row>
    <row r="909" spans="1:16">
      <c r="A909" s="232" t="s">
        <v>684</v>
      </c>
      <c r="B909" s="232" t="s">
        <v>1353</v>
      </c>
      <c r="C909" s="622">
        <v>45224</v>
      </c>
      <c r="D909" s="232" t="s">
        <v>4843</v>
      </c>
      <c r="E909" s="231" t="s">
        <v>5074</v>
      </c>
      <c r="F909" s="233">
        <v>110.175</v>
      </c>
      <c r="G909" s="232" t="s">
        <v>4836</v>
      </c>
      <c r="H909" s="233">
        <v>1783.75</v>
      </c>
      <c r="I909" s="233">
        <v>196526.44</v>
      </c>
      <c r="J909" s="623">
        <v>121688198.14</v>
      </c>
      <c r="K909" s="624" t="s">
        <v>991</v>
      </c>
      <c r="L909" s="624" t="s">
        <v>4837</v>
      </c>
      <c r="M909" s="624" t="s">
        <v>4838</v>
      </c>
      <c r="N909" s="624" t="s">
        <v>4092</v>
      </c>
      <c r="O909" s="624"/>
      <c r="P909" s="624"/>
    </row>
    <row r="910" spans="1:16">
      <c r="A910" s="231" t="s">
        <v>684</v>
      </c>
      <c r="B910" s="231" t="s">
        <v>1353</v>
      </c>
      <c r="C910" s="618">
        <v>45224</v>
      </c>
      <c r="D910" s="231" t="s">
        <v>4843</v>
      </c>
      <c r="E910" s="231" t="s">
        <v>5074</v>
      </c>
      <c r="F910" s="619">
        <v>1000.202</v>
      </c>
      <c r="G910" s="231" t="s">
        <v>4836</v>
      </c>
      <c r="H910" s="619">
        <v>1824.72</v>
      </c>
      <c r="I910" s="619">
        <v>1825088.59</v>
      </c>
      <c r="J910" s="620">
        <v>1130085814.24</v>
      </c>
      <c r="K910" s="621" t="s">
        <v>991</v>
      </c>
      <c r="L910" s="621" t="s">
        <v>4837</v>
      </c>
      <c r="M910" s="621" t="s">
        <v>4838</v>
      </c>
      <c r="N910" s="621" t="s">
        <v>4092</v>
      </c>
      <c r="O910" s="621"/>
      <c r="P910" s="621"/>
    </row>
    <row r="911" spans="1:16">
      <c r="A911" s="232" t="s">
        <v>684</v>
      </c>
      <c r="B911" s="232" t="s">
        <v>1353</v>
      </c>
      <c r="C911" s="622">
        <v>45224</v>
      </c>
      <c r="D911" s="232" t="s">
        <v>4839</v>
      </c>
      <c r="E911" s="231" t="s">
        <v>5073</v>
      </c>
      <c r="F911" s="233">
        <v>100</v>
      </c>
      <c r="G911" s="232" t="s">
        <v>4836</v>
      </c>
      <c r="H911" s="233">
        <v>1957.09</v>
      </c>
      <c r="I911" s="233">
        <v>195709.17</v>
      </c>
      <c r="J911" s="623">
        <v>121182148.61</v>
      </c>
      <c r="K911" s="624" t="s">
        <v>991</v>
      </c>
      <c r="L911" s="624" t="s">
        <v>4837</v>
      </c>
      <c r="M911" s="624" t="s">
        <v>4838</v>
      </c>
      <c r="N911" s="624" t="s">
        <v>4092</v>
      </c>
      <c r="O911" s="624"/>
      <c r="P911" s="624"/>
    </row>
    <row r="912" spans="1:16">
      <c r="A912" s="231" t="s">
        <v>684</v>
      </c>
      <c r="B912" s="231" t="s">
        <v>1353</v>
      </c>
      <c r="C912" s="618">
        <v>45225</v>
      </c>
      <c r="D912" s="231" t="s">
        <v>4840</v>
      </c>
      <c r="E912" s="231" t="s">
        <v>5074</v>
      </c>
      <c r="F912" s="619">
        <v>220.27500000000001</v>
      </c>
      <c r="G912" s="231" t="s">
        <v>4836</v>
      </c>
      <c r="H912" s="619">
        <v>1760</v>
      </c>
      <c r="I912" s="619">
        <v>387687.52</v>
      </c>
      <c r="J912" s="620">
        <v>240650229.66999999</v>
      </c>
      <c r="K912" s="621" t="s">
        <v>991</v>
      </c>
      <c r="L912" s="621" t="s">
        <v>4837</v>
      </c>
      <c r="M912" s="621" t="s">
        <v>4838</v>
      </c>
      <c r="N912" s="621" t="s">
        <v>4092</v>
      </c>
      <c r="O912" s="621"/>
      <c r="P912" s="621"/>
    </row>
    <row r="913" spans="1:16">
      <c r="A913" s="232" t="s">
        <v>684</v>
      </c>
      <c r="B913" s="232" t="s">
        <v>1353</v>
      </c>
      <c r="C913" s="622">
        <v>45227</v>
      </c>
      <c r="D913" s="232" t="s">
        <v>4840</v>
      </c>
      <c r="E913" s="231" t="s">
        <v>5074</v>
      </c>
      <c r="F913" s="233">
        <v>176.39125000000001</v>
      </c>
      <c r="G913" s="232" t="s">
        <v>4836</v>
      </c>
      <c r="H913" s="233">
        <v>1779.4</v>
      </c>
      <c r="I913" s="233">
        <v>313871.92</v>
      </c>
      <c r="J913" s="623">
        <v>194830490.38</v>
      </c>
      <c r="K913" s="624" t="s">
        <v>991</v>
      </c>
      <c r="L913" s="624" t="s">
        <v>4837</v>
      </c>
      <c r="M913" s="624" t="s">
        <v>4838</v>
      </c>
      <c r="N913" s="624" t="s">
        <v>4092</v>
      </c>
      <c r="O913" s="624"/>
      <c r="P913" s="624"/>
    </row>
    <row r="914" spans="1:16">
      <c r="A914" s="231" t="s">
        <v>684</v>
      </c>
      <c r="B914" s="231" t="s">
        <v>1353</v>
      </c>
      <c r="C914" s="618">
        <v>45229</v>
      </c>
      <c r="D914" s="231" t="s">
        <v>4839</v>
      </c>
      <c r="E914" s="231" t="s">
        <v>5073</v>
      </c>
      <c r="F914" s="619"/>
      <c r="G914" s="231" t="s">
        <v>4836</v>
      </c>
      <c r="H914" s="619"/>
      <c r="I914" s="619">
        <v>-5432</v>
      </c>
      <c r="J914" s="620">
        <v>-3357231.15</v>
      </c>
      <c r="K914" s="621" t="s">
        <v>991</v>
      </c>
      <c r="L914" s="621" t="s">
        <v>4837</v>
      </c>
      <c r="M914" s="621" t="s">
        <v>4838</v>
      </c>
      <c r="N914" s="621" t="s">
        <v>4092</v>
      </c>
      <c r="O914" s="621"/>
      <c r="P914" s="621"/>
    </row>
    <row r="915" spans="1:16">
      <c r="A915" s="232" t="s">
        <v>684</v>
      </c>
      <c r="B915" s="232" t="s">
        <v>1353</v>
      </c>
      <c r="C915" s="622">
        <v>45229</v>
      </c>
      <c r="D915" s="232" t="s">
        <v>4840</v>
      </c>
      <c r="E915" s="231" t="s">
        <v>5074</v>
      </c>
      <c r="F915" s="233"/>
      <c r="G915" s="232" t="s">
        <v>4836</v>
      </c>
      <c r="H915" s="233"/>
      <c r="I915" s="233">
        <v>-252014.7</v>
      </c>
      <c r="J915" s="623">
        <v>-156530869.56999999</v>
      </c>
      <c r="K915" s="624" t="s">
        <v>991</v>
      </c>
      <c r="L915" s="624" t="s">
        <v>4837</v>
      </c>
      <c r="M915" s="624" t="s">
        <v>4838</v>
      </c>
      <c r="N915" s="624" t="s">
        <v>4092</v>
      </c>
      <c r="O915" s="624"/>
      <c r="P915" s="624"/>
    </row>
    <row r="916" spans="1:16">
      <c r="A916" s="231" t="s">
        <v>684</v>
      </c>
      <c r="B916" s="231" t="s">
        <v>1353</v>
      </c>
      <c r="C916" s="618">
        <v>45229</v>
      </c>
      <c r="D916" s="231" t="s">
        <v>4840</v>
      </c>
      <c r="E916" s="231" t="s">
        <v>5074</v>
      </c>
      <c r="F916" s="619"/>
      <c r="G916" s="231" t="s">
        <v>4836</v>
      </c>
      <c r="H916" s="619"/>
      <c r="I916" s="619">
        <v>238860.73</v>
      </c>
      <c r="J916" s="620">
        <v>148360701.86000001</v>
      </c>
      <c r="K916" s="621" t="s">
        <v>991</v>
      </c>
      <c r="L916" s="621" t="s">
        <v>4837</v>
      </c>
      <c r="M916" s="621" t="s">
        <v>4838</v>
      </c>
      <c r="N916" s="621" t="s">
        <v>4092</v>
      </c>
      <c r="O916" s="621"/>
      <c r="P916" s="621"/>
    </row>
    <row r="917" spans="1:16">
      <c r="A917" s="232" t="s">
        <v>684</v>
      </c>
      <c r="B917" s="232" t="s">
        <v>1353</v>
      </c>
      <c r="C917" s="622">
        <v>45229</v>
      </c>
      <c r="D917" s="232" t="s">
        <v>4840</v>
      </c>
      <c r="E917" s="231" t="s">
        <v>5074</v>
      </c>
      <c r="F917" s="233"/>
      <c r="G917" s="232" t="s">
        <v>4836</v>
      </c>
      <c r="H917" s="233"/>
      <c r="I917" s="233">
        <v>-238860.73</v>
      </c>
      <c r="J917" s="623">
        <v>-148176631.50999999</v>
      </c>
      <c r="K917" s="624" t="s">
        <v>991</v>
      </c>
      <c r="L917" s="624" t="s">
        <v>4837</v>
      </c>
      <c r="M917" s="624" t="s">
        <v>4838</v>
      </c>
      <c r="N917" s="624" t="s">
        <v>4092</v>
      </c>
      <c r="O917" s="624"/>
      <c r="P917" s="624"/>
    </row>
    <row r="918" spans="1:16">
      <c r="A918" s="231" t="s">
        <v>684</v>
      </c>
      <c r="B918" s="231" t="s">
        <v>1353</v>
      </c>
      <c r="C918" s="618">
        <v>45230</v>
      </c>
      <c r="D918" s="231" t="s">
        <v>4846</v>
      </c>
      <c r="E918" s="231" t="s">
        <v>5073</v>
      </c>
      <c r="F918" s="619"/>
      <c r="G918" s="231" t="s">
        <v>4836</v>
      </c>
      <c r="H918" s="619"/>
      <c r="I918" s="619">
        <v>41544.1</v>
      </c>
      <c r="J918" s="620">
        <v>25673031.760000002</v>
      </c>
      <c r="K918" s="621" t="s">
        <v>991</v>
      </c>
      <c r="L918" s="621" t="s">
        <v>4837</v>
      </c>
      <c r="M918" s="621" t="s">
        <v>4838</v>
      </c>
      <c r="N918" s="621" t="s">
        <v>4092</v>
      </c>
      <c r="O918" s="621"/>
      <c r="P918" s="621"/>
    </row>
    <row r="919" spans="1:16">
      <c r="A919" s="232" t="s">
        <v>684</v>
      </c>
      <c r="B919" s="232" t="s">
        <v>1353</v>
      </c>
      <c r="C919" s="622">
        <v>45230</v>
      </c>
      <c r="D919" s="232" t="s">
        <v>4842</v>
      </c>
      <c r="E919" s="231" t="s">
        <v>5073</v>
      </c>
      <c r="F919" s="233"/>
      <c r="G919" s="232" t="s">
        <v>4836</v>
      </c>
      <c r="H919" s="233"/>
      <c r="I919" s="233">
        <v>14960.72</v>
      </c>
      <c r="J919" s="623">
        <v>9245284.8800000008</v>
      </c>
      <c r="K919" s="624" t="s">
        <v>991</v>
      </c>
      <c r="L919" s="624" t="s">
        <v>4837</v>
      </c>
      <c r="M919" s="624" t="s">
        <v>4838</v>
      </c>
      <c r="N919" s="624" t="s">
        <v>4092</v>
      </c>
      <c r="O919" s="624"/>
      <c r="P919" s="624"/>
    </row>
    <row r="920" spans="1:16">
      <c r="A920" s="231" t="s">
        <v>684</v>
      </c>
      <c r="B920" s="231" t="s">
        <v>1353</v>
      </c>
      <c r="C920" s="618">
        <v>45230</v>
      </c>
      <c r="D920" s="231" t="s">
        <v>4835</v>
      </c>
      <c r="E920" s="231" t="s">
        <v>5073</v>
      </c>
      <c r="F920" s="619"/>
      <c r="G920" s="231" t="s">
        <v>4836</v>
      </c>
      <c r="H920" s="619"/>
      <c r="I920" s="619">
        <v>118863.12999999998</v>
      </c>
      <c r="J920" s="620">
        <v>73453917.930000007</v>
      </c>
      <c r="K920" s="621" t="s">
        <v>991</v>
      </c>
      <c r="L920" s="621" t="s">
        <v>4837</v>
      </c>
      <c r="M920" s="621" t="s">
        <v>4838</v>
      </c>
      <c r="N920" s="621" t="s">
        <v>4092</v>
      </c>
      <c r="O920" s="621"/>
      <c r="P920" s="621"/>
    </row>
    <row r="921" spans="1:16">
      <c r="A921" s="232" t="s">
        <v>684</v>
      </c>
      <c r="B921" s="232" t="s">
        <v>1353</v>
      </c>
      <c r="C921" s="622">
        <v>45230</v>
      </c>
      <c r="D921" s="232" t="s">
        <v>4840</v>
      </c>
      <c r="E921" s="231" t="s">
        <v>5074</v>
      </c>
      <c r="F921" s="233"/>
      <c r="G921" s="232" t="s">
        <v>4836</v>
      </c>
      <c r="H921" s="233"/>
      <c r="I921" s="233">
        <v>-431173.82000000007</v>
      </c>
      <c r="J921" s="623">
        <v>-266452737.61000001</v>
      </c>
      <c r="K921" s="624" t="s">
        <v>991</v>
      </c>
      <c r="L921" s="624" t="s">
        <v>4837</v>
      </c>
      <c r="M921" s="624" t="s">
        <v>4838</v>
      </c>
      <c r="N921" s="624" t="s">
        <v>4092</v>
      </c>
      <c r="O921" s="624"/>
      <c r="P921" s="624"/>
    </row>
    <row r="922" spans="1:16">
      <c r="A922" s="231" t="s">
        <v>684</v>
      </c>
      <c r="B922" s="231" t="s">
        <v>1353</v>
      </c>
      <c r="C922" s="618">
        <v>45230</v>
      </c>
      <c r="D922" s="231" t="s">
        <v>4843</v>
      </c>
      <c r="E922" s="231" t="s">
        <v>5074</v>
      </c>
      <c r="F922" s="619"/>
      <c r="G922" s="231" t="s">
        <v>4836</v>
      </c>
      <c r="H922" s="619"/>
      <c r="I922" s="619">
        <v>-766484.28</v>
      </c>
      <c r="J922" s="620">
        <v>-473664738.60000002</v>
      </c>
      <c r="K922" s="621" t="s">
        <v>991</v>
      </c>
      <c r="L922" s="621" t="s">
        <v>4837</v>
      </c>
      <c r="M922" s="621" t="s">
        <v>4838</v>
      </c>
      <c r="N922" s="621" t="s">
        <v>4092</v>
      </c>
      <c r="O922" s="621"/>
      <c r="P922" s="621"/>
    </row>
    <row r="923" spans="1:16">
      <c r="A923" s="232" t="s">
        <v>684</v>
      </c>
      <c r="B923" s="232" t="s">
        <v>1353</v>
      </c>
      <c r="C923" s="622">
        <v>45230</v>
      </c>
      <c r="D923" s="232" t="s">
        <v>4839</v>
      </c>
      <c r="E923" s="231" t="s">
        <v>5073</v>
      </c>
      <c r="F923" s="233"/>
      <c r="G923" s="232" t="s">
        <v>4836</v>
      </c>
      <c r="H923" s="233"/>
      <c r="I923" s="233">
        <v>-10284.640000000001</v>
      </c>
      <c r="J923" s="623">
        <v>-6355604.9900000002</v>
      </c>
      <c r="K923" s="624" t="s">
        <v>991</v>
      </c>
      <c r="L923" s="624" t="s">
        <v>4837</v>
      </c>
      <c r="M923" s="624" t="s">
        <v>4838</v>
      </c>
      <c r="N923" s="624" t="s">
        <v>4092</v>
      </c>
      <c r="O923" s="624"/>
      <c r="P923" s="624"/>
    </row>
    <row r="924" spans="1:16">
      <c r="A924" s="231" t="s">
        <v>684</v>
      </c>
      <c r="B924" s="231" t="s">
        <v>1353</v>
      </c>
      <c r="C924" s="618">
        <v>45230</v>
      </c>
      <c r="D924" s="231" t="s">
        <v>4841</v>
      </c>
      <c r="E924" s="231" t="s">
        <v>5073</v>
      </c>
      <c r="F924" s="619"/>
      <c r="G924" s="231" t="s">
        <v>4836</v>
      </c>
      <c r="H924" s="619"/>
      <c r="I924" s="619">
        <v>-310134.38000000006</v>
      </c>
      <c r="J924" s="620">
        <v>-191653924.09999999</v>
      </c>
      <c r="K924" s="621" t="s">
        <v>991</v>
      </c>
      <c r="L924" s="621" t="s">
        <v>4837</v>
      </c>
      <c r="M924" s="621" t="s">
        <v>4838</v>
      </c>
      <c r="N924" s="621" t="s">
        <v>4092</v>
      </c>
      <c r="O924" s="621"/>
      <c r="P924" s="621"/>
    </row>
    <row r="925" spans="1:16">
      <c r="A925" s="232" t="s">
        <v>684</v>
      </c>
      <c r="B925" s="232" t="s">
        <v>1353</v>
      </c>
      <c r="C925" s="622">
        <v>45230</v>
      </c>
      <c r="D925" s="232" t="s">
        <v>4844</v>
      </c>
      <c r="E925" s="232"/>
      <c r="F925" s="233"/>
      <c r="G925" s="232" t="s">
        <v>4836</v>
      </c>
      <c r="H925" s="233"/>
      <c r="I925" s="233">
        <v>-278380.37000000005</v>
      </c>
      <c r="J925" s="623">
        <v>-172030879.99000001</v>
      </c>
      <c r="K925" s="624" t="s">
        <v>991</v>
      </c>
      <c r="L925" s="624" t="s">
        <v>4837</v>
      </c>
      <c r="M925" s="624" t="s">
        <v>4838</v>
      </c>
      <c r="N925" s="624" t="s">
        <v>4092</v>
      </c>
      <c r="O925" s="624"/>
      <c r="P925" s="624"/>
    </row>
    <row r="926" spans="1:16">
      <c r="A926" s="231" t="s">
        <v>684</v>
      </c>
      <c r="B926" s="231" t="s">
        <v>1353</v>
      </c>
      <c r="C926" s="618">
        <v>45230</v>
      </c>
      <c r="D926" s="231" t="s">
        <v>4846</v>
      </c>
      <c r="E926" s="231" t="s">
        <v>5073</v>
      </c>
      <c r="F926" s="619"/>
      <c r="G926" s="231" t="s">
        <v>4836</v>
      </c>
      <c r="H926" s="619"/>
      <c r="I926" s="619">
        <v>69815.5</v>
      </c>
      <c r="J926" s="620">
        <v>43283818.049999997</v>
      </c>
      <c r="K926" s="621" t="s">
        <v>991</v>
      </c>
      <c r="L926" s="621" t="s">
        <v>4837</v>
      </c>
      <c r="M926" s="621" t="s">
        <v>4838</v>
      </c>
      <c r="N926" s="621" t="s">
        <v>4092</v>
      </c>
      <c r="O926" s="621"/>
      <c r="P926" s="621"/>
    </row>
    <row r="927" spans="1:16">
      <c r="A927" s="232" t="s">
        <v>684</v>
      </c>
      <c r="B927" s="232" t="s">
        <v>1353</v>
      </c>
      <c r="C927" s="622">
        <v>45230</v>
      </c>
      <c r="D927" s="232" t="s">
        <v>4842</v>
      </c>
      <c r="E927" s="231" t="s">
        <v>5073</v>
      </c>
      <c r="F927" s="233"/>
      <c r="G927" s="232" t="s">
        <v>4836</v>
      </c>
      <c r="H927" s="233"/>
      <c r="I927" s="233">
        <v>-38.06</v>
      </c>
      <c r="J927" s="623">
        <v>-23596.22</v>
      </c>
      <c r="K927" s="624" t="s">
        <v>991</v>
      </c>
      <c r="L927" s="624" t="s">
        <v>4837</v>
      </c>
      <c r="M927" s="624" t="s">
        <v>4838</v>
      </c>
      <c r="N927" s="624" t="s">
        <v>4092</v>
      </c>
      <c r="O927" s="624"/>
      <c r="P927" s="624"/>
    </row>
    <row r="928" spans="1:16">
      <c r="A928" s="231" t="s">
        <v>684</v>
      </c>
      <c r="B928" s="231" t="s">
        <v>1353</v>
      </c>
      <c r="C928" s="618">
        <v>45230</v>
      </c>
      <c r="D928" s="231" t="s">
        <v>4835</v>
      </c>
      <c r="E928" s="231" t="s">
        <v>5073</v>
      </c>
      <c r="F928" s="619"/>
      <c r="G928" s="231" t="s">
        <v>4836</v>
      </c>
      <c r="H928" s="619"/>
      <c r="I928" s="619">
        <v>-929571.2</v>
      </c>
      <c r="J928" s="620">
        <v>-576310284.75</v>
      </c>
      <c r="K928" s="621" t="s">
        <v>991</v>
      </c>
      <c r="L928" s="621" t="s">
        <v>4837</v>
      </c>
      <c r="M928" s="621" t="s">
        <v>4838</v>
      </c>
      <c r="N928" s="621" t="s">
        <v>4092</v>
      </c>
      <c r="O928" s="621"/>
      <c r="P928" s="621"/>
    </row>
    <row r="929" spans="1:16">
      <c r="A929" s="232" t="s">
        <v>684</v>
      </c>
      <c r="B929" s="232" t="s">
        <v>1353</v>
      </c>
      <c r="C929" s="622">
        <v>45230</v>
      </c>
      <c r="D929" s="232" t="s">
        <v>4840</v>
      </c>
      <c r="E929" s="231" t="s">
        <v>5074</v>
      </c>
      <c r="F929" s="233"/>
      <c r="G929" s="232" t="s">
        <v>4836</v>
      </c>
      <c r="H929" s="233"/>
      <c r="I929" s="233">
        <v>325855.44000000006</v>
      </c>
      <c r="J929" s="623">
        <v>202022009.09</v>
      </c>
      <c r="K929" s="624" t="s">
        <v>991</v>
      </c>
      <c r="L929" s="624" t="s">
        <v>4837</v>
      </c>
      <c r="M929" s="624" t="s">
        <v>4838</v>
      </c>
      <c r="N929" s="624" t="s">
        <v>4092</v>
      </c>
      <c r="O929" s="624"/>
      <c r="P929" s="624"/>
    </row>
    <row r="930" spans="1:16">
      <c r="A930" s="231" t="s">
        <v>684</v>
      </c>
      <c r="B930" s="231" t="s">
        <v>1353</v>
      </c>
      <c r="C930" s="618">
        <v>45230</v>
      </c>
      <c r="D930" s="231" t="s">
        <v>4843</v>
      </c>
      <c r="E930" s="231" t="s">
        <v>5074</v>
      </c>
      <c r="F930" s="619"/>
      <c r="G930" s="231" t="s">
        <v>4836</v>
      </c>
      <c r="H930" s="619"/>
      <c r="I930" s="619">
        <v>130802.42000000001</v>
      </c>
      <c r="J930" s="620">
        <v>81094143.099999994</v>
      </c>
      <c r="K930" s="621" t="s">
        <v>991</v>
      </c>
      <c r="L930" s="621" t="s">
        <v>4837</v>
      </c>
      <c r="M930" s="621" t="s">
        <v>4838</v>
      </c>
      <c r="N930" s="621" t="s">
        <v>4092</v>
      </c>
      <c r="O930" s="621"/>
      <c r="P930" s="621"/>
    </row>
    <row r="931" spans="1:16">
      <c r="A931" s="232" t="s">
        <v>684</v>
      </c>
      <c r="B931" s="232" t="s">
        <v>1353</v>
      </c>
      <c r="C931" s="622">
        <v>45230</v>
      </c>
      <c r="D931" s="232" t="s">
        <v>4839</v>
      </c>
      <c r="E931" s="231" t="s">
        <v>5073</v>
      </c>
      <c r="F931" s="233"/>
      <c r="G931" s="232" t="s">
        <v>4836</v>
      </c>
      <c r="H931" s="233"/>
      <c r="I931" s="233">
        <v>108219.23000000001</v>
      </c>
      <c r="J931" s="623">
        <v>67093144.939999998</v>
      </c>
      <c r="K931" s="624" t="s">
        <v>991</v>
      </c>
      <c r="L931" s="624" t="s">
        <v>4837</v>
      </c>
      <c r="M931" s="624" t="s">
        <v>4838</v>
      </c>
      <c r="N931" s="624" t="s">
        <v>4092</v>
      </c>
      <c r="O931" s="624"/>
      <c r="P931" s="624"/>
    </row>
    <row r="932" spans="1:16">
      <c r="A932" s="231" t="s">
        <v>684</v>
      </c>
      <c r="B932" s="231" t="s">
        <v>1353</v>
      </c>
      <c r="C932" s="618">
        <v>45230</v>
      </c>
      <c r="D932" s="231" t="s">
        <v>4841</v>
      </c>
      <c r="E932" s="231" t="s">
        <v>5073</v>
      </c>
      <c r="F932" s="619"/>
      <c r="G932" s="231" t="s">
        <v>4836</v>
      </c>
      <c r="H932" s="619"/>
      <c r="I932" s="619">
        <v>75966.570000000007</v>
      </c>
      <c r="J932" s="620">
        <v>47097323.57</v>
      </c>
      <c r="K932" s="621" t="s">
        <v>991</v>
      </c>
      <c r="L932" s="621" t="s">
        <v>4837</v>
      </c>
      <c r="M932" s="621" t="s">
        <v>4838</v>
      </c>
      <c r="N932" s="621" t="s">
        <v>4092</v>
      </c>
      <c r="O932" s="621"/>
      <c r="P932" s="621"/>
    </row>
    <row r="933" spans="1:16">
      <c r="A933" s="232" t="s">
        <v>684</v>
      </c>
      <c r="B933" s="232" t="s">
        <v>1353</v>
      </c>
      <c r="C933" s="622">
        <v>45230</v>
      </c>
      <c r="D933" s="232" t="s">
        <v>4844</v>
      </c>
      <c r="E933" s="232"/>
      <c r="F933" s="233"/>
      <c r="G933" s="232" t="s">
        <v>4836</v>
      </c>
      <c r="H933" s="233"/>
      <c r="I933" s="233">
        <v>266791.08</v>
      </c>
      <c r="J933" s="623">
        <v>165403621.88999999</v>
      </c>
      <c r="K933" s="624" t="s">
        <v>991</v>
      </c>
      <c r="L933" s="624" t="s">
        <v>4837</v>
      </c>
      <c r="M933" s="624" t="s">
        <v>4838</v>
      </c>
      <c r="N933" s="624" t="s">
        <v>4092</v>
      </c>
      <c r="O933" s="624"/>
      <c r="P933" s="624"/>
    </row>
    <row r="934" spans="1:16">
      <c r="A934" s="231" t="s">
        <v>684</v>
      </c>
      <c r="B934" s="231" t="s">
        <v>1353</v>
      </c>
      <c r="C934" s="618">
        <v>45230</v>
      </c>
      <c r="D934" s="231" t="s">
        <v>4843</v>
      </c>
      <c r="E934" s="231" t="s">
        <v>5074</v>
      </c>
      <c r="F934" s="619"/>
      <c r="G934" s="231" t="s">
        <v>4836</v>
      </c>
      <c r="H934" s="619"/>
      <c r="I934" s="619">
        <v>-402896.58</v>
      </c>
      <c r="J934" s="620">
        <v>-248978235.08000001</v>
      </c>
      <c r="K934" s="621" t="s">
        <v>991</v>
      </c>
      <c r="L934" s="621" t="s">
        <v>4837</v>
      </c>
      <c r="M934" s="621" t="s">
        <v>4838</v>
      </c>
      <c r="N934" s="621" t="s">
        <v>4092</v>
      </c>
      <c r="O934" s="621"/>
      <c r="P934" s="621"/>
    </row>
    <row r="935" spans="1:16">
      <c r="A935" s="232" t="s">
        <v>684</v>
      </c>
      <c r="B935" s="232" t="s">
        <v>1353</v>
      </c>
      <c r="C935" s="622">
        <v>45230</v>
      </c>
      <c r="D935" s="232" t="s">
        <v>4843</v>
      </c>
      <c r="E935" s="231" t="s">
        <v>5074</v>
      </c>
      <c r="F935" s="233"/>
      <c r="G935" s="232" t="s">
        <v>4836</v>
      </c>
      <c r="H935" s="233"/>
      <c r="I935" s="233">
        <v>402896.58</v>
      </c>
      <c r="J935" s="623">
        <v>249009011.12</v>
      </c>
      <c r="K935" s="624" t="s">
        <v>991</v>
      </c>
      <c r="L935" s="624" t="s">
        <v>4837</v>
      </c>
      <c r="M935" s="624" t="s">
        <v>4838</v>
      </c>
      <c r="N935" s="624" t="s">
        <v>4092</v>
      </c>
      <c r="O935" s="624"/>
      <c r="P935" s="624"/>
    </row>
    <row r="936" spans="1:16">
      <c r="A936" s="231" t="s">
        <v>684</v>
      </c>
      <c r="B936" s="231" t="s">
        <v>1353</v>
      </c>
      <c r="C936" s="618">
        <v>45230</v>
      </c>
      <c r="D936" s="231" t="s">
        <v>4840</v>
      </c>
      <c r="E936" s="231" t="s">
        <v>5074</v>
      </c>
      <c r="F936" s="619"/>
      <c r="G936" s="231" t="s">
        <v>4836</v>
      </c>
      <c r="H936" s="619"/>
      <c r="I936" s="619">
        <v>252014.7</v>
      </c>
      <c r="J936" s="620">
        <v>153386914.18000001</v>
      </c>
      <c r="K936" s="621" t="s">
        <v>991</v>
      </c>
      <c r="L936" s="621" t="s">
        <v>4837</v>
      </c>
      <c r="M936" s="621" t="s">
        <v>4838</v>
      </c>
      <c r="N936" s="621" t="s">
        <v>4092</v>
      </c>
      <c r="O936" s="621"/>
      <c r="P936" s="621"/>
    </row>
    <row r="937" spans="1:16">
      <c r="A937" s="232" t="s">
        <v>684</v>
      </c>
      <c r="B937" s="232" t="s">
        <v>1353</v>
      </c>
      <c r="C937" s="622">
        <v>45230</v>
      </c>
      <c r="D937" s="232" t="s">
        <v>4840</v>
      </c>
      <c r="E937" s="231" t="s">
        <v>5074</v>
      </c>
      <c r="F937" s="233">
        <v>59.985999999999997</v>
      </c>
      <c r="G937" s="232" t="s">
        <v>4836</v>
      </c>
      <c r="H937" s="233">
        <v>1736.8</v>
      </c>
      <c r="I937" s="233">
        <v>101274.36</v>
      </c>
      <c r="J937" s="623">
        <v>62592311.5</v>
      </c>
      <c r="K937" s="624" t="s">
        <v>991</v>
      </c>
      <c r="L937" s="624" t="s">
        <v>4837</v>
      </c>
      <c r="M937" s="624" t="s">
        <v>4838</v>
      </c>
      <c r="N937" s="624" t="s">
        <v>4092</v>
      </c>
      <c r="O937" s="624"/>
      <c r="P937" s="624"/>
    </row>
    <row r="938" spans="1:16">
      <c r="A938" s="231" t="s">
        <v>684</v>
      </c>
      <c r="B938" s="231" t="s">
        <v>1353</v>
      </c>
      <c r="C938" s="618">
        <v>45230</v>
      </c>
      <c r="D938" s="231" t="s">
        <v>4841</v>
      </c>
      <c r="E938" s="231" t="s">
        <v>5073</v>
      </c>
      <c r="F938" s="619">
        <v>40</v>
      </c>
      <c r="G938" s="231" t="s">
        <v>4836</v>
      </c>
      <c r="H938" s="619">
        <v>1302.3399999999999</v>
      </c>
      <c r="I938" s="619">
        <v>52093.67</v>
      </c>
      <c r="J938" s="620">
        <v>32196334.98</v>
      </c>
      <c r="K938" s="621" t="s">
        <v>991</v>
      </c>
      <c r="L938" s="621" t="s">
        <v>4837</v>
      </c>
      <c r="M938" s="621" t="s">
        <v>4838</v>
      </c>
      <c r="N938" s="621" t="s">
        <v>4092</v>
      </c>
      <c r="O938" s="621"/>
      <c r="P938" s="621"/>
    </row>
    <row r="939" spans="1:16">
      <c r="A939" s="232" t="s">
        <v>684</v>
      </c>
      <c r="B939" s="232" t="s">
        <v>1353</v>
      </c>
      <c r="C939" s="622">
        <v>45230</v>
      </c>
      <c r="D939" s="232" t="s">
        <v>4841</v>
      </c>
      <c r="E939" s="231" t="s">
        <v>5073</v>
      </c>
      <c r="F939" s="233">
        <v>40</v>
      </c>
      <c r="G939" s="232" t="s">
        <v>4836</v>
      </c>
      <c r="H939" s="233">
        <v>1302.3399999999999</v>
      </c>
      <c r="I939" s="233">
        <v>52093.67</v>
      </c>
      <c r="J939" s="623">
        <v>32196334.98</v>
      </c>
      <c r="K939" s="624" t="s">
        <v>991</v>
      </c>
      <c r="L939" s="624" t="s">
        <v>4837</v>
      </c>
      <c r="M939" s="624" t="s">
        <v>4838</v>
      </c>
      <c r="N939" s="624" t="s">
        <v>4092</v>
      </c>
      <c r="O939" s="624"/>
      <c r="P939" s="624"/>
    </row>
    <row r="940" spans="1:16">
      <c r="A940" s="231" t="s">
        <v>684</v>
      </c>
      <c r="B940" s="231" t="s">
        <v>1353</v>
      </c>
      <c r="C940" s="618">
        <v>45230</v>
      </c>
      <c r="D940" s="231" t="s">
        <v>4841</v>
      </c>
      <c r="E940" s="231" t="s">
        <v>5073</v>
      </c>
      <c r="F940" s="619">
        <v>100</v>
      </c>
      <c r="G940" s="231" t="s">
        <v>4836</v>
      </c>
      <c r="H940" s="619">
        <v>1310.8</v>
      </c>
      <c r="I940" s="619">
        <v>131080</v>
      </c>
      <c r="J940" s="620">
        <v>81013597.030000001</v>
      </c>
      <c r="K940" s="621" t="s">
        <v>991</v>
      </c>
      <c r="L940" s="621" t="s">
        <v>4837</v>
      </c>
      <c r="M940" s="621" t="s">
        <v>4838</v>
      </c>
      <c r="N940" s="621" t="s">
        <v>4092</v>
      </c>
      <c r="O940" s="621"/>
      <c r="P940" s="621"/>
    </row>
    <row r="941" spans="1:16">
      <c r="A941" s="232" t="s">
        <v>684</v>
      </c>
      <c r="B941" s="232" t="s">
        <v>1353</v>
      </c>
      <c r="C941" s="622">
        <v>45230</v>
      </c>
      <c r="D941" s="232" t="s">
        <v>4840</v>
      </c>
      <c r="E941" s="231" t="s">
        <v>5074</v>
      </c>
      <c r="F941" s="233">
        <v>40.014000000000003</v>
      </c>
      <c r="G941" s="232" t="s">
        <v>4836</v>
      </c>
      <c r="H941" s="233">
        <v>1730.55</v>
      </c>
      <c r="I941" s="233">
        <v>69246.23</v>
      </c>
      <c r="J941" s="623">
        <v>42797422.740000002</v>
      </c>
      <c r="K941" s="624" t="s">
        <v>991</v>
      </c>
      <c r="L941" s="624" t="s">
        <v>4837</v>
      </c>
      <c r="M941" s="624" t="s">
        <v>4838</v>
      </c>
      <c r="N941" s="624" t="s">
        <v>4092</v>
      </c>
      <c r="O941" s="624"/>
      <c r="P941" s="624"/>
    </row>
    <row r="942" spans="1:16">
      <c r="A942" s="231" t="s">
        <v>684</v>
      </c>
      <c r="B942" s="231" t="s">
        <v>1353</v>
      </c>
      <c r="C942" s="618">
        <v>45230</v>
      </c>
      <c r="D942" s="231" t="s">
        <v>4843</v>
      </c>
      <c r="E942" s="231" t="s">
        <v>5074</v>
      </c>
      <c r="F942" s="619">
        <v>200.00800000000001</v>
      </c>
      <c r="G942" s="231" t="s">
        <v>4836</v>
      </c>
      <c r="H942" s="619">
        <v>1802.4</v>
      </c>
      <c r="I942" s="619">
        <v>360494.42</v>
      </c>
      <c r="J942" s="620">
        <v>222802484.55000001</v>
      </c>
      <c r="K942" s="621" t="s">
        <v>991</v>
      </c>
      <c r="L942" s="621" t="s">
        <v>4837</v>
      </c>
      <c r="M942" s="621" t="s">
        <v>4838</v>
      </c>
      <c r="N942" s="621" t="s">
        <v>4092</v>
      </c>
      <c r="O942" s="621"/>
      <c r="P942" s="621"/>
    </row>
    <row r="943" spans="1:16">
      <c r="A943" s="232" t="s">
        <v>684</v>
      </c>
      <c r="B943" s="232" t="s">
        <v>1353</v>
      </c>
      <c r="C943" s="622">
        <v>45230</v>
      </c>
      <c r="D943" s="232" t="s">
        <v>4839</v>
      </c>
      <c r="E943" s="231" t="s">
        <v>5073</v>
      </c>
      <c r="F943" s="233">
        <v>100</v>
      </c>
      <c r="G943" s="232" t="s">
        <v>4836</v>
      </c>
      <c r="H943" s="233">
        <v>1015.6</v>
      </c>
      <c r="I943" s="233">
        <v>101560</v>
      </c>
      <c r="J943" s="623">
        <v>62768850.43</v>
      </c>
      <c r="K943" s="624" t="s">
        <v>991</v>
      </c>
      <c r="L943" s="624" t="s">
        <v>4837</v>
      </c>
      <c r="M943" s="624" t="s">
        <v>4838</v>
      </c>
      <c r="N943" s="624" t="s">
        <v>4092</v>
      </c>
      <c r="O943" s="624"/>
      <c r="P943" s="624"/>
    </row>
    <row r="944" spans="1:16">
      <c r="A944" s="231" t="s">
        <v>684</v>
      </c>
      <c r="B944" s="231" t="s">
        <v>1353</v>
      </c>
      <c r="C944" s="618">
        <v>45230</v>
      </c>
      <c r="D944" s="231" t="s">
        <v>4841</v>
      </c>
      <c r="E944" s="231" t="s">
        <v>5073</v>
      </c>
      <c r="F944" s="619">
        <v>60</v>
      </c>
      <c r="G944" s="231" t="s">
        <v>4836</v>
      </c>
      <c r="H944" s="619">
        <v>1360.5</v>
      </c>
      <c r="I944" s="619">
        <v>81630</v>
      </c>
      <c r="J944" s="620">
        <v>50451174.289999999</v>
      </c>
      <c r="K944" s="621" t="s">
        <v>991</v>
      </c>
      <c r="L944" s="621" t="s">
        <v>4837</v>
      </c>
      <c r="M944" s="621" t="s">
        <v>4838</v>
      </c>
      <c r="N944" s="621" t="s">
        <v>4092</v>
      </c>
      <c r="O944" s="621"/>
      <c r="P944" s="621"/>
    </row>
    <row r="945" spans="1:16">
      <c r="A945" s="232" t="s">
        <v>684</v>
      </c>
      <c r="B945" s="232" t="s">
        <v>1353</v>
      </c>
      <c r="C945" s="622">
        <v>45231</v>
      </c>
      <c r="D945" s="232" t="s">
        <v>4840</v>
      </c>
      <c r="E945" s="231" t="s">
        <v>5074</v>
      </c>
      <c r="F945" s="233"/>
      <c r="G945" s="232" t="s">
        <v>4836</v>
      </c>
      <c r="H945" s="233"/>
      <c r="I945" s="233">
        <v>252014.7</v>
      </c>
      <c r="J945" s="623">
        <v>156239739.62</v>
      </c>
      <c r="K945" s="624" t="s">
        <v>991</v>
      </c>
      <c r="L945" s="624" t="s">
        <v>4837</v>
      </c>
      <c r="M945" s="624" t="s">
        <v>4838</v>
      </c>
      <c r="N945" s="624" t="s">
        <v>4092</v>
      </c>
      <c r="O945" s="624"/>
      <c r="P945" s="624"/>
    </row>
    <row r="946" spans="1:16">
      <c r="A946" s="231" t="s">
        <v>684</v>
      </c>
      <c r="B946" s="231" t="s">
        <v>1353</v>
      </c>
      <c r="C946" s="618">
        <v>45231</v>
      </c>
      <c r="D946" s="231" t="s">
        <v>4840</v>
      </c>
      <c r="E946" s="231" t="s">
        <v>5074</v>
      </c>
      <c r="F946" s="619"/>
      <c r="G946" s="231" t="s">
        <v>4836</v>
      </c>
      <c r="H946" s="619"/>
      <c r="I946" s="619">
        <v>-238860.73</v>
      </c>
      <c r="J946" s="620">
        <v>-148084767.50999999</v>
      </c>
      <c r="K946" s="621" t="s">
        <v>991</v>
      </c>
      <c r="L946" s="621" t="s">
        <v>4837</v>
      </c>
      <c r="M946" s="621" t="s">
        <v>4838</v>
      </c>
      <c r="N946" s="621" t="s">
        <v>4092</v>
      </c>
      <c r="O946" s="621"/>
      <c r="P946" s="621"/>
    </row>
    <row r="947" spans="1:16">
      <c r="A947" s="232" t="s">
        <v>684</v>
      </c>
      <c r="B947" s="232" t="s">
        <v>1353</v>
      </c>
      <c r="C947" s="622">
        <v>45236</v>
      </c>
      <c r="D947" s="232" t="s">
        <v>4841</v>
      </c>
      <c r="E947" s="231" t="s">
        <v>5073</v>
      </c>
      <c r="F947" s="233">
        <v>140</v>
      </c>
      <c r="G947" s="232" t="s">
        <v>4836</v>
      </c>
      <c r="H947" s="233">
        <v>1310.8</v>
      </c>
      <c r="I947" s="233">
        <v>183512</v>
      </c>
      <c r="J947" s="623">
        <v>112171149.14</v>
      </c>
      <c r="K947" s="624" t="s">
        <v>991</v>
      </c>
      <c r="L947" s="624" t="s">
        <v>4837</v>
      </c>
      <c r="M947" s="624" t="s">
        <v>4838</v>
      </c>
      <c r="N947" s="624" t="s">
        <v>4092</v>
      </c>
      <c r="O947" s="624"/>
      <c r="P947" s="624"/>
    </row>
    <row r="948" spans="1:16">
      <c r="A948" s="231" t="s">
        <v>684</v>
      </c>
      <c r="B948" s="231" t="s">
        <v>1353</v>
      </c>
      <c r="C948" s="618">
        <v>45236</v>
      </c>
      <c r="D948" s="231" t="s">
        <v>4840</v>
      </c>
      <c r="E948" s="231" t="s">
        <v>5074</v>
      </c>
      <c r="F948" s="619">
        <v>198.29</v>
      </c>
      <c r="G948" s="231" t="s">
        <v>4836</v>
      </c>
      <c r="H948" s="619">
        <v>1760</v>
      </c>
      <c r="I948" s="619">
        <v>348995.68</v>
      </c>
      <c r="J948" s="620">
        <v>213322542.78999999</v>
      </c>
      <c r="K948" s="621" t="s">
        <v>991</v>
      </c>
      <c r="L948" s="621" t="s">
        <v>4837</v>
      </c>
      <c r="M948" s="621" t="s">
        <v>4838</v>
      </c>
      <c r="N948" s="621" t="s">
        <v>4092</v>
      </c>
      <c r="O948" s="621"/>
      <c r="P948" s="621"/>
    </row>
    <row r="949" spans="1:16">
      <c r="A949" s="232" t="s">
        <v>684</v>
      </c>
      <c r="B949" s="232" t="s">
        <v>1353</v>
      </c>
      <c r="C949" s="622">
        <v>45236</v>
      </c>
      <c r="D949" s="232" t="s">
        <v>4843</v>
      </c>
      <c r="E949" s="231" t="s">
        <v>5074</v>
      </c>
      <c r="F949" s="233">
        <v>132.10749999999999</v>
      </c>
      <c r="G949" s="232" t="s">
        <v>4836</v>
      </c>
      <c r="H949" s="233">
        <v>1827.9</v>
      </c>
      <c r="I949" s="233">
        <v>241480.21</v>
      </c>
      <c r="J949" s="623">
        <v>147604040.34</v>
      </c>
      <c r="K949" s="624" t="s">
        <v>991</v>
      </c>
      <c r="L949" s="624" t="s">
        <v>4837</v>
      </c>
      <c r="M949" s="624" t="s">
        <v>4838</v>
      </c>
      <c r="N949" s="624" t="s">
        <v>4092</v>
      </c>
      <c r="O949" s="624"/>
      <c r="P949" s="624"/>
    </row>
    <row r="950" spans="1:16">
      <c r="A950" s="231" t="s">
        <v>684</v>
      </c>
      <c r="B950" s="231" t="s">
        <v>1353</v>
      </c>
      <c r="C950" s="618">
        <v>45236</v>
      </c>
      <c r="D950" s="231" t="s">
        <v>4843</v>
      </c>
      <c r="E950" s="231" t="s">
        <v>5074</v>
      </c>
      <c r="F950" s="619">
        <v>176.17750000000001</v>
      </c>
      <c r="G950" s="231" t="s">
        <v>4836</v>
      </c>
      <c r="H950" s="619">
        <v>1821.04</v>
      </c>
      <c r="I950" s="619">
        <v>320829.01</v>
      </c>
      <c r="J950" s="620">
        <v>196105751.83000001</v>
      </c>
      <c r="K950" s="621" t="s">
        <v>991</v>
      </c>
      <c r="L950" s="621" t="s">
        <v>4837</v>
      </c>
      <c r="M950" s="621" t="s">
        <v>4838</v>
      </c>
      <c r="N950" s="621" t="s">
        <v>4092</v>
      </c>
      <c r="O950" s="621"/>
      <c r="P950" s="621"/>
    </row>
    <row r="951" spans="1:16">
      <c r="A951" s="232" t="s">
        <v>684</v>
      </c>
      <c r="B951" s="232" t="s">
        <v>1353</v>
      </c>
      <c r="C951" s="622">
        <v>45236</v>
      </c>
      <c r="D951" s="232" t="s">
        <v>4843</v>
      </c>
      <c r="E951" s="231" t="s">
        <v>5074</v>
      </c>
      <c r="F951" s="233">
        <v>220.41249999999999</v>
      </c>
      <c r="G951" s="232" t="s">
        <v>4836</v>
      </c>
      <c r="H951" s="233">
        <v>1827.9</v>
      </c>
      <c r="I951" s="233">
        <v>402896.58</v>
      </c>
      <c r="J951" s="623">
        <v>248978235.08000001</v>
      </c>
      <c r="K951" s="624" t="s">
        <v>991</v>
      </c>
      <c r="L951" s="624" t="s">
        <v>4837</v>
      </c>
      <c r="M951" s="624" t="s">
        <v>4838</v>
      </c>
      <c r="N951" s="624" t="s">
        <v>4092</v>
      </c>
      <c r="O951" s="624"/>
      <c r="P951" s="624"/>
    </row>
    <row r="952" spans="1:16">
      <c r="A952" s="231" t="s">
        <v>684</v>
      </c>
      <c r="B952" s="231" t="s">
        <v>1353</v>
      </c>
      <c r="C952" s="618">
        <v>45238</v>
      </c>
      <c r="D952" s="231" t="s">
        <v>4840</v>
      </c>
      <c r="E952" s="231" t="s">
        <v>5074</v>
      </c>
      <c r="F952" s="619">
        <v>44.122500000000002</v>
      </c>
      <c r="G952" s="231" t="s">
        <v>4836</v>
      </c>
      <c r="H952" s="619">
        <v>1788.65</v>
      </c>
      <c r="I952" s="619">
        <v>78920.600000000006</v>
      </c>
      <c r="J952" s="620">
        <v>48387860.210000001</v>
      </c>
      <c r="K952" s="621" t="s">
        <v>991</v>
      </c>
      <c r="L952" s="621" t="s">
        <v>4837</v>
      </c>
      <c r="M952" s="621" t="s">
        <v>4838</v>
      </c>
      <c r="N952" s="621" t="s">
        <v>4092</v>
      </c>
      <c r="O952" s="621"/>
      <c r="P952" s="621"/>
    </row>
    <row r="953" spans="1:16">
      <c r="A953" s="232" t="s">
        <v>684</v>
      </c>
      <c r="B953" s="232" t="s">
        <v>1353</v>
      </c>
      <c r="C953" s="622">
        <v>45241</v>
      </c>
      <c r="D953" s="232" t="s">
        <v>4840</v>
      </c>
      <c r="E953" s="231" t="s">
        <v>5074</v>
      </c>
      <c r="F953" s="233">
        <v>199.98699999999999</v>
      </c>
      <c r="G953" s="232" t="s">
        <v>4836</v>
      </c>
      <c r="H953" s="233">
        <v>1684.25</v>
      </c>
      <c r="I953" s="233">
        <v>336828.1</v>
      </c>
      <c r="J953" s="623">
        <v>206516309.00999999</v>
      </c>
      <c r="K953" s="624" t="s">
        <v>991</v>
      </c>
      <c r="L953" s="624" t="s">
        <v>4837</v>
      </c>
      <c r="M953" s="624" t="s">
        <v>4838</v>
      </c>
      <c r="N953" s="624" t="s">
        <v>4092</v>
      </c>
      <c r="O953" s="624"/>
      <c r="P953" s="624"/>
    </row>
    <row r="954" spans="1:16">
      <c r="A954" s="231" t="s">
        <v>684</v>
      </c>
      <c r="B954" s="231" t="s">
        <v>1353</v>
      </c>
      <c r="C954" s="618">
        <v>45241</v>
      </c>
      <c r="D954" s="231" t="s">
        <v>4841</v>
      </c>
      <c r="E954" s="231" t="s">
        <v>5073</v>
      </c>
      <c r="F954" s="619">
        <v>60</v>
      </c>
      <c r="G954" s="231" t="s">
        <v>4836</v>
      </c>
      <c r="H954" s="619">
        <v>1296.3</v>
      </c>
      <c r="I954" s="619">
        <v>77778</v>
      </c>
      <c r="J954" s="620">
        <v>47687308.399999999</v>
      </c>
      <c r="K954" s="621" t="s">
        <v>991</v>
      </c>
      <c r="L954" s="621" t="s">
        <v>4837</v>
      </c>
      <c r="M954" s="621" t="s">
        <v>4838</v>
      </c>
      <c r="N954" s="621" t="s">
        <v>4092</v>
      </c>
      <c r="O954" s="621"/>
      <c r="P954" s="621"/>
    </row>
    <row r="955" spans="1:16">
      <c r="A955" s="232" t="s">
        <v>684</v>
      </c>
      <c r="B955" s="232" t="s">
        <v>1353</v>
      </c>
      <c r="C955" s="622">
        <v>45246</v>
      </c>
      <c r="D955" s="232" t="s">
        <v>4840</v>
      </c>
      <c r="E955" s="231" t="s">
        <v>5074</v>
      </c>
      <c r="F955" s="233">
        <v>176.17500000000001</v>
      </c>
      <c r="G955" s="232" t="s">
        <v>4836</v>
      </c>
      <c r="H955" s="233">
        <v>1711.5</v>
      </c>
      <c r="I955" s="233">
        <v>301526.94</v>
      </c>
      <c r="J955" s="623">
        <v>181861845.59999999</v>
      </c>
      <c r="K955" s="624" t="s">
        <v>991</v>
      </c>
      <c r="L955" s="624" t="s">
        <v>4837</v>
      </c>
      <c r="M955" s="624" t="s">
        <v>4838</v>
      </c>
      <c r="N955" s="624" t="s">
        <v>4092</v>
      </c>
      <c r="O955" s="624"/>
      <c r="P955" s="624"/>
    </row>
    <row r="956" spans="1:16">
      <c r="A956" s="231" t="s">
        <v>684</v>
      </c>
      <c r="B956" s="231" t="s">
        <v>1353</v>
      </c>
      <c r="C956" s="618">
        <v>45246</v>
      </c>
      <c r="D956" s="231" t="s">
        <v>4841</v>
      </c>
      <c r="E956" s="231" t="s">
        <v>5073</v>
      </c>
      <c r="F956" s="619">
        <v>40</v>
      </c>
      <c r="G956" s="231" t="s">
        <v>4836</v>
      </c>
      <c r="H956" s="619">
        <v>1452.15</v>
      </c>
      <c r="I956" s="619">
        <v>58086</v>
      </c>
      <c r="J956" s="620">
        <v>35097280.969999999</v>
      </c>
      <c r="K956" s="621" t="s">
        <v>991</v>
      </c>
      <c r="L956" s="621" t="s">
        <v>4837</v>
      </c>
      <c r="M956" s="621" t="s">
        <v>4838</v>
      </c>
      <c r="N956" s="621" t="s">
        <v>4092</v>
      </c>
      <c r="O956" s="621"/>
      <c r="P956" s="621"/>
    </row>
    <row r="957" spans="1:16">
      <c r="A957" s="232" t="s">
        <v>684</v>
      </c>
      <c r="B957" s="232" t="s">
        <v>1353</v>
      </c>
      <c r="C957" s="622">
        <v>45249</v>
      </c>
      <c r="D957" s="232" t="s">
        <v>4835</v>
      </c>
      <c r="E957" s="231" t="s">
        <v>5073</v>
      </c>
      <c r="F957" s="233">
        <v>32019.955999999998</v>
      </c>
      <c r="G957" s="232" t="s">
        <v>4836</v>
      </c>
      <c r="H957" s="233">
        <v>292.88</v>
      </c>
      <c r="I957" s="233">
        <v>9378062.3499999996</v>
      </c>
      <c r="J957" s="623">
        <v>5639243746.2399998</v>
      </c>
      <c r="K957" s="624" t="s">
        <v>991</v>
      </c>
      <c r="L957" s="624" t="s">
        <v>4837</v>
      </c>
      <c r="M957" s="624" t="s">
        <v>4838</v>
      </c>
      <c r="N957" s="624" t="s">
        <v>4092</v>
      </c>
      <c r="O957" s="624"/>
      <c r="P957" s="624"/>
    </row>
    <row r="958" spans="1:16">
      <c r="A958" s="231" t="s">
        <v>684</v>
      </c>
      <c r="B958" s="231" t="s">
        <v>1353</v>
      </c>
      <c r="C958" s="618">
        <v>45252</v>
      </c>
      <c r="D958" s="231" t="s">
        <v>4843</v>
      </c>
      <c r="E958" s="231" t="s">
        <v>5074</v>
      </c>
      <c r="F958" s="619">
        <v>726.63900000000001</v>
      </c>
      <c r="G958" s="231" t="s">
        <v>4836</v>
      </c>
      <c r="H958" s="619">
        <v>1804.05</v>
      </c>
      <c r="I958" s="619">
        <v>1310903.9099999999</v>
      </c>
      <c r="J958" s="620">
        <v>787802830.52999997</v>
      </c>
      <c r="K958" s="621" t="s">
        <v>991</v>
      </c>
      <c r="L958" s="621" t="s">
        <v>4837</v>
      </c>
      <c r="M958" s="621" t="s">
        <v>4838</v>
      </c>
      <c r="N958" s="621" t="s">
        <v>4092</v>
      </c>
      <c r="O958" s="621"/>
      <c r="P958" s="621"/>
    </row>
    <row r="959" spans="1:16">
      <c r="A959" s="232" t="s">
        <v>684</v>
      </c>
      <c r="B959" s="232" t="s">
        <v>1353</v>
      </c>
      <c r="C959" s="622">
        <v>45255</v>
      </c>
      <c r="D959" s="232" t="s">
        <v>4840</v>
      </c>
      <c r="E959" s="231" t="s">
        <v>5074</v>
      </c>
      <c r="F959" s="233">
        <v>132.14500000000001</v>
      </c>
      <c r="G959" s="232" t="s">
        <v>4836</v>
      </c>
      <c r="H959" s="233">
        <v>1700.12</v>
      </c>
      <c r="I959" s="233">
        <v>224663.79</v>
      </c>
      <c r="J959" s="623">
        <v>134609820.25</v>
      </c>
      <c r="K959" s="624" t="s">
        <v>991</v>
      </c>
      <c r="L959" s="624" t="s">
        <v>4837</v>
      </c>
      <c r="M959" s="624" t="s">
        <v>4838</v>
      </c>
      <c r="N959" s="624" t="s">
        <v>4092</v>
      </c>
      <c r="O959" s="624"/>
      <c r="P959" s="624"/>
    </row>
    <row r="960" spans="1:16">
      <c r="A960" s="231" t="s">
        <v>684</v>
      </c>
      <c r="B960" s="231" t="s">
        <v>1353</v>
      </c>
      <c r="C960" s="618">
        <v>45256</v>
      </c>
      <c r="D960" s="231" t="s">
        <v>4840</v>
      </c>
      <c r="E960" s="231" t="s">
        <v>5074</v>
      </c>
      <c r="F960" s="619">
        <v>176.19874999999999</v>
      </c>
      <c r="G960" s="231" t="s">
        <v>4836</v>
      </c>
      <c r="H960" s="619">
        <v>1779.4</v>
      </c>
      <c r="I960" s="619">
        <v>313530.28000000003</v>
      </c>
      <c r="J960" s="620">
        <v>187855170.75999999</v>
      </c>
      <c r="K960" s="621" t="s">
        <v>991</v>
      </c>
      <c r="L960" s="621" t="s">
        <v>4837</v>
      </c>
      <c r="M960" s="621" t="s">
        <v>4838</v>
      </c>
      <c r="N960" s="621" t="s">
        <v>4092</v>
      </c>
      <c r="O960" s="621"/>
      <c r="P960" s="621"/>
    </row>
    <row r="961" spans="1:16">
      <c r="A961" s="232" t="s">
        <v>684</v>
      </c>
      <c r="B961" s="232" t="s">
        <v>1353</v>
      </c>
      <c r="C961" s="622">
        <v>45256</v>
      </c>
      <c r="D961" s="232" t="s">
        <v>4840</v>
      </c>
      <c r="E961" s="231" t="s">
        <v>5074</v>
      </c>
      <c r="F961" s="233">
        <v>374.34375</v>
      </c>
      <c r="G961" s="232" t="s">
        <v>4836</v>
      </c>
      <c r="H961" s="233">
        <v>1711.5</v>
      </c>
      <c r="I961" s="233">
        <v>640696.6</v>
      </c>
      <c r="J961" s="623">
        <v>383880527.25999999</v>
      </c>
      <c r="K961" s="624" t="s">
        <v>991</v>
      </c>
      <c r="L961" s="624" t="s">
        <v>4837</v>
      </c>
      <c r="M961" s="624" t="s">
        <v>4838</v>
      </c>
      <c r="N961" s="624" t="s">
        <v>4092</v>
      </c>
      <c r="O961" s="624"/>
      <c r="P961" s="624"/>
    </row>
    <row r="962" spans="1:16">
      <c r="A962" s="231" t="s">
        <v>684</v>
      </c>
      <c r="B962" s="231" t="s">
        <v>1353</v>
      </c>
      <c r="C962" s="618">
        <v>45256</v>
      </c>
      <c r="D962" s="231" t="s">
        <v>4840</v>
      </c>
      <c r="E962" s="231" t="s">
        <v>5074</v>
      </c>
      <c r="F962" s="619">
        <v>264.22750000000002</v>
      </c>
      <c r="G962" s="231" t="s">
        <v>4836</v>
      </c>
      <c r="H962" s="619">
        <v>1744.15</v>
      </c>
      <c r="I962" s="619">
        <v>460856.75</v>
      </c>
      <c r="J962" s="620">
        <v>276127471.54000002</v>
      </c>
      <c r="K962" s="621" t="s">
        <v>991</v>
      </c>
      <c r="L962" s="621" t="s">
        <v>4837</v>
      </c>
      <c r="M962" s="621" t="s">
        <v>4838</v>
      </c>
      <c r="N962" s="621" t="s">
        <v>4092</v>
      </c>
      <c r="O962" s="621"/>
      <c r="P962" s="621"/>
    </row>
    <row r="963" spans="1:16">
      <c r="A963" s="232" t="s">
        <v>684</v>
      </c>
      <c r="B963" s="232" t="s">
        <v>1353</v>
      </c>
      <c r="C963" s="622">
        <v>45256</v>
      </c>
      <c r="D963" s="232" t="s">
        <v>4843</v>
      </c>
      <c r="E963" s="231" t="s">
        <v>5074</v>
      </c>
      <c r="F963" s="233">
        <v>264.35250000000002</v>
      </c>
      <c r="G963" s="232" t="s">
        <v>4836</v>
      </c>
      <c r="H963" s="233">
        <v>1816.9</v>
      </c>
      <c r="I963" s="233">
        <v>480306.6</v>
      </c>
      <c r="J963" s="623">
        <v>287781066.50999999</v>
      </c>
      <c r="K963" s="624" t="s">
        <v>991</v>
      </c>
      <c r="L963" s="624" t="s">
        <v>4837</v>
      </c>
      <c r="M963" s="624" t="s">
        <v>4838</v>
      </c>
      <c r="N963" s="624" t="s">
        <v>4092</v>
      </c>
      <c r="O963" s="624"/>
      <c r="P963" s="624"/>
    </row>
    <row r="964" spans="1:16">
      <c r="A964" s="231" t="s">
        <v>684</v>
      </c>
      <c r="B964" s="231" t="s">
        <v>1353</v>
      </c>
      <c r="C964" s="618">
        <v>45256</v>
      </c>
      <c r="D964" s="231" t="s">
        <v>4839</v>
      </c>
      <c r="E964" s="231" t="s">
        <v>5073</v>
      </c>
      <c r="F964" s="619">
        <v>120</v>
      </c>
      <c r="G964" s="231" t="s">
        <v>4836</v>
      </c>
      <c r="H964" s="619">
        <v>1914.15</v>
      </c>
      <c r="I964" s="619">
        <v>229697.64</v>
      </c>
      <c r="J964" s="620">
        <v>137625907.72999999</v>
      </c>
      <c r="K964" s="621" t="s">
        <v>991</v>
      </c>
      <c r="L964" s="621" t="s">
        <v>4837</v>
      </c>
      <c r="M964" s="621" t="s">
        <v>4838</v>
      </c>
      <c r="N964" s="621" t="s">
        <v>4092</v>
      </c>
      <c r="O964" s="621"/>
      <c r="P964" s="621"/>
    </row>
    <row r="965" spans="1:16">
      <c r="A965" s="232" t="s">
        <v>684</v>
      </c>
      <c r="B965" s="232" t="s">
        <v>1353</v>
      </c>
      <c r="C965" s="622">
        <v>45256</v>
      </c>
      <c r="D965" s="232" t="s">
        <v>4839</v>
      </c>
      <c r="E965" s="231" t="s">
        <v>5073</v>
      </c>
      <c r="F965" s="233">
        <v>60</v>
      </c>
      <c r="G965" s="232" t="s">
        <v>4836</v>
      </c>
      <c r="H965" s="233">
        <v>1913.44</v>
      </c>
      <c r="I965" s="233">
        <v>114806.5</v>
      </c>
      <c r="J965" s="623">
        <v>68787597.359999999</v>
      </c>
      <c r="K965" s="624" t="s">
        <v>991</v>
      </c>
      <c r="L965" s="624" t="s">
        <v>4837</v>
      </c>
      <c r="M965" s="624" t="s">
        <v>4838</v>
      </c>
      <c r="N965" s="624" t="s">
        <v>4092</v>
      </c>
      <c r="O965" s="624"/>
      <c r="P965" s="624"/>
    </row>
    <row r="966" spans="1:16">
      <c r="A966" s="231" t="s">
        <v>684</v>
      </c>
      <c r="B966" s="231" t="s">
        <v>1353</v>
      </c>
      <c r="C966" s="618">
        <v>45256</v>
      </c>
      <c r="D966" s="231" t="s">
        <v>4839</v>
      </c>
      <c r="E966" s="231" t="s">
        <v>5073</v>
      </c>
      <c r="F966" s="619">
        <v>60</v>
      </c>
      <c r="G966" s="231" t="s">
        <v>4836</v>
      </c>
      <c r="H966" s="619">
        <v>1913.44</v>
      </c>
      <c r="I966" s="619">
        <v>114806.5</v>
      </c>
      <c r="J966" s="620">
        <v>68787597.359999999</v>
      </c>
      <c r="K966" s="621" t="s">
        <v>991</v>
      </c>
      <c r="L966" s="621" t="s">
        <v>4837</v>
      </c>
      <c r="M966" s="621" t="s">
        <v>4838</v>
      </c>
      <c r="N966" s="621" t="s">
        <v>4092</v>
      </c>
      <c r="O966" s="621"/>
      <c r="P966" s="621"/>
    </row>
    <row r="967" spans="1:16">
      <c r="A967" s="232" t="s">
        <v>684</v>
      </c>
      <c r="B967" s="232" t="s">
        <v>1353</v>
      </c>
      <c r="C967" s="622">
        <v>45256</v>
      </c>
      <c r="D967" s="232" t="s">
        <v>4844</v>
      </c>
      <c r="E967" s="232"/>
      <c r="F967" s="233">
        <v>2256.576</v>
      </c>
      <c r="G967" s="232" t="s">
        <v>4836</v>
      </c>
      <c r="H967" s="233">
        <v>231.26</v>
      </c>
      <c r="I967" s="233">
        <v>521865.46</v>
      </c>
      <c r="J967" s="623">
        <v>312681521.87</v>
      </c>
      <c r="K967" s="624" t="s">
        <v>991</v>
      </c>
      <c r="L967" s="624" t="s">
        <v>4837</v>
      </c>
      <c r="M967" s="624" t="s">
        <v>4838</v>
      </c>
      <c r="N967" s="624" t="s">
        <v>4092</v>
      </c>
      <c r="O967" s="624"/>
      <c r="P967" s="624"/>
    </row>
    <row r="968" spans="1:16">
      <c r="A968" s="231" t="s">
        <v>684</v>
      </c>
      <c r="B968" s="231" t="s">
        <v>1353</v>
      </c>
      <c r="C968" s="618">
        <v>45256</v>
      </c>
      <c r="D968" s="231" t="s">
        <v>4844</v>
      </c>
      <c r="E968" s="231"/>
      <c r="F968" s="619">
        <v>1543.8630000000001</v>
      </c>
      <c r="G968" s="231" t="s">
        <v>4836</v>
      </c>
      <c r="H968" s="619">
        <v>255.49</v>
      </c>
      <c r="I968" s="619">
        <v>394443.69</v>
      </c>
      <c r="J968" s="620">
        <v>236335344.52000001</v>
      </c>
      <c r="K968" s="621" t="s">
        <v>991</v>
      </c>
      <c r="L968" s="621" t="s">
        <v>4837</v>
      </c>
      <c r="M968" s="621" t="s">
        <v>4838</v>
      </c>
      <c r="N968" s="621" t="s">
        <v>4092</v>
      </c>
      <c r="O968" s="621"/>
      <c r="P968" s="621"/>
    </row>
    <row r="969" spans="1:16">
      <c r="A969" s="232" t="s">
        <v>684</v>
      </c>
      <c r="B969" s="232" t="s">
        <v>1353</v>
      </c>
      <c r="C969" s="622">
        <v>45256</v>
      </c>
      <c r="D969" s="232" t="s">
        <v>4841</v>
      </c>
      <c r="E969" s="231" t="s">
        <v>5073</v>
      </c>
      <c r="F969" s="233">
        <v>120</v>
      </c>
      <c r="G969" s="232" t="s">
        <v>4836</v>
      </c>
      <c r="H969" s="233">
        <v>1311.85</v>
      </c>
      <c r="I969" s="233">
        <v>157422</v>
      </c>
      <c r="J969" s="623">
        <v>94321150.390000001</v>
      </c>
      <c r="K969" s="624" t="s">
        <v>991</v>
      </c>
      <c r="L969" s="624" t="s">
        <v>4837</v>
      </c>
      <c r="M969" s="624" t="s">
        <v>4838</v>
      </c>
      <c r="N969" s="624" t="s">
        <v>4092</v>
      </c>
      <c r="O969" s="624"/>
      <c r="P969" s="624"/>
    </row>
    <row r="970" spans="1:16">
      <c r="A970" s="231" t="s">
        <v>684</v>
      </c>
      <c r="B970" s="231" t="s">
        <v>1353</v>
      </c>
      <c r="C970" s="618">
        <v>45256</v>
      </c>
      <c r="D970" s="231" t="s">
        <v>4841</v>
      </c>
      <c r="E970" s="231" t="s">
        <v>5073</v>
      </c>
      <c r="F970" s="619">
        <v>160</v>
      </c>
      <c r="G970" s="231" t="s">
        <v>4836</v>
      </c>
      <c r="H970" s="619">
        <v>1498.7</v>
      </c>
      <c r="I970" s="619">
        <v>239792</v>
      </c>
      <c r="J970" s="620">
        <v>143674056.31999999</v>
      </c>
      <c r="K970" s="621" t="s">
        <v>991</v>
      </c>
      <c r="L970" s="621" t="s">
        <v>4837</v>
      </c>
      <c r="M970" s="621" t="s">
        <v>4838</v>
      </c>
      <c r="N970" s="621" t="s">
        <v>4092</v>
      </c>
      <c r="O970" s="621"/>
      <c r="P970" s="621"/>
    </row>
    <row r="971" spans="1:16">
      <c r="A971" s="232" t="s">
        <v>684</v>
      </c>
      <c r="B971" s="232" t="s">
        <v>1353</v>
      </c>
      <c r="C971" s="622">
        <v>45256</v>
      </c>
      <c r="D971" s="232" t="s">
        <v>4835</v>
      </c>
      <c r="E971" s="231" t="s">
        <v>5073</v>
      </c>
      <c r="F971" s="233">
        <v>20</v>
      </c>
      <c r="G971" s="232" t="s">
        <v>4836</v>
      </c>
      <c r="H971" s="233">
        <v>713.75</v>
      </c>
      <c r="I971" s="233">
        <v>14312.83</v>
      </c>
      <c r="J971" s="623">
        <v>8575692.0299999993</v>
      </c>
      <c r="K971" s="624" t="s">
        <v>991</v>
      </c>
      <c r="L971" s="624" t="s">
        <v>4837</v>
      </c>
      <c r="M971" s="624" t="s">
        <v>4838</v>
      </c>
      <c r="N971" s="624" t="s">
        <v>4092</v>
      </c>
      <c r="O971" s="624"/>
      <c r="P971" s="624"/>
    </row>
    <row r="972" spans="1:16">
      <c r="A972" s="231" t="s">
        <v>684</v>
      </c>
      <c r="B972" s="231" t="s">
        <v>1353</v>
      </c>
      <c r="C972" s="618">
        <v>45256</v>
      </c>
      <c r="D972" s="231" t="s">
        <v>4846</v>
      </c>
      <c r="E972" s="231" t="s">
        <v>5073</v>
      </c>
      <c r="F972" s="619">
        <v>15000.05</v>
      </c>
      <c r="G972" s="231" t="s">
        <v>4836</v>
      </c>
      <c r="H972" s="619">
        <v>276.45</v>
      </c>
      <c r="I972" s="619">
        <v>4146763.82</v>
      </c>
      <c r="J972" s="620">
        <v>2484579880.1700001</v>
      </c>
      <c r="K972" s="621" t="s">
        <v>991</v>
      </c>
      <c r="L972" s="621" t="s">
        <v>4837</v>
      </c>
      <c r="M972" s="621" t="s">
        <v>4838</v>
      </c>
      <c r="N972" s="621" t="s">
        <v>4092</v>
      </c>
      <c r="O972" s="621"/>
      <c r="P972" s="621"/>
    </row>
    <row r="973" spans="1:16">
      <c r="A973" s="232" t="s">
        <v>684</v>
      </c>
      <c r="B973" s="232" t="s">
        <v>1353</v>
      </c>
      <c r="C973" s="622">
        <v>45257</v>
      </c>
      <c r="D973" s="232" t="s">
        <v>4840</v>
      </c>
      <c r="E973" s="231" t="s">
        <v>5074</v>
      </c>
      <c r="F973" s="233">
        <v>800.22500000000002</v>
      </c>
      <c r="G973" s="232" t="s">
        <v>4836</v>
      </c>
      <c r="H973" s="233">
        <v>1416.05</v>
      </c>
      <c r="I973" s="233">
        <v>1133158.6100000001</v>
      </c>
      <c r="J973" s="623">
        <v>679351684.64999998</v>
      </c>
      <c r="K973" s="624" t="s">
        <v>991</v>
      </c>
      <c r="L973" s="624" t="s">
        <v>4837</v>
      </c>
      <c r="M973" s="624" t="s">
        <v>4838</v>
      </c>
      <c r="N973" s="624" t="s">
        <v>4092</v>
      </c>
      <c r="O973" s="624"/>
      <c r="P973" s="624"/>
    </row>
    <row r="974" spans="1:16">
      <c r="A974" s="231" t="s">
        <v>684</v>
      </c>
      <c r="B974" s="231" t="s">
        <v>1353</v>
      </c>
      <c r="C974" s="618">
        <v>45257</v>
      </c>
      <c r="D974" s="231" t="s">
        <v>4844</v>
      </c>
      <c r="E974" s="231"/>
      <c r="F974" s="619">
        <v>1217.6300000000001</v>
      </c>
      <c r="G974" s="231" t="s">
        <v>4836</v>
      </c>
      <c r="H974" s="619">
        <v>673.32</v>
      </c>
      <c r="I974" s="619">
        <v>819849.07</v>
      </c>
      <c r="J974" s="620">
        <v>491516229.01999998</v>
      </c>
      <c r="K974" s="621" t="s">
        <v>991</v>
      </c>
      <c r="L974" s="621" t="s">
        <v>4837</v>
      </c>
      <c r="M974" s="621" t="s">
        <v>4838</v>
      </c>
      <c r="N974" s="621" t="s">
        <v>4092</v>
      </c>
      <c r="O974" s="621"/>
      <c r="P974" s="621"/>
    </row>
    <row r="975" spans="1:16">
      <c r="A975" s="232" t="s">
        <v>684</v>
      </c>
      <c r="B975" s="232" t="s">
        <v>1353</v>
      </c>
      <c r="C975" s="622">
        <v>45260</v>
      </c>
      <c r="D975" s="232" t="s">
        <v>4846</v>
      </c>
      <c r="E975" s="231" t="s">
        <v>5073</v>
      </c>
      <c r="F975" s="233"/>
      <c r="G975" s="232" t="s">
        <v>4836</v>
      </c>
      <c r="H975" s="233"/>
      <c r="I975" s="233">
        <v>41544.1</v>
      </c>
      <c r="J975" s="623">
        <v>24833582.399999999</v>
      </c>
      <c r="K975" s="624" t="s">
        <v>991</v>
      </c>
      <c r="L975" s="624" t="s">
        <v>4837</v>
      </c>
      <c r="M975" s="624" t="s">
        <v>4838</v>
      </c>
      <c r="N975" s="624" t="s">
        <v>4092</v>
      </c>
      <c r="O975" s="624"/>
      <c r="P975" s="624"/>
    </row>
    <row r="976" spans="1:16">
      <c r="A976" s="231" t="s">
        <v>684</v>
      </c>
      <c r="B976" s="231" t="s">
        <v>1353</v>
      </c>
      <c r="C976" s="618">
        <v>45260</v>
      </c>
      <c r="D976" s="231" t="s">
        <v>4842</v>
      </c>
      <c r="E976" s="231" t="s">
        <v>5073</v>
      </c>
      <c r="F976" s="619"/>
      <c r="G976" s="231" t="s">
        <v>4836</v>
      </c>
      <c r="H976" s="619"/>
      <c r="I976" s="619">
        <v>14960.72</v>
      </c>
      <c r="J976" s="620">
        <v>8942985.2400000002</v>
      </c>
      <c r="K976" s="621" t="s">
        <v>991</v>
      </c>
      <c r="L976" s="621" t="s">
        <v>4837</v>
      </c>
      <c r="M976" s="621" t="s">
        <v>4838</v>
      </c>
      <c r="N976" s="621" t="s">
        <v>4092</v>
      </c>
      <c r="O976" s="621"/>
      <c r="P976" s="621"/>
    </row>
    <row r="977" spans="1:16">
      <c r="A977" s="232" t="s">
        <v>684</v>
      </c>
      <c r="B977" s="232" t="s">
        <v>1353</v>
      </c>
      <c r="C977" s="622">
        <v>45260</v>
      </c>
      <c r="D977" s="232" t="s">
        <v>4835</v>
      </c>
      <c r="E977" s="231" t="s">
        <v>5073</v>
      </c>
      <c r="F977" s="233"/>
      <c r="G977" s="232" t="s">
        <v>4836</v>
      </c>
      <c r="H977" s="233"/>
      <c r="I977" s="233">
        <v>659258.1100000001</v>
      </c>
      <c r="J977" s="623">
        <v>394081003.05000001</v>
      </c>
      <c r="K977" s="624" t="s">
        <v>991</v>
      </c>
      <c r="L977" s="624" t="s">
        <v>4837</v>
      </c>
      <c r="M977" s="624" t="s">
        <v>4838</v>
      </c>
      <c r="N977" s="624" t="s">
        <v>4092</v>
      </c>
      <c r="O977" s="624"/>
      <c r="P977" s="624"/>
    </row>
    <row r="978" spans="1:16">
      <c r="A978" s="231" t="s">
        <v>684</v>
      </c>
      <c r="B978" s="231" t="s">
        <v>1353</v>
      </c>
      <c r="C978" s="618">
        <v>45260</v>
      </c>
      <c r="D978" s="231" t="s">
        <v>4840</v>
      </c>
      <c r="E978" s="231" t="s">
        <v>5074</v>
      </c>
      <c r="F978" s="619"/>
      <c r="G978" s="231" t="s">
        <v>4836</v>
      </c>
      <c r="H978" s="619"/>
      <c r="I978" s="619">
        <v>-402921.44000000006</v>
      </c>
      <c r="J978" s="620">
        <v>-240852077.22999999</v>
      </c>
      <c r="K978" s="621" t="s">
        <v>991</v>
      </c>
      <c r="L978" s="621" t="s">
        <v>4837</v>
      </c>
      <c r="M978" s="621" t="s">
        <v>4838</v>
      </c>
      <c r="N978" s="621" t="s">
        <v>4092</v>
      </c>
      <c r="O978" s="621"/>
      <c r="P978" s="621"/>
    </row>
    <row r="979" spans="1:16">
      <c r="A979" s="232" t="s">
        <v>684</v>
      </c>
      <c r="B979" s="232" t="s">
        <v>1353</v>
      </c>
      <c r="C979" s="622">
        <v>45260</v>
      </c>
      <c r="D979" s="232" t="s">
        <v>4843</v>
      </c>
      <c r="E979" s="231" t="s">
        <v>5074</v>
      </c>
      <c r="F979" s="233"/>
      <c r="G979" s="232" t="s">
        <v>4836</v>
      </c>
      <c r="H979" s="233"/>
      <c r="I979" s="233">
        <v>-729631.96</v>
      </c>
      <c r="J979" s="623">
        <v>-436147982.55000001</v>
      </c>
      <c r="K979" s="624" t="s">
        <v>991</v>
      </c>
      <c r="L979" s="624" t="s">
        <v>4837</v>
      </c>
      <c r="M979" s="624" t="s">
        <v>4838</v>
      </c>
      <c r="N979" s="624" t="s">
        <v>4092</v>
      </c>
      <c r="O979" s="624"/>
      <c r="P979" s="624"/>
    </row>
    <row r="980" spans="1:16">
      <c r="A980" s="231" t="s">
        <v>684</v>
      </c>
      <c r="B980" s="231" t="s">
        <v>1353</v>
      </c>
      <c r="C980" s="618">
        <v>45260</v>
      </c>
      <c r="D980" s="231" t="s">
        <v>4839</v>
      </c>
      <c r="E980" s="231" t="s">
        <v>5073</v>
      </c>
      <c r="F980" s="619"/>
      <c r="G980" s="231" t="s">
        <v>4836</v>
      </c>
      <c r="H980" s="619"/>
      <c r="I980" s="619">
        <v>-15443.280000000004</v>
      </c>
      <c r="J980" s="620">
        <v>-9231442.4100000001</v>
      </c>
      <c r="K980" s="621" t="s">
        <v>991</v>
      </c>
      <c r="L980" s="621" t="s">
        <v>4837</v>
      </c>
      <c r="M980" s="621" t="s">
        <v>4838</v>
      </c>
      <c r="N980" s="621" t="s">
        <v>4092</v>
      </c>
      <c r="O980" s="621"/>
      <c r="P980" s="621"/>
    </row>
    <row r="981" spans="1:16">
      <c r="A981" s="232" t="s">
        <v>684</v>
      </c>
      <c r="B981" s="232" t="s">
        <v>1353</v>
      </c>
      <c r="C981" s="622">
        <v>45260</v>
      </c>
      <c r="D981" s="232" t="s">
        <v>4841</v>
      </c>
      <c r="E981" s="231" t="s">
        <v>5073</v>
      </c>
      <c r="F981" s="233"/>
      <c r="G981" s="232" t="s">
        <v>4836</v>
      </c>
      <c r="H981" s="233"/>
      <c r="I981" s="233">
        <v>-178264.37999999998</v>
      </c>
      <c r="J981" s="623">
        <v>-106560093.25</v>
      </c>
      <c r="K981" s="624" t="s">
        <v>991</v>
      </c>
      <c r="L981" s="624" t="s">
        <v>4837</v>
      </c>
      <c r="M981" s="624" t="s">
        <v>4838</v>
      </c>
      <c r="N981" s="624" t="s">
        <v>4092</v>
      </c>
      <c r="O981" s="624"/>
      <c r="P981" s="624"/>
    </row>
    <row r="982" spans="1:16">
      <c r="A982" s="231" t="s">
        <v>684</v>
      </c>
      <c r="B982" s="231" t="s">
        <v>1353</v>
      </c>
      <c r="C982" s="618">
        <v>45260</v>
      </c>
      <c r="D982" s="231" t="s">
        <v>4844</v>
      </c>
      <c r="E982" s="231"/>
      <c r="F982" s="619"/>
      <c r="G982" s="231" t="s">
        <v>4836</v>
      </c>
      <c r="H982" s="619"/>
      <c r="I982" s="619">
        <v>-838857.75999999989</v>
      </c>
      <c r="J982" s="620">
        <v>-501439273.12</v>
      </c>
      <c r="K982" s="621" t="s">
        <v>991</v>
      </c>
      <c r="L982" s="621" t="s">
        <v>4837</v>
      </c>
      <c r="M982" s="621" t="s">
        <v>4838</v>
      </c>
      <c r="N982" s="621" t="s">
        <v>4092</v>
      </c>
      <c r="O982" s="621"/>
      <c r="P982" s="621"/>
    </row>
    <row r="983" spans="1:16">
      <c r="A983" s="232" t="s">
        <v>684</v>
      </c>
      <c r="B983" s="232" t="s">
        <v>1353</v>
      </c>
      <c r="C983" s="622">
        <v>45260</v>
      </c>
      <c r="D983" s="232" t="s">
        <v>4846</v>
      </c>
      <c r="E983" s="231" t="s">
        <v>5073</v>
      </c>
      <c r="F983" s="233"/>
      <c r="G983" s="232" t="s">
        <v>4836</v>
      </c>
      <c r="H983" s="233"/>
      <c r="I983" s="233">
        <v>-41544.1</v>
      </c>
      <c r="J983" s="623">
        <v>-25673031.760000002</v>
      </c>
      <c r="K983" s="624" t="s">
        <v>991</v>
      </c>
      <c r="L983" s="624" t="s">
        <v>4837</v>
      </c>
      <c r="M983" s="624" t="s">
        <v>4838</v>
      </c>
      <c r="N983" s="624" t="s">
        <v>4092</v>
      </c>
      <c r="O983" s="624"/>
      <c r="P983" s="624"/>
    </row>
    <row r="984" spans="1:16">
      <c r="A984" s="231" t="s">
        <v>684</v>
      </c>
      <c r="B984" s="231" t="s">
        <v>1353</v>
      </c>
      <c r="C984" s="618">
        <v>45260</v>
      </c>
      <c r="D984" s="231" t="s">
        <v>4842</v>
      </c>
      <c r="E984" s="231" t="s">
        <v>5073</v>
      </c>
      <c r="F984" s="619"/>
      <c r="G984" s="231" t="s">
        <v>4836</v>
      </c>
      <c r="H984" s="619"/>
      <c r="I984" s="619">
        <v>-14960.72</v>
      </c>
      <c r="J984" s="620">
        <v>-9245284.8800000008</v>
      </c>
      <c r="K984" s="621" t="s">
        <v>991</v>
      </c>
      <c r="L984" s="621" t="s">
        <v>4837</v>
      </c>
      <c r="M984" s="621" t="s">
        <v>4838</v>
      </c>
      <c r="N984" s="621" t="s">
        <v>4092</v>
      </c>
      <c r="O984" s="621"/>
      <c r="P984" s="621"/>
    </row>
    <row r="985" spans="1:16">
      <c r="A985" s="232" t="s">
        <v>684</v>
      </c>
      <c r="B985" s="232" t="s">
        <v>1353</v>
      </c>
      <c r="C985" s="622">
        <v>45260</v>
      </c>
      <c r="D985" s="232" t="s">
        <v>4835</v>
      </c>
      <c r="E985" s="231" t="s">
        <v>5073</v>
      </c>
      <c r="F985" s="233"/>
      <c r="G985" s="232" t="s">
        <v>4836</v>
      </c>
      <c r="H985" s="233"/>
      <c r="I985" s="233">
        <v>-118863.12999999998</v>
      </c>
      <c r="J985" s="623">
        <v>-73453917.930000007</v>
      </c>
      <c r="K985" s="624" t="s">
        <v>991</v>
      </c>
      <c r="L985" s="624" t="s">
        <v>4837</v>
      </c>
      <c r="M985" s="624" t="s">
        <v>4838</v>
      </c>
      <c r="N985" s="624" t="s">
        <v>4092</v>
      </c>
      <c r="O985" s="624"/>
      <c r="P985" s="624"/>
    </row>
    <row r="986" spans="1:16">
      <c r="A986" s="231" t="s">
        <v>684</v>
      </c>
      <c r="B986" s="231" t="s">
        <v>1353</v>
      </c>
      <c r="C986" s="618">
        <v>45260</v>
      </c>
      <c r="D986" s="231" t="s">
        <v>4840</v>
      </c>
      <c r="E986" s="231" t="s">
        <v>5074</v>
      </c>
      <c r="F986" s="619"/>
      <c r="G986" s="231" t="s">
        <v>4836</v>
      </c>
      <c r="H986" s="619"/>
      <c r="I986" s="619">
        <v>431173.82000000007</v>
      </c>
      <c r="J986" s="620">
        <v>266452737.61000001</v>
      </c>
      <c r="K986" s="621" t="s">
        <v>991</v>
      </c>
      <c r="L986" s="621" t="s">
        <v>4837</v>
      </c>
      <c r="M986" s="621" t="s">
        <v>4838</v>
      </c>
      <c r="N986" s="621" t="s">
        <v>4092</v>
      </c>
      <c r="O986" s="621"/>
      <c r="P986" s="621"/>
    </row>
    <row r="987" spans="1:16">
      <c r="A987" s="232" t="s">
        <v>684</v>
      </c>
      <c r="B987" s="232" t="s">
        <v>1353</v>
      </c>
      <c r="C987" s="622">
        <v>45260</v>
      </c>
      <c r="D987" s="232" t="s">
        <v>4843</v>
      </c>
      <c r="E987" s="231" t="s">
        <v>5074</v>
      </c>
      <c r="F987" s="233"/>
      <c r="G987" s="232" t="s">
        <v>4836</v>
      </c>
      <c r="H987" s="233"/>
      <c r="I987" s="233">
        <v>766484.28</v>
      </c>
      <c r="J987" s="623">
        <v>473664738.60000002</v>
      </c>
      <c r="K987" s="624" t="s">
        <v>991</v>
      </c>
      <c r="L987" s="624" t="s">
        <v>4837</v>
      </c>
      <c r="M987" s="624" t="s">
        <v>4838</v>
      </c>
      <c r="N987" s="624" t="s">
        <v>4092</v>
      </c>
      <c r="O987" s="624"/>
      <c r="P987" s="624"/>
    </row>
    <row r="988" spans="1:16">
      <c r="A988" s="231" t="s">
        <v>684</v>
      </c>
      <c r="B988" s="231" t="s">
        <v>1353</v>
      </c>
      <c r="C988" s="618">
        <v>45260</v>
      </c>
      <c r="D988" s="231" t="s">
        <v>4839</v>
      </c>
      <c r="E988" s="231" t="s">
        <v>5073</v>
      </c>
      <c r="F988" s="619"/>
      <c r="G988" s="231" t="s">
        <v>4836</v>
      </c>
      <c r="H988" s="619"/>
      <c r="I988" s="619">
        <v>10284.640000000001</v>
      </c>
      <c r="J988" s="620">
        <v>6355604.9900000002</v>
      </c>
      <c r="K988" s="621" t="s">
        <v>991</v>
      </c>
      <c r="L988" s="621" t="s">
        <v>4837</v>
      </c>
      <c r="M988" s="621" t="s">
        <v>4838</v>
      </c>
      <c r="N988" s="621" t="s">
        <v>4092</v>
      </c>
      <c r="O988" s="621"/>
      <c r="P988" s="621"/>
    </row>
    <row r="989" spans="1:16">
      <c r="A989" s="232" t="s">
        <v>684</v>
      </c>
      <c r="B989" s="232" t="s">
        <v>1353</v>
      </c>
      <c r="C989" s="622">
        <v>45260</v>
      </c>
      <c r="D989" s="232" t="s">
        <v>4841</v>
      </c>
      <c r="E989" s="231" t="s">
        <v>5073</v>
      </c>
      <c r="F989" s="233"/>
      <c r="G989" s="232" t="s">
        <v>4836</v>
      </c>
      <c r="H989" s="233"/>
      <c r="I989" s="233">
        <v>310134.38000000006</v>
      </c>
      <c r="J989" s="623">
        <v>191653924.09999999</v>
      </c>
      <c r="K989" s="624" t="s">
        <v>991</v>
      </c>
      <c r="L989" s="624" t="s">
        <v>4837</v>
      </c>
      <c r="M989" s="624" t="s">
        <v>4838</v>
      </c>
      <c r="N989" s="624" t="s">
        <v>4092</v>
      </c>
      <c r="O989" s="624"/>
      <c r="P989" s="624"/>
    </row>
    <row r="990" spans="1:16">
      <c r="A990" s="231" t="s">
        <v>684</v>
      </c>
      <c r="B990" s="231" t="s">
        <v>1353</v>
      </c>
      <c r="C990" s="618">
        <v>45260</v>
      </c>
      <c r="D990" s="231" t="s">
        <v>4844</v>
      </c>
      <c r="E990" s="231"/>
      <c r="F990" s="619"/>
      <c r="G990" s="231" t="s">
        <v>4836</v>
      </c>
      <c r="H990" s="619"/>
      <c r="I990" s="619">
        <v>278380.37000000005</v>
      </c>
      <c r="J990" s="620">
        <v>172030879.99000001</v>
      </c>
      <c r="K990" s="621" t="s">
        <v>991</v>
      </c>
      <c r="L990" s="621" t="s">
        <v>4837</v>
      </c>
      <c r="M990" s="621" t="s">
        <v>4838</v>
      </c>
      <c r="N990" s="621" t="s">
        <v>4092</v>
      </c>
      <c r="O990" s="621"/>
      <c r="P990" s="621"/>
    </row>
    <row r="991" spans="1:16">
      <c r="A991" s="232" t="s">
        <v>684</v>
      </c>
      <c r="B991" s="232" t="s">
        <v>1353</v>
      </c>
      <c r="C991" s="622">
        <v>45260</v>
      </c>
      <c r="D991" s="232" t="s">
        <v>4843</v>
      </c>
      <c r="E991" s="231" t="s">
        <v>5074</v>
      </c>
      <c r="F991" s="233">
        <v>726.66</v>
      </c>
      <c r="G991" s="232" t="s">
        <v>4836</v>
      </c>
      <c r="H991" s="233">
        <v>1804.05</v>
      </c>
      <c r="I991" s="233">
        <v>1310941.8</v>
      </c>
      <c r="J991" s="623">
        <v>781252562.57000005</v>
      </c>
      <c r="K991" s="624" t="s">
        <v>991</v>
      </c>
      <c r="L991" s="624" t="s">
        <v>4837</v>
      </c>
      <c r="M991" s="624" t="s">
        <v>4838</v>
      </c>
      <c r="N991" s="624" t="s">
        <v>4092</v>
      </c>
      <c r="O991" s="624"/>
      <c r="P991" s="624"/>
    </row>
    <row r="992" spans="1:16">
      <c r="A992" s="231" t="s">
        <v>684</v>
      </c>
      <c r="B992" s="231" t="s">
        <v>1353</v>
      </c>
      <c r="C992" s="618">
        <v>45260</v>
      </c>
      <c r="D992" s="231" t="s">
        <v>4840</v>
      </c>
      <c r="E992" s="231" t="s">
        <v>5074</v>
      </c>
      <c r="F992" s="619">
        <v>396.363</v>
      </c>
      <c r="G992" s="231" t="s">
        <v>4836</v>
      </c>
      <c r="H992" s="619">
        <v>1711.5</v>
      </c>
      <c r="I992" s="619">
        <v>678380.41</v>
      </c>
      <c r="J992" s="620">
        <v>404279147.80000001</v>
      </c>
      <c r="K992" s="621" t="s">
        <v>991</v>
      </c>
      <c r="L992" s="621" t="s">
        <v>4837</v>
      </c>
      <c r="M992" s="621" t="s">
        <v>4838</v>
      </c>
      <c r="N992" s="621" t="s">
        <v>4092</v>
      </c>
      <c r="O992" s="621"/>
      <c r="P992" s="621"/>
    </row>
    <row r="993" spans="1:16">
      <c r="A993" s="232" t="s">
        <v>684</v>
      </c>
      <c r="B993" s="232" t="s">
        <v>1353</v>
      </c>
      <c r="C993" s="622">
        <v>45260</v>
      </c>
      <c r="D993" s="232" t="s">
        <v>4840</v>
      </c>
      <c r="E993" s="231" t="s">
        <v>5074</v>
      </c>
      <c r="F993" s="233">
        <v>199.96100000000001</v>
      </c>
      <c r="G993" s="232" t="s">
        <v>4836</v>
      </c>
      <c r="H993" s="233">
        <v>1391.05</v>
      </c>
      <c r="I993" s="233">
        <v>278155.75</v>
      </c>
      <c r="J993" s="623">
        <v>165766239.56999999</v>
      </c>
      <c r="K993" s="624" t="s">
        <v>991</v>
      </c>
      <c r="L993" s="624" t="s">
        <v>4837</v>
      </c>
      <c r="M993" s="624" t="s">
        <v>4838</v>
      </c>
      <c r="N993" s="624" t="s">
        <v>4092</v>
      </c>
      <c r="O993" s="624"/>
      <c r="P993" s="624"/>
    </row>
    <row r="994" spans="1:16">
      <c r="A994" s="231" t="s">
        <v>684</v>
      </c>
      <c r="B994" s="231" t="s">
        <v>1353</v>
      </c>
      <c r="C994" s="618">
        <v>45260</v>
      </c>
      <c r="D994" s="231" t="s">
        <v>4843</v>
      </c>
      <c r="E994" s="231" t="s">
        <v>5074</v>
      </c>
      <c r="F994" s="619">
        <v>998.625</v>
      </c>
      <c r="G994" s="231" t="s">
        <v>4836</v>
      </c>
      <c r="H994" s="619">
        <v>1824.72</v>
      </c>
      <c r="I994" s="619">
        <v>1822211.01</v>
      </c>
      <c r="J994" s="620">
        <v>1085942199.05</v>
      </c>
      <c r="K994" s="621" t="s">
        <v>991</v>
      </c>
      <c r="L994" s="621" t="s">
        <v>4837</v>
      </c>
      <c r="M994" s="621" t="s">
        <v>4838</v>
      </c>
      <c r="N994" s="621" t="s">
        <v>4092</v>
      </c>
      <c r="O994" s="621"/>
      <c r="P994" s="621"/>
    </row>
    <row r="995" spans="1:16">
      <c r="A995" s="232" t="s">
        <v>684</v>
      </c>
      <c r="B995" s="232" t="s">
        <v>1353</v>
      </c>
      <c r="C995" s="622">
        <v>45260</v>
      </c>
      <c r="D995" s="232" t="s">
        <v>4841</v>
      </c>
      <c r="E995" s="231" t="s">
        <v>5073</v>
      </c>
      <c r="F995" s="233">
        <v>100</v>
      </c>
      <c r="G995" s="232" t="s">
        <v>4836</v>
      </c>
      <c r="H995" s="233">
        <v>1286.55</v>
      </c>
      <c r="I995" s="233">
        <v>128655</v>
      </c>
      <c r="J995" s="623">
        <v>76671632.900000006</v>
      </c>
      <c r="K995" s="624" t="s">
        <v>991</v>
      </c>
      <c r="L995" s="624" t="s">
        <v>4837</v>
      </c>
      <c r="M995" s="624" t="s">
        <v>4838</v>
      </c>
      <c r="N995" s="624" t="s">
        <v>4092</v>
      </c>
      <c r="O995" s="624"/>
      <c r="P995" s="624"/>
    </row>
    <row r="996" spans="1:16">
      <c r="A996" s="231" t="s">
        <v>684</v>
      </c>
      <c r="B996" s="231" t="s">
        <v>1353</v>
      </c>
      <c r="C996" s="618">
        <v>45264</v>
      </c>
      <c r="D996" s="231" t="s">
        <v>4843</v>
      </c>
      <c r="E996" s="231" t="s">
        <v>5074</v>
      </c>
      <c r="F996" s="619">
        <v>60.021999999999998</v>
      </c>
      <c r="G996" s="231" t="s">
        <v>4836</v>
      </c>
      <c r="H996" s="619">
        <v>1877.36</v>
      </c>
      <c r="I996" s="619">
        <v>112682.99</v>
      </c>
      <c r="J996" s="620">
        <v>67881319.280000001</v>
      </c>
      <c r="K996" s="621" t="s">
        <v>991</v>
      </c>
      <c r="L996" s="621" t="s">
        <v>4837</v>
      </c>
      <c r="M996" s="621" t="s">
        <v>4838</v>
      </c>
      <c r="N996" s="621" t="s">
        <v>4092</v>
      </c>
      <c r="O996" s="621"/>
      <c r="P996" s="621"/>
    </row>
    <row r="997" spans="1:16">
      <c r="A997" s="232" t="s">
        <v>684</v>
      </c>
      <c r="B997" s="232" t="s">
        <v>1353</v>
      </c>
      <c r="C997" s="622">
        <v>45265</v>
      </c>
      <c r="D997" s="232" t="s">
        <v>4842</v>
      </c>
      <c r="E997" s="231" t="s">
        <v>5073</v>
      </c>
      <c r="F997" s="233">
        <v>5000.3919999999998</v>
      </c>
      <c r="G997" s="232" t="s">
        <v>4836</v>
      </c>
      <c r="H997" s="233">
        <v>229.55</v>
      </c>
      <c r="I997" s="233">
        <v>1147839.98</v>
      </c>
      <c r="J997" s="623">
        <v>694818389.83000004</v>
      </c>
      <c r="K997" s="624" t="s">
        <v>991</v>
      </c>
      <c r="L997" s="624" t="s">
        <v>4837</v>
      </c>
      <c r="M997" s="624" t="s">
        <v>4838</v>
      </c>
      <c r="N997" s="624" t="s">
        <v>4092</v>
      </c>
      <c r="O997" s="624"/>
      <c r="P997" s="624"/>
    </row>
    <row r="998" spans="1:16">
      <c r="A998" s="231" t="s">
        <v>684</v>
      </c>
      <c r="B998" s="231" t="s">
        <v>1353</v>
      </c>
      <c r="C998" s="618">
        <v>45265</v>
      </c>
      <c r="D998" s="231" t="s">
        <v>4835</v>
      </c>
      <c r="E998" s="231" t="s">
        <v>5073</v>
      </c>
      <c r="F998" s="619">
        <v>10004</v>
      </c>
      <c r="G998" s="231" t="s">
        <v>4836</v>
      </c>
      <c r="H998" s="619">
        <v>273.2</v>
      </c>
      <c r="I998" s="619">
        <v>2733092.8</v>
      </c>
      <c r="J998" s="620">
        <v>1654414527.8499999</v>
      </c>
      <c r="K998" s="621" t="s">
        <v>991</v>
      </c>
      <c r="L998" s="621" t="s">
        <v>4837</v>
      </c>
      <c r="M998" s="621" t="s">
        <v>4838</v>
      </c>
      <c r="N998" s="621" t="s">
        <v>4092</v>
      </c>
      <c r="O998" s="621"/>
      <c r="P998" s="621"/>
    </row>
    <row r="999" spans="1:16">
      <c r="A999" s="232" t="s">
        <v>684</v>
      </c>
      <c r="B999" s="232" t="s">
        <v>1353</v>
      </c>
      <c r="C999" s="622">
        <v>45265</v>
      </c>
      <c r="D999" s="232" t="s">
        <v>4835</v>
      </c>
      <c r="E999" s="231" t="s">
        <v>5073</v>
      </c>
      <c r="F999" s="233">
        <v>10003.062</v>
      </c>
      <c r="G999" s="232" t="s">
        <v>4836</v>
      </c>
      <c r="H999" s="233">
        <v>268.35000000000002</v>
      </c>
      <c r="I999" s="233">
        <v>2684321.69</v>
      </c>
      <c r="J999" s="623">
        <v>1624892064.1600001</v>
      </c>
      <c r="K999" s="624" t="s">
        <v>991</v>
      </c>
      <c r="L999" s="624" t="s">
        <v>4837</v>
      </c>
      <c r="M999" s="624" t="s">
        <v>4838</v>
      </c>
      <c r="N999" s="624" t="s">
        <v>4092</v>
      </c>
      <c r="O999" s="624"/>
      <c r="P999" s="624"/>
    </row>
    <row r="1000" spans="1:16">
      <c r="A1000" s="231" t="s">
        <v>684</v>
      </c>
      <c r="B1000" s="231" t="s">
        <v>1353</v>
      </c>
      <c r="C1000" s="618">
        <v>45266</v>
      </c>
      <c r="D1000" s="231" t="s">
        <v>4843</v>
      </c>
      <c r="E1000" s="231" t="s">
        <v>5074</v>
      </c>
      <c r="F1000" s="619">
        <v>80.034999999999997</v>
      </c>
      <c r="G1000" s="231" t="s">
        <v>4836</v>
      </c>
      <c r="H1000" s="619">
        <v>1806.6</v>
      </c>
      <c r="I1000" s="619">
        <v>144591.23000000001</v>
      </c>
      <c r="J1000" s="620">
        <v>87897404.260000005</v>
      </c>
      <c r="K1000" s="621" t="s">
        <v>991</v>
      </c>
      <c r="L1000" s="621" t="s">
        <v>4837</v>
      </c>
      <c r="M1000" s="621" t="s">
        <v>4838</v>
      </c>
      <c r="N1000" s="621" t="s">
        <v>4092</v>
      </c>
      <c r="O1000" s="621"/>
      <c r="P1000" s="621"/>
    </row>
    <row r="1001" spans="1:16">
      <c r="A1001" s="232" t="s">
        <v>684</v>
      </c>
      <c r="B1001" s="232" t="s">
        <v>1353</v>
      </c>
      <c r="C1001" s="622">
        <v>45266</v>
      </c>
      <c r="D1001" s="232" t="s">
        <v>4843</v>
      </c>
      <c r="E1001" s="231" t="s">
        <v>5074</v>
      </c>
      <c r="F1001" s="233">
        <v>100.006</v>
      </c>
      <c r="G1001" s="232" t="s">
        <v>4836</v>
      </c>
      <c r="H1001" s="233">
        <v>2000.6</v>
      </c>
      <c r="I1001" s="233">
        <v>200072</v>
      </c>
      <c r="J1001" s="623">
        <v>121624316.11</v>
      </c>
      <c r="K1001" s="624" t="s">
        <v>991</v>
      </c>
      <c r="L1001" s="624" t="s">
        <v>4837</v>
      </c>
      <c r="M1001" s="624" t="s">
        <v>4838</v>
      </c>
      <c r="N1001" s="624" t="s">
        <v>4092</v>
      </c>
      <c r="O1001" s="624"/>
      <c r="P1001" s="624"/>
    </row>
    <row r="1002" spans="1:16">
      <c r="A1002" s="231" t="s">
        <v>684</v>
      </c>
      <c r="B1002" s="231" t="s">
        <v>1353</v>
      </c>
      <c r="C1002" s="618">
        <v>45270</v>
      </c>
      <c r="D1002" s="231" t="s">
        <v>4840</v>
      </c>
      <c r="E1002" s="231" t="s">
        <v>5074</v>
      </c>
      <c r="F1002" s="619">
        <v>20.004999999999999</v>
      </c>
      <c r="G1002" s="231" t="s">
        <v>4836</v>
      </c>
      <c r="H1002" s="619">
        <v>1764.31</v>
      </c>
      <c r="I1002" s="619">
        <v>35294.980000000003</v>
      </c>
      <c r="J1002" s="620">
        <v>21495115.710000001</v>
      </c>
      <c r="K1002" s="621" t="s">
        <v>991</v>
      </c>
      <c r="L1002" s="621" t="s">
        <v>4837</v>
      </c>
      <c r="M1002" s="621" t="s">
        <v>4838</v>
      </c>
      <c r="N1002" s="621" t="s">
        <v>4092</v>
      </c>
      <c r="O1002" s="621"/>
      <c r="P1002" s="621"/>
    </row>
    <row r="1003" spans="1:16">
      <c r="A1003" s="232" t="s">
        <v>684</v>
      </c>
      <c r="B1003" s="232" t="s">
        <v>1353</v>
      </c>
      <c r="C1003" s="622">
        <v>45270</v>
      </c>
      <c r="D1003" s="232" t="s">
        <v>4840</v>
      </c>
      <c r="E1003" s="231" t="s">
        <v>5074</v>
      </c>
      <c r="F1003" s="233">
        <v>59.956000000000003</v>
      </c>
      <c r="G1003" s="232" t="s">
        <v>4836</v>
      </c>
      <c r="H1003" s="233">
        <v>1803.05</v>
      </c>
      <c r="I1003" s="233">
        <v>108103.67</v>
      </c>
      <c r="J1003" s="623">
        <v>65836583.43</v>
      </c>
      <c r="K1003" s="624" t="s">
        <v>991</v>
      </c>
      <c r="L1003" s="624" t="s">
        <v>4837</v>
      </c>
      <c r="M1003" s="624" t="s">
        <v>4838</v>
      </c>
      <c r="N1003" s="624" t="s">
        <v>4092</v>
      </c>
      <c r="O1003" s="624"/>
      <c r="P1003" s="624"/>
    </row>
    <row r="1004" spans="1:16">
      <c r="A1004" s="231" t="s">
        <v>684</v>
      </c>
      <c r="B1004" s="231" t="s">
        <v>1353</v>
      </c>
      <c r="C1004" s="618">
        <v>45270</v>
      </c>
      <c r="D1004" s="231" t="s">
        <v>4843</v>
      </c>
      <c r="E1004" s="231" t="s">
        <v>5074</v>
      </c>
      <c r="F1004" s="619">
        <v>292.42170394099998</v>
      </c>
      <c r="G1004" s="231" t="s">
        <v>4836</v>
      </c>
      <c r="H1004" s="619">
        <v>2025.07</v>
      </c>
      <c r="I1004" s="619">
        <v>592174.42000000004</v>
      </c>
      <c r="J1004" s="620">
        <v>360642155.91000003</v>
      </c>
      <c r="K1004" s="621" t="s">
        <v>991</v>
      </c>
      <c r="L1004" s="621" t="s">
        <v>4837</v>
      </c>
      <c r="M1004" s="621" t="s">
        <v>4838</v>
      </c>
      <c r="N1004" s="621" t="s">
        <v>4092</v>
      </c>
      <c r="O1004" s="621"/>
      <c r="P1004" s="621"/>
    </row>
    <row r="1005" spans="1:16">
      <c r="A1005" s="232" t="s">
        <v>684</v>
      </c>
      <c r="B1005" s="232" t="s">
        <v>1353</v>
      </c>
      <c r="C1005" s="622">
        <v>45270</v>
      </c>
      <c r="D1005" s="232" t="s">
        <v>4841</v>
      </c>
      <c r="E1005" s="231" t="s">
        <v>5073</v>
      </c>
      <c r="F1005" s="233">
        <v>60</v>
      </c>
      <c r="G1005" s="232" t="s">
        <v>4836</v>
      </c>
      <c r="H1005" s="233">
        <v>1296.3</v>
      </c>
      <c r="I1005" s="233">
        <v>77778</v>
      </c>
      <c r="J1005" s="623">
        <v>47367844.090000004</v>
      </c>
      <c r="K1005" s="624" t="s">
        <v>991</v>
      </c>
      <c r="L1005" s="624" t="s">
        <v>4837</v>
      </c>
      <c r="M1005" s="624" t="s">
        <v>4838</v>
      </c>
      <c r="N1005" s="624" t="s">
        <v>4092</v>
      </c>
      <c r="O1005" s="624"/>
      <c r="P1005" s="624"/>
    </row>
    <row r="1006" spans="1:16">
      <c r="A1006" s="231" t="s">
        <v>684</v>
      </c>
      <c r="B1006" s="231" t="s">
        <v>1353</v>
      </c>
      <c r="C1006" s="618">
        <v>45270</v>
      </c>
      <c r="D1006" s="231" t="s">
        <v>4841</v>
      </c>
      <c r="E1006" s="231" t="s">
        <v>5073</v>
      </c>
      <c r="F1006" s="619">
        <v>80</v>
      </c>
      <c r="G1006" s="231" t="s">
        <v>4836</v>
      </c>
      <c r="H1006" s="619">
        <v>1318.2</v>
      </c>
      <c r="I1006" s="619">
        <v>105456</v>
      </c>
      <c r="J1006" s="620">
        <v>64224116.93</v>
      </c>
      <c r="K1006" s="621" t="s">
        <v>991</v>
      </c>
      <c r="L1006" s="621" t="s">
        <v>4837</v>
      </c>
      <c r="M1006" s="621" t="s">
        <v>4838</v>
      </c>
      <c r="N1006" s="621" t="s">
        <v>4092</v>
      </c>
      <c r="O1006" s="621"/>
      <c r="P1006" s="621"/>
    </row>
    <row r="1007" spans="1:16">
      <c r="A1007" s="232" t="s">
        <v>684</v>
      </c>
      <c r="B1007" s="232" t="s">
        <v>1353</v>
      </c>
      <c r="C1007" s="622">
        <v>45270</v>
      </c>
      <c r="D1007" s="232" t="s">
        <v>4841</v>
      </c>
      <c r="E1007" s="231" t="s">
        <v>5073</v>
      </c>
      <c r="F1007" s="233">
        <v>60</v>
      </c>
      <c r="G1007" s="232" t="s">
        <v>4836</v>
      </c>
      <c r="H1007" s="233">
        <v>1318.93</v>
      </c>
      <c r="I1007" s="233">
        <v>79136.08</v>
      </c>
      <c r="J1007" s="623">
        <v>48194933.009999998</v>
      </c>
      <c r="K1007" s="624" t="s">
        <v>991</v>
      </c>
      <c r="L1007" s="624" t="s">
        <v>4837</v>
      </c>
      <c r="M1007" s="624" t="s">
        <v>4838</v>
      </c>
      <c r="N1007" s="624" t="s">
        <v>4092</v>
      </c>
      <c r="O1007" s="624"/>
      <c r="P1007" s="624"/>
    </row>
    <row r="1008" spans="1:16">
      <c r="A1008" s="231" t="s">
        <v>684</v>
      </c>
      <c r="B1008" s="231" t="s">
        <v>1353</v>
      </c>
      <c r="C1008" s="618">
        <v>45270</v>
      </c>
      <c r="D1008" s="231" t="s">
        <v>4841</v>
      </c>
      <c r="E1008" s="231" t="s">
        <v>5073</v>
      </c>
      <c r="F1008" s="619">
        <v>40</v>
      </c>
      <c r="G1008" s="231" t="s">
        <v>4836</v>
      </c>
      <c r="H1008" s="619">
        <v>1387.75</v>
      </c>
      <c r="I1008" s="619">
        <v>55510</v>
      </c>
      <c r="J1008" s="620">
        <v>33806333.740000002</v>
      </c>
      <c r="K1008" s="621" t="s">
        <v>991</v>
      </c>
      <c r="L1008" s="621" t="s">
        <v>4837</v>
      </c>
      <c r="M1008" s="621" t="s">
        <v>4838</v>
      </c>
      <c r="N1008" s="621" t="s">
        <v>4092</v>
      </c>
      <c r="O1008" s="621"/>
      <c r="P1008" s="621"/>
    </row>
    <row r="1009" spans="1:16">
      <c r="A1009" s="232" t="s">
        <v>684</v>
      </c>
      <c r="B1009" s="232" t="s">
        <v>1353</v>
      </c>
      <c r="C1009" s="622">
        <v>45270</v>
      </c>
      <c r="D1009" s="232" t="s">
        <v>4841</v>
      </c>
      <c r="E1009" s="231" t="s">
        <v>5073</v>
      </c>
      <c r="F1009" s="233">
        <v>40</v>
      </c>
      <c r="G1009" s="232" t="s">
        <v>4836</v>
      </c>
      <c r="H1009" s="233">
        <v>1408.15</v>
      </c>
      <c r="I1009" s="233">
        <v>56326</v>
      </c>
      <c r="J1009" s="623">
        <v>34303288.670000002</v>
      </c>
      <c r="K1009" s="624" t="s">
        <v>991</v>
      </c>
      <c r="L1009" s="624" t="s">
        <v>4837</v>
      </c>
      <c r="M1009" s="624" t="s">
        <v>4838</v>
      </c>
      <c r="N1009" s="624" t="s">
        <v>4092</v>
      </c>
      <c r="O1009" s="624"/>
      <c r="P1009" s="624"/>
    </row>
    <row r="1010" spans="1:16">
      <c r="A1010" s="231" t="s">
        <v>684</v>
      </c>
      <c r="B1010" s="231" t="s">
        <v>1353</v>
      </c>
      <c r="C1010" s="618">
        <v>45272</v>
      </c>
      <c r="D1010" s="231" t="s">
        <v>4839</v>
      </c>
      <c r="E1010" s="231" t="s">
        <v>5073</v>
      </c>
      <c r="F1010" s="619">
        <v>120</v>
      </c>
      <c r="G1010" s="231" t="s">
        <v>4836</v>
      </c>
      <c r="H1010" s="619">
        <v>1970.75</v>
      </c>
      <c r="I1010" s="619">
        <v>236490</v>
      </c>
      <c r="J1010" s="620">
        <v>144113345.52000001</v>
      </c>
      <c r="K1010" s="621" t="s">
        <v>991</v>
      </c>
      <c r="L1010" s="621" t="s">
        <v>4837</v>
      </c>
      <c r="M1010" s="621" t="s">
        <v>4838</v>
      </c>
      <c r="N1010" s="621" t="s">
        <v>4092</v>
      </c>
      <c r="O1010" s="621"/>
      <c r="P1010" s="621"/>
    </row>
    <row r="1011" spans="1:16">
      <c r="A1011" s="232" t="s">
        <v>684</v>
      </c>
      <c r="B1011" s="232" t="s">
        <v>1353</v>
      </c>
      <c r="C1011" s="622">
        <v>45277</v>
      </c>
      <c r="D1011" s="232" t="s">
        <v>4840</v>
      </c>
      <c r="E1011" s="231" t="s">
        <v>5074</v>
      </c>
      <c r="F1011" s="233">
        <v>330.39375000000001</v>
      </c>
      <c r="G1011" s="232" t="s">
        <v>4836</v>
      </c>
      <c r="H1011" s="233">
        <v>1709.65</v>
      </c>
      <c r="I1011" s="233">
        <v>564863.23</v>
      </c>
      <c r="J1011" s="623">
        <v>339461075.72000003</v>
      </c>
      <c r="K1011" s="624" t="s">
        <v>991</v>
      </c>
      <c r="L1011" s="624" t="s">
        <v>4837</v>
      </c>
      <c r="M1011" s="624" t="s">
        <v>4838</v>
      </c>
      <c r="N1011" s="624" t="s">
        <v>4092</v>
      </c>
      <c r="O1011" s="624"/>
      <c r="P1011" s="624"/>
    </row>
    <row r="1012" spans="1:16">
      <c r="A1012" s="231" t="s">
        <v>684</v>
      </c>
      <c r="B1012" s="231" t="s">
        <v>1353</v>
      </c>
      <c r="C1012" s="618">
        <v>45277</v>
      </c>
      <c r="D1012" s="231" t="s">
        <v>4840</v>
      </c>
      <c r="E1012" s="231" t="s">
        <v>5074</v>
      </c>
      <c r="F1012" s="619">
        <v>352.26499999999999</v>
      </c>
      <c r="G1012" s="231" t="s">
        <v>4836</v>
      </c>
      <c r="H1012" s="619">
        <v>1709.65</v>
      </c>
      <c r="I1012" s="619">
        <v>602258.41</v>
      </c>
      <c r="J1012" s="620">
        <v>361934140.63</v>
      </c>
      <c r="K1012" s="621" t="s">
        <v>991</v>
      </c>
      <c r="L1012" s="621" t="s">
        <v>4837</v>
      </c>
      <c r="M1012" s="621" t="s">
        <v>4838</v>
      </c>
      <c r="N1012" s="621" t="s">
        <v>4092</v>
      </c>
      <c r="O1012" s="621"/>
      <c r="P1012" s="621"/>
    </row>
    <row r="1013" spans="1:16">
      <c r="A1013" s="232" t="s">
        <v>684</v>
      </c>
      <c r="B1013" s="232" t="s">
        <v>1353</v>
      </c>
      <c r="C1013" s="622">
        <v>45278</v>
      </c>
      <c r="D1013" s="232" t="s">
        <v>4843</v>
      </c>
      <c r="E1013" s="231" t="s">
        <v>5074</v>
      </c>
      <c r="F1013" s="233">
        <v>110.09</v>
      </c>
      <c r="G1013" s="232" t="s">
        <v>4836</v>
      </c>
      <c r="H1013" s="233">
        <v>1806.27</v>
      </c>
      <c r="I1013" s="233">
        <v>198852.26</v>
      </c>
      <c r="J1013" s="623">
        <v>119718398.56</v>
      </c>
      <c r="K1013" s="624" t="s">
        <v>991</v>
      </c>
      <c r="L1013" s="624" t="s">
        <v>4837</v>
      </c>
      <c r="M1013" s="624" t="s">
        <v>4838</v>
      </c>
      <c r="N1013" s="624" t="s">
        <v>4092</v>
      </c>
      <c r="O1013" s="624"/>
      <c r="P1013" s="624"/>
    </row>
    <row r="1014" spans="1:16">
      <c r="A1014" s="231" t="s">
        <v>684</v>
      </c>
      <c r="B1014" s="231" t="s">
        <v>1353</v>
      </c>
      <c r="C1014" s="618">
        <v>45279</v>
      </c>
      <c r="D1014" s="231" t="s">
        <v>4840</v>
      </c>
      <c r="E1014" s="231" t="s">
        <v>5074</v>
      </c>
      <c r="F1014" s="619">
        <v>176.4375</v>
      </c>
      <c r="G1014" s="231" t="s">
        <v>4836</v>
      </c>
      <c r="H1014" s="619">
        <v>1779.4</v>
      </c>
      <c r="I1014" s="619">
        <v>313955.56</v>
      </c>
      <c r="J1014" s="620">
        <v>188561897.90000001</v>
      </c>
      <c r="K1014" s="621" t="s">
        <v>991</v>
      </c>
      <c r="L1014" s="621" t="s">
        <v>4837</v>
      </c>
      <c r="M1014" s="621" t="s">
        <v>4838</v>
      </c>
      <c r="N1014" s="621" t="s">
        <v>4092</v>
      </c>
      <c r="O1014" s="621"/>
      <c r="P1014" s="621"/>
    </row>
    <row r="1015" spans="1:16">
      <c r="A1015" s="232" t="s">
        <v>684</v>
      </c>
      <c r="B1015" s="232" t="s">
        <v>1353</v>
      </c>
      <c r="C1015" s="622">
        <v>45279</v>
      </c>
      <c r="D1015" s="232" t="s">
        <v>4841</v>
      </c>
      <c r="E1015" s="231" t="s">
        <v>5073</v>
      </c>
      <c r="F1015" s="233">
        <v>40</v>
      </c>
      <c r="G1015" s="232" t="s">
        <v>4836</v>
      </c>
      <c r="H1015" s="233">
        <v>1323.04</v>
      </c>
      <c r="I1015" s="233">
        <v>52921.599999999999</v>
      </c>
      <c r="J1015" s="623">
        <v>31784744.739999998</v>
      </c>
      <c r="K1015" s="624" t="s">
        <v>991</v>
      </c>
      <c r="L1015" s="624" t="s">
        <v>4837</v>
      </c>
      <c r="M1015" s="624" t="s">
        <v>4838</v>
      </c>
      <c r="N1015" s="624" t="s">
        <v>4092</v>
      </c>
      <c r="O1015" s="624"/>
      <c r="P1015" s="624"/>
    </row>
    <row r="1016" spans="1:16">
      <c r="A1016" s="231" t="s">
        <v>684</v>
      </c>
      <c r="B1016" s="231" t="s">
        <v>1353</v>
      </c>
      <c r="C1016" s="618">
        <v>45282</v>
      </c>
      <c r="D1016" s="231" t="s">
        <v>4843</v>
      </c>
      <c r="E1016" s="231" t="s">
        <v>5074</v>
      </c>
      <c r="F1016" s="619"/>
      <c r="G1016" s="231" t="s">
        <v>4836</v>
      </c>
      <c r="H1016" s="619"/>
      <c r="I1016" s="619">
        <v>-587.16999999999996</v>
      </c>
      <c r="J1016" s="620">
        <v>-349922.53</v>
      </c>
      <c r="K1016" s="621" t="s">
        <v>991</v>
      </c>
      <c r="L1016" s="621" t="s">
        <v>4837</v>
      </c>
      <c r="M1016" s="621" t="s">
        <v>4838</v>
      </c>
      <c r="N1016" s="621" t="s">
        <v>4092</v>
      </c>
      <c r="O1016" s="621"/>
      <c r="P1016" s="621"/>
    </row>
    <row r="1017" spans="1:16">
      <c r="A1017" s="232" t="s">
        <v>684</v>
      </c>
      <c r="B1017" s="232" t="s">
        <v>1353</v>
      </c>
      <c r="C1017" s="622">
        <v>45284</v>
      </c>
      <c r="D1017" s="232" t="s">
        <v>4844</v>
      </c>
      <c r="E1017" s="232"/>
      <c r="F1017" s="233">
        <v>1783.107</v>
      </c>
      <c r="G1017" s="232" t="s">
        <v>4836</v>
      </c>
      <c r="H1017" s="233">
        <v>226.31</v>
      </c>
      <c r="I1017" s="233">
        <v>403541.66</v>
      </c>
      <c r="J1017" s="623">
        <v>240203369.05000001</v>
      </c>
      <c r="K1017" s="624" t="s">
        <v>991</v>
      </c>
      <c r="L1017" s="624" t="s">
        <v>4837</v>
      </c>
      <c r="M1017" s="624" t="s">
        <v>4838</v>
      </c>
      <c r="N1017" s="624" t="s">
        <v>4092</v>
      </c>
      <c r="O1017" s="624"/>
      <c r="P1017" s="624"/>
    </row>
    <row r="1018" spans="1:16">
      <c r="A1018" s="231" t="s">
        <v>684</v>
      </c>
      <c r="B1018" s="231" t="s">
        <v>1353</v>
      </c>
      <c r="C1018" s="618">
        <v>45289</v>
      </c>
      <c r="D1018" s="231" t="s">
        <v>4846</v>
      </c>
      <c r="E1018" s="231" t="s">
        <v>5073</v>
      </c>
      <c r="F1018" s="619"/>
      <c r="G1018" s="231" t="s">
        <v>4836</v>
      </c>
      <c r="H1018" s="619"/>
      <c r="I1018" s="619">
        <v>-4103100</v>
      </c>
      <c r="J1018" s="620">
        <v>-2432187314.7600002</v>
      </c>
      <c r="K1018" s="621" t="s">
        <v>991</v>
      </c>
      <c r="L1018" s="621" t="s">
        <v>4837</v>
      </c>
      <c r="M1018" s="621" t="s">
        <v>4838</v>
      </c>
      <c r="N1018" s="621" t="s">
        <v>4092</v>
      </c>
      <c r="O1018" s="621"/>
      <c r="P1018" s="621"/>
    </row>
    <row r="1019" spans="1:16">
      <c r="A1019" s="232" t="s">
        <v>684</v>
      </c>
      <c r="B1019" s="232" t="s">
        <v>1353</v>
      </c>
      <c r="C1019" s="622">
        <v>45289</v>
      </c>
      <c r="D1019" s="232" t="s">
        <v>4846</v>
      </c>
      <c r="E1019" s="231" t="s">
        <v>5073</v>
      </c>
      <c r="F1019" s="233"/>
      <c r="G1019" s="232" t="s">
        <v>4836</v>
      </c>
      <c r="H1019" s="233"/>
      <c r="I1019" s="233">
        <v>4103100</v>
      </c>
      <c r="J1019" s="623">
        <v>2423567631.4200001</v>
      </c>
      <c r="K1019" s="624" t="s">
        <v>991</v>
      </c>
      <c r="L1019" s="624" t="s">
        <v>4837</v>
      </c>
      <c r="M1019" s="624" t="s">
        <v>4838</v>
      </c>
      <c r="N1019" s="624" t="s">
        <v>4092</v>
      </c>
      <c r="O1019" s="624"/>
      <c r="P1019" s="624"/>
    </row>
    <row r="1020" spans="1:16">
      <c r="A1020" s="231" t="s">
        <v>684</v>
      </c>
      <c r="B1020" s="231" t="s">
        <v>1353</v>
      </c>
      <c r="C1020" s="618">
        <v>45290</v>
      </c>
      <c r="D1020" s="231" t="s">
        <v>4840</v>
      </c>
      <c r="E1020" s="231" t="s">
        <v>5074</v>
      </c>
      <c r="F1020" s="619">
        <v>39.987000000000002</v>
      </c>
      <c r="G1020" s="231" t="s">
        <v>4836</v>
      </c>
      <c r="H1020" s="619">
        <v>1710.2</v>
      </c>
      <c r="I1020" s="619">
        <v>68385.77</v>
      </c>
      <c r="J1020" s="620">
        <v>40609127.079999998</v>
      </c>
      <c r="K1020" s="621" t="s">
        <v>991</v>
      </c>
      <c r="L1020" s="621" t="s">
        <v>4837</v>
      </c>
      <c r="M1020" s="621" t="s">
        <v>4838</v>
      </c>
      <c r="N1020" s="621" t="s">
        <v>4092</v>
      </c>
      <c r="O1020" s="621"/>
      <c r="P1020" s="621"/>
    </row>
    <row r="1021" spans="1:16">
      <c r="A1021" s="232" t="s">
        <v>684</v>
      </c>
      <c r="B1021" s="232" t="s">
        <v>1353</v>
      </c>
      <c r="C1021" s="622">
        <v>45290</v>
      </c>
      <c r="D1021" s="232" t="s">
        <v>4841</v>
      </c>
      <c r="E1021" s="231" t="s">
        <v>5073</v>
      </c>
      <c r="F1021" s="233">
        <v>40</v>
      </c>
      <c r="G1021" s="232" t="s">
        <v>4836</v>
      </c>
      <c r="H1021" s="233">
        <v>1393.95</v>
      </c>
      <c r="I1021" s="233">
        <v>55758</v>
      </c>
      <c r="J1021" s="623">
        <v>33110451.309999999</v>
      </c>
      <c r="K1021" s="624" t="s">
        <v>991</v>
      </c>
      <c r="L1021" s="624" t="s">
        <v>4837</v>
      </c>
      <c r="M1021" s="624" t="s">
        <v>4838</v>
      </c>
      <c r="N1021" s="624" t="s">
        <v>4092</v>
      </c>
      <c r="O1021" s="624"/>
      <c r="P1021" s="624"/>
    </row>
    <row r="1022" spans="1:16">
      <c r="A1022" s="231" t="s">
        <v>684</v>
      </c>
      <c r="B1022" s="231" t="s">
        <v>1353</v>
      </c>
      <c r="C1022" s="618">
        <v>45290</v>
      </c>
      <c r="D1022" s="231" t="s">
        <v>4840</v>
      </c>
      <c r="E1022" s="231" t="s">
        <v>5074</v>
      </c>
      <c r="F1022" s="619">
        <v>19.991</v>
      </c>
      <c r="G1022" s="231" t="s">
        <v>4836</v>
      </c>
      <c r="H1022" s="619">
        <v>1764.31</v>
      </c>
      <c r="I1022" s="619">
        <v>35270.28</v>
      </c>
      <c r="J1022" s="620">
        <v>20944346.789999999</v>
      </c>
      <c r="K1022" s="621" t="s">
        <v>991</v>
      </c>
      <c r="L1022" s="621" t="s">
        <v>4837</v>
      </c>
      <c r="M1022" s="621" t="s">
        <v>4838</v>
      </c>
      <c r="N1022" s="621" t="s">
        <v>4092</v>
      </c>
      <c r="O1022" s="621"/>
      <c r="P1022" s="621"/>
    </row>
    <row r="1023" spans="1:16">
      <c r="A1023" s="232" t="s">
        <v>684</v>
      </c>
      <c r="B1023" s="232" t="s">
        <v>1353</v>
      </c>
      <c r="C1023" s="622">
        <v>45290</v>
      </c>
      <c r="D1023" s="232" t="s">
        <v>4840</v>
      </c>
      <c r="E1023" s="231" t="s">
        <v>5074</v>
      </c>
      <c r="F1023" s="233">
        <v>59.984000000000002</v>
      </c>
      <c r="G1023" s="232" t="s">
        <v>4836</v>
      </c>
      <c r="H1023" s="233">
        <v>1730.55</v>
      </c>
      <c r="I1023" s="233">
        <v>103805.31</v>
      </c>
      <c r="J1023" s="623">
        <v>61642108.079999998</v>
      </c>
      <c r="K1023" s="624" t="s">
        <v>991</v>
      </c>
      <c r="L1023" s="624" t="s">
        <v>4837</v>
      </c>
      <c r="M1023" s="624" t="s">
        <v>4838</v>
      </c>
      <c r="N1023" s="624" t="s">
        <v>4092</v>
      </c>
      <c r="O1023" s="624"/>
      <c r="P1023" s="624"/>
    </row>
    <row r="1024" spans="1:16">
      <c r="A1024" s="231" t="s">
        <v>684</v>
      </c>
      <c r="B1024" s="231" t="s">
        <v>1353</v>
      </c>
      <c r="C1024" s="618">
        <v>45290</v>
      </c>
      <c r="D1024" s="231" t="s">
        <v>4840</v>
      </c>
      <c r="E1024" s="231" t="s">
        <v>5074</v>
      </c>
      <c r="F1024" s="619">
        <v>572.64075000000003</v>
      </c>
      <c r="G1024" s="231" t="s">
        <v>4836</v>
      </c>
      <c r="H1024" s="619">
        <v>1900.65</v>
      </c>
      <c r="I1024" s="619">
        <v>1088392.02</v>
      </c>
      <c r="J1024" s="620">
        <v>646313551.07000005</v>
      </c>
      <c r="K1024" s="621" t="s">
        <v>991</v>
      </c>
      <c r="L1024" s="621" t="s">
        <v>4837</v>
      </c>
      <c r="M1024" s="621" t="s">
        <v>4838</v>
      </c>
      <c r="N1024" s="621" t="s">
        <v>4092</v>
      </c>
      <c r="O1024" s="621"/>
      <c r="P1024" s="621"/>
    </row>
    <row r="1025" spans="1:16">
      <c r="A1025" s="232" t="s">
        <v>684</v>
      </c>
      <c r="B1025" s="232" t="s">
        <v>1353</v>
      </c>
      <c r="C1025" s="622">
        <v>45291</v>
      </c>
      <c r="D1025" s="232" t="s">
        <v>4846</v>
      </c>
      <c r="E1025" s="231" t="s">
        <v>5073</v>
      </c>
      <c r="F1025" s="233"/>
      <c r="G1025" s="232" t="s">
        <v>4836</v>
      </c>
      <c r="H1025" s="233"/>
      <c r="I1025" s="233">
        <v>-769594.54</v>
      </c>
      <c r="J1025" s="623">
        <v>-456808572.87226003</v>
      </c>
      <c r="K1025" s="624" t="s">
        <v>991</v>
      </c>
      <c r="L1025" s="624" t="s">
        <v>4837</v>
      </c>
      <c r="M1025" s="624" t="s">
        <v>4838</v>
      </c>
      <c r="N1025" s="624" t="s">
        <v>4092</v>
      </c>
      <c r="O1025" s="624"/>
      <c r="P1025" s="624"/>
    </row>
    <row r="1026" spans="1:16">
      <c r="A1026" s="231" t="s">
        <v>684</v>
      </c>
      <c r="B1026" s="231" t="s">
        <v>1353</v>
      </c>
      <c r="C1026" s="618">
        <v>45291</v>
      </c>
      <c r="D1026" s="231" t="s">
        <v>4842</v>
      </c>
      <c r="E1026" s="231" t="s">
        <v>5073</v>
      </c>
      <c r="F1026" s="619"/>
      <c r="G1026" s="231" t="s">
        <v>4836</v>
      </c>
      <c r="H1026" s="619"/>
      <c r="I1026" s="619">
        <v>-109942.08</v>
      </c>
      <c r="J1026" s="620">
        <v>-65258367.553180002</v>
      </c>
      <c r="K1026" s="621" t="s">
        <v>991</v>
      </c>
      <c r="L1026" s="621" t="s">
        <v>4837</v>
      </c>
      <c r="M1026" s="621" t="s">
        <v>4838</v>
      </c>
      <c r="N1026" s="621" t="s">
        <v>4092</v>
      </c>
      <c r="O1026" s="621"/>
      <c r="P1026" s="621"/>
    </row>
    <row r="1027" spans="1:16">
      <c r="A1027" s="232" t="s">
        <v>684</v>
      </c>
      <c r="B1027" s="232" t="s">
        <v>1353</v>
      </c>
      <c r="C1027" s="622">
        <v>45291</v>
      </c>
      <c r="D1027" s="232" t="s">
        <v>4835</v>
      </c>
      <c r="E1027" s="231" t="s">
        <v>5073</v>
      </c>
      <c r="F1027" s="233"/>
      <c r="G1027" s="232" t="s">
        <v>4836</v>
      </c>
      <c r="H1027" s="233"/>
      <c r="I1027" s="233">
        <v>-2088899.46</v>
      </c>
      <c r="J1027" s="623">
        <v>-1239908983.5104201</v>
      </c>
      <c r="K1027" s="624" t="s">
        <v>991</v>
      </c>
      <c r="L1027" s="624" t="s">
        <v>4837</v>
      </c>
      <c r="M1027" s="624" t="s">
        <v>4838</v>
      </c>
      <c r="N1027" s="624" t="s">
        <v>4092</v>
      </c>
      <c r="O1027" s="624"/>
      <c r="P1027" s="624"/>
    </row>
    <row r="1028" spans="1:16">
      <c r="A1028" s="231" t="s">
        <v>684</v>
      </c>
      <c r="B1028" s="231" t="s">
        <v>1353</v>
      </c>
      <c r="C1028" s="618">
        <v>45291</v>
      </c>
      <c r="D1028" s="231" t="s">
        <v>4840</v>
      </c>
      <c r="E1028" s="231" t="s">
        <v>5074</v>
      </c>
      <c r="F1028" s="619"/>
      <c r="G1028" s="231" t="s">
        <v>4836</v>
      </c>
      <c r="H1028" s="619"/>
      <c r="I1028" s="619">
        <v>-824565.58</v>
      </c>
      <c r="J1028" s="620">
        <v>-489437756.64884996</v>
      </c>
      <c r="K1028" s="621" t="s">
        <v>991</v>
      </c>
      <c r="L1028" s="621" t="s">
        <v>4837</v>
      </c>
      <c r="M1028" s="621" t="s">
        <v>4838</v>
      </c>
      <c r="N1028" s="621" t="s">
        <v>4092</v>
      </c>
      <c r="O1028" s="621"/>
      <c r="P1028" s="621"/>
    </row>
    <row r="1029" spans="1:16">
      <c r="A1029" s="232" t="s">
        <v>684</v>
      </c>
      <c r="B1029" s="232" t="s">
        <v>1353</v>
      </c>
      <c r="C1029" s="622">
        <v>45291</v>
      </c>
      <c r="D1029" s="232" t="s">
        <v>4843</v>
      </c>
      <c r="E1029" s="231" t="s">
        <v>5074</v>
      </c>
      <c r="F1029" s="233"/>
      <c r="G1029" s="232" t="s">
        <v>4836</v>
      </c>
      <c r="H1029" s="233"/>
      <c r="I1029" s="233">
        <v>-1264333.8899999999</v>
      </c>
      <c r="J1029" s="623">
        <v>-750471226.86157</v>
      </c>
      <c r="K1029" s="624" t="s">
        <v>991</v>
      </c>
      <c r="L1029" s="624" t="s">
        <v>4837</v>
      </c>
      <c r="M1029" s="624" t="s">
        <v>4838</v>
      </c>
      <c r="N1029" s="624" t="s">
        <v>4092</v>
      </c>
      <c r="O1029" s="624"/>
      <c r="P1029" s="624"/>
    </row>
    <row r="1030" spans="1:16">
      <c r="A1030" s="231" t="s">
        <v>684</v>
      </c>
      <c r="B1030" s="231" t="s">
        <v>1353</v>
      </c>
      <c r="C1030" s="618">
        <v>45291</v>
      </c>
      <c r="D1030" s="231" t="s">
        <v>4839</v>
      </c>
      <c r="E1030" s="231" t="s">
        <v>5073</v>
      </c>
      <c r="F1030" s="619"/>
      <c r="G1030" s="231" t="s">
        <v>4836</v>
      </c>
      <c r="H1030" s="619"/>
      <c r="I1030" s="619">
        <v>-109942.08</v>
      </c>
      <c r="J1030" s="620">
        <v>-65258367.553180002</v>
      </c>
      <c r="K1030" s="621" t="s">
        <v>991</v>
      </c>
      <c r="L1030" s="621" t="s">
        <v>4837</v>
      </c>
      <c r="M1030" s="621" t="s">
        <v>4838</v>
      </c>
      <c r="N1030" s="621" t="s">
        <v>4092</v>
      </c>
      <c r="O1030" s="621"/>
      <c r="P1030" s="621"/>
    </row>
    <row r="1031" spans="1:16">
      <c r="A1031" s="232" t="s">
        <v>684</v>
      </c>
      <c r="B1031" s="232" t="s">
        <v>1353</v>
      </c>
      <c r="C1031" s="622">
        <v>45291</v>
      </c>
      <c r="D1031" s="232" t="s">
        <v>4841</v>
      </c>
      <c r="E1031" s="231" t="s">
        <v>5073</v>
      </c>
      <c r="F1031" s="233"/>
      <c r="G1031" s="232" t="s">
        <v>4836</v>
      </c>
      <c r="H1031" s="233"/>
      <c r="I1031" s="233">
        <v>-180901.59</v>
      </c>
      <c r="J1031" s="623">
        <v>-107377836.11270005</v>
      </c>
      <c r="K1031" s="624" t="s">
        <v>991</v>
      </c>
      <c r="L1031" s="624" t="s">
        <v>4837</v>
      </c>
      <c r="M1031" s="624" t="s">
        <v>4838</v>
      </c>
      <c r="N1031" s="624" t="s">
        <v>4092</v>
      </c>
      <c r="O1031" s="624"/>
      <c r="P1031" s="624"/>
    </row>
    <row r="1032" spans="1:16">
      <c r="A1032" s="231" t="s">
        <v>684</v>
      </c>
      <c r="B1032" s="231" t="s">
        <v>1353</v>
      </c>
      <c r="C1032" s="618">
        <v>45291</v>
      </c>
      <c r="D1032" s="231" t="s">
        <v>4844</v>
      </c>
      <c r="E1032" s="231"/>
      <c r="F1032" s="619"/>
      <c r="G1032" s="231" t="s">
        <v>4836</v>
      </c>
      <c r="H1032" s="619"/>
      <c r="I1032" s="619">
        <v>-148924.64000000001</v>
      </c>
      <c r="J1032" s="620">
        <v>-88397266.546839938</v>
      </c>
      <c r="K1032" s="621" t="s">
        <v>991</v>
      </c>
      <c r="L1032" s="621" t="s">
        <v>4837</v>
      </c>
      <c r="M1032" s="621" t="s">
        <v>4838</v>
      </c>
      <c r="N1032" s="621" t="s">
        <v>4092</v>
      </c>
      <c r="O1032" s="621"/>
      <c r="P1032" s="621"/>
    </row>
    <row r="1033" spans="1:16">
      <c r="A1033" s="232" t="s">
        <v>684</v>
      </c>
      <c r="B1033" s="232" t="s">
        <v>1353</v>
      </c>
      <c r="C1033" s="622">
        <v>45291</v>
      </c>
      <c r="D1033" s="232" t="s">
        <v>4846</v>
      </c>
      <c r="E1033" s="231" t="s">
        <v>5073</v>
      </c>
      <c r="F1033" s="233"/>
      <c r="G1033" s="232" t="s">
        <v>4836</v>
      </c>
      <c r="H1033" s="233"/>
      <c r="I1033" s="233">
        <v>-17789.46</v>
      </c>
      <c r="J1033" s="623">
        <v>-10559296.366861099</v>
      </c>
      <c r="K1033" s="624" t="s">
        <v>991</v>
      </c>
      <c r="L1033" s="624" t="s">
        <v>4837</v>
      </c>
      <c r="M1033" s="624" t="s">
        <v>4838</v>
      </c>
      <c r="N1033" s="624" t="s">
        <v>4092</v>
      </c>
      <c r="O1033" s="624"/>
      <c r="P1033" s="624"/>
    </row>
    <row r="1034" spans="1:16">
      <c r="A1034" s="231" t="s">
        <v>684</v>
      </c>
      <c r="B1034" s="231" t="s">
        <v>1353</v>
      </c>
      <c r="C1034" s="618">
        <v>45291</v>
      </c>
      <c r="D1034" s="231" t="s">
        <v>4842</v>
      </c>
      <c r="E1034" s="231" t="s">
        <v>5073</v>
      </c>
      <c r="F1034" s="619"/>
      <c r="G1034" s="231" t="s">
        <v>4836</v>
      </c>
      <c r="H1034" s="619"/>
      <c r="I1034" s="619">
        <v>-2707.23</v>
      </c>
      <c r="J1034" s="620">
        <v>-1606929.0444807201</v>
      </c>
      <c r="K1034" s="621" t="s">
        <v>991</v>
      </c>
      <c r="L1034" s="621" t="s">
        <v>4837</v>
      </c>
      <c r="M1034" s="621" t="s">
        <v>4838</v>
      </c>
      <c r="N1034" s="621" t="s">
        <v>4092</v>
      </c>
      <c r="O1034" s="621"/>
      <c r="P1034" s="621"/>
    </row>
    <row r="1035" spans="1:16">
      <c r="A1035" s="232" t="s">
        <v>684</v>
      </c>
      <c r="B1035" s="232" t="s">
        <v>1353</v>
      </c>
      <c r="C1035" s="622">
        <v>45291</v>
      </c>
      <c r="D1035" s="232" t="s">
        <v>4835</v>
      </c>
      <c r="E1035" s="231" t="s">
        <v>5073</v>
      </c>
      <c r="F1035" s="233"/>
      <c r="G1035" s="232" t="s">
        <v>4836</v>
      </c>
      <c r="H1035" s="233"/>
      <c r="I1035" s="233">
        <v>-46641.96</v>
      </c>
      <c r="J1035" s="623">
        <v>-27685291.485475801</v>
      </c>
      <c r="K1035" s="624" t="s">
        <v>991</v>
      </c>
      <c r="L1035" s="624" t="s">
        <v>4837</v>
      </c>
      <c r="M1035" s="624" t="s">
        <v>4838</v>
      </c>
      <c r="N1035" s="624" t="s">
        <v>4092</v>
      </c>
      <c r="O1035" s="624"/>
      <c r="P1035" s="624"/>
    </row>
    <row r="1036" spans="1:16">
      <c r="A1036" s="231" t="s">
        <v>684</v>
      </c>
      <c r="B1036" s="231" t="s">
        <v>1353</v>
      </c>
      <c r="C1036" s="618">
        <v>45291</v>
      </c>
      <c r="D1036" s="231" t="s">
        <v>4840</v>
      </c>
      <c r="E1036" s="231" t="s">
        <v>5074</v>
      </c>
      <c r="F1036" s="619"/>
      <c r="G1036" s="231" t="s">
        <v>4836</v>
      </c>
      <c r="H1036" s="619"/>
      <c r="I1036" s="619">
        <v>-3085.88</v>
      </c>
      <c r="J1036" s="620">
        <v>-1831689.56391454</v>
      </c>
      <c r="K1036" s="621" t="s">
        <v>991</v>
      </c>
      <c r="L1036" s="621" t="s">
        <v>4837</v>
      </c>
      <c r="M1036" s="621" t="s">
        <v>4838</v>
      </c>
      <c r="N1036" s="621" t="s">
        <v>4092</v>
      </c>
      <c r="O1036" s="621"/>
      <c r="P1036" s="621"/>
    </row>
    <row r="1037" spans="1:16">
      <c r="A1037" s="232" t="s">
        <v>684</v>
      </c>
      <c r="B1037" s="232" t="s">
        <v>1353</v>
      </c>
      <c r="C1037" s="622">
        <v>45291</v>
      </c>
      <c r="D1037" s="232" t="s">
        <v>4843</v>
      </c>
      <c r="E1037" s="231" t="s">
        <v>5074</v>
      </c>
      <c r="F1037" s="233"/>
      <c r="G1037" s="232" t="s">
        <v>4836</v>
      </c>
      <c r="H1037" s="233"/>
      <c r="I1037" s="233">
        <v>-4486.91</v>
      </c>
      <c r="J1037" s="623">
        <v>-2663299.9785910398</v>
      </c>
      <c r="K1037" s="624" t="s">
        <v>991</v>
      </c>
      <c r="L1037" s="624" t="s">
        <v>4837</v>
      </c>
      <c r="M1037" s="624" t="s">
        <v>4838</v>
      </c>
      <c r="N1037" s="624" t="s">
        <v>4092</v>
      </c>
      <c r="O1037" s="624"/>
      <c r="P1037" s="624"/>
    </row>
    <row r="1038" spans="1:16">
      <c r="A1038" s="231" t="s">
        <v>684</v>
      </c>
      <c r="B1038" s="231" t="s">
        <v>1353</v>
      </c>
      <c r="C1038" s="618">
        <v>45291</v>
      </c>
      <c r="D1038" s="231" t="s">
        <v>4839</v>
      </c>
      <c r="E1038" s="231" t="s">
        <v>5073</v>
      </c>
      <c r="F1038" s="619"/>
      <c r="G1038" s="231" t="s">
        <v>4836</v>
      </c>
      <c r="H1038" s="619"/>
      <c r="I1038" s="619">
        <v>-487.59</v>
      </c>
      <c r="J1038" s="620">
        <v>-289417.26206577901</v>
      </c>
      <c r="K1038" s="621" t="s">
        <v>991</v>
      </c>
      <c r="L1038" s="621" t="s">
        <v>4837</v>
      </c>
      <c r="M1038" s="621" t="s">
        <v>4838</v>
      </c>
      <c r="N1038" s="621" t="s">
        <v>4092</v>
      </c>
      <c r="O1038" s="621"/>
      <c r="P1038" s="621"/>
    </row>
    <row r="1039" spans="1:16">
      <c r="A1039" s="232" t="s">
        <v>684</v>
      </c>
      <c r="B1039" s="232" t="s">
        <v>1353</v>
      </c>
      <c r="C1039" s="622">
        <v>45291</v>
      </c>
      <c r="D1039" s="232" t="s">
        <v>4841</v>
      </c>
      <c r="E1039" s="231" t="s">
        <v>5073</v>
      </c>
      <c r="F1039" s="233"/>
      <c r="G1039" s="232" t="s">
        <v>4836</v>
      </c>
      <c r="H1039" s="233"/>
      <c r="I1039" s="233">
        <v>-767.53</v>
      </c>
      <c r="J1039" s="623">
        <v>-455581.71233084798</v>
      </c>
      <c r="K1039" s="624" t="s">
        <v>991</v>
      </c>
      <c r="L1039" s="624" t="s">
        <v>4837</v>
      </c>
      <c r="M1039" s="624" t="s">
        <v>4838</v>
      </c>
      <c r="N1039" s="624" t="s">
        <v>4092</v>
      </c>
      <c r="O1039" s="624"/>
      <c r="P1039" s="624"/>
    </row>
    <row r="1040" spans="1:16">
      <c r="A1040" s="231" t="s">
        <v>684</v>
      </c>
      <c r="B1040" s="231" t="s">
        <v>1353</v>
      </c>
      <c r="C1040" s="618">
        <v>45291</v>
      </c>
      <c r="D1040" s="231" t="s">
        <v>4844</v>
      </c>
      <c r="E1040" s="231"/>
      <c r="F1040" s="619"/>
      <c r="G1040" s="231" t="s">
        <v>4836</v>
      </c>
      <c r="H1040" s="619"/>
      <c r="I1040" s="619">
        <v>-3978.86</v>
      </c>
      <c r="J1040" s="620">
        <v>-2361735.8802801999</v>
      </c>
      <c r="K1040" s="621" t="s">
        <v>991</v>
      </c>
      <c r="L1040" s="621" t="s">
        <v>4837</v>
      </c>
      <c r="M1040" s="621" t="s">
        <v>4838</v>
      </c>
      <c r="N1040" s="621" t="s">
        <v>4092</v>
      </c>
      <c r="O1040" s="621"/>
      <c r="P1040" s="621"/>
    </row>
    <row r="1041" spans="1:16">
      <c r="A1041" s="232" t="s">
        <v>684</v>
      </c>
      <c r="B1041" s="232" t="s">
        <v>1353</v>
      </c>
      <c r="C1041" s="622">
        <v>45291</v>
      </c>
      <c r="D1041" s="232" t="s">
        <v>4846</v>
      </c>
      <c r="E1041" s="231" t="s">
        <v>5073</v>
      </c>
      <c r="F1041" s="233"/>
      <c r="G1041" s="232" t="s">
        <v>4836</v>
      </c>
      <c r="H1041" s="233"/>
      <c r="I1041" s="233">
        <v>49154.27</v>
      </c>
      <c r="J1041" s="623">
        <v>29176521.920000002</v>
      </c>
      <c r="K1041" s="624" t="s">
        <v>991</v>
      </c>
      <c r="L1041" s="624" t="s">
        <v>4837</v>
      </c>
      <c r="M1041" s="624" t="s">
        <v>4838</v>
      </c>
      <c r="N1041" s="624" t="s">
        <v>4092</v>
      </c>
      <c r="O1041" s="624"/>
      <c r="P1041" s="624"/>
    </row>
    <row r="1042" spans="1:16">
      <c r="A1042" s="231" t="s">
        <v>684</v>
      </c>
      <c r="B1042" s="231" t="s">
        <v>1353</v>
      </c>
      <c r="C1042" s="618">
        <v>45291</v>
      </c>
      <c r="D1042" s="231" t="s">
        <v>4842</v>
      </c>
      <c r="E1042" s="231" t="s">
        <v>5073</v>
      </c>
      <c r="F1042" s="619"/>
      <c r="G1042" s="231" t="s">
        <v>4836</v>
      </c>
      <c r="H1042" s="619"/>
      <c r="I1042" s="619">
        <v>27899.23</v>
      </c>
      <c r="J1042" s="620">
        <v>16560158.359999999</v>
      </c>
      <c r="K1042" s="621" t="s">
        <v>991</v>
      </c>
      <c r="L1042" s="621" t="s">
        <v>4837</v>
      </c>
      <c r="M1042" s="621" t="s">
        <v>4838</v>
      </c>
      <c r="N1042" s="621" t="s">
        <v>4092</v>
      </c>
      <c r="O1042" s="621"/>
      <c r="P1042" s="621"/>
    </row>
    <row r="1043" spans="1:16">
      <c r="A1043" s="232" t="s">
        <v>684</v>
      </c>
      <c r="B1043" s="232" t="s">
        <v>1353</v>
      </c>
      <c r="C1043" s="622">
        <v>45291</v>
      </c>
      <c r="D1043" s="232" t="s">
        <v>4835</v>
      </c>
      <c r="E1043" s="231" t="s">
        <v>5073</v>
      </c>
      <c r="F1043" s="233"/>
      <c r="G1043" s="232" t="s">
        <v>4836</v>
      </c>
      <c r="H1043" s="233"/>
      <c r="I1043" s="233">
        <v>972559.39000000013</v>
      </c>
      <c r="J1043" s="623">
        <v>577282509.85000002</v>
      </c>
      <c r="K1043" s="624" t="s">
        <v>991</v>
      </c>
      <c r="L1043" s="624" t="s">
        <v>4837</v>
      </c>
      <c r="M1043" s="624" t="s">
        <v>4838</v>
      </c>
      <c r="N1043" s="624" t="s">
        <v>4092</v>
      </c>
      <c r="O1043" s="624"/>
      <c r="P1043" s="624"/>
    </row>
    <row r="1044" spans="1:16">
      <c r="A1044" s="231" t="s">
        <v>684</v>
      </c>
      <c r="B1044" s="231" t="s">
        <v>1353</v>
      </c>
      <c r="C1044" s="618">
        <v>45291</v>
      </c>
      <c r="D1044" s="231" t="s">
        <v>4840</v>
      </c>
      <c r="E1044" s="231" t="s">
        <v>5074</v>
      </c>
      <c r="F1044" s="619"/>
      <c r="G1044" s="231" t="s">
        <v>4836</v>
      </c>
      <c r="H1044" s="619"/>
      <c r="I1044" s="619">
        <v>-401169.64</v>
      </c>
      <c r="J1044" s="620">
        <v>-238122441.71000001</v>
      </c>
      <c r="K1044" s="621" t="s">
        <v>991</v>
      </c>
      <c r="L1044" s="621" t="s">
        <v>4837</v>
      </c>
      <c r="M1044" s="621" t="s">
        <v>4838</v>
      </c>
      <c r="N1044" s="621" t="s">
        <v>4092</v>
      </c>
      <c r="O1044" s="621"/>
      <c r="P1044" s="621"/>
    </row>
    <row r="1045" spans="1:16">
      <c r="A1045" s="232" t="s">
        <v>684</v>
      </c>
      <c r="B1045" s="232" t="s">
        <v>1353</v>
      </c>
      <c r="C1045" s="622">
        <v>45291</v>
      </c>
      <c r="D1045" s="232" t="s">
        <v>4843</v>
      </c>
      <c r="E1045" s="231" t="s">
        <v>5074</v>
      </c>
      <c r="F1045" s="233"/>
      <c r="G1045" s="232" t="s">
        <v>4836</v>
      </c>
      <c r="H1045" s="233"/>
      <c r="I1045" s="233">
        <v>-1202551.2</v>
      </c>
      <c r="J1045" s="623">
        <v>-713798850.85000002</v>
      </c>
      <c r="K1045" s="624" t="s">
        <v>991</v>
      </c>
      <c r="L1045" s="624" t="s">
        <v>4837</v>
      </c>
      <c r="M1045" s="624" t="s">
        <v>4838</v>
      </c>
      <c r="N1045" s="624" t="s">
        <v>4092</v>
      </c>
      <c r="O1045" s="624"/>
      <c r="P1045" s="624"/>
    </row>
    <row r="1046" spans="1:16">
      <c r="A1046" s="231" t="s">
        <v>684</v>
      </c>
      <c r="B1046" s="231" t="s">
        <v>1353</v>
      </c>
      <c r="C1046" s="618">
        <v>45291</v>
      </c>
      <c r="D1046" s="231" t="s">
        <v>4839</v>
      </c>
      <c r="E1046" s="231" t="s">
        <v>5073</v>
      </c>
      <c r="F1046" s="619"/>
      <c r="G1046" s="231" t="s">
        <v>4836</v>
      </c>
      <c r="H1046" s="619"/>
      <c r="I1046" s="619">
        <v>-25309.07</v>
      </c>
      <c r="J1046" s="620">
        <v>-15022715.939999999</v>
      </c>
      <c r="K1046" s="621" t="s">
        <v>991</v>
      </c>
      <c r="L1046" s="621" t="s">
        <v>4837</v>
      </c>
      <c r="M1046" s="621" t="s">
        <v>4838</v>
      </c>
      <c r="N1046" s="621" t="s">
        <v>4092</v>
      </c>
      <c r="O1046" s="621"/>
      <c r="P1046" s="621"/>
    </row>
    <row r="1047" spans="1:16">
      <c r="A1047" s="232" t="s">
        <v>684</v>
      </c>
      <c r="B1047" s="232" t="s">
        <v>1353</v>
      </c>
      <c r="C1047" s="622">
        <v>45291</v>
      </c>
      <c r="D1047" s="232" t="s">
        <v>4841</v>
      </c>
      <c r="E1047" s="231" t="s">
        <v>5073</v>
      </c>
      <c r="F1047" s="233"/>
      <c r="G1047" s="232" t="s">
        <v>4836</v>
      </c>
      <c r="H1047" s="233"/>
      <c r="I1047" s="233">
        <v>-164629.1</v>
      </c>
      <c r="J1047" s="623">
        <v>-97718968.140000001</v>
      </c>
      <c r="K1047" s="624" t="s">
        <v>991</v>
      </c>
      <c r="L1047" s="624" t="s">
        <v>4837</v>
      </c>
      <c r="M1047" s="624" t="s">
        <v>4838</v>
      </c>
      <c r="N1047" s="624" t="s">
        <v>4092</v>
      </c>
      <c r="O1047" s="624"/>
      <c r="P1047" s="624"/>
    </row>
    <row r="1048" spans="1:16">
      <c r="A1048" s="231" t="s">
        <v>684</v>
      </c>
      <c r="B1048" s="231" t="s">
        <v>1353</v>
      </c>
      <c r="C1048" s="618">
        <v>45291</v>
      </c>
      <c r="D1048" s="231" t="s">
        <v>4844</v>
      </c>
      <c r="E1048" s="231"/>
      <c r="F1048" s="619"/>
      <c r="G1048" s="231" t="s">
        <v>4836</v>
      </c>
      <c r="H1048" s="619"/>
      <c r="I1048" s="619">
        <v>-864213.3</v>
      </c>
      <c r="J1048" s="620">
        <v>-512971473</v>
      </c>
      <c r="K1048" s="621" t="s">
        <v>991</v>
      </c>
      <c r="L1048" s="621" t="s">
        <v>4837</v>
      </c>
      <c r="M1048" s="621" t="s">
        <v>4838</v>
      </c>
      <c r="N1048" s="621" t="s">
        <v>4092</v>
      </c>
      <c r="O1048" s="621"/>
      <c r="P1048" s="621"/>
    </row>
    <row r="1049" spans="1:16">
      <c r="A1049" s="232" t="s">
        <v>684</v>
      </c>
      <c r="B1049" s="232" t="s">
        <v>1353</v>
      </c>
      <c r="C1049" s="622">
        <v>45291</v>
      </c>
      <c r="D1049" s="232" t="s">
        <v>4846</v>
      </c>
      <c r="E1049" s="231" t="s">
        <v>5073</v>
      </c>
      <c r="F1049" s="233"/>
      <c r="G1049" s="232" t="s">
        <v>4836</v>
      </c>
      <c r="H1049" s="233"/>
      <c r="I1049" s="233">
        <v>-41544.1</v>
      </c>
      <c r="J1049" s="623">
        <v>-24833582.399999999</v>
      </c>
      <c r="K1049" s="624" t="s">
        <v>991</v>
      </c>
      <c r="L1049" s="624" t="s">
        <v>4837</v>
      </c>
      <c r="M1049" s="624" t="s">
        <v>4838</v>
      </c>
      <c r="N1049" s="624" t="s">
        <v>4092</v>
      </c>
      <c r="O1049" s="624"/>
      <c r="P1049" s="624"/>
    </row>
    <row r="1050" spans="1:16">
      <c r="A1050" s="231" t="s">
        <v>684</v>
      </c>
      <c r="B1050" s="231" t="s">
        <v>1353</v>
      </c>
      <c r="C1050" s="618">
        <v>45291</v>
      </c>
      <c r="D1050" s="231" t="s">
        <v>4842</v>
      </c>
      <c r="E1050" s="231" t="s">
        <v>5073</v>
      </c>
      <c r="F1050" s="619"/>
      <c r="G1050" s="231" t="s">
        <v>4836</v>
      </c>
      <c r="H1050" s="619"/>
      <c r="I1050" s="619">
        <v>-14960.72</v>
      </c>
      <c r="J1050" s="620">
        <v>-8942985.2400000002</v>
      </c>
      <c r="K1050" s="621" t="s">
        <v>991</v>
      </c>
      <c r="L1050" s="621" t="s">
        <v>4837</v>
      </c>
      <c r="M1050" s="621" t="s">
        <v>4838</v>
      </c>
      <c r="N1050" s="621" t="s">
        <v>4092</v>
      </c>
      <c r="O1050" s="621"/>
      <c r="P1050" s="621"/>
    </row>
    <row r="1051" spans="1:16">
      <c r="A1051" s="232" t="s">
        <v>684</v>
      </c>
      <c r="B1051" s="232" t="s">
        <v>1353</v>
      </c>
      <c r="C1051" s="622">
        <v>45291</v>
      </c>
      <c r="D1051" s="232" t="s">
        <v>4835</v>
      </c>
      <c r="E1051" s="231" t="s">
        <v>5073</v>
      </c>
      <c r="F1051" s="233"/>
      <c r="G1051" s="232" t="s">
        <v>4836</v>
      </c>
      <c r="H1051" s="233"/>
      <c r="I1051" s="233">
        <v>-659258.1100000001</v>
      </c>
      <c r="J1051" s="623">
        <v>-394081003.05000001</v>
      </c>
      <c r="K1051" s="624" t="s">
        <v>991</v>
      </c>
      <c r="L1051" s="624" t="s">
        <v>4837</v>
      </c>
      <c r="M1051" s="624" t="s">
        <v>4838</v>
      </c>
      <c r="N1051" s="624" t="s">
        <v>4092</v>
      </c>
      <c r="O1051" s="624"/>
      <c r="P1051" s="624"/>
    </row>
    <row r="1052" spans="1:16">
      <c r="A1052" s="231" t="s">
        <v>684</v>
      </c>
      <c r="B1052" s="231" t="s">
        <v>1353</v>
      </c>
      <c r="C1052" s="618">
        <v>45291</v>
      </c>
      <c r="D1052" s="231" t="s">
        <v>4840</v>
      </c>
      <c r="E1052" s="231" t="s">
        <v>5074</v>
      </c>
      <c r="F1052" s="619"/>
      <c r="G1052" s="231" t="s">
        <v>4836</v>
      </c>
      <c r="H1052" s="619"/>
      <c r="I1052" s="619">
        <v>402921.44000000006</v>
      </c>
      <c r="J1052" s="620">
        <v>240852077.22999999</v>
      </c>
      <c r="K1052" s="621" t="s">
        <v>991</v>
      </c>
      <c r="L1052" s="621" t="s">
        <v>4837</v>
      </c>
      <c r="M1052" s="621" t="s">
        <v>4838</v>
      </c>
      <c r="N1052" s="621" t="s">
        <v>4092</v>
      </c>
      <c r="O1052" s="621"/>
      <c r="P1052" s="621"/>
    </row>
    <row r="1053" spans="1:16">
      <c r="A1053" s="232" t="s">
        <v>684</v>
      </c>
      <c r="B1053" s="232" t="s">
        <v>1353</v>
      </c>
      <c r="C1053" s="622">
        <v>45291</v>
      </c>
      <c r="D1053" s="232" t="s">
        <v>4843</v>
      </c>
      <c r="E1053" s="231" t="s">
        <v>5074</v>
      </c>
      <c r="F1053" s="233"/>
      <c r="G1053" s="232" t="s">
        <v>4836</v>
      </c>
      <c r="H1053" s="233"/>
      <c r="I1053" s="233">
        <v>729631.96</v>
      </c>
      <c r="J1053" s="623">
        <v>436147982.55000001</v>
      </c>
      <c r="K1053" s="624" t="s">
        <v>991</v>
      </c>
      <c r="L1053" s="624" t="s">
        <v>4837</v>
      </c>
      <c r="M1053" s="624" t="s">
        <v>4838</v>
      </c>
      <c r="N1053" s="624" t="s">
        <v>4092</v>
      </c>
      <c r="O1053" s="624"/>
      <c r="P1053" s="624"/>
    </row>
    <row r="1054" spans="1:16">
      <c r="A1054" s="231" t="s">
        <v>684</v>
      </c>
      <c r="B1054" s="231" t="s">
        <v>1353</v>
      </c>
      <c r="C1054" s="618">
        <v>45291</v>
      </c>
      <c r="D1054" s="231" t="s">
        <v>4839</v>
      </c>
      <c r="E1054" s="231" t="s">
        <v>5073</v>
      </c>
      <c r="F1054" s="619"/>
      <c r="G1054" s="231" t="s">
        <v>4836</v>
      </c>
      <c r="H1054" s="619"/>
      <c r="I1054" s="619">
        <v>15443.280000000004</v>
      </c>
      <c r="J1054" s="620">
        <v>9231442.4100000001</v>
      </c>
      <c r="K1054" s="621" t="s">
        <v>991</v>
      </c>
      <c r="L1054" s="621" t="s">
        <v>4837</v>
      </c>
      <c r="M1054" s="621" t="s">
        <v>4838</v>
      </c>
      <c r="N1054" s="621" t="s">
        <v>4092</v>
      </c>
      <c r="O1054" s="621"/>
      <c r="P1054" s="621"/>
    </row>
    <row r="1055" spans="1:16">
      <c r="A1055" s="232" t="s">
        <v>684</v>
      </c>
      <c r="B1055" s="232" t="s">
        <v>1353</v>
      </c>
      <c r="C1055" s="622">
        <v>45291</v>
      </c>
      <c r="D1055" s="232" t="s">
        <v>4841</v>
      </c>
      <c r="E1055" s="231" t="s">
        <v>5073</v>
      </c>
      <c r="F1055" s="233"/>
      <c r="G1055" s="232" t="s">
        <v>4836</v>
      </c>
      <c r="H1055" s="233"/>
      <c r="I1055" s="233">
        <v>178264.37999999998</v>
      </c>
      <c r="J1055" s="623">
        <v>106560093.25</v>
      </c>
      <c r="K1055" s="624" t="s">
        <v>991</v>
      </c>
      <c r="L1055" s="624" t="s">
        <v>4837</v>
      </c>
      <c r="M1055" s="624" t="s">
        <v>4838</v>
      </c>
      <c r="N1055" s="624" t="s">
        <v>4092</v>
      </c>
      <c r="O1055" s="624"/>
      <c r="P1055" s="624"/>
    </row>
    <row r="1056" spans="1:16">
      <c r="A1056" s="231" t="s">
        <v>684</v>
      </c>
      <c r="B1056" s="231" t="s">
        <v>1353</v>
      </c>
      <c r="C1056" s="618">
        <v>45291</v>
      </c>
      <c r="D1056" s="231" t="s">
        <v>4844</v>
      </c>
      <c r="E1056" s="231"/>
      <c r="F1056" s="619"/>
      <c r="G1056" s="231" t="s">
        <v>4836</v>
      </c>
      <c r="H1056" s="619"/>
      <c r="I1056" s="619">
        <v>838857.75999999989</v>
      </c>
      <c r="J1056" s="620">
        <v>501439273.12</v>
      </c>
      <c r="K1056" s="621" t="s">
        <v>991</v>
      </c>
      <c r="L1056" s="621" t="s">
        <v>4837</v>
      </c>
      <c r="M1056" s="621" t="s">
        <v>4838</v>
      </c>
      <c r="N1056" s="621" t="s">
        <v>4092</v>
      </c>
      <c r="O1056" s="621"/>
      <c r="P1056" s="621"/>
    </row>
    <row r="1057" spans="1:16">
      <c r="A1057" s="232" t="s">
        <v>684</v>
      </c>
      <c r="B1057" s="232" t="s">
        <v>1353</v>
      </c>
      <c r="C1057" s="622">
        <v>45291</v>
      </c>
      <c r="D1057" s="232" t="s">
        <v>4840</v>
      </c>
      <c r="E1057" s="231" t="s">
        <v>5074</v>
      </c>
      <c r="F1057" s="233">
        <v>242.17724999999999</v>
      </c>
      <c r="G1057" s="232" t="s">
        <v>4836</v>
      </c>
      <c r="H1057" s="233">
        <v>1748.73</v>
      </c>
      <c r="I1057" s="233">
        <v>423505.68</v>
      </c>
      <c r="J1057" s="623">
        <v>251338682.49000001</v>
      </c>
      <c r="K1057" s="624" t="s">
        <v>991</v>
      </c>
      <c r="L1057" s="624" t="s">
        <v>4837</v>
      </c>
      <c r="M1057" s="624" t="s">
        <v>4838</v>
      </c>
      <c r="N1057" s="624" t="s">
        <v>4092</v>
      </c>
      <c r="O1057" s="624"/>
      <c r="P1057" s="624"/>
    </row>
    <row r="1058" spans="1:16">
      <c r="A1058" s="231" t="s">
        <v>684</v>
      </c>
      <c r="B1058" s="231" t="s">
        <v>1353</v>
      </c>
      <c r="C1058" s="618">
        <v>45291</v>
      </c>
      <c r="D1058" s="231" t="s">
        <v>4839</v>
      </c>
      <c r="E1058" s="231" t="s">
        <v>5073</v>
      </c>
      <c r="F1058" s="619">
        <v>100</v>
      </c>
      <c r="G1058" s="231" t="s">
        <v>4836</v>
      </c>
      <c r="H1058" s="619">
        <v>1914.15</v>
      </c>
      <c r="I1058" s="619">
        <v>191414.7</v>
      </c>
      <c r="J1058" s="620">
        <v>113599228.48999999</v>
      </c>
      <c r="K1058" s="621" t="s">
        <v>991</v>
      </c>
      <c r="L1058" s="621" t="s">
        <v>4837</v>
      </c>
      <c r="M1058" s="621" t="s">
        <v>4838</v>
      </c>
      <c r="N1058" s="621" t="s">
        <v>4092</v>
      </c>
      <c r="O1058" s="621"/>
      <c r="P1058" s="621"/>
    </row>
    <row r="1059" spans="1:16">
      <c r="A1059" s="232" t="s">
        <v>684</v>
      </c>
      <c r="B1059" s="232" t="s">
        <v>1353</v>
      </c>
      <c r="C1059" s="622">
        <v>45291</v>
      </c>
      <c r="D1059" s="232" t="s">
        <v>4840</v>
      </c>
      <c r="E1059" s="231" t="s">
        <v>5074</v>
      </c>
      <c r="F1059" s="233">
        <v>379.92</v>
      </c>
      <c r="G1059" s="232" t="s">
        <v>4836</v>
      </c>
      <c r="H1059" s="233">
        <v>1416.05</v>
      </c>
      <c r="I1059" s="233">
        <v>537991.38</v>
      </c>
      <c r="J1059" s="623">
        <v>319282718.10000002</v>
      </c>
      <c r="K1059" s="624" t="s">
        <v>991</v>
      </c>
      <c r="L1059" s="624" t="s">
        <v>4837</v>
      </c>
      <c r="M1059" s="624" t="s">
        <v>4838</v>
      </c>
      <c r="N1059" s="624" t="s">
        <v>4092</v>
      </c>
      <c r="O1059" s="624"/>
      <c r="P1059" s="624"/>
    </row>
    <row r="1060" spans="1:16">
      <c r="A1060" s="231" t="s">
        <v>684</v>
      </c>
      <c r="B1060" s="231" t="s">
        <v>1353</v>
      </c>
      <c r="C1060" s="618">
        <v>45291</v>
      </c>
      <c r="D1060" s="231" t="s">
        <v>4841</v>
      </c>
      <c r="E1060" s="231" t="s">
        <v>5073</v>
      </c>
      <c r="F1060" s="619">
        <v>60</v>
      </c>
      <c r="G1060" s="231" t="s">
        <v>4836</v>
      </c>
      <c r="H1060" s="619">
        <v>1296.3</v>
      </c>
      <c r="I1060" s="619">
        <v>77778</v>
      </c>
      <c r="J1060" s="620">
        <v>46159050.450000003</v>
      </c>
      <c r="K1060" s="621" t="s">
        <v>991</v>
      </c>
      <c r="L1060" s="621" t="s">
        <v>4837</v>
      </c>
      <c r="M1060" s="621" t="s">
        <v>4838</v>
      </c>
      <c r="N1060" s="621" t="s">
        <v>4092</v>
      </c>
      <c r="O1060" s="621"/>
      <c r="P1060" s="621"/>
    </row>
    <row r="1061" spans="1:16">
      <c r="A1061" s="232" t="s">
        <v>684</v>
      </c>
      <c r="B1061" s="232" t="s">
        <v>1353</v>
      </c>
      <c r="C1061" s="622">
        <v>45291</v>
      </c>
      <c r="D1061" s="232" t="s">
        <v>4846</v>
      </c>
      <c r="E1061" s="231" t="s">
        <v>5073</v>
      </c>
      <c r="F1061" s="233">
        <v>15000</v>
      </c>
      <c r="G1061" s="232" t="s">
        <v>4836</v>
      </c>
      <c r="H1061" s="233">
        <v>276.45</v>
      </c>
      <c r="I1061" s="233">
        <v>4146750</v>
      </c>
      <c r="J1061" s="623">
        <v>2458061647.9000001</v>
      </c>
      <c r="K1061" s="624" t="s">
        <v>991</v>
      </c>
      <c r="L1061" s="624" t="s">
        <v>4837</v>
      </c>
      <c r="M1061" s="624" t="s">
        <v>4838</v>
      </c>
      <c r="N1061" s="624" t="s">
        <v>4092</v>
      </c>
      <c r="O1061" s="624"/>
      <c r="P1061" s="624"/>
    </row>
    <row r="1062" spans="1:16">
      <c r="A1062" s="231" t="s">
        <v>684</v>
      </c>
      <c r="B1062" s="231" t="s">
        <v>1353</v>
      </c>
      <c r="C1062" s="618">
        <v>45291</v>
      </c>
      <c r="D1062" s="231" t="s">
        <v>4835</v>
      </c>
      <c r="E1062" s="231" t="s">
        <v>5073</v>
      </c>
      <c r="F1062" s="619">
        <v>19619.332999999999</v>
      </c>
      <c r="G1062" s="231" t="s">
        <v>4836</v>
      </c>
      <c r="H1062" s="619">
        <v>267.55</v>
      </c>
      <c r="I1062" s="619">
        <v>5249219.25</v>
      </c>
      <c r="J1062" s="620">
        <v>3115263649.8499999</v>
      </c>
      <c r="K1062" s="621" t="s">
        <v>991</v>
      </c>
      <c r="L1062" s="621" t="s">
        <v>4837</v>
      </c>
      <c r="M1062" s="621" t="s">
        <v>4838</v>
      </c>
      <c r="N1062" s="621" t="s">
        <v>4092</v>
      </c>
      <c r="O1062" s="621"/>
      <c r="P1062" s="621"/>
    </row>
    <row r="1063" spans="1:16">
      <c r="A1063" s="232" t="s">
        <v>684</v>
      </c>
      <c r="B1063" s="232" t="s">
        <v>1353</v>
      </c>
      <c r="C1063" s="622">
        <v>45291</v>
      </c>
      <c r="D1063" s="232" t="s">
        <v>4839</v>
      </c>
      <c r="E1063" s="231" t="s">
        <v>5073</v>
      </c>
      <c r="F1063" s="233">
        <v>100</v>
      </c>
      <c r="G1063" s="232" t="s">
        <v>4836</v>
      </c>
      <c r="H1063" s="233">
        <v>1986.15</v>
      </c>
      <c r="I1063" s="233">
        <v>198615</v>
      </c>
      <c r="J1063" s="623">
        <v>117872403.56</v>
      </c>
      <c r="K1063" s="624" t="s">
        <v>991</v>
      </c>
      <c r="L1063" s="624" t="s">
        <v>4837</v>
      </c>
      <c r="M1063" s="624" t="s">
        <v>4838</v>
      </c>
      <c r="N1063" s="624" t="s">
        <v>4092</v>
      </c>
      <c r="O1063" s="624"/>
      <c r="P1063" s="624"/>
    </row>
    <row r="1064" spans="1:16">
      <c r="A1064" s="231" t="s">
        <v>684</v>
      </c>
      <c r="B1064" s="231" t="s">
        <v>1353</v>
      </c>
      <c r="C1064" s="618">
        <v>45291</v>
      </c>
      <c r="D1064" s="231" t="s">
        <v>4843</v>
      </c>
      <c r="E1064" s="231" t="s">
        <v>5074</v>
      </c>
      <c r="F1064" s="619">
        <v>197.52799999999999</v>
      </c>
      <c r="G1064" s="231" t="s">
        <v>4836</v>
      </c>
      <c r="H1064" s="619">
        <v>1608.4</v>
      </c>
      <c r="I1064" s="619">
        <v>317704.03999999998</v>
      </c>
      <c r="J1064" s="620">
        <v>188548391.69</v>
      </c>
      <c r="K1064" s="621" t="s">
        <v>991</v>
      </c>
      <c r="L1064" s="621" t="s">
        <v>4837</v>
      </c>
      <c r="M1064" s="621" t="s">
        <v>4838</v>
      </c>
      <c r="N1064" s="621" t="s">
        <v>4092</v>
      </c>
      <c r="O1064" s="621"/>
      <c r="P1064" s="621"/>
    </row>
    <row r="1065" spans="1:16">
      <c r="A1065" s="232" t="s">
        <v>684</v>
      </c>
      <c r="B1065" s="232" t="s">
        <v>1353</v>
      </c>
      <c r="C1065" s="622">
        <v>45291</v>
      </c>
      <c r="D1065" s="232" t="s">
        <v>4841</v>
      </c>
      <c r="E1065" s="231" t="s">
        <v>5073</v>
      </c>
      <c r="F1065" s="233">
        <v>140</v>
      </c>
      <c r="G1065" s="232" t="s">
        <v>4836</v>
      </c>
      <c r="H1065" s="233">
        <v>1311.85</v>
      </c>
      <c r="I1065" s="233">
        <v>183659</v>
      </c>
      <c r="J1065" s="623">
        <v>108996439.17</v>
      </c>
      <c r="K1065" s="624" t="s">
        <v>991</v>
      </c>
      <c r="L1065" s="624" t="s">
        <v>4837</v>
      </c>
      <c r="M1065" s="624" t="s">
        <v>4838</v>
      </c>
      <c r="N1065" s="624" t="s">
        <v>4092</v>
      </c>
      <c r="O1065" s="624"/>
      <c r="P1065" s="624"/>
    </row>
    <row r="1066" spans="1:16">
      <c r="A1066" s="231" t="s">
        <v>684</v>
      </c>
      <c r="B1066" s="231" t="s">
        <v>1353</v>
      </c>
      <c r="C1066" s="618">
        <v>45291</v>
      </c>
      <c r="D1066" s="231" t="s">
        <v>4844</v>
      </c>
      <c r="E1066" s="231"/>
      <c r="F1066" s="619">
        <v>770.77</v>
      </c>
      <c r="G1066" s="231" t="s">
        <v>4836</v>
      </c>
      <c r="H1066" s="619">
        <v>255.49</v>
      </c>
      <c r="I1066" s="619">
        <v>196923.41</v>
      </c>
      <c r="J1066" s="620">
        <v>116868492.58</v>
      </c>
      <c r="K1066" s="621" t="s">
        <v>991</v>
      </c>
      <c r="L1066" s="621" t="s">
        <v>4837</v>
      </c>
      <c r="M1066" s="621" t="s">
        <v>4838</v>
      </c>
      <c r="N1066" s="621" t="s">
        <v>4092</v>
      </c>
      <c r="O1066" s="621"/>
      <c r="P1066" s="621"/>
    </row>
    <row r="1067" spans="1:16">
      <c r="A1067" s="232" t="s">
        <v>684</v>
      </c>
      <c r="B1067" s="232" t="s">
        <v>1353</v>
      </c>
      <c r="C1067" s="622">
        <v>45291</v>
      </c>
      <c r="D1067" s="232" t="s">
        <v>4843</v>
      </c>
      <c r="E1067" s="231" t="s">
        <v>5074</v>
      </c>
      <c r="F1067" s="233">
        <v>242.23</v>
      </c>
      <c r="G1067" s="232" t="s">
        <v>4836</v>
      </c>
      <c r="H1067" s="233">
        <v>1821.48</v>
      </c>
      <c r="I1067" s="233">
        <v>441220.74</v>
      </c>
      <c r="J1067" s="623">
        <v>261852071.22</v>
      </c>
      <c r="K1067" s="624" t="s">
        <v>991</v>
      </c>
      <c r="L1067" s="624" t="s">
        <v>4837</v>
      </c>
      <c r="M1067" s="624" t="s">
        <v>4838</v>
      </c>
      <c r="N1067" s="624" t="s">
        <v>4092</v>
      </c>
      <c r="O1067" s="624"/>
      <c r="P1067" s="624"/>
    </row>
    <row r="1068" spans="1:16">
      <c r="A1068" s="231" t="s">
        <v>684</v>
      </c>
      <c r="B1068" s="231" t="s">
        <v>1353</v>
      </c>
      <c r="C1068" s="618">
        <v>45291</v>
      </c>
      <c r="D1068" s="231" t="s">
        <v>4843</v>
      </c>
      <c r="E1068" s="231" t="s">
        <v>5074</v>
      </c>
      <c r="F1068" s="619">
        <v>393.01900000000001</v>
      </c>
      <c r="G1068" s="231" t="s">
        <v>4836</v>
      </c>
      <c r="H1068" s="619">
        <v>1610.05</v>
      </c>
      <c r="I1068" s="619">
        <v>632780.24</v>
      </c>
      <c r="J1068" s="620">
        <v>375537234.42000002</v>
      </c>
      <c r="K1068" s="621" t="s">
        <v>991</v>
      </c>
      <c r="L1068" s="621" t="s">
        <v>4837</v>
      </c>
      <c r="M1068" s="621" t="s">
        <v>4838</v>
      </c>
      <c r="N1068" s="621" t="s">
        <v>4092</v>
      </c>
      <c r="O1068" s="621"/>
      <c r="P1068" s="621"/>
    </row>
    <row r="1069" spans="1:16">
      <c r="A1069" s="232" t="s">
        <v>684</v>
      </c>
      <c r="B1069" s="232" t="s">
        <v>1353</v>
      </c>
      <c r="C1069" s="622">
        <v>45291</v>
      </c>
      <c r="D1069" s="232" t="s">
        <v>4843</v>
      </c>
      <c r="E1069" s="231" t="s">
        <v>5074</v>
      </c>
      <c r="F1069" s="233">
        <v>97.545000000000002</v>
      </c>
      <c r="G1069" s="232" t="s">
        <v>4836</v>
      </c>
      <c r="H1069" s="233">
        <v>2023.06</v>
      </c>
      <c r="I1069" s="233">
        <v>197535.25</v>
      </c>
      <c r="J1069" s="623">
        <v>117231602.37</v>
      </c>
      <c r="K1069" s="624" t="s">
        <v>991</v>
      </c>
      <c r="L1069" s="624" t="s">
        <v>4837</v>
      </c>
      <c r="M1069" s="624" t="s">
        <v>4838</v>
      </c>
      <c r="N1069" s="624" t="s">
        <v>4092</v>
      </c>
      <c r="O1069" s="624"/>
      <c r="P1069" s="624"/>
    </row>
    <row r="1070" spans="1:16">
      <c r="A1070" s="231" t="s">
        <v>684</v>
      </c>
      <c r="B1070" s="231" t="s">
        <v>1353</v>
      </c>
      <c r="C1070" s="618">
        <v>45291</v>
      </c>
      <c r="D1070" s="231" t="s">
        <v>4840</v>
      </c>
      <c r="E1070" s="231" t="s">
        <v>5074</v>
      </c>
      <c r="F1070" s="619"/>
      <c r="G1070" s="231" t="s">
        <v>4836</v>
      </c>
      <c r="H1070" s="619"/>
      <c r="I1070" s="619">
        <v>-0.61</v>
      </c>
      <c r="J1070" s="620">
        <v>0.26</v>
      </c>
      <c r="K1070" s="621" t="s">
        <v>991</v>
      </c>
      <c r="L1070" s="621" t="s">
        <v>4837</v>
      </c>
      <c r="M1070" s="621" t="s">
        <v>4845</v>
      </c>
      <c r="N1070" s="621" t="s">
        <v>4092</v>
      </c>
      <c r="O1070" s="621"/>
      <c r="P1070" s="621"/>
    </row>
    <row r="1071" spans="1:16" ht="14">
      <c r="A1071" s="232" t="s">
        <v>1825</v>
      </c>
      <c r="B1071" s="232">
        <v>2292168</v>
      </c>
      <c r="C1071" s="622">
        <v>44985</v>
      </c>
      <c r="D1071" s="232" t="s">
        <v>4690</v>
      </c>
      <c r="E1071" s="708" t="s">
        <v>5069</v>
      </c>
      <c r="F1071" s="233">
        <v>3968.78</v>
      </c>
      <c r="G1071" s="232" t="s">
        <v>4770</v>
      </c>
      <c r="H1071" s="233">
        <v>8101.7043020777164</v>
      </c>
      <c r="I1071" s="233"/>
      <c r="J1071" s="623">
        <v>32153882</v>
      </c>
      <c r="K1071" s="624" t="s">
        <v>4847</v>
      </c>
      <c r="L1071" s="624"/>
      <c r="M1071" s="624" t="s">
        <v>4848</v>
      </c>
      <c r="N1071" s="624" t="s">
        <v>4693</v>
      </c>
      <c r="O1071" s="624"/>
      <c r="P1071" s="624"/>
    </row>
    <row r="1072" spans="1:16" ht="14">
      <c r="A1072" s="231" t="s">
        <v>1825</v>
      </c>
      <c r="B1072" s="231">
        <v>2292168</v>
      </c>
      <c r="C1072" s="618">
        <v>45016</v>
      </c>
      <c r="D1072" s="231" t="s">
        <v>4690</v>
      </c>
      <c r="E1072" s="708" t="s">
        <v>5069</v>
      </c>
      <c r="F1072" s="619">
        <v>6456.62</v>
      </c>
      <c r="G1072" s="231" t="s">
        <v>4770</v>
      </c>
      <c r="H1072" s="619">
        <v>8801.0695998835308</v>
      </c>
      <c r="I1072" s="619"/>
      <c r="J1072" s="620">
        <v>56825162</v>
      </c>
      <c r="K1072" s="621" t="s">
        <v>4847</v>
      </c>
      <c r="L1072" s="621"/>
      <c r="M1072" s="621" t="s">
        <v>4848</v>
      </c>
      <c r="N1072" s="621" t="s">
        <v>4693</v>
      </c>
      <c r="O1072" s="621"/>
      <c r="P1072" s="621"/>
    </row>
    <row r="1073" spans="1:16" ht="14">
      <c r="A1073" s="232" t="s">
        <v>1825</v>
      </c>
      <c r="B1073" s="232">
        <v>2292168</v>
      </c>
      <c r="C1073" s="622">
        <v>45046</v>
      </c>
      <c r="D1073" s="232" t="s">
        <v>4690</v>
      </c>
      <c r="E1073" s="708" t="s">
        <v>5069</v>
      </c>
      <c r="F1073" s="233">
        <v>1455.02</v>
      </c>
      <c r="G1073" s="232" t="s">
        <v>4770</v>
      </c>
      <c r="H1073" s="233">
        <v>7849.2886695715524</v>
      </c>
      <c r="I1073" s="233"/>
      <c r="J1073" s="623">
        <v>11420872</v>
      </c>
      <c r="K1073" s="624" t="s">
        <v>4847</v>
      </c>
      <c r="L1073" s="624"/>
      <c r="M1073" s="624" t="s">
        <v>4848</v>
      </c>
      <c r="N1073" s="624" t="s">
        <v>4693</v>
      </c>
      <c r="O1073" s="624"/>
      <c r="P1073" s="624"/>
    </row>
    <row r="1074" spans="1:16" ht="14">
      <c r="A1074" s="231" t="s">
        <v>1825</v>
      </c>
      <c r="B1074" s="231">
        <v>2292168</v>
      </c>
      <c r="C1074" s="618">
        <v>45077</v>
      </c>
      <c r="D1074" s="231" t="s">
        <v>4690</v>
      </c>
      <c r="E1074" s="708" t="s">
        <v>5069</v>
      </c>
      <c r="F1074" s="619">
        <v>4068.76</v>
      </c>
      <c r="G1074" s="231" t="s">
        <v>4770</v>
      </c>
      <c r="H1074" s="619">
        <v>6409.3655069357737</v>
      </c>
      <c r="I1074" s="619"/>
      <c r="J1074" s="620">
        <v>26078170</v>
      </c>
      <c r="K1074" s="621" t="s">
        <v>4847</v>
      </c>
      <c r="L1074" s="621"/>
      <c r="M1074" s="621" t="s">
        <v>4848</v>
      </c>
      <c r="N1074" s="621" t="s">
        <v>4693</v>
      </c>
      <c r="O1074" s="621"/>
      <c r="P1074" s="621"/>
    </row>
    <row r="1075" spans="1:16" ht="14">
      <c r="A1075" s="232" t="s">
        <v>1825</v>
      </c>
      <c r="B1075" s="232">
        <v>2292168</v>
      </c>
      <c r="C1075" s="622">
        <v>45107</v>
      </c>
      <c r="D1075" s="232" t="s">
        <v>4690</v>
      </c>
      <c r="E1075" s="708" t="s">
        <v>5069</v>
      </c>
      <c r="F1075" s="233">
        <v>5036.4799999999996</v>
      </c>
      <c r="G1075" s="232" t="s">
        <v>4770</v>
      </c>
      <c r="H1075" s="233">
        <v>7187.4420230001915</v>
      </c>
      <c r="I1075" s="233"/>
      <c r="J1075" s="623">
        <v>36199408</v>
      </c>
      <c r="K1075" s="624" t="s">
        <v>4847</v>
      </c>
      <c r="L1075" s="624"/>
      <c r="M1075" s="624" t="s">
        <v>4848</v>
      </c>
      <c r="N1075" s="624" t="s">
        <v>4693</v>
      </c>
      <c r="O1075" s="624"/>
      <c r="P1075" s="624"/>
    </row>
    <row r="1076" spans="1:16" ht="14">
      <c r="A1076" s="231" t="s">
        <v>1825</v>
      </c>
      <c r="B1076" s="231">
        <v>2292168</v>
      </c>
      <c r="C1076" s="618">
        <v>45169</v>
      </c>
      <c r="D1076" s="231" t="s">
        <v>4690</v>
      </c>
      <c r="E1076" s="708" t="s">
        <v>5069</v>
      </c>
      <c r="F1076" s="619">
        <v>4717.22</v>
      </c>
      <c r="G1076" s="231" t="s">
        <v>4770</v>
      </c>
      <c r="H1076" s="619">
        <v>9094.9224331279893</v>
      </c>
      <c r="I1076" s="619"/>
      <c r="J1076" s="620">
        <v>42902750</v>
      </c>
      <c r="K1076" s="621" t="s">
        <v>4847</v>
      </c>
      <c r="L1076" s="621"/>
      <c r="M1076" s="621" t="s">
        <v>4848</v>
      </c>
      <c r="N1076" s="621" t="s">
        <v>4693</v>
      </c>
      <c r="O1076" s="621"/>
      <c r="P1076" s="621"/>
    </row>
    <row r="1077" spans="1:16" ht="14">
      <c r="A1077" s="232" t="s">
        <v>1825</v>
      </c>
      <c r="B1077" s="232">
        <v>2292168</v>
      </c>
      <c r="C1077" s="622">
        <v>45199</v>
      </c>
      <c r="D1077" s="232" t="s">
        <v>4690</v>
      </c>
      <c r="E1077" s="708" t="s">
        <v>5069</v>
      </c>
      <c r="F1077" s="233">
        <v>5082.2</v>
      </c>
      <c r="G1077" s="232" t="s">
        <v>4770</v>
      </c>
      <c r="H1077" s="233">
        <v>8913.3753099051592</v>
      </c>
      <c r="I1077" s="233"/>
      <c r="J1077" s="623">
        <v>45299556</v>
      </c>
      <c r="K1077" s="624" t="s">
        <v>4847</v>
      </c>
      <c r="L1077" s="624"/>
      <c r="M1077" s="624" t="s">
        <v>4848</v>
      </c>
      <c r="N1077" s="624" t="s">
        <v>4693</v>
      </c>
      <c r="O1077" s="624"/>
      <c r="P1077" s="624"/>
    </row>
    <row r="1078" spans="1:16" ht="14">
      <c r="A1078" s="231" t="s">
        <v>1825</v>
      </c>
      <c r="B1078" s="231">
        <v>2292168</v>
      </c>
      <c r="C1078" s="618">
        <v>45230</v>
      </c>
      <c r="D1078" s="231" t="s">
        <v>4690</v>
      </c>
      <c r="E1078" s="708" t="s">
        <v>5069</v>
      </c>
      <c r="F1078" s="619">
        <v>8923.2000000000007</v>
      </c>
      <c r="G1078" s="231" t="s">
        <v>4770</v>
      </c>
      <c r="H1078" s="619">
        <v>8479.6570736955346</v>
      </c>
      <c r="I1078" s="619"/>
      <c r="J1078" s="620">
        <v>75665676</v>
      </c>
      <c r="K1078" s="621" t="s">
        <v>4847</v>
      </c>
      <c r="L1078" s="621"/>
      <c r="M1078" s="621" t="s">
        <v>4848</v>
      </c>
      <c r="N1078" s="621" t="s">
        <v>4693</v>
      </c>
      <c r="O1078" s="621"/>
      <c r="P1078" s="621"/>
    </row>
    <row r="1079" spans="1:16" ht="14">
      <c r="A1079" s="232" t="s">
        <v>1825</v>
      </c>
      <c r="B1079" s="232">
        <v>2292168</v>
      </c>
      <c r="C1079" s="622">
        <v>45230</v>
      </c>
      <c r="D1079" s="232" t="s">
        <v>4690</v>
      </c>
      <c r="E1079" s="708" t="s">
        <v>5069</v>
      </c>
      <c r="F1079" s="233">
        <v>26130.28</v>
      </c>
      <c r="G1079" s="232" t="s">
        <v>4770</v>
      </c>
      <c r="H1079" s="233">
        <v>9192.3766603342938</v>
      </c>
      <c r="I1079" s="233"/>
      <c r="J1079" s="623">
        <v>240199376</v>
      </c>
      <c r="K1079" s="624" t="s">
        <v>4847</v>
      </c>
      <c r="L1079" s="624"/>
      <c r="M1079" s="624" t="s">
        <v>4849</v>
      </c>
      <c r="N1079" s="624" t="s">
        <v>4693</v>
      </c>
      <c r="O1079" s="624"/>
      <c r="P1079" s="624"/>
    </row>
    <row r="1080" spans="1:16">
      <c r="A1080" s="231" t="s">
        <v>686</v>
      </c>
      <c r="B1080" s="231" t="s">
        <v>1864</v>
      </c>
      <c r="C1080" s="618">
        <v>44957</v>
      </c>
      <c r="D1080" s="231" t="s">
        <v>4850</v>
      </c>
      <c r="E1080" s="231" t="s">
        <v>5075</v>
      </c>
      <c r="F1080" s="619"/>
      <c r="G1080" s="231" t="s">
        <v>4851</v>
      </c>
      <c r="H1080" s="619"/>
      <c r="I1080" s="619">
        <v>-187986.66</v>
      </c>
      <c r="J1080" s="620">
        <v>-114029136.20999999</v>
      </c>
      <c r="K1080" s="621" t="s">
        <v>991</v>
      </c>
      <c r="L1080" s="621" t="s">
        <v>4852</v>
      </c>
      <c r="M1080" s="621" t="s">
        <v>4853</v>
      </c>
      <c r="N1080" s="621" t="s">
        <v>4854</v>
      </c>
      <c r="O1080" s="621"/>
      <c r="P1080" s="621"/>
    </row>
    <row r="1081" spans="1:16">
      <c r="A1081" s="232" t="s">
        <v>686</v>
      </c>
      <c r="B1081" s="232" t="s">
        <v>1864</v>
      </c>
      <c r="C1081" s="622">
        <v>44957</v>
      </c>
      <c r="D1081" s="232" t="s">
        <v>4850</v>
      </c>
      <c r="E1081" s="231" t="s">
        <v>5075</v>
      </c>
      <c r="F1081" s="233"/>
      <c r="G1081" s="232" t="s">
        <v>4851</v>
      </c>
      <c r="H1081" s="233"/>
      <c r="I1081" s="233">
        <v>-163321.22</v>
      </c>
      <c r="J1081" s="623">
        <v>-99067548.950000003</v>
      </c>
      <c r="K1081" s="624" t="s">
        <v>991</v>
      </c>
      <c r="L1081" s="624" t="s">
        <v>4852</v>
      </c>
      <c r="M1081" s="624" t="s">
        <v>4853</v>
      </c>
      <c r="N1081" s="624" t="s">
        <v>4854</v>
      </c>
      <c r="O1081" s="624"/>
      <c r="P1081" s="624"/>
    </row>
    <row r="1082" spans="1:16">
      <c r="A1082" s="231" t="s">
        <v>686</v>
      </c>
      <c r="B1082" s="231" t="s">
        <v>1864</v>
      </c>
      <c r="C1082" s="618">
        <v>44957</v>
      </c>
      <c r="D1082" s="231" t="s">
        <v>4855</v>
      </c>
      <c r="E1082" s="231" t="s">
        <v>5075</v>
      </c>
      <c r="F1082" s="619"/>
      <c r="G1082" s="231" t="s">
        <v>4851</v>
      </c>
      <c r="H1082" s="619"/>
      <c r="I1082" s="619">
        <v>-2032859.23</v>
      </c>
      <c r="J1082" s="620">
        <v>-1233093784.5899999</v>
      </c>
      <c r="K1082" s="621" t="s">
        <v>991</v>
      </c>
      <c r="L1082" s="621" t="s">
        <v>4852</v>
      </c>
      <c r="M1082" s="621" t="s">
        <v>4853</v>
      </c>
      <c r="N1082" s="621" t="s">
        <v>4854</v>
      </c>
      <c r="O1082" s="621"/>
      <c r="P1082" s="621"/>
    </row>
    <row r="1083" spans="1:16">
      <c r="A1083" s="232" t="s">
        <v>686</v>
      </c>
      <c r="B1083" s="232" t="s">
        <v>1864</v>
      </c>
      <c r="C1083" s="622">
        <v>44957</v>
      </c>
      <c r="D1083" s="232" t="s">
        <v>4855</v>
      </c>
      <c r="E1083" s="231" t="s">
        <v>5075</v>
      </c>
      <c r="F1083" s="233"/>
      <c r="G1083" s="232" t="s">
        <v>4851</v>
      </c>
      <c r="H1083" s="233"/>
      <c r="I1083" s="233">
        <v>-2340245.9300000002</v>
      </c>
      <c r="J1083" s="623">
        <v>-1419548716.47</v>
      </c>
      <c r="K1083" s="624" t="s">
        <v>991</v>
      </c>
      <c r="L1083" s="624" t="s">
        <v>4852</v>
      </c>
      <c r="M1083" s="624" t="s">
        <v>4853</v>
      </c>
      <c r="N1083" s="624" t="s">
        <v>4854</v>
      </c>
      <c r="O1083" s="624"/>
      <c r="P1083" s="624"/>
    </row>
    <row r="1084" spans="1:16">
      <c r="A1084" s="231" t="s">
        <v>686</v>
      </c>
      <c r="B1084" s="231" t="s">
        <v>1864</v>
      </c>
      <c r="C1084" s="618">
        <v>44957</v>
      </c>
      <c r="D1084" s="231" t="s">
        <v>4855</v>
      </c>
      <c r="E1084" s="231" t="s">
        <v>5075</v>
      </c>
      <c r="F1084" s="619"/>
      <c r="G1084" s="231" t="s">
        <v>4851</v>
      </c>
      <c r="H1084" s="619"/>
      <c r="I1084" s="619">
        <v>-1325681.1599999999</v>
      </c>
      <c r="J1084" s="620">
        <v>-804133003.71000004</v>
      </c>
      <c r="K1084" s="621" t="s">
        <v>991</v>
      </c>
      <c r="L1084" s="621" t="s">
        <v>4852</v>
      </c>
      <c r="M1084" s="621" t="s">
        <v>4856</v>
      </c>
      <c r="N1084" s="621" t="s">
        <v>4854</v>
      </c>
      <c r="O1084" s="621"/>
      <c r="P1084" s="621"/>
    </row>
    <row r="1085" spans="1:16">
      <c r="A1085" s="232" t="s">
        <v>686</v>
      </c>
      <c r="B1085" s="232" t="s">
        <v>1864</v>
      </c>
      <c r="C1085" s="622">
        <v>44957</v>
      </c>
      <c r="D1085" s="232" t="s">
        <v>4857</v>
      </c>
      <c r="E1085" s="232"/>
      <c r="F1085" s="233">
        <v>4</v>
      </c>
      <c r="G1085" s="232" t="s">
        <v>4851</v>
      </c>
      <c r="H1085" s="233"/>
      <c r="I1085" s="233"/>
      <c r="J1085" s="623">
        <v>424000</v>
      </c>
      <c r="K1085" s="624" t="s">
        <v>1130</v>
      </c>
      <c r="L1085" s="624" t="s">
        <v>4852</v>
      </c>
      <c r="M1085" s="624" t="s">
        <v>4858</v>
      </c>
      <c r="N1085" s="624" t="s">
        <v>4754</v>
      </c>
      <c r="O1085" s="624"/>
      <c r="P1085" s="624"/>
    </row>
    <row r="1086" spans="1:16">
      <c r="A1086" s="231" t="s">
        <v>686</v>
      </c>
      <c r="B1086" s="231" t="s">
        <v>1864</v>
      </c>
      <c r="C1086" s="618">
        <v>44957</v>
      </c>
      <c r="D1086" s="231" t="s">
        <v>4857</v>
      </c>
      <c r="E1086" s="231"/>
      <c r="F1086" s="619">
        <v>50</v>
      </c>
      <c r="G1086" s="231" t="s">
        <v>4851</v>
      </c>
      <c r="H1086" s="619"/>
      <c r="I1086" s="619"/>
      <c r="J1086" s="620">
        <v>5300000</v>
      </c>
      <c r="K1086" s="621" t="s">
        <v>1130</v>
      </c>
      <c r="L1086" s="621" t="s">
        <v>4852</v>
      </c>
      <c r="M1086" s="621" t="s">
        <v>4858</v>
      </c>
      <c r="N1086" s="621" t="s">
        <v>4754</v>
      </c>
      <c r="O1086" s="621"/>
      <c r="P1086" s="621"/>
    </row>
    <row r="1087" spans="1:16">
      <c r="A1087" s="232" t="s">
        <v>686</v>
      </c>
      <c r="B1087" s="232" t="s">
        <v>1864</v>
      </c>
      <c r="C1087" s="622">
        <v>44957</v>
      </c>
      <c r="D1087" s="232" t="s">
        <v>4857</v>
      </c>
      <c r="E1087" s="232"/>
      <c r="F1087" s="233">
        <v>46</v>
      </c>
      <c r="G1087" s="232" t="s">
        <v>4851</v>
      </c>
      <c r="H1087" s="233"/>
      <c r="I1087" s="233"/>
      <c r="J1087" s="623">
        <v>4876000</v>
      </c>
      <c r="K1087" s="624" t="s">
        <v>1130</v>
      </c>
      <c r="L1087" s="624" t="s">
        <v>4852</v>
      </c>
      <c r="M1087" s="624" t="s">
        <v>4858</v>
      </c>
      <c r="N1087" s="624" t="s">
        <v>4754</v>
      </c>
      <c r="O1087" s="624"/>
      <c r="P1087" s="624"/>
    </row>
    <row r="1088" spans="1:16">
      <c r="A1088" s="231" t="s">
        <v>686</v>
      </c>
      <c r="B1088" s="231" t="s">
        <v>1864</v>
      </c>
      <c r="C1088" s="618">
        <v>44957</v>
      </c>
      <c r="D1088" s="231" t="s">
        <v>4859</v>
      </c>
      <c r="E1088" s="231"/>
      <c r="F1088" s="619">
        <v>50.25</v>
      </c>
      <c r="G1088" s="231" t="s">
        <v>4851</v>
      </c>
      <c r="H1088" s="619"/>
      <c r="I1088" s="619"/>
      <c r="J1088" s="620">
        <v>5125500</v>
      </c>
      <c r="K1088" s="621" t="s">
        <v>1130</v>
      </c>
      <c r="L1088" s="621" t="s">
        <v>4852</v>
      </c>
      <c r="M1088" s="621" t="s">
        <v>4858</v>
      </c>
      <c r="N1088" s="621" t="s">
        <v>4754</v>
      </c>
      <c r="O1088" s="621"/>
      <c r="P1088" s="621"/>
    </row>
    <row r="1089" spans="1:16">
      <c r="A1089" s="232" t="s">
        <v>686</v>
      </c>
      <c r="B1089" s="232" t="s">
        <v>1864</v>
      </c>
      <c r="C1089" s="622">
        <v>44957</v>
      </c>
      <c r="D1089" s="232" t="s">
        <v>4859</v>
      </c>
      <c r="E1089" s="232"/>
      <c r="F1089" s="233">
        <v>50</v>
      </c>
      <c r="G1089" s="232" t="s">
        <v>4851</v>
      </c>
      <c r="H1089" s="233"/>
      <c r="I1089" s="233"/>
      <c r="J1089" s="623">
        <v>5100000</v>
      </c>
      <c r="K1089" s="624" t="s">
        <v>1130</v>
      </c>
      <c r="L1089" s="624" t="s">
        <v>4852</v>
      </c>
      <c r="M1089" s="624" t="s">
        <v>4858</v>
      </c>
      <c r="N1089" s="624" t="s">
        <v>4754</v>
      </c>
      <c r="O1089" s="624"/>
      <c r="P1089" s="624"/>
    </row>
    <row r="1090" spans="1:16">
      <c r="A1090" s="231" t="s">
        <v>686</v>
      </c>
      <c r="B1090" s="231" t="s">
        <v>1864</v>
      </c>
      <c r="C1090" s="618">
        <v>44957</v>
      </c>
      <c r="D1090" s="231" t="s">
        <v>4859</v>
      </c>
      <c r="E1090" s="231"/>
      <c r="F1090" s="619">
        <v>50.95</v>
      </c>
      <c r="G1090" s="231" t="s">
        <v>4851</v>
      </c>
      <c r="H1090" s="619"/>
      <c r="I1090" s="619"/>
      <c r="J1090" s="620">
        <v>5196900</v>
      </c>
      <c r="K1090" s="621" t="s">
        <v>1130</v>
      </c>
      <c r="L1090" s="621" t="s">
        <v>4852</v>
      </c>
      <c r="M1090" s="621" t="s">
        <v>4858</v>
      </c>
      <c r="N1090" s="621" t="s">
        <v>4754</v>
      </c>
      <c r="O1090" s="621"/>
      <c r="P1090" s="621"/>
    </row>
    <row r="1091" spans="1:16">
      <c r="A1091" s="232" t="s">
        <v>686</v>
      </c>
      <c r="B1091" s="232" t="s">
        <v>1864</v>
      </c>
      <c r="C1091" s="622">
        <v>44957</v>
      </c>
      <c r="D1091" s="232" t="s">
        <v>4860</v>
      </c>
      <c r="E1091" s="232" t="s">
        <v>5072</v>
      </c>
      <c r="F1091" s="233">
        <v>50.6</v>
      </c>
      <c r="G1091" s="232" t="s">
        <v>4851</v>
      </c>
      <c r="H1091" s="233"/>
      <c r="I1091" s="233"/>
      <c r="J1091" s="623">
        <v>303600</v>
      </c>
      <c r="K1091" s="624" t="s">
        <v>991</v>
      </c>
      <c r="L1091" s="624" t="s">
        <v>4852</v>
      </c>
      <c r="M1091" s="624" t="s">
        <v>4861</v>
      </c>
      <c r="N1091" s="624" t="s">
        <v>4754</v>
      </c>
      <c r="O1091" s="624"/>
      <c r="P1091" s="624"/>
    </row>
    <row r="1092" spans="1:16">
      <c r="A1092" s="231" t="s">
        <v>686</v>
      </c>
      <c r="B1092" s="231" t="s">
        <v>1864</v>
      </c>
      <c r="C1092" s="618">
        <v>44957</v>
      </c>
      <c r="D1092" s="231" t="s">
        <v>4860</v>
      </c>
      <c r="E1092" s="232" t="s">
        <v>5072</v>
      </c>
      <c r="F1092" s="619">
        <v>51.8</v>
      </c>
      <c r="G1092" s="231" t="s">
        <v>4851</v>
      </c>
      <c r="H1092" s="619"/>
      <c r="I1092" s="619"/>
      <c r="J1092" s="620">
        <v>310800</v>
      </c>
      <c r="K1092" s="621" t="s">
        <v>991</v>
      </c>
      <c r="L1092" s="621" t="s">
        <v>4852</v>
      </c>
      <c r="M1092" s="621" t="s">
        <v>4861</v>
      </c>
      <c r="N1092" s="621" t="s">
        <v>4754</v>
      </c>
      <c r="O1092" s="621"/>
      <c r="P1092" s="621"/>
    </row>
    <row r="1093" spans="1:16">
      <c r="A1093" s="232" t="s">
        <v>686</v>
      </c>
      <c r="B1093" s="232" t="s">
        <v>1864</v>
      </c>
      <c r="C1093" s="622">
        <v>44957</v>
      </c>
      <c r="D1093" s="232" t="s">
        <v>4860</v>
      </c>
      <c r="E1093" s="232" t="s">
        <v>5072</v>
      </c>
      <c r="F1093" s="233">
        <v>48.35</v>
      </c>
      <c r="G1093" s="232" t="s">
        <v>4851</v>
      </c>
      <c r="H1093" s="233"/>
      <c r="I1093" s="233"/>
      <c r="J1093" s="623">
        <v>290100</v>
      </c>
      <c r="K1093" s="624" t="s">
        <v>991</v>
      </c>
      <c r="L1093" s="624" t="s">
        <v>4852</v>
      </c>
      <c r="M1093" s="624" t="s">
        <v>4861</v>
      </c>
      <c r="N1093" s="624" t="s">
        <v>4754</v>
      </c>
      <c r="O1093" s="624"/>
      <c r="P1093" s="624"/>
    </row>
    <row r="1094" spans="1:16">
      <c r="A1094" s="231" t="s">
        <v>686</v>
      </c>
      <c r="B1094" s="231" t="s">
        <v>1864</v>
      </c>
      <c r="C1094" s="618">
        <v>44957</v>
      </c>
      <c r="D1094" s="231" t="s">
        <v>4860</v>
      </c>
      <c r="E1094" s="232" t="s">
        <v>5072</v>
      </c>
      <c r="F1094" s="619">
        <v>49.95</v>
      </c>
      <c r="G1094" s="231" t="s">
        <v>4851</v>
      </c>
      <c r="H1094" s="619"/>
      <c r="I1094" s="619"/>
      <c r="J1094" s="620">
        <v>299700</v>
      </c>
      <c r="K1094" s="621" t="s">
        <v>991</v>
      </c>
      <c r="L1094" s="621" t="s">
        <v>4852</v>
      </c>
      <c r="M1094" s="621" t="s">
        <v>4861</v>
      </c>
      <c r="N1094" s="621" t="s">
        <v>4754</v>
      </c>
      <c r="O1094" s="621"/>
      <c r="P1094" s="621"/>
    </row>
    <row r="1095" spans="1:16">
      <c r="A1095" s="232" t="s">
        <v>686</v>
      </c>
      <c r="B1095" s="232" t="s">
        <v>1864</v>
      </c>
      <c r="C1095" s="622">
        <v>44957</v>
      </c>
      <c r="D1095" s="232" t="s">
        <v>4860</v>
      </c>
      <c r="E1095" s="232" t="s">
        <v>5072</v>
      </c>
      <c r="F1095" s="233">
        <v>98.5</v>
      </c>
      <c r="G1095" s="232" t="s">
        <v>4851</v>
      </c>
      <c r="H1095" s="233"/>
      <c r="I1095" s="233"/>
      <c r="J1095" s="623">
        <v>591000</v>
      </c>
      <c r="K1095" s="624" t="s">
        <v>991</v>
      </c>
      <c r="L1095" s="624" t="s">
        <v>4852</v>
      </c>
      <c r="M1095" s="624" t="s">
        <v>4861</v>
      </c>
      <c r="N1095" s="624" t="s">
        <v>4754</v>
      </c>
      <c r="O1095" s="624"/>
      <c r="P1095" s="624"/>
    </row>
    <row r="1096" spans="1:16">
      <c r="A1096" s="231" t="s">
        <v>686</v>
      </c>
      <c r="B1096" s="231" t="s">
        <v>1864</v>
      </c>
      <c r="C1096" s="618">
        <v>44957</v>
      </c>
      <c r="D1096" s="231" t="s">
        <v>4860</v>
      </c>
      <c r="E1096" s="232" t="s">
        <v>5072</v>
      </c>
      <c r="F1096" s="619">
        <v>50.25</v>
      </c>
      <c r="G1096" s="231" t="s">
        <v>4851</v>
      </c>
      <c r="H1096" s="619"/>
      <c r="I1096" s="619"/>
      <c r="J1096" s="620">
        <v>301500</v>
      </c>
      <c r="K1096" s="621" t="s">
        <v>991</v>
      </c>
      <c r="L1096" s="621" t="s">
        <v>4852</v>
      </c>
      <c r="M1096" s="621" t="s">
        <v>4861</v>
      </c>
      <c r="N1096" s="621" t="s">
        <v>4754</v>
      </c>
      <c r="O1096" s="621"/>
      <c r="P1096" s="621"/>
    </row>
    <row r="1097" spans="1:16">
      <c r="A1097" s="232" t="s">
        <v>686</v>
      </c>
      <c r="B1097" s="232" t="s">
        <v>1864</v>
      </c>
      <c r="C1097" s="622">
        <v>44957</v>
      </c>
      <c r="D1097" s="232" t="s">
        <v>4860</v>
      </c>
      <c r="E1097" s="232" t="s">
        <v>5072</v>
      </c>
      <c r="F1097" s="233">
        <v>51.4</v>
      </c>
      <c r="G1097" s="232" t="s">
        <v>4851</v>
      </c>
      <c r="H1097" s="233"/>
      <c r="I1097" s="233"/>
      <c r="J1097" s="623">
        <v>308400</v>
      </c>
      <c r="K1097" s="624" t="s">
        <v>991</v>
      </c>
      <c r="L1097" s="624" t="s">
        <v>4852</v>
      </c>
      <c r="M1097" s="624" t="s">
        <v>4861</v>
      </c>
      <c r="N1097" s="624" t="s">
        <v>4754</v>
      </c>
      <c r="O1097" s="624"/>
      <c r="P1097" s="624"/>
    </row>
    <row r="1098" spans="1:16">
      <c r="A1098" s="231" t="s">
        <v>686</v>
      </c>
      <c r="B1098" s="231" t="s">
        <v>1864</v>
      </c>
      <c r="C1098" s="618">
        <v>44957</v>
      </c>
      <c r="D1098" s="231" t="s">
        <v>4860</v>
      </c>
      <c r="E1098" s="232" t="s">
        <v>5072</v>
      </c>
      <c r="F1098" s="619">
        <v>51.75</v>
      </c>
      <c r="G1098" s="231" t="s">
        <v>4851</v>
      </c>
      <c r="H1098" s="619"/>
      <c r="I1098" s="619"/>
      <c r="J1098" s="620">
        <v>310500</v>
      </c>
      <c r="K1098" s="621" t="s">
        <v>991</v>
      </c>
      <c r="L1098" s="621" t="s">
        <v>4852</v>
      </c>
      <c r="M1098" s="621" t="s">
        <v>4861</v>
      </c>
      <c r="N1098" s="621" t="s">
        <v>4754</v>
      </c>
      <c r="O1098" s="621"/>
      <c r="P1098" s="621"/>
    </row>
    <row r="1099" spans="1:16">
      <c r="A1099" s="232" t="s">
        <v>686</v>
      </c>
      <c r="B1099" s="232" t="s">
        <v>1864</v>
      </c>
      <c r="C1099" s="622">
        <v>44957</v>
      </c>
      <c r="D1099" s="232" t="s">
        <v>4860</v>
      </c>
      <c r="E1099" s="232" t="s">
        <v>5072</v>
      </c>
      <c r="F1099" s="233">
        <v>50.8</v>
      </c>
      <c r="G1099" s="232" t="s">
        <v>4851</v>
      </c>
      <c r="H1099" s="233"/>
      <c r="I1099" s="233"/>
      <c r="J1099" s="623">
        <v>304800</v>
      </c>
      <c r="K1099" s="624" t="s">
        <v>991</v>
      </c>
      <c r="L1099" s="624" t="s">
        <v>4852</v>
      </c>
      <c r="M1099" s="624" t="s">
        <v>4861</v>
      </c>
      <c r="N1099" s="624" t="s">
        <v>4754</v>
      </c>
      <c r="O1099" s="624"/>
      <c r="P1099" s="624"/>
    </row>
    <row r="1100" spans="1:16">
      <c r="A1100" s="231" t="s">
        <v>686</v>
      </c>
      <c r="B1100" s="231" t="s">
        <v>1864</v>
      </c>
      <c r="C1100" s="618">
        <v>44957</v>
      </c>
      <c r="D1100" s="231" t="s">
        <v>4860</v>
      </c>
      <c r="E1100" s="232" t="s">
        <v>5072</v>
      </c>
      <c r="F1100" s="619">
        <v>48.8</v>
      </c>
      <c r="G1100" s="231" t="s">
        <v>4851</v>
      </c>
      <c r="H1100" s="619"/>
      <c r="I1100" s="619"/>
      <c r="J1100" s="620">
        <v>292800</v>
      </c>
      <c r="K1100" s="621" t="s">
        <v>991</v>
      </c>
      <c r="L1100" s="621" t="s">
        <v>4852</v>
      </c>
      <c r="M1100" s="621" t="s">
        <v>4861</v>
      </c>
      <c r="N1100" s="621" t="s">
        <v>4754</v>
      </c>
      <c r="O1100" s="621"/>
      <c r="P1100" s="621"/>
    </row>
    <row r="1101" spans="1:16">
      <c r="A1101" s="232" t="s">
        <v>686</v>
      </c>
      <c r="B1101" s="232" t="s">
        <v>1864</v>
      </c>
      <c r="C1101" s="622">
        <v>44957</v>
      </c>
      <c r="D1101" s="232" t="s">
        <v>4860</v>
      </c>
      <c r="E1101" s="232" t="s">
        <v>5072</v>
      </c>
      <c r="F1101" s="233">
        <v>49.65</v>
      </c>
      <c r="G1101" s="232" t="s">
        <v>4851</v>
      </c>
      <c r="H1101" s="233"/>
      <c r="I1101" s="233"/>
      <c r="J1101" s="623">
        <v>297900</v>
      </c>
      <c r="K1101" s="624" t="s">
        <v>991</v>
      </c>
      <c r="L1101" s="624" t="s">
        <v>4852</v>
      </c>
      <c r="M1101" s="624" t="s">
        <v>4861</v>
      </c>
      <c r="N1101" s="624" t="s">
        <v>4754</v>
      </c>
      <c r="O1101" s="624"/>
      <c r="P1101" s="624"/>
    </row>
    <row r="1102" spans="1:16">
      <c r="A1102" s="231" t="s">
        <v>686</v>
      </c>
      <c r="B1102" s="231" t="s">
        <v>1864</v>
      </c>
      <c r="C1102" s="618">
        <v>44957</v>
      </c>
      <c r="D1102" s="231" t="s">
        <v>4859</v>
      </c>
      <c r="E1102" s="231"/>
      <c r="F1102" s="619">
        <v>0.01</v>
      </c>
      <c r="G1102" s="231" t="s">
        <v>4851</v>
      </c>
      <c r="H1102" s="619"/>
      <c r="I1102" s="619"/>
      <c r="J1102" s="620">
        <v>1020</v>
      </c>
      <c r="K1102" s="621" t="s">
        <v>1130</v>
      </c>
      <c r="L1102" s="621" t="s">
        <v>4852</v>
      </c>
      <c r="M1102" s="621" t="s">
        <v>4858</v>
      </c>
      <c r="N1102" s="621" t="s">
        <v>4754</v>
      </c>
      <c r="O1102" s="621"/>
      <c r="P1102" s="621"/>
    </row>
    <row r="1103" spans="1:16">
      <c r="A1103" s="232" t="s">
        <v>686</v>
      </c>
      <c r="B1103" s="232" t="s">
        <v>1864</v>
      </c>
      <c r="C1103" s="622">
        <v>44957</v>
      </c>
      <c r="D1103" s="232" t="s">
        <v>4859</v>
      </c>
      <c r="E1103" s="232"/>
      <c r="F1103" s="233">
        <v>0.35</v>
      </c>
      <c r="G1103" s="232" t="s">
        <v>4851</v>
      </c>
      <c r="H1103" s="233"/>
      <c r="I1103" s="233"/>
      <c r="J1103" s="623">
        <v>35700</v>
      </c>
      <c r="K1103" s="624" t="s">
        <v>1130</v>
      </c>
      <c r="L1103" s="624" t="s">
        <v>4852</v>
      </c>
      <c r="M1103" s="624" t="s">
        <v>4858</v>
      </c>
      <c r="N1103" s="624" t="s">
        <v>4754</v>
      </c>
      <c r="O1103" s="624"/>
      <c r="P1103" s="624"/>
    </row>
    <row r="1104" spans="1:16">
      <c r="A1104" s="231" t="s">
        <v>686</v>
      </c>
      <c r="B1104" s="231" t="s">
        <v>1864</v>
      </c>
      <c r="C1104" s="618">
        <v>44957</v>
      </c>
      <c r="D1104" s="231" t="s">
        <v>4859</v>
      </c>
      <c r="E1104" s="231"/>
      <c r="F1104" s="619">
        <v>49.7</v>
      </c>
      <c r="G1104" s="231" t="s">
        <v>4851</v>
      </c>
      <c r="H1104" s="619"/>
      <c r="I1104" s="619"/>
      <c r="J1104" s="620">
        <v>5069400</v>
      </c>
      <c r="K1104" s="621" t="s">
        <v>1130</v>
      </c>
      <c r="L1104" s="621" t="s">
        <v>4852</v>
      </c>
      <c r="M1104" s="621" t="s">
        <v>4858</v>
      </c>
      <c r="N1104" s="621" t="s">
        <v>4754</v>
      </c>
      <c r="O1104" s="621"/>
      <c r="P1104" s="621"/>
    </row>
    <row r="1105" spans="1:16">
      <c r="A1105" s="232" t="s">
        <v>686</v>
      </c>
      <c r="B1105" s="232" t="s">
        <v>1864</v>
      </c>
      <c r="C1105" s="622">
        <v>44957</v>
      </c>
      <c r="D1105" s="232" t="s">
        <v>4859</v>
      </c>
      <c r="E1105" s="232"/>
      <c r="F1105" s="233">
        <v>49.9</v>
      </c>
      <c r="G1105" s="232" t="s">
        <v>4851</v>
      </c>
      <c r="H1105" s="233"/>
      <c r="I1105" s="233"/>
      <c r="J1105" s="623">
        <v>5089800</v>
      </c>
      <c r="K1105" s="624" t="s">
        <v>1130</v>
      </c>
      <c r="L1105" s="624" t="s">
        <v>4852</v>
      </c>
      <c r="M1105" s="624" t="s">
        <v>4858</v>
      </c>
      <c r="N1105" s="624" t="s">
        <v>4754</v>
      </c>
      <c r="O1105" s="624"/>
      <c r="P1105" s="624"/>
    </row>
    <row r="1106" spans="1:16">
      <c r="A1106" s="231" t="s">
        <v>686</v>
      </c>
      <c r="B1106" s="231" t="s">
        <v>1864</v>
      </c>
      <c r="C1106" s="618">
        <v>44957</v>
      </c>
      <c r="D1106" s="231" t="s">
        <v>4859</v>
      </c>
      <c r="E1106" s="231"/>
      <c r="F1106" s="619">
        <v>49.65</v>
      </c>
      <c r="G1106" s="231" t="s">
        <v>4851</v>
      </c>
      <c r="H1106" s="619"/>
      <c r="I1106" s="619"/>
      <c r="J1106" s="620">
        <v>5064300</v>
      </c>
      <c r="K1106" s="621" t="s">
        <v>1130</v>
      </c>
      <c r="L1106" s="621" t="s">
        <v>4852</v>
      </c>
      <c r="M1106" s="621" t="s">
        <v>4858</v>
      </c>
      <c r="N1106" s="621" t="s">
        <v>4754</v>
      </c>
      <c r="O1106" s="621"/>
      <c r="P1106" s="621"/>
    </row>
    <row r="1107" spans="1:16">
      <c r="A1107" s="232" t="s">
        <v>686</v>
      </c>
      <c r="B1107" s="232" t="s">
        <v>1864</v>
      </c>
      <c r="C1107" s="622">
        <v>44957</v>
      </c>
      <c r="D1107" s="232" t="s">
        <v>4859</v>
      </c>
      <c r="E1107" s="232"/>
      <c r="F1107" s="233">
        <v>50.1</v>
      </c>
      <c r="G1107" s="232" t="s">
        <v>4851</v>
      </c>
      <c r="H1107" s="233"/>
      <c r="I1107" s="233"/>
      <c r="J1107" s="623">
        <v>5110200</v>
      </c>
      <c r="K1107" s="624" t="s">
        <v>1130</v>
      </c>
      <c r="L1107" s="624" t="s">
        <v>4852</v>
      </c>
      <c r="M1107" s="624" t="s">
        <v>4858</v>
      </c>
      <c r="N1107" s="624" t="s">
        <v>4754</v>
      </c>
      <c r="O1107" s="624"/>
      <c r="P1107" s="624"/>
    </row>
    <row r="1108" spans="1:16">
      <c r="A1108" s="231" t="s">
        <v>686</v>
      </c>
      <c r="B1108" s="231" t="s">
        <v>1864</v>
      </c>
      <c r="C1108" s="618">
        <v>44957</v>
      </c>
      <c r="D1108" s="231" t="s">
        <v>4859</v>
      </c>
      <c r="E1108" s="231"/>
      <c r="F1108" s="619">
        <v>48.39</v>
      </c>
      <c r="G1108" s="231" t="s">
        <v>4851</v>
      </c>
      <c r="H1108" s="619"/>
      <c r="I1108" s="619"/>
      <c r="J1108" s="620">
        <v>4935780</v>
      </c>
      <c r="K1108" s="621" t="s">
        <v>1130</v>
      </c>
      <c r="L1108" s="621" t="s">
        <v>4852</v>
      </c>
      <c r="M1108" s="621" t="s">
        <v>4858</v>
      </c>
      <c r="N1108" s="621" t="s">
        <v>4754</v>
      </c>
      <c r="O1108" s="621"/>
      <c r="P1108" s="621"/>
    </row>
    <row r="1109" spans="1:16">
      <c r="A1109" s="232" t="s">
        <v>686</v>
      </c>
      <c r="B1109" s="232" t="s">
        <v>1864</v>
      </c>
      <c r="C1109" s="622">
        <v>44957</v>
      </c>
      <c r="D1109" s="232" t="s">
        <v>4859</v>
      </c>
      <c r="E1109" s="232"/>
      <c r="F1109" s="233">
        <v>50.05</v>
      </c>
      <c r="G1109" s="232" t="s">
        <v>4851</v>
      </c>
      <c r="H1109" s="233"/>
      <c r="I1109" s="233"/>
      <c r="J1109" s="623">
        <v>5105100</v>
      </c>
      <c r="K1109" s="624" t="s">
        <v>1130</v>
      </c>
      <c r="L1109" s="624" t="s">
        <v>4852</v>
      </c>
      <c r="M1109" s="624" t="s">
        <v>4858</v>
      </c>
      <c r="N1109" s="624" t="s">
        <v>4754</v>
      </c>
      <c r="O1109" s="624"/>
      <c r="P1109" s="624"/>
    </row>
    <row r="1110" spans="1:16">
      <c r="A1110" s="231" t="s">
        <v>686</v>
      </c>
      <c r="B1110" s="231" t="s">
        <v>1864</v>
      </c>
      <c r="C1110" s="618">
        <v>44957</v>
      </c>
      <c r="D1110" s="231" t="s">
        <v>4859</v>
      </c>
      <c r="E1110" s="231"/>
      <c r="F1110" s="619">
        <v>50</v>
      </c>
      <c r="G1110" s="231" t="s">
        <v>4851</v>
      </c>
      <c r="H1110" s="619"/>
      <c r="I1110" s="619"/>
      <c r="J1110" s="620">
        <v>5100000</v>
      </c>
      <c r="K1110" s="621" t="s">
        <v>1130</v>
      </c>
      <c r="L1110" s="621" t="s">
        <v>4852</v>
      </c>
      <c r="M1110" s="621" t="s">
        <v>4858</v>
      </c>
      <c r="N1110" s="621" t="s">
        <v>4754</v>
      </c>
      <c r="O1110" s="621"/>
      <c r="P1110" s="621"/>
    </row>
    <row r="1111" spans="1:16">
      <c r="A1111" s="232" t="s">
        <v>686</v>
      </c>
      <c r="B1111" s="232" t="s">
        <v>1864</v>
      </c>
      <c r="C1111" s="622">
        <v>44957</v>
      </c>
      <c r="D1111" s="232" t="s">
        <v>4859</v>
      </c>
      <c r="E1111" s="232"/>
      <c r="F1111" s="233">
        <v>1.2</v>
      </c>
      <c r="G1111" s="232" t="s">
        <v>4851</v>
      </c>
      <c r="H1111" s="233"/>
      <c r="I1111" s="233"/>
      <c r="J1111" s="623">
        <v>122400</v>
      </c>
      <c r="K1111" s="624" t="s">
        <v>1130</v>
      </c>
      <c r="L1111" s="624" t="s">
        <v>4852</v>
      </c>
      <c r="M1111" s="624" t="s">
        <v>4858</v>
      </c>
      <c r="N1111" s="624" t="s">
        <v>4754</v>
      </c>
      <c r="O1111" s="624"/>
      <c r="P1111" s="624"/>
    </row>
    <row r="1112" spans="1:16">
      <c r="A1112" s="231" t="s">
        <v>686</v>
      </c>
      <c r="B1112" s="231" t="s">
        <v>1864</v>
      </c>
      <c r="C1112" s="618">
        <v>44957</v>
      </c>
      <c r="D1112" s="231" t="s">
        <v>4862</v>
      </c>
      <c r="E1112" s="231" t="s">
        <v>5076</v>
      </c>
      <c r="F1112" s="619">
        <v>11.65</v>
      </c>
      <c r="G1112" s="231" t="s">
        <v>4851</v>
      </c>
      <c r="H1112" s="619"/>
      <c r="I1112" s="619"/>
      <c r="J1112" s="620">
        <v>5417250</v>
      </c>
      <c r="K1112" s="621" t="s">
        <v>1130</v>
      </c>
      <c r="L1112" s="621" t="s">
        <v>4852</v>
      </c>
      <c r="M1112" s="621" t="s">
        <v>4863</v>
      </c>
      <c r="N1112" s="621" t="s">
        <v>4754</v>
      </c>
      <c r="O1112" s="621"/>
      <c r="P1112" s="621"/>
    </row>
    <row r="1113" spans="1:16">
      <c r="A1113" s="232" t="s">
        <v>686</v>
      </c>
      <c r="B1113" s="232" t="s">
        <v>1864</v>
      </c>
      <c r="C1113" s="622">
        <v>44957</v>
      </c>
      <c r="D1113" s="232" t="s">
        <v>4862</v>
      </c>
      <c r="E1113" s="231" t="s">
        <v>5076</v>
      </c>
      <c r="F1113" s="233">
        <v>43.35</v>
      </c>
      <c r="G1113" s="232" t="s">
        <v>4851</v>
      </c>
      <c r="H1113" s="233"/>
      <c r="I1113" s="233"/>
      <c r="J1113" s="623">
        <v>20157750</v>
      </c>
      <c r="K1113" s="624" t="s">
        <v>1130</v>
      </c>
      <c r="L1113" s="624" t="s">
        <v>4852</v>
      </c>
      <c r="M1113" s="624" t="s">
        <v>4863</v>
      </c>
      <c r="N1113" s="624" t="s">
        <v>4754</v>
      </c>
      <c r="O1113" s="624"/>
      <c r="P1113" s="624"/>
    </row>
    <row r="1114" spans="1:16">
      <c r="A1114" s="231" t="s">
        <v>686</v>
      </c>
      <c r="B1114" s="231" t="s">
        <v>1864</v>
      </c>
      <c r="C1114" s="618">
        <v>44957</v>
      </c>
      <c r="D1114" s="231" t="s">
        <v>4862</v>
      </c>
      <c r="E1114" s="231" t="s">
        <v>5076</v>
      </c>
      <c r="F1114" s="619">
        <v>50</v>
      </c>
      <c r="G1114" s="231" t="s">
        <v>4851</v>
      </c>
      <c r="H1114" s="619"/>
      <c r="I1114" s="619"/>
      <c r="J1114" s="620">
        <v>23250000</v>
      </c>
      <c r="K1114" s="621" t="s">
        <v>1130</v>
      </c>
      <c r="L1114" s="621" t="s">
        <v>4852</v>
      </c>
      <c r="M1114" s="621" t="s">
        <v>4863</v>
      </c>
      <c r="N1114" s="621" t="s">
        <v>4754</v>
      </c>
      <c r="O1114" s="621"/>
      <c r="P1114" s="621"/>
    </row>
    <row r="1115" spans="1:16">
      <c r="A1115" s="232" t="s">
        <v>686</v>
      </c>
      <c r="B1115" s="232" t="s">
        <v>1864</v>
      </c>
      <c r="C1115" s="622">
        <v>44957</v>
      </c>
      <c r="D1115" s="232" t="s">
        <v>4857</v>
      </c>
      <c r="E1115" s="232"/>
      <c r="F1115" s="233">
        <v>47.4</v>
      </c>
      <c r="G1115" s="232" t="s">
        <v>4851</v>
      </c>
      <c r="H1115" s="233"/>
      <c r="I1115" s="233"/>
      <c r="J1115" s="623">
        <v>5024400</v>
      </c>
      <c r="K1115" s="624" t="s">
        <v>1130</v>
      </c>
      <c r="L1115" s="624" t="s">
        <v>4852</v>
      </c>
      <c r="M1115" s="624" t="s">
        <v>4858</v>
      </c>
      <c r="N1115" s="624" t="s">
        <v>4754</v>
      </c>
      <c r="O1115" s="624"/>
      <c r="P1115" s="624"/>
    </row>
    <row r="1116" spans="1:16">
      <c r="A1116" s="231" t="s">
        <v>686</v>
      </c>
      <c r="B1116" s="231" t="s">
        <v>1864</v>
      </c>
      <c r="C1116" s="618">
        <v>44957</v>
      </c>
      <c r="D1116" s="231" t="s">
        <v>4864</v>
      </c>
      <c r="E1116" s="231" t="s">
        <v>5076</v>
      </c>
      <c r="F1116" s="619">
        <v>35</v>
      </c>
      <c r="G1116" s="231" t="s">
        <v>4851</v>
      </c>
      <c r="H1116" s="619"/>
      <c r="I1116" s="619"/>
      <c r="J1116" s="620">
        <v>12075000</v>
      </c>
      <c r="K1116" s="621" t="s">
        <v>1130</v>
      </c>
      <c r="L1116" s="621" t="s">
        <v>4852</v>
      </c>
      <c r="M1116" s="621" t="s">
        <v>4865</v>
      </c>
      <c r="N1116" s="621" t="s">
        <v>4866</v>
      </c>
      <c r="O1116" s="621"/>
      <c r="P1116" s="621"/>
    </row>
    <row r="1117" spans="1:16">
      <c r="A1117" s="232" t="s">
        <v>686</v>
      </c>
      <c r="B1117" s="232" t="s">
        <v>1864</v>
      </c>
      <c r="C1117" s="622">
        <v>44957</v>
      </c>
      <c r="D1117" s="232" t="s">
        <v>4862</v>
      </c>
      <c r="E1117" s="231" t="s">
        <v>5076</v>
      </c>
      <c r="F1117" s="233">
        <v>50</v>
      </c>
      <c r="G1117" s="232" t="s">
        <v>4851</v>
      </c>
      <c r="H1117" s="233"/>
      <c r="I1117" s="233"/>
      <c r="J1117" s="623">
        <v>23250000</v>
      </c>
      <c r="K1117" s="624" t="s">
        <v>1130</v>
      </c>
      <c r="L1117" s="624" t="s">
        <v>4852</v>
      </c>
      <c r="M1117" s="624" t="s">
        <v>4863</v>
      </c>
      <c r="N1117" s="624" t="s">
        <v>4754</v>
      </c>
      <c r="O1117" s="624"/>
      <c r="P1117" s="624"/>
    </row>
    <row r="1118" spans="1:16">
      <c r="A1118" s="231" t="s">
        <v>686</v>
      </c>
      <c r="B1118" s="231" t="s">
        <v>1864</v>
      </c>
      <c r="C1118" s="618">
        <v>44957</v>
      </c>
      <c r="D1118" s="231" t="s">
        <v>4862</v>
      </c>
      <c r="E1118" s="231" t="s">
        <v>5076</v>
      </c>
      <c r="F1118" s="619">
        <v>50</v>
      </c>
      <c r="G1118" s="231" t="s">
        <v>4851</v>
      </c>
      <c r="H1118" s="619"/>
      <c r="I1118" s="619"/>
      <c r="J1118" s="620">
        <v>23250000</v>
      </c>
      <c r="K1118" s="621" t="s">
        <v>1130</v>
      </c>
      <c r="L1118" s="621" t="s">
        <v>4852</v>
      </c>
      <c r="M1118" s="621" t="s">
        <v>4863</v>
      </c>
      <c r="N1118" s="621" t="s">
        <v>4754</v>
      </c>
      <c r="O1118" s="621"/>
      <c r="P1118" s="621"/>
    </row>
    <row r="1119" spans="1:16">
      <c r="A1119" s="232" t="s">
        <v>686</v>
      </c>
      <c r="B1119" s="232" t="s">
        <v>1864</v>
      </c>
      <c r="C1119" s="622">
        <v>44957</v>
      </c>
      <c r="D1119" s="232" t="s">
        <v>4862</v>
      </c>
      <c r="E1119" s="231" t="s">
        <v>5076</v>
      </c>
      <c r="F1119" s="233">
        <v>50</v>
      </c>
      <c r="G1119" s="232" t="s">
        <v>4851</v>
      </c>
      <c r="H1119" s="233"/>
      <c r="I1119" s="233"/>
      <c r="J1119" s="623">
        <v>23250000</v>
      </c>
      <c r="K1119" s="624" t="s">
        <v>1130</v>
      </c>
      <c r="L1119" s="624" t="s">
        <v>4852</v>
      </c>
      <c r="M1119" s="624" t="s">
        <v>4863</v>
      </c>
      <c r="N1119" s="624" t="s">
        <v>4754</v>
      </c>
      <c r="O1119" s="624"/>
      <c r="P1119" s="624"/>
    </row>
    <row r="1120" spans="1:16">
      <c r="A1120" s="231" t="s">
        <v>686</v>
      </c>
      <c r="B1120" s="231" t="s">
        <v>1864</v>
      </c>
      <c r="C1120" s="618">
        <v>44957</v>
      </c>
      <c r="D1120" s="231" t="s">
        <v>4862</v>
      </c>
      <c r="E1120" s="231" t="s">
        <v>5076</v>
      </c>
      <c r="F1120" s="619">
        <v>50</v>
      </c>
      <c r="G1120" s="231" t="s">
        <v>4851</v>
      </c>
      <c r="H1120" s="619"/>
      <c r="I1120" s="619"/>
      <c r="J1120" s="620">
        <v>23250000</v>
      </c>
      <c r="K1120" s="621" t="s">
        <v>1130</v>
      </c>
      <c r="L1120" s="621" t="s">
        <v>4852</v>
      </c>
      <c r="M1120" s="621" t="s">
        <v>4863</v>
      </c>
      <c r="N1120" s="621" t="s">
        <v>4754</v>
      </c>
      <c r="O1120" s="621"/>
      <c r="P1120" s="621"/>
    </row>
    <row r="1121" spans="1:16">
      <c r="A1121" s="232" t="s">
        <v>686</v>
      </c>
      <c r="B1121" s="232" t="s">
        <v>1864</v>
      </c>
      <c r="C1121" s="622">
        <v>44957</v>
      </c>
      <c r="D1121" s="232" t="s">
        <v>4862</v>
      </c>
      <c r="E1121" s="231" t="s">
        <v>5076</v>
      </c>
      <c r="F1121" s="233">
        <v>50</v>
      </c>
      <c r="G1121" s="232" t="s">
        <v>4851</v>
      </c>
      <c r="H1121" s="233"/>
      <c r="I1121" s="233"/>
      <c r="J1121" s="623">
        <v>23250000</v>
      </c>
      <c r="K1121" s="624" t="s">
        <v>1130</v>
      </c>
      <c r="L1121" s="624" t="s">
        <v>4852</v>
      </c>
      <c r="M1121" s="624" t="s">
        <v>4863</v>
      </c>
      <c r="N1121" s="624" t="s">
        <v>4754</v>
      </c>
      <c r="O1121" s="624"/>
      <c r="P1121" s="624"/>
    </row>
    <row r="1122" spans="1:16">
      <c r="A1122" s="231" t="s">
        <v>686</v>
      </c>
      <c r="B1122" s="231" t="s">
        <v>1864</v>
      </c>
      <c r="C1122" s="618">
        <v>44957</v>
      </c>
      <c r="D1122" s="231" t="s">
        <v>4862</v>
      </c>
      <c r="E1122" s="231" t="s">
        <v>5076</v>
      </c>
      <c r="F1122" s="619">
        <v>50</v>
      </c>
      <c r="G1122" s="231" t="s">
        <v>4851</v>
      </c>
      <c r="H1122" s="619"/>
      <c r="I1122" s="619"/>
      <c r="J1122" s="620">
        <v>23250000</v>
      </c>
      <c r="K1122" s="621" t="s">
        <v>1130</v>
      </c>
      <c r="L1122" s="621" t="s">
        <v>4852</v>
      </c>
      <c r="M1122" s="621" t="s">
        <v>4863</v>
      </c>
      <c r="N1122" s="621" t="s">
        <v>4754</v>
      </c>
      <c r="O1122" s="621"/>
      <c r="P1122" s="621"/>
    </row>
    <row r="1123" spans="1:16">
      <c r="A1123" s="232" t="s">
        <v>686</v>
      </c>
      <c r="B1123" s="232" t="s">
        <v>1864</v>
      </c>
      <c r="C1123" s="622">
        <v>44957</v>
      </c>
      <c r="D1123" s="232" t="s">
        <v>4862</v>
      </c>
      <c r="E1123" s="231" t="s">
        <v>5076</v>
      </c>
      <c r="F1123" s="233">
        <v>50</v>
      </c>
      <c r="G1123" s="232" t="s">
        <v>4851</v>
      </c>
      <c r="H1123" s="233"/>
      <c r="I1123" s="233"/>
      <c r="J1123" s="623">
        <v>23250000</v>
      </c>
      <c r="K1123" s="624" t="s">
        <v>1130</v>
      </c>
      <c r="L1123" s="624" t="s">
        <v>4852</v>
      </c>
      <c r="M1123" s="624" t="s">
        <v>4863</v>
      </c>
      <c r="N1123" s="624" t="s">
        <v>4754</v>
      </c>
      <c r="O1123" s="624"/>
      <c r="P1123" s="624"/>
    </row>
    <row r="1124" spans="1:16">
      <c r="A1124" s="231" t="s">
        <v>686</v>
      </c>
      <c r="B1124" s="231" t="s">
        <v>1864</v>
      </c>
      <c r="C1124" s="618">
        <v>44957</v>
      </c>
      <c r="D1124" s="231" t="s">
        <v>4862</v>
      </c>
      <c r="E1124" s="231" t="s">
        <v>5076</v>
      </c>
      <c r="F1124" s="619">
        <v>50</v>
      </c>
      <c r="G1124" s="231" t="s">
        <v>4851</v>
      </c>
      <c r="H1124" s="619"/>
      <c r="I1124" s="619"/>
      <c r="J1124" s="620">
        <v>23250000</v>
      </c>
      <c r="K1124" s="621" t="s">
        <v>1130</v>
      </c>
      <c r="L1124" s="621" t="s">
        <v>4852</v>
      </c>
      <c r="M1124" s="621" t="s">
        <v>4863</v>
      </c>
      <c r="N1124" s="621" t="s">
        <v>4754</v>
      </c>
      <c r="O1124" s="621"/>
      <c r="P1124" s="621"/>
    </row>
    <row r="1125" spans="1:16">
      <c r="A1125" s="232" t="s">
        <v>686</v>
      </c>
      <c r="B1125" s="232" t="s">
        <v>1864</v>
      </c>
      <c r="C1125" s="622">
        <v>44957</v>
      </c>
      <c r="D1125" s="232" t="s">
        <v>4862</v>
      </c>
      <c r="E1125" s="231" t="s">
        <v>5076</v>
      </c>
      <c r="F1125" s="233">
        <v>50</v>
      </c>
      <c r="G1125" s="232" t="s">
        <v>4851</v>
      </c>
      <c r="H1125" s="233"/>
      <c r="I1125" s="233"/>
      <c r="J1125" s="623">
        <v>23250000</v>
      </c>
      <c r="K1125" s="624" t="s">
        <v>1130</v>
      </c>
      <c r="L1125" s="624" t="s">
        <v>4852</v>
      </c>
      <c r="M1125" s="624" t="s">
        <v>4863</v>
      </c>
      <c r="N1125" s="624" t="s">
        <v>4754</v>
      </c>
      <c r="O1125" s="624"/>
      <c r="P1125" s="624"/>
    </row>
    <row r="1126" spans="1:16">
      <c r="A1126" s="231" t="s">
        <v>686</v>
      </c>
      <c r="B1126" s="231" t="s">
        <v>1864</v>
      </c>
      <c r="C1126" s="618">
        <v>44957</v>
      </c>
      <c r="D1126" s="231" t="s">
        <v>4862</v>
      </c>
      <c r="E1126" s="231" t="s">
        <v>5076</v>
      </c>
      <c r="F1126" s="619">
        <v>45</v>
      </c>
      <c r="G1126" s="231" t="s">
        <v>4851</v>
      </c>
      <c r="H1126" s="619"/>
      <c r="I1126" s="619"/>
      <c r="J1126" s="620">
        <v>20925000</v>
      </c>
      <c r="K1126" s="621" t="s">
        <v>1130</v>
      </c>
      <c r="L1126" s="621" t="s">
        <v>4852</v>
      </c>
      <c r="M1126" s="621" t="s">
        <v>4863</v>
      </c>
      <c r="N1126" s="621" t="s">
        <v>4754</v>
      </c>
      <c r="O1126" s="621"/>
      <c r="P1126" s="621"/>
    </row>
    <row r="1127" spans="1:16">
      <c r="A1127" s="232" t="s">
        <v>686</v>
      </c>
      <c r="B1127" s="232" t="s">
        <v>1864</v>
      </c>
      <c r="C1127" s="622">
        <v>44957</v>
      </c>
      <c r="D1127" s="232" t="s">
        <v>4862</v>
      </c>
      <c r="E1127" s="231" t="s">
        <v>5076</v>
      </c>
      <c r="F1127" s="233">
        <v>50</v>
      </c>
      <c r="G1127" s="232" t="s">
        <v>4851</v>
      </c>
      <c r="H1127" s="233"/>
      <c r="I1127" s="233"/>
      <c r="J1127" s="623">
        <v>23250000</v>
      </c>
      <c r="K1127" s="624" t="s">
        <v>1130</v>
      </c>
      <c r="L1127" s="624" t="s">
        <v>4852</v>
      </c>
      <c r="M1127" s="624" t="s">
        <v>4863</v>
      </c>
      <c r="N1127" s="624" t="s">
        <v>4754</v>
      </c>
      <c r="O1127" s="624"/>
      <c r="P1127" s="624"/>
    </row>
    <row r="1128" spans="1:16">
      <c r="A1128" s="231" t="s">
        <v>686</v>
      </c>
      <c r="B1128" s="231" t="s">
        <v>1864</v>
      </c>
      <c r="C1128" s="618">
        <v>44957</v>
      </c>
      <c r="D1128" s="231" t="s">
        <v>4862</v>
      </c>
      <c r="E1128" s="231" t="s">
        <v>5076</v>
      </c>
      <c r="F1128" s="619">
        <v>52</v>
      </c>
      <c r="G1128" s="231" t="s">
        <v>4851</v>
      </c>
      <c r="H1128" s="619"/>
      <c r="I1128" s="619"/>
      <c r="J1128" s="620">
        <v>24180000</v>
      </c>
      <c r="K1128" s="621" t="s">
        <v>1130</v>
      </c>
      <c r="L1128" s="621" t="s">
        <v>4852</v>
      </c>
      <c r="M1128" s="621" t="s">
        <v>4863</v>
      </c>
      <c r="N1128" s="621" t="s">
        <v>4754</v>
      </c>
      <c r="O1128" s="621"/>
      <c r="P1128" s="621"/>
    </row>
    <row r="1129" spans="1:16">
      <c r="A1129" s="232" t="s">
        <v>686</v>
      </c>
      <c r="B1129" s="232" t="s">
        <v>1864</v>
      </c>
      <c r="C1129" s="622">
        <v>44957</v>
      </c>
      <c r="D1129" s="232" t="s">
        <v>4862</v>
      </c>
      <c r="E1129" s="231" t="s">
        <v>5076</v>
      </c>
      <c r="F1129" s="233">
        <v>52</v>
      </c>
      <c r="G1129" s="232" t="s">
        <v>4851</v>
      </c>
      <c r="H1129" s="233"/>
      <c r="I1129" s="233"/>
      <c r="J1129" s="623">
        <v>24180000</v>
      </c>
      <c r="K1129" s="624" t="s">
        <v>1130</v>
      </c>
      <c r="L1129" s="624" t="s">
        <v>4852</v>
      </c>
      <c r="M1129" s="624" t="s">
        <v>4863</v>
      </c>
      <c r="N1129" s="624" t="s">
        <v>4754</v>
      </c>
      <c r="O1129" s="624"/>
      <c r="P1129" s="624"/>
    </row>
    <row r="1130" spans="1:16">
      <c r="A1130" s="231" t="s">
        <v>686</v>
      </c>
      <c r="B1130" s="231" t="s">
        <v>1864</v>
      </c>
      <c r="C1130" s="618">
        <v>44957</v>
      </c>
      <c r="D1130" s="231" t="s">
        <v>4862</v>
      </c>
      <c r="E1130" s="231" t="s">
        <v>5076</v>
      </c>
      <c r="F1130" s="619">
        <v>50</v>
      </c>
      <c r="G1130" s="231" t="s">
        <v>4851</v>
      </c>
      <c r="H1130" s="619"/>
      <c r="I1130" s="619"/>
      <c r="J1130" s="620">
        <v>23250000</v>
      </c>
      <c r="K1130" s="621" t="s">
        <v>1130</v>
      </c>
      <c r="L1130" s="621" t="s">
        <v>4852</v>
      </c>
      <c r="M1130" s="621" t="s">
        <v>4863</v>
      </c>
      <c r="N1130" s="621" t="s">
        <v>4754</v>
      </c>
      <c r="O1130" s="621"/>
      <c r="P1130" s="621"/>
    </row>
    <row r="1131" spans="1:16">
      <c r="A1131" s="232" t="s">
        <v>686</v>
      </c>
      <c r="B1131" s="232" t="s">
        <v>1864</v>
      </c>
      <c r="C1131" s="622">
        <v>44957</v>
      </c>
      <c r="D1131" s="232" t="s">
        <v>4862</v>
      </c>
      <c r="E1131" s="231" t="s">
        <v>5076</v>
      </c>
      <c r="F1131" s="233">
        <v>45</v>
      </c>
      <c r="G1131" s="232" t="s">
        <v>4851</v>
      </c>
      <c r="H1131" s="233"/>
      <c r="I1131" s="233"/>
      <c r="J1131" s="623">
        <v>20925000</v>
      </c>
      <c r="K1131" s="624" t="s">
        <v>1130</v>
      </c>
      <c r="L1131" s="624" t="s">
        <v>4852</v>
      </c>
      <c r="M1131" s="624" t="s">
        <v>4863</v>
      </c>
      <c r="N1131" s="624" t="s">
        <v>4754</v>
      </c>
      <c r="O1131" s="624"/>
      <c r="P1131" s="624"/>
    </row>
    <row r="1132" spans="1:16">
      <c r="A1132" s="231" t="s">
        <v>686</v>
      </c>
      <c r="B1132" s="231" t="s">
        <v>1864</v>
      </c>
      <c r="C1132" s="618">
        <v>44957</v>
      </c>
      <c r="D1132" s="231" t="s">
        <v>4862</v>
      </c>
      <c r="E1132" s="231" t="s">
        <v>5076</v>
      </c>
      <c r="F1132" s="619">
        <v>50</v>
      </c>
      <c r="G1132" s="231" t="s">
        <v>4851</v>
      </c>
      <c r="H1132" s="619"/>
      <c r="I1132" s="619"/>
      <c r="J1132" s="620">
        <v>23250000</v>
      </c>
      <c r="K1132" s="621" t="s">
        <v>1130</v>
      </c>
      <c r="L1132" s="621" t="s">
        <v>4852</v>
      </c>
      <c r="M1132" s="621" t="s">
        <v>4863</v>
      </c>
      <c r="N1132" s="621" t="s">
        <v>4754</v>
      </c>
      <c r="O1132" s="621"/>
      <c r="P1132" s="621"/>
    </row>
    <row r="1133" spans="1:16">
      <c r="A1133" s="232" t="s">
        <v>686</v>
      </c>
      <c r="B1133" s="232" t="s">
        <v>1864</v>
      </c>
      <c r="C1133" s="622">
        <v>44957</v>
      </c>
      <c r="D1133" s="232" t="s">
        <v>4862</v>
      </c>
      <c r="E1133" s="231" t="s">
        <v>5076</v>
      </c>
      <c r="F1133" s="233">
        <v>48</v>
      </c>
      <c r="G1133" s="232" t="s">
        <v>4851</v>
      </c>
      <c r="H1133" s="233"/>
      <c r="I1133" s="233"/>
      <c r="J1133" s="623">
        <v>23184000</v>
      </c>
      <c r="K1133" s="624" t="s">
        <v>1130</v>
      </c>
      <c r="L1133" s="624" t="s">
        <v>4852</v>
      </c>
      <c r="M1133" s="624" t="s">
        <v>4867</v>
      </c>
      <c r="N1133" s="624" t="s">
        <v>4754</v>
      </c>
      <c r="O1133" s="624"/>
      <c r="P1133" s="624"/>
    </row>
    <row r="1134" spans="1:16">
      <c r="A1134" s="231" t="s">
        <v>686</v>
      </c>
      <c r="B1134" s="231" t="s">
        <v>1864</v>
      </c>
      <c r="C1134" s="618">
        <v>44957</v>
      </c>
      <c r="D1134" s="231" t="s">
        <v>4862</v>
      </c>
      <c r="E1134" s="231" t="s">
        <v>5076</v>
      </c>
      <c r="F1134" s="619">
        <v>48</v>
      </c>
      <c r="G1134" s="231" t="s">
        <v>4851</v>
      </c>
      <c r="H1134" s="619"/>
      <c r="I1134" s="619"/>
      <c r="J1134" s="620">
        <v>23184000</v>
      </c>
      <c r="K1134" s="621" t="s">
        <v>1130</v>
      </c>
      <c r="L1134" s="621" t="s">
        <v>4852</v>
      </c>
      <c r="M1134" s="621" t="s">
        <v>4867</v>
      </c>
      <c r="N1134" s="621" t="s">
        <v>4754</v>
      </c>
      <c r="O1134" s="621"/>
      <c r="P1134" s="621"/>
    </row>
    <row r="1135" spans="1:16">
      <c r="A1135" s="232" t="s">
        <v>686</v>
      </c>
      <c r="B1135" s="232" t="s">
        <v>1864</v>
      </c>
      <c r="C1135" s="622">
        <v>44957</v>
      </c>
      <c r="D1135" s="232" t="s">
        <v>4862</v>
      </c>
      <c r="E1135" s="231" t="s">
        <v>5076</v>
      </c>
      <c r="F1135" s="233">
        <v>48</v>
      </c>
      <c r="G1135" s="232" t="s">
        <v>4851</v>
      </c>
      <c r="H1135" s="233"/>
      <c r="I1135" s="233"/>
      <c r="J1135" s="623">
        <v>23184000</v>
      </c>
      <c r="K1135" s="624" t="s">
        <v>1130</v>
      </c>
      <c r="L1135" s="624" t="s">
        <v>4852</v>
      </c>
      <c r="M1135" s="624" t="s">
        <v>4867</v>
      </c>
      <c r="N1135" s="624" t="s">
        <v>4754</v>
      </c>
      <c r="O1135" s="624"/>
      <c r="P1135" s="624"/>
    </row>
    <row r="1136" spans="1:16">
      <c r="A1136" s="231" t="s">
        <v>686</v>
      </c>
      <c r="B1136" s="231" t="s">
        <v>1864</v>
      </c>
      <c r="C1136" s="618">
        <v>44957</v>
      </c>
      <c r="D1136" s="231" t="s">
        <v>4855</v>
      </c>
      <c r="E1136" s="231" t="s">
        <v>5075</v>
      </c>
      <c r="F1136" s="619">
        <v>10222.710999999999</v>
      </c>
      <c r="G1136" s="231" t="s">
        <v>4851</v>
      </c>
      <c r="H1136" s="619"/>
      <c r="I1136" s="619">
        <v>12462098.08</v>
      </c>
      <c r="J1136" s="620">
        <v>7559271915.46</v>
      </c>
      <c r="K1136" s="621" t="s">
        <v>991</v>
      </c>
      <c r="L1136" s="621" t="s">
        <v>4852</v>
      </c>
      <c r="M1136" s="621" t="s">
        <v>4856</v>
      </c>
      <c r="N1136" s="621" t="s">
        <v>4854</v>
      </c>
      <c r="O1136" s="621"/>
      <c r="P1136" s="621"/>
    </row>
    <row r="1137" spans="1:16">
      <c r="A1137" s="232" t="s">
        <v>686</v>
      </c>
      <c r="B1137" s="232" t="s">
        <v>1864</v>
      </c>
      <c r="C1137" s="622">
        <v>44957</v>
      </c>
      <c r="D1137" s="232" t="s">
        <v>4855</v>
      </c>
      <c r="E1137" s="231" t="s">
        <v>5075</v>
      </c>
      <c r="F1137" s="233">
        <v>18798.666000000001</v>
      </c>
      <c r="G1137" s="232" t="s">
        <v>4851</v>
      </c>
      <c r="H1137" s="233"/>
      <c r="I1137" s="233">
        <v>22088432.550000001</v>
      </c>
      <c r="J1137" s="623">
        <v>13398423504.610001</v>
      </c>
      <c r="K1137" s="624" t="s">
        <v>991</v>
      </c>
      <c r="L1137" s="624" t="s">
        <v>4852</v>
      </c>
      <c r="M1137" s="624" t="s">
        <v>4853</v>
      </c>
      <c r="N1137" s="624" t="s">
        <v>4854</v>
      </c>
      <c r="O1137" s="624"/>
      <c r="P1137" s="624"/>
    </row>
    <row r="1138" spans="1:16">
      <c r="A1138" s="231" t="s">
        <v>686</v>
      </c>
      <c r="B1138" s="231" t="s">
        <v>1864</v>
      </c>
      <c r="C1138" s="618">
        <v>44957</v>
      </c>
      <c r="D1138" s="231" t="s">
        <v>4862</v>
      </c>
      <c r="E1138" s="231" t="s">
        <v>5076</v>
      </c>
      <c r="F1138" s="619">
        <v>50</v>
      </c>
      <c r="G1138" s="231" t="s">
        <v>4851</v>
      </c>
      <c r="H1138" s="619"/>
      <c r="I1138" s="619"/>
      <c r="J1138" s="620">
        <v>23250000</v>
      </c>
      <c r="K1138" s="621" t="s">
        <v>1130</v>
      </c>
      <c r="L1138" s="621" t="s">
        <v>4852</v>
      </c>
      <c r="M1138" s="621" t="s">
        <v>4863</v>
      </c>
      <c r="N1138" s="621" t="s">
        <v>4754</v>
      </c>
      <c r="O1138" s="621"/>
      <c r="P1138" s="621"/>
    </row>
    <row r="1139" spans="1:16">
      <c r="A1139" s="232" t="s">
        <v>686</v>
      </c>
      <c r="B1139" s="232" t="s">
        <v>1864</v>
      </c>
      <c r="C1139" s="622">
        <v>44957</v>
      </c>
      <c r="D1139" s="232" t="s">
        <v>4862</v>
      </c>
      <c r="E1139" s="231" t="s">
        <v>5076</v>
      </c>
      <c r="F1139" s="233">
        <v>50</v>
      </c>
      <c r="G1139" s="232" t="s">
        <v>4851</v>
      </c>
      <c r="H1139" s="233"/>
      <c r="I1139" s="233"/>
      <c r="J1139" s="623">
        <v>23250000</v>
      </c>
      <c r="K1139" s="624" t="s">
        <v>1130</v>
      </c>
      <c r="L1139" s="624" t="s">
        <v>4852</v>
      </c>
      <c r="M1139" s="624" t="s">
        <v>4863</v>
      </c>
      <c r="N1139" s="624" t="s">
        <v>4754</v>
      </c>
      <c r="O1139" s="624"/>
      <c r="P1139" s="624"/>
    </row>
    <row r="1140" spans="1:16">
      <c r="A1140" s="231" t="s">
        <v>686</v>
      </c>
      <c r="B1140" s="231" t="s">
        <v>1864</v>
      </c>
      <c r="C1140" s="618">
        <v>44957</v>
      </c>
      <c r="D1140" s="231" t="s">
        <v>4862</v>
      </c>
      <c r="E1140" s="231" t="s">
        <v>5076</v>
      </c>
      <c r="F1140" s="619">
        <v>50</v>
      </c>
      <c r="G1140" s="231" t="s">
        <v>4851</v>
      </c>
      <c r="H1140" s="619"/>
      <c r="I1140" s="619"/>
      <c r="J1140" s="620">
        <v>23250000</v>
      </c>
      <c r="K1140" s="621" t="s">
        <v>1130</v>
      </c>
      <c r="L1140" s="621" t="s">
        <v>4852</v>
      </c>
      <c r="M1140" s="621" t="s">
        <v>4863</v>
      </c>
      <c r="N1140" s="621" t="s">
        <v>4754</v>
      </c>
      <c r="O1140" s="621"/>
      <c r="P1140" s="621"/>
    </row>
    <row r="1141" spans="1:16">
      <c r="A1141" s="232" t="s">
        <v>686</v>
      </c>
      <c r="B1141" s="232" t="s">
        <v>1864</v>
      </c>
      <c r="C1141" s="622">
        <v>44957</v>
      </c>
      <c r="D1141" s="232" t="s">
        <v>4862</v>
      </c>
      <c r="E1141" s="231" t="s">
        <v>5076</v>
      </c>
      <c r="F1141" s="233">
        <v>50</v>
      </c>
      <c r="G1141" s="232" t="s">
        <v>4851</v>
      </c>
      <c r="H1141" s="233"/>
      <c r="I1141" s="233"/>
      <c r="J1141" s="623">
        <v>23250000</v>
      </c>
      <c r="K1141" s="624" t="s">
        <v>1130</v>
      </c>
      <c r="L1141" s="624" t="s">
        <v>4852</v>
      </c>
      <c r="M1141" s="624" t="s">
        <v>4863</v>
      </c>
      <c r="N1141" s="624" t="s">
        <v>4754</v>
      </c>
      <c r="O1141" s="624"/>
      <c r="P1141" s="624"/>
    </row>
    <row r="1142" spans="1:16">
      <c r="A1142" s="231" t="s">
        <v>686</v>
      </c>
      <c r="B1142" s="231" t="s">
        <v>1864</v>
      </c>
      <c r="C1142" s="618">
        <v>44957</v>
      </c>
      <c r="D1142" s="231" t="s">
        <v>4862</v>
      </c>
      <c r="E1142" s="231" t="s">
        <v>5076</v>
      </c>
      <c r="F1142" s="619">
        <v>48</v>
      </c>
      <c r="G1142" s="231" t="s">
        <v>4851</v>
      </c>
      <c r="H1142" s="619"/>
      <c r="I1142" s="619"/>
      <c r="J1142" s="620">
        <v>23184000</v>
      </c>
      <c r="K1142" s="621" t="s">
        <v>1130</v>
      </c>
      <c r="L1142" s="621" t="s">
        <v>4852</v>
      </c>
      <c r="M1142" s="621" t="s">
        <v>4867</v>
      </c>
      <c r="N1142" s="621" t="s">
        <v>4754</v>
      </c>
      <c r="O1142" s="621"/>
      <c r="P1142" s="621"/>
    </row>
    <row r="1143" spans="1:16">
      <c r="A1143" s="232" t="s">
        <v>686</v>
      </c>
      <c r="B1143" s="232" t="s">
        <v>1864</v>
      </c>
      <c r="C1143" s="622">
        <v>44957</v>
      </c>
      <c r="D1143" s="232" t="s">
        <v>4862</v>
      </c>
      <c r="E1143" s="231" t="s">
        <v>5076</v>
      </c>
      <c r="F1143" s="233">
        <v>48</v>
      </c>
      <c r="G1143" s="232" t="s">
        <v>4851</v>
      </c>
      <c r="H1143" s="233"/>
      <c r="I1143" s="233"/>
      <c r="J1143" s="623">
        <v>23184000</v>
      </c>
      <c r="K1143" s="624" t="s">
        <v>1130</v>
      </c>
      <c r="L1143" s="624" t="s">
        <v>4852</v>
      </c>
      <c r="M1143" s="624" t="s">
        <v>4867</v>
      </c>
      <c r="N1143" s="624" t="s">
        <v>4754</v>
      </c>
      <c r="O1143" s="624"/>
      <c r="P1143" s="624"/>
    </row>
    <row r="1144" spans="1:16">
      <c r="A1144" s="231" t="s">
        <v>686</v>
      </c>
      <c r="B1144" s="231" t="s">
        <v>1864</v>
      </c>
      <c r="C1144" s="618">
        <v>44957</v>
      </c>
      <c r="D1144" s="231" t="s">
        <v>4862</v>
      </c>
      <c r="E1144" s="231" t="s">
        <v>5076</v>
      </c>
      <c r="F1144" s="619">
        <v>50</v>
      </c>
      <c r="G1144" s="231" t="s">
        <v>4851</v>
      </c>
      <c r="H1144" s="619"/>
      <c r="I1144" s="619"/>
      <c r="J1144" s="620">
        <v>23250000</v>
      </c>
      <c r="K1144" s="621" t="s">
        <v>1130</v>
      </c>
      <c r="L1144" s="621" t="s">
        <v>4852</v>
      </c>
      <c r="M1144" s="621" t="s">
        <v>4863</v>
      </c>
      <c r="N1144" s="621" t="s">
        <v>4754</v>
      </c>
      <c r="O1144" s="621"/>
      <c r="P1144" s="621"/>
    </row>
    <row r="1145" spans="1:16">
      <c r="A1145" s="232" t="s">
        <v>686</v>
      </c>
      <c r="B1145" s="232" t="s">
        <v>1864</v>
      </c>
      <c r="C1145" s="622">
        <v>44957</v>
      </c>
      <c r="D1145" s="232" t="s">
        <v>4862</v>
      </c>
      <c r="E1145" s="231" t="s">
        <v>5076</v>
      </c>
      <c r="F1145" s="233">
        <v>50</v>
      </c>
      <c r="G1145" s="232" t="s">
        <v>4851</v>
      </c>
      <c r="H1145" s="233"/>
      <c r="I1145" s="233"/>
      <c r="J1145" s="623">
        <v>23250000</v>
      </c>
      <c r="K1145" s="624" t="s">
        <v>1130</v>
      </c>
      <c r="L1145" s="624" t="s">
        <v>4852</v>
      </c>
      <c r="M1145" s="624" t="s">
        <v>4863</v>
      </c>
      <c r="N1145" s="624" t="s">
        <v>4754</v>
      </c>
      <c r="O1145" s="624"/>
      <c r="P1145" s="624"/>
    </row>
    <row r="1146" spans="1:16">
      <c r="A1146" s="231" t="s">
        <v>686</v>
      </c>
      <c r="B1146" s="231" t="s">
        <v>1864</v>
      </c>
      <c r="C1146" s="618">
        <v>44957</v>
      </c>
      <c r="D1146" s="231" t="s">
        <v>4862</v>
      </c>
      <c r="E1146" s="231" t="s">
        <v>5076</v>
      </c>
      <c r="F1146" s="619">
        <v>50</v>
      </c>
      <c r="G1146" s="231" t="s">
        <v>4851</v>
      </c>
      <c r="H1146" s="619"/>
      <c r="I1146" s="619"/>
      <c r="J1146" s="620">
        <v>23250000</v>
      </c>
      <c r="K1146" s="621" t="s">
        <v>1130</v>
      </c>
      <c r="L1146" s="621" t="s">
        <v>4852</v>
      </c>
      <c r="M1146" s="621" t="s">
        <v>4863</v>
      </c>
      <c r="N1146" s="621" t="s">
        <v>4754</v>
      </c>
      <c r="O1146" s="621"/>
      <c r="P1146" s="621"/>
    </row>
    <row r="1147" spans="1:16">
      <c r="A1147" s="232" t="s">
        <v>686</v>
      </c>
      <c r="B1147" s="232" t="s">
        <v>1864</v>
      </c>
      <c r="C1147" s="622">
        <v>44957</v>
      </c>
      <c r="D1147" s="232" t="s">
        <v>4862</v>
      </c>
      <c r="E1147" s="231" t="s">
        <v>5076</v>
      </c>
      <c r="F1147" s="233">
        <v>48</v>
      </c>
      <c r="G1147" s="232" t="s">
        <v>4851</v>
      </c>
      <c r="H1147" s="233"/>
      <c r="I1147" s="233"/>
      <c r="J1147" s="623">
        <v>23184000</v>
      </c>
      <c r="K1147" s="624" t="s">
        <v>1130</v>
      </c>
      <c r="L1147" s="624" t="s">
        <v>4852</v>
      </c>
      <c r="M1147" s="624" t="s">
        <v>4867</v>
      </c>
      <c r="N1147" s="624" t="s">
        <v>4754</v>
      </c>
      <c r="O1147" s="624"/>
      <c r="P1147" s="624"/>
    </row>
    <row r="1148" spans="1:16">
      <c r="A1148" s="231" t="s">
        <v>686</v>
      </c>
      <c r="B1148" s="231" t="s">
        <v>1864</v>
      </c>
      <c r="C1148" s="618">
        <v>44957</v>
      </c>
      <c r="D1148" s="231" t="s">
        <v>4862</v>
      </c>
      <c r="E1148" s="231" t="s">
        <v>5076</v>
      </c>
      <c r="F1148" s="619">
        <v>48</v>
      </c>
      <c r="G1148" s="231" t="s">
        <v>4851</v>
      </c>
      <c r="H1148" s="619"/>
      <c r="I1148" s="619"/>
      <c r="J1148" s="620">
        <v>23184000</v>
      </c>
      <c r="K1148" s="621" t="s">
        <v>1130</v>
      </c>
      <c r="L1148" s="621" t="s">
        <v>4852</v>
      </c>
      <c r="M1148" s="621" t="s">
        <v>4867</v>
      </c>
      <c r="N1148" s="621" t="s">
        <v>4754</v>
      </c>
      <c r="O1148" s="621"/>
      <c r="P1148" s="621"/>
    </row>
    <row r="1149" spans="1:16">
      <c r="A1149" s="232" t="s">
        <v>686</v>
      </c>
      <c r="B1149" s="232" t="s">
        <v>1864</v>
      </c>
      <c r="C1149" s="622">
        <v>44957</v>
      </c>
      <c r="D1149" s="232" t="s">
        <v>4862</v>
      </c>
      <c r="E1149" s="231" t="s">
        <v>5076</v>
      </c>
      <c r="F1149" s="233">
        <v>48</v>
      </c>
      <c r="G1149" s="232" t="s">
        <v>4851</v>
      </c>
      <c r="H1149" s="233"/>
      <c r="I1149" s="233"/>
      <c r="J1149" s="623">
        <v>23184000</v>
      </c>
      <c r="K1149" s="624" t="s">
        <v>1130</v>
      </c>
      <c r="L1149" s="624" t="s">
        <v>4852</v>
      </c>
      <c r="M1149" s="624" t="s">
        <v>4867</v>
      </c>
      <c r="N1149" s="624" t="s">
        <v>4754</v>
      </c>
      <c r="O1149" s="624"/>
      <c r="P1149" s="624"/>
    </row>
    <row r="1150" spans="1:16">
      <c r="A1150" s="231" t="s">
        <v>686</v>
      </c>
      <c r="B1150" s="231" t="s">
        <v>1864</v>
      </c>
      <c r="C1150" s="618">
        <v>44957</v>
      </c>
      <c r="D1150" s="231" t="s">
        <v>4862</v>
      </c>
      <c r="E1150" s="231" t="s">
        <v>5076</v>
      </c>
      <c r="F1150" s="619">
        <v>48</v>
      </c>
      <c r="G1150" s="231" t="s">
        <v>4851</v>
      </c>
      <c r="H1150" s="619"/>
      <c r="I1150" s="619"/>
      <c r="J1150" s="620">
        <v>23184000</v>
      </c>
      <c r="K1150" s="621" t="s">
        <v>1130</v>
      </c>
      <c r="L1150" s="621" t="s">
        <v>4852</v>
      </c>
      <c r="M1150" s="621" t="s">
        <v>4867</v>
      </c>
      <c r="N1150" s="621" t="s">
        <v>4754</v>
      </c>
      <c r="O1150" s="621"/>
      <c r="P1150" s="621"/>
    </row>
    <row r="1151" spans="1:16">
      <c r="A1151" s="232" t="s">
        <v>686</v>
      </c>
      <c r="B1151" s="232" t="s">
        <v>1864</v>
      </c>
      <c r="C1151" s="622">
        <v>44957</v>
      </c>
      <c r="D1151" s="232" t="s">
        <v>4862</v>
      </c>
      <c r="E1151" s="231" t="s">
        <v>5076</v>
      </c>
      <c r="F1151" s="233">
        <v>48</v>
      </c>
      <c r="G1151" s="232" t="s">
        <v>4851</v>
      </c>
      <c r="H1151" s="233"/>
      <c r="I1151" s="233"/>
      <c r="J1151" s="623">
        <v>23184000</v>
      </c>
      <c r="K1151" s="624" t="s">
        <v>1130</v>
      </c>
      <c r="L1151" s="624" t="s">
        <v>4852</v>
      </c>
      <c r="M1151" s="624" t="s">
        <v>4867</v>
      </c>
      <c r="N1151" s="624" t="s">
        <v>4754</v>
      </c>
      <c r="O1151" s="624"/>
      <c r="P1151" s="624"/>
    </row>
    <row r="1152" spans="1:16">
      <c r="A1152" s="231" t="s">
        <v>686</v>
      </c>
      <c r="B1152" s="231" t="s">
        <v>1864</v>
      </c>
      <c r="C1152" s="618">
        <v>44957</v>
      </c>
      <c r="D1152" s="231" t="s">
        <v>4862</v>
      </c>
      <c r="E1152" s="231" t="s">
        <v>5076</v>
      </c>
      <c r="F1152" s="619">
        <v>48</v>
      </c>
      <c r="G1152" s="231" t="s">
        <v>4851</v>
      </c>
      <c r="H1152" s="619"/>
      <c r="I1152" s="619"/>
      <c r="J1152" s="620">
        <v>23184000</v>
      </c>
      <c r="K1152" s="621" t="s">
        <v>1130</v>
      </c>
      <c r="L1152" s="621" t="s">
        <v>4852</v>
      </c>
      <c r="M1152" s="621" t="s">
        <v>4867</v>
      </c>
      <c r="N1152" s="621" t="s">
        <v>4754</v>
      </c>
      <c r="O1152" s="621"/>
      <c r="P1152" s="621"/>
    </row>
    <row r="1153" spans="1:16">
      <c r="A1153" s="232" t="s">
        <v>686</v>
      </c>
      <c r="B1153" s="232" t="s">
        <v>1864</v>
      </c>
      <c r="C1153" s="622">
        <v>44957</v>
      </c>
      <c r="D1153" s="232" t="s">
        <v>4862</v>
      </c>
      <c r="E1153" s="231" t="s">
        <v>5076</v>
      </c>
      <c r="F1153" s="233">
        <v>48</v>
      </c>
      <c r="G1153" s="232" t="s">
        <v>4851</v>
      </c>
      <c r="H1153" s="233"/>
      <c r="I1153" s="233"/>
      <c r="J1153" s="623">
        <v>23184000</v>
      </c>
      <c r="K1153" s="624" t="s">
        <v>1130</v>
      </c>
      <c r="L1153" s="624" t="s">
        <v>4852</v>
      </c>
      <c r="M1153" s="624" t="s">
        <v>4867</v>
      </c>
      <c r="N1153" s="624" t="s">
        <v>4754</v>
      </c>
      <c r="O1153" s="624"/>
      <c r="P1153" s="624"/>
    </row>
    <row r="1154" spans="1:16">
      <c r="A1154" s="231" t="s">
        <v>686</v>
      </c>
      <c r="B1154" s="231" t="s">
        <v>1864</v>
      </c>
      <c r="C1154" s="618">
        <v>44957</v>
      </c>
      <c r="D1154" s="231" t="s">
        <v>4862</v>
      </c>
      <c r="E1154" s="231" t="s">
        <v>5076</v>
      </c>
      <c r="F1154" s="619">
        <v>48</v>
      </c>
      <c r="G1154" s="231" t="s">
        <v>4851</v>
      </c>
      <c r="H1154" s="619"/>
      <c r="I1154" s="619"/>
      <c r="J1154" s="620">
        <v>23184000</v>
      </c>
      <c r="K1154" s="621" t="s">
        <v>1130</v>
      </c>
      <c r="L1154" s="621" t="s">
        <v>4852</v>
      </c>
      <c r="M1154" s="621" t="s">
        <v>4867</v>
      </c>
      <c r="N1154" s="621" t="s">
        <v>4754</v>
      </c>
      <c r="O1154" s="621"/>
      <c r="P1154" s="621"/>
    </row>
    <row r="1155" spans="1:16">
      <c r="A1155" s="232" t="s">
        <v>686</v>
      </c>
      <c r="B1155" s="232" t="s">
        <v>1864</v>
      </c>
      <c r="C1155" s="622">
        <v>44957</v>
      </c>
      <c r="D1155" s="232" t="s">
        <v>4862</v>
      </c>
      <c r="E1155" s="231" t="s">
        <v>5076</v>
      </c>
      <c r="F1155" s="233">
        <v>48</v>
      </c>
      <c r="G1155" s="232" t="s">
        <v>4851</v>
      </c>
      <c r="H1155" s="233"/>
      <c r="I1155" s="233"/>
      <c r="J1155" s="623">
        <v>23184000</v>
      </c>
      <c r="K1155" s="624" t="s">
        <v>1130</v>
      </c>
      <c r="L1155" s="624" t="s">
        <v>4852</v>
      </c>
      <c r="M1155" s="624" t="s">
        <v>4867</v>
      </c>
      <c r="N1155" s="624" t="s">
        <v>4754</v>
      </c>
      <c r="O1155" s="624"/>
      <c r="P1155" s="624"/>
    </row>
    <row r="1156" spans="1:16">
      <c r="A1156" s="231" t="s">
        <v>686</v>
      </c>
      <c r="B1156" s="231" t="s">
        <v>1864</v>
      </c>
      <c r="C1156" s="618">
        <v>44957</v>
      </c>
      <c r="D1156" s="231" t="s">
        <v>4862</v>
      </c>
      <c r="E1156" s="231" t="s">
        <v>5076</v>
      </c>
      <c r="F1156" s="619">
        <v>48</v>
      </c>
      <c r="G1156" s="231" t="s">
        <v>4851</v>
      </c>
      <c r="H1156" s="619"/>
      <c r="I1156" s="619"/>
      <c r="J1156" s="620">
        <v>23184000</v>
      </c>
      <c r="K1156" s="621" t="s">
        <v>1130</v>
      </c>
      <c r="L1156" s="621" t="s">
        <v>4852</v>
      </c>
      <c r="M1156" s="621" t="s">
        <v>4867</v>
      </c>
      <c r="N1156" s="621" t="s">
        <v>4754</v>
      </c>
      <c r="O1156" s="621"/>
      <c r="P1156" s="621"/>
    </row>
    <row r="1157" spans="1:16">
      <c r="A1157" s="232" t="s">
        <v>686</v>
      </c>
      <c r="B1157" s="232" t="s">
        <v>1864</v>
      </c>
      <c r="C1157" s="622">
        <v>44957</v>
      </c>
      <c r="D1157" s="232" t="s">
        <v>4862</v>
      </c>
      <c r="E1157" s="231" t="s">
        <v>5076</v>
      </c>
      <c r="F1157" s="233">
        <v>50</v>
      </c>
      <c r="G1157" s="232" t="s">
        <v>4851</v>
      </c>
      <c r="H1157" s="233"/>
      <c r="I1157" s="233"/>
      <c r="J1157" s="623">
        <v>23250000</v>
      </c>
      <c r="K1157" s="624" t="s">
        <v>1130</v>
      </c>
      <c r="L1157" s="624" t="s">
        <v>4852</v>
      </c>
      <c r="M1157" s="624" t="s">
        <v>4863</v>
      </c>
      <c r="N1157" s="624" t="s">
        <v>4754</v>
      </c>
      <c r="O1157" s="624"/>
      <c r="P1157" s="624"/>
    </row>
    <row r="1158" spans="1:16">
      <c r="A1158" s="231" t="s">
        <v>686</v>
      </c>
      <c r="B1158" s="231" t="s">
        <v>1864</v>
      </c>
      <c r="C1158" s="618">
        <v>44957</v>
      </c>
      <c r="D1158" s="231" t="s">
        <v>4862</v>
      </c>
      <c r="E1158" s="231" t="s">
        <v>5076</v>
      </c>
      <c r="F1158" s="619">
        <v>52</v>
      </c>
      <c r="G1158" s="231" t="s">
        <v>4851</v>
      </c>
      <c r="H1158" s="619"/>
      <c r="I1158" s="619"/>
      <c r="J1158" s="620">
        <v>24180000</v>
      </c>
      <c r="K1158" s="621" t="s">
        <v>1130</v>
      </c>
      <c r="L1158" s="621" t="s">
        <v>4852</v>
      </c>
      <c r="M1158" s="621" t="s">
        <v>4863</v>
      </c>
      <c r="N1158" s="621" t="s">
        <v>4754</v>
      </c>
      <c r="O1158" s="621"/>
      <c r="P1158" s="621"/>
    </row>
    <row r="1159" spans="1:16">
      <c r="A1159" s="232" t="s">
        <v>686</v>
      </c>
      <c r="B1159" s="232" t="s">
        <v>1864</v>
      </c>
      <c r="C1159" s="622">
        <v>44957</v>
      </c>
      <c r="D1159" s="232" t="s">
        <v>4855</v>
      </c>
      <c r="E1159" s="232"/>
      <c r="F1159" s="233">
        <v>16332.121999999999</v>
      </c>
      <c r="G1159" s="232" t="s">
        <v>4851</v>
      </c>
      <c r="H1159" s="233"/>
      <c r="I1159" s="233">
        <v>19190243.350000001</v>
      </c>
      <c r="J1159" s="623">
        <v>11640437001.49</v>
      </c>
      <c r="K1159" s="624" t="s">
        <v>991</v>
      </c>
      <c r="L1159" s="624" t="s">
        <v>4852</v>
      </c>
      <c r="M1159" s="624" t="s">
        <v>4853</v>
      </c>
      <c r="N1159" s="624" t="s">
        <v>4854</v>
      </c>
      <c r="O1159" s="624"/>
      <c r="P1159" s="624"/>
    </row>
    <row r="1160" spans="1:16">
      <c r="A1160" s="231" t="s">
        <v>686</v>
      </c>
      <c r="B1160" s="231" t="s">
        <v>1864</v>
      </c>
      <c r="C1160" s="618">
        <v>44957</v>
      </c>
      <c r="D1160" s="231" t="s">
        <v>4862</v>
      </c>
      <c r="E1160" s="231" t="s">
        <v>5076</v>
      </c>
      <c r="F1160" s="619">
        <v>48</v>
      </c>
      <c r="G1160" s="231" t="s">
        <v>4851</v>
      </c>
      <c r="H1160" s="619"/>
      <c r="I1160" s="619"/>
      <c r="J1160" s="620">
        <v>23184000</v>
      </c>
      <c r="K1160" s="621" t="s">
        <v>1130</v>
      </c>
      <c r="L1160" s="621" t="s">
        <v>4852</v>
      </c>
      <c r="M1160" s="621" t="s">
        <v>4867</v>
      </c>
      <c r="N1160" s="621" t="s">
        <v>4754</v>
      </c>
      <c r="O1160" s="621"/>
      <c r="P1160" s="621"/>
    </row>
    <row r="1161" spans="1:16">
      <c r="A1161" s="232" t="s">
        <v>686</v>
      </c>
      <c r="B1161" s="232" t="s">
        <v>1864</v>
      </c>
      <c r="C1161" s="622">
        <v>44957</v>
      </c>
      <c r="D1161" s="232" t="s">
        <v>4862</v>
      </c>
      <c r="E1161" s="231" t="s">
        <v>5076</v>
      </c>
      <c r="F1161" s="233">
        <v>48</v>
      </c>
      <c r="G1161" s="232" t="s">
        <v>4851</v>
      </c>
      <c r="H1161" s="233"/>
      <c r="I1161" s="233"/>
      <c r="J1161" s="623">
        <v>23184000</v>
      </c>
      <c r="K1161" s="624" t="s">
        <v>1130</v>
      </c>
      <c r="L1161" s="624" t="s">
        <v>4852</v>
      </c>
      <c r="M1161" s="624" t="s">
        <v>4867</v>
      </c>
      <c r="N1161" s="624" t="s">
        <v>4754</v>
      </c>
      <c r="O1161" s="624"/>
      <c r="P1161" s="624"/>
    </row>
    <row r="1162" spans="1:16">
      <c r="A1162" s="231" t="s">
        <v>686</v>
      </c>
      <c r="B1162" s="231" t="s">
        <v>1864</v>
      </c>
      <c r="C1162" s="618">
        <v>44957</v>
      </c>
      <c r="D1162" s="231" t="s">
        <v>4862</v>
      </c>
      <c r="E1162" s="231" t="s">
        <v>5076</v>
      </c>
      <c r="F1162" s="619">
        <v>48</v>
      </c>
      <c r="G1162" s="231" t="s">
        <v>4851</v>
      </c>
      <c r="H1162" s="619"/>
      <c r="I1162" s="619"/>
      <c r="J1162" s="620">
        <v>23184000</v>
      </c>
      <c r="K1162" s="621" t="s">
        <v>1130</v>
      </c>
      <c r="L1162" s="621" t="s">
        <v>4852</v>
      </c>
      <c r="M1162" s="621" t="s">
        <v>4867</v>
      </c>
      <c r="N1162" s="621" t="s">
        <v>4754</v>
      </c>
      <c r="O1162" s="621"/>
      <c r="P1162" s="621"/>
    </row>
    <row r="1163" spans="1:16">
      <c r="A1163" s="232" t="s">
        <v>686</v>
      </c>
      <c r="B1163" s="232" t="s">
        <v>1864</v>
      </c>
      <c r="C1163" s="622">
        <v>44957</v>
      </c>
      <c r="D1163" s="232" t="s">
        <v>4862</v>
      </c>
      <c r="E1163" s="231" t="s">
        <v>5076</v>
      </c>
      <c r="F1163" s="233">
        <v>48</v>
      </c>
      <c r="G1163" s="232" t="s">
        <v>4851</v>
      </c>
      <c r="H1163" s="233"/>
      <c r="I1163" s="233"/>
      <c r="J1163" s="623">
        <v>23184000</v>
      </c>
      <c r="K1163" s="624" t="s">
        <v>1130</v>
      </c>
      <c r="L1163" s="624" t="s">
        <v>4852</v>
      </c>
      <c r="M1163" s="624" t="s">
        <v>4867</v>
      </c>
      <c r="N1163" s="624" t="s">
        <v>4754</v>
      </c>
      <c r="O1163" s="624"/>
      <c r="P1163" s="624"/>
    </row>
    <row r="1164" spans="1:16">
      <c r="A1164" s="231" t="s">
        <v>686</v>
      </c>
      <c r="B1164" s="231" t="s">
        <v>1864</v>
      </c>
      <c r="C1164" s="618">
        <v>44957</v>
      </c>
      <c r="D1164" s="231" t="s">
        <v>4862</v>
      </c>
      <c r="E1164" s="231" t="s">
        <v>5076</v>
      </c>
      <c r="F1164" s="619">
        <v>48</v>
      </c>
      <c r="G1164" s="231" t="s">
        <v>4851</v>
      </c>
      <c r="H1164" s="619"/>
      <c r="I1164" s="619"/>
      <c r="J1164" s="620">
        <v>23184000</v>
      </c>
      <c r="K1164" s="621" t="s">
        <v>1130</v>
      </c>
      <c r="L1164" s="621" t="s">
        <v>4852</v>
      </c>
      <c r="M1164" s="621" t="s">
        <v>4867</v>
      </c>
      <c r="N1164" s="621" t="s">
        <v>4754</v>
      </c>
      <c r="O1164" s="621"/>
      <c r="P1164" s="621"/>
    </row>
    <row r="1165" spans="1:16">
      <c r="A1165" s="232" t="s">
        <v>686</v>
      </c>
      <c r="B1165" s="232" t="s">
        <v>1864</v>
      </c>
      <c r="C1165" s="622">
        <v>44957</v>
      </c>
      <c r="D1165" s="232" t="s">
        <v>4862</v>
      </c>
      <c r="E1165" s="231" t="s">
        <v>5076</v>
      </c>
      <c r="F1165" s="233">
        <v>48</v>
      </c>
      <c r="G1165" s="232" t="s">
        <v>4851</v>
      </c>
      <c r="H1165" s="233"/>
      <c r="I1165" s="233"/>
      <c r="J1165" s="623">
        <v>23184000</v>
      </c>
      <c r="K1165" s="624" t="s">
        <v>1130</v>
      </c>
      <c r="L1165" s="624" t="s">
        <v>4852</v>
      </c>
      <c r="M1165" s="624" t="s">
        <v>4867</v>
      </c>
      <c r="N1165" s="624" t="s">
        <v>4754</v>
      </c>
      <c r="O1165" s="624"/>
      <c r="P1165" s="624"/>
    </row>
    <row r="1166" spans="1:16">
      <c r="A1166" s="231" t="s">
        <v>686</v>
      </c>
      <c r="B1166" s="231" t="s">
        <v>1864</v>
      </c>
      <c r="C1166" s="618">
        <v>44957</v>
      </c>
      <c r="D1166" s="231" t="s">
        <v>4862</v>
      </c>
      <c r="E1166" s="231" t="s">
        <v>5076</v>
      </c>
      <c r="F1166" s="619">
        <v>48</v>
      </c>
      <c r="G1166" s="231" t="s">
        <v>4851</v>
      </c>
      <c r="H1166" s="619"/>
      <c r="I1166" s="619"/>
      <c r="J1166" s="620">
        <v>23184000</v>
      </c>
      <c r="K1166" s="621" t="s">
        <v>1130</v>
      </c>
      <c r="L1166" s="621" t="s">
        <v>4852</v>
      </c>
      <c r="M1166" s="621" t="s">
        <v>4867</v>
      </c>
      <c r="N1166" s="621" t="s">
        <v>4754</v>
      </c>
      <c r="O1166" s="621"/>
      <c r="P1166" s="621"/>
    </row>
    <row r="1167" spans="1:16">
      <c r="A1167" s="232" t="s">
        <v>686</v>
      </c>
      <c r="B1167" s="232" t="s">
        <v>1864</v>
      </c>
      <c r="C1167" s="622">
        <v>44957</v>
      </c>
      <c r="D1167" s="232" t="s">
        <v>4862</v>
      </c>
      <c r="E1167" s="231" t="s">
        <v>5076</v>
      </c>
      <c r="F1167" s="233">
        <v>48</v>
      </c>
      <c r="G1167" s="232" t="s">
        <v>4851</v>
      </c>
      <c r="H1167" s="233"/>
      <c r="I1167" s="233"/>
      <c r="J1167" s="623">
        <v>23184000</v>
      </c>
      <c r="K1167" s="624" t="s">
        <v>1130</v>
      </c>
      <c r="L1167" s="624" t="s">
        <v>4852</v>
      </c>
      <c r="M1167" s="624" t="s">
        <v>4867</v>
      </c>
      <c r="N1167" s="624" t="s">
        <v>4754</v>
      </c>
      <c r="O1167" s="624"/>
      <c r="P1167" s="624"/>
    </row>
    <row r="1168" spans="1:16">
      <c r="A1168" s="231" t="s">
        <v>686</v>
      </c>
      <c r="B1168" s="231" t="s">
        <v>1864</v>
      </c>
      <c r="C1168" s="618">
        <v>44957</v>
      </c>
      <c r="D1168" s="231" t="s">
        <v>4862</v>
      </c>
      <c r="E1168" s="231" t="s">
        <v>5076</v>
      </c>
      <c r="F1168" s="619">
        <v>48</v>
      </c>
      <c r="G1168" s="231" t="s">
        <v>4851</v>
      </c>
      <c r="H1168" s="619"/>
      <c r="I1168" s="619"/>
      <c r="J1168" s="620">
        <v>23184000</v>
      </c>
      <c r="K1168" s="621" t="s">
        <v>1130</v>
      </c>
      <c r="L1168" s="621" t="s">
        <v>4852</v>
      </c>
      <c r="M1168" s="621" t="s">
        <v>4867</v>
      </c>
      <c r="N1168" s="621" t="s">
        <v>4754</v>
      </c>
      <c r="O1168" s="621"/>
      <c r="P1168" s="621"/>
    </row>
    <row r="1169" spans="1:16">
      <c r="A1169" s="232" t="s">
        <v>686</v>
      </c>
      <c r="B1169" s="232" t="s">
        <v>1864</v>
      </c>
      <c r="C1169" s="622">
        <v>44957</v>
      </c>
      <c r="D1169" s="232" t="s">
        <v>4862</v>
      </c>
      <c r="E1169" s="231" t="s">
        <v>5076</v>
      </c>
      <c r="F1169" s="233">
        <v>48</v>
      </c>
      <c r="G1169" s="232" t="s">
        <v>4851</v>
      </c>
      <c r="H1169" s="233"/>
      <c r="I1169" s="233"/>
      <c r="J1169" s="623">
        <v>23184000</v>
      </c>
      <c r="K1169" s="624" t="s">
        <v>1130</v>
      </c>
      <c r="L1169" s="624" t="s">
        <v>4852</v>
      </c>
      <c r="M1169" s="624" t="s">
        <v>4867</v>
      </c>
      <c r="N1169" s="624" t="s">
        <v>4754</v>
      </c>
      <c r="O1169" s="624"/>
      <c r="P1169" s="624"/>
    </row>
    <row r="1170" spans="1:16">
      <c r="A1170" s="231" t="s">
        <v>686</v>
      </c>
      <c r="B1170" s="231" t="s">
        <v>1864</v>
      </c>
      <c r="C1170" s="618">
        <v>44957</v>
      </c>
      <c r="D1170" s="231" t="s">
        <v>4862</v>
      </c>
      <c r="E1170" s="231" t="s">
        <v>5076</v>
      </c>
      <c r="F1170" s="619">
        <v>48</v>
      </c>
      <c r="G1170" s="231" t="s">
        <v>4851</v>
      </c>
      <c r="H1170" s="619"/>
      <c r="I1170" s="619"/>
      <c r="J1170" s="620">
        <v>23184000</v>
      </c>
      <c r="K1170" s="621" t="s">
        <v>1130</v>
      </c>
      <c r="L1170" s="621" t="s">
        <v>4852</v>
      </c>
      <c r="M1170" s="621" t="s">
        <v>4867</v>
      </c>
      <c r="N1170" s="621" t="s">
        <v>4754</v>
      </c>
      <c r="O1170" s="621"/>
      <c r="P1170" s="621"/>
    </row>
    <row r="1171" spans="1:16">
      <c r="A1171" s="232" t="s">
        <v>686</v>
      </c>
      <c r="B1171" s="232" t="s">
        <v>1864</v>
      </c>
      <c r="C1171" s="622">
        <v>44957</v>
      </c>
      <c r="D1171" s="232" t="s">
        <v>4862</v>
      </c>
      <c r="E1171" s="231" t="s">
        <v>5076</v>
      </c>
      <c r="F1171" s="233">
        <v>48</v>
      </c>
      <c r="G1171" s="232" t="s">
        <v>4851</v>
      </c>
      <c r="H1171" s="233"/>
      <c r="I1171" s="233"/>
      <c r="J1171" s="623">
        <v>23184000</v>
      </c>
      <c r="K1171" s="624" t="s">
        <v>1130</v>
      </c>
      <c r="L1171" s="624" t="s">
        <v>4852</v>
      </c>
      <c r="M1171" s="624" t="s">
        <v>4867</v>
      </c>
      <c r="N1171" s="624" t="s">
        <v>4754</v>
      </c>
      <c r="O1171" s="624"/>
      <c r="P1171" s="624"/>
    </row>
    <row r="1172" spans="1:16">
      <c r="A1172" s="231" t="s">
        <v>686</v>
      </c>
      <c r="B1172" s="231" t="s">
        <v>1864</v>
      </c>
      <c r="C1172" s="618">
        <v>44957</v>
      </c>
      <c r="D1172" s="231" t="s">
        <v>4862</v>
      </c>
      <c r="E1172" s="231" t="s">
        <v>5076</v>
      </c>
      <c r="F1172" s="619">
        <v>48</v>
      </c>
      <c r="G1172" s="231" t="s">
        <v>4851</v>
      </c>
      <c r="H1172" s="619"/>
      <c r="I1172" s="619"/>
      <c r="J1172" s="620">
        <v>23184000</v>
      </c>
      <c r="K1172" s="621" t="s">
        <v>1130</v>
      </c>
      <c r="L1172" s="621" t="s">
        <v>4852</v>
      </c>
      <c r="M1172" s="621" t="s">
        <v>4867</v>
      </c>
      <c r="N1172" s="621" t="s">
        <v>4754</v>
      </c>
      <c r="O1172" s="621"/>
      <c r="P1172" s="621"/>
    </row>
    <row r="1173" spans="1:16">
      <c r="A1173" s="232" t="s">
        <v>686</v>
      </c>
      <c r="B1173" s="232" t="s">
        <v>1864</v>
      </c>
      <c r="C1173" s="622">
        <v>44957</v>
      </c>
      <c r="D1173" s="232" t="s">
        <v>4862</v>
      </c>
      <c r="E1173" s="231" t="s">
        <v>5076</v>
      </c>
      <c r="F1173" s="233">
        <v>48</v>
      </c>
      <c r="G1173" s="232" t="s">
        <v>4851</v>
      </c>
      <c r="H1173" s="233"/>
      <c r="I1173" s="233"/>
      <c r="J1173" s="623">
        <v>23184000</v>
      </c>
      <c r="K1173" s="624" t="s">
        <v>1130</v>
      </c>
      <c r="L1173" s="624" t="s">
        <v>4852</v>
      </c>
      <c r="M1173" s="624" t="s">
        <v>4867</v>
      </c>
      <c r="N1173" s="624" t="s">
        <v>4754</v>
      </c>
      <c r="O1173" s="624"/>
      <c r="P1173" s="624"/>
    </row>
    <row r="1174" spans="1:16">
      <c r="A1174" s="231" t="s">
        <v>686</v>
      </c>
      <c r="B1174" s="231" t="s">
        <v>1864</v>
      </c>
      <c r="C1174" s="618">
        <v>44957</v>
      </c>
      <c r="D1174" s="231" t="s">
        <v>4862</v>
      </c>
      <c r="E1174" s="231" t="s">
        <v>5076</v>
      </c>
      <c r="F1174" s="619">
        <v>48</v>
      </c>
      <c r="G1174" s="231" t="s">
        <v>4851</v>
      </c>
      <c r="H1174" s="619"/>
      <c r="I1174" s="619"/>
      <c r="J1174" s="620">
        <v>23184000</v>
      </c>
      <c r="K1174" s="621" t="s">
        <v>1130</v>
      </c>
      <c r="L1174" s="621" t="s">
        <v>4852</v>
      </c>
      <c r="M1174" s="621" t="s">
        <v>4867</v>
      </c>
      <c r="N1174" s="621" t="s">
        <v>4754</v>
      </c>
      <c r="O1174" s="621"/>
      <c r="P1174" s="621"/>
    </row>
    <row r="1175" spans="1:16">
      <c r="A1175" s="232" t="s">
        <v>686</v>
      </c>
      <c r="B1175" s="232" t="s">
        <v>1864</v>
      </c>
      <c r="C1175" s="622">
        <v>44957</v>
      </c>
      <c r="D1175" s="232" t="s">
        <v>4862</v>
      </c>
      <c r="E1175" s="231" t="s">
        <v>5076</v>
      </c>
      <c r="F1175" s="233">
        <v>48</v>
      </c>
      <c r="G1175" s="232" t="s">
        <v>4851</v>
      </c>
      <c r="H1175" s="233"/>
      <c r="I1175" s="233"/>
      <c r="J1175" s="623">
        <v>23184000</v>
      </c>
      <c r="K1175" s="624" t="s">
        <v>1130</v>
      </c>
      <c r="L1175" s="624" t="s">
        <v>4852</v>
      </c>
      <c r="M1175" s="624" t="s">
        <v>4867</v>
      </c>
      <c r="N1175" s="624" t="s">
        <v>4754</v>
      </c>
      <c r="O1175" s="624"/>
      <c r="P1175" s="624"/>
    </row>
    <row r="1176" spans="1:16">
      <c r="A1176" s="231" t="s">
        <v>686</v>
      </c>
      <c r="B1176" s="231" t="s">
        <v>1864</v>
      </c>
      <c r="C1176" s="618">
        <v>44957</v>
      </c>
      <c r="D1176" s="231" t="s">
        <v>4862</v>
      </c>
      <c r="E1176" s="231" t="s">
        <v>5076</v>
      </c>
      <c r="F1176" s="619">
        <v>48</v>
      </c>
      <c r="G1176" s="231" t="s">
        <v>4851</v>
      </c>
      <c r="H1176" s="619"/>
      <c r="I1176" s="619"/>
      <c r="J1176" s="620">
        <v>23184000</v>
      </c>
      <c r="K1176" s="621" t="s">
        <v>1130</v>
      </c>
      <c r="L1176" s="621" t="s">
        <v>4852</v>
      </c>
      <c r="M1176" s="621" t="s">
        <v>4867</v>
      </c>
      <c r="N1176" s="621" t="s">
        <v>4754</v>
      </c>
      <c r="O1176" s="621"/>
      <c r="P1176" s="621"/>
    </row>
    <row r="1177" spans="1:16">
      <c r="A1177" s="232" t="s">
        <v>686</v>
      </c>
      <c r="B1177" s="232" t="s">
        <v>1864</v>
      </c>
      <c r="C1177" s="622">
        <v>44957</v>
      </c>
      <c r="D1177" s="232" t="s">
        <v>4862</v>
      </c>
      <c r="E1177" s="231" t="s">
        <v>5076</v>
      </c>
      <c r="F1177" s="233">
        <v>48</v>
      </c>
      <c r="G1177" s="232" t="s">
        <v>4851</v>
      </c>
      <c r="H1177" s="233"/>
      <c r="I1177" s="233"/>
      <c r="J1177" s="623">
        <v>23184000</v>
      </c>
      <c r="K1177" s="624" t="s">
        <v>1130</v>
      </c>
      <c r="L1177" s="624" t="s">
        <v>4852</v>
      </c>
      <c r="M1177" s="624" t="s">
        <v>4867</v>
      </c>
      <c r="N1177" s="624" t="s">
        <v>4754</v>
      </c>
      <c r="O1177" s="624"/>
      <c r="P1177" s="624"/>
    </row>
    <row r="1178" spans="1:16">
      <c r="A1178" s="231" t="s">
        <v>686</v>
      </c>
      <c r="B1178" s="231" t="s">
        <v>1864</v>
      </c>
      <c r="C1178" s="618">
        <v>44957</v>
      </c>
      <c r="D1178" s="231" t="s">
        <v>4862</v>
      </c>
      <c r="E1178" s="231" t="s">
        <v>5076</v>
      </c>
      <c r="F1178" s="619">
        <v>48</v>
      </c>
      <c r="G1178" s="231" t="s">
        <v>4851</v>
      </c>
      <c r="H1178" s="619"/>
      <c r="I1178" s="619"/>
      <c r="J1178" s="620">
        <v>23184000</v>
      </c>
      <c r="K1178" s="621" t="s">
        <v>1130</v>
      </c>
      <c r="L1178" s="621" t="s">
        <v>4852</v>
      </c>
      <c r="M1178" s="621" t="s">
        <v>4867</v>
      </c>
      <c r="N1178" s="621" t="s">
        <v>4754</v>
      </c>
      <c r="O1178" s="621"/>
      <c r="P1178" s="621"/>
    </row>
    <row r="1179" spans="1:16">
      <c r="A1179" s="232" t="s">
        <v>686</v>
      </c>
      <c r="B1179" s="232" t="s">
        <v>1864</v>
      </c>
      <c r="C1179" s="622">
        <v>44957</v>
      </c>
      <c r="D1179" s="232" t="s">
        <v>4862</v>
      </c>
      <c r="E1179" s="231" t="s">
        <v>5076</v>
      </c>
      <c r="F1179" s="233">
        <v>48</v>
      </c>
      <c r="G1179" s="232" t="s">
        <v>4851</v>
      </c>
      <c r="H1179" s="233"/>
      <c r="I1179" s="233"/>
      <c r="J1179" s="623">
        <v>23184000</v>
      </c>
      <c r="K1179" s="624" t="s">
        <v>1130</v>
      </c>
      <c r="L1179" s="624" t="s">
        <v>4852</v>
      </c>
      <c r="M1179" s="624" t="s">
        <v>4867</v>
      </c>
      <c r="N1179" s="624" t="s">
        <v>4754</v>
      </c>
      <c r="O1179" s="624"/>
      <c r="P1179" s="624"/>
    </row>
    <row r="1180" spans="1:16">
      <c r="A1180" s="231" t="s">
        <v>686</v>
      </c>
      <c r="B1180" s="231" t="s">
        <v>1864</v>
      </c>
      <c r="C1180" s="618">
        <v>44957</v>
      </c>
      <c r="D1180" s="231" t="s">
        <v>4862</v>
      </c>
      <c r="E1180" s="231" t="s">
        <v>5076</v>
      </c>
      <c r="F1180" s="619">
        <v>48</v>
      </c>
      <c r="G1180" s="231" t="s">
        <v>4851</v>
      </c>
      <c r="H1180" s="619"/>
      <c r="I1180" s="619"/>
      <c r="J1180" s="620">
        <v>23184000</v>
      </c>
      <c r="K1180" s="621" t="s">
        <v>1130</v>
      </c>
      <c r="L1180" s="621" t="s">
        <v>4852</v>
      </c>
      <c r="M1180" s="621" t="s">
        <v>4867</v>
      </c>
      <c r="N1180" s="621" t="s">
        <v>4754</v>
      </c>
      <c r="O1180" s="621"/>
      <c r="P1180" s="621"/>
    </row>
    <row r="1181" spans="1:16">
      <c r="A1181" s="232" t="s">
        <v>686</v>
      </c>
      <c r="B1181" s="232" t="s">
        <v>1864</v>
      </c>
      <c r="C1181" s="622">
        <v>44957</v>
      </c>
      <c r="D1181" s="232" t="s">
        <v>4862</v>
      </c>
      <c r="E1181" s="231" t="s">
        <v>5076</v>
      </c>
      <c r="F1181" s="233">
        <v>48</v>
      </c>
      <c r="G1181" s="232" t="s">
        <v>4851</v>
      </c>
      <c r="H1181" s="233"/>
      <c r="I1181" s="233"/>
      <c r="J1181" s="623">
        <v>23184000</v>
      </c>
      <c r="K1181" s="624" t="s">
        <v>1130</v>
      </c>
      <c r="L1181" s="624" t="s">
        <v>4852</v>
      </c>
      <c r="M1181" s="624" t="s">
        <v>4867</v>
      </c>
      <c r="N1181" s="624" t="s">
        <v>4754</v>
      </c>
      <c r="O1181" s="624"/>
      <c r="P1181" s="624"/>
    </row>
    <row r="1182" spans="1:16">
      <c r="A1182" s="231" t="s">
        <v>686</v>
      </c>
      <c r="B1182" s="231" t="s">
        <v>1864</v>
      </c>
      <c r="C1182" s="618">
        <v>44957</v>
      </c>
      <c r="D1182" s="231" t="s">
        <v>4862</v>
      </c>
      <c r="E1182" s="231" t="s">
        <v>5076</v>
      </c>
      <c r="F1182" s="619">
        <v>48</v>
      </c>
      <c r="G1182" s="231" t="s">
        <v>4851</v>
      </c>
      <c r="H1182" s="619"/>
      <c r="I1182" s="619"/>
      <c r="J1182" s="620">
        <v>23184000</v>
      </c>
      <c r="K1182" s="621" t="s">
        <v>1130</v>
      </c>
      <c r="L1182" s="621" t="s">
        <v>4852</v>
      </c>
      <c r="M1182" s="621" t="s">
        <v>4867</v>
      </c>
      <c r="N1182" s="621" t="s">
        <v>4754</v>
      </c>
      <c r="O1182" s="621"/>
      <c r="P1182" s="621"/>
    </row>
    <row r="1183" spans="1:16">
      <c r="A1183" s="232" t="s">
        <v>686</v>
      </c>
      <c r="B1183" s="232" t="s">
        <v>1864</v>
      </c>
      <c r="C1183" s="622">
        <v>44957</v>
      </c>
      <c r="D1183" s="232" t="s">
        <v>4862</v>
      </c>
      <c r="E1183" s="231" t="s">
        <v>5076</v>
      </c>
      <c r="F1183" s="233">
        <v>48</v>
      </c>
      <c r="G1183" s="232" t="s">
        <v>4851</v>
      </c>
      <c r="H1183" s="233"/>
      <c r="I1183" s="233"/>
      <c r="J1183" s="623">
        <v>23184000</v>
      </c>
      <c r="K1183" s="624" t="s">
        <v>1130</v>
      </c>
      <c r="L1183" s="624" t="s">
        <v>4852</v>
      </c>
      <c r="M1183" s="624" t="s">
        <v>4867</v>
      </c>
      <c r="N1183" s="624" t="s">
        <v>4754</v>
      </c>
      <c r="O1183" s="624"/>
      <c r="P1183" s="624"/>
    </row>
    <row r="1184" spans="1:16">
      <c r="A1184" s="231" t="s">
        <v>686</v>
      </c>
      <c r="B1184" s="231" t="s">
        <v>1864</v>
      </c>
      <c r="C1184" s="618">
        <v>44957</v>
      </c>
      <c r="D1184" s="231" t="s">
        <v>4862</v>
      </c>
      <c r="E1184" s="231" t="s">
        <v>5076</v>
      </c>
      <c r="F1184" s="619">
        <v>48</v>
      </c>
      <c r="G1184" s="231" t="s">
        <v>4851</v>
      </c>
      <c r="H1184" s="619"/>
      <c r="I1184" s="619"/>
      <c r="J1184" s="620">
        <v>23184000</v>
      </c>
      <c r="K1184" s="621" t="s">
        <v>1130</v>
      </c>
      <c r="L1184" s="621" t="s">
        <v>4852</v>
      </c>
      <c r="M1184" s="621" t="s">
        <v>4867</v>
      </c>
      <c r="N1184" s="621" t="s">
        <v>4754</v>
      </c>
      <c r="O1184" s="621"/>
      <c r="P1184" s="621"/>
    </row>
    <row r="1185" spans="1:16">
      <c r="A1185" s="232" t="s">
        <v>686</v>
      </c>
      <c r="B1185" s="232" t="s">
        <v>1864</v>
      </c>
      <c r="C1185" s="622">
        <v>44957</v>
      </c>
      <c r="D1185" s="232" t="s">
        <v>4862</v>
      </c>
      <c r="E1185" s="231" t="s">
        <v>5076</v>
      </c>
      <c r="F1185" s="233">
        <v>2</v>
      </c>
      <c r="G1185" s="232" t="s">
        <v>4851</v>
      </c>
      <c r="H1185" s="233"/>
      <c r="I1185" s="233"/>
      <c r="J1185" s="623">
        <v>930000</v>
      </c>
      <c r="K1185" s="624" t="s">
        <v>1130</v>
      </c>
      <c r="L1185" s="624" t="s">
        <v>4852</v>
      </c>
      <c r="M1185" s="624" t="s">
        <v>4863</v>
      </c>
      <c r="N1185" s="624" t="s">
        <v>4754</v>
      </c>
      <c r="O1185" s="624"/>
      <c r="P1185" s="624"/>
    </row>
    <row r="1186" spans="1:16">
      <c r="A1186" s="231" t="s">
        <v>686</v>
      </c>
      <c r="B1186" s="231" t="s">
        <v>1864</v>
      </c>
      <c r="C1186" s="618">
        <v>44985</v>
      </c>
      <c r="D1186" s="231" t="s">
        <v>4862</v>
      </c>
      <c r="E1186" s="231" t="s">
        <v>5076</v>
      </c>
      <c r="F1186" s="619">
        <v>48</v>
      </c>
      <c r="G1186" s="231" t="s">
        <v>4851</v>
      </c>
      <c r="H1186" s="619"/>
      <c r="I1186" s="619"/>
      <c r="J1186" s="620">
        <v>23184000</v>
      </c>
      <c r="K1186" s="621" t="s">
        <v>1130</v>
      </c>
      <c r="L1186" s="621" t="s">
        <v>4852</v>
      </c>
      <c r="M1186" s="621" t="s">
        <v>4867</v>
      </c>
      <c r="N1186" s="621" t="s">
        <v>4754</v>
      </c>
      <c r="O1186" s="621"/>
      <c r="P1186" s="621"/>
    </row>
    <row r="1187" spans="1:16">
      <c r="A1187" s="232" t="s">
        <v>686</v>
      </c>
      <c r="B1187" s="232" t="s">
        <v>1864</v>
      </c>
      <c r="C1187" s="622">
        <v>44985</v>
      </c>
      <c r="D1187" s="232" t="s">
        <v>4862</v>
      </c>
      <c r="E1187" s="231" t="s">
        <v>5076</v>
      </c>
      <c r="F1187" s="233">
        <v>48</v>
      </c>
      <c r="G1187" s="232" t="s">
        <v>4851</v>
      </c>
      <c r="H1187" s="233"/>
      <c r="I1187" s="233"/>
      <c r="J1187" s="623">
        <v>23184000</v>
      </c>
      <c r="K1187" s="624" t="s">
        <v>1130</v>
      </c>
      <c r="L1187" s="624" t="s">
        <v>4852</v>
      </c>
      <c r="M1187" s="624" t="s">
        <v>4867</v>
      </c>
      <c r="N1187" s="624" t="s">
        <v>4754</v>
      </c>
      <c r="O1187" s="624"/>
      <c r="P1187" s="624"/>
    </row>
    <row r="1188" spans="1:16">
      <c r="A1188" s="231" t="s">
        <v>686</v>
      </c>
      <c r="B1188" s="231" t="s">
        <v>1864</v>
      </c>
      <c r="C1188" s="618">
        <v>44985</v>
      </c>
      <c r="D1188" s="231" t="s">
        <v>4868</v>
      </c>
      <c r="E1188" s="231" t="s">
        <v>5076</v>
      </c>
      <c r="F1188" s="619">
        <v>24</v>
      </c>
      <c r="G1188" s="231" t="s">
        <v>4851</v>
      </c>
      <c r="H1188" s="619"/>
      <c r="I1188" s="619"/>
      <c r="J1188" s="620">
        <v>10440000</v>
      </c>
      <c r="K1188" s="621" t="s">
        <v>1130</v>
      </c>
      <c r="L1188" s="621" t="s">
        <v>4852</v>
      </c>
      <c r="M1188" s="621" t="s">
        <v>4863</v>
      </c>
      <c r="N1188" s="621" t="s">
        <v>4754</v>
      </c>
      <c r="O1188" s="621"/>
      <c r="P1188" s="621"/>
    </row>
    <row r="1189" spans="1:16">
      <c r="A1189" s="232" t="s">
        <v>686</v>
      </c>
      <c r="B1189" s="232" t="s">
        <v>1864</v>
      </c>
      <c r="C1189" s="622">
        <v>44985</v>
      </c>
      <c r="D1189" s="232" t="s">
        <v>4868</v>
      </c>
      <c r="E1189" s="231" t="s">
        <v>5076</v>
      </c>
      <c r="F1189" s="233">
        <v>7</v>
      </c>
      <c r="G1189" s="232" t="s">
        <v>4851</v>
      </c>
      <c r="H1189" s="233"/>
      <c r="I1189" s="233"/>
      <c r="J1189" s="623">
        <v>3045000</v>
      </c>
      <c r="K1189" s="624" t="s">
        <v>1130</v>
      </c>
      <c r="L1189" s="624" t="s">
        <v>4852</v>
      </c>
      <c r="M1189" s="624" t="s">
        <v>4863</v>
      </c>
      <c r="N1189" s="624" t="s">
        <v>4754</v>
      </c>
      <c r="O1189" s="624"/>
      <c r="P1189" s="624"/>
    </row>
    <row r="1190" spans="1:16">
      <c r="A1190" s="231" t="s">
        <v>686</v>
      </c>
      <c r="B1190" s="231" t="s">
        <v>1864</v>
      </c>
      <c r="C1190" s="618">
        <v>44985</v>
      </c>
      <c r="D1190" s="231" t="s">
        <v>4868</v>
      </c>
      <c r="E1190" s="231" t="s">
        <v>5076</v>
      </c>
      <c r="F1190" s="619">
        <v>4</v>
      </c>
      <c r="G1190" s="231" t="s">
        <v>4851</v>
      </c>
      <c r="H1190" s="619"/>
      <c r="I1190" s="619"/>
      <c r="J1190" s="620">
        <v>1740000</v>
      </c>
      <c r="K1190" s="621" t="s">
        <v>1130</v>
      </c>
      <c r="L1190" s="621" t="s">
        <v>4852</v>
      </c>
      <c r="M1190" s="621" t="s">
        <v>4863</v>
      </c>
      <c r="N1190" s="621" t="s">
        <v>4754</v>
      </c>
      <c r="O1190" s="621"/>
      <c r="P1190" s="621"/>
    </row>
    <row r="1191" spans="1:16">
      <c r="A1191" s="232" t="s">
        <v>686</v>
      </c>
      <c r="B1191" s="232" t="s">
        <v>1864</v>
      </c>
      <c r="C1191" s="622">
        <v>44985</v>
      </c>
      <c r="D1191" s="232" t="s">
        <v>4869</v>
      </c>
      <c r="E1191" s="231" t="s">
        <v>5076</v>
      </c>
      <c r="F1191" s="233">
        <v>52</v>
      </c>
      <c r="G1191" s="232" t="s">
        <v>4851</v>
      </c>
      <c r="H1191" s="233"/>
      <c r="I1191" s="233"/>
      <c r="J1191" s="623">
        <v>22360000</v>
      </c>
      <c r="K1191" s="624" t="s">
        <v>1130</v>
      </c>
      <c r="L1191" s="624" t="s">
        <v>4852</v>
      </c>
      <c r="M1191" s="624" t="s">
        <v>4858</v>
      </c>
      <c r="N1191" s="624" t="s">
        <v>4754</v>
      </c>
      <c r="O1191" s="624"/>
      <c r="P1191" s="624"/>
    </row>
    <row r="1192" spans="1:16">
      <c r="A1192" s="231" t="s">
        <v>686</v>
      </c>
      <c r="B1192" s="231" t="s">
        <v>1864</v>
      </c>
      <c r="C1192" s="618">
        <v>44985</v>
      </c>
      <c r="D1192" s="231" t="s">
        <v>4870</v>
      </c>
      <c r="E1192" s="231" t="s">
        <v>5076</v>
      </c>
      <c r="F1192" s="619">
        <v>48</v>
      </c>
      <c r="G1192" s="231" t="s">
        <v>4851</v>
      </c>
      <c r="H1192" s="619"/>
      <c r="I1192" s="619"/>
      <c r="J1192" s="620">
        <v>20640000</v>
      </c>
      <c r="K1192" s="621" t="s">
        <v>1130</v>
      </c>
      <c r="L1192" s="621" t="s">
        <v>4852</v>
      </c>
      <c r="M1192" s="621" t="s">
        <v>4871</v>
      </c>
      <c r="N1192" s="621" t="s">
        <v>4754</v>
      </c>
      <c r="O1192" s="621"/>
      <c r="P1192" s="621"/>
    </row>
    <row r="1193" spans="1:16">
      <c r="A1193" s="232" t="s">
        <v>686</v>
      </c>
      <c r="B1193" s="232" t="s">
        <v>1864</v>
      </c>
      <c r="C1193" s="622">
        <v>44985</v>
      </c>
      <c r="D1193" s="232" t="s">
        <v>4870</v>
      </c>
      <c r="E1193" s="231" t="s">
        <v>5076</v>
      </c>
      <c r="F1193" s="233">
        <v>47</v>
      </c>
      <c r="G1193" s="232" t="s">
        <v>4851</v>
      </c>
      <c r="H1193" s="233"/>
      <c r="I1193" s="233"/>
      <c r="J1193" s="623">
        <v>20210000</v>
      </c>
      <c r="K1193" s="624" t="s">
        <v>1130</v>
      </c>
      <c r="L1193" s="624" t="s">
        <v>4852</v>
      </c>
      <c r="M1193" s="624" t="s">
        <v>4871</v>
      </c>
      <c r="N1193" s="624" t="s">
        <v>4754</v>
      </c>
      <c r="O1193" s="624"/>
      <c r="P1193" s="624"/>
    </row>
    <row r="1194" spans="1:16">
      <c r="A1194" s="231" t="s">
        <v>686</v>
      </c>
      <c r="B1194" s="231" t="s">
        <v>1864</v>
      </c>
      <c r="C1194" s="618">
        <v>44985</v>
      </c>
      <c r="D1194" s="231" t="s">
        <v>4870</v>
      </c>
      <c r="E1194" s="231" t="s">
        <v>5076</v>
      </c>
      <c r="F1194" s="619">
        <v>48</v>
      </c>
      <c r="G1194" s="231" t="s">
        <v>4851</v>
      </c>
      <c r="H1194" s="619"/>
      <c r="I1194" s="619"/>
      <c r="J1194" s="620">
        <v>20640000</v>
      </c>
      <c r="K1194" s="621" t="s">
        <v>1130</v>
      </c>
      <c r="L1194" s="621" t="s">
        <v>4852</v>
      </c>
      <c r="M1194" s="621" t="s">
        <v>4871</v>
      </c>
      <c r="N1194" s="621" t="s">
        <v>4754</v>
      </c>
      <c r="O1194" s="621"/>
      <c r="P1194" s="621"/>
    </row>
    <row r="1195" spans="1:16">
      <c r="A1195" s="232" t="s">
        <v>686</v>
      </c>
      <c r="B1195" s="232" t="s">
        <v>1864</v>
      </c>
      <c r="C1195" s="622">
        <v>44985</v>
      </c>
      <c r="D1195" s="232" t="s">
        <v>4870</v>
      </c>
      <c r="E1195" s="231" t="s">
        <v>5076</v>
      </c>
      <c r="F1195" s="233">
        <v>53</v>
      </c>
      <c r="G1195" s="232" t="s">
        <v>4851</v>
      </c>
      <c r="H1195" s="233"/>
      <c r="I1195" s="233"/>
      <c r="J1195" s="623">
        <v>22790000</v>
      </c>
      <c r="K1195" s="624" t="s">
        <v>1130</v>
      </c>
      <c r="L1195" s="624" t="s">
        <v>4852</v>
      </c>
      <c r="M1195" s="624" t="s">
        <v>4871</v>
      </c>
      <c r="N1195" s="624" t="s">
        <v>4754</v>
      </c>
      <c r="O1195" s="624"/>
      <c r="P1195" s="624"/>
    </row>
    <row r="1196" spans="1:16">
      <c r="A1196" s="231" t="s">
        <v>686</v>
      </c>
      <c r="B1196" s="231" t="s">
        <v>1864</v>
      </c>
      <c r="C1196" s="618">
        <v>44985</v>
      </c>
      <c r="D1196" s="231" t="s">
        <v>4869</v>
      </c>
      <c r="E1196" s="231" t="s">
        <v>5076</v>
      </c>
      <c r="F1196" s="619">
        <v>5</v>
      </c>
      <c r="G1196" s="231" t="s">
        <v>4851</v>
      </c>
      <c r="H1196" s="619"/>
      <c r="I1196" s="619"/>
      <c r="J1196" s="620">
        <v>2150000</v>
      </c>
      <c r="K1196" s="621" t="s">
        <v>1130</v>
      </c>
      <c r="L1196" s="621" t="s">
        <v>4852</v>
      </c>
      <c r="M1196" s="621" t="s">
        <v>4858</v>
      </c>
      <c r="N1196" s="621" t="s">
        <v>4754</v>
      </c>
      <c r="O1196" s="621"/>
      <c r="P1196" s="621"/>
    </row>
    <row r="1197" spans="1:16">
      <c r="A1197" s="232" t="s">
        <v>686</v>
      </c>
      <c r="B1197" s="232" t="s">
        <v>1864</v>
      </c>
      <c r="C1197" s="622">
        <v>44985</v>
      </c>
      <c r="D1197" s="232" t="s">
        <v>4869</v>
      </c>
      <c r="E1197" s="231" t="s">
        <v>5076</v>
      </c>
      <c r="F1197" s="233">
        <v>43</v>
      </c>
      <c r="G1197" s="232" t="s">
        <v>4851</v>
      </c>
      <c r="H1197" s="233"/>
      <c r="I1197" s="233"/>
      <c r="J1197" s="623">
        <v>18490000</v>
      </c>
      <c r="K1197" s="624" t="s">
        <v>1130</v>
      </c>
      <c r="L1197" s="624" t="s">
        <v>4852</v>
      </c>
      <c r="M1197" s="624" t="s">
        <v>4858</v>
      </c>
      <c r="N1197" s="624" t="s">
        <v>4754</v>
      </c>
      <c r="O1197" s="624"/>
      <c r="P1197" s="624"/>
    </row>
    <row r="1198" spans="1:16">
      <c r="A1198" s="231" t="s">
        <v>686</v>
      </c>
      <c r="B1198" s="231" t="s">
        <v>1864</v>
      </c>
      <c r="C1198" s="618">
        <v>44985</v>
      </c>
      <c r="D1198" s="231" t="s">
        <v>4869</v>
      </c>
      <c r="E1198" s="231" t="s">
        <v>5076</v>
      </c>
      <c r="F1198" s="619">
        <v>4</v>
      </c>
      <c r="G1198" s="231" t="s">
        <v>4851</v>
      </c>
      <c r="H1198" s="619"/>
      <c r="I1198" s="619"/>
      <c r="J1198" s="620">
        <v>1720000</v>
      </c>
      <c r="K1198" s="621" t="s">
        <v>1130</v>
      </c>
      <c r="L1198" s="621" t="s">
        <v>4852</v>
      </c>
      <c r="M1198" s="621" t="s">
        <v>4858</v>
      </c>
      <c r="N1198" s="621" t="s">
        <v>4754</v>
      </c>
      <c r="O1198" s="621"/>
      <c r="P1198" s="621"/>
    </row>
    <row r="1199" spans="1:16">
      <c r="A1199" s="232" t="s">
        <v>686</v>
      </c>
      <c r="B1199" s="232" t="s">
        <v>1864</v>
      </c>
      <c r="C1199" s="622">
        <v>44985</v>
      </c>
      <c r="D1199" s="232" t="s">
        <v>4869</v>
      </c>
      <c r="E1199" s="231" t="s">
        <v>5076</v>
      </c>
      <c r="F1199" s="233">
        <v>43</v>
      </c>
      <c r="G1199" s="232" t="s">
        <v>4851</v>
      </c>
      <c r="H1199" s="233"/>
      <c r="I1199" s="233"/>
      <c r="J1199" s="623">
        <v>18490000</v>
      </c>
      <c r="K1199" s="624" t="s">
        <v>1130</v>
      </c>
      <c r="L1199" s="624" t="s">
        <v>4852</v>
      </c>
      <c r="M1199" s="624" t="s">
        <v>4858</v>
      </c>
      <c r="N1199" s="624" t="s">
        <v>4754</v>
      </c>
      <c r="O1199" s="624"/>
      <c r="P1199" s="624"/>
    </row>
    <row r="1200" spans="1:16">
      <c r="A1200" s="231" t="s">
        <v>686</v>
      </c>
      <c r="B1200" s="231" t="s">
        <v>1864</v>
      </c>
      <c r="C1200" s="618">
        <v>44985</v>
      </c>
      <c r="D1200" s="231" t="s">
        <v>4868</v>
      </c>
      <c r="E1200" s="231" t="s">
        <v>5076</v>
      </c>
      <c r="F1200" s="619">
        <v>42</v>
      </c>
      <c r="G1200" s="231" t="s">
        <v>4851</v>
      </c>
      <c r="H1200" s="619"/>
      <c r="I1200" s="619"/>
      <c r="J1200" s="620">
        <v>18270000</v>
      </c>
      <c r="K1200" s="621" t="s">
        <v>1130</v>
      </c>
      <c r="L1200" s="621" t="s">
        <v>4852</v>
      </c>
      <c r="M1200" s="621" t="s">
        <v>4863</v>
      </c>
      <c r="N1200" s="621" t="s">
        <v>4754</v>
      </c>
      <c r="O1200" s="621"/>
      <c r="P1200" s="621"/>
    </row>
    <row r="1201" spans="1:16">
      <c r="A1201" s="232" t="s">
        <v>686</v>
      </c>
      <c r="B1201" s="232" t="s">
        <v>1864</v>
      </c>
      <c r="C1201" s="622">
        <v>44985</v>
      </c>
      <c r="D1201" s="232" t="s">
        <v>4862</v>
      </c>
      <c r="E1201" s="231" t="s">
        <v>5076</v>
      </c>
      <c r="F1201" s="233">
        <v>48</v>
      </c>
      <c r="G1201" s="232" t="s">
        <v>4851</v>
      </c>
      <c r="H1201" s="233"/>
      <c r="I1201" s="233"/>
      <c r="J1201" s="623">
        <v>23184000</v>
      </c>
      <c r="K1201" s="624" t="s">
        <v>1130</v>
      </c>
      <c r="L1201" s="624" t="s">
        <v>4852</v>
      </c>
      <c r="M1201" s="624" t="s">
        <v>4867</v>
      </c>
      <c r="N1201" s="624" t="s">
        <v>4754</v>
      </c>
      <c r="O1201" s="624"/>
      <c r="P1201" s="624"/>
    </row>
    <row r="1202" spans="1:16">
      <c r="A1202" s="231" t="s">
        <v>686</v>
      </c>
      <c r="B1202" s="231" t="s">
        <v>1864</v>
      </c>
      <c r="C1202" s="618">
        <v>44985</v>
      </c>
      <c r="D1202" s="231" t="s">
        <v>4862</v>
      </c>
      <c r="E1202" s="231" t="s">
        <v>5076</v>
      </c>
      <c r="F1202" s="619">
        <v>48</v>
      </c>
      <c r="G1202" s="231" t="s">
        <v>4851</v>
      </c>
      <c r="H1202" s="619"/>
      <c r="I1202" s="619"/>
      <c r="J1202" s="620">
        <v>23184000</v>
      </c>
      <c r="K1202" s="621" t="s">
        <v>1130</v>
      </c>
      <c r="L1202" s="621" t="s">
        <v>4852</v>
      </c>
      <c r="M1202" s="621" t="s">
        <v>4867</v>
      </c>
      <c r="N1202" s="621" t="s">
        <v>4754</v>
      </c>
      <c r="O1202" s="621"/>
      <c r="P1202" s="621"/>
    </row>
    <row r="1203" spans="1:16">
      <c r="A1203" s="232" t="s">
        <v>686</v>
      </c>
      <c r="B1203" s="232" t="s">
        <v>1864</v>
      </c>
      <c r="C1203" s="622">
        <v>44985</v>
      </c>
      <c r="D1203" s="232" t="s">
        <v>4870</v>
      </c>
      <c r="E1203" s="231" t="s">
        <v>5076</v>
      </c>
      <c r="F1203" s="233">
        <v>48</v>
      </c>
      <c r="G1203" s="232" t="s">
        <v>4851</v>
      </c>
      <c r="H1203" s="233"/>
      <c r="I1203" s="233"/>
      <c r="J1203" s="623">
        <v>20640000</v>
      </c>
      <c r="K1203" s="624" t="s">
        <v>1130</v>
      </c>
      <c r="L1203" s="624" t="s">
        <v>4852</v>
      </c>
      <c r="M1203" s="624" t="s">
        <v>4871</v>
      </c>
      <c r="N1203" s="624" t="s">
        <v>4754</v>
      </c>
      <c r="O1203" s="624"/>
      <c r="P1203" s="624"/>
    </row>
    <row r="1204" spans="1:16">
      <c r="A1204" s="231" t="s">
        <v>686</v>
      </c>
      <c r="B1204" s="231" t="s">
        <v>1864</v>
      </c>
      <c r="C1204" s="618">
        <v>44985</v>
      </c>
      <c r="D1204" s="231" t="s">
        <v>4870</v>
      </c>
      <c r="E1204" s="231" t="s">
        <v>5076</v>
      </c>
      <c r="F1204" s="619">
        <v>2</v>
      </c>
      <c r="G1204" s="231" t="s">
        <v>4851</v>
      </c>
      <c r="H1204" s="619"/>
      <c r="I1204" s="619"/>
      <c r="J1204" s="620">
        <v>860000</v>
      </c>
      <c r="K1204" s="621" t="s">
        <v>1130</v>
      </c>
      <c r="L1204" s="621" t="s">
        <v>4852</v>
      </c>
      <c r="M1204" s="621" t="s">
        <v>4871</v>
      </c>
      <c r="N1204" s="621" t="s">
        <v>4754</v>
      </c>
      <c r="O1204" s="621"/>
      <c r="P1204" s="621"/>
    </row>
    <row r="1205" spans="1:16">
      <c r="A1205" s="232" t="s">
        <v>686</v>
      </c>
      <c r="B1205" s="232" t="s">
        <v>1864</v>
      </c>
      <c r="C1205" s="622">
        <v>44985</v>
      </c>
      <c r="D1205" s="232" t="s">
        <v>4870</v>
      </c>
      <c r="E1205" s="231" t="s">
        <v>5076</v>
      </c>
      <c r="F1205" s="233">
        <v>53</v>
      </c>
      <c r="G1205" s="232" t="s">
        <v>4851</v>
      </c>
      <c r="H1205" s="233"/>
      <c r="I1205" s="233"/>
      <c r="J1205" s="623">
        <v>22790000</v>
      </c>
      <c r="K1205" s="624" t="s">
        <v>1130</v>
      </c>
      <c r="L1205" s="624" t="s">
        <v>4852</v>
      </c>
      <c r="M1205" s="624" t="s">
        <v>4871</v>
      </c>
      <c r="N1205" s="624" t="s">
        <v>4754</v>
      </c>
      <c r="O1205" s="624"/>
      <c r="P1205" s="624"/>
    </row>
    <row r="1206" spans="1:16">
      <c r="A1206" s="231" t="s">
        <v>686</v>
      </c>
      <c r="B1206" s="231" t="s">
        <v>1864</v>
      </c>
      <c r="C1206" s="618">
        <v>44985</v>
      </c>
      <c r="D1206" s="231" t="s">
        <v>4870</v>
      </c>
      <c r="E1206" s="231" t="s">
        <v>5076</v>
      </c>
      <c r="F1206" s="619">
        <v>53</v>
      </c>
      <c r="G1206" s="231" t="s">
        <v>4851</v>
      </c>
      <c r="H1206" s="619"/>
      <c r="I1206" s="619"/>
      <c r="J1206" s="620">
        <v>22790000</v>
      </c>
      <c r="K1206" s="621" t="s">
        <v>1130</v>
      </c>
      <c r="L1206" s="621" t="s">
        <v>4852</v>
      </c>
      <c r="M1206" s="621" t="s">
        <v>4871</v>
      </c>
      <c r="N1206" s="621" t="s">
        <v>4754</v>
      </c>
      <c r="O1206" s="621"/>
      <c r="P1206" s="621"/>
    </row>
    <row r="1207" spans="1:16">
      <c r="A1207" s="232" t="s">
        <v>686</v>
      </c>
      <c r="B1207" s="232" t="s">
        <v>1864</v>
      </c>
      <c r="C1207" s="622">
        <v>44985</v>
      </c>
      <c r="D1207" s="232" t="s">
        <v>4870</v>
      </c>
      <c r="E1207" s="231" t="s">
        <v>5076</v>
      </c>
      <c r="F1207" s="233">
        <v>51</v>
      </c>
      <c r="G1207" s="232" t="s">
        <v>4851</v>
      </c>
      <c r="H1207" s="233"/>
      <c r="I1207" s="233"/>
      <c r="J1207" s="623">
        <v>21930000</v>
      </c>
      <c r="K1207" s="624" t="s">
        <v>1130</v>
      </c>
      <c r="L1207" s="624" t="s">
        <v>4852</v>
      </c>
      <c r="M1207" s="624" t="s">
        <v>4871</v>
      </c>
      <c r="N1207" s="624" t="s">
        <v>4754</v>
      </c>
      <c r="O1207" s="624"/>
      <c r="P1207" s="624"/>
    </row>
    <row r="1208" spans="1:16">
      <c r="A1208" s="231" t="s">
        <v>686</v>
      </c>
      <c r="B1208" s="231" t="s">
        <v>1864</v>
      </c>
      <c r="C1208" s="618">
        <v>44985</v>
      </c>
      <c r="D1208" s="231" t="s">
        <v>4870</v>
      </c>
      <c r="E1208" s="231" t="s">
        <v>5076</v>
      </c>
      <c r="F1208" s="619">
        <v>53</v>
      </c>
      <c r="G1208" s="231" t="s">
        <v>4851</v>
      </c>
      <c r="H1208" s="619"/>
      <c r="I1208" s="619"/>
      <c r="J1208" s="620">
        <v>22790000</v>
      </c>
      <c r="K1208" s="621" t="s">
        <v>1130</v>
      </c>
      <c r="L1208" s="621" t="s">
        <v>4852</v>
      </c>
      <c r="M1208" s="621" t="s">
        <v>4871</v>
      </c>
      <c r="N1208" s="621" t="s">
        <v>4754</v>
      </c>
      <c r="O1208" s="621"/>
      <c r="P1208" s="621"/>
    </row>
    <row r="1209" spans="1:16">
      <c r="A1209" s="232" t="s">
        <v>686</v>
      </c>
      <c r="B1209" s="232" t="s">
        <v>1864</v>
      </c>
      <c r="C1209" s="622">
        <v>44985</v>
      </c>
      <c r="D1209" s="232" t="s">
        <v>4870</v>
      </c>
      <c r="E1209" s="231" t="s">
        <v>5076</v>
      </c>
      <c r="F1209" s="233">
        <v>35</v>
      </c>
      <c r="G1209" s="232" t="s">
        <v>4851</v>
      </c>
      <c r="H1209" s="233"/>
      <c r="I1209" s="233"/>
      <c r="J1209" s="623">
        <v>15050000</v>
      </c>
      <c r="K1209" s="624" t="s">
        <v>1130</v>
      </c>
      <c r="L1209" s="624" t="s">
        <v>4852</v>
      </c>
      <c r="M1209" s="624" t="s">
        <v>4871</v>
      </c>
      <c r="N1209" s="624" t="s">
        <v>4754</v>
      </c>
      <c r="O1209" s="624"/>
      <c r="P1209" s="624"/>
    </row>
    <row r="1210" spans="1:16">
      <c r="A1210" s="231" t="s">
        <v>686</v>
      </c>
      <c r="B1210" s="231" t="s">
        <v>1864</v>
      </c>
      <c r="C1210" s="618">
        <v>44985</v>
      </c>
      <c r="D1210" s="231" t="s">
        <v>4868</v>
      </c>
      <c r="E1210" s="231" t="s">
        <v>5076</v>
      </c>
      <c r="F1210" s="619">
        <v>28</v>
      </c>
      <c r="G1210" s="231" t="s">
        <v>4851</v>
      </c>
      <c r="H1210" s="619"/>
      <c r="I1210" s="619"/>
      <c r="J1210" s="620">
        <v>12180000</v>
      </c>
      <c r="K1210" s="621" t="s">
        <v>1130</v>
      </c>
      <c r="L1210" s="621" t="s">
        <v>4852</v>
      </c>
      <c r="M1210" s="621" t="s">
        <v>4863</v>
      </c>
      <c r="N1210" s="621" t="s">
        <v>4754</v>
      </c>
      <c r="O1210" s="621"/>
      <c r="P1210" s="621"/>
    </row>
    <row r="1211" spans="1:16">
      <c r="A1211" s="232" t="s">
        <v>686</v>
      </c>
      <c r="B1211" s="232" t="s">
        <v>1864</v>
      </c>
      <c r="C1211" s="622">
        <v>44985</v>
      </c>
      <c r="D1211" s="232" t="s">
        <v>4869</v>
      </c>
      <c r="E1211" s="231" t="s">
        <v>5076</v>
      </c>
      <c r="F1211" s="233">
        <v>2</v>
      </c>
      <c r="G1211" s="232" t="s">
        <v>4851</v>
      </c>
      <c r="H1211" s="233"/>
      <c r="I1211" s="233"/>
      <c r="J1211" s="623">
        <v>860000</v>
      </c>
      <c r="K1211" s="624" t="s">
        <v>1130</v>
      </c>
      <c r="L1211" s="624" t="s">
        <v>4852</v>
      </c>
      <c r="M1211" s="624" t="s">
        <v>4858</v>
      </c>
      <c r="N1211" s="624" t="s">
        <v>4754</v>
      </c>
      <c r="O1211" s="624"/>
      <c r="P1211" s="624"/>
    </row>
    <row r="1212" spans="1:16">
      <c r="A1212" s="231" t="s">
        <v>686</v>
      </c>
      <c r="B1212" s="231" t="s">
        <v>1864</v>
      </c>
      <c r="C1212" s="618">
        <v>44985</v>
      </c>
      <c r="D1212" s="231" t="s">
        <v>4869</v>
      </c>
      <c r="E1212" s="231" t="s">
        <v>5076</v>
      </c>
      <c r="F1212" s="619">
        <v>50</v>
      </c>
      <c r="G1212" s="231" t="s">
        <v>4851</v>
      </c>
      <c r="H1212" s="619"/>
      <c r="I1212" s="619"/>
      <c r="J1212" s="620">
        <v>21500000</v>
      </c>
      <c r="K1212" s="621" t="s">
        <v>1130</v>
      </c>
      <c r="L1212" s="621" t="s">
        <v>4852</v>
      </c>
      <c r="M1212" s="621" t="s">
        <v>4858</v>
      </c>
      <c r="N1212" s="621" t="s">
        <v>4754</v>
      </c>
      <c r="O1212" s="621"/>
      <c r="P1212" s="621"/>
    </row>
    <row r="1213" spans="1:16">
      <c r="A1213" s="232" t="s">
        <v>686</v>
      </c>
      <c r="B1213" s="232" t="s">
        <v>1864</v>
      </c>
      <c r="C1213" s="622">
        <v>44985</v>
      </c>
      <c r="D1213" s="232" t="s">
        <v>4869</v>
      </c>
      <c r="E1213" s="231" t="s">
        <v>5076</v>
      </c>
      <c r="F1213" s="233">
        <v>5</v>
      </c>
      <c r="G1213" s="232" t="s">
        <v>4851</v>
      </c>
      <c r="H1213" s="233"/>
      <c r="I1213" s="233"/>
      <c r="J1213" s="623">
        <v>2150000</v>
      </c>
      <c r="K1213" s="624" t="s">
        <v>1130</v>
      </c>
      <c r="L1213" s="624" t="s">
        <v>4852</v>
      </c>
      <c r="M1213" s="624" t="s">
        <v>4858</v>
      </c>
      <c r="N1213" s="624" t="s">
        <v>4754</v>
      </c>
      <c r="O1213" s="624"/>
      <c r="P1213" s="624"/>
    </row>
    <row r="1214" spans="1:16">
      <c r="A1214" s="231" t="s">
        <v>686</v>
      </c>
      <c r="B1214" s="231" t="s">
        <v>1864</v>
      </c>
      <c r="C1214" s="618">
        <v>44985</v>
      </c>
      <c r="D1214" s="231" t="s">
        <v>4869</v>
      </c>
      <c r="E1214" s="231" t="s">
        <v>5076</v>
      </c>
      <c r="F1214" s="619">
        <v>4</v>
      </c>
      <c r="G1214" s="231" t="s">
        <v>4851</v>
      </c>
      <c r="H1214" s="619"/>
      <c r="I1214" s="619"/>
      <c r="J1214" s="620">
        <v>1720000</v>
      </c>
      <c r="K1214" s="621" t="s">
        <v>1130</v>
      </c>
      <c r="L1214" s="621" t="s">
        <v>4852</v>
      </c>
      <c r="M1214" s="621" t="s">
        <v>4858</v>
      </c>
      <c r="N1214" s="621" t="s">
        <v>4754</v>
      </c>
      <c r="O1214" s="621"/>
      <c r="P1214" s="621"/>
    </row>
    <row r="1215" spans="1:16">
      <c r="A1215" s="232" t="s">
        <v>686</v>
      </c>
      <c r="B1215" s="232" t="s">
        <v>1864</v>
      </c>
      <c r="C1215" s="622">
        <v>44985</v>
      </c>
      <c r="D1215" s="232" t="s">
        <v>4870</v>
      </c>
      <c r="E1215" s="231" t="s">
        <v>5076</v>
      </c>
      <c r="F1215" s="233">
        <v>50</v>
      </c>
      <c r="G1215" s="232" t="s">
        <v>4851</v>
      </c>
      <c r="H1215" s="233"/>
      <c r="I1215" s="233"/>
      <c r="J1215" s="623">
        <v>21500000</v>
      </c>
      <c r="K1215" s="624" t="s">
        <v>1130</v>
      </c>
      <c r="L1215" s="624" t="s">
        <v>4852</v>
      </c>
      <c r="M1215" s="624" t="s">
        <v>4871</v>
      </c>
      <c r="N1215" s="624" t="s">
        <v>4754</v>
      </c>
      <c r="O1215" s="624"/>
      <c r="P1215" s="624"/>
    </row>
    <row r="1216" spans="1:16">
      <c r="A1216" s="231" t="s">
        <v>686</v>
      </c>
      <c r="B1216" s="231" t="s">
        <v>1864</v>
      </c>
      <c r="C1216" s="618">
        <v>44985</v>
      </c>
      <c r="D1216" s="231" t="s">
        <v>4870</v>
      </c>
      <c r="E1216" s="231" t="s">
        <v>5076</v>
      </c>
      <c r="F1216" s="619">
        <v>50</v>
      </c>
      <c r="G1216" s="231" t="s">
        <v>4851</v>
      </c>
      <c r="H1216" s="619"/>
      <c r="I1216" s="619"/>
      <c r="J1216" s="620">
        <v>21500000</v>
      </c>
      <c r="K1216" s="621" t="s">
        <v>1130</v>
      </c>
      <c r="L1216" s="621" t="s">
        <v>4852</v>
      </c>
      <c r="M1216" s="621" t="s">
        <v>4871</v>
      </c>
      <c r="N1216" s="621" t="s">
        <v>4754</v>
      </c>
      <c r="O1216" s="621"/>
      <c r="P1216" s="621"/>
    </row>
    <row r="1217" spans="1:16">
      <c r="A1217" s="232" t="s">
        <v>686</v>
      </c>
      <c r="B1217" s="232" t="s">
        <v>1864</v>
      </c>
      <c r="C1217" s="622">
        <v>44985</v>
      </c>
      <c r="D1217" s="232" t="s">
        <v>4870</v>
      </c>
      <c r="E1217" s="231" t="s">
        <v>5076</v>
      </c>
      <c r="F1217" s="233">
        <v>50</v>
      </c>
      <c r="G1217" s="232" t="s">
        <v>4851</v>
      </c>
      <c r="H1217" s="233"/>
      <c r="I1217" s="233"/>
      <c r="J1217" s="623">
        <v>21500000</v>
      </c>
      <c r="K1217" s="624" t="s">
        <v>1130</v>
      </c>
      <c r="L1217" s="624" t="s">
        <v>4852</v>
      </c>
      <c r="M1217" s="624" t="s">
        <v>4871</v>
      </c>
      <c r="N1217" s="624" t="s">
        <v>4754</v>
      </c>
      <c r="O1217" s="624"/>
      <c r="P1217" s="624"/>
    </row>
    <row r="1218" spans="1:16">
      <c r="A1218" s="231" t="s">
        <v>686</v>
      </c>
      <c r="B1218" s="231" t="s">
        <v>1864</v>
      </c>
      <c r="C1218" s="618">
        <v>44985</v>
      </c>
      <c r="D1218" s="231" t="s">
        <v>4870</v>
      </c>
      <c r="E1218" s="231" t="s">
        <v>5076</v>
      </c>
      <c r="F1218" s="619">
        <v>50</v>
      </c>
      <c r="G1218" s="231" t="s">
        <v>4851</v>
      </c>
      <c r="H1218" s="619"/>
      <c r="I1218" s="619"/>
      <c r="J1218" s="620">
        <v>21500000</v>
      </c>
      <c r="K1218" s="621" t="s">
        <v>1130</v>
      </c>
      <c r="L1218" s="621" t="s">
        <v>4852</v>
      </c>
      <c r="M1218" s="621" t="s">
        <v>4871</v>
      </c>
      <c r="N1218" s="621" t="s">
        <v>4754</v>
      </c>
      <c r="O1218" s="621"/>
      <c r="P1218" s="621"/>
    </row>
    <row r="1219" spans="1:16">
      <c r="A1219" s="232" t="s">
        <v>686</v>
      </c>
      <c r="B1219" s="232" t="s">
        <v>1864</v>
      </c>
      <c r="C1219" s="622">
        <v>44985</v>
      </c>
      <c r="D1219" s="232" t="s">
        <v>4870</v>
      </c>
      <c r="E1219" s="231" t="s">
        <v>5076</v>
      </c>
      <c r="F1219" s="233">
        <v>50</v>
      </c>
      <c r="G1219" s="232" t="s">
        <v>4851</v>
      </c>
      <c r="H1219" s="233"/>
      <c r="I1219" s="233"/>
      <c r="J1219" s="623">
        <v>21500000</v>
      </c>
      <c r="K1219" s="624" t="s">
        <v>1130</v>
      </c>
      <c r="L1219" s="624" t="s">
        <v>4852</v>
      </c>
      <c r="M1219" s="624" t="s">
        <v>4871</v>
      </c>
      <c r="N1219" s="624" t="s">
        <v>4754</v>
      </c>
      <c r="O1219" s="624"/>
      <c r="P1219" s="624"/>
    </row>
    <row r="1220" spans="1:16">
      <c r="A1220" s="231" t="s">
        <v>686</v>
      </c>
      <c r="B1220" s="231" t="s">
        <v>1864</v>
      </c>
      <c r="C1220" s="618">
        <v>44985</v>
      </c>
      <c r="D1220" s="231" t="s">
        <v>4870</v>
      </c>
      <c r="E1220" s="231" t="s">
        <v>5076</v>
      </c>
      <c r="F1220" s="619">
        <v>50</v>
      </c>
      <c r="G1220" s="231" t="s">
        <v>4851</v>
      </c>
      <c r="H1220" s="619"/>
      <c r="I1220" s="619"/>
      <c r="J1220" s="620">
        <v>21500000</v>
      </c>
      <c r="K1220" s="621" t="s">
        <v>1130</v>
      </c>
      <c r="L1220" s="621" t="s">
        <v>4852</v>
      </c>
      <c r="M1220" s="621" t="s">
        <v>4871</v>
      </c>
      <c r="N1220" s="621" t="s">
        <v>4754</v>
      </c>
      <c r="O1220" s="621"/>
      <c r="P1220" s="621"/>
    </row>
    <row r="1221" spans="1:16">
      <c r="A1221" s="232" t="s">
        <v>686</v>
      </c>
      <c r="B1221" s="232" t="s">
        <v>1864</v>
      </c>
      <c r="C1221" s="622">
        <v>44985</v>
      </c>
      <c r="D1221" s="232" t="s">
        <v>4870</v>
      </c>
      <c r="E1221" s="231" t="s">
        <v>5076</v>
      </c>
      <c r="F1221" s="233">
        <v>50</v>
      </c>
      <c r="G1221" s="232" t="s">
        <v>4851</v>
      </c>
      <c r="H1221" s="233"/>
      <c r="I1221" s="233"/>
      <c r="J1221" s="623">
        <v>21500000</v>
      </c>
      <c r="K1221" s="624" t="s">
        <v>1130</v>
      </c>
      <c r="L1221" s="624" t="s">
        <v>4852</v>
      </c>
      <c r="M1221" s="624" t="s">
        <v>4871</v>
      </c>
      <c r="N1221" s="624" t="s">
        <v>4754</v>
      </c>
      <c r="O1221" s="624"/>
      <c r="P1221" s="624"/>
    </row>
    <row r="1222" spans="1:16">
      <c r="A1222" s="231" t="s">
        <v>686</v>
      </c>
      <c r="B1222" s="231" t="s">
        <v>1864</v>
      </c>
      <c r="C1222" s="618">
        <v>44985</v>
      </c>
      <c r="D1222" s="231" t="s">
        <v>4868</v>
      </c>
      <c r="E1222" s="231" t="s">
        <v>5076</v>
      </c>
      <c r="F1222" s="619">
        <v>16</v>
      </c>
      <c r="G1222" s="231" t="s">
        <v>4851</v>
      </c>
      <c r="H1222" s="619"/>
      <c r="I1222" s="619"/>
      <c r="J1222" s="620">
        <v>6960000</v>
      </c>
      <c r="K1222" s="621" t="s">
        <v>1130</v>
      </c>
      <c r="L1222" s="621" t="s">
        <v>4852</v>
      </c>
      <c r="M1222" s="621" t="s">
        <v>4863</v>
      </c>
      <c r="N1222" s="621" t="s">
        <v>4754</v>
      </c>
      <c r="O1222" s="621"/>
      <c r="P1222" s="621"/>
    </row>
    <row r="1223" spans="1:16">
      <c r="A1223" s="232" t="s">
        <v>686</v>
      </c>
      <c r="B1223" s="232" t="s">
        <v>1864</v>
      </c>
      <c r="C1223" s="622">
        <v>44985</v>
      </c>
      <c r="D1223" s="232" t="s">
        <v>4869</v>
      </c>
      <c r="E1223" s="231" t="s">
        <v>5076</v>
      </c>
      <c r="F1223" s="233">
        <v>53</v>
      </c>
      <c r="G1223" s="232" t="s">
        <v>4851</v>
      </c>
      <c r="H1223" s="233"/>
      <c r="I1223" s="233"/>
      <c r="J1223" s="623">
        <v>22790000</v>
      </c>
      <c r="K1223" s="624" t="s">
        <v>1130</v>
      </c>
      <c r="L1223" s="624" t="s">
        <v>4852</v>
      </c>
      <c r="M1223" s="624" t="s">
        <v>4858</v>
      </c>
      <c r="N1223" s="624" t="s">
        <v>4754</v>
      </c>
      <c r="O1223" s="624"/>
      <c r="P1223" s="624"/>
    </row>
    <row r="1224" spans="1:16">
      <c r="A1224" s="231" t="s">
        <v>686</v>
      </c>
      <c r="B1224" s="231" t="s">
        <v>1864</v>
      </c>
      <c r="C1224" s="618">
        <v>44985</v>
      </c>
      <c r="D1224" s="231" t="s">
        <v>4869</v>
      </c>
      <c r="E1224" s="231" t="s">
        <v>5076</v>
      </c>
      <c r="F1224" s="619">
        <v>50</v>
      </c>
      <c r="G1224" s="231" t="s">
        <v>4851</v>
      </c>
      <c r="H1224" s="619"/>
      <c r="I1224" s="619"/>
      <c r="J1224" s="620">
        <v>21500000</v>
      </c>
      <c r="K1224" s="621" t="s">
        <v>1130</v>
      </c>
      <c r="L1224" s="621" t="s">
        <v>4852</v>
      </c>
      <c r="M1224" s="621" t="s">
        <v>4858</v>
      </c>
      <c r="N1224" s="621" t="s">
        <v>4754</v>
      </c>
      <c r="O1224" s="621"/>
      <c r="P1224" s="621"/>
    </row>
    <row r="1225" spans="1:16">
      <c r="A1225" s="232" t="s">
        <v>686</v>
      </c>
      <c r="B1225" s="232" t="s">
        <v>1864</v>
      </c>
      <c r="C1225" s="622">
        <v>44985</v>
      </c>
      <c r="D1225" s="232" t="s">
        <v>4862</v>
      </c>
      <c r="E1225" s="231" t="s">
        <v>5076</v>
      </c>
      <c r="F1225" s="233">
        <v>48</v>
      </c>
      <c r="G1225" s="232" t="s">
        <v>4851</v>
      </c>
      <c r="H1225" s="233"/>
      <c r="I1225" s="233"/>
      <c r="J1225" s="623">
        <v>23184000</v>
      </c>
      <c r="K1225" s="624" t="s">
        <v>1130</v>
      </c>
      <c r="L1225" s="624" t="s">
        <v>4852</v>
      </c>
      <c r="M1225" s="624" t="s">
        <v>4867</v>
      </c>
      <c r="N1225" s="624" t="s">
        <v>4754</v>
      </c>
      <c r="O1225" s="624"/>
      <c r="P1225" s="624"/>
    </row>
    <row r="1226" spans="1:16">
      <c r="A1226" s="231" t="s">
        <v>686</v>
      </c>
      <c r="B1226" s="231" t="s">
        <v>1864</v>
      </c>
      <c r="C1226" s="618">
        <v>44985</v>
      </c>
      <c r="D1226" s="231" t="s">
        <v>4862</v>
      </c>
      <c r="E1226" s="231" t="s">
        <v>5076</v>
      </c>
      <c r="F1226" s="619">
        <v>48</v>
      </c>
      <c r="G1226" s="231" t="s">
        <v>4851</v>
      </c>
      <c r="H1226" s="619"/>
      <c r="I1226" s="619"/>
      <c r="J1226" s="620">
        <v>23184000</v>
      </c>
      <c r="K1226" s="621" t="s">
        <v>1130</v>
      </c>
      <c r="L1226" s="621" t="s">
        <v>4852</v>
      </c>
      <c r="M1226" s="621" t="s">
        <v>4867</v>
      </c>
      <c r="N1226" s="621" t="s">
        <v>4754</v>
      </c>
      <c r="O1226" s="621"/>
      <c r="P1226" s="621"/>
    </row>
    <row r="1227" spans="1:16">
      <c r="A1227" s="232" t="s">
        <v>686</v>
      </c>
      <c r="B1227" s="232" t="s">
        <v>1864</v>
      </c>
      <c r="C1227" s="622">
        <v>44985</v>
      </c>
      <c r="D1227" s="232" t="s">
        <v>4862</v>
      </c>
      <c r="E1227" s="231" t="s">
        <v>5076</v>
      </c>
      <c r="F1227" s="233">
        <v>48</v>
      </c>
      <c r="G1227" s="232" t="s">
        <v>4851</v>
      </c>
      <c r="H1227" s="233"/>
      <c r="I1227" s="233"/>
      <c r="J1227" s="623">
        <v>23184000</v>
      </c>
      <c r="K1227" s="624" t="s">
        <v>1130</v>
      </c>
      <c r="L1227" s="624" t="s">
        <v>4852</v>
      </c>
      <c r="M1227" s="624" t="s">
        <v>4867</v>
      </c>
      <c r="N1227" s="624" t="s">
        <v>4754</v>
      </c>
      <c r="O1227" s="624"/>
      <c r="P1227" s="624"/>
    </row>
    <row r="1228" spans="1:16">
      <c r="A1228" s="231" t="s">
        <v>686</v>
      </c>
      <c r="B1228" s="231" t="s">
        <v>1864</v>
      </c>
      <c r="C1228" s="618">
        <v>44985</v>
      </c>
      <c r="D1228" s="231" t="s">
        <v>4862</v>
      </c>
      <c r="E1228" s="231" t="s">
        <v>5076</v>
      </c>
      <c r="F1228" s="619">
        <v>48</v>
      </c>
      <c r="G1228" s="231" t="s">
        <v>4851</v>
      </c>
      <c r="H1228" s="619"/>
      <c r="I1228" s="619"/>
      <c r="J1228" s="620">
        <v>23184000</v>
      </c>
      <c r="K1228" s="621" t="s">
        <v>1130</v>
      </c>
      <c r="L1228" s="621" t="s">
        <v>4852</v>
      </c>
      <c r="M1228" s="621" t="s">
        <v>4867</v>
      </c>
      <c r="N1228" s="621" t="s">
        <v>4754</v>
      </c>
      <c r="O1228" s="621"/>
      <c r="P1228" s="621"/>
    </row>
    <row r="1229" spans="1:16">
      <c r="A1229" s="232" t="s">
        <v>686</v>
      </c>
      <c r="B1229" s="232" t="s">
        <v>1864</v>
      </c>
      <c r="C1229" s="622">
        <v>44985</v>
      </c>
      <c r="D1229" s="232" t="s">
        <v>4862</v>
      </c>
      <c r="E1229" s="231" t="s">
        <v>5076</v>
      </c>
      <c r="F1229" s="233">
        <v>48</v>
      </c>
      <c r="G1229" s="232" t="s">
        <v>4851</v>
      </c>
      <c r="H1229" s="233"/>
      <c r="I1229" s="233"/>
      <c r="J1229" s="623">
        <v>23184000</v>
      </c>
      <c r="K1229" s="624" t="s">
        <v>1130</v>
      </c>
      <c r="L1229" s="624" t="s">
        <v>4852</v>
      </c>
      <c r="M1229" s="624" t="s">
        <v>4867</v>
      </c>
      <c r="N1229" s="624" t="s">
        <v>4754</v>
      </c>
      <c r="O1229" s="624"/>
      <c r="P1229" s="624"/>
    </row>
    <row r="1230" spans="1:16">
      <c r="A1230" s="231" t="s">
        <v>686</v>
      </c>
      <c r="B1230" s="231" t="s">
        <v>1864</v>
      </c>
      <c r="C1230" s="618">
        <v>44985</v>
      </c>
      <c r="D1230" s="231" t="s">
        <v>4862</v>
      </c>
      <c r="E1230" s="231" t="s">
        <v>5076</v>
      </c>
      <c r="F1230" s="619">
        <v>2.85</v>
      </c>
      <c r="G1230" s="231" t="s">
        <v>4851</v>
      </c>
      <c r="H1230" s="619"/>
      <c r="I1230" s="619"/>
      <c r="J1230" s="620">
        <v>1376550</v>
      </c>
      <c r="K1230" s="621" t="s">
        <v>1130</v>
      </c>
      <c r="L1230" s="621" t="s">
        <v>4852</v>
      </c>
      <c r="M1230" s="621" t="s">
        <v>4867</v>
      </c>
      <c r="N1230" s="621" t="s">
        <v>4754</v>
      </c>
      <c r="O1230" s="621"/>
      <c r="P1230" s="621"/>
    </row>
    <row r="1231" spans="1:16">
      <c r="A1231" s="232" t="s">
        <v>686</v>
      </c>
      <c r="B1231" s="232" t="s">
        <v>1864</v>
      </c>
      <c r="C1231" s="622">
        <v>44985</v>
      </c>
      <c r="D1231" s="232" t="s">
        <v>4862</v>
      </c>
      <c r="E1231" s="231" t="s">
        <v>5076</v>
      </c>
      <c r="F1231" s="233">
        <v>45.15</v>
      </c>
      <c r="G1231" s="232" t="s">
        <v>4851</v>
      </c>
      <c r="H1231" s="233"/>
      <c r="I1231" s="233"/>
      <c r="J1231" s="623">
        <v>21807450</v>
      </c>
      <c r="K1231" s="624" t="s">
        <v>1130</v>
      </c>
      <c r="L1231" s="624" t="s">
        <v>4852</v>
      </c>
      <c r="M1231" s="624" t="s">
        <v>4867</v>
      </c>
      <c r="N1231" s="624" t="s">
        <v>4754</v>
      </c>
      <c r="O1231" s="624"/>
      <c r="P1231" s="624"/>
    </row>
    <row r="1232" spans="1:16">
      <c r="A1232" s="231" t="s">
        <v>686</v>
      </c>
      <c r="B1232" s="231" t="s">
        <v>1864</v>
      </c>
      <c r="C1232" s="618">
        <v>44985</v>
      </c>
      <c r="D1232" s="231" t="s">
        <v>4864</v>
      </c>
      <c r="E1232" s="231" t="s">
        <v>5076</v>
      </c>
      <c r="F1232" s="619">
        <v>35</v>
      </c>
      <c r="G1232" s="231" t="s">
        <v>4851</v>
      </c>
      <c r="H1232" s="619"/>
      <c r="I1232" s="619"/>
      <c r="J1232" s="620">
        <v>12075000</v>
      </c>
      <c r="K1232" s="621" t="s">
        <v>1130</v>
      </c>
      <c r="L1232" s="621" t="s">
        <v>4852</v>
      </c>
      <c r="M1232" s="621" t="s">
        <v>4865</v>
      </c>
      <c r="N1232" s="621" t="s">
        <v>4866</v>
      </c>
      <c r="O1232" s="621"/>
      <c r="P1232" s="621"/>
    </row>
    <row r="1233" spans="1:16">
      <c r="A1233" s="232" t="s">
        <v>686</v>
      </c>
      <c r="B1233" s="232" t="s">
        <v>1864</v>
      </c>
      <c r="C1233" s="622">
        <v>44985</v>
      </c>
      <c r="D1233" s="232" t="s">
        <v>4870</v>
      </c>
      <c r="E1233" s="231" t="s">
        <v>5076</v>
      </c>
      <c r="F1233" s="233">
        <v>50</v>
      </c>
      <c r="G1233" s="232" t="s">
        <v>4851</v>
      </c>
      <c r="H1233" s="233"/>
      <c r="I1233" s="233"/>
      <c r="J1233" s="623">
        <v>21500000</v>
      </c>
      <c r="K1233" s="624" t="s">
        <v>1130</v>
      </c>
      <c r="L1233" s="624" t="s">
        <v>4852</v>
      </c>
      <c r="M1233" s="624" t="s">
        <v>4871</v>
      </c>
      <c r="N1233" s="624" t="s">
        <v>4754</v>
      </c>
      <c r="O1233" s="624"/>
      <c r="P1233" s="624"/>
    </row>
    <row r="1234" spans="1:16">
      <c r="A1234" s="231" t="s">
        <v>686</v>
      </c>
      <c r="B1234" s="231" t="s">
        <v>1864</v>
      </c>
      <c r="C1234" s="618">
        <v>44985</v>
      </c>
      <c r="D1234" s="231" t="s">
        <v>4870</v>
      </c>
      <c r="E1234" s="231" t="s">
        <v>5076</v>
      </c>
      <c r="F1234" s="619">
        <v>50</v>
      </c>
      <c r="G1234" s="231" t="s">
        <v>4851</v>
      </c>
      <c r="H1234" s="619"/>
      <c r="I1234" s="619"/>
      <c r="J1234" s="620">
        <v>21500000</v>
      </c>
      <c r="K1234" s="621" t="s">
        <v>1130</v>
      </c>
      <c r="L1234" s="621" t="s">
        <v>4852</v>
      </c>
      <c r="M1234" s="621" t="s">
        <v>4871</v>
      </c>
      <c r="N1234" s="621" t="s">
        <v>4754</v>
      </c>
      <c r="O1234" s="621"/>
      <c r="P1234" s="621"/>
    </row>
    <row r="1235" spans="1:16">
      <c r="A1235" s="232" t="s">
        <v>686</v>
      </c>
      <c r="B1235" s="232" t="s">
        <v>1864</v>
      </c>
      <c r="C1235" s="622">
        <v>44985</v>
      </c>
      <c r="D1235" s="232" t="s">
        <v>4870</v>
      </c>
      <c r="E1235" s="231" t="s">
        <v>5076</v>
      </c>
      <c r="F1235" s="233">
        <v>50</v>
      </c>
      <c r="G1235" s="232" t="s">
        <v>4851</v>
      </c>
      <c r="H1235" s="233"/>
      <c r="I1235" s="233"/>
      <c r="J1235" s="623">
        <v>21500000</v>
      </c>
      <c r="K1235" s="624" t="s">
        <v>1130</v>
      </c>
      <c r="L1235" s="624" t="s">
        <v>4852</v>
      </c>
      <c r="M1235" s="624" t="s">
        <v>4871</v>
      </c>
      <c r="N1235" s="624" t="s">
        <v>4754</v>
      </c>
      <c r="O1235" s="624"/>
      <c r="P1235" s="624"/>
    </row>
    <row r="1236" spans="1:16">
      <c r="A1236" s="231" t="s">
        <v>686</v>
      </c>
      <c r="B1236" s="231" t="s">
        <v>1864</v>
      </c>
      <c r="C1236" s="618">
        <v>44985</v>
      </c>
      <c r="D1236" s="231" t="s">
        <v>4870</v>
      </c>
      <c r="E1236" s="231" t="s">
        <v>5076</v>
      </c>
      <c r="F1236" s="619">
        <v>50</v>
      </c>
      <c r="G1236" s="231" t="s">
        <v>4851</v>
      </c>
      <c r="H1236" s="619"/>
      <c r="I1236" s="619"/>
      <c r="J1236" s="620">
        <v>21500000</v>
      </c>
      <c r="K1236" s="621" t="s">
        <v>1130</v>
      </c>
      <c r="L1236" s="621" t="s">
        <v>4852</v>
      </c>
      <c r="M1236" s="621" t="s">
        <v>4871</v>
      </c>
      <c r="N1236" s="621" t="s">
        <v>4754</v>
      </c>
      <c r="O1236" s="621"/>
      <c r="P1236" s="621"/>
    </row>
    <row r="1237" spans="1:16">
      <c r="A1237" s="232" t="s">
        <v>686</v>
      </c>
      <c r="B1237" s="232" t="s">
        <v>1864</v>
      </c>
      <c r="C1237" s="622">
        <v>44985</v>
      </c>
      <c r="D1237" s="232" t="s">
        <v>4870</v>
      </c>
      <c r="E1237" s="231" t="s">
        <v>5076</v>
      </c>
      <c r="F1237" s="233">
        <v>50</v>
      </c>
      <c r="G1237" s="232" t="s">
        <v>4851</v>
      </c>
      <c r="H1237" s="233"/>
      <c r="I1237" s="233"/>
      <c r="J1237" s="623">
        <v>21500000</v>
      </c>
      <c r="K1237" s="624" t="s">
        <v>1130</v>
      </c>
      <c r="L1237" s="624" t="s">
        <v>4852</v>
      </c>
      <c r="M1237" s="624" t="s">
        <v>4871</v>
      </c>
      <c r="N1237" s="624" t="s">
        <v>4754</v>
      </c>
      <c r="O1237" s="624"/>
      <c r="P1237" s="624"/>
    </row>
    <row r="1238" spans="1:16">
      <c r="A1238" s="231" t="s">
        <v>686</v>
      </c>
      <c r="B1238" s="231" t="s">
        <v>1864</v>
      </c>
      <c r="C1238" s="618">
        <v>44985</v>
      </c>
      <c r="D1238" s="231" t="s">
        <v>4870</v>
      </c>
      <c r="E1238" s="231" t="s">
        <v>5076</v>
      </c>
      <c r="F1238" s="619">
        <v>50</v>
      </c>
      <c r="G1238" s="231" t="s">
        <v>4851</v>
      </c>
      <c r="H1238" s="619"/>
      <c r="I1238" s="619"/>
      <c r="J1238" s="620">
        <v>21500000</v>
      </c>
      <c r="K1238" s="621" t="s">
        <v>1130</v>
      </c>
      <c r="L1238" s="621" t="s">
        <v>4852</v>
      </c>
      <c r="M1238" s="621" t="s">
        <v>4871</v>
      </c>
      <c r="N1238" s="621" t="s">
        <v>4754</v>
      </c>
      <c r="O1238" s="621"/>
      <c r="P1238" s="621"/>
    </row>
    <row r="1239" spans="1:16">
      <c r="A1239" s="232" t="s">
        <v>686</v>
      </c>
      <c r="B1239" s="232" t="s">
        <v>1864</v>
      </c>
      <c r="C1239" s="622">
        <v>44985</v>
      </c>
      <c r="D1239" s="232" t="s">
        <v>4870</v>
      </c>
      <c r="E1239" s="231" t="s">
        <v>5076</v>
      </c>
      <c r="F1239" s="233">
        <v>50</v>
      </c>
      <c r="G1239" s="232" t="s">
        <v>4851</v>
      </c>
      <c r="H1239" s="233"/>
      <c r="I1239" s="233"/>
      <c r="J1239" s="623">
        <v>21500000</v>
      </c>
      <c r="K1239" s="624" t="s">
        <v>1130</v>
      </c>
      <c r="L1239" s="624" t="s">
        <v>4852</v>
      </c>
      <c r="M1239" s="624" t="s">
        <v>4871</v>
      </c>
      <c r="N1239" s="624" t="s">
        <v>4754</v>
      </c>
      <c r="O1239" s="624"/>
      <c r="P1239" s="624"/>
    </row>
    <row r="1240" spans="1:16">
      <c r="A1240" s="231" t="s">
        <v>686</v>
      </c>
      <c r="B1240" s="231" t="s">
        <v>1864</v>
      </c>
      <c r="C1240" s="618">
        <v>44985</v>
      </c>
      <c r="D1240" s="231" t="s">
        <v>4870</v>
      </c>
      <c r="E1240" s="231" t="s">
        <v>5076</v>
      </c>
      <c r="F1240" s="619">
        <v>50</v>
      </c>
      <c r="G1240" s="231" t="s">
        <v>4851</v>
      </c>
      <c r="H1240" s="619"/>
      <c r="I1240" s="619"/>
      <c r="J1240" s="620">
        <v>21500000</v>
      </c>
      <c r="K1240" s="621" t="s">
        <v>1130</v>
      </c>
      <c r="L1240" s="621" t="s">
        <v>4852</v>
      </c>
      <c r="M1240" s="621" t="s">
        <v>4871</v>
      </c>
      <c r="N1240" s="621" t="s">
        <v>4754</v>
      </c>
      <c r="O1240" s="621"/>
      <c r="P1240" s="621"/>
    </row>
    <row r="1241" spans="1:16">
      <c r="A1241" s="232" t="s">
        <v>686</v>
      </c>
      <c r="B1241" s="232" t="s">
        <v>1864</v>
      </c>
      <c r="C1241" s="622">
        <v>44985</v>
      </c>
      <c r="D1241" s="232" t="s">
        <v>4870</v>
      </c>
      <c r="E1241" s="231" t="s">
        <v>5076</v>
      </c>
      <c r="F1241" s="233">
        <v>53</v>
      </c>
      <c r="G1241" s="232" t="s">
        <v>4851</v>
      </c>
      <c r="H1241" s="233"/>
      <c r="I1241" s="233"/>
      <c r="J1241" s="623">
        <v>22790000</v>
      </c>
      <c r="K1241" s="624" t="s">
        <v>1130</v>
      </c>
      <c r="L1241" s="624" t="s">
        <v>4852</v>
      </c>
      <c r="M1241" s="624" t="s">
        <v>4871</v>
      </c>
      <c r="N1241" s="624" t="s">
        <v>4754</v>
      </c>
      <c r="O1241" s="624"/>
      <c r="P1241" s="624"/>
    </row>
    <row r="1242" spans="1:16">
      <c r="A1242" s="231" t="s">
        <v>686</v>
      </c>
      <c r="B1242" s="231" t="s">
        <v>1864</v>
      </c>
      <c r="C1242" s="618">
        <v>44985</v>
      </c>
      <c r="D1242" s="231" t="s">
        <v>4862</v>
      </c>
      <c r="E1242" s="231" t="s">
        <v>5076</v>
      </c>
      <c r="F1242" s="619">
        <v>30.5</v>
      </c>
      <c r="G1242" s="231" t="s">
        <v>4851</v>
      </c>
      <c r="H1242" s="619"/>
      <c r="I1242" s="619"/>
      <c r="J1242" s="620">
        <v>14731500</v>
      </c>
      <c r="K1242" s="621" t="s">
        <v>1130</v>
      </c>
      <c r="L1242" s="621" t="s">
        <v>4852</v>
      </c>
      <c r="M1242" s="621" t="s">
        <v>4867</v>
      </c>
      <c r="N1242" s="621" t="s">
        <v>4754</v>
      </c>
      <c r="O1242" s="621"/>
      <c r="P1242" s="621"/>
    </row>
    <row r="1243" spans="1:16">
      <c r="A1243" s="232" t="s">
        <v>686</v>
      </c>
      <c r="B1243" s="232" t="s">
        <v>1864</v>
      </c>
      <c r="C1243" s="622">
        <v>44985</v>
      </c>
      <c r="D1243" s="232" t="s">
        <v>4862</v>
      </c>
      <c r="E1243" s="231" t="s">
        <v>5076</v>
      </c>
      <c r="F1243" s="233">
        <v>17.5</v>
      </c>
      <c r="G1243" s="232" t="s">
        <v>4851</v>
      </c>
      <c r="H1243" s="233"/>
      <c r="I1243" s="233"/>
      <c r="J1243" s="623">
        <v>8452500</v>
      </c>
      <c r="K1243" s="624" t="s">
        <v>1130</v>
      </c>
      <c r="L1243" s="624" t="s">
        <v>4852</v>
      </c>
      <c r="M1243" s="624" t="s">
        <v>4867</v>
      </c>
      <c r="N1243" s="624" t="s">
        <v>4754</v>
      </c>
      <c r="O1243" s="624"/>
      <c r="P1243" s="624"/>
    </row>
    <row r="1244" spans="1:16">
      <c r="A1244" s="231" t="s">
        <v>686</v>
      </c>
      <c r="B1244" s="231" t="s">
        <v>1864</v>
      </c>
      <c r="C1244" s="618">
        <v>44985</v>
      </c>
      <c r="D1244" s="231" t="s">
        <v>4862</v>
      </c>
      <c r="E1244" s="231" t="s">
        <v>5076</v>
      </c>
      <c r="F1244" s="619">
        <v>48</v>
      </c>
      <c r="G1244" s="231" t="s">
        <v>4851</v>
      </c>
      <c r="H1244" s="619"/>
      <c r="I1244" s="619"/>
      <c r="J1244" s="620">
        <v>23184000</v>
      </c>
      <c r="K1244" s="621" t="s">
        <v>1130</v>
      </c>
      <c r="L1244" s="621" t="s">
        <v>4852</v>
      </c>
      <c r="M1244" s="621" t="s">
        <v>4867</v>
      </c>
      <c r="N1244" s="621" t="s">
        <v>4754</v>
      </c>
      <c r="O1244" s="621"/>
      <c r="P1244" s="621"/>
    </row>
    <row r="1245" spans="1:16">
      <c r="A1245" s="232" t="s">
        <v>686</v>
      </c>
      <c r="B1245" s="232" t="s">
        <v>1864</v>
      </c>
      <c r="C1245" s="622">
        <v>44985</v>
      </c>
      <c r="D1245" s="232" t="s">
        <v>4862</v>
      </c>
      <c r="E1245" s="231" t="s">
        <v>5076</v>
      </c>
      <c r="F1245" s="233">
        <v>48</v>
      </c>
      <c r="G1245" s="232" t="s">
        <v>4851</v>
      </c>
      <c r="H1245" s="233"/>
      <c r="I1245" s="233"/>
      <c r="J1245" s="623">
        <v>23184000</v>
      </c>
      <c r="K1245" s="624" t="s">
        <v>1130</v>
      </c>
      <c r="L1245" s="624" t="s">
        <v>4852</v>
      </c>
      <c r="M1245" s="624" t="s">
        <v>4867</v>
      </c>
      <c r="N1245" s="624" t="s">
        <v>4754</v>
      </c>
      <c r="O1245" s="624"/>
      <c r="P1245" s="624"/>
    </row>
    <row r="1246" spans="1:16">
      <c r="A1246" s="231" t="s">
        <v>686</v>
      </c>
      <c r="B1246" s="231" t="s">
        <v>1864</v>
      </c>
      <c r="C1246" s="618">
        <v>44985</v>
      </c>
      <c r="D1246" s="231" t="s">
        <v>4862</v>
      </c>
      <c r="E1246" s="231" t="s">
        <v>5076</v>
      </c>
      <c r="F1246" s="619">
        <v>49</v>
      </c>
      <c r="G1246" s="231" t="s">
        <v>4851</v>
      </c>
      <c r="H1246" s="619"/>
      <c r="I1246" s="619"/>
      <c r="J1246" s="620">
        <v>23667000</v>
      </c>
      <c r="K1246" s="621" t="s">
        <v>1130</v>
      </c>
      <c r="L1246" s="621" t="s">
        <v>4852</v>
      </c>
      <c r="M1246" s="621" t="s">
        <v>4867</v>
      </c>
      <c r="N1246" s="621" t="s">
        <v>4754</v>
      </c>
      <c r="O1246" s="621"/>
      <c r="P1246" s="621"/>
    </row>
    <row r="1247" spans="1:16">
      <c r="A1247" s="232" t="s">
        <v>686</v>
      </c>
      <c r="B1247" s="232" t="s">
        <v>1864</v>
      </c>
      <c r="C1247" s="622">
        <v>44985</v>
      </c>
      <c r="D1247" s="232" t="s">
        <v>4862</v>
      </c>
      <c r="E1247" s="231" t="s">
        <v>5076</v>
      </c>
      <c r="F1247" s="233">
        <v>48</v>
      </c>
      <c r="G1247" s="232" t="s">
        <v>4851</v>
      </c>
      <c r="H1247" s="233"/>
      <c r="I1247" s="233"/>
      <c r="J1247" s="623">
        <v>23184000</v>
      </c>
      <c r="K1247" s="624" t="s">
        <v>1130</v>
      </c>
      <c r="L1247" s="624" t="s">
        <v>4852</v>
      </c>
      <c r="M1247" s="624" t="s">
        <v>4867</v>
      </c>
      <c r="N1247" s="624" t="s">
        <v>4754</v>
      </c>
      <c r="O1247" s="624"/>
      <c r="P1247" s="624"/>
    </row>
    <row r="1248" spans="1:16">
      <c r="A1248" s="231" t="s">
        <v>686</v>
      </c>
      <c r="B1248" s="231" t="s">
        <v>1864</v>
      </c>
      <c r="C1248" s="618">
        <v>44985</v>
      </c>
      <c r="D1248" s="231" t="s">
        <v>4862</v>
      </c>
      <c r="E1248" s="231" t="s">
        <v>5076</v>
      </c>
      <c r="F1248" s="619">
        <v>49</v>
      </c>
      <c r="G1248" s="231" t="s">
        <v>4851</v>
      </c>
      <c r="H1248" s="619"/>
      <c r="I1248" s="619"/>
      <c r="J1248" s="620">
        <v>23667000</v>
      </c>
      <c r="K1248" s="621" t="s">
        <v>1130</v>
      </c>
      <c r="L1248" s="621" t="s">
        <v>4852</v>
      </c>
      <c r="M1248" s="621" t="s">
        <v>4867</v>
      </c>
      <c r="N1248" s="621" t="s">
        <v>4754</v>
      </c>
      <c r="O1248" s="621"/>
      <c r="P1248" s="621"/>
    </row>
    <row r="1249" spans="1:16">
      <c r="A1249" s="232" t="s">
        <v>686</v>
      </c>
      <c r="B1249" s="232" t="s">
        <v>1864</v>
      </c>
      <c r="C1249" s="622">
        <v>44985</v>
      </c>
      <c r="D1249" s="232" t="s">
        <v>4862</v>
      </c>
      <c r="E1249" s="231" t="s">
        <v>5076</v>
      </c>
      <c r="F1249" s="233">
        <v>49</v>
      </c>
      <c r="G1249" s="232" t="s">
        <v>4851</v>
      </c>
      <c r="H1249" s="233"/>
      <c r="I1249" s="233"/>
      <c r="J1249" s="623">
        <v>23667000</v>
      </c>
      <c r="K1249" s="624" t="s">
        <v>1130</v>
      </c>
      <c r="L1249" s="624" t="s">
        <v>4852</v>
      </c>
      <c r="M1249" s="624" t="s">
        <v>4867</v>
      </c>
      <c r="N1249" s="624" t="s">
        <v>4754</v>
      </c>
      <c r="O1249" s="624"/>
      <c r="P1249" s="624"/>
    </row>
    <row r="1250" spans="1:16">
      <c r="A1250" s="231" t="s">
        <v>686</v>
      </c>
      <c r="B1250" s="231" t="s">
        <v>1864</v>
      </c>
      <c r="C1250" s="618">
        <v>44985</v>
      </c>
      <c r="D1250" s="231" t="s">
        <v>4869</v>
      </c>
      <c r="E1250" s="231" t="s">
        <v>5076</v>
      </c>
      <c r="F1250" s="619">
        <v>52</v>
      </c>
      <c r="G1250" s="231" t="s">
        <v>4851</v>
      </c>
      <c r="H1250" s="619"/>
      <c r="I1250" s="619"/>
      <c r="J1250" s="620">
        <v>22360000</v>
      </c>
      <c r="K1250" s="621" t="s">
        <v>1130</v>
      </c>
      <c r="L1250" s="621" t="s">
        <v>4852</v>
      </c>
      <c r="M1250" s="621" t="s">
        <v>4858</v>
      </c>
      <c r="N1250" s="621" t="s">
        <v>4754</v>
      </c>
      <c r="O1250" s="621"/>
      <c r="P1250" s="621"/>
    </row>
    <row r="1251" spans="1:16">
      <c r="A1251" s="232" t="s">
        <v>686</v>
      </c>
      <c r="B1251" s="232" t="s">
        <v>1864</v>
      </c>
      <c r="C1251" s="622">
        <v>44985</v>
      </c>
      <c r="D1251" s="232" t="s">
        <v>4869</v>
      </c>
      <c r="E1251" s="231" t="s">
        <v>5076</v>
      </c>
      <c r="F1251" s="233">
        <v>50</v>
      </c>
      <c r="G1251" s="232" t="s">
        <v>4851</v>
      </c>
      <c r="H1251" s="233"/>
      <c r="I1251" s="233"/>
      <c r="J1251" s="623">
        <v>21500000</v>
      </c>
      <c r="K1251" s="624" t="s">
        <v>1130</v>
      </c>
      <c r="L1251" s="624" t="s">
        <v>4852</v>
      </c>
      <c r="M1251" s="624" t="s">
        <v>4858</v>
      </c>
      <c r="N1251" s="624" t="s">
        <v>4754</v>
      </c>
      <c r="O1251" s="624"/>
      <c r="P1251" s="624"/>
    </row>
    <row r="1252" spans="1:16">
      <c r="A1252" s="231" t="s">
        <v>686</v>
      </c>
      <c r="B1252" s="231" t="s">
        <v>1864</v>
      </c>
      <c r="C1252" s="618">
        <v>44985</v>
      </c>
      <c r="D1252" s="231" t="s">
        <v>4862</v>
      </c>
      <c r="E1252" s="231" t="s">
        <v>5076</v>
      </c>
      <c r="F1252" s="619">
        <v>49</v>
      </c>
      <c r="G1252" s="231" t="s">
        <v>4851</v>
      </c>
      <c r="H1252" s="619"/>
      <c r="I1252" s="619"/>
      <c r="J1252" s="620">
        <v>23667000</v>
      </c>
      <c r="K1252" s="621" t="s">
        <v>1130</v>
      </c>
      <c r="L1252" s="621" t="s">
        <v>4852</v>
      </c>
      <c r="M1252" s="621" t="s">
        <v>4867</v>
      </c>
      <c r="N1252" s="621" t="s">
        <v>4754</v>
      </c>
      <c r="O1252" s="621"/>
      <c r="P1252" s="621"/>
    </row>
    <row r="1253" spans="1:16">
      <c r="A1253" s="232" t="s">
        <v>686</v>
      </c>
      <c r="B1253" s="232" t="s">
        <v>1864</v>
      </c>
      <c r="C1253" s="622">
        <v>44985</v>
      </c>
      <c r="D1253" s="232" t="s">
        <v>4862</v>
      </c>
      <c r="E1253" s="231" t="s">
        <v>5076</v>
      </c>
      <c r="F1253" s="233">
        <v>49</v>
      </c>
      <c r="G1253" s="232" t="s">
        <v>4851</v>
      </c>
      <c r="H1253" s="233"/>
      <c r="I1253" s="233"/>
      <c r="J1253" s="623">
        <v>23667000</v>
      </c>
      <c r="K1253" s="624" t="s">
        <v>1130</v>
      </c>
      <c r="L1253" s="624" t="s">
        <v>4852</v>
      </c>
      <c r="M1253" s="624" t="s">
        <v>4867</v>
      </c>
      <c r="N1253" s="624" t="s">
        <v>4754</v>
      </c>
      <c r="O1253" s="624"/>
      <c r="P1253" s="624"/>
    </row>
    <row r="1254" spans="1:16">
      <c r="A1254" s="231" t="s">
        <v>686</v>
      </c>
      <c r="B1254" s="231" t="s">
        <v>1864</v>
      </c>
      <c r="C1254" s="618">
        <v>44985</v>
      </c>
      <c r="D1254" s="231" t="s">
        <v>4862</v>
      </c>
      <c r="E1254" s="231" t="s">
        <v>5076</v>
      </c>
      <c r="F1254" s="619">
        <v>49</v>
      </c>
      <c r="G1254" s="231" t="s">
        <v>4851</v>
      </c>
      <c r="H1254" s="619"/>
      <c r="I1254" s="619"/>
      <c r="J1254" s="620">
        <v>23667000</v>
      </c>
      <c r="K1254" s="621" t="s">
        <v>1130</v>
      </c>
      <c r="L1254" s="621" t="s">
        <v>4852</v>
      </c>
      <c r="M1254" s="621" t="s">
        <v>4867</v>
      </c>
      <c r="N1254" s="621" t="s">
        <v>4754</v>
      </c>
      <c r="O1254" s="621"/>
      <c r="P1254" s="621"/>
    </row>
    <row r="1255" spans="1:16">
      <c r="A1255" s="232" t="s">
        <v>686</v>
      </c>
      <c r="B1255" s="232" t="s">
        <v>1864</v>
      </c>
      <c r="C1255" s="622">
        <v>44985</v>
      </c>
      <c r="D1255" s="232" t="s">
        <v>4862</v>
      </c>
      <c r="E1255" s="231" t="s">
        <v>5076</v>
      </c>
      <c r="F1255" s="233">
        <v>49</v>
      </c>
      <c r="G1255" s="232" t="s">
        <v>4851</v>
      </c>
      <c r="H1255" s="233"/>
      <c r="I1255" s="233"/>
      <c r="J1255" s="623">
        <v>23667000</v>
      </c>
      <c r="K1255" s="624" t="s">
        <v>1130</v>
      </c>
      <c r="L1255" s="624" t="s">
        <v>4852</v>
      </c>
      <c r="M1255" s="624" t="s">
        <v>4867</v>
      </c>
      <c r="N1255" s="624" t="s">
        <v>4754</v>
      </c>
      <c r="O1255" s="624"/>
      <c r="P1255" s="624"/>
    </row>
    <row r="1256" spans="1:16">
      <c r="A1256" s="231" t="s">
        <v>686</v>
      </c>
      <c r="B1256" s="231" t="s">
        <v>1864</v>
      </c>
      <c r="C1256" s="618">
        <v>44985</v>
      </c>
      <c r="D1256" s="231" t="s">
        <v>4869</v>
      </c>
      <c r="E1256" s="231" t="s">
        <v>5076</v>
      </c>
      <c r="F1256" s="619">
        <v>7.95</v>
      </c>
      <c r="G1256" s="231" t="s">
        <v>4851</v>
      </c>
      <c r="H1256" s="619"/>
      <c r="I1256" s="619"/>
      <c r="J1256" s="620">
        <v>3418500</v>
      </c>
      <c r="K1256" s="621" t="s">
        <v>1130</v>
      </c>
      <c r="L1256" s="621" t="s">
        <v>4852</v>
      </c>
      <c r="M1256" s="621" t="s">
        <v>4858</v>
      </c>
      <c r="N1256" s="621" t="s">
        <v>4754</v>
      </c>
      <c r="O1256" s="621"/>
      <c r="P1256" s="621"/>
    </row>
    <row r="1257" spans="1:16">
      <c r="A1257" s="232" t="s">
        <v>686</v>
      </c>
      <c r="B1257" s="232" t="s">
        <v>1864</v>
      </c>
      <c r="C1257" s="622">
        <v>44985</v>
      </c>
      <c r="D1257" s="232" t="s">
        <v>4869</v>
      </c>
      <c r="E1257" s="231" t="s">
        <v>5076</v>
      </c>
      <c r="F1257" s="233">
        <v>9.9499999999999993</v>
      </c>
      <c r="G1257" s="232" t="s">
        <v>4851</v>
      </c>
      <c r="H1257" s="233"/>
      <c r="I1257" s="233"/>
      <c r="J1257" s="623">
        <v>4278500</v>
      </c>
      <c r="K1257" s="624" t="s">
        <v>1130</v>
      </c>
      <c r="L1257" s="624" t="s">
        <v>4852</v>
      </c>
      <c r="M1257" s="624" t="s">
        <v>4858</v>
      </c>
      <c r="N1257" s="624" t="s">
        <v>4754</v>
      </c>
      <c r="O1257" s="624"/>
      <c r="P1257" s="624"/>
    </row>
    <row r="1258" spans="1:16">
      <c r="A1258" s="231" t="s">
        <v>686</v>
      </c>
      <c r="B1258" s="231" t="s">
        <v>1864</v>
      </c>
      <c r="C1258" s="618">
        <v>44985</v>
      </c>
      <c r="D1258" s="231" t="s">
        <v>4869</v>
      </c>
      <c r="E1258" s="231" t="s">
        <v>5076</v>
      </c>
      <c r="F1258" s="619">
        <v>9</v>
      </c>
      <c r="G1258" s="231" t="s">
        <v>4851</v>
      </c>
      <c r="H1258" s="619"/>
      <c r="I1258" s="619"/>
      <c r="J1258" s="620">
        <v>3870000</v>
      </c>
      <c r="K1258" s="621" t="s">
        <v>1130</v>
      </c>
      <c r="L1258" s="621" t="s">
        <v>4852</v>
      </c>
      <c r="M1258" s="621" t="s">
        <v>4858</v>
      </c>
      <c r="N1258" s="621" t="s">
        <v>4754</v>
      </c>
      <c r="O1258" s="621"/>
      <c r="P1258" s="621"/>
    </row>
    <row r="1259" spans="1:16">
      <c r="A1259" s="232" t="s">
        <v>686</v>
      </c>
      <c r="B1259" s="232" t="s">
        <v>1864</v>
      </c>
      <c r="C1259" s="622">
        <v>44985</v>
      </c>
      <c r="D1259" s="232" t="s">
        <v>4869</v>
      </c>
      <c r="E1259" s="231" t="s">
        <v>5076</v>
      </c>
      <c r="F1259" s="233">
        <v>40.049999999999997</v>
      </c>
      <c r="G1259" s="232" t="s">
        <v>4851</v>
      </c>
      <c r="H1259" s="233"/>
      <c r="I1259" s="233"/>
      <c r="J1259" s="623">
        <v>17221500</v>
      </c>
      <c r="K1259" s="624" t="s">
        <v>1130</v>
      </c>
      <c r="L1259" s="624" t="s">
        <v>4852</v>
      </c>
      <c r="M1259" s="624" t="s">
        <v>4858</v>
      </c>
      <c r="N1259" s="624" t="s">
        <v>4754</v>
      </c>
      <c r="O1259" s="624"/>
      <c r="P1259" s="624"/>
    </row>
    <row r="1260" spans="1:16">
      <c r="A1260" s="231" t="s">
        <v>686</v>
      </c>
      <c r="B1260" s="231" t="s">
        <v>1864</v>
      </c>
      <c r="C1260" s="618">
        <v>44985</v>
      </c>
      <c r="D1260" s="231" t="s">
        <v>4869</v>
      </c>
      <c r="E1260" s="231" t="s">
        <v>5076</v>
      </c>
      <c r="F1260" s="619">
        <v>33.049999999999997</v>
      </c>
      <c r="G1260" s="231" t="s">
        <v>4851</v>
      </c>
      <c r="H1260" s="619"/>
      <c r="I1260" s="619"/>
      <c r="J1260" s="620">
        <v>14211500</v>
      </c>
      <c r="K1260" s="621" t="s">
        <v>1130</v>
      </c>
      <c r="L1260" s="621" t="s">
        <v>4852</v>
      </c>
      <c r="M1260" s="621" t="s">
        <v>4858</v>
      </c>
      <c r="N1260" s="621" t="s">
        <v>4754</v>
      </c>
      <c r="O1260" s="621"/>
      <c r="P1260" s="621"/>
    </row>
    <row r="1261" spans="1:16">
      <c r="A1261" s="232" t="s">
        <v>686</v>
      </c>
      <c r="B1261" s="232" t="s">
        <v>1864</v>
      </c>
      <c r="C1261" s="622">
        <v>44985</v>
      </c>
      <c r="D1261" s="232" t="s">
        <v>4869</v>
      </c>
      <c r="E1261" s="231" t="s">
        <v>5076</v>
      </c>
      <c r="F1261" s="233">
        <v>44</v>
      </c>
      <c r="G1261" s="232" t="s">
        <v>4851</v>
      </c>
      <c r="H1261" s="233"/>
      <c r="I1261" s="233"/>
      <c r="J1261" s="623">
        <v>18920000</v>
      </c>
      <c r="K1261" s="624" t="s">
        <v>1130</v>
      </c>
      <c r="L1261" s="624" t="s">
        <v>4852</v>
      </c>
      <c r="M1261" s="624" t="s">
        <v>4858</v>
      </c>
      <c r="N1261" s="624" t="s">
        <v>4754</v>
      </c>
      <c r="O1261" s="624"/>
      <c r="P1261" s="624"/>
    </row>
    <row r="1262" spans="1:16">
      <c r="A1262" s="231" t="s">
        <v>686</v>
      </c>
      <c r="B1262" s="231" t="s">
        <v>1864</v>
      </c>
      <c r="C1262" s="618">
        <v>44985</v>
      </c>
      <c r="D1262" s="231" t="s">
        <v>4869</v>
      </c>
      <c r="E1262" s="231" t="s">
        <v>5076</v>
      </c>
      <c r="F1262" s="619">
        <v>50</v>
      </c>
      <c r="G1262" s="231" t="s">
        <v>4851</v>
      </c>
      <c r="H1262" s="619"/>
      <c r="I1262" s="619"/>
      <c r="J1262" s="620">
        <v>21500000</v>
      </c>
      <c r="K1262" s="621" t="s">
        <v>1130</v>
      </c>
      <c r="L1262" s="621" t="s">
        <v>4852</v>
      </c>
      <c r="M1262" s="621" t="s">
        <v>4858</v>
      </c>
      <c r="N1262" s="621" t="s">
        <v>4754</v>
      </c>
      <c r="O1262" s="621"/>
      <c r="P1262" s="621"/>
    </row>
    <row r="1263" spans="1:16">
      <c r="A1263" s="232" t="s">
        <v>686</v>
      </c>
      <c r="B1263" s="232" t="s">
        <v>1864</v>
      </c>
      <c r="C1263" s="622">
        <v>44985</v>
      </c>
      <c r="D1263" s="232" t="s">
        <v>4862</v>
      </c>
      <c r="E1263" s="231" t="s">
        <v>5076</v>
      </c>
      <c r="F1263" s="233">
        <v>11.6</v>
      </c>
      <c r="G1263" s="232" t="s">
        <v>4851</v>
      </c>
      <c r="H1263" s="233"/>
      <c r="I1263" s="233"/>
      <c r="J1263" s="623">
        <v>5602800</v>
      </c>
      <c r="K1263" s="624" t="s">
        <v>1130</v>
      </c>
      <c r="L1263" s="624" t="s">
        <v>4852</v>
      </c>
      <c r="M1263" s="624" t="s">
        <v>4867</v>
      </c>
      <c r="N1263" s="624" t="s">
        <v>4754</v>
      </c>
      <c r="O1263" s="624"/>
      <c r="P1263" s="624"/>
    </row>
    <row r="1264" spans="1:16">
      <c r="A1264" s="231" t="s">
        <v>686</v>
      </c>
      <c r="B1264" s="231" t="s">
        <v>1864</v>
      </c>
      <c r="C1264" s="618">
        <v>44985</v>
      </c>
      <c r="D1264" s="231" t="s">
        <v>4862</v>
      </c>
      <c r="E1264" s="231" t="s">
        <v>5076</v>
      </c>
      <c r="F1264" s="619">
        <v>37.4</v>
      </c>
      <c r="G1264" s="231" t="s">
        <v>4851</v>
      </c>
      <c r="H1264" s="619"/>
      <c r="I1264" s="619"/>
      <c r="J1264" s="620">
        <v>18064200</v>
      </c>
      <c r="K1264" s="621" t="s">
        <v>1130</v>
      </c>
      <c r="L1264" s="621" t="s">
        <v>4852</v>
      </c>
      <c r="M1264" s="621" t="s">
        <v>4867</v>
      </c>
      <c r="N1264" s="621" t="s">
        <v>4754</v>
      </c>
      <c r="O1264" s="621"/>
      <c r="P1264" s="621"/>
    </row>
    <row r="1265" spans="1:16">
      <c r="A1265" s="232" t="s">
        <v>686</v>
      </c>
      <c r="B1265" s="232" t="s">
        <v>1864</v>
      </c>
      <c r="C1265" s="622">
        <v>44985</v>
      </c>
      <c r="D1265" s="232" t="s">
        <v>4862</v>
      </c>
      <c r="E1265" s="231" t="s">
        <v>5076</v>
      </c>
      <c r="F1265" s="233">
        <v>0.15</v>
      </c>
      <c r="G1265" s="232" t="s">
        <v>4851</v>
      </c>
      <c r="H1265" s="233"/>
      <c r="I1265" s="233"/>
      <c r="J1265" s="623">
        <v>72450</v>
      </c>
      <c r="K1265" s="624" t="s">
        <v>1130</v>
      </c>
      <c r="L1265" s="624" t="s">
        <v>4852</v>
      </c>
      <c r="M1265" s="624" t="s">
        <v>4867</v>
      </c>
      <c r="N1265" s="624" t="s">
        <v>4754</v>
      </c>
      <c r="O1265" s="624"/>
      <c r="P1265" s="624"/>
    </row>
    <row r="1266" spans="1:16">
      <c r="A1266" s="231" t="s">
        <v>686</v>
      </c>
      <c r="B1266" s="231" t="s">
        <v>1864</v>
      </c>
      <c r="C1266" s="618">
        <v>44985</v>
      </c>
      <c r="D1266" s="231" t="s">
        <v>4862</v>
      </c>
      <c r="E1266" s="231" t="s">
        <v>5076</v>
      </c>
      <c r="F1266" s="619">
        <v>49</v>
      </c>
      <c r="G1266" s="231" t="s">
        <v>4851</v>
      </c>
      <c r="H1266" s="619"/>
      <c r="I1266" s="619"/>
      <c r="J1266" s="620">
        <v>23667000</v>
      </c>
      <c r="K1266" s="621" t="s">
        <v>1130</v>
      </c>
      <c r="L1266" s="621" t="s">
        <v>4852</v>
      </c>
      <c r="M1266" s="621" t="s">
        <v>4867</v>
      </c>
      <c r="N1266" s="621" t="s">
        <v>4754</v>
      </c>
      <c r="O1266" s="621"/>
      <c r="P1266" s="621"/>
    </row>
    <row r="1267" spans="1:16">
      <c r="A1267" s="232" t="s">
        <v>686</v>
      </c>
      <c r="B1267" s="232" t="s">
        <v>1864</v>
      </c>
      <c r="C1267" s="622">
        <v>44985</v>
      </c>
      <c r="D1267" s="232" t="s">
        <v>4862</v>
      </c>
      <c r="E1267" s="231" t="s">
        <v>5076</v>
      </c>
      <c r="F1267" s="233">
        <v>49</v>
      </c>
      <c r="G1267" s="232" t="s">
        <v>4851</v>
      </c>
      <c r="H1267" s="233"/>
      <c r="I1267" s="233"/>
      <c r="J1267" s="623">
        <v>23667000</v>
      </c>
      <c r="K1267" s="624" t="s">
        <v>1130</v>
      </c>
      <c r="L1267" s="624" t="s">
        <v>4852</v>
      </c>
      <c r="M1267" s="624" t="s">
        <v>4867</v>
      </c>
      <c r="N1267" s="624" t="s">
        <v>4754</v>
      </c>
      <c r="O1267" s="624"/>
      <c r="P1267" s="624"/>
    </row>
    <row r="1268" spans="1:16">
      <c r="A1268" s="231" t="s">
        <v>686</v>
      </c>
      <c r="B1268" s="231" t="s">
        <v>1864</v>
      </c>
      <c r="C1268" s="618">
        <v>44985</v>
      </c>
      <c r="D1268" s="231" t="s">
        <v>4862</v>
      </c>
      <c r="E1268" s="231" t="s">
        <v>5076</v>
      </c>
      <c r="F1268" s="619">
        <v>25.5</v>
      </c>
      <c r="G1268" s="231" t="s">
        <v>4851</v>
      </c>
      <c r="H1268" s="619"/>
      <c r="I1268" s="619"/>
      <c r="J1268" s="620">
        <v>12316500</v>
      </c>
      <c r="K1268" s="621" t="s">
        <v>1130</v>
      </c>
      <c r="L1268" s="621" t="s">
        <v>4852</v>
      </c>
      <c r="M1268" s="621" t="s">
        <v>4867</v>
      </c>
      <c r="N1268" s="621" t="s">
        <v>4754</v>
      </c>
      <c r="O1268" s="621"/>
      <c r="P1268" s="621"/>
    </row>
    <row r="1269" spans="1:16">
      <c r="A1269" s="232" t="s">
        <v>686</v>
      </c>
      <c r="B1269" s="232" t="s">
        <v>1864</v>
      </c>
      <c r="C1269" s="622">
        <v>44985</v>
      </c>
      <c r="D1269" s="232" t="s">
        <v>4862</v>
      </c>
      <c r="E1269" s="231" t="s">
        <v>5076</v>
      </c>
      <c r="F1269" s="233">
        <v>23.5</v>
      </c>
      <c r="G1269" s="232" t="s">
        <v>4851</v>
      </c>
      <c r="H1269" s="233"/>
      <c r="I1269" s="233"/>
      <c r="J1269" s="623">
        <v>11350500</v>
      </c>
      <c r="K1269" s="624" t="s">
        <v>1130</v>
      </c>
      <c r="L1269" s="624" t="s">
        <v>4852</v>
      </c>
      <c r="M1269" s="624" t="s">
        <v>4867</v>
      </c>
      <c r="N1269" s="624" t="s">
        <v>4754</v>
      </c>
      <c r="O1269" s="624"/>
      <c r="P1269" s="624"/>
    </row>
    <row r="1270" spans="1:16">
      <c r="A1270" s="231" t="s">
        <v>686</v>
      </c>
      <c r="B1270" s="231" t="s">
        <v>1864</v>
      </c>
      <c r="C1270" s="618">
        <v>44985</v>
      </c>
      <c r="D1270" s="231" t="s">
        <v>4862</v>
      </c>
      <c r="E1270" s="231" t="s">
        <v>5076</v>
      </c>
      <c r="F1270" s="619">
        <v>49</v>
      </c>
      <c r="G1270" s="231" t="s">
        <v>4851</v>
      </c>
      <c r="H1270" s="619"/>
      <c r="I1270" s="619"/>
      <c r="J1270" s="620">
        <v>23667000</v>
      </c>
      <c r="K1270" s="621" t="s">
        <v>1130</v>
      </c>
      <c r="L1270" s="621" t="s">
        <v>4852</v>
      </c>
      <c r="M1270" s="621" t="s">
        <v>4867</v>
      </c>
      <c r="N1270" s="621" t="s">
        <v>4754</v>
      </c>
      <c r="O1270" s="621"/>
      <c r="P1270" s="621"/>
    </row>
    <row r="1271" spans="1:16">
      <c r="A1271" s="232" t="s">
        <v>686</v>
      </c>
      <c r="B1271" s="232" t="s">
        <v>1864</v>
      </c>
      <c r="C1271" s="622">
        <v>44985</v>
      </c>
      <c r="D1271" s="232" t="s">
        <v>4862</v>
      </c>
      <c r="E1271" s="231" t="s">
        <v>5076</v>
      </c>
      <c r="F1271" s="233">
        <v>47.85</v>
      </c>
      <c r="G1271" s="232" t="s">
        <v>4851</v>
      </c>
      <c r="H1271" s="233"/>
      <c r="I1271" s="233"/>
      <c r="J1271" s="623">
        <v>23111550</v>
      </c>
      <c r="K1271" s="624" t="s">
        <v>1130</v>
      </c>
      <c r="L1271" s="624" t="s">
        <v>4852</v>
      </c>
      <c r="M1271" s="624" t="s">
        <v>4867</v>
      </c>
      <c r="N1271" s="624" t="s">
        <v>4754</v>
      </c>
      <c r="O1271" s="624"/>
      <c r="P1271" s="624"/>
    </row>
    <row r="1272" spans="1:16">
      <c r="A1272" s="231" t="s">
        <v>686</v>
      </c>
      <c r="B1272" s="231" t="s">
        <v>1864</v>
      </c>
      <c r="C1272" s="618">
        <v>44985</v>
      </c>
      <c r="D1272" s="231" t="s">
        <v>4862</v>
      </c>
      <c r="E1272" s="231" t="s">
        <v>5076</v>
      </c>
      <c r="F1272" s="619">
        <v>48</v>
      </c>
      <c r="G1272" s="231" t="s">
        <v>4851</v>
      </c>
      <c r="H1272" s="619"/>
      <c r="I1272" s="619"/>
      <c r="J1272" s="620">
        <v>23184000</v>
      </c>
      <c r="K1272" s="621" t="s">
        <v>1130</v>
      </c>
      <c r="L1272" s="621" t="s">
        <v>4852</v>
      </c>
      <c r="M1272" s="621" t="s">
        <v>4867</v>
      </c>
      <c r="N1272" s="621" t="s">
        <v>4754</v>
      </c>
      <c r="O1272" s="621"/>
      <c r="P1272" s="621"/>
    </row>
    <row r="1273" spans="1:16">
      <c r="A1273" s="232" t="s">
        <v>686</v>
      </c>
      <c r="B1273" s="232" t="s">
        <v>1864</v>
      </c>
      <c r="C1273" s="622">
        <v>44985</v>
      </c>
      <c r="D1273" s="232" t="s">
        <v>4862</v>
      </c>
      <c r="E1273" s="231" t="s">
        <v>5076</v>
      </c>
      <c r="F1273" s="233">
        <v>49</v>
      </c>
      <c r="G1273" s="232" t="s">
        <v>4851</v>
      </c>
      <c r="H1273" s="233"/>
      <c r="I1273" s="233"/>
      <c r="J1273" s="623">
        <v>23667000</v>
      </c>
      <c r="K1273" s="624" t="s">
        <v>1130</v>
      </c>
      <c r="L1273" s="624" t="s">
        <v>4852</v>
      </c>
      <c r="M1273" s="624" t="s">
        <v>4867</v>
      </c>
      <c r="N1273" s="624" t="s">
        <v>4754</v>
      </c>
      <c r="O1273" s="624"/>
      <c r="P1273" s="624"/>
    </row>
    <row r="1274" spans="1:16">
      <c r="A1274" s="231" t="s">
        <v>686</v>
      </c>
      <c r="B1274" s="231" t="s">
        <v>1864</v>
      </c>
      <c r="C1274" s="618">
        <v>44985</v>
      </c>
      <c r="D1274" s="231" t="s">
        <v>4870</v>
      </c>
      <c r="E1274" s="231" t="s">
        <v>5076</v>
      </c>
      <c r="F1274" s="619">
        <v>55</v>
      </c>
      <c r="G1274" s="231" t="s">
        <v>4851</v>
      </c>
      <c r="H1274" s="619"/>
      <c r="I1274" s="619"/>
      <c r="J1274" s="620">
        <v>23650000</v>
      </c>
      <c r="K1274" s="621" t="s">
        <v>1130</v>
      </c>
      <c r="L1274" s="621" t="s">
        <v>4852</v>
      </c>
      <c r="M1274" s="621" t="s">
        <v>4871</v>
      </c>
      <c r="N1274" s="621" t="s">
        <v>4754</v>
      </c>
      <c r="O1274" s="621"/>
      <c r="P1274" s="621"/>
    </row>
    <row r="1275" spans="1:16">
      <c r="A1275" s="232" t="s">
        <v>686</v>
      </c>
      <c r="B1275" s="232" t="s">
        <v>1864</v>
      </c>
      <c r="C1275" s="622">
        <v>44985</v>
      </c>
      <c r="D1275" s="232" t="s">
        <v>4869</v>
      </c>
      <c r="E1275" s="231" t="s">
        <v>5076</v>
      </c>
      <c r="F1275" s="233">
        <v>54</v>
      </c>
      <c r="G1275" s="232" t="s">
        <v>4851</v>
      </c>
      <c r="H1275" s="233"/>
      <c r="I1275" s="233"/>
      <c r="J1275" s="623">
        <v>23220000</v>
      </c>
      <c r="K1275" s="624" t="s">
        <v>1130</v>
      </c>
      <c r="L1275" s="624" t="s">
        <v>4852</v>
      </c>
      <c r="M1275" s="624" t="s">
        <v>4858</v>
      </c>
      <c r="N1275" s="624" t="s">
        <v>4754</v>
      </c>
      <c r="O1275" s="624"/>
      <c r="P1275" s="624"/>
    </row>
    <row r="1276" spans="1:16">
      <c r="A1276" s="231" t="s">
        <v>686</v>
      </c>
      <c r="B1276" s="231" t="s">
        <v>1864</v>
      </c>
      <c r="C1276" s="618">
        <v>44985</v>
      </c>
      <c r="D1276" s="231" t="s">
        <v>4868</v>
      </c>
      <c r="E1276" s="231" t="s">
        <v>5076</v>
      </c>
      <c r="F1276" s="619">
        <v>49</v>
      </c>
      <c r="G1276" s="231" t="s">
        <v>4851</v>
      </c>
      <c r="H1276" s="619"/>
      <c r="I1276" s="619"/>
      <c r="J1276" s="620">
        <v>22687000</v>
      </c>
      <c r="K1276" s="621" t="s">
        <v>1130</v>
      </c>
      <c r="L1276" s="621" t="s">
        <v>4852</v>
      </c>
      <c r="M1276" s="621" t="s">
        <v>4867</v>
      </c>
      <c r="N1276" s="621" t="s">
        <v>4754</v>
      </c>
      <c r="O1276" s="621"/>
      <c r="P1276" s="621"/>
    </row>
    <row r="1277" spans="1:16">
      <c r="A1277" s="232" t="s">
        <v>686</v>
      </c>
      <c r="B1277" s="232" t="s">
        <v>1864</v>
      </c>
      <c r="C1277" s="622">
        <v>44985</v>
      </c>
      <c r="D1277" s="232" t="s">
        <v>4868</v>
      </c>
      <c r="E1277" s="231" t="s">
        <v>5076</v>
      </c>
      <c r="F1277" s="233">
        <v>49</v>
      </c>
      <c r="G1277" s="232" t="s">
        <v>4851</v>
      </c>
      <c r="H1277" s="233"/>
      <c r="I1277" s="233"/>
      <c r="J1277" s="623">
        <v>22687000</v>
      </c>
      <c r="K1277" s="624" t="s">
        <v>1130</v>
      </c>
      <c r="L1277" s="624" t="s">
        <v>4852</v>
      </c>
      <c r="M1277" s="624" t="s">
        <v>4867</v>
      </c>
      <c r="N1277" s="624" t="s">
        <v>4754</v>
      </c>
      <c r="O1277" s="624"/>
      <c r="P1277" s="624"/>
    </row>
    <row r="1278" spans="1:16">
      <c r="A1278" s="231" t="s">
        <v>686</v>
      </c>
      <c r="B1278" s="231" t="s">
        <v>1864</v>
      </c>
      <c r="C1278" s="618">
        <v>44985</v>
      </c>
      <c r="D1278" s="231" t="s">
        <v>4868</v>
      </c>
      <c r="E1278" s="231" t="s">
        <v>5076</v>
      </c>
      <c r="F1278" s="619">
        <v>49</v>
      </c>
      <c r="G1278" s="231" t="s">
        <v>4851</v>
      </c>
      <c r="H1278" s="619"/>
      <c r="I1278" s="619"/>
      <c r="J1278" s="620">
        <v>22687000</v>
      </c>
      <c r="K1278" s="621" t="s">
        <v>1130</v>
      </c>
      <c r="L1278" s="621" t="s">
        <v>4852</v>
      </c>
      <c r="M1278" s="621" t="s">
        <v>4867</v>
      </c>
      <c r="N1278" s="621" t="s">
        <v>4754</v>
      </c>
      <c r="O1278" s="621"/>
      <c r="P1278" s="621"/>
    </row>
    <row r="1279" spans="1:16">
      <c r="A1279" s="232" t="s">
        <v>686</v>
      </c>
      <c r="B1279" s="232" t="s">
        <v>1864</v>
      </c>
      <c r="C1279" s="622">
        <v>44985</v>
      </c>
      <c r="D1279" s="232" t="s">
        <v>4868</v>
      </c>
      <c r="E1279" s="231" t="s">
        <v>5076</v>
      </c>
      <c r="F1279" s="233">
        <v>49</v>
      </c>
      <c r="G1279" s="232" t="s">
        <v>4851</v>
      </c>
      <c r="H1279" s="233"/>
      <c r="I1279" s="233"/>
      <c r="J1279" s="623">
        <v>22687000</v>
      </c>
      <c r="K1279" s="624" t="s">
        <v>1130</v>
      </c>
      <c r="L1279" s="624" t="s">
        <v>4852</v>
      </c>
      <c r="M1279" s="624" t="s">
        <v>4867</v>
      </c>
      <c r="N1279" s="624" t="s">
        <v>4754</v>
      </c>
      <c r="O1279" s="624"/>
      <c r="P1279" s="624"/>
    </row>
    <row r="1280" spans="1:16">
      <c r="A1280" s="231" t="s">
        <v>686</v>
      </c>
      <c r="B1280" s="231" t="s">
        <v>1864</v>
      </c>
      <c r="C1280" s="618">
        <v>44985</v>
      </c>
      <c r="D1280" s="231" t="s">
        <v>4868</v>
      </c>
      <c r="E1280" s="231" t="s">
        <v>5076</v>
      </c>
      <c r="F1280" s="619">
        <v>49</v>
      </c>
      <c r="G1280" s="231" t="s">
        <v>4851</v>
      </c>
      <c r="H1280" s="619"/>
      <c r="I1280" s="619"/>
      <c r="J1280" s="620">
        <v>22687000</v>
      </c>
      <c r="K1280" s="621" t="s">
        <v>1130</v>
      </c>
      <c r="L1280" s="621" t="s">
        <v>4852</v>
      </c>
      <c r="M1280" s="621" t="s">
        <v>4867</v>
      </c>
      <c r="N1280" s="621" t="s">
        <v>4754</v>
      </c>
      <c r="O1280" s="621"/>
      <c r="P1280" s="621"/>
    </row>
    <row r="1281" spans="1:16">
      <c r="A1281" s="232" t="s">
        <v>686</v>
      </c>
      <c r="B1281" s="232" t="s">
        <v>1864</v>
      </c>
      <c r="C1281" s="622">
        <v>44985</v>
      </c>
      <c r="D1281" s="232" t="s">
        <v>4868</v>
      </c>
      <c r="E1281" s="231" t="s">
        <v>5076</v>
      </c>
      <c r="F1281" s="233">
        <v>49</v>
      </c>
      <c r="G1281" s="232" t="s">
        <v>4851</v>
      </c>
      <c r="H1281" s="233"/>
      <c r="I1281" s="233"/>
      <c r="J1281" s="623">
        <v>22687000</v>
      </c>
      <c r="K1281" s="624" t="s">
        <v>1130</v>
      </c>
      <c r="L1281" s="624" t="s">
        <v>4852</v>
      </c>
      <c r="M1281" s="624" t="s">
        <v>4867</v>
      </c>
      <c r="N1281" s="624" t="s">
        <v>4754</v>
      </c>
      <c r="O1281" s="624"/>
      <c r="P1281" s="624"/>
    </row>
    <row r="1282" spans="1:16">
      <c r="A1282" s="231" t="s">
        <v>686</v>
      </c>
      <c r="B1282" s="231" t="s">
        <v>1864</v>
      </c>
      <c r="C1282" s="618">
        <v>44985</v>
      </c>
      <c r="D1282" s="231" t="s">
        <v>4868</v>
      </c>
      <c r="E1282" s="231" t="s">
        <v>5076</v>
      </c>
      <c r="F1282" s="619">
        <v>49</v>
      </c>
      <c r="G1282" s="231" t="s">
        <v>4851</v>
      </c>
      <c r="H1282" s="619"/>
      <c r="I1282" s="619"/>
      <c r="J1282" s="620">
        <v>22687000</v>
      </c>
      <c r="K1282" s="621" t="s">
        <v>1130</v>
      </c>
      <c r="L1282" s="621" t="s">
        <v>4852</v>
      </c>
      <c r="M1282" s="621" t="s">
        <v>4867</v>
      </c>
      <c r="N1282" s="621" t="s">
        <v>4754</v>
      </c>
      <c r="O1282" s="621"/>
      <c r="P1282" s="621"/>
    </row>
    <row r="1283" spans="1:16">
      <c r="A1283" s="232" t="s">
        <v>686</v>
      </c>
      <c r="B1283" s="232" t="s">
        <v>1864</v>
      </c>
      <c r="C1283" s="622">
        <v>44985</v>
      </c>
      <c r="D1283" s="232" t="s">
        <v>4868</v>
      </c>
      <c r="E1283" s="231" t="s">
        <v>5076</v>
      </c>
      <c r="F1283" s="233">
        <v>49</v>
      </c>
      <c r="G1283" s="232" t="s">
        <v>4851</v>
      </c>
      <c r="H1283" s="233"/>
      <c r="I1283" s="233"/>
      <c r="J1283" s="623">
        <v>22687000</v>
      </c>
      <c r="K1283" s="624" t="s">
        <v>1130</v>
      </c>
      <c r="L1283" s="624" t="s">
        <v>4852</v>
      </c>
      <c r="M1283" s="624" t="s">
        <v>4867</v>
      </c>
      <c r="N1283" s="624" t="s">
        <v>4754</v>
      </c>
      <c r="O1283" s="624"/>
      <c r="P1283" s="624"/>
    </row>
    <row r="1284" spans="1:16">
      <c r="A1284" s="231" t="s">
        <v>686</v>
      </c>
      <c r="B1284" s="231" t="s">
        <v>1864</v>
      </c>
      <c r="C1284" s="618">
        <v>44985</v>
      </c>
      <c r="D1284" s="231" t="s">
        <v>4868</v>
      </c>
      <c r="E1284" s="231" t="s">
        <v>5076</v>
      </c>
      <c r="F1284" s="619">
        <v>49</v>
      </c>
      <c r="G1284" s="231" t="s">
        <v>4851</v>
      </c>
      <c r="H1284" s="619"/>
      <c r="I1284" s="619"/>
      <c r="J1284" s="620">
        <v>22687000</v>
      </c>
      <c r="K1284" s="621" t="s">
        <v>1130</v>
      </c>
      <c r="L1284" s="621" t="s">
        <v>4852</v>
      </c>
      <c r="M1284" s="621" t="s">
        <v>4867</v>
      </c>
      <c r="N1284" s="621" t="s">
        <v>4754</v>
      </c>
      <c r="O1284" s="621"/>
      <c r="P1284" s="621"/>
    </row>
    <row r="1285" spans="1:16">
      <c r="A1285" s="232" t="s">
        <v>686</v>
      </c>
      <c r="B1285" s="232" t="s">
        <v>1864</v>
      </c>
      <c r="C1285" s="622">
        <v>44985</v>
      </c>
      <c r="D1285" s="232" t="s">
        <v>4868</v>
      </c>
      <c r="E1285" s="231" t="s">
        <v>5076</v>
      </c>
      <c r="F1285" s="233">
        <v>49</v>
      </c>
      <c r="G1285" s="232" t="s">
        <v>4851</v>
      </c>
      <c r="H1285" s="233"/>
      <c r="I1285" s="233"/>
      <c r="J1285" s="623">
        <v>22687000</v>
      </c>
      <c r="K1285" s="624" t="s">
        <v>1130</v>
      </c>
      <c r="L1285" s="624" t="s">
        <v>4852</v>
      </c>
      <c r="M1285" s="624" t="s">
        <v>4867</v>
      </c>
      <c r="N1285" s="624" t="s">
        <v>4754</v>
      </c>
      <c r="O1285" s="624"/>
      <c r="P1285" s="624"/>
    </row>
    <row r="1286" spans="1:16">
      <c r="A1286" s="231" t="s">
        <v>686</v>
      </c>
      <c r="B1286" s="231" t="s">
        <v>1864</v>
      </c>
      <c r="C1286" s="618">
        <v>44985</v>
      </c>
      <c r="D1286" s="231" t="s">
        <v>4868</v>
      </c>
      <c r="E1286" s="231" t="s">
        <v>5076</v>
      </c>
      <c r="F1286" s="619">
        <v>49</v>
      </c>
      <c r="G1286" s="231" t="s">
        <v>4851</v>
      </c>
      <c r="H1286" s="619"/>
      <c r="I1286" s="619"/>
      <c r="J1286" s="620">
        <v>22687000</v>
      </c>
      <c r="K1286" s="621" t="s">
        <v>1130</v>
      </c>
      <c r="L1286" s="621" t="s">
        <v>4852</v>
      </c>
      <c r="M1286" s="621" t="s">
        <v>4867</v>
      </c>
      <c r="N1286" s="621" t="s">
        <v>4754</v>
      </c>
      <c r="O1286" s="621"/>
      <c r="P1286" s="621"/>
    </row>
    <row r="1287" spans="1:16">
      <c r="A1287" s="232" t="s">
        <v>686</v>
      </c>
      <c r="B1287" s="232" t="s">
        <v>1864</v>
      </c>
      <c r="C1287" s="622">
        <v>44985</v>
      </c>
      <c r="D1287" s="232" t="s">
        <v>4868</v>
      </c>
      <c r="E1287" s="231" t="s">
        <v>5076</v>
      </c>
      <c r="F1287" s="233">
        <v>49</v>
      </c>
      <c r="G1287" s="232" t="s">
        <v>4851</v>
      </c>
      <c r="H1287" s="233"/>
      <c r="I1287" s="233"/>
      <c r="J1287" s="623">
        <v>22687000</v>
      </c>
      <c r="K1287" s="624" t="s">
        <v>1130</v>
      </c>
      <c r="L1287" s="624" t="s">
        <v>4852</v>
      </c>
      <c r="M1287" s="624" t="s">
        <v>4867</v>
      </c>
      <c r="N1287" s="624" t="s">
        <v>4754</v>
      </c>
      <c r="O1287" s="624"/>
      <c r="P1287" s="624"/>
    </row>
    <row r="1288" spans="1:16">
      <c r="A1288" s="231" t="s">
        <v>686</v>
      </c>
      <c r="B1288" s="231" t="s">
        <v>1864</v>
      </c>
      <c r="C1288" s="618">
        <v>44985</v>
      </c>
      <c r="D1288" s="231" t="s">
        <v>4868</v>
      </c>
      <c r="E1288" s="231" t="s">
        <v>5076</v>
      </c>
      <c r="F1288" s="619">
        <v>49</v>
      </c>
      <c r="G1288" s="231" t="s">
        <v>4851</v>
      </c>
      <c r="H1288" s="619"/>
      <c r="I1288" s="619"/>
      <c r="J1288" s="620">
        <v>22687000</v>
      </c>
      <c r="K1288" s="621" t="s">
        <v>1130</v>
      </c>
      <c r="L1288" s="621" t="s">
        <v>4852</v>
      </c>
      <c r="M1288" s="621" t="s">
        <v>4867</v>
      </c>
      <c r="N1288" s="621" t="s">
        <v>4754</v>
      </c>
      <c r="O1288" s="621"/>
      <c r="P1288" s="621"/>
    </row>
    <row r="1289" spans="1:16">
      <c r="A1289" s="232" t="s">
        <v>686</v>
      </c>
      <c r="B1289" s="232" t="s">
        <v>1864</v>
      </c>
      <c r="C1289" s="622">
        <v>44985</v>
      </c>
      <c r="D1289" s="232" t="s">
        <v>4868</v>
      </c>
      <c r="E1289" s="231" t="s">
        <v>5076</v>
      </c>
      <c r="F1289" s="233">
        <v>49</v>
      </c>
      <c r="G1289" s="232" t="s">
        <v>4851</v>
      </c>
      <c r="H1289" s="233"/>
      <c r="I1289" s="233"/>
      <c r="J1289" s="623">
        <v>22687000</v>
      </c>
      <c r="K1289" s="624" t="s">
        <v>1130</v>
      </c>
      <c r="L1289" s="624" t="s">
        <v>4852</v>
      </c>
      <c r="M1289" s="624" t="s">
        <v>4867</v>
      </c>
      <c r="N1289" s="624" t="s">
        <v>4754</v>
      </c>
      <c r="O1289" s="624"/>
      <c r="P1289" s="624"/>
    </row>
    <row r="1290" spans="1:16">
      <c r="A1290" s="231" t="s">
        <v>686</v>
      </c>
      <c r="B1290" s="231" t="s">
        <v>1864</v>
      </c>
      <c r="C1290" s="618">
        <v>44985</v>
      </c>
      <c r="D1290" s="231" t="s">
        <v>4868</v>
      </c>
      <c r="E1290" s="231" t="s">
        <v>5076</v>
      </c>
      <c r="F1290" s="619">
        <v>49</v>
      </c>
      <c r="G1290" s="231" t="s">
        <v>4851</v>
      </c>
      <c r="H1290" s="619"/>
      <c r="I1290" s="619"/>
      <c r="J1290" s="620">
        <v>22687000</v>
      </c>
      <c r="K1290" s="621" t="s">
        <v>1130</v>
      </c>
      <c r="L1290" s="621" t="s">
        <v>4852</v>
      </c>
      <c r="M1290" s="621" t="s">
        <v>4867</v>
      </c>
      <c r="N1290" s="621" t="s">
        <v>4754</v>
      </c>
      <c r="O1290" s="621"/>
      <c r="P1290" s="621"/>
    </row>
    <row r="1291" spans="1:16">
      <c r="A1291" s="232" t="s">
        <v>686</v>
      </c>
      <c r="B1291" s="232" t="s">
        <v>1864</v>
      </c>
      <c r="C1291" s="622">
        <v>44985</v>
      </c>
      <c r="D1291" s="232" t="s">
        <v>4868</v>
      </c>
      <c r="E1291" s="231" t="s">
        <v>5076</v>
      </c>
      <c r="F1291" s="233">
        <v>49</v>
      </c>
      <c r="G1291" s="232" t="s">
        <v>4851</v>
      </c>
      <c r="H1291" s="233"/>
      <c r="I1291" s="233"/>
      <c r="J1291" s="623">
        <v>22687000</v>
      </c>
      <c r="K1291" s="624" t="s">
        <v>1130</v>
      </c>
      <c r="L1291" s="624" t="s">
        <v>4852</v>
      </c>
      <c r="M1291" s="624" t="s">
        <v>4867</v>
      </c>
      <c r="N1291" s="624" t="s">
        <v>4754</v>
      </c>
      <c r="O1291" s="624"/>
      <c r="P1291" s="624"/>
    </row>
    <row r="1292" spans="1:16">
      <c r="A1292" s="231" t="s">
        <v>686</v>
      </c>
      <c r="B1292" s="231" t="s">
        <v>1864</v>
      </c>
      <c r="C1292" s="618">
        <v>44985</v>
      </c>
      <c r="D1292" s="231" t="s">
        <v>4868</v>
      </c>
      <c r="E1292" s="231" t="s">
        <v>5076</v>
      </c>
      <c r="F1292" s="619">
        <v>49</v>
      </c>
      <c r="G1292" s="231" t="s">
        <v>4851</v>
      </c>
      <c r="H1292" s="619"/>
      <c r="I1292" s="619"/>
      <c r="J1292" s="620">
        <v>22687000</v>
      </c>
      <c r="K1292" s="621" t="s">
        <v>1130</v>
      </c>
      <c r="L1292" s="621" t="s">
        <v>4852</v>
      </c>
      <c r="M1292" s="621" t="s">
        <v>4867</v>
      </c>
      <c r="N1292" s="621" t="s">
        <v>4754</v>
      </c>
      <c r="O1292" s="621"/>
      <c r="P1292" s="621"/>
    </row>
    <row r="1293" spans="1:16">
      <c r="A1293" s="232" t="s">
        <v>686</v>
      </c>
      <c r="B1293" s="232" t="s">
        <v>1864</v>
      </c>
      <c r="C1293" s="622">
        <v>44985</v>
      </c>
      <c r="D1293" s="232" t="s">
        <v>4868</v>
      </c>
      <c r="E1293" s="231" t="s">
        <v>5076</v>
      </c>
      <c r="F1293" s="233">
        <v>49</v>
      </c>
      <c r="G1293" s="232" t="s">
        <v>4851</v>
      </c>
      <c r="H1293" s="233"/>
      <c r="I1293" s="233"/>
      <c r="J1293" s="623">
        <v>22687000</v>
      </c>
      <c r="K1293" s="624" t="s">
        <v>1130</v>
      </c>
      <c r="L1293" s="624" t="s">
        <v>4852</v>
      </c>
      <c r="M1293" s="624" t="s">
        <v>4867</v>
      </c>
      <c r="N1293" s="624" t="s">
        <v>4754</v>
      </c>
      <c r="O1293" s="624"/>
      <c r="P1293" s="624"/>
    </row>
    <row r="1294" spans="1:16">
      <c r="A1294" s="231" t="s">
        <v>686</v>
      </c>
      <c r="B1294" s="231" t="s">
        <v>1864</v>
      </c>
      <c r="C1294" s="618">
        <v>44985</v>
      </c>
      <c r="D1294" s="231" t="s">
        <v>4868</v>
      </c>
      <c r="E1294" s="231" t="s">
        <v>5076</v>
      </c>
      <c r="F1294" s="619">
        <v>52</v>
      </c>
      <c r="G1294" s="231" t="s">
        <v>4851</v>
      </c>
      <c r="H1294" s="619"/>
      <c r="I1294" s="619"/>
      <c r="J1294" s="620">
        <v>21840000</v>
      </c>
      <c r="K1294" s="621" t="s">
        <v>1130</v>
      </c>
      <c r="L1294" s="621" t="s">
        <v>4852</v>
      </c>
      <c r="M1294" s="621" t="s">
        <v>4858</v>
      </c>
      <c r="N1294" s="621" t="s">
        <v>4754</v>
      </c>
      <c r="O1294" s="621"/>
      <c r="P1294" s="621"/>
    </row>
    <row r="1295" spans="1:16">
      <c r="A1295" s="232" t="s">
        <v>686</v>
      </c>
      <c r="B1295" s="232" t="s">
        <v>1864</v>
      </c>
      <c r="C1295" s="622">
        <v>44985</v>
      </c>
      <c r="D1295" s="232" t="s">
        <v>4868</v>
      </c>
      <c r="E1295" s="231" t="s">
        <v>5076</v>
      </c>
      <c r="F1295" s="233">
        <v>44</v>
      </c>
      <c r="G1295" s="232" t="s">
        <v>4851</v>
      </c>
      <c r="H1295" s="233"/>
      <c r="I1295" s="233"/>
      <c r="J1295" s="623">
        <v>18480000</v>
      </c>
      <c r="K1295" s="624" t="s">
        <v>1130</v>
      </c>
      <c r="L1295" s="624" t="s">
        <v>4852</v>
      </c>
      <c r="M1295" s="624" t="s">
        <v>4858</v>
      </c>
      <c r="N1295" s="624" t="s">
        <v>4754</v>
      </c>
      <c r="O1295" s="624"/>
      <c r="P1295" s="624"/>
    </row>
    <row r="1296" spans="1:16">
      <c r="A1296" s="231" t="s">
        <v>686</v>
      </c>
      <c r="B1296" s="231" t="s">
        <v>1864</v>
      </c>
      <c r="C1296" s="618">
        <v>44985</v>
      </c>
      <c r="D1296" s="231" t="s">
        <v>4868</v>
      </c>
      <c r="E1296" s="231" t="s">
        <v>5076</v>
      </c>
      <c r="F1296" s="619">
        <v>50</v>
      </c>
      <c r="G1296" s="231" t="s">
        <v>4851</v>
      </c>
      <c r="H1296" s="619"/>
      <c r="I1296" s="619"/>
      <c r="J1296" s="620">
        <v>21000000</v>
      </c>
      <c r="K1296" s="621" t="s">
        <v>1130</v>
      </c>
      <c r="L1296" s="621" t="s">
        <v>4852</v>
      </c>
      <c r="M1296" s="621" t="s">
        <v>4858</v>
      </c>
      <c r="N1296" s="621" t="s">
        <v>4754</v>
      </c>
      <c r="O1296" s="621"/>
      <c r="P1296" s="621"/>
    </row>
    <row r="1297" spans="1:16">
      <c r="A1297" s="232" t="s">
        <v>686</v>
      </c>
      <c r="B1297" s="232" t="s">
        <v>1864</v>
      </c>
      <c r="C1297" s="622">
        <v>44985</v>
      </c>
      <c r="D1297" s="232" t="s">
        <v>4868</v>
      </c>
      <c r="E1297" s="231" t="s">
        <v>5076</v>
      </c>
      <c r="F1297" s="233">
        <v>50</v>
      </c>
      <c r="G1297" s="232" t="s">
        <v>4851</v>
      </c>
      <c r="H1297" s="233"/>
      <c r="I1297" s="233"/>
      <c r="J1297" s="623">
        <v>21000000</v>
      </c>
      <c r="K1297" s="624" t="s">
        <v>1130</v>
      </c>
      <c r="L1297" s="624" t="s">
        <v>4852</v>
      </c>
      <c r="M1297" s="624" t="s">
        <v>4858</v>
      </c>
      <c r="N1297" s="624" t="s">
        <v>4754</v>
      </c>
      <c r="O1297" s="624"/>
      <c r="P1297" s="624"/>
    </row>
    <row r="1298" spans="1:16">
      <c r="A1298" s="231" t="s">
        <v>686</v>
      </c>
      <c r="B1298" s="231" t="s">
        <v>1864</v>
      </c>
      <c r="C1298" s="618">
        <v>44985</v>
      </c>
      <c r="D1298" s="231" t="s">
        <v>4868</v>
      </c>
      <c r="E1298" s="231" t="s">
        <v>5076</v>
      </c>
      <c r="F1298" s="619">
        <v>50</v>
      </c>
      <c r="G1298" s="231" t="s">
        <v>4851</v>
      </c>
      <c r="H1298" s="619"/>
      <c r="I1298" s="619"/>
      <c r="J1298" s="620">
        <v>21000000</v>
      </c>
      <c r="K1298" s="621" t="s">
        <v>1130</v>
      </c>
      <c r="L1298" s="621" t="s">
        <v>4852</v>
      </c>
      <c r="M1298" s="621" t="s">
        <v>4858</v>
      </c>
      <c r="N1298" s="621" t="s">
        <v>4754</v>
      </c>
      <c r="O1298" s="621"/>
      <c r="P1298" s="621"/>
    </row>
    <row r="1299" spans="1:16">
      <c r="A1299" s="232" t="s">
        <v>686</v>
      </c>
      <c r="B1299" s="232" t="s">
        <v>1864</v>
      </c>
      <c r="C1299" s="622">
        <v>44985</v>
      </c>
      <c r="D1299" s="232" t="s">
        <v>4868</v>
      </c>
      <c r="E1299" s="231" t="s">
        <v>5076</v>
      </c>
      <c r="F1299" s="233">
        <v>50</v>
      </c>
      <c r="G1299" s="232" t="s">
        <v>4851</v>
      </c>
      <c r="H1299" s="233"/>
      <c r="I1299" s="233"/>
      <c r="J1299" s="623">
        <v>21000000</v>
      </c>
      <c r="K1299" s="624" t="s">
        <v>1130</v>
      </c>
      <c r="L1299" s="624" t="s">
        <v>4852</v>
      </c>
      <c r="M1299" s="624" t="s">
        <v>4858</v>
      </c>
      <c r="N1299" s="624" t="s">
        <v>4754</v>
      </c>
      <c r="O1299" s="624"/>
      <c r="P1299" s="624"/>
    </row>
    <row r="1300" spans="1:16">
      <c r="A1300" s="231" t="s">
        <v>686</v>
      </c>
      <c r="B1300" s="231" t="s">
        <v>1864</v>
      </c>
      <c r="C1300" s="618">
        <v>44985</v>
      </c>
      <c r="D1300" s="231" t="s">
        <v>4868</v>
      </c>
      <c r="E1300" s="231" t="s">
        <v>5076</v>
      </c>
      <c r="F1300" s="619">
        <v>6</v>
      </c>
      <c r="G1300" s="231" t="s">
        <v>4851</v>
      </c>
      <c r="H1300" s="619"/>
      <c r="I1300" s="619"/>
      <c r="J1300" s="620">
        <v>2520000</v>
      </c>
      <c r="K1300" s="621" t="s">
        <v>1130</v>
      </c>
      <c r="L1300" s="621" t="s">
        <v>4852</v>
      </c>
      <c r="M1300" s="621" t="s">
        <v>4858</v>
      </c>
      <c r="N1300" s="621" t="s">
        <v>4754</v>
      </c>
      <c r="O1300" s="621"/>
      <c r="P1300" s="621"/>
    </row>
    <row r="1301" spans="1:16">
      <c r="A1301" s="232" t="s">
        <v>686</v>
      </c>
      <c r="B1301" s="232" t="s">
        <v>1864</v>
      </c>
      <c r="C1301" s="622">
        <v>44985</v>
      </c>
      <c r="D1301" s="232" t="s">
        <v>4869</v>
      </c>
      <c r="E1301" s="232"/>
      <c r="F1301" s="233">
        <v>52</v>
      </c>
      <c r="G1301" s="232" t="s">
        <v>4851</v>
      </c>
      <c r="H1301" s="233"/>
      <c r="I1301" s="233"/>
      <c r="J1301" s="623">
        <v>22360000</v>
      </c>
      <c r="K1301" s="624" t="s">
        <v>1130</v>
      </c>
      <c r="L1301" s="624" t="s">
        <v>4852</v>
      </c>
      <c r="M1301" s="624" t="s">
        <v>4858</v>
      </c>
      <c r="N1301" s="624" t="s">
        <v>4754</v>
      </c>
      <c r="O1301" s="624"/>
      <c r="P1301" s="624"/>
    </row>
    <row r="1302" spans="1:16">
      <c r="A1302" s="231" t="s">
        <v>686</v>
      </c>
      <c r="B1302" s="231" t="s">
        <v>1864</v>
      </c>
      <c r="C1302" s="618">
        <v>44985</v>
      </c>
      <c r="D1302" s="231" t="s">
        <v>4869</v>
      </c>
      <c r="E1302" s="231"/>
      <c r="F1302" s="619">
        <v>52</v>
      </c>
      <c r="G1302" s="231" t="s">
        <v>4851</v>
      </c>
      <c r="H1302" s="619"/>
      <c r="I1302" s="619"/>
      <c r="J1302" s="620">
        <v>22360000</v>
      </c>
      <c r="K1302" s="621" t="s">
        <v>1130</v>
      </c>
      <c r="L1302" s="621" t="s">
        <v>4852</v>
      </c>
      <c r="M1302" s="621" t="s">
        <v>4858</v>
      </c>
      <c r="N1302" s="621" t="s">
        <v>4754</v>
      </c>
      <c r="O1302" s="621"/>
      <c r="P1302" s="621"/>
    </row>
    <row r="1303" spans="1:16">
      <c r="A1303" s="232" t="s">
        <v>686</v>
      </c>
      <c r="B1303" s="232" t="s">
        <v>1864</v>
      </c>
      <c r="C1303" s="622">
        <v>44985</v>
      </c>
      <c r="D1303" s="232" t="s">
        <v>4868</v>
      </c>
      <c r="E1303" s="231" t="s">
        <v>5076</v>
      </c>
      <c r="F1303" s="233">
        <v>49</v>
      </c>
      <c r="G1303" s="232" t="s">
        <v>4851</v>
      </c>
      <c r="H1303" s="233"/>
      <c r="I1303" s="233"/>
      <c r="J1303" s="623">
        <v>22687000</v>
      </c>
      <c r="K1303" s="624" t="s">
        <v>1130</v>
      </c>
      <c r="L1303" s="624" t="s">
        <v>4852</v>
      </c>
      <c r="M1303" s="624" t="s">
        <v>4867</v>
      </c>
      <c r="N1303" s="624" t="s">
        <v>4754</v>
      </c>
      <c r="O1303" s="624"/>
      <c r="P1303" s="624"/>
    </row>
    <row r="1304" spans="1:16">
      <c r="A1304" s="231" t="s">
        <v>686</v>
      </c>
      <c r="B1304" s="231" t="s">
        <v>1864</v>
      </c>
      <c r="C1304" s="618">
        <v>44985</v>
      </c>
      <c r="D1304" s="231" t="s">
        <v>4868</v>
      </c>
      <c r="E1304" s="231" t="s">
        <v>5076</v>
      </c>
      <c r="F1304" s="619">
        <v>49</v>
      </c>
      <c r="G1304" s="231" t="s">
        <v>4851</v>
      </c>
      <c r="H1304" s="619"/>
      <c r="I1304" s="619"/>
      <c r="J1304" s="620">
        <v>22687000</v>
      </c>
      <c r="K1304" s="621" t="s">
        <v>1130</v>
      </c>
      <c r="L1304" s="621" t="s">
        <v>4852</v>
      </c>
      <c r="M1304" s="621" t="s">
        <v>4867</v>
      </c>
      <c r="N1304" s="621" t="s">
        <v>4754</v>
      </c>
      <c r="O1304" s="621"/>
      <c r="P1304" s="621"/>
    </row>
    <row r="1305" spans="1:16">
      <c r="A1305" s="232" t="s">
        <v>686</v>
      </c>
      <c r="B1305" s="232" t="s">
        <v>1864</v>
      </c>
      <c r="C1305" s="622">
        <v>44985</v>
      </c>
      <c r="D1305" s="232" t="s">
        <v>4868</v>
      </c>
      <c r="E1305" s="231" t="s">
        <v>5076</v>
      </c>
      <c r="F1305" s="233">
        <v>49</v>
      </c>
      <c r="G1305" s="232" t="s">
        <v>4851</v>
      </c>
      <c r="H1305" s="233"/>
      <c r="I1305" s="233"/>
      <c r="J1305" s="623">
        <v>22687000</v>
      </c>
      <c r="K1305" s="624" t="s">
        <v>1130</v>
      </c>
      <c r="L1305" s="624" t="s">
        <v>4852</v>
      </c>
      <c r="M1305" s="624" t="s">
        <v>4867</v>
      </c>
      <c r="N1305" s="624" t="s">
        <v>4754</v>
      </c>
      <c r="O1305" s="624"/>
      <c r="P1305" s="624"/>
    </row>
    <row r="1306" spans="1:16">
      <c r="A1306" s="231" t="s">
        <v>686</v>
      </c>
      <c r="B1306" s="231" t="s">
        <v>1864</v>
      </c>
      <c r="C1306" s="618">
        <v>44985</v>
      </c>
      <c r="D1306" s="231" t="s">
        <v>4868</v>
      </c>
      <c r="E1306" s="231" t="s">
        <v>5076</v>
      </c>
      <c r="F1306" s="619">
        <v>49</v>
      </c>
      <c r="G1306" s="231" t="s">
        <v>4851</v>
      </c>
      <c r="H1306" s="619"/>
      <c r="I1306" s="619"/>
      <c r="J1306" s="620">
        <v>22687000</v>
      </c>
      <c r="K1306" s="621" t="s">
        <v>1130</v>
      </c>
      <c r="L1306" s="621" t="s">
        <v>4852</v>
      </c>
      <c r="M1306" s="621" t="s">
        <v>4867</v>
      </c>
      <c r="N1306" s="621" t="s">
        <v>4754</v>
      </c>
      <c r="O1306" s="621"/>
      <c r="P1306" s="621"/>
    </row>
    <row r="1307" spans="1:16">
      <c r="A1307" s="232" t="s">
        <v>686</v>
      </c>
      <c r="B1307" s="232" t="s">
        <v>1864</v>
      </c>
      <c r="C1307" s="622">
        <v>44985</v>
      </c>
      <c r="D1307" s="232" t="s">
        <v>4868</v>
      </c>
      <c r="E1307" s="231" t="s">
        <v>5076</v>
      </c>
      <c r="F1307" s="233">
        <v>49</v>
      </c>
      <c r="G1307" s="232" t="s">
        <v>4851</v>
      </c>
      <c r="H1307" s="233"/>
      <c r="I1307" s="233"/>
      <c r="J1307" s="623">
        <v>22687000</v>
      </c>
      <c r="K1307" s="624" t="s">
        <v>1130</v>
      </c>
      <c r="L1307" s="624" t="s">
        <v>4852</v>
      </c>
      <c r="M1307" s="624" t="s">
        <v>4867</v>
      </c>
      <c r="N1307" s="624" t="s">
        <v>4754</v>
      </c>
      <c r="O1307" s="624"/>
      <c r="P1307" s="624"/>
    </row>
    <row r="1308" spans="1:16">
      <c r="A1308" s="231" t="s">
        <v>686</v>
      </c>
      <c r="B1308" s="231" t="s">
        <v>1864</v>
      </c>
      <c r="C1308" s="618">
        <v>44985</v>
      </c>
      <c r="D1308" s="231" t="s">
        <v>4868</v>
      </c>
      <c r="E1308" s="231" t="s">
        <v>5076</v>
      </c>
      <c r="F1308" s="619">
        <v>49</v>
      </c>
      <c r="G1308" s="231" t="s">
        <v>4851</v>
      </c>
      <c r="H1308" s="619"/>
      <c r="I1308" s="619"/>
      <c r="J1308" s="620">
        <v>22687000</v>
      </c>
      <c r="K1308" s="621" t="s">
        <v>1130</v>
      </c>
      <c r="L1308" s="621" t="s">
        <v>4852</v>
      </c>
      <c r="M1308" s="621" t="s">
        <v>4867</v>
      </c>
      <c r="N1308" s="621" t="s">
        <v>4754</v>
      </c>
      <c r="O1308" s="621"/>
      <c r="P1308" s="621"/>
    </row>
    <row r="1309" spans="1:16">
      <c r="A1309" s="232" t="s">
        <v>686</v>
      </c>
      <c r="B1309" s="232" t="s">
        <v>1864</v>
      </c>
      <c r="C1309" s="622">
        <v>44985</v>
      </c>
      <c r="D1309" s="232" t="s">
        <v>4868</v>
      </c>
      <c r="E1309" s="231" t="s">
        <v>5076</v>
      </c>
      <c r="F1309" s="233">
        <v>49</v>
      </c>
      <c r="G1309" s="232" t="s">
        <v>4851</v>
      </c>
      <c r="H1309" s="233"/>
      <c r="I1309" s="233"/>
      <c r="J1309" s="623">
        <v>22687000</v>
      </c>
      <c r="K1309" s="624" t="s">
        <v>1130</v>
      </c>
      <c r="L1309" s="624" t="s">
        <v>4852</v>
      </c>
      <c r="M1309" s="624" t="s">
        <v>4867</v>
      </c>
      <c r="N1309" s="624" t="s">
        <v>4754</v>
      </c>
      <c r="O1309" s="624"/>
      <c r="P1309" s="624"/>
    </row>
    <row r="1310" spans="1:16">
      <c r="A1310" s="231" t="s">
        <v>686</v>
      </c>
      <c r="B1310" s="231" t="s">
        <v>1864</v>
      </c>
      <c r="C1310" s="618">
        <v>44985</v>
      </c>
      <c r="D1310" s="231" t="s">
        <v>4868</v>
      </c>
      <c r="E1310" s="231" t="s">
        <v>5076</v>
      </c>
      <c r="F1310" s="619">
        <v>49</v>
      </c>
      <c r="G1310" s="231" t="s">
        <v>4851</v>
      </c>
      <c r="H1310" s="619"/>
      <c r="I1310" s="619"/>
      <c r="J1310" s="620">
        <v>22687000</v>
      </c>
      <c r="K1310" s="621" t="s">
        <v>1130</v>
      </c>
      <c r="L1310" s="621" t="s">
        <v>4852</v>
      </c>
      <c r="M1310" s="621" t="s">
        <v>4867</v>
      </c>
      <c r="N1310" s="621" t="s">
        <v>4754</v>
      </c>
      <c r="O1310" s="621"/>
      <c r="P1310" s="621"/>
    </row>
    <row r="1311" spans="1:16">
      <c r="A1311" s="232" t="s">
        <v>686</v>
      </c>
      <c r="B1311" s="232" t="s">
        <v>1864</v>
      </c>
      <c r="C1311" s="622">
        <v>44985</v>
      </c>
      <c r="D1311" s="232" t="s">
        <v>4868</v>
      </c>
      <c r="E1311" s="231" t="s">
        <v>5076</v>
      </c>
      <c r="F1311" s="233">
        <v>50</v>
      </c>
      <c r="G1311" s="232" t="s">
        <v>4851</v>
      </c>
      <c r="H1311" s="233"/>
      <c r="I1311" s="233"/>
      <c r="J1311" s="623">
        <v>21000000</v>
      </c>
      <c r="K1311" s="624" t="s">
        <v>1130</v>
      </c>
      <c r="L1311" s="624" t="s">
        <v>4852</v>
      </c>
      <c r="M1311" s="624" t="s">
        <v>4858</v>
      </c>
      <c r="N1311" s="624" t="s">
        <v>4754</v>
      </c>
      <c r="O1311" s="624"/>
      <c r="P1311" s="624"/>
    </row>
    <row r="1312" spans="1:16">
      <c r="A1312" s="231" t="s">
        <v>686</v>
      </c>
      <c r="B1312" s="231" t="s">
        <v>1864</v>
      </c>
      <c r="C1312" s="618">
        <v>44985</v>
      </c>
      <c r="D1312" s="231" t="s">
        <v>4868</v>
      </c>
      <c r="E1312" s="231" t="s">
        <v>5076</v>
      </c>
      <c r="F1312" s="619">
        <v>50</v>
      </c>
      <c r="G1312" s="231" t="s">
        <v>4851</v>
      </c>
      <c r="H1312" s="619"/>
      <c r="I1312" s="619"/>
      <c r="J1312" s="620">
        <v>21000000</v>
      </c>
      <c r="K1312" s="621" t="s">
        <v>1130</v>
      </c>
      <c r="L1312" s="621" t="s">
        <v>4852</v>
      </c>
      <c r="M1312" s="621" t="s">
        <v>4858</v>
      </c>
      <c r="N1312" s="621" t="s">
        <v>4754</v>
      </c>
      <c r="O1312" s="621"/>
      <c r="P1312" s="621"/>
    </row>
    <row r="1313" spans="1:16">
      <c r="A1313" s="232" t="s">
        <v>686</v>
      </c>
      <c r="B1313" s="232" t="s">
        <v>1864</v>
      </c>
      <c r="C1313" s="622">
        <v>44985</v>
      </c>
      <c r="D1313" s="232" t="s">
        <v>4868</v>
      </c>
      <c r="E1313" s="231" t="s">
        <v>5076</v>
      </c>
      <c r="F1313" s="233">
        <v>50</v>
      </c>
      <c r="G1313" s="232" t="s">
        <v>4851</v>
      </c>
      <c r="H1313" s="233"/>
      <c r="I1313" s="233"/>
      <c r="J1313" s="623">
        <v>21000000</v>
      </c>
      <c r="K1313" s="624" t="s">
        <v>1130</v>
      </c>
      <c r="L1313" s="624" t="s">
        <v>4852</v>
      </c>
      <c r="M1313" s="624" t="s">
        <v>4858</v>
      </c>
      <c r="N1313" s="624" t="s">
        <v>4754</v>
      </c>
      <c r="O1313" s="624"/>
      <c r="P1313" s="624"/>
    </row>
    <row r="1314" spans="1:16">
      <c r="A1314" s="231" t="s">
        <v>686</v>
      </c>
      <c r="B1314" s="231" t="s">
        <v>1864</v>
      </c>
      <c r="C1314" s="618">
        <v>44985</v>
      </c>
      <c r="D1314" s="231" t="s">
        <v>4868</v>
      </c>
      <c r="E1314" s="231" t="s">
        <v>5076</v>
      </c>
      <c r="F1314" s="619">
        <v>50</v>
      </c>
      <c r="G1314" s="231" t="s">
        <v>4851</v>
      </c>
      <c r="H1314" s="619"/>
      <c r="I1314" s="619"/>
      <c r="J1314" s="620">
        <v>21000000</v>
      </c>
      <c r="K1314" s="621" t="s">
        <v>1130</v>
      </c>
      <c r="L1314" s="621" t="s">
        <v>4852</v>
      </c>
      <c r="M1314" s="621" t="s">
        <v>4858</v>
      </c>
      <c r="N1314" s="621" t="s">
        <v>4754</v>
      </c>
      <c r="O1314" s="621"/>
      <c r="P1314" s="621"/>
    </row>
    <row r="1315" spans="1:16">
      <c r="A1315" s="232" t="s">
        <v>686</v>
      </c>
      <c r="B1315" s="232" t="s">
        <v>1864</v>
      </c>
      <c r="C1315" s="622">
        <v>44985</v>
      </c>
      <c r="D1315" s="232" t="s">
        <v>4868</v>
      </c>
      <c r="E1315" s="231" t="s">
        <v>5076</v>
      </c>
      <c r="F1315" s="233">
        <v>50</v>
      </c>
      <c r="G1315" s="232" t="s">
        <v>4851</v>
      </c>
      <c r="H1315" s="233"/>
      <c r="I1315" s="233"/>
      <c r="J1315" s="623">
        <v>21000000</v>
      </c>
      <c r="K1315" s="624" t="s">
        <v>1130</v>
      </c>
      <c r="L1315" s="624" t="s">
        <v>4852</v>
      </c>
      <c r="M1315" s="624" t="s">
        <v>4858</v>
      </c>
      <c r="N1315" s="624" t="s">
        <v>4754</v>
      </c>
      <c r="O1315" s="624"/>
      <c r="P1315" s="624"/>
    </row>
    <row r="1316" spans="1:16">
      <c r="A1316" s="231" t="s">
        <v>686</v>
      </c>
      <c r="B1316" s="231" t="s">
        <v>1864</v>
      </c>
      <c r="C1316" s="618">
        <v>44985</v>
      </c>
      <c r="D1316" s="231" t="s">
        <v>4868</v>
      </c>
      <c r="E1316" s="231" t="s">
        <v>5076</v>
      </c>
      <c r="F1316" s="619">
        <v>49</v>
      </c>
      <c r="G1316" s="231" t="s">
        <v>4851</v>
      </c>
      <c r="H1316" s="619"/>
      <c r="I1316" s="619"/>
      <c r="J1316" s="620">
        <v>22687000</v>
      </c>
      <c r="K1316" s="621" t="s">
        <v>1130</v>
      </c>
      <c r="L1316" s="621" t="s">
        <v>4852</v>
      </c>
      <c r="M1316" s="621" t="s">
        <v>4867</v>
      </c>
      <c r="N1316" s="621" t="s">
        <v>4754</v>
      </c>
      <c r="O1316" s="621"/>
      <c r="P1316" s="621"/>
    </row>
    <row r="1317" spans="1:16">
      <c r="A1317" s="232" t="s">
        <v>686</v>
      </c>
      <c r="B1317" s="232" t="s">
        <v>1864</v>
      </c>
      <c r="C1317" s="622">
        <v>44985</v>
      </c>
      <c r="D1317" s="232" t="s">
        <v>4868</v>
      </c>
      <c r="E1317" s="231" t="s">
        <v>5076</v>
      </c>
      <c r="F1317" s="233">
        <v>49</v>
      </c>
      <c r="G1317" s="232" t="s">
        <v>4851</v>
      </c>
      <c r="H1317" s="233"/>
      <c r="I1317" s="233"/>
      <c r="J1317" s="623">
        <v>22687000</v>
      </c>
      <c r="K1317" s="624" t="s">
        <v>1130</v>
      </c>
      <c r="L1317" s="624" t="s">
        <v>4852</v>
      </c>
      <c r="M1317" s="624" t="s">
        <v>4867</v>
      </c>
      <c r="N1317" s="624" t="s">
        <v>4754</v>
      </c>
      <c r="O1317" s="624"/>
      <c r="P1317" s="624"/>
    </row>
    <row r="1318" spans="1:16">
      <c r="A1318" s="231" t="s">
        <v>686</v>
      </c>
      <c r="B1318" s="231" t="s">
        <v>1864</v>
      </c>
      <c r="C1318" s="618">
        <v>44985</v>
      </c>
      <c r="D1318" s="231" t="s">
        <v>4868</v>
      </c>
      <c r="E1318" s="231" t="s">
        <v>5076</v>
      </c>
      <c r="F1318" s="619">
        <v>49</v>
      </c>
      <c r="G1318" s="231" t="s">
        <v>4851</v>
      </c>
      <c r="H1318" s="619"/>
      <c r="I1318" s="619"/>
      <c r="J1318" s="620">
        <v>22687000</v>
      </c>
      <c r="K1318" s="621" t="s">
        <v>1130</v>
      </c>
      <c r="L1318" s="621" t="s">
        <v>4852</v>
      </c>
      <c r="M1318" s="621" t="s">
        <v>4867</v>
      </c>
      <c r="N1318" s="621" t="s">
        <v>4754</v>
      </c>
      <c r="O1318" s="621"/>
      <c r="P1318" s="621"/>
    </row>
    <row r="1319" spans="1:16">
      <c r="A1319" s="232" t="s">
        <v>686</v>
      </c>
      <c r="B1319" s="232" t="s">
        <v>1864</v>
      </c>
      <c r="C1319" s="622">
        <v>44985</v>
      </c>
      <c r="D1319" s="232" t="s">
        <v>4870</v>
      </c>
      <c r="E1319" s="232"/>
      <c r="F1319" s="233">
        <v>52</v>
      </c>
      <c r="G1319" s="232" t="s">
        <v>4851</v>
      </c>
      <c r="H1319" s="233"/>
      <c r="I1319" s="233"/>
      <c r="J1319" s="623">
        <v>22360000</v>
      </c>
      <c r="K1319" s="624" t="s">
        <v>1130</v>
      </c>
      <c r="L1319" s="624" t="s">
        <v>4852</v>
      </c>
      <c r="M1319" s="624" t="s">
        <v>4871</v>
      </c>
      <c r="N1319" s="624" t="s">
        <v>4754</v>
      </c>
      <c r="O1319" s="624"/>
      <c r="P1319" s="624"/>
    </row>
    <row r="1320" spans="1:16">
      <c r="A1320" s="231" t="s">
        <v>686</v>
      </c>
      <c r="B1320" s="231" t="s">
        <v>1864</v>
      </c>
      <c r="C1320" s="618">
        <v>44985</v>
      </c>
      <c r="D1320" s="231" t="s">
        <v>4870</v>
      </c>
      <c r="E1320" s="231"/>
      <c r="F1320" s="619">
        <v>54</v>
      </c>
      <c r="G1320" s="231" t="s">
        <v>4851</v>
      </c>
      <c r="H1320" s="619"/>
      <c r="I1320" s="619"/>
      <c r="J1320" s="620">
        <v>23220000</v>
      </c>
      <c r="K1320" s="621" t="s">
        <v>1130</v>
      </c>
      <c r="L1320" s="621" t="s">
        <v>4852</v>
      </c>
      <c r="M1320" s="621" t="s">
        <v>4871</v>
      </c>
      <c r="N1320" s="621" t="s">
        <v>4754</v>
      </c>
      <c r="O1320" s="621"/>
      <c r="P1320" s="621"/>
    </row>
    <row r="1321" spans="1:16">
      <c r="A1321" s="232" t="s">
        <v>686</v>
      </c>
      <c r="B1321" s="232" t="s">
        <v>1864</v>
      </c>
      <c r="C1321" s="622">
        <v>44985</v>
      </c>
      <c r="D1321" s="232" t="s">
        <v>4870</v>
      </c>
      <c r="E1321" s="232"/>
      <c r="F1321" s="233">
        <v>55</v>
      </c>
      <c r="G1321" s="232" t="s">
        <v>4851</v>
      </c>
      <c r="H1321" s="233"/>
      <c r="I1321" s="233"/>
      <c r="J1321" s="623">
        <v>23650000</v>
      </c>
      <c r="K1321" s="624" t="s">
        <v>1130</v>
      </c>
      <c r="L1321" s="624" t="s">
        <v>4852</v>
      </c>
      <c r="M1321" s="624" t="s">
        <v>4871</v>
      </c>
      <c r="N1321" s="624" t="s">
        <v>4754</v>
      </c>
      <c r="O1321" s="624"/>
      <c r="P1321" s="624"/>
    </row>
    <row r="1322" spans="1:16">
      <c r="A1322" s="231" t="s">
        <v>686</v>
      </c>
      <c r="B1322" s="231" t="s">
        <v>1864</v>
      </c>
      <c r="C1322" s="618">
        <v>44985</v>
      </c>
      <c r="D1322" s="231" t="s">
        <v>4870</v>
      </c>
      <c r="E1322" s="231"/>
      <c r="F1322" s="619">
        <v>54</v>
      </c>
      <c r="G1322" s="231" t="s">
        <v>4851</v>
      </c>
      <c r="H1322" s="619"/>
      <c r="I1322" s="619"/>
      <c r="J1322" s="620">
        <v>23220000</v>
      </c>
      <c r="K1322" s="621" t="s">
        <v>1130</v>
      </c>
      <c r="L1322" s="621" t="s">
        <v>4852</v>
      </c>
      <c r="M1322" s="621" t="s">
        <v>4871</v>
      </c>
      <c r="N1322" s="621" t="s">
        <v>4754</v>
      </c>
      <c r="O1322" s="621"/>
      <c r="P1322" s="621"/>
    </row>
    <row r="1323" spans="1:16">
      <c r="A1323" s="232" t="s">
        <v>686</v>
      </c>
      <c r="B1323" s="232" t="s">
        <v>1864</v>
      </c>
      <c r="C1323" s="622">
        <v>44985</v>
      </c>
      <c r="D1323" s="232" t="s">
        <v>4870</v>
      </c>
      <c r="E1323" s="232"/>
      <c r="F1323" s="233">
        <v>55</v>
      </c>
      <c r="G1323" s="232" t="s">
        <v>4851</v>
      </c>
      <c r="H1323" s="233"/>
      <c r="I1323" s="233"/>
      <c r="J1323" s="623">
        <v>23650000</v>
      </c>
      <c r="K1323" s="624" t="s">
        <v>1130</v>
      </c>
      <c r="L1323" s="624" t="s">
        <v>4852</v>
      </c>
      <c r="M1323" s="624" t="s">
        <v>4871</v>
      </c>
      <c r="N1323" s="624" t="s">
        <v>4754</v>
      </c>
      <c r="O1323" s="624"/>
      <c r="P1323" s="624"/>
    </row>
    <row r="1324" spans="1:16">
      <c r="A1324" s="231" t="s">
        <v>686</v>
      </c>
      <c r="B1324" s="231" t="s">
        <v>1864</v>
      </c>
      <c r="C1324" s="618">
        <v>44985</v>
      </c>
      <c r="D1324" s="231" t="s">
        <v>4870</v>
      </c>
      <c r="E1324" s="231"/>
      <c r="F1324" s="619">
        <v>52</v>
      </c>
      <c r="G1324" s="231" t="s">
        <v>4851</v>
      </c>
      <c r="H1324" s="619"/>
      <c r="I1324" s="619"/>
      <c r="J1324" s="620">
        <v>22360000</v>
      </c>
      <c r="K1324" s="621" t="s">
        <v>1130</v>
      </c>
      <c r="L1324" s="621" t="s">
        <v>4852</v>
      </c>
      <c r="M1324" s="621" t="s">
        <v>4871</v>
      </c>
      <c r="N1324" s="621" t="s">
        <v>4754</v>
      </c>
      <c r="O1324" s="621"/>
      <c r="P1324" s="621"/>
    </row>
    <row r="1325" spans="1:16">
      <c r="A1325" s="232" t="s">
        <v>686</v>
      </c>
      <c r="B1325" s="232" t="s">
        <v>1864</v>
      </c>
      <c r="C1325" s="622">
        <v>44985</v>
      </c>
      <c r="D1325" s="232" t="s">
        <v>4868</v>
      </c>
      <c r="E1325" s="231" t="s">
        <v>5076</v>
      </c>
      <c r="F1325" s="233">
        <v>50</v>
      </c>
      <c r="G1325" s="232" t="s">
        <v>4851</v>
      </c>
      <c r="H1325" s="233"/>
      <c r="I1325" s="233"/>
      <c r="J1325" s="623">
        <v>21000000</v>
      </c>
      <c r="K1325" s="624" t="s">
        <v>1130</v>
      </c>
      <c r="L1325" s="624" t="s">
        <v>4852</v>
      </c>
      <c r="M1325" s="624" t="s">
        <v>4858</v>
      </c>
      <c r="N1325" s="624" t="s">
        <v>4754</v>
      </c>
      <c r="O1325" s="624"/>
      <c r="P1325" s="624"/>
    </row>
    <row r="1326" spans="1:16">
      <c r="A1326" s="231" t="s">
        <v>686</v>
      </c>
      <c r="B1326" s="231" t="s">
        <v>1864</v>
      </c>
      <c r="C1326" s="618">
        <v>44985</v>
      </c>
      <c r="D1326" s="231" t="s">
        <v>4868</v>
      </c>
      <c r="E1326" s="231" t="s">
        <v>5076</v>
      </c>
      <c r="F1326" s="619">
        <v>52</v>
      </c>
      <c r="G1326" s="231" t="s">
        <v>4851</v>
      </c>
      <c r="H1326" s="619"/>
      <c r="I1326" s="619"/>
      <c r="J1326" s="620">
        <v>21840000</v>
      </c>
      <c r="K1326" s="621" t="s">
        <v>1130</v>
      </c>
      <c r="L1326" s="621" t="s">
        <v>4852</v>
      </c>
      <c r="M1326" s="621" t="s">
        <v>4858</v>
      </c>
      <c r="N1326" s="621" t="s">
        <v>4754</v>
      </c>
      <c r="O1326" s="621"/>
      <c r="P1326" s="621"/>
    </row>
    <row r="1327" spans="1:16">
      <c r="A1327" s="232" t="s">
        <v>686</v>
      </c>
      <c r="B1327" s="232" t="s">
        <v>1864</v>
      </c>
      <c r="C1327" s="622">
        <v>44985</v>
      </c>
      <c r="D1327" s="232" t="s">
        <v>4868</v>
      </c>
      <c r="E1327" s="231" t="s">
        <v>5076</v>
      </c>
      <c r="F1327" s="233">
        <v>50</v>
      </c>
      <c r="G1327" s="232" t="s">
        <v>4851</v>
      </c>
      <c r="H1327" s="233"/>
      <c r="I1327" s="233"/>
      <c r="J1327" s="623">
        <v>21000000</v>
      </c>
      <c r="K1327" s="624" t="s">
        <v>1130</v>
      </c>
      <c r="L1327" s="624" t="s">
        <v>4852</v>
      </c>
      <c r="M1327" s="624" t="s">
        <v>4858</v>
      </c>
      <c r="N1327" s="624" t="s">
        <v>4754</v>
      </c>
      <c r="O1327" s="624"/>
      <c r="P1327" s="624"/>
    </row>
    <row r="1328" spans="1:16">
      <c r="A1328" s="231" t="s">
        <v>686</v>
      </c>
      <c r="B1328" s="231" t="s">
        <v>1864</v>
      </c>
      <c r="C1328" s="618">
        <v>44985</v>
      </c>
      <c r="D1328" s="231" t="s">
        <v>4869</v>
      </c>
      <c r="E1328" s="231"/>
      <c r="F1328" s="619">
        <v>50</v>
      </c>
      <c r="G1328" s="231" t="s">
        <v>4851</v>
      </c>
      <c r="H1328" s="619"/>
      <c r="I1328" s="619"/>
      <c r="J1328" s="620">
        <v>21500000</v>
      </c>
      <c r="K1328" s="621" t="s">
        <v>1130</v>
      </c>
      <c r="L1328" s="621" t="s">
        <v>4852</v>
      </c>
      <c r="M1328" s="621" t="s">
        <v>4858</v>
      </c>
      <c r="N1328" s="621" t="s">
        <v>4754</v>
      </c>
      <c r="O1328" s="621"/>
      <c r="P1328" s="621"/>
    </row>
    <row r="1329" spans="1:16">
      <c r="A1329" s="232" t="s">
        <v>686</v>
      </c>
      <c r="B1329" s="232" t="s">
        <v>1864</v>
      </c>
      <c r="C1329" s="622">
        <v>44985</v>
      </c>
      <c r="D1329" s="232" t="s">
        <v>4869</v>
      </c>
      <c r="E1329" s="232"/>
      <c r="F1329" s="233">
        <v>50</v>
      </c>
      <c r="G1329" s="232" t="s">
        <v>4851</v>
      </c>
      <c r="H1329" s="233"/>
      <c r="I1329" s="233"/>
      <c r="J1329" s="623">
        <v>21500000</v>
      </c>
      <c r="K1329" s="624" t="s">
        <v>1130</v>
      </c>
      <c r="L1329" s="624" t="s">
        <v>4852</v>
      </c>
      <c r="M1329" s="624" t="s">
        <v>4858</v>
      </c>
      <c r="N1329" s="624" t="s">
        <v>4754</v>
      </c>
      <c r="O1329" s="624"/>
      <c r="P1329" s="624"/>
    </row>
    <row r="1330" spans="1:16">
      <c r="A1330" s="231" t="s">
        <v>686</v>
      </c>
      <c r="B1330" s="231" t="s">
        <v>1864</v>
      </c>
      <c r="C1330" s="618">
        <v>44985</v>
      </c>
      <c r="D1330" s="231" t="s">
        <v>4855</v>
      </c>
      <c r="E1330" s="231"/>
      <c r="F1330" s="619">
        <v>18531.7</v>
      </c>
      <c r="G1330" s="231" t="s">
        <v>4851</v>
      </c>
      <c r="H1330" s="619"/>
      <c r="I1330" s="619">
        <v>19458285</v>
      </c>
      <c r="J1330" s="620">
        <v>11928784869.540001</v>
      </c>
      <c r="K1330" s="621" t="s">
        <v>991</v>
      </c>
      <c r="L1330" s="621" t="s">
        <v>4852</v>
      </c>
      <c r="M1330" s="621" t="s">
        <v>4853</v>
      </c>
      <c r="N1330" s="621" t="s">
        <v>4854</v>
      </c>
      <c r="O1330" s="621"/>
      <c r="P1330" s="621"/>
    </row>
    <row r="1331" spans="1:16">
      <c r="A1331" s="232" t="s">
        <v>686</v>
      </c>
      <c r="B1331" s="232" t="s">
        <v>1864</v>
      </c>
      <c r="C1331" s="622">
        <v>44985</v>
      </c>
      <c r="D1331" s="232" t="s">
        <v>4855</v>
      </c>
      <c r="E1331" s="232"/>
      <c r="F1331" s="233">
        <v>15974.656999999999</v>
      </c>
      <c r="G1331" s="232" t="s">
        <v>4851</v>
      </c>
      <c r="H1331" s="233"/>
      <c r="I1331" s="233">
        <v>16773389.85</v>
      </c>
      <c r="J1331" s="623">
        <v>10282826007.200001</v>
      </c>
      <c r="K1331" s="624" t="s">
        <v>991</v>
      </c>
      <c r="L1331" s="624" t="s">
        <v>4852</v>
      </c>
      <c r="M1331" s="624" t="s">
        <v>4853</v>
      </c>
      <c r="N1331" s="624" t="s">
        <v>4854</v>
      </c>
      <c r="O1331" s="624"/>
      <c r="P1331" s="624"/>
    </row>
    <row r="1332" spans="1:16">
      <c r="A1332" s="231" t="s">
        <v>686</v>
      </c>
      <c r="B1332" s="231" t="s">
        <v>1864</v>
      </c>
      <c r="C1332" s="618">
        <v>44985</v>
      </c>
      <c r="D1332" s="231" t="s">
        <v>4855</v>
      </c>
      <c r="E1332" s="231"/>
      <c r="F1332" s="619">
        <v>15896.245000000001</v>
      </c>
      <c r="G1332" s="231" t="s">
        <v>4851</v>
      </c>
      <c r="H1332" s="619"/>
      <c r="I1332" s="619">
        <v>16691057.25</v>
      </c>
      <c r="J1332" s="620">
        <v>10232352500.77</v>
      </c>
      <c r="K1332" s="621" t="s">
        <v>991</v>
      </c>
      <c r="L1332" s="621" t="s">
        <v>4852</v>
      </c>
      <c r="M1332" s="621" t="s">
        <v>4853</v>
      </c>
      <c r="N1332" s="621" t="s">
        <v>4854</v>
      </c>
      <c r="O1332" s="621"/>
      <c r="P1332" s="621"/>
    </row>
    <row r="1333" spans="1:16">
      <c r="A1333" s="232" t="s">
        <v>686</v>
      </c>
      <c r="B1333" s="232" t="s">
        <v>1864</v>
      </c>
      <c r="C1333" s="622">
        <v>44985</v>
      </c>
      <c r="D1333" s="232" t="s">
        <v>4869</v>
      </c>
      <c r="E1333" s="232"/>
      <c r="F1333" s="233">
        <v>10.65</v>
      </c>
      <c r="G1333" s="232" t="s">
        <v>4851</v>
      </c>
      <c r="H1333" s="233"/>
      <c r="I1333" s="233"/>
      <c r="J1333" s="623">
        <v>4579500</v>
      </c>
      <c r="K1333" s="624" t="s">
        <v>1130</v>
      </c>
      <c r="L1333" s="624" t="s">
        <v>4852</v>
      </c>
      <c r="M1333" s="624" t="s">
        <v>4858</v>
      </c>
      <c r="N1333" s="624" t="s">
        <v>4754</v>
      </c>
      <c r="O1333" s="624"/>
      <c r="P1333" s="624"/>
    </row>
    <row r="1334" spans="1:16">
      <c r="A1334" s="231" t="s">
        <v>686</v>
      </c>
      <c r="B1334" s="231" t="s">
        <v>1864</v>
      </c>
      <c r="C1334" s="618">
        <v>44985</v>
      </c>
      <c r="D1334" s="231" t="s">
        <v>4869</v>
      </c>
      <c r="E1334" s="231"/>
      <c r="F1334" s="619">
        <v>50</v>
      </c>
      <c r="G1334" s="231" t="s">
        <v>4851</v>
      </c>
      <c r="H1334" s="619"/>
      <c r="I1334" s="619"/>
      <c r="J1334" s="620">
        <v>21500000</v>
      </c>
      <c r="K1334" s="621" t="s">
        <v>1130</v>
      </c>
      <c r="L1334" s="621" t="s">
        <v>4852</v>
      </c>
      <c r="M1334" s="621" t="s">
        <v>4858</v>
      </c>
      <c r="N1334" s="621" t="s">
        <v>4754</v>
      </c>
      <c r="O1334" s="621"/>
      <c r="P1334" s="621"/>
    </row>
    <row r="1335" spans="1:16">
      <c r="A1335" s="232" t="s">
        <v>686</v>
      </c>
      <c r="B1335" s="232" t="s">
        <v>1864</v>
      </c>
      <c r="C1335" s="622">
        <v>44985</v>
      </c>
      <c r="D1335" s="232" t="s">
        <v>4869</v>
      </c>
      <c r="E1335" s="232"/>
      <c r="F1335" s="233">
        <v>52</v>
      </c>
      <c r="G1335" s="232" t="s">
        <v>4851</v>
      </c>
      <c r="H1335" s="233"/>
      <c r="I1335" s="233"/>
      <c r="J1335" s="623">
        <v>22360000</v>
      </c>
      <c r="K1335" s="624" t="s">
        <v>1130</v>
      </c>
      <c r="L1335" s="624" t="s">
        <v>4852</v>
      </c>
      <c r="M1335" s="624" t="s">
        <v>4858</v>
      </c>
      <c r="N1335" s="624" t="s">
        <v>4754</v>
      </c>
      <c r="O1335" s="624"/>
      <c r="P1335" s="624"/>
    </row>
    <row r="1336" spans="1:16">
      <c r="A1336" s="231" t="s">
        <v>686</v>
      </c>
      <c r="B1336" s="231" t="s">
        <v>1864</v>
      </c>
      <c r="C1336" s="618">
        <v>44985</v>
      </c>
      <c r="D1336" s="231" t="s">
        <v>4869</v>
      </c>
      <c r="E1336" s="231"/>
      <c r="F1336" s="619">
        <v>50</v>
      </c>
      <c r="G1336" s="231" t="s">
        <v>4851</v>
      </c>
      <c r="H1336" s="619"/>
      <c r="I1336" s="619"/>
      <c r="J1336" s="620">
        <v>21500000</v>
      </c>
      <c r="K1336" s="621" t="s">
        <v>1130</v>
      </c>
      <c r="L1336" s="621" t="s">
        <v>4852</v>
      </c>
      <c r="M1336" s="621" t="s">
        <v>4858</v>
      </c>
      <c r="N1336" s="621" t="s">
        <v>4754</v>
      </c>
      <c r="O1336" s="621"/>
      <c r="P1336" s="621"/>
    </row>
    <row r="1337" spans="1:16">
      <c r="A1337" s="232" t="s">
        <v>686</v>
      </c>
      <c r="B1337" s="232" t="s">
        <v>1864</v>
      </c>
      <c r="C1337" s="622">
        <v>44985</v>
      </c>
      <c r="D1337" s="232" t="s">
        <v>4869</v>
      </c>
      <c r="E1337" s="232"/>
      <c r="F1337" s="233">
        <v>50</v>
      </c>
      <c r="G1337" s="232" t="s">
        <v>4851</v>
      </c>
      <c r="H1337" s="233"/>
      <c r="I1337" s="233"/>
      <c r="J1337" s="623">
        <v>21500000</v>
      </c>
      <c r="K1337" s="624" t="s">
        <v>1130</v>
      </c>
      <c r="L1337" s="624" t="s">
        <v>4852</v>
      </c>
      <c r="M1337" s="624" t="s">
        <v>4858</v>
      </c>
      <c r="N1337" s="624" t="s">
        <v>4754</v>
      </c>
      <c r="O1337" s="624"/>
      <c r="P1337" s="624"/>
    </row>
    <row r="1338" spans="1:16">
      <c r="A1338" s="231" t="s">
        <v>686</v>
      </c>
      <c r="B1338" s="231" t="s">
        <v>1864</v>
      </c>
      <c r="C1338" s="618">
        <v>44985</v>
      </c>
      <c r="D1338" s="231" t="s">
        <v>4869</v>
      </c>
      <c r="E1338" s="231"/>
      <c r="F1338" s="619">
        <v>39.35</v>
      </c>
      <c r="G1338" s="231" t="s">
        <v>4851</v>
      </c>
      <c r="H1338" s="619"/>
      <c r="I1338" s="619"/>
      <c r="J1338" s="620">
        <v>16920500</v>
      </c>
      <c r="K1338" s="621" t="s">
        <v>1130</v>
      </c>
      <c r="L1338" s="621" t="s">
        <v>4852</v>
      </c>
      <c r="M1338" s="621" t="s">
        <v>4858</v>
      </c>
      <c r="N1338" s="621" t="s">
        <v>4754</v>
      </c>
      <c r="O1338" s="621"/>
      <c r="P1338" s="621"/>
    </row>
    <row r="1339" spans="1:16">
      <c r="A1339" s="232" t="s">
        <v>686</v>
      </c>
      <c r="B1339" s="232" t="s">
        <v>1864</v>
      </c>
      <c r="C1339" s="622">
        <v>44985</v>
      </c>
      <c r="D1339" s="232" t="s">
        <v>4869</v>
      </c>
      <c r="E1339" s="232"/>
      <c r="F1339" s="233">
        <v>52</v>
      </c>
      <c r="G1339" s="232" t="s">
        <v>4851</v>
      </c>
      <c r="H1339" s="233"/>
      <c r="I1339" s="233"/>
      <c r="J1339" s="623">
        <v>22360000</v>
      </c>
      <c r="K1339" s="624" t="s">
        <v>1130</v>
      </c>
      <c r="L1339" s="624" t="s">
        <v>4852</v>
      </c>
      <c r="M1339" s="624" t="s">
        <v>4858</v>
      </c>
      <c r="N1339" s="624" t="s">
        <v>4754</v>
      </c>
      <c r="O1339" s="624"/>
      <c r="P1339" s="624"/>
    </row>
    <row r="1340" spans="1:16">
      <c r="A1340" s="231" t="s">
        <v>686</v>
      </c>
      <c r="B1340" s="231" t="s">
        <v>1864</v>
      </c>
      <c r="C1340" s="618">
        <v>44985</v>
      </c>
      <c r="D1340" s="231" t="s">
        <v>4862</v>
      </c>
      <c r="E1340" s="231"/>
      <c r="F1340" s="619">
        <v>48</v>
      </c>
      <c r="G1340" s="231" t="s">
        <v>4851</v>
      </c>
      <c r="H1340" s="619"/>
      <c r="I1340" s="619"/>
      <c r="J1340" s="620">
        <v>23184000</v>
      </c>
      <c r="K1340" s="621" t="s">
        <v>1130</v>
      </c>
      <c r="L1340" s="621" t="s">
        <v>4852</v>
      </c>
      <c r="M1340" s="621" t="s">
        <v>4867</v>
      </c>
      <c r="N1340" s="621" t="s">
        <v>4754</v>
      </c>
      <c r="O1340" s="621"/>
      <c r="P1340" s="621"/>
    </row>
    <row r="1341" spans="1:16">
      <c r="A1341" s="232" t="s">
        <v>686</v>
      </c>
      <c r="B1341" s="232" t="s">
        <v>1864</v>
      </c>
      <c r="C1341" s="622">
        <v>44985</v>
      </c>
      <c r="D1341" s="232" t="s">
        <v>4862</v>
      </c>
      <c r="E1341" s="232"/>
      <c r="F1341" s="233">
        <v>48</v>
      </c>
      <c r="G1341" s="232" t="s">
        <v>4851</v>
      </c>
      <c r="H1341" s="233"/>
      <c r="I1341" s="233"/>
      <c r="J1341" s="623">
        <v>23184000</v>
      </c>
      <c r="K1341" s="624" t="s">
        <v>1130</v>
      </c>
      <c r="L1341" s="624" t="s">
        <v>4852</v>
      </c>
      <c r="M1341" s="624" t="s">
        <v>4867</v>
      </c>
      <c r="N1341" s="624" t="s">
        <v>4754</v>
      </c>
      <c r="O1341" s="624"/>
      <c r="P1341" s="624"/>
    </row>
    <row r="1342" spans="1:16">
      <c r="A1342" s="231" t="s">
        <v>686</v>
      </c>
      <c r="B1342" s="231" t="s">
        <v>1864</v>
      </c>
      <c r="C1342" s="618">
        <v>44985</v>
      </c>
      <c r="D1342" s="231" t="s">
        <v>4862</v>
      </c>
      <c r="E1342" s="231"/>
      <c r="F1342" s="619">
        <v>48</v>
      </c>
      <c r="G1342" s="231" t="s">
        <v>4851</v>
      </c>
      <c r="H1342" s="619"/>
      <c r="I1342" s="619"/>
      <c r="J1342" s="620">
        <v>23184000</v>
      </c>
      <c r="K1342" s="621" t="s">
        <v>1130</v>
      </c>
      <c r="L1342" s="621" t="s">
        <v>4852</v>
      </c>
      <c r="M1342" s="621" t="s">
        <v>4867</v>
      </c>
      <c r="N1342" s="621" t="s">
        <v>4754</v>
      </c>
      <c r="O1342" s="621"/>
      <c r="P1342" s="621"/>
    </row>
    <row r="1343" spans="1:16">
      <c r="A1343" s="232" t="s">
        <v>686</v>
      </c>
      <c r="B1343" s="232" t="s">
        <v>1864</v>
      </c>
      <c r="C1343" s="622">
        <v>44985</v>
      </c>
      <c r="D1343" s="232" t="s">
        <v>4862</v>
      </c>
      <c r="E1343" s="232"/>
      <c r="F1343" s="233">
        <v>48</v>
      </c>
      <c r="G1343" s="232" t="s">
        <v>4851</v>
      </c>
      <c r="H1343" s="233"/>
      <c r="I1343" s="233"/>
      <c r="J1343" s="623">
        <v>23184000</v>
      </c>
      <c r="K1343" s="624" t="s">
        <v>1130</v>
      </c>
      <c r="L1343" s="624" t="s">
        <v>4852</v>
      </c>
      <c r="M1343" s="624" t="s">
        <v>4867</v>
      </c>
      <c r="N1343" s="624" t="s">
        <v>4754</v>
      </c>
      <c r="O1343" s="624"/>
      <c r="P1343" s="624"/>
    </row>
    <row r="1344" spans="1:16">
      <c r="A1344" s="231" t="s">
        <v>686</v>
      </c>
      <c r="B1344" s="231" t="s">
        <v>1864</v>
      </c>
      <c r="C1344" s="618">
        <v>44985</v>
      </c>
      <c r="D1344" s="231" t="s">
        <v>4862</v>
      </c>
      <c r="E1344" s="231"/>
      <c r="F1344" s="619">
        <v>50</v>
      </c>
      <c r="G1344" s="231" t="s">
        <v>4851</v>
      </c>
      <c r="H1344" s="619"/>
      <c r="I1344" s="619"/>
      <c r="J1344" s="620">
        <v>23250000</v>
      </c>
      <c r="K1344" s="621" t="s">
        <v>1130</v>
      </c>
      <c r="L1344" s="621" t="s">
        <v>4852</v>
      </c>
      <c r="M1344" s="621" t="s">
        <v>4863</v>
      </c>
      <c r="N1344" s="621" t="s">
        <v>4754</v>
      </c>
      <c r="O1344" s="621"/>
      <c r="P1344" s="621"/>
    </row>
    <row r="1345" spans="1:16">
      <c r="A1345" s="232" t="s">
        <v>686</v>
      </c>
      <c r="B1345" s="232" t="s">
        <v>1864</v>
      </c>
      <c r="C1345" s="622">
        <v>44985</v>
      </c>
      <c r="D1345" s="232" t="s">
        <v>4862</v>
      </c>
      <c r="E1345" s="232"/>
      <c r="F1345" s="233">
        <v>42</v>
      </c>
      <c r="G1345" s="232" t="s">
        <v>4851</v>
      </c>
      <c r="H1345" s="233"/>
      <c r="I1345" s="233"/>
      <c r="J1345" s="623">
        <v>19530000</v>
      </c>
      <c r="K1345" s="624" t="s">
        <v>1130</v>
      </c>
      <c r="L1345" s="624" t="s">
        <v>4852</v>
      </c>
      <c r="M1345" s="624" t="s">
        <v>4863</v>
      </c>
      <c r="N1345" s="624" t="s">
        <v>4754</v>
      </c>
      <c r="O1345" s="624"/>
      <c r="P1345" s="624"/>
    </row>
    <row r="1346" spans="1:16">
      <c r="A1346" s="231" t="s">
        <v>686</v>
      </c>
      <c r="B1346" s="231" t="s">
        <v>1864</v>
      </c>
      <c r="C1346" s="618">
        <v>44985</v>
      </c>
      <c r="D1346" s="231" t="s">
        <v>4869</v>
      </c>
      <c r="E1346" s="231"/>
      <c r="F1346" s="619">
        <v>50</v>
      </c>
      <c r="G1346" s="231" t="s">
        <v>4851</v>
      </c>
      <c r="H1346" s="619"/>
      <c r="I1346" s="619"/>
      <c r="J1346" s="620">
        <v>21500000</v>
      </c>
      <c r="K1346" s="621" t="s">
        <v>1130</v>
      </c>
      <c r="L1346" s="621" t="s">
        <v>4852</v>
      </c>
      <c r="M1346" s="621" t="s">
        <v>4858</v>
      </c>
      <c r="N1346" s="621" t="s">
        <v>4754</v>
      </c>
      <c r="O1346" s="621"/>
      <c r="P1346" s="621"/>
    </row>
    <row r="1347" spans="1:16">
      <c r="A1347" s="232" t="s">
        <v>686</v>
      </c>
      <c r="B1347" s="232" t="s">
        <v>1864</v>
      </c>
      <c r="C1347" s="622">
        <v>44985</v>
      </c>
      <c r="D1347" s="232" t="s">
        <v>4869</v>
      </c>
      <c r="E1347" s="232"/>
      <c r="F1347" s="233">
        <v>39.9</v>
      </c>
      <c r="G1347" s="232" t="s">
        <v>4851</v>
      </c>
      <c r="H1347" s="233"/>
      <c r="I1347" s="233"/>
      <c r="J1347" s="623">
        <v>17157000</v>
      </c>
      <c r="K1347" s="624" t="s">
        <v>1130</v>
      </c>
      <c r="L1347" s="624" t="s">
        <v>4852</v>
      </c>
      <c r="M1347" s="624" t="s">
        <v>4858</v>
      </c>
      <c r="N1347" s="624" t="s">
        <v>4754</v>
      </c>
      <c r="O1347" s="624"/>
      <c r="P1347" s="624"/>
    </row>
    <row r="1348" spans="1:16">
      <c r="A1348" s="231" t="s">
        <v>686</v>
      </c>
      <c r="B1348" s="231" t="s">
        <v>1864</v>
      </c>
      <c r="C1348" s="618">
        <v>44985</v>
      </c>
      <c r="D1348" s="231" t="s">
        <v>4869</v>
      </c>
      <c r="E1348" s="231"/>
      <c r="F1348" s="619">
        <v>50</v>
      </c>
      <c r="G1348" s="231" t="s">
        <v>4851</v>
      </c>
      <c r="H1348" s="619"/>
      <c r="I1348" s="619"/>
      <c r="J1348" s="620">
        <v>21500000</v>
      </c>
      <c r="K1348" s="621" t="s">
        <v>1130</v>
      </c>
      <c r="L1348" s="621" t="s">
        <v>4852</v>
      </c>
      <c r="M1348" s="621" t="s">
        <v>4858</v>
      </c>
      <c r="N1348" s="621" t="s">
        <v>4754</v>
      </c>
      <c r="O1348" s="621"/>
      <c r="P1348" s="621"/>
    </row>
    <row r="1349" spans="1:16">
      <c r="A1349" s="232" t="s">
        <v>686</v>
      </c>
      <c r="B1349" s="232" t="s">
        <v>1864</v>
      </c>
      <c r="C1349" s="622">
        <v>44985</v>
      </c>
      <c r="D1349" s="232" t="s">
        <v>4869</v>
      </c>
      <c r="E1349" s="232"/>
      <c r="F1349" s="233">
        <v>50</v>
      </c>
      <c r="G1349" s="232" t="s">
        <v>4851</v>
      </c>
      <c r="H1349" s="233"/>
      <c r="I1349" s="233"/>
      <c r="J1349" s="623">
        <v>21500000</v>
      </c>
      <c r="K1349" s="624" t="s">
        <v>1130</v>
      </c>
      <c r="L1349" s="624" t="s">
        <v>4852</v>
      </c>
      <c r="M1349" s="624" t="s">
        <v>4858</v>
      </c>
      <c r="N1349" s="624" t="s">
        <v>4754</v>
      </c>
      <c r="O1349" s="624"/>
      <c r="P1349" s="624"/>
    </row>
    <row r="1350" spans="1:16">
      <c r="A1350" s="231" t="s">
        <v>686</v>
      </c>
      <c r="B1350" s="231" t="s">
        <v>1864</v>
      </c>
      <c r="C1350" s="618">
        <v>44985</v>
      </c>
      <c r="D1350" s="231" t="s">
        <v>4869</v>
      </c>
      <c r="E1350" s="231"/>
      <c r="F1350" s="619">
        <v>50</v>
      </c>
      <c r="G1350" s="231" t="s">
        <v>4851</v>
      </c>
      <c r="H1350" s="619"/>
      <c r="I1350" s="619"/>
      <c r="J1350" s="620">
        <v>21500000</v>
      </c>
      <c r="K1350" s="621" t="s">
        <v>1130</v>
      </c>
      <c r="L1350" s="621" t="s">
        <v>4852</v>
      </c>
      <c r="M1350" s="621" t="s">
        <v>4858</v>
      </c>
      <c r="N1350" s="621" t="s">
        <v>4754</v>
      </c>
      <c r="O1350" s="621"/>
      <c r="P1350" s="621"/>
    </row>
    <row r="1351" spans="1:16">
      <c r="A1351" s="232" t="s">
        <v>686</v>
      </c>
      <c r="B1351" s="232" t="s">
        <v>1864</v>
      </c>
      <c r="C1351" s="622">
        <v>44985</v>
      </c>
      <c r="D1351" s="232" t="s">
        <v>4869</v>
      </c>
      <c r="E1351" s="232"/>
      <c r="F1351" s="233">
        <v>52</v>
      </c>
      <c r="G1351" s="232" t="s">
        <v>4851</v>
      </c>
      <c r="H1351" s="233"/>
      <c r="I1351" s="233"/>
      <c r="J1351" s="623">
        <v>22360000</v>
      </c>
      <c r="K1351" s="624" t="s">
        <v>1130</v>
      </c>
      <c r="L1351" s="624" t="s">
        <v>4852</v>
      </c>
      <c r="M1351" s="624" t="s">
        <v>4858</v>
      </c>
      <c r="N1351" s="624" t="s">
        <v>4754</v>
      </c>
      <c r="O1351" s="624"/>
      <c r="P1351" s="624"/>
    </row>
    <row r="1352" spans="1:16">
      <c r="A1352" s="231" t="s">
        <v>686</v>
      </c>
      <c r="B1352" s="231" t="s">
        <v>1864</v>
      </c>
      <c r="C1352" s="618">
        <v>44985</v>
      </c>
      <c r="D1352" s="231" t="s">
        <v>4869</v>
      </c>
      <c r="E1352" s="231"/>
      <c r="F1352" s="619">
        <v>50</v>
      </c>
      <c r="G1352" s="231" t="s">
        <v>4851</v>
      </c>
      <c r="H1352" s="619"/>
      <c r="I1352" s="619"/>
      <c r="J1352" s="620">
        <v>21500000</v>
      </c>
      <c r="K1352" s="621" t="s">
        <v>1130</v>
      </c>
      <c r="L1352" s="621" t="s">
        <v>4852</v>
      </c>
      <c r="M1352" s="621" t="s">
        <v>4858</v>
      </c>
      <c r="N1352" s="621" t="s">
        <v>4754</v>
      </c>
      <c r="O1352" s="621"/>
      <c r="P1352" s="621"/>
    </row>
    <row r="1353" spans="1:16">
      <c r="A1353" s="232" t="s">
        <v>686</v>
      </c>
      <c r="B1353" s="232" t="s">
        <v>1864</v>
      </c>
      <c r="C1353" s="622">
        <v>44985</v>
      </c>
      <c r="D1353" s="232" t="s">
        <v>4869</v>
      </c>
      <c r="E1353" s="232"/>
      <c r="F1353" s="233">
        <v>50</v>
      </c>
      <c r="G1353" s="232" t="s">
        <v>4851</v>
      </c>
      <c r="H1353" s="233"/>
      <c r="I1353" s="233"/>
      <c r="J1353" s="623">
        <v>21500000</v>
      </c>
      <c r="K1353" s="624" t="s">
        <v>1130</v>
      </c>
      <c r="L1353" s="624" t="s">
        <v>4852</v>
      </c>
      <c r="M1353" s="624" t="s">
        <v>4858</v>
      </c>
      <c r="N1353" s="624" t="s">
        <v>4754</v>
      </c>
      <c r="O1353" s="624"/>
      <c r="P1353" s="624"/>
    </row>
    <row r="1354" spans="1:16">
      <c r="A1354" s="231" t="s">
        <v>686</v>
      </c>
      <c r="B1354" s="231" t="s">
        <v>1864</v>
      </c>
      <c r="C1354" s="618">
        <v>44985</v>
      </c>
      <c r="D1354" s="231" t="s">
        <v>4869</v>
      </c>
      <c r="E1354" s="231"/>
      <c r="F1354" s="619">
        <v>10.1</v>
      </c>
      <c r="G1354" s="231" t="s">
        <v>4851</v>
      </c>
      <c r="H1354" s="619"/>
      <c r="I1354" s="619"/>
      <c r="J1354" s="620">
        <v>4343000</v>
      </c>
      <c r="K1354" s="621" t="s">
        <v>1130</v>
      </c>
      <c r="L1354" s="621" t="s">
        <v>4852</v>
      </c>
      <c r="M1354" s="621" t="s">
        <v>4858</v>
      </c>
      <c r="N1354" s="621" t="s">
        <v>4754</v>
      </c>
      <c r="O1354" s="621"/>
      <c r="P1354" s="621"/>
    </row>
    <row r="1355" spans="1:16">
      <c r="A1355" s="232" t="s">
        <v>686</v>
      </c>
      <c r="B1355" s="232" t="s">
        <v>1864</v>
      </c>
      <c r="C1355" s="622">
        <v>44985</v>
      </c>
      <c r="D1355" s="232" t="s">
        <v>4862</v>
      </c>
      <c r="E1355" s="232"/>
      <c r="F1355" s="233">
        <v>3</v>
      </c>
      <c r="G1355" s="232" t="s">
        <v>4851</v>
      </c>
      <c r="H1355" s="233"/>
      <c r="I1355" s="233"/>
      <c r="J1355" s="623">
        <v>1395000</v>
      </c>
      <c r="K1355" s="624" t="s">
        <v>1130</v>
      </c>
      <c r="L1355" s="624" t="s">
        <v>4852</v>
      </c>
      <c r="M1355" s="624" t="s">
        <v>4863</v>
      </c>
      <c r="N1355" s="624" t="s">
        <v>4754</v>
      </c>
      <c r="O1355" s="624"/>
      <c r="P1355" s="624"/>
    </row>
    <row r="1356" spans="1:16">
      <c r="A1356" s="231" t="s">
        <v>686</v>
      </c>
      <c r="B1356" s="231" t="s">
        <v>1864</v>
      </c>
      <c r="C1356" s="618">
        <v>44985</v>
      </c>
      <c r="D1356" s="231" t="s">
        <v>4862</v>
      </c>
      <c r="E1356" s="231"/>
      <c r="F1356" s="619">
        <v>2</v>
      </c>
      <c r="G1356" s="231" t="s">
        <v>4851</v>
      </c>
      <c r="H1356" s="619"/>
      <c r="I1356" s="619"/>
      <c r="J1356" s="620">
        <v>930000</v>
      </c>
      <c r="K1356" s="621" t="s">
        <v>1130</v>
      </c>
      <c r="L1356" s="621" t="s">
        <v>4852</v>
      </c>
      <c r="M1356" s="621" t="s">
        <v>4863</v>
      </c>
      <c r="N1356" s="621" t="s">
        <v>4754</v>
      </c>
      <c r="O1356" s="621"/>
      <c r="P1356" s="621"/>
    </row>
    <row r="1357" spans="1:16">
      <c r="A1357" s="232" t="s">
        <v>686</v>
      </c>
      <c r="B1357" s="232" t="s">
        <v>1864</v>
      </c>
      <c r="C1357" s="622">
        <v>44985</v>
      </c>
      <c r="D1357" s="232" t="s">
        <v>4862</v>
      </c>
      <c r="E1357" s="232"/>
      <c r="F1357" s="233">
        <v>50</v>
      </c>
      <c r="G1357" s="232" t="s">
        <v>4851</v>
      </c>
      <c r="H1357" s="233"/>
      <c r="I1357" s="233"/>
      <c r="J1357" s="623">
        <v>23250000</v>
      </c>
      <c r="K1357" s="624" t="s">
        <v>1130</v>
      </c>
      <c r="L1357" s="624" t="s">
        <v>4852</v>
      </c>
      <c r="M1357" s="624" t="s">
        <v>4863</v>
      </c>
      <c r="N1357" s="624" t="s">
        <v>4754</v>
      </c>
      <c r="O1357" s="624"/>
      <c r="P1357" s="624"/>
    </row>
    <row r="1358" spans="1:16">
      <c r="A1358" s="231" t="s">
        <v>686</v>
      </c>
      <c r="B1358" s="231" t="s">
        <v>1864</v>
      </c>
      <c r="C1358" s="618">
        <v>44985</v>
      </c>
      <c r="D1358" s="231" t="s">
        <v>4862</v>
      </c>
      <c r="E1358" s="231"/>
      <c r="F1358" s="619">
        <v>48</v>
      </c>
      <c r="G1358" s="231" t="s">
        <v>4851</v>
      </c>
      <c r="H1358" s="619"/>
      <c r="I1358" s="619"/>
      <c r="J1358" s="620">
        <v>23184000</v>
      </c>
      <c r="K1358" s="621" t="s">
        <v>1130</v>
      </c>
      <c r="L1358" s="621" t="s">
        <v>4852</v>
      </c>
      <c r="M1358" s="621" t="s">
        <v>4867</v>
      </c>
      <c r="N1358" s="621" t="s">
        <v>4754</v>
      </c>
      <c r="O1358" s="621"/>
      <c r="P1358" s="621"/>
    </row>
    <row r="1359" spans="1:16">
      <c r="A1359" s="232" t="s">
        <v>686</v>
      </c>
      <c r="B1359" s="232" t="s">
        <v>1864</v>
      </c>
      <c r="C1359" s="622">
        <v>44985</v>
      </c>
      <c r="D1359" s="232" t="s">
        <v>4862</v>
      </c>
      <c r="E1359" s="232"/>
      <c r="F1359" s="233">
        <v>48</v>
      </c>
      <c r="G1359" s="232" t="s">
        <v>4851</v>
      </c>
      <c r="H1359" s="233"/>
      <c r="I1359" s="233"/>
      <c r="J1359" s="623">
        <v>23184000</v>
      </c>
      <c r="K1359" s="624" t="s">
        <v>1130</v>
      </c>
      <c r="L1359" s="624" t="s">
        <v>4852</v>
      </c>
      <c r="M1359" s="624" t="s">
        <v>4867</v>
      </c>
      <c r="N1359" s="624" t="s">
        <v>4754</v>
      </c>
      <c r="O1359" s="624"/>
      <c r="P1359" s="624"/>
    </row>
    <row r="1360" spans="1:16">
      <c r="A1360" s="231" t="s">
        <v>686</v>
      </c>
      <c r="B1360" s="231" t="s">
        <v>1864</v>
      </c>
      <c r="C1360" s="618">
        <v>44985</v>
      </c>
      <c r="D1360" s="231" t="s">
        <v>4862</v>
      </c>
      <c r="E1360" s="231"/>
      <c r="F1360" s="619">
        <v>48</v>
      </c>
      <c r="G1360" s="231" t="s">
        <v>4851</v>
      </c>
      <c r="H1360" s="619"/>
      <c r="I1360" s="619"/>
      <c r="J1360" s="620">
        <v>23184000</v>
      </c>
      <c r="K1360" s="621" t="s">
        <v>1130</v>
      </c>
      <c r="L1360" s="621" t="s">
        <v>4852</v>
      </c>
      <c r="M1360" s="621" t="s">
        <v>4867</v>
      </c>
      <c r="N1360" s="621" t="s">
        <v>4754</v>
      </c>
      <c r="O1360" s="621"/>
      <c r="P1360" s="621"/>
    </row>
    <row r="1361" spans="1:16">
      <c r="A1361" s="232" t="s">
        <v>686</v>
      </c>
      <c r="B1361" s="232" t="s">
        <v>1864</v>
      </c>
      <c r="C1361" s="622">
        <v>44985</v>
      </c>
      <c r="D1361" s="232" t="s">
        <v>4862</v>
      </c>
      <c r="E1361" s="232"/>
      <c r="F1361" s="233">
        <v>48</v>
      </c>
      <c r="G1361" s="232" t="s">
        <v>4851</v>
      </c>
      <c r="H1361" s="233"/>
      <c r="I1361" s="233"/>
      <c r="J1361" s="623">
        <v>23184000</v>
      </c>
      <c r="K1361" s="624" t="s">
        <v>1130</v>
      </c>
      <c r="L1361" s="624" t="s">
        <v>4852</v>
      </c>
      <c r="M1361" s="624" t="s">
        <v>4867</v>
      </c>
      <c r="N1361" s="624" t="s">
        <v>4754</v>
      </c>
      <c r="O1361" s="624"/>
      <c r="P1361" s="624"/>
    </row>
    <row r="1362" spans="1:16">
      <c r="A1362" s="231" t="s">
        <v>686</v>
      </c>
      <c r="B1362" s="231" t="s">
        <v>1864</v>
      </c>
      <c r="C1362" s="618">
        <v>44985</v>
      </c>
      <c r="D1362" s="231" t="s">
        <v>4862</v>
      </c>
      <c r="E1362" s="231"/>
      <c r="F1362" s="619">
        <v>48</v>
      </c>
      <c r="G1362" s="231" t="s">
        <v>4851</v>
      </c>
      <c r="H1362" s="619"/>
      <c r="I1362" s="619"/>
      <c r="J1362" s="620">
        <v>23184000</v>
      </c>
      <c r="K1362" s="621" t="s">
        <v>1130</v>
      </c>
      <c r="L1362" s="621" t="s">
        <v>4852</v>
      </c>
      <c r="M1362" s="621" t="s">
        <v>4867</v>
      </c>
      <c r="N1362" s="621" t="s">
        <v>4754</v>
      </c>
      <c r="O1362" s="621"/>
      <c r="P1362" s="621"/>
    </row>
    <row r="1363" spans="1:16">
      <c r="A1363" s="232" t="s">
        <v>686</v>
      </c>
      <c r="B1363" s="232" t="s">
        <v>1864</v>
      </c>
      <c r="C1363" s="622">
        <v>44985</v>
      </c>
      <c r="D1363" s="232" t="s">
        <v>4862</v>
      </c>
      <c r="E1363" s="232"/>
      <c r="F1363" s="233">
        <v>48</v>
      </c>
      <c r="G1363" s="232" t="s">
        <v>4851</v>
      </c>
      <c r="H1363" s="233"/>
      <c r="I1363" s="233"/>
      <c r="J1363" s="623">
        <v>23184000</v>
      </c>
      <c r="K1363" s="624" t="s">
        <v>1130</v>
      </c>
      <c r="L1363" s="624" t="s">
        <v>4852</v>
      </c>
      <c r="M1363" s="624" t="s">
        <v>4867</v>
      </c>
      <c r="N1363" s="624" t="s">
        <v>4754</v>
      </c>
      <c r="O1363" s="624"/>
      <c r="P1363" s="624"/>
    </row>
    <row r="1364" spans="1:16">
      <c r="A1364" s="231" t="s">
        <v>686</v>
      </c>
      <c r="B1364" s="231" t="s">
        <v>1864</v>
      </c>
      <c r="C1364" s="618">
        <v>44985</v>
      </c>
      <c r="D1364" s="231" t="s">
        <v>4870</v>
      </c>
      <c r="E1364" s="231"/>
      <c r="F1364" s="619">
        <v>43</v>
      </c>
      <c r="G1364" s="231" t="s">
        <v>4851</v>
      </c>
      <c r="H1364" s="619"/>
      <c r="I1364" s="619"/>
      <c r="J1364" s="620">
        <v>18490000</v>
      </c>
      <c r="K1364" s="621" t="s">
        <v>1130</v>
      </c>
      <c r="L1364" s="621" t="s">
        <v>4852</v>
      </c>
      <c r="M1364" s="621" t="s">
        <v>4871</v>
      </c>
      <c r="N1364" s="621" t="s">
        <v>4754</v>
      </c>
      <c r="O1364" s="621"/>
      <c r="P1364" s="621"/>
    </row>
    <row r="1365" spans="1:16">
      <c r="A1365" s="232" t="s">
        <v>686</v>
      </c>
      <c r="B1365" s="232" t="s">
        <v>1864</v>
      </c>
      <c r="C1365" s="622">
        <v>44985</v>
      </c>
      <c r="D1365" s="232" t="s">
        <v>4870</v>
      </c>
      <c r="E1365" s="232"/>
      <c r="F1365" s="233">
        <v>43</v>
      </c>
      <c r="G1365" s="232" t="s">
        <v>4851</v>
      </c>
      <c r="H1365" s="233"/>
      <c r="I1365" s="233"/>
      <c r="J1365" s="623">
        <v>18490000</v>
      </c>
      <c r="K1365" s="624" t="s">
        <v>1130</v>
      </c>
      <c r="L1365" s="624" t="s">
        <v>4852</v>
      </c>
      <c r="M1365" s="624" t="s">
        <v>4871</v>
      </c>
      <c r="N1365" s="624" t="s">
        <v>4754</v>
      </c>
      <c r="O1365" s="624"/>
      <c r="P1365" s="624"/>
    </row>
    <row r="1366" spans="1:16">
      <c r="A1366" s="231" t="s">
        <v>686</v>
      </c>
      <c r="B1366" s="231" t="s">
        <v>1864</v>
      </c>
      <c r="C1366" s="618">
        <v>44985</v>
      </c>
      <c r="D1366" s="231" t="s">
        <v>4870</v>
      </c>
      <c r="E1366" s="231"/>
      <c r="F1366" s="619">
        <v>43</v>
      </c>
      <c r="G1366" s="231" t="s">
        <v>4851</v>
      </c>
      <c r="H1366" s="619"/>
      <c r="I1366" s="619"/>
      <c r="J1366" s="620">
        <v>18490000</v>
      </c>
      <c r="K1366" s="621" t="s">
        <v>1130</v>
      </c>
      <c r="L1366" s="621" t="s">
        <v>4852</v>
      </c>
      <c r="M1366" s="621" t="s">
        <v>4871</v>
      </c>
      <c r="N1366" s="621" t="s">
        <v>4754</v>
      </c>
      <c r="O1366" s="621"/>
      <c r="P1366" s="621"/>
    </row>
    <row r="1367" spans="1:16">
      <c r="A1367" s="232" t="s">
        <v>686</v>
      </c>
      <c r="B1367" s="232" t="s">
        <v>1864</v>
      </c>
      <c r="C1367" s="622">
        <v>44985</v>
      </c>
      <c r="D1367" s="232" t="s">
        <v>4870</v>
      </c>
      <c r="E1367" s="232"/>
      <c r="F1367" s="233">
        <v>43</v>
      </c>
      <c r="G1367" s="232" t="s">
        <v>4851</v>
      </c>
      <c r="H1367" s="233"/>
      <c r="I1367" s="233"/>
      <c r="J1367" s="623">
        <v>18490000</v>
      </c>
      <c r="K1367" s="624" t="s">
        <v>1130</v>
      </c>
      <c r="L1367" s="624" t="s">
        <v>4852</v>
      </c>
      <c r="M1367" s="624" t="s">
        <v>4871</v>
      </c>
      <c r="N1367" s="624" t="s">
        <v>4754</v>
      </c>
      <c r="O1367" s="624"/>
      <c r="P1367" s="624"/>
    </row>
    <row r="1368" spans="1:16">
      <c r="A1368" s="231" t="s">
        <v>686</v>
      </c>
      <c r="B1368" s="231" t="s">
        <v>1864</v>
      </c>
      <c r="C1368" s="618">
        <v>44985</v>
      </c>
      <c r="D1368" s="231" t="s">
        <v>4870</v>
      </c>
      <c r="E1368" s="231"/>
      <c r="F1368" s="619">
        <v>43</v>
      </c>
      <c r="G1368" s="231" t="s">
        <v>4851</v>
      </c>
      <c r="H1368" s="619"/>
      <c r="I1368" s="619"/>
      <c r="J1368" s="620">
        <v>18490000</v>
      </c>
      <c r="K1368" s="621" t="s">
        <v>1130</v>
      </c>
      <c r="L1368" s="621" t="s">
        <v>4852</v>
      </c>
      <c r="M1368" s="621" t="s">
        <v>4871</v>
      </c>
      <c r="N1368" s="621" t="s">
        <v>4754</v>
      </c>
      <c r="O1368" s="621"/>
      <c r="P1368" s="621"/>
    </row>
    <row r="1369" spans="1:16">
      <c r="A1369" s="232" t="s">
        <v>686</v>
      </c>
      <c r="B1369" s="232" t="s">
        <v>1864</v>
      </c>
      <c r="C1369" s="622">
        <v>44985</v>
      </c>
      <c r="D1369" s="232" t="s">
        <v>4870</v>
      </c>
      <c r="E1369" s="232"/>
      <c r="F1369" s="233">
        <v>43</v>
      </c>
      <c r="G1369" s="232" t="s">
        <v>4851</v>
      </c>
      <c r="H1369" s="233"/>
      <c r="I1369" s="233"/>
      <c r="J1369" s="623">
        <v>18490000</v>
      </c>
      <c r="K1369" s="624" t="s">
        <v>1130</v>
      </c>
      <c r="L1369" s="624" t="s">
        <v>4852</v>
      </c>
      <c r="M1369" s="624" t="s">
        <v>4871</v>
      </c>
      <c r="N1369" s="624" t="s">
        <v>4754</v>
      </c>
      <c r="O1369" s="624"/>
      <c r="P1369" s="624"/>
    </row>
    <row r="1370" spans="1:16">
      <c r="A1370" s="231" t="s">
        <v>686</v>
      </c>
      <c r="B1370" s="231" t="s">
        <v>1864</v>
      </c>
      <c r="C1370" s="618">
        <v>44985</v>
      </c>
      <c r="D1370" s="231" t="s">
        <v>4870</v>
      </c>
      <c r="E1370" s="231"/>
      <c r="F1370" s="619">
        <v>43</v>
      </c>
      <c r="G1370" s="231" t="s">
        <v>4851</v>
      </c>
      <c r="H1370" s="619"/>
      <c r="I1370" s="619"/>
      <c r="J1370" s="620">
        <v>18490000</v>
      </c>
      <c r="K1370" s="621" t="s">
        <v>1130</v>
      </c>
      <c r="L1370" s="621" t="s">
        <v>4852</v>
      </c>
      <c r="M1370" s="621" t="s">
        <v>4871</v>
      </c>
      <c r="N1370" s="621" t="s">
        <v>4754</v>
      </c>
      <c r="O1370" s="621"/>
      <c r="P1370" s="621"/>
    </row>
    <row r="1371" spans="1:16">
      <c r="A1371" s="232" t="s">
        <v>686</v>
      </c>
      <c r="B1371" s="232" t="s">
        <v>1864</v>
      </c>
      <c r="C1371" s="622">
        <v>44985</v>
      </c>
      <c r="D1371" s="232" t="s">
        <v>4870</v>
      </c>
      <c r="E1371" s="232"/>
      <c r="F1371" s="233">
        <v>43</v>
      </c>
      <c r="G1371" s="232" t="s">
        <v>4851</v>
      </c>
      <c r="H1371" s="233"/>
      <c r="I1371" s="233"/>
      <c r="J1371" s="623">
        <v>18490000</v>
      </c>
      <c r="K1371" s="624" t="s">
        <v>1130</v>
      </c>
      <c r="L1371" s="624" t="s">
        <v>4852</v>
      </c>
      <c r="M1371" s="624" t="s">
        <v>4871</v>
      </c>
      <c r="N1371" s="624" t="s">
        <v>4754</v>
      </c>
      <c r="O1371" s="624"/>
      <c r="P1371" s="624"/>
    </row>
    <row r="1372" spans="1:16">
      <c r="A1372" s="231" t="s">
        <v>686</v>
      </c>
      <c r="B1372" s="231" t="s">
        <v>1864</v>
      </c>
      <c r="C1372" s="618">
        <v>44985</v>
      </c>
      <c r="D1372" s="231" t="s">
        <v>4870</v>
      </c>
      <c r="E1372" s="231"/>
      <c r="F1372" s="619">
        <v>52</v>
      </c>
      <c r="G1372" s="231" t="s">
        <v>4851</v>
      </c>
      <c r="H1372" s="619"/>
      <c r="I1372" s="619"/>
      <c r="J1372" s="620">
        <v>22360000</v>
      </c>
      <c r="K1372" s="621" t="s">
        <v>1130</v>
      </c>
      <c r="L1372" s="621" t="s">
        <v>4852</v>
      </c>
      <c r="M1372" s="621" t="s">
        <v>4871</v>
      </c>
      <c r="N1372" s="621" t="s">
        <v>4754</v>
      </c>
      <c r="O1372" s="621"/>
      <c r="P1372" s="621"/>
    </row>
    <row r="1373" spans="1:16">
      <c r="A1373" s="232" t="s">
        <v>686</v>
      </c>
      <c r="B1373" s="232" t="s">
        <v>1864</v>
      </c>
      <c r="C1373" s="622">
        <v>44985</v>
      </c>
      <c r="D1373" s="232" t="s">
        <v>4870</v>
      </c>
      <c r="E1373" s="232"/>
      <c r="F1373" s="233">
        <v>43</v>
      </c>
      <c r="G1373" s="232" t="s">
        <v>4851</v>
      </c>
      <c r="H1373" s="233"/>
      <c r="I1373" s="233"/>
      <c r="J1373" s="623">
        <v>18490000</v>
      </c>
      <c r="K1373" s="624" t="s">
        <v>1130</v>
      </c>
      <c r="L1373" s="624" t="s">
        <v>4852</v>
      </c>
      <c r="M1373" s="624" t="s">
        <v>4871</v>
      </c>
      <c r="N1373" s="624" t="s">
        <v>4754</v>
      </c>
      <c r="O1373" s="624"/>
      <c r="P1373" s="624"/>
    </row>
    <row r="1374" spans="1:16">
      <c r="A1374" s="231" t="s">
        <v>686</v>
      </c>
      <c r="B1374" s="231" t="s">
        <v>1864</v>
      </c>
      <c r="C1374" s="618">
        <v>44985</v>
      </c>
      <c r="D1374" s="231" t="s">
        <v>4870</v>
      </c>
      <c r="E1374" s="231"/>
      <c r="F1374" s="619">
        <v>50</v>
      </c>
      <c r="G1374" s="231" t="s">
        <v>4851</v>
      </c>
      <c r="H1374" s="619"/>
      <c r="I1374" s="619"/>
      <c r="J1374" s="620">
        <v>21500000</v>
      </c>
      <c r="K1374" s="621" t="s">
        <v>1130</v>
      </c>
      <c r="L1374" s="621" t="s">
        <v>4852</v>
      </c>
      <c r="M1374" s="621" t="s">
        <v>4871</v>
      </c>
      <c r="N1374" s="621" t="s">
        <v>4754</v>
      </c>
      <c r="O1374" s="621"/>
      <c r="P1374" s="621"/>
    </row>
    <row r="1375" spans="1:16">
      <c r="A1375" s="232" t="s">
        <v>686</v>
      </c>
      <c r="B1375" s="232" t="s">
        <v>1864</v>
      </c>
      <c r="C1375" s="622">
        <v>44985</v>
      </c>
      <c r="D1375" s="232" t="s">
        <v>4869</v>
      </c>
      <c r="E1375" s="232"/>
      <c r="F1375" s="233">
        <v>50</v>
      </c>
      <c r="G1375" s="232" t="s">
        <v>4851</v>
      </c>
      <c r="H1375" s="233"/>
      <c r="I1375" s="233"/>
      <c r="J1375" s="623">
        <v>21500000</v>
      </c>
      <c r="K1375" s="624" t="s">
        <v>1130</v>
      </c>
      <c r="L1375" s="624" t="s">
        <v>4852</v>
      </c>
      <c r="M1375" s="624" t="s">
        <v>4858</v>
      </c>
      <c r="N1375" s="624" t="s">
        <v>4754</v>
      </c>
      <c r="O1375" s="624"/>
      <c r="P1375" s="624"/>
    </row>
    <row r="1376" spans="1:16">
      <c r="A1376" s="231" t="s">
        <v>686</v>
      </c>
      <c r="B1376" s="231" t="s">
        <v>1864</v>
      </c>
      <c r="C1376" s="618">
        <v>44985</v>
      </c>
      <c r="D1376" s="231" t="s">
        <v>4868</v>
      </c>
      <c r="E1376" s="231" t="s">
        <v>5076</v>
      </c>
      <c r="F1376" s="619">
        <v>44</v>
      </c>
      <c r="G1376" s="231" t="s">
        <v>4851</v>
      </c>
      <c r="H1376" s="619"/>
      <c r="I1376" s="619"/>
      <c r="J1376" s="620">
        <v>19140000</v>
      </c>
      <c r="K1376" s="621" t="s">
        <v>1130</v>
      </c>
      <c r="L1376" s="621" t="s">
        <v>4852</v>
      </c>
      <c r="M1376" s="621" t="s">
        <v>4863</v>
      </c>
      <c r="N1376" s="621" t="s">
        <v>4754</v>
      </c>
      <c r="O1376" s="621"/>
      <c r="P1376" s="621"/>
    </row>
    <row r="1377" spans="1:16">
      <c r="A1377" s="232" t="s">
        <v>686</v>
      </c>
      <c r="B1377" s="232" t="s">
        <v>1864</v>
      </c>
      <c r="C1377" s="622">
        <v>44985</v>
      </c>
      <c r="D1377" s="232" t="s">
        <v>4868</v>
      </c>
      <c r="E1377" s="231" t="s">
        <v>5076</v>
      </c>
      <c r="F1377" s="233">
        <v>30.6</v>
      </c>
      <c r="G1377" s="232" t="s">
        <v>4851</v>
      </c>
      <c r="H1377" s="233"/>
      <c r="I1377" s="233"/>
      <c r="J1377" s="623">
        <v>13311000</v>
      </c>
      <c r="K1377" s="624" t="s">
        <v>1130</v>
      </c>
      <c r="L1377" s="624" t="s">
        <v>4852</v>
      </c>
      <c r="M1377" s="624" t="s">
        <v>4863</v>
      </c>
      <c r="N1377" s="624" t="s">
        <v>4754</v>
      </c>
      <c r="O1377" s="624"/>
      <c r="P1377" s="624"/>
    </row>
    <row r="1378" spans="1:16">
      <c r="A1378" s="231" t="s">
        <v>686</v>
      </c>
      <c r="B1378" s="231" t="s">
        <v>1864</v>
      </c>
      <c r="C1378" s="618">
        <v>44985</v>
      </c>
      <c r="D1378" s="231" t="s">
        <v>4868</v>
      </c>
      <c r="E1378" s="231" t="s">
        <v>5076</v>
      </c>
      <c r="F1378" s="619">
        <v>13.4</v>
      </c>
      <c r="G1378" s="231" t="s">
        <v>4851</v>
      </c>
      <c r="H1378" s="619"/>
      <c r="I1378" s="619"/>
      <c r="J1378" s="620">
        <v>5829000</v>
      </c>
      <c r="K1378" s="621" t="s">
        <v>1130</v>
      </c>
      <c r="L1378" s="621" t="s">
        <v>4852</v>
      </c>
      <c r="M1378" s="621" t="s">
        <v>4863</v>
      </c>
      <c r="N1378" s="621" t="s">
        <v>4754</v>
      </c>
      <c r="O1378" s="621"/>
      <c r="P1378" s="621"/>
    </row>
    <row r="1379" spans="1:16">
      <c r="A1379" s="232" t="s">
        <v>686</v>
      </c>
      <c r="B1379" s="232" t="s">
        <v>1864</v>
      </c>
      <c r="C1379" s="622">
        <v>44985</v>
      </c>
      <c r="D1379" s="232" t="s">
        <v>4868</v>
      </c>
      <c r="E1379" s="231" t="s">
        <v>5076</v>
      </c>
      <c r="F1379" s="233">
        <v>44</v>
      </c>
      <c r="G1379" s="232" t="s">
        <v>4851</v>
      </c>
      <c r="H1379" s="233"/>
      <c r="I1379" s="233"/>
      <c r="J1379" s="623">
        <v>19140000</v>
      </c>
      <c r="K1379" s="624" t="s">
        <v>1130</v>
      </c>
      <c r="L1379" s="624" t="s">
        <v>4852</v>
      </c>
      <c r="M1379" s="624" t="s">
        <v>4863</v>
      </c>
      <c r="N1379" s="624" t="s">
        <v>4754</v>
      </c>
      <c r="O1379" s="624"/>
      <c r="P1379" s="624"/>
    </row>
    <row r="1380" spans="1:16">
      <c r="A1380" s="231" t="s">
        <v>686</v>
      </c>
      <c r="B1380" s="231" t="s">
        <v>1864</v>
      </c>
      <c r="C1380" s="618">
        <v>44985</v>
      </c>
      <c r="D1380" s="231" t="s">
        <v>4870</v>
      </c>
      <c r="E1380" s="231"/>
      <c r="F1380" s="619">
        <v>55</v>
      </c>
      <c r="G1380" s="231" t="s">
        <v>4851</v>
      </c>
      <c r="H1380" s="619"/>
      <c r="I1380" s="619"/>
      <c r="J1380" s="620">
        <v>23650000</v>
      </c>
      <c r="K1380" s="621" t="s">
        <v>1130</v>
      </c>
      <c r="L1380" s="621" t="s">
        <v>4852</v>
      </c>
      <c r="M1380" s="621" t="s">
        <v>4871</v>
      </c>
      <c r="N1380" s="621" t="s">
        <v>4754</v>
      </c>
      <c r="O1380" s="621"/>
      <c r="P1380" s="621"/>
    </row>
    <row r="1381" spans="1:16">
      <c r="A1381" s="232" t="s">
        <v>686</v>
      </c>
      <c r="B1381" s="232" t="s">
        <v>1864</v>
      </c>
      <c r="C1381" s="622">
        <v>44985</v>
      </c>
      <c r="D1381" s="232" t="s">
        <v>4868</v>
      </c>
      <c r="E1381" s="231" t="s">
        <v>5076</v>
      </c>
      <c r="F1381" s="233">
        <v>50</v>
      </c>
      <c r="G1381" s="232" t="s">
        <v>4851</v>
      </c>
      <c r="H1381" s="233"/>
      <c r="I1381" s="233"/>
      <c r="J1381" s="623">
        <v>21750000</v>
      </c>
      <c r="K1381" s="624" t="s">
        <v>1130</v>
      </c>
      <c r="L1381" s="624" t="s">
        <v>4852</v>
      </c>
      <c r="M1381" s="624" t="s">
        <v>4863</v>
      </c>
      <c r="N1381" s="624" t="s">
        <v>4754</v>
      </c>
      <c r="O1381" s="624"/>
      <c r="P1381" s="624"/>
    </row>
    <row r="1382" spans="1:16">
      <c r="A1382" s="231" t="s">
        <v>686</v>
      </c>
      <c r="B1382" s="231" t="s">
        <v>1864</v>
      </c>
      <c r="C1382" s="618">
        <v>44985</v>
      </c>
      <c r="D1382" s="231" t="s">
        <v>4868</v>
      </c>
      <c r="E1382" s="231" t="s">
        <v>5076</v>
      </c>
      <c r="F1382" s="619">
        <v>35</v>
      </c>
      <c r="G1382" s="231" t="s">
        <v>4851</v>
      </c>
      <c r="H1382" s="619"/>
      <c r="I1382" s="619"/>
      <c r="J1382" s="620">
        <v>15225000</v>
      </c>
      <c r="K1382" s="621" t="s">
        <v>1130</v>
      </c>
      <c r="L1382" s="621" t="s">
        <v>4852</v>
      </c>
      <c r="M1382" s="621" t="s">
        <v>4863</v>
      </c>
      <c r="N1382" s="621" t="s">
        <v>4754</v>
      </c>
      <c r="O1382" s="621"/>
      <c r="P1382" s="621"/>
    </row>
    <row r="1383" spans="1:16">
      <c r="A1383" s="232" t="s">
        <v>686</v>
      </c>
      <c r="B1383" s="232" t="s">
        <v>1864</v>
      </c>
      <c r="C1383" s="622">
        <v>44985</v>
      </c>
      <c r="D1383" s="232" t="s">
        <v>4868</v>
      </c>
      <c r="E1383" s="231" t="s">
        <v>5076</v>
      </c>
      <c r="F1383" s="233">
        <v>43</v>
      </c>
      <c r="G1383" s="232" t="s">
        <v>4851</v>
      </c>
      <c r="H1383" s="233"/>
      <c r="I1383" s="233"/>
      <c r="J1383" s="623">
        <v>18705000</v>
      </c>
      <c r="K1383" s="624" t="s">
        <v>1130</v>
      </c>
      <c r="L1383" s="624" t="s">
        <v>4852</v>
      </c>
      <c r="M1383" s="624" t="s">
        <v>4863</v>
      </c>
      <c r="N1383" s="624" t="s">
        <v>4754</v>
      </c>
      <c r="O1383" s="624"/>
      <c r="P1383" s="624"/>
    </row>
    <row r="1384" spans="1:16">
      <c r="A1384" s="231" t="s">
        <v>686</v>
      </c>
      <c r="B1384" s="231" t="s">
        <v>1864</v>
      </c>
      <c r="C1384" s="618">
        <v>44985</v>
      </c>
      <c r="D1384" s="231" t="s">
        <v>4868</v>
      </c>
      <c r="E1384" s="231" t="s">
        <v>5076</v>
      </c>
      <c r="F1384" s="619">
        <v>37</v>
      </c>
      <c r="G1384" s="231" t="s">
        <v>4851</v>
      </c>
      <c r="H1384" s="619"/>
      <c r="I1384" s="619"/>
      <c r="J1384" s="620">
        <v>16095000</v>
      </c>
      <c r="K1384" s="621" t="s">
        <v>1130</v>
      </c>
      <c r="L1384" s="621" t="s">
        <v>4852</v>
      </c>
      <c r="M1384" s="621" t="s">
        <v>4863</v>
      </c>
      <c r="N1384" s="621" t="s">
        <v>4754</v>
      </c>
      <c r="O1384" s="621"/>
      <c r="P1384" s="621"/>
    </row>
    <row r="1385" spans="1:16">
      <c r="A1385" s="232" t="s">
        <v>686</v>
      </c>
      <c r="B1385" s="232" t="s">
        <v>1864</v>
      </c>
      <c r="C1385" s="622">
        <v>44985</v>
      </c>
      <c r="D1385" s="232" t="s">
        <v>4868</v>
      </c>
      <c r="E1385" s="231" t="s">
        <v>5076</v>
      </c>
      <c r="F1385" s="233">
        <v>50</v>
      </c>
      <c r="G1385" s="232" t="s">
        <v>4851</v>
      </c>
      <c r="H1385" s="233"/>
      <c r="I1385" s="233"/>
      <c r="J1385" s="623">
        <v>21750000</v>
      </c>
      <c r="K1385" s="624" t="s">
        <v>1130</v>
      </c>
      <c r="L1385" s="624" t="s">
        <v>4852</v>
      </c>
      <c r="M1385" s="624" t="s">
        <v>4863</v>
      </c>
      <c r="N1385" s="624" t="s">
        <v>4754</v>
      </c>
      <c r="O1385" s="624"/>
      <c r="P1385" s="624"/>
    </row>
    <row r="1386" spans="1:16">
      <c r="A1386" s="231" t="s">
        <v>686</v>
      </c>
      <c r="B1386" s="231" t="s">
        <v>1864</v>
      </c>
      <c r="C1386" s="618">
        <v>44985</v>
      </c>
      <c r="D1386" s="231" t="s">
        <v>4870</v>
      </c>
      <c r="E1386" s="231"/>
      <c r="F1386" s="619">
        <v>2</v>
      </c>
      <c r="G1386" s="231" t="s">
        <v>4851</v>
      </c>
      <c r="H1386" s="619"/>
      <c r="I1386" s="619"/>
      <c r="J1386" s="620">
        <v>860000</v>
      </c>
      <c r="K1386" s="621" t="s">
        <v>1130</v>
      </c>
      <c r="L1386" s="621" t="s">
        <v>4852</v>
      </c>
      <c r="M1386" s="621" t="s">
        <v>4871</v>
      </c>
      <c r="N1386" s="621" t="s">
        <v>4754</v>
      </c>
      <c r="O1386" s="621"/>
      <c r="P1386" s="621"/>
    </row>
    <row r="1387" spans="1:16">
      <c r="A1387" s="232" t="s">
        <v>686</v>
      </c>
      <c r="B1387" s="232" t="s">
        <v>1864</v>
      </c>
      <c r="C1387" s="622">
        <v>44985</v>
      </c>
      <c r="D1387" s="232" t="s">
        <v>4870</v>
      </c>
      <c r="E1387" s="232"/>
      <c r="F1387" s="233">
        <v>48</v>
      </c>
      <c r="G1387" s="232" t="s">
        <v>4851</v>
      </c>
      <c r="H1387" s="233"/>
      <c r="I1387" s="233"/>
      <c r="J1387" s="623">
        <v>20640000</v>
      </c>
      <c r="K1387" s="624" t="s">
        <v>1130</v>
      </c>
      <c r="L1387" s="624" t="s">
        <v>4852</v>
      </c>
      <c r="M1387" s="624" t="s">
        <v>4871</v>
      </c>
      <c r="N1387" s="624" t="s">
        <v>4754</v>
      </c>
      <c r="O1387" s="624"/>
      <c r="P1387" s="624"/>
    </row>
    <row r="1388" spans="1:16">
      <c r="A1388" s="231" t="s">
        <v>686</v>
      </c>
      <c r="B1388" s="231" t="s">
        <v>1864</v>
      </c>
      <c r="C1388" s="618">
        <v>44985</v>
      </c>
      <c r="D1388" s="231" t="s">
        <v>4869</v>
      </c>
      <c r="E1388" s="231"/>
      <c r="F1388" s="619">
        <v>50</v>
      </c>
      <c r="G1388" s="231" t="s">
        <v>4851</v>
      </c>
      <c r="H1388" s="619"/>
      <c r="I1388" s="619"/>
      <c r="J1388" s="620">
        <v>21500000</v>
      </c>
      <c r="K1388" s="621" t="s">
        <v>1130</v>
      </c>
      <c r="L1388" s="621" t="s">
        <v>4852</v>
      </c>
      <c r="M1388" s="621" t="s">
        <v>4858</v>
      </c>
      <c r="N1388" s="621" t="s">
        <v>4754</v>
      </c>
      <c r="O1388" s="621"/>
      <c r="P1388" s="621"/>
    </row>
    <row r="1389" spans="1:16">
      <c r="A1389" s="232" t="s">
        <v>686</v>
      </c>
      <c r="B1389" s="232" t="s">
        <v>1864</v>
      </c>
      <c r="C1389" s="622">
        <v>44985</v>
      </c>
      <c r="D1389" s="232" t="s">
        <v>4869</v>
      </c>
      <c r="E1389" s="232"/>
      <c r="F1389" s="233">
        <v>50</v>
      </c>
      <c r="G1389" s="232" t="s">
        <v>4851</v>
      </c>
      <c r="H1389" s="233"/>
      <c r="I1389" s="233"/>
      <c r="J1389" s="623">
        <v>21500000</v>
      </c>
      <c r="K1389" s="624" t="s">
        <v>1130</v>
      </c>
      <c r="L1389" s="624" t="s">
        <v>4852</v>
      </c>
      <c r="M1389" s="624" t="s">
        <v>4858</v>
      </c>
      <c r="N1389" s="624" t="s">
        <v>4754</v>
      </c>
      <c r="O1389" s="624"/>
      <c r="P1389" s="624"/>
    </row>
    <row r="1390" spans="1:16">
      <c r="A1390" s="231" t="s">
        <v>686</v>
      </c>
      <c r="B1390" s="231" t="s">
        <v>1864</v>
      </c>
      <c r="C1390" s="618">
        <v>44985</v>
      </c>
      <c r="D1390" s="231" t="s">
        <v>4869</v>
      </c>
      <c r="E1390" s="231"/>
      <c r="F1390" s="619">
        <v>50</v>
      </c>
      <c r="G1390" s="231" t="s">
        <v>4851</v>
      </c>
      <c r="H1390" s="619"/>
      <c r="I1390" s="619"/>
      <c r="J1390" s="620">
        <v>21500000</v>
      </c>
      <c r="K1390" s="621" t="s">
        <v>1130</v>
      </c>
      <c r="L1390" s="621" t="s">
        <v>4852</v>
      </c>
      <c r="M1390" s="621" t="s">
        <v>4858</v>
      </c>
      <c r="N1390" s="621" t="s">
        <v>4754</v>
      </c>
      <c r="O1390" s="621"/>
      <c r="P1390" s="621"/>
    </row>
    <row r="1391" spans="1:16">
      <c r="A1391" s="232" t="s">
        <v>686</v>
      </c>
      <c r="B1391" s="232" t="s">
        <v>1864</v>
      </c>
      <c r="C1391" s="622">
        <v>44985</v>
      </c>
      <c r="D1391" s="232" t="s">
        <v>4869</v>
      </c>
      <c r="E1391" s="232"/>
      <c r="F1391" s="233">
        <v>50</v>
      </c>
      <c r="G1391" s="232" t="s">
        <v>4851</v>
      </c>
      <c r="H1391" s="233"/>
      <c r="I1391" s="233"/>
      <c r="J1391" s="623">
        <v>21500000</v>
      </c>
      <c r="K1391" s="624" t="s">
        <v>1130</v>
      </c>
      <c r="L1391" s="624" t="s">
        <v>4852</v>
      </c>
      <c r="M1391" s="624" t="s">
        <v>4858</v>
      </c>
      <c r="N1391" s="624" t="s">
        <v>4754</v>
      </c>
      <c r="O1391" s="624"/>
      <c r="P1391" s="624"/>
    </row>
    <row r="1392" spans="1:16">
      <c r="A1392" s="231" t="s">
        <v>686</v>
      </c>
      <c r="B1392" s="231" t="s">
        <v>1864</v>
      </c>
      <c r="C1392" s="618">
        <v>44985</v>
      </c>
      <c r="D1392" s="231" t="s">
        <v>4869</v>
      </c>
      <c r="E1392" s="231"/>
      <c r="F1392" s="619">
        <v>50</v>
      </c>
      <c r="G1392" s="231" t="s">
        <v>4851</v>
      </c>
      <c r="H1392" s="619"/>
      <c r="I1392" s="619"/>
      <c r="J1392" s="620">
        <v>21500000</v>
      </c>
      <c r="K1392" s="621" t="s">
        <v>1130</v>
      </c>
      <c r="L1392" s="621" t="s">
        <v>4852</v>
      </c>
      <c r="M1392" s="621" t="s">
        <v>4858</v>
      </c>
      <c r="N1392" s="621" t="s">
        <v>4754</v>
      </c>
      <c r="O1392" s="621"/>
      <c r="P1392" s="621"/>
    </row>
    <row r="1393" spans="1:16">
      <c r="A1393" s="232" t="s">
        <v>686</v>
      </c>
      <c r="B1393" s="232" t="s">
        <v>1864</v>
      </c>
      <c r="C1393" s="622">
        <v>44985</v>
      </c>
      <c r="D1393" s="232" t="s">
        <v>4869</v>
      </c>
      <c r="E1393" s="232"/>
      <c r="F1393" s="233">
        <v>50</v>
      </c>
      <c r="G1393" s="232" t="s">
        <v>4851</v>
      </c>
      <c r="H1393" s="233"/>
      <c r="I1393" s="233"/>
      <c r="J1393" s="623">
        <v>21500000</v>
      </c>
      <c r="K1393" s="624" t="s">
        <v>1130</v>
      </c>
      <c r="L1393" s="624" t="s">
        <v>4852</v>
      </c>
      <c r="M1393" s="624" t="s">
        <v>4858</v>
      </c>
      <c r="N1393" s="624" t="s">
        <v>4754</v>
      </c>
      <c r="O1393" s="624"/>
      <c r="P1393" s="624"/>
    </row>
    <row r="1394" spans="1:16">
      <c r="A1394" s="231" t="s">
        <v>686</v>
      </c>
      <c r="B1394" s="231" t="s">
        <v>1864</v>
      </c>
      <c r="C1394" s="618">
        <v>44985</v>
      </c>
      <c r="D1394" s="231" t="s">
        <v>4869</v>
      </c>
      <c r="E1394" s="231"/>
      <c r="F1394" s="619">
        <v>50</v>
      </c>
      <c r="G1394" s="231" t="s">
        <v>4851</v>
      </c>
      <c r="H1394" s="619"/>
      <c r="I1394" s="619"/>
      <c r="J1394" s="620">
        <v>21500000</v>
      </c>
      <c r="K1394" s="621" t="s">
        <v>1130</v>
      </c>
      <c r="L1394" s="621" t="s">
        <v>4852</v>
      </c>
      <c r="M1394" s="621" t="s">
        <v>4858</v>
      </c>
      <c r="N1394" s="621" t="s">
        <v>4754</v>
      </c>
      <c r="O1394" s="621"/>
      <c r="P1394" s="621"/>
    </row>
    <row r="1395" spans="1:16">
      <c r="A1395" s="232" t="s">
        <v>686</v>
      </c>
      <c r="B1395" s="232" t="s">
        <v>1864</v>
      </c>
      <c r="C1395" s="622">
        <v>44985</v>
      </c>
      <c r="D1395" s="232" t="s">
        <v>4869</v>
      </c>
      <c r="E1395" s="232"/>
      <c r="F1395" s="233">
        <v>50</v>
      </c>
      <c r="G1395" s="232" t="s">
        <v>4851</v>
      </c>
      <c r="H1395" s="233"/>
      <c r="I1395" s="233"/>
      <c r="J1395" s="623">
        <v>21500000</v>
      </c>
      <c r="K1395" s="624" t="s">
        <v>1130</v>
      </c>
      <c r="L1395" s="624" t="s">
        <v>4852</v>
      </c>
      <c r="M1395" s="624" t="s">
        <v>4858</v>
      </c>
      <c r="N1395" s="624" t="s">
        <v>4754</v>
      </c>
      <c r="O1395" s="624"/>
      <c r="P1395" s="624"/>
    </row>
    <row r="1396" spans="1:16">
      <c r="A1396" s="231" t="s">
        <v>686</v>
      </c>
      <c r="B1396" s="231" t="s">
        <v>1864</v>
      </c>
      <c r="C1396" s="618">
        <v>44985</v>
      </c>
      <c r="D1396" s="231" t="s">
        <v>4860</v>
      </c>
      <c r="E1396" s="232" t="s">
        <v>5072</v>
      </c>
      <c r="F1396" s="619">
        <v>100</v>
      </c>
      <c r="G1396" s="231" t="s">
        <v>4851</v>
      </c>
      <c r="H1396" s="619"/>
      <c r="I1396" s="619"/>
      <c r="J1396" s="620">
        <v>600000</v>
      </c>
      <c r="K1396" s="621" t="s">
        <v>991</v>
      </c>
      <c r="L1396" s="621" t="s">
        <v>4852</v>
      </c>
      <c r="M1396" s="621" t="s">
        <v>4872</v>
      </c>
      <c r="N1396" s="621" t="s">
        <v>4873</v>
      </c>
      <c r="O1396" s="621"/>
      <c r="P1396" s="621"/>
    </row>
    <row r="1397" spans="1:16">
      <c r="A1397" s="232" t="s">
        <v>686</v>
      </c>
      <c r="B1397" s="232" t="s">
        <v>1864</v>
      </c>
      <c r="C1397" s="622">
        <v>44985</v>
      </c>
      <c r="D1397" s="232" t="s">
        <v>4868</v>
      </c>
      <c r="E1397" s="231" t="s">
        <v>5076</v>
      </c>
      <c r="F1397" s="233">
        <v>52</v>
      </c>
      <c r="G1397" s="232" t="s">
        <v>4851</v>
      </c>
      <c r="H1397" s="233"/>
      <c r="I1397" s="233"/>
      <c r="J1397" s="623">
        <v>22620000</v>
      </c>
      <c r="K1397" s="624" t="s">
        <v>1130</v>
      </c>
      <c r="L1397" s="624" t="s">
        <v>4852</v>
      </c>
      <c r="M1397" s="624" t="s">
        <v>4863</v>
      </c>
      <c r="N1397" s="624" t="s">
        <v>4754</v>
      </c>
      <c r="O1397" s="624"/>
      <c r="P1397" s="624"/>
    </row>
    <row r="1398" spans="1:16">
      <c r="A1398" s="231" t="s">
        <v>686</v>
      </c>
      <c r="B1398" s="231" t="s">
        <v>1864</v>
      </c>
      <c r="C1398" s="618">
        <v>44985</v>
      </c>
      <c r="D1398" s="231" t="s">
        <v>4868</v>
      </c>
      <c r="E1398" s="231" t="s">
        <v>5076</v>
      </c>
      <c r="F1398" s="619">
        <v>50</v>
      </c>
      <c r="G1398" s="231" t="s">
        <v>4851</v>
      </c>
      <c r="H1398" s="619"/>
      <c r="I1398" s="619"/>
      <c r="J1398" s="620">
        <v>21750000</v>
      </c>
      <c r="K1398" s="621" t="s">
        <v>1130</v>
      </c>
      <c r="L1398" s="621" t="s">
        <v>4852</v>
      </c>
      <c r="M1398" s="621" t="s">
        <v>4863</v>
      </c>
      <c r="N1398" s="621" t="s">
        <v>4754</v>
      </c>
      <c r="O1398" s="621"/>
      <c r="P1398" s="621"/>
    </row>
    <row r="1399" spans="1:16">
      <c r="A1399" s="232" t="s">
        <v>686</v>
      </c>
      <c r="B1399" s="232" t="s">
        <v>1864</v>
      </c>
      <c r="C1399" s="622">
        <v>44985</v>
      </c>
      <c r="D1399" s="232" t="s">
        <v>4868</v>
      </c>
      <c r="E1399" s="231" t="s">
        <v>5076</v>
      </c>
      <c r="F1399" s="233">
        <v>50</v>
      </c>
      <c r="G1399" s="232" t="s">
        <v>4851</v>
      </c>
      <c r="H1399" s="233"/>
      <c r="I1399" s="233"/>
      <c r="J1399" s="623">
        <v>21750000</v>
      </c>
      <c r="K1399" s="624" t="s">
        <v>1130</v>
      </c>
      <c r="L1399" s="624" t="s">
        <v>4852</v>
      </c>
      <c r="M1399" s="624" t="s">
        <v>4863</v>
      </c>
      <c r="N1399" s="624" t="s">
        <v>4754</v>
      </c>
      <c r="O1399" s="624"/>
      <c r="P1399" s="624"/>
    </row>
    <row r="1400" spans="1:16">
      <c r="A1400" s="231" t="s">
        <v>686</v>
      </c>
      <c r="B1400" s="231" t="s">
        <v>1864</v>
      </c>
      <c r="C1400" s="618">
        <v>44985</v>
      </c>
      <c r="D1400" s="231" t="s">
        <v>4868</v>
      </c>
      <c r="E1400" s="231" t="s">
        <v>5076</v>
      </c>
      <c r="F1400" s="619">
        <v>45</v>
      </c>
      <c r="G1400" s="231" t="s">
        <v>4851</v>
      </c>
      <c r="H1400" s="619"/>
      <c r="I1400" s="619"/>
      <c r="J1400" s="620">
        <v>19575000</v>
      </c>
      <c r="K1400" s="621" t="s">
        <v>1130</v>
      </c>
      <c r="L1400" s="621" t="s">
        <v>4852</v>
      </c>
      <c r="M1400" s="621" t="s">
        <v>4863</v>
      </c>
      <c r="N1400" s="621" t="s">
        <v>4754</v>
      </c>
      <c r="O1400" s="621"/>
      <c r="P1400" s="621"/>
    </row>
    <row r="1401" spans="1:16">
      <c r="A1401" s="232" t="s">
        <v>686</v>
      </c>
      <c r="B1401" s="232" t="s">
        <v>1864</v>
      </c>
      <c r="C1401" s="622">
        <v>44985</v>
      </c>
      <c r="D1401" s="232" t="s">
        <v>4868</v>
      </c>
      <c r="E1401" s="231" t="s">
        <v>5076</v>
      </c>
      <c r="F1401" s="233">
        <v>43</v>
      </c>
      <c r="G1401" s="232" t="s">
        <v>4851</v>
      </c>
      <c r="H1401" s="233"/>
      <c r="I1401" s="233"/>
      <c r="J1401" s="623">
        <v>18705000</v>
      </c>
      <c r="K1401" s="624" t="s">
        <v>1130</v>
      </c>
      <c r="L1401" s="624" t="s">
        <v>4852</v>
      </c>
      <c r="M1401" s="624" t="s">
        <v>4863</v>
      </c>
      <c r="N1401" s="624" t="s">
        <v>4754</v>
      </c>
      <c r="O1401" s="624"/>
      <c r="P1401" s="624"/>
    </row>
    <row r="1402" spans="1:16">
      <c r="A1402" s="231" t="s">
        <v>686</v>
      </c>
      <c r="B1402" s="231" t="s">
        <v>1864</v>
      </c>
      <c r="C1402" s="618">
        <v>44985</v>
      </c>
      <c r="D1402" s="231" t="s">
        <v>4862</v>
      </c>
      <c r="E1402" s="231"/>
      <c r="F1402" s="619">
        <v>48</v>
      </c>
      <c r="G1402" s="231" t="s">
        <v>4851</v>
      </c>
      <c r="H1402" s="619"/>
      <c r="I1402" s="619"/>
      <c r="J1402" s="620">
        <v>23184000</v>
      </c>
      <c r="K1402" s="621" t="s">
        <v>1130</v>
      </c>
      <c r="L1402" s="621" t="s">
        <v>4852</v>
      </c>
      <c r="M1402" s="621" t="s">
        <v>4867</v>
      </c>
      <c r="N1402" s="621" t="s">
        <v>4754</v>
      </c>
      <c r="O1402" s="621"/>
      <c r="P1402" s="621"/>
    </row>
    <row r="1403" spans="1:16">
      <c r="A1403" s="232" t="s">
        <v>686</v>
      </c>
      <c r="B1403" s="232" t="s">
        <v>1864</v>
      </c>
      <c r="C1403" s="622">
        <v>44985</v>
      </c>
      <c r="D1403" s="232" t="s">
        <v>4870</v>
      </c>
      <c r="E1403" s="232"/>
      <c r="F1403" s="233">
        <v>44</v>
      </c>
      <c r="G1403" s="232" t="s">
        <v>4851</v>
      </c>
      <c r="H1403" s="233"/>
      <c r="I1403" s="233"/>
      <c r="J1403" s="623">
        <v>18920000</v>
      </c>
      <c r="K1403" s="624" t="s">
        <v>1130</v>
      </c>
      <c r="L1403" s="624" t="s">
        <v>4852</v>
      </c>
      <c r="M1403" s="624" t="s">
        <v>4871</v>
      </c>
      <c r="N1403" s="624" t="s">
        <v>4754</v>
      </c>
      <c r="O1403" s="624"/>
      <c r="P1403" s="624"/>
    </row>
    <row r="1404" spans="1:16">
      <c r="A1404" s="231" t="s">
        <v>686</v>
      </c>
      <c r="B1404" s="231" t="s">
        <v>1864</v>
      </c>
      <c r="C1404" s="618">
        <v>44985</v>
      </c>
      <c r="D1404" s="231" t="s">
        <v>4868</v>
      </c>
      <c r="E1404" s="231" t="s">
        <v>5076</v>
      </c>
      <c r="F1404" s="619">
        <v>55</v>
      </c>
      <c r="G1404" s="231" t="s">
        <v>4851</v>
      </c>
      <c r="H1404" s="619"/>
      <c r="I1404" s="619"/>
      <c r="J1404" s="620">
        <v>23925000</v>
      </c>
      <c r="K1404" s="621" t="s">
        <v>1130</v>
      </c>
      <c r="L1404" s="621" t="s">
        <v>4852</v>
      </c>
      <c r="M1404" s="621" t="s">
        <v>4863</v>
      </c>
      <c r="N1404" s="621" t="s">
        <v>4754</v>
      </c>
      <c r="O1404" s="621"/>
      <c r="P1404" s="621"/>
    </row>
    <row r="1405" spans="1:16">
      <c r="A1405" s="232" t="s">
        <v>686</v>
      </c>
      <c r="B1405" s="232" t="s">
        <v>1864</v>
      </c>
      <c r="C1405" s="622">
        <v>44985</v>
      </c>
      <c r="D1405" s="232" t="s">
        <v>4868</v>
      </c>
      <c r="E1405" s="231" t="s">
        <v>5076</v>
      </c>
      <c r="F1405" s="233">
        <v>35</v>
      </c>
      <c r="G1405" s="232" t="s">
        <v>4851</v>
      </c>
      <c r="H1405" s="233"/>
      <c r="I1405" s="233"/>
      <c r="J1405" s="623">
        <v>15225000</v>
      </c>
      <c r="K1405" s="624" t="s">
        <v>1130</v>
      </c>
      <c r="L1405" s="624" t="s">
        <v>4852</v>
      </c>
      <c r="M1405" s="624" t="s">
        <v>4863</v>
      </c>
      <c r="N1405" s="624" t="s">
        <v>4754</v>
      </c>
      <c r="O1405" s="624"/>
      <c r="P1405" s="624"/>
    </row>
    <row r="1406" spans="1:16">
      <c r="A1406" s="231" t="s">
        <v>686</v>
      </c>
      <c r="B1406" s="231" t="s">
        <v>1864</v>
      </c>
      <c r="C1406" s="618">
        <v>44985</v>
      </c>
      <c r="D1406" s="231" t="s">
        <v>4868</v>
      </c>
      <c r="E1406" s="231" t="s">
        <v>5076</v>
      </c>
      <c r="F1406" s="619">
        <v>52</v>
      </c>
      <c r="G1406" s="231" t="s">
        <v>4851</v>
      </c>
      <c r="H1406" s="619"/>
      <c r="I1406" s="619"/>
      <c r="J1406" s="620">
        <v>22620000</v>
      </c>
      <c r="K1406" s="621" t="s">
        <v>1130</v>
      </c>
      <c r="L1406" s="621" t="s">
        <v>4852</v>
      </c>
      <c r="M1406" s="621" t="s">
        <v>4863</v>
      </c>
      <c r="N1406" s="621" t="s">
        <v>4754</v>
      </c>
      <c r="O1406" s="621"/>
      <c r="P1406" s="621"/>
    </row>
    <row r="1407" spans="1:16">
      <c r="A1407" s="232" t="s">
        <v>686</v>
      </c>
      <c r="B1407" s="232" t="s">
        <v>1864</v>
      </c>
      <c r="C1407" s="622">
        <v>44985</v>
      </c>
      <c r="D1407" s="232" t="s">
        <v>4868</v>
      </c>
      <c r="E1407" s="231" t="s">
        <v>5076</v>
      </c>
      <c r="F1407" s="233">
        <v>50</v>
      </c>
      <c r="G1407" s="232" t="s">
        <v>4851</v>
      </c>
      <c r="H1407" s="233"/>
      <c r="I1407" s="233"/>
      <c r="J1407" s="623">
        <v>21750000</v>
      </c>
      <c r="K1407" s="624" t="s">
        <v>1130</v>
      </c>
      <c r="L1407" s="624" t="s">
        <v>4852</v>
      </c>
      <c r="M1407" s="624" t="s">
        <v>4863</v>
      </c>
      <c r="N1407" s="624" t="s">
        <v>4754</v>
      </c>
      <c r="O1407" s="624"/>
      <c r="P1407" s="624"/>
    </row>
    <row r="1408" spans="1:16">
      <c r="A1408" s="231" t="s">
        <v>686</v>
      </c>
      <c r="B1408" s="231" t="s">
        <v>1864</v>
      </c>
      <c r="C1408" s="618">
        <v>44985</v>
      </c>
      <c r="D1408" s="231" t="s">
        <v>4870</v>
      </c>
      <c r="E1408" s="231"/>
      <c r="F1408" s="619">
        <v>55</v>
      </c>
      <c r="G1408" s="231" t="s">
        <v>4851</v>
      </c>
      <c r="H1408" s="619"/>
      <c r="I1408" s="619"/>
      <c r="J1408" s="620">
        <v>23650000</v>
      </c>
      <c r="K1408" s="621" t="s">
        <v>1130</v>
      </c>
      <c r="L1408" s="621" t="s">
        <v>4852</v>
      </c>
      <c r="M1408" s="621" t="s">
        <v>4871</v>
      </c>
      <c r="N1408" s="621" t="s">
        <v>4754</v>
      </c>
      <c r="O1408" s="621"/>
      <c r="P1408" s="621"/>
    </row>
    <row r="1409" spans="1:16">
      <c r="A1409" s="232" t="s">
        <v>686</v>
      </c>
      <c r="B1409" s="232" t="s">
        <v>1864</v>
      </c>
      <c r="C1409" s="622">
        <v>44985</v>
      </c>
      <c r="D1409" s="232" t="s">
        <v>4850</v>
      </c>
      <c r="E1409" s="232"/>
      <c r="F1409" s="233"/>
      <c r="G1409" s="232" t="s">
        <v>4851</v>
      </c>
      <c r="H1409" s="233"/>
      <c r="I1409" s="233">
        <v>-151120.26</v>
      </c>
      <c r="J1409" s="623">
        <v>-92643368.670000002</v>
      </c>
      <c r="K1409" s="624" t="s">
        <v>991</v>
      </c>
      <c r="L1409" s="624" t="s">
        <v>4852</v>
      </c>
      <c r="M1409" s="624" t="s">
        <v>4853</v>
      </c>
      <c r="N1409" s="624" t="s">
        <v>4854</v>
      </c>
      <c r="O1409" s="624"/>
      <c r="P1409" s="624"/>
    </row>
    <row r="1410" spans="1:16">
      <c r="A1410" s="231" t="s">
        <v>686</v>
      </c>
      <c r="B1410" s="231" t="s">
        <v>1864</v>
      </c>
      <c r="C1410" s="618">
        <v>44985</v>
      </c>
      <c r="D1410" s="231" t="s">
        <v>4850</v>
      </c>
      <c r="E1410" s="231"/>
      <c r="F1410" s="619"/>
      <c r="G1410" s="231" t="s">
        <v>4851</v>
      </c>
      <c r="H1410" s="619"/>
      <c r="I1410" s="619">
        <v>-176051.15</v>
      </c>
      <c r="J1410" s="620">
        <v>-107927101.2</v>
      </c>
      <c r="K1410" s="621" t="s">
        <v>991</v>
      </c>
      <c r="L1410" s="621" t="s">
        <v>4852</v>
      </c>
      <c r="M1410" s="621" t="s">
        <v>4853</v>
      </c>
      <c r="N1410" s="621" t="s">
        <v>4854</v>
      </c>
      <c r="O1410" s="621"/>
      <c r="P1410" s="621"/>
    </row>
    <row r="1411" spans="1:16">
      <c r="A1411" s="232" t="s">
        <v>686</v>
      </c>
      <c r="B1411" s="232" t="s">
        <v>1864</v>
      </c>
      <c r="C1411" s="622">
        <v>44985</v>
      </c>
      <c r="D1411" s="232" t="s">
        <v>4850</v>
      </c>
      <c r="E1411" s="232"/>
      <c r="F1411" s="233"/>
      <c r="G1411" s="232" t="s">
        <v>4851</v>
      </c>
      <c r="H1411" s="233"/>
      <c r="I1411" s="233">
        <v>-149583.67000000001</v>
      </c>
      <c r="J1411" s="623">
        <v>-91701371.390000001</v>
      </c>
      <c r="K1411" s="624" t="s">
        <v>991</v>
      </c>
      <c r="L1411" s="624" t="s">
        <v>4852</v>
      </c>
      <c r="M1411" s="624" t="s">
        <v>4853</v>
      </c>
      <c r="N1411" s="624" t="s">
        <v>4854</v>
      </c>
      <c r="O1411" s="624"/>
      <c r="P1411" s="624"/>
    </row>
    <row r="1412" spans="1:16">
      <c r="A1412" s="231" t="s">
        <v>686</v>
      </c>
      <c r="B1412" s="231" t="s">
        <v>1864</v>
      </c>
      <c r="C1412" s="618">
        <v>45077</v>
      </c>
      <c r="D1412" s="231" t="s">
        <v>4868</v>
      </c>
      <c r="E1412" s="231" t="s">
        <v>5076</v>
      </c>
      <c r="F1412" s="619">
        <v>49</v>
      </c>
      <c r="G1412" s="231" t="s">
        <v>4851</v>
      </c>
      <c r="H1412" s="619"/>
      <c r="I1412" s="619"/>
      <c r="J1412" s="620">
        <v>22687000</v>
      </c>
      <c r="K1412" s="621" t="s">
        <v>1130</v>
      </c>
      <c r="L1412" s="621" t="s">
        <v>4852</v>
      </c>
      <c r="M1412" s="621" t="s">
        <v>4867</v>
      </c>
      <c r="N1412" s="621" t="s">
        <v>4754</v>
      </c>
      <c r="O1412" s="621"/>
      <c r="P1412" s="621"/>
    </row>
    <row r="1413" spans="1:16">
      <c r="A1413" s="232" t="s">
        <v>686</v>
      </c>
      <c r="B1413" s="232" t="s">
        <v>1864</v>
      </c>
      <c r="C1413" s="622">
        <v>45077</v>
      </c>
      <c r="D1413" s="232" t="s">
        <v>4868</v>
      </c>
      <c r="E1413" s="231" t="s">
        <v>5076</v>
      </c>
      <c r="F1413" s="233">
        <v>49</v>
      </c>
      <c r="G1413" s="232" t="s">
        <v>4851</v>
      </c>
      <c r="H1413" s="233"/>
      <c r="I1413" s="233"/>
      <c r="J1413" s="623">
        <v>22687000</v>
      </c>
      <c r="K1413" s="624" t="s">
        <v>1130</v>
      </c>
      <c r="L1413" s="624" t="s">
        <v>4852</v>
      </c>
      <c r="M1413" s="624" t="s">
        <v>4867</v>
      </c>
      <c r="N1413" s="624" t="s">
        <v>4754</v>
      </c>
      <c r="O1413" s="624"/>
      <c r="P1413" s="624"/>
    </row>
    <row r="1414" spans="1:16">
      <c r="A1414" s="231" t="s">
        <v>686</v>
      </c>
      <c r="B1414" s="231" t="s">
        <v>1864</v>
      </c>
      <c r="C1414" s="618">
        <v>45077</v>
      </c>
      <c r="D1414" s="231" t="s">
        <v>4868</v>
      </c>
      <c r="E1414" s="231" t="s">
        <v>5076</v>
      </c>
      <c r="F1414" s="619">
        <v>49</v>
      </c>
      <c r="G1414" s="231" t="s">
        <v>4851</v>
      </c>
      <c r="H1414" s="619"/>
      <c r="I1414" s="619"/>
      <c r="J1414" s="620">
        <v>22687000</v>
      </c>
      <c r="K1414" s="621" t="s">
        <v>1130</v>
      </c>
      <c r="L1414" s="621" t="s">
        <v>4852</v>
      </c>
      <c r="M1414" s="621" t="s">
        <v>4867</v>
      </c>
      <c r="N1414" s="621" t="s">
        <v>4754</v>
      </c>
      <c r="O1414" s="621"/>
      <c r="P1414" s="621"/>
    </row>
    <row r="1415" spans="1:16">
      <c r="A1415" s="232" t="s">
        <v>686</v>
      </c>
      <c r="B1415" s="232" t="s">
        <v>1864</v>
      </c>
      <c r="C1415" s="622">
        <v>45077</v>
      </c>
      <c r="D1415" s="232" t="s">
        <v>4868</v>
      </c>
      <c r="E1415" s="231" t="s">
        <v>5076</v>
      </c>
      <c r="F1415" s="233">
        <v>49</v>
      </c>
      <c r="G1415" s="232" t="s">
        <v>4851</v>
      </c>
      <c r="H1415" s="233"/>
      <c r="I1415" s="233"/>
      <c r="J1415" s="623">
        <v>22687000</v>
      </c>
      <c r="K1415" s="624" t="s">
        <v>1130</v>
      </c>
      <c r="L1415" s="624" t="s">
        <v>4852</v>
      </c>
      <c r="M1415" s="624" t="s">
        <v>4867</v>
      </c>
      <c r="N1415" s="624" t="s">
        <v>4754</v>
      </c>
      <c r="O1415" s="624"/>
      <c r="P1415" s="624"/>
    </row>
    <row r="1416" spans="1:16">
      <c r="A1416" s="231" t="s">
        <v>686</v>
      </c>
      <c r="B1416" s="231" t="s">
        <v>1864</v>
      </c>
      <c r="C1416" s="618">
        <v>45077</v>
      </c>
      <c r="D1416" s="231" t="s">
        <v>4868</v>
      </c>
      <c r="E1416" s="231" t="s">
        <v>5076</v>
      </c>
      <c r="F1416" s="619">
        <v>49</v>
      </c>
      <c r="G1416" s="231" t="s">
        <v>4851</v>
      </c>
      <c r="H1416" s="619"/>
      <c r="I1416" s="619"/>
      <c r="J1416" s="620">
        <v>22687000</v>
      </c>
      <c r="K1416" s="621" t="s">
        <v>1130</v>
      </c>
      <c r="L1416" s="621" t="s">
        <v>4852</v>
      </c>
      <c r="M1416" s="621" t="s">
        <v>4867</v>
      </c>
      <c r="N1416" s="621" t="s">
        <v>4754</v>
      </c>
      <c r="O1416" s="621"/>
      <c r="P1416" s="621"/>
    </row>
    <row r="1417" spans="1:16">
      <c r="A1417" s="232" t="s">
        <v>686</v>
      </c>
      <c r="B1417" s="232" t="s">
        <v>1864</v>
      </c>
      <c r="C1417" s="622">
        <v>45077</v>
      </c>
      <c r="D1417" s="232" t="s">
        <v>4870</v>
      </c>
      <c r="E1417" s="232"/>
      <c r="F1417" s="233">
        <v>55</v>
      </c>
      <c r="G1417" s="232" t="s">
        <v>4851</v>
      </c>
      <c r="H1417" s="233"/>
      <c r="I1417" s="233"/>
      <c r="J1417" s="623">
        <v>23650000</v>
      </c>
      <c r="K1417" s="624" t="s">
        <v>1130</v>
      </c>
      <c r="L1417" s="624" t="s">
        <v>4852</v>
      </c>
      <c r="M1417" s="624" t="s">
        <v>4871</v>
      </c>
      <c r="N1417" s="624" t="s">
        <v>4754</v>
      </c>
      <c r="O1417" s="624"/>
      <c r="P1417" s="624"/>
    </row>
    <row r="1418" spans="1:16">
      <c r="A1418" s="231" t="s">
        <v>686</v>
      </c>
      <c r="B1418" s="231" t="s">
        <v>1864</v>
      </c>
      <c r="C1418" s="618">
        <v>45077</v>
      </c>
      <c r="D1418" s="231" t="s">
        <v>4870</v>
      </c>
      <c r="E1418" s="231"/>
      <c r="F1418" s="619">
        <v>50</v>
      </c>
      <c r="G1418" s="231" t="s">
        <v>4851</v>
      </c>
      <c r="H1418" s="619"/>
      <c r="I1418" s="619"/>
      <c r="J1418" s="620">
        <v>21500000</v>
      </c>
      <c r="K1418" s="621" t="s">
        <v>1130</v>
      </c>
      <c r="L1418" s="621" t="s">
        <v>4852</v>
      </c>
      <c r="M1418" s="621" t="s">
        <v>4871</v>
      </c>
      <c r="N1418" s="621" t="s">
        <v>4754</v>
      </c>
      <c r="O1418" s="621"/>
      <c r="P1418" s="621"/>
    </row>
    <row r="1419" spans="1:16">
      <c r="A1419" s="232" t="s">
        <v>686</v>
      </c>
      <c r="B1419" s="232" t="s">
        <v>1864</v>
      </c>
      <c r="C1419" s="622">
        <v>45077</v>
      </c>
      <c r="D1419" s="232" t="s">
        <v>4870</v>
      </c>
      <c r="E1419" s="232"/>
      <c r="F1419" s="233">
        <v>52</v>
      </c>
      <c r="G1419" s="232" t="s">
        <v>4851</v>
      </c>
      <c r="H1419" s="233"/>
      <c r="I1419" s="233"/>
      <c r="J1419" s="623">
        <v>22360000</v>
      </c>
      <c r="K1419" s="624" t="s">
        <v>1130</v>
      </c>
      <c r="L1419" s="624" t="s">
        <v>4852</v>
      </c>
      <c r="M1419" s="624" t="s">
        <v>4871</v>
      </c>
      <c r="N1419" s="624" t="s">
        <v>4754</v>
      </c>
      <c r="O1419" s="624"/>
      <c r="P1419" s="624"/>
    </row>
    <row r="1420" spans="1:16">
      <c r="A1420" s="231" t="s">
        <v>686</v>
      </c>
      <c r="B1420" s="231" t="s">
        <v>1864</v>
      </c>
      <c r="C1420" s="618">
        <v>45077</v>
      </c>
      <c r="D1420" s="231" t="s">
        <v>4870</v>
      </c>
      <c r="E1420" s="231"/>
      <c r="F1420" s="619">
        <v>52</v>
      </c>
      <c r="G1420" s="231" t="s">
        <v>4851</v>
      </c>
      <c r="H1420" s="619"/>
      <c r="I1420" s="619"/>
      <c r="J1420" s="620">
        <v>22360000</v>
      </c>
      <c r="K1420" s="621" t="s">
        <v>1130</v>
      </c>
      <c r="L1420" s="621" t="s">
        <v>4852</v>
      </c>
      <c r="M1420" s="621" t="s">
        <v>4871</v>
      </c>
      <c r="N1420" s="621" t="s">
        <v>4754</v>
      </c>
      <c r="O1420" s="621"/>
      <c r="P1420" s="621"/>
    </row>
    <row r="1421" spans="1:16">
      <c r="A1421" s="232" t="s">
        <v>686</v>
      </c>
      <c r="B1421" s="232" t="s">
        <v>1864</v>
      </c>
      <c r="C1421" s="622">
        <v>45077</v>
      </c>
      <c r="D1421" s="232" t="s">
        <v>4870</v>
      </c>
      <c r="E1421" s="232"/>
      <c r="F1421" s="233">
        <v>52</v>
      </c>
      <c r="G1421" s="232" t="s">
        <v>4851</v>
      </c>
      <c r="H1421" s="233"/>
      <c r="I1421" s="233"/>
      <c r="J1421" s="623">
        <v>22360000</v>
      </c>
      <c r="K1421" s="624" t="s">
        <v>1130</v>
      </c>
      <c r="L1421" s="624" t="s">
        <v>4852</v>
      </c>
      <c r="M1421" s="624" t="s">
        <v>4871</v>
      </c>
      <c r="N1421" s="624" t="s">
        <v>4754</v>
      </c>
      <c r="O1421" s="624"/>
      <c r="P1421" s="624"/>
    </row>
    <row r="1422" spans="1:16">
      <c r="A1422" s="231" t="s">
        <v>686</v>
      </c>
      <c r="B1422" s="231" t="s">
        <v>1864</v>
      </c>
      <c r="C1422" s="618">
        <v>45077</v>
      </c>
      <c r="D1422" s="231" t="s">
        <v>4870</v>
      </c>
      <c r="E1422" s="231"/>
      <c r="F1422" s="619">
        <v>52</v>
      </c>
      <c r="G1422" s="231" t="s">
        <v>4851</v>
      </c>
      <c r="H1422" s="619"/>
      <c r="I1422" s="619"/>
      <c r="J1422" s="620">
        <v>22360000</v>
      </c>
      <c r="K1422" s="621" t="s">
        <v>1130</v>
      </c>
      <c r="L1422" s="621" t="s">
        <v>4852</v>
      </c>
      <c r="M1422" s="621" t="s">
        <v>4871</v>
      </c>
      <c r="N1422" s="621" t="s">
        <v>4754</v>
      </c>
      <c r="O1422" s="621"/>
      <c r="P1422" s="621"/>
    </row>
    <row r="1423" spans="1:16">
      <c r="A1423" s="232" t="s">
        <v>686</v>
      </c>
      <c r="B1423" s="232" t="s">
        <v>1864</v>
      </c>
      <c r="C1423" s="622">
        <v>45077</v>
      </c>
      <c r="D1423" s="232" t="s">
        <v>4870</v>
      </c>
      <c r="E1423" s="232"/>
      <c r="F1423" s="233">
        <v>53</v>
      </c>
      <c r="G1423" s="232" t="s">
        <v>4851</v>
      </c>
      <c r="H1423" s="233"/>
      <c r="I1423" s="233"/>
      <c r="J1423" s="623">
        <v>22790000</v>
      </c>
      <c r="K1423" s="624" t="s">
        <v>1130</v>
      </c>
      <c r="L1423" s="624" t="s">
        <v>4852</v>
      </c>
      <c r="M1423" s="624" t="s">
        <v>4871</v>
      </c>
      <c r="N1423" s="624" t="s">
        <v>4754</v>
      </c>
      <c r="O1423" s="624"/>
      <c r="P1423" s="624"/>
    </row>
    <row r="1424" spans="1:16">
      <c r="A1424" s="231" t="s">
        <v>686</v>
      </c>
      <c r="B1424" s="231" t="s">
        <v>1864</v>
      </c>
      <c r="C1424" s="618">
        <v>45077</v>
      </c>
      <c r="D1424" s="231" t="s">
        <v>4870</v>
      </c>
      <c r="E1424" s="231"/>
      <c r="F1424" s="619">
        <v>53</v>
      </c>
      <c r="G1424" s="231" t="s">
        <v>4851</v>
      </c>
      <c r="H1424" s="619"/>
      <c r="I1424" s="619"/>
      <c r="J1424" s="620">
        <v>22790000</v>
      </c>
      <c r="K1424" s="621" t="s">
        <v>1130</v>
      </c>
      <c r="L1424" s="621" t="s">
        <v>4852</v>
      </c>
      <c r="M1424" s="621" t="s">
        <v>4871</v>
      </c>
      <c r="N1424" s="621" t="s">
        <v>4754</v>
      </c>
      <c r="O1424" s="621"/>
      <c r="P1424" s="621"/>
    </row>
    <row r="1425" spans="1:16">
      <c r="A1425" s="232" t="s">
        <v>686</v>
      </c>
      <c r="B1425" s="232" t="s">
        <v>1864</v>
      </c>
      <c r="C1425" s="622">
        <v>45077</v>
      </c>
      <c r="D1425" s="232" t="s">
        <v>4870</v>
      </c>
      <c r="E1425" s="232"/>
      <c r="F1425" s="233">
        <v>52</v>
      </c>
      <c r="G1425" s="232" t="s">
        <v>4851</v>
      </c>
      <c r="H1425" s="233"/>
      <c r="I1425" s="233"/>
      <c r="J1425" s="623">
        <v>22360000</v>
      </c>
      <c r="K1425" s="624" t="s">
        <v>1130</v>
      </c>
      <c r="L1425" s="624" t="s">
        <v>4852</v>
      </c>
      <c r="M1425" s="624" t="s">
        <v>4871</v>
      </c>
      <c r="N1425" s="624" t="s">
        <v>4754</v>
      </c>
      <c r="O1425" s="624"/>
      <c r="P1425" s="624"/>
    </row>
    <row r="1426" spans="1:16">
      <c r="A1426" s="231" t="s">
        <v>686</v>
      </c>
      <c r="B1426" s="231" t="s">
        <v>1864</v>
      </c>
      <c r="C1426" s="618">
        <v>45077</v>
      </c>
      <c r="D1426" s="231" t="s">
        <v>4870</v>
      </c>
      <c r="E1426" s="231"/>
      <c r="F1426" s="619">
        <v>50</v>
      </c>
      <c r="G1426" s="231" t="s">
        <v>4851</v>
      </c>
      <c r="H1426" s="619"/>
      <c r="I1426" s="619"/>
      <c r="J1426" s="620">
        <v>21500000</v>
      </c>
      <c r="K1426" s="621" t="s">
        <v>1130</v>
      </c>
      <c r="L1426" s="621" t="s">
        <v>4852</v>
      </c>
      <c r="M1426" s="621" t="s">
        <v>4871</v>
      </c>
      <c r="N1426" s="621" t="s">
        <v>4754</v>
      </c>
      <c r="O1426" s="621"/>
      <c r="P1426" s="621"/>
    </row>
    <row r="1427" spans="1:16">
      <c r="A1427" s="232" t="s">
        <v>686</v>
      </c>
      <c r="B1427" s="232" t="s">
        <v>1864</v>
      </c>
      <c r="C1427" s="622">
        <v>45077</v>
      </c>
      <c r="D1427" s="232" t="s">
        <v>4868</v>
      </c>
      <c r="E1427" s="231" t="s">
        <v>5076</v>
      </c>
      <c r="F1427" s="233">
        <v>50</v>
      </c>
      <c r="G1427" s="232" t="s">
        <v>4851</v>
      </c>
      <c r="H1427" s="233"/>
      <c r="I1427" s="233"/>
      <c r="J1427" s="623">
        <v>21000000</v>
      </c>
      <c r="K1427" s="624" t="s">
        <v>1130</v>
      </c>
      <c r="L1427" s="624" t="s">
        <v>4852</v>
      </c>
      <c r="M1427" s="624" t="s">
        <v>4858</v>
      </c>
      <c r="N1427" s="624" t="s">
        <v>4754</v>
      </c>
      <c r="O1427" s="624"/>
      <c r="P1427" s="624"/>
    </row>
    <row r="1428" spans="1:16">
      <c r="A1428" s="231" t="s">
        <v>686</v>
      </c>
      <c r="B1428" s="231" t="s">
        <v>1864</v>
      </c>
      <c r="C1428" s="618">
        <v>45077</v>
      </c>
      <c r="D1428" s="231" t="s">
        <v>4868</v>
      </c>
      <c r="E1428" s="231" t="s">
        <v>5076</v>
      </c>
      <c r="F1428" s="619">
        <v>43</v>
      </c>
      <c r="G1428" s="231" t="s">
        <v>4851</v>
      </c>
      <c r="H1428" s="619"/>
      <c r="I1428" s="619"/>
      <c r="J1428" s="620">
        <v>18060000</v>
      </c>
      <c r="K1428" s="621" t="s">
        <v>1130</v>
      </c>
      <c r="L1428" s="621" t="s">
        <v>4852</v>
      </c>
      <c r="M1428" s="621" t="s">
        <v>4858</v>
      </c>
      <c r="N1428" s="621" t="s">
        <v>4754</v>
      </c>
      <c r="O1428" s="621"/>
      <c r="P1428" s="621"/>
    </row>
    <row r="1429" spans="1:16">
      <c r="A1429" s="232" t="s">
        <v>686</v>
      </c>
      <c r="B1429" s="232" t="s">
        <v>1864</v>
      </c>
      <c r="C1429" s="622">
        <v>45077</v>
      </c>
      <c r="D1429" s="232" t="s">
        <v>4870</v>
      </c>
      <c r="E1429" s="232"/>
      <c r="F1429" s="233">
        <v>4</v>
      </c>
      <c r="G1429" s="232" t="s">
        <v>4851</v>
      </c>
      <c r="H1429" s="233"/>
      <c r="I1429" s="233"/>
      <c r="J1429" s="623">
        <v>1720000</v>
      </c>
      <c r="K1429" s="624" t="s">
        <v>1130</v>
      </c>
      <c r="L1429" s="624" t="s">
        <v>4852</v>
      </c>
      <c r="M1429" s="624" t="s">
        <v>4871</v>
      </c>
      <c r="N1429" s="624" t="s">
        <v>4754</v>
      </c>
      <c r="O1429" s="624"/>
      <c r="P1429" s="624"/>
    </row>
    <row r="1430" spans="1:16">
      <c r="A1430" s="231" t="s">
        <v>686</v>
      </c>
      <c r="B1430" s="231" t="s">
        <v>1864</v>
      </c>
      <c r="C1430" s="618">
        <v>45077</v>
      </c>
      <c r="D1430" s="231" t="s">
        <v>4870</v>
      </c>
      <c r="E1430" s="231"/>
      <c r="F1430" s="619">
        <v>50</v>
      </c>
      <c r="G1430" s="231" t="s">
        <v>4851</v>
      </c>
      <c r="H1430" s="619"/>
      <c r="I1430" s="619"/>
      <c r="J1430" s="620">
        <v>21500000</v>
      </c>
      <c r="K1430" s="621" t="s">
        <v>1130</v>
      </c>
      <c r="L1430" s="621" t="s">
        <v>4852</v>
      </c>
      <c r="M1430" s="621" t="s">
        <v>4871</v>
      </c>
      <c r="N1430" s="621" t="s">
        <v>4754</v>
      </c>
      <c r="O1430" s="621"/>
      <c r="P1430" s="621"/>
    </row>
    <row r="1431" spans="1:16">
      <c r="A1431" s="232" t="s">
        <v>686</v>
      </c>
      <c r="B1431" s="232" t="s">
        <v>1864</v>
      </c>
      <c r="C1431" s="622">
        <v>45077</v>
      </c>
      <c r="D1431" s="232" t="s">
        <v>4870</v>
      </c>
      <c r="E1431" s="232"/>
      <c r="F1431" s="233">
        <v>50</v>
      </c>
      <c r="G1431" s="232" t="s">
        <v>4851</v>
      </c>
      <c r="H1431" s="233"/>
      <c r="I1431" s="233"/>
      <c r="J1431" s="623">
        <v>21500000</v>
      </c>
      <c r="K1431" s="624" t="s">
        <v>1130</v>
      </c>
      <c r="L1431" s="624" t="s">
        <v>4852</v>
      </c>
      <c r="M1431" s="624" t="s">
        <v>4871</v>
      </c>
      <c r="N1431" s="624" t="s">
        <v>4754</v>
      </c>
      <c r="O1431" s="624"/>
      <c r="P1431" s="624"/>
    </row>
    <row r="1432" spans="1:16">
      <c r="A1432" s="231" t="s">
        <v>686</v>
      </c>
      <c r="B1432" s="231" t="s">
        <v>1864</v>
      </c>
      <c r="C1432" s="618">
        <v>45077</v>
      </c>
      <c r="D1432" s="231" t="s">
        <v>4870</v>
      </c>
      <c r="E1432" s="231"/>
      <c r="F1432" s="619">
        <v>5</v>
      </c>
      <c r="G1432" s="231" t="s">
        <v>4851</v>
      </c>
      <c r="H1432" s="619"/>
      <c r="I1432" s="619"/>
      <c r="J1432" s="620">
        <v>2150000</v>
      </c>
      <c r="K1432" s="621" t="s">
        <v>1130</v>
      </c>
      <c r="L1432" s="621" t="s">
        <v>4852</v>
      </c>
      <c r="M1432" s="621" t="s">
        <v>4871</v>
      </c>
      <c r="N1432" s="621" t="s">
        <v>4754</v>
      </c>
      <c r="O1432" s="621"/>
      <c r="P1432" s="621"/>
    </row>
    <row r="1433" spans="1:16">
      <c r="A1433" s="232" t="s">
        <v>686</v>
      </c>
      <c r="B1433" s="232" t="s">
        <v>1864</v>
      </c>
      <c r="C1433" s="622">
        <v>45077</v>
      </c>
      <c r="D1433" s="232" t="s">
        <v>4870</v>
      </c>
      <c r="E1433" s="232"/>
      <c r="F1433" s="233">
        <v>6</v>
      </c>
      <c r="G1433" s="232" t="s">
        <v>4851</v>
      </c>
      <c r="H1433" s="233"/>
      <c r="I1433" s="233"/>
      <c r="J1433" s="623">
        <v>2580000</v>
      </c>
      <c r="K1433" s="624" t="s">
        <v>1130</v>
      </c>
      <c r="L1433" s="624" t="s">
        <v>4852</v>
      </c>
      <c r="M1433" s="624" t="s">
        <v>4871</v>
      </c>
      <c r="N1433" s="624" t="s">
        <v>4754</v>
      </c>
      <c r="O1433" s="624"/>
      <c r="P1433" s="624"/>
    </row>
    <row r="1434" spans="1:16">
      <c r="A1434" s="231" t="s">
        <v>686</v>
      </c>
      <c r="B1434" s="231" t="s">
        <v>1864</v>
      </c>
      <c r="C1434" s="618">
        <v>45077</v>
      </c>
      <c r="D1434" s="231" t="s">
        <v>4870</v>
      </c>
      <c r="E1434" s="231"/>
      <c r="F1434" s="619">
        <v>46.45</v>
      </c>
      <c r="G1434" s="231" t="s">
        <v>4851</v>
      </c>
      <c r="H1434" s="619"/>
      <c r="I1434" s="619"/>
      <c r="J1434" s="620">
        <v>19973500</v>
      </c>
      <c r="K1434" s="621" t="s">
        <v>1130</v>
      </c>
      <c r="L1434" s="621" t="s">
        <v>4852</v>
      </c>
      <c r="M1434" s="621" t="s">
        <v>4871</v>
      </c>
      <c r="N1434" s="621" t="s">
        <v>4754</v>
      </c>
      <c r="O1434" s="621"/>
      <c r="P1434" s="621"/>
    </row>
    <row r="1435" spans="1:16">
      <c r="A1435" s="232" t="s">
        <v>686</v>
      </c>
      <c r="B1435" s="232" t="s">
        <v>1864</v>
      </c>
      <c r="C1435" s="622">
        <v>45077</v>
      </c>
      <c r="D1435" s="232" t="s">
        <v>4870</v>
      </c>
      <c r="E1435" s="232"/>
      <c r="F1435" s="233">
        <v>6.55</v>
      </c>
      <c r="G1435" s="232" t="s">
        <v>4851</v>
      </c>
      <c r="H1435" s="233"/>
      <c r="I1435" s="233"/>
      <c r="J1435" s="623">
        <v>2816500</v>
      </c>
      <c r="K1435" s="624" t="s">
        <v>1130</v>
      </c>
      <c r="L1435" s="624" t="s">
        <v>4852</v>
      </c>
      <c r="M1435" s="624" t="s">
        <v>4871</v>
      </c>
      <c r="N1435" s="624" t="s">
        <v>4754</v>
      </c>
      <c r="O1435" s="624"/>
      <c r="P1435" s="624"/>
    </row>
    <row r="1436" spans="1:16">
      <c r="A1436" s="231" t="s">
        <v>686</v>
      </c>
      <c r="B1436" s="231" t="s">
        <v>1864</v>
      </c>
      <c r="C1436" s="618">
        <v>45077</v>
      </c>
      <c r="D1436" s="231" t="s">
        <v>4868</v>
      </c>
      <c r="E1436" s="231" t="s">
        <v>5076</v>
      </c>
      <c r="F1436" s="619">
        <v>49</v>
      </c>
      <c r="G1436" s="231" t="s">
        <v>4851</v>
      </c>
      <c r="H1436" s="619"/>
      <c r="I1436" s="619"/>
      <c r="J1436" s="620">
        <v>22687000</v>
      </c>
      <c r="K1436" s="621" t="s">
        <v>1130</v>
      </c>
      <c r="L1436" s="621" t="s">
        <v>4852</v>
      </c>
      <c r="M1436" s="621" t="s">
        <v>4867</v>
      </c>
      <c r="N1436" s="621" t="s">
        <v>4754</v>
      </c>
      <c r="O1436" s="621"/>
      <c r="P1436" s="621"/>
    </row>
    <row r="1437" spans="1:16">
      <c r="A1437" s="232" t="s">
        <v>686</v>
      </c>
      <c r="B1437" s="232" t="s">
        <v>1864</v>
      </c>
      <c r="C1437" s="622">
        <v>45077</v>
      </c>
      <c r="D1437" s="232" t="s">
        <v>4868</v>
      </c>
      <c r="E1437" s="231" t="s">
        <v>5076</v>
      </c>
      <c r="F1437" s="233">
        <v>49</v>
      </c>
      <c r="G1437" s="232" t="s">
        <v>4851</v>
      </c>
      <c r="H1437" s="233"/>
      <c r="I1437" s="233"/>
      <c r="J1437" s="623">
        <v>22687000</v>
      </c>
      <c r="K1437" s="624" t="s">
        <v>1130</v>
      </c>
      <c r="L1437" s="624" t="s">
        <v>4852</v>
      </c>
      <c r="M1437" s="624" t="s">
        <v>4867</v>
      </c>
      <c r="N1437" s="624" t="s">
        <v>4754</v>
      </c>
      <c r="O1437" s="624"/>
      <c r="P1437" s="624"/>
    </row>
    <row r="1438" spans="1:16">
      <c r="A1438" s="231" t="s">
        <v>686</v>
      </c>
      <c r="B1438" s="231" t="s">
        <v>1864</v>
      </c>
      <c r="C1438" s="618">
        <v>45077</v>
      </c>
      <c r="D1438" s="231" t="s">
        <v>4868</v>
      </c>
      <c r="E1438" s="231" t="s">
        <v>5076</v>
      </c>
      <c r="F1438" s="619">
        <v>50</v>
      </c>
      <c r="G1438" s="231" t="s">
        <v>4851</v>
      </c>
      <c r="H1438" s="619"/>
      <c r="I1438" s="619"/>
      <c r="J1438" s="620">
        <v>21000000</v>
      </c>
      <c r="K1438" s="621" t="s">
        <v>1130</v>
      </c>
      <c r="L1438" s="621" t="s">
        <v>4852</v>
      </c>
      <c r="M1438" s="621" t="s">
        <v>4858</v>
      </c>
      <c r="N1438" s="621" t="s">
        <v>4754</v>
      </c>
      <c r="O1438" s="621"/>
      <c r="P1438" s="621"/>
    </row>
    <row r="1439" spans="1:16">
      <c r="A1439" s="232" t="s">
        <v>686</v>
      </c>
      <c r="B1439" s="232" t="s">
        <v>1864</v>
      </c>
      <c r="C1439" s="622">
        <v>45077</v>
      </c>
      <c r="D1439" s="232" t="s">
        <v>4868</v>
      </c>
      <c r="E1439" s="231" t="s">
        <v>5076</v>
      </c>
      <c r="F1439" s="233">
        <v>50</v>
      </c>
      <c r="G1439" s="232" t="s">
        <v>4851</v>
      </c>
      <c r="H1439" s="233"/>
      <c r="I1439" s="233"/>
      <c r="J1439" s="623">
        <v>21000000</v>
      </c>
      <c r="K1439" s="624" t="s">
        <v>1130</v>
      </c>
      <c r="L1439" s="624" t="s">
        <v>4852</v>
      </c>
      <c r="M1439" s="624" t="s">
        <v>4858</v>
      </c>
      <c r="N1439" s="624" t="s">
        <v>4754</v>
      </c>
      <c r="O1439" s="624"/>
      <c r="P1439" s="624"/>
    </row>
    <row r="1440" spans="1:16">
      <c r="A1440" s="231" t="s">
        <v>686</v>
      </c>
      <c r="B1440" s="231" t="s">
        <v>1864</v>
      </c>
      <c r="C1440" s="618">
        <v>45077</v>
      </c>
      <c r="D1440" s="231" t="s">
        <v>4870</v>
      </c>
      <c r="E1440" s="231"/>
      <c r="F1440" s="619">
        <v>55</v>
      </c>
      <c r="G1440" s="231" t="s">
        <v>4851</v>
      </c>
      <c r="H1440" s="619"/>
      <c r="I1440" s="619"/>
      <c r="J1440" s="620">
        <v>23650000</v>
      </c>
      <c r="K1440" s="621" t="s">
        <v>1130</v>
      </c>
      <c r="L1440" s="621" t="s">
        <v>4852</v>
      </c>
      <c r="M1440" s="621" t="s">
        <v>4871</v>
      </c>
      <c r="N1440" s="621" t="s">
        <v>4754</v>
      </c>
      <c r="O1440" s="621"/>
      <c r="P1440" s="621"/>
    </row>
    <row r="1441" spans="1:16">
      <c r="A1441" s="232" t="s">
        <v>686</v>
      </c>
      <c r="B1441" s="232" t="s">
        <v>1864</v>
      </c>
      <c r="C1441" s="622">
        <v>45077</v>
      </c>
      <c r="D1441" s="232" t="s">
        <v>4860</v>
      </c>
      <c r="E1441" s="232" t="s">
        <v>5072</v>
      </c>
      <c r="F1441" s="233">
        <v>50.3</v>
      </c>
      <c r="G1441" s="232" t="s">
        <v>4851</v>
      </c>
      <c r="H1441" s="233"/>
      <c r="I1441" s="233"/>
      <c r="J1441" s="623">
        <v>301800</v>
      </c>
      <c r="K1441" s="624" t="s">
        <v>991</v>
      </c>
      <c r="L1441" s="624" t="s">
        <v>4852</v>
      </c>
      <c r="M1441" s="624" t="s">
        <v>4861</v>
      </c>
      <c r="N1441" s="624" t="s">
        <v>4754</v>
      </c>
      <c r="O1441" s="624"/>
      <c r="P1441" s="624"/>
    </row>
    <row r="1442" spans="1:16">
      <c r="A1442" s="231" t="s">
        <v>686</v>
      </c>
      <c r="B1442" s="231" t="s">
        <v>1864</v>
      </c>
      <c r="C1442" s="618">
        <v>45077</v>
      </c>
      <c r="D1442" s="231" t="s">
        <v>4860</v>
      </c>
      <c r="E1442" s="232" t="s">
        <v>5072</v>
      </c>
      <c r="F1442" s="619">
        <v>50.05</v>
      </c>
      <c r="G1442" s="231" t="s">
        <v>4851</v>
      </c>
      <c r="H1442" s="619"/>
      <c r="I1442" s="619"/>
      <c r="J1442" s="620">
        <v>300300</v>
      </c>
      <c r="K1442" s="621" t="s">
        <v>991</v>
      </c>
      <c r="L1442" s="621" t="s">
        <v>4852</v>
      </c>
      <c r="M1442" s="621" t="s">
        <v>4861</v>
      </c>
      <c r="N1442" s="621" t="s">
        <v>4754</v>
      </c>
      <c r="O1442" s="621"/>
      <c r="P1442" s="621"/>
    </row>
    <row r="1443" spans="1:16">
      <c r="A1443" s="232" t="s">
        <v>686</v>
      </c>
      <c r="B1443" s="232" t="s">
        <v>1864</v>
      </c>
      <c r="C1443" s="622">
        <v>45077</v>
      </c>
      <c r="D1443" s="232" t="s">
        <v>4860</v>
      </c>
      <c r="E1443" s="232" t="s">
        <v>5072</v>
      </c>
      <c r="F1443" s="233">
        <v>51.15</v>
      </c>
      <c r="G1443" s="232" t="s">
        <v>4851</v>
      </c>
      <c r="H1443" s="233"/>
      <c r="I1443" s="233"/>
      <c r="J1443" s="623">
        <v>306900</v>
      </c>
      <c r="K1443" s="624" t="s">
        <v>991</v>
      </c>
      <c r="L1443" s="624" t="s">
        <v>4852</v>
      </c>
      <c r="M1443" s="624" t="s">
        <v>4861</v>
      </c>
      <c r="N1443" s="624" t="s">
        <v>4754</v>
      </c>
      <c r="O1443" s="624"/>
      <c r="P1443" s="624"/>
    </row>
    <row r="1444" spans="1:16">
      <c r="A1444" s="231" t="s">
        <v>686</v>
      </c>
      <c r="B1444" s="231" t="s">
        <v>1864</v>
      </c>
      <c r="C1444" s="618">
        <v>45077</v>
      </c>
      <c r="D1444" s="231" t="s">
        <v>4860</v>
      </c>
      <c r="E1444" s="232" t="s">
        <v>5072</v>
      </c>
      <c r="F1444" s="619">
        <v>50.55</v>
      </c>
      <c r="G1444" s="231" t="s">
        <v>4851</v>
      </c>
      <c r="H1444" s="619"/>
      <c r="I1444" s="619"/>
      <c r="J1444" s="620">
        <v>303300</v>
      </c>
      <c r="K1444" s="621" t="s">
        <v>991</v>
      </c>
      <c r="L1444" s="621" t="s">
        <v>4852</v>
      </c>
      <c r="M1444" s="621" t="s">
        <v>4861</v>
      </c>
      <c r="N1444" s="621" t="s">
        <v>4754</v>
      </c>
      <c r="O1444" s="621"/>
      <c r="P1444" s="621"/>
    </row>
    <row r="1445" spans="1:16">
      <c r="A1445" s="232" t="s">
        <v>686</v>
      </c>
      <c r="B1445" s="232" t="s">
        <v>1864</v>
      </c>
      <c r="C1445" s="622">
        <v>45077</v>
      </c>
      <c r="D1445" s="232" t="s">
        <v>4860</v>
      </c>
      <c r="E1445" s="232" t="s">
        <v>5072</v>
      </c>
      <c r="F1445" s="233">
        <v>50.15</v>
      </c>
      <c r="G1445" s="232" t="s">
        <v>4851</v>
      </c>
      <c r="H1445" s="233"/>
      <c r="I1445" s="233"/>
      <c r="J1445" s="623">
        <v>300900</v>
      </c>
      <c r="K1445" s="624" t="s">
        <v>991</v>
      </c>
      <c r="L1445" s="624" t="s">
        <v>4852</v>
      </c>
      <c r="M1445" s="624" t="s">
        <v>4861</v>
      </c>
      <c r="N1445" s="624" t="s">
        <v>4754</v>
      </c>
      <c r="O1445" s="624"/>
      <c r="P1445" s="624"/>
    </row>
    <row r="1446" spans="1:16">
      <c r="A1446" s="231" t="s">
        <v>686</v>
      </c>
      <c r="B1446" s="231" t="s">
        <v>1864</v>
      </c>
      <c r="C1446" s="618">
        <v>45077</v>
      </c>
      <c r="D1446" s="231" t="s">
        <v>4868</v>
      </c>
      <c r="E1446" s="231" t="s">
        <v>5076</v>
      </c>
      <c r="F1446" s="619">
        <v>49</v>
      </c>
      <c r="G1446" s="231" t="s">
        <v>4851</v>
      </c>
      <c r="H1446" s="619"/>
      <c r="I1446" s="619"/>
      <c r="J1446" s="620">
        <v>22687000</v>
      </c>
      <c r="K1446" s="621" t="s">
        <v>1130</v>
      </c>
      <c r="L1446" s="621" t="s">
        <v>4852</v>
      </c>
      <c r="M1446" s="621" t="s">
        <v>4867</v>
      </c>
      <c r="N1446" s="621" t="s">
        <v>4754</v>
      </c>
      <c r="O1446" s="621"/>
      <c r="P1446" s="621"/>
    </row>
    <row r="1447" spans="1:16">
      <c r="A1447" s="232" t="s">
        <v>686</v>
      </c>
      <c r="B1447" s="232" t="s">
        <v>1864</v>
      </c>
      <c r="C1447" s="622">
        <v>45077</v>
      </c>
      <c r="D1447" s="232" t="s">
        <v>4868</v>
      </c>
      <c r="E1447" s="231" t="s">
        <v>5076</v>
      </c>
      <c r="F1447" s="233">
        <v>49</v>
      </c>
      <c r="G1447" s="232" t="s">
        <v>4851</v>
      </c>
      <c r="H1447" s="233"/>
      <c r="I1447" s="233"/>
      <c r="J1447" s="623">
        <v>22687000</v>
      </c>
      <c r="K1447" s="624" t="s">
        <v>1130</v>
      </c>
      <c r="L1447" s="624" t="s">
        <v>4852</v>
      </c>
      <c r="M1447" s="624" t="s">
        <v>4867</v>
      </c>
      <c r="N1447" s="624" t="s">
        <v>4754</v>
      </c>
      <c r="O1447" s="624"/>
      <c r="P1447" s="624"/>
    </row>
    <row r="1448" spans="1:16">
      <c r="A1448" s="231" t="s">
        <v>686</v>
      </c>
      <c r="B1448" s="231" t="s">
        <v>1864</v>
      </c>
      <c r="C1448" s="618">
        <v>45077</v>
      </c>
      <c r="D1448" s="231" t="s">
        <v>4860</v>
      </c>
      <c r="E1448" s="232" t="s">
        <v>5072</v>
      </c>
      <c r="F1448" s="619">
        <v>50.8</v>
      </c>
      <c r="G1448" s="231" t="s">
        <v>4851</v>
      </c>
      <c r="H1448" s="619"/>
      <c r="I1448" s="619"/>
      <c r="J1448" s="620">
        <v>304800</v>
      </c>
      <c r="K1448" s="621" t="s">
        <v>991</v>
      </c>
      <c r="L1448" s="621" t="s">
        <v>4852</v>
      </c>
      <c r="M1448" s="621" t="s">
        <v>4861</v>
      </c>
      <c r="N1448" s="621" t="s">
        <v>4754</v>
      </c>
      <c r="O1448" s="621"/>
      <c r="P1448" s="621"/>
    </row>
    <row r="1449" spans="1:16">
      <c r="A1449" s="232" t="s">
        <v>686</v>
      </c>
      <c r="B1449" s="232" t="s">
        <v>1864</v>
      </c>
      <c r="C1449" s="622">
        <v>45077</v>
      </c>
      <c r="D1449" s="232" t="s">
        <v>4860</v>
      </c>
      <c r="E1449" s="232" t="s">
        <v>5072</v>
      </c>
      <c r="F1449" s="233">
        <v>50.2</v>
      </c>
      <c r="G1449" s="232" t="s">
        <v>4851</v>
      </c>
      <c r="H1449" s="233"/>
      <c r="I1449" s="233"/>
      <c r="J1449" s="623">
        <v>301200</v>
      </c>
      <c r="K1449" s="624" t="s">
        <v>991</v>
      </c>
      <c r="L1449" s="624" t="s">
        <v>4852</v>
      </c>
      <c r="M1449" s="624" t="s">
        <v>4861</v>
      </c>
      <c r="N1449" s="624" t="s">
        <v>4754</v>
      </c>
      <c r="O1449" s="624"/>
      <c r="P1449" s="624"/>
    </row>
    <row r="1450" spans="1:16">
      <c r="A1450" s="231" t="s">
        <v>686</v>
      </c>
      <c r="B1450" s="231" t="s">
        <v>1864</v>
      </c>
      <c r="C1450" s="618">
        <v>45077</v>
      </c>
      <c r="D1450" s="231" t="s">
        <v>4860</v>
      </c>
      <c r="E1450" s="232" t="s">
        <v>5072</v>
      </c>
      <c r="F1450" s="619">
        <v>50.05</v>
      </c>
      <c r="G1450" s="231" t="s">
        <v>4851</v>
      </c>
      <c r="H1450" s="619"/>
      <c r="I1450" s="619"/>
      <c r="J1450" s="620">
        <v>300300</v>
      </c>
      <c r="K1450" s="621" t="s">
        <v>991</v>
      </c>
      <c r="L1450" s="621" t="s">
        <v>4852</v>
      </c>
      <c r="M1450" s="621" t="s">
        <v>4861</v>
      </c>
      <c r="N1450" s="621" t="s">
        <v>4754</v>
      </c>
      <c r="O1450" s="621"/>
      <c r="P1450" s="621"/>
    </row>
    <row r="1451" spans="1:16">
      <c r="A1451" s="232" t="s">
        <v>686</v>
      </c>
      <c r="B1451" s="232" t="s">
        <v>1864</v>
      </c>
      <c r="C1451" s="622">
        <v>45077</v>
      </c>
      <c r="D1451" s="232" t="s">
        <v>4860</v>
      </c>
      <c r="E1451" s="232" t="s">
        <v>5072</v>
      </c>
      <c r="F1451" s="233">
        <v>51.05</v>
      </c>
      <c r="G1451" s="232" t="s">
        <v>4851</v>
      </c>
      <c r="H1451" s="233"/>
      <c r="I1451" s="233"/>
      <c r="J1451" s="623">
        <v>306300</v>
      </c>
      <c r="K1451" s="624" t="s">
        <v>991</v>
      </c>
      <c r="L1451" s="624" t="s">
        <v>4852</v>
      </c>
      <c r="M1451" s="624" t="s">
        <v>4861</v>
      </c>
      <c r="N1451" s="624" t="s">
        <v>4754</v>
      </c>
      <c r="O1451" s="624"/>
      <c r="P1451" s="624"/>
    </row>
    <row r="1452" spans="1:16">
      <c r="A1452" s="231" t="s">
        <v>686</v>
      </c>
      <c r="B1452" s="231" t="s">
        <v>1864</v>
      </c>
      <c r="C1452" s="618">
        <v>45077</v>
      </c>
      <c r="D1452" s="231" t="s">
        <v>4860</v>
      </c>
      <c r="E1452" s="232" t="s">
        <v>5072</v>
      </c>
      <c r="F1452" s="619">
        <v>51.45</v>
      </c>
      <c r="G1452" s="231" t="s">
        <v>4851</v>
      </c>
      <c r="H1452" s="619"/>
      <c r="I1452" s="619"/>
      <c r="J1452" s="620">
        <v>308700</v>
      </c>
      <c r="K1452" s="621" t="s">
        <v>991</v>
      </c>
      <c r="L1452" s="621" t="s">
        <v>4852</v>
      </c>
      <c r="M1452" s="621" t="s">
        <v>4861</v>
      </c>
      <c r="N1452" s="621" t="s">
        <v>4754</v>
      </c>
      <c r="O1452" s="621"/>
      <c r="P1452" s="621"/>
    </row>
    <row r="1453" spans="1:16">
      <c r="A1453" s="232" t="s">
        <v>686</v>
      </c>
      <c r="B1453" s="232" t="s">
        <v>1864</v>
      </c>
      <c r="C1453" s="622">
        <v>45077</v>
      </c>
      <c r="D1453" s="232" t="s">
        <v>4860</v>
      </c>
      <c r="E1453" s="232" t="s">
        <v>5072</v>
      </c>
      <c r="F1453" s="233">
        <v>50</v>
      </c>
      <c r="G1453" s="232" t="s">
        <v>4851</v>
      </c>
      <c r="H1453" s="233"/>
      <c r="I1453" s="233"/>
      <c r="J1453" s="623">
        <v>300000</v>
      </c>
      <c r="K1453" s="624" t="s">
        <v>991</v>
      </c>
      <c r="L1453" s="624" t="s">
        <v>4852</v>
      </c>
      <c r="M1453" s="624" t="s">
        <v>4861</v>
      </c>
      <c r="N1453" s="624" t="s">
        <v>4754</v>
      </c>
      <c r="O1453" s="624"/>
      <c r="P1453" s="624"/>
    </row>
    <row r="1454" spans="1:16">
      <c r="A1454" s="231" t="s">
        <v>686</v>
      </c>
      <c r="B1454" s="231" t="s">
        <v>1864</v>
      </c>
      <c r="C1454" s="618">
        <v>45077</v>
      </c>
      <c r="D1454" s="231" t="s">
        <v>4860</v>
      </c>
      <c r="E1454" s="232" t="s">
        <v>5072</v>
      </c>
      <c r="F1454" s="619">
        <v>51.45</v>
      </c>
      <c r="G1454" s="231" t="s">
        <v>4851</v>
      </c>
      <c r="H1454" s="619"/>
      <c r="I1454" s="619"/>
      <c r="J1454" s="620">
        <v>308700</v>
      </c>
      <c r="K1454" s="621" t="s">
        <v>991</v>
      </c>
      <c r="L1454" s="621" t="s">
        <v>4852</v>
      </c>
      <c r="M1454" s="621" t="s">
        <v>4861</v>
      </c>
      <c r="N1454" s="621" t="s">
        <v>4754</v>
      </c>
      <c r="O1454" s="621"/>
      <c r="P1454" s="621"/>
    </row>
    <row r="1455" spans="1:16">
      <c r="A1455" s="232" t="s">
        <v>686</v>
      </c>
      <c r="B1455" s="232" t="s">
        <v>1864</v>
      </c>
      <c r="C1455" s="622">
        <v>45077</v>
      </c>
      <c r="D1455" s="232" t="s">
        <v>4860</v>
      </c>
      <c r="E1455" s="232" t="s">
        <v>5072</v>
      </c>
      <c r="F1455" s="233">
        <v>50.15</v>
      </c>
      <c r="G1455" s="232" t="s">
        <v>4851</v>
      </c>
      <c r="H1455" s="233"/>
      <c r="I1455" s="233"/>
      <c r="J1455" s="623">
        <v>300900</v>
      </c>
      <c r="K1455" s="624" t="s">
        <v>991</v>
      </c>
      <c r="L1455" s="624" t="s">
        <v>4852</v>
      </c>
      <c r="M1455" s="624" t="s">
        <v>4861</v>
      </c>
      <c r="N1455" s="624" t="s">
        <v>4754</v>
      </c>
      <c r="O1455" s="624"/>
      <c r="P1455" s="624"/>
    </row>
    <row r="1456" spans="1:16">
      <c r="A1456" s="231" t="s">
        <v>686</v>
      </c>
      <c r="B1456" s="231" t="s">
        <v>1864</v>
      </c>
      <c r="C1456" s="618">
        <v>45077</v>
      </c>
      <c r="D1456" s="231" t="s">
        <v>4860</v>
      </c>
      <c r="E1456" s="232" t="s">
        <v>5072</v>
      </c>
      <c r="F1456" s="619">
        <v>51.4</v>
      </c>
      <c r="G1456" s="231" t="s">
        <v>4851</v>
      </c>
      <c r="H1456" s="619"/>
      <c r="I1456" s="619"/>
      <c r="J1456" s="620">
        <v>308400</v>
      </c>
      <c r="K1456" s="621" t="s">
        <v>991</v>
      </c>
      <c r="L1456" s="621" t="s">
        <v>4852</v>
      </c>
      <c r="M1456" s="621" t="s">
        <v>4861</v>
      </c>
      <c r="N1456" s="621" t="s">
        <v>4754</v>
      </c>
      <c r="O1456" s="621"/>
      <c r="P1456" s="621"/>
    </row>
    <row r="1457" spans="1:16">
      <c r="A1457" s="232" t="s">
        <v>686</v>
      </c>
      <c r="B1457" s="232" t="s">
        <v>1864</v>
      </c>
      <c r="C1457" s="622">
        <v>45077</v>
      </c>
      <c r="D1457" s="232" t="s">
        <v>4860</v>
      </c>
      <c r="E1457" s="232" t="s">
        <v>5072</v>
      </c>
      <c r="F1457" s="233">
        <v>51.2</v>
      </c>
      <c r="G1457" s="232" t="s">
        <v>4851</v>
      </c>
      <c r="H1457" s="233"/>
      <c r="I1457" s="233"/>
      <c r="J1457" s="623">
        <v>307200</v>
      </c>
      <c r="K1457" s="624" t="s">
        <v>991</v>
      </c>
      <c r="L1457" s="624" t="s">
        <v>4852</v>
      </c>
      <c r="M1457" s="624" t="s">
        <v>4861</v>
      </c>
      <c r="N1457" s="624" t="s">
        <v>4754</v>
      </c>
      <c r="O1457" s="624"/>
      <c r="P1457" s="624"/>
    </row>
    <row r="1458" spans="1:16">
      <c r="A1458" s="231" t="s">
        <v>686</v>
      </c>
      <c r="B1458" s="231" t="s">
        <v>1864</v>
      </c>
      <c r="C1458" s="618">
        <v>45077</v>
      </c>
      <c r="D1458" s="231" t="s">
        <v>4860</v>
      </c>
      <c r="E1458" s="232" t="s">
        <v>5072</v>
      </c>
      <c r="F1458" s="619">
        <v>50.35</v>
      </c>
      <c r="G1458" s="231" t="s">
        <v>4851</v>
      </c>
      <c r="H1458" s="619"/>
      <c r="I1458" s="619"/>
      <c r="J1458" s="620">
        <v>302100</v>
      </c>
      <c r="K1458" s="621" t="s">
        <v>991</v>
      </c>
      <c r="L1458" s="621" t="s">
        <v>4852</v>
      </c>
      <c r="M1458" s="621" t="s">
        <v>4861</v>
      </c>
      <c r="N1458" s="621" t="s">
        <v>4754</v>
      </c>
      <c r="O1458" s="621"/>
      <c r="P1458" s="621"/>
    </row>
    <row r="1459" spans="1:16">
      <c r="A1459" s="232" t="s">
        <v>686</v>
      </c>
      <c r="B1459" s="232" t="s">
        <v>1864</v>
      </c>
      <c r="C1459" s="622">
        <v>45077</v>
      </c>
      <c r="D1459" s="232" t="s">
        <v>4868</v>
      </c>
      <c r="E1459" s="231" t="s">
        <v>5076</v>
      </c>
      <c r="F1459" s="233">
        <v>32.840000000000003</v>
      </c>
      <c r="G1459" s="232" t="s">
        <v>4851</v>
      </c>
      <c r="H1459" s="233"/>
      <c r="I1459" s="233"/>
      <c r="J1459" s="623">
        <v>15204920</v>
      </c>
      <c r="K1459" s="624" t="s">
        <v>1130</v>
      </c>
      <c r="L1459" s="624" t="s">
        <v>4852</v>
      </c>
      <c r="M1459" s="624" t="s">
        <v>4867</v>
      </c>
      <c r="N1459" s="624" t="s">
        <v>4754</v>
      </c>
      <c r="O1459" s="624"/>
      <c r="P1459" s="624"/>
    </row>
    <row r="1460" spans="1:16">
      <c r="A1460" s="231" t="s">
        <v>686</v>
      </c>
      <c r="B1460" s="231" t="s">
        <v>1864</v>
      </c>
      <c r="C1460" s="618">
        <v>45077</v>
      </c>
      <c r="D1460" s="231" t="s">
        <v>4862</v>
      </c>
      <c r="E1460" s="231"/>
      <c r="F1460" s="619">
        <v>39.340000000000003</v>
      </c>
      <c r="G1460" s="231" t="s">
        <v>4851</v>
      </c>
      <c r="H1460" s="619"/>
      <c r="I1460" s="619"/>
      <c r="J1460" s="620">
        <v>19001220</v>
      </c>
      <c r="K1460" s="621" t="s">
        <v>1130</v>
      </c>
      <c r="L1460" s="621" t="s">
        <v>4852</v>
      </c>
      <c r="M1460" s="621" t="s">
        <v>4867</v>
      </c>
      <c r="N1460" s="621" t="s">
        <v>4754</v>
      </c>
      <c r="O1460" s="621"/>
      <c r="P1460" s="621"/>
    </row>
    <row r="1461" spans="1:16">
      <c r="A1461" s="232" t="s">
        <v>686</v>
      </c>
      <c r="B1461" s="232" t="s">
        <v>1864</v>
      </c>
      <c r="C1461" s="622">
        <v>45077</v>
      </c>
      <c r="D1461" s="232" t="s">
        <v>4868</v>
      </c>
      <c r="E1461" s="231" t="s">
        <v>5076</v>
      </c>
      <c r="F1461" s="233">
        <v>49</v>
      </c>
      <c r="G1461" s="232" t="s">
        <v>4851</v>
      </c>
      <c r="H1461" s="233"/>
      <c r="I1461" s="233"/>
      <c r="J1461" s="623">
        <v>22687000</v>
      </c>
      <c r="K1461" s="624" t="s">
        <v>1130</v>
      </c>
      <c r="L1461" s="624" t="s">
        <v>4852</v>
      </c>
      <c r="M1461" s="624" t="s">
        <v>4867</v>
      </c>
      <c r="N1461" s="624" t="s">
        <v>4754</v>
      </c>
      <c r="O1461" s="624"/>
      <c r="P1461" s="624"/>
    </row>
    <row r="1462" spans="1:16">
      <c r="A1462" s="231" t="s">
        <v>686</v>
      </c>
      <c r="B1462" s="231" t="s">
        <v>1864</v>
      </c>
      <c r="C1462" s="618">
        <v>45077</v>
      </c>
      <c r="D1462" s="231" t="s">
        <v>4869</v>
      </c>
      <c r="E1462" s="231"/>
      <c r="F1462" s="619">
        <v>16.16</v>
      </c>
      <c r="G1462" s="231" t="s">
        <v>4851</v>
      </c>
      <c r="H1462" s="619"/>
      <c r="I1462" s="619"/>
      <c r="J1462" s="620">
        <v>7110400</v>
      </c>
      <c r="K1462" s="621" t="s">
        <v>1130</v>
      </c>
      <c r="L1462" s="621" t="s">
        <v>4852</v>
      </c>
      <c r="M1462" s="621" t="s">
        <v>4867</v>
      </c>
      <c r="N1462" s="621" t="s">
        <v>4754</v>
      </c>
      <c r="O1462" s="621"/>
      <c r="P1462" s="621"/>
    </row>
    <row r="1463" spans="1:16">
      <c r="A1463" s="232" t="s">
        <v>686</v>
      </c>
      <c r="B1463" s="232" t="s">
        <v>1864</v>
      </c>
      <c r="C1463" s="622">
        <v>45077</v>
      </c>
      <c r="D1463" s="232" t="s">
        <v>4869</v>
      </c>
      <c r="E1463" s="232"/>
      <c r="F1463" s="233">
        <v>9.66</v>
      </c>
      <c r="G1463" s="232" t="s">
        <v>4851</v>
      </c>
      <c r="H1463" s="233"/>
      <c r="I1463" s="233"/>
      <c r="J1463" s="623">
        <v>4250400</v>
      </c>
      <c r="K1463" s="624" t="s">
        <v>1130</v>
      </c>
      <c r="L1463" s="624" t="s">
        <v>4852</v>
      </c>
      <c r="M1463" s="624" t="s">
        <v>4867</v>
      </c>
      <c r="N1463" s="624" t="s">
        <v>4754</v>
      </c>
      <c r="O1463" s="624"/>
      <c r="P1463" s="624"/>
    </row>
    <row r="1464" spans="1:16">
      <c r="A1464" s="231" t="s">
        <v>686</v>
      </c>
      <c r="B1464" s="231" t="s">
        <v>1864</v>
      </c>
      <c r="C1464" s="618">
        <v>45077</v>
      </c>
      <c r="D1464" s="231" t="s">
        <v>4869</v>
      </c>
      <c r="E1464" s="231"/>
      <c r="F1464" s="619">
        <v>13.84</v>
      </c>
      <c r="G1464" s="231" t="s">
        <v>4851</v>
      </c>
      <c r="H1464" s="619"/>
      <c r="I1464" s="619"/>
      <c r="J1464" s="620">
        <v>6089600</v>
      </c>
      <c r="K1464" s="621" t="s">
        <v>1130</v>
      </c>
      <c r="L1464" s="621" t="s">
        <v>4852</v>
      </c>
      <c r="M1464" s="621" t="s">
        <v>4867</v>
      </c>
      <c r="N1464" s="621" t="s">
        <v>4754</v>
      </c>
      <c r="O1464" s="621"/>
      <c r="P1464" s="621"/>
    </row>
    <row r="1465" spans="1:16">
      <c r="A1465" s="232" t="s">
        <v>686</v>
      </c>
      <c r="B1465" s="232" t="s">
        <v>1864</v>
      </c>
      <c r="C1465" s="622">
        <v>45077</v>
      </c>
      <c r="D1465" s="232" t="s">
        <v>4869</v>
      </c>
      <c r="E1465" s="232"/>
      <c r="F1465" s="233">
        <v>48.66</v>
      </c>
      <c r="G1465" s="232" t="s">
        <v>4851</v>
      </c>
      <c r="H1465" s="233"/>
      <c r="I1465" s="233"/>
      <c r="J1465" s="623">
        <v>21410400</v>
      </c>
      <c r="K1465" s="624" t="s">
        <v>1130</v>
      </c>
      <c r="L1465" s="624" t="s">
        <v>4852</v>
      </c>
      <c r="M1465" s="624" t="s">
        <v>4867</v>
      </c>
      <c r="N1465" s="624" t="s">
        <v>4754</v>
      </c>
      <c r="O1465" s="624"/>
      <c r="P1465" s="624"/>
    </row>
    <row r="1466" spans="1:16">
      <c r="A1466" s="231" t="s">
        <v>686</v>
      </c>
      <c r="B1466" s="231" t="s">
        <v>1864</v>
      </c>
      <c r="C1466" s="618">
        <v>45077</v>
      </c>
      <c r="D1466" s="231" t="s">
        <v>4869</v>
      </c>
      <c r="E1466" s="231"/>
      <c r="F1466" s="619">
        <v>7.45</v>
      </c>
      <c r="G1466" s="231" t="s">
        <v>4851</v>
      </c>
      <c r="H1466" s="619"/>
      <c r="I1466" s="619"/>
      <c r="J1466" s="620">
        <v>3278000</v>
      </c>
      <c r="K1466" s="621" t="s">
        <v>1130</v>
      </c>
      <c r="L1466" s="621" t="s">
        <v>4852</v>
      </c>
      <c r="M1466" s="621" t="s">
        <v>4867</v>
      </c>
      <c r="N1466" s="621" t="s">
        <v>4754</v>
      </c>
      <c r="O1466" s="621"/>
      <c r="P1466" s="621"/>
    </row>
    <row r="1467" spans="1:16">
      <c r="A1467" s="232" t="s">
        <v>686</v>
      </c>
      <c r="B1467" s="232" t="s">
        <v>1864</v>
      </c>
      <c r="C1467" s="622">
        <v>45077</v>
      </c>
      <c r="D1467" s="232" t="s">
        <v>4869</v>
      </c>
      <c r="E1467" s="232"/>
      <c r="F1467" s="233">
        <v>0.34</v>
      </c>
      <c r="G1467" s="232" t="s">
        <v>4851</v>
      </c>
      <c r="H1467" s="233"/>
      <c r="I1467" s="233"/>
      <c r="J1467" s="623">
        <v>149600</v>
      </c>
      <c r="K1467" s="624" t="s">
        <v>1130</v>
      </c>
      <c r="L1467" s="624" t="s">
        <v>4852</v>
      </c>
      <c r="M1467" s="624" t="s">
        <v>4867</v>
      </c>
      <c r="N1467" s="624" t="s">
        <v>4754</v>
      </c>
      <c r="O1467" s="624"/>
      <c r="P1467" s="624"/>
    </row>
    <row r="1468" spans="1:16">
      <c r="A1468" s="231" t="s">
        <v>686</v>
      </c>
      <c r="B1468" s="231" t="s">
        <v>1864</v>
      </c>
      <c r="C1468" s="618">
        <v>45077</v>
      </c>
      <c r="D1468" s="231" t="s">
        <v>4869</v>
      </c>
      <c r="E1468" s="231"/>
      <c r="F1468" s="619">
        <v>49</v>
      </c>
      <c r="G1468" s="231" t="s">
        <v>4851</v>
      </c>
      <c r="H1468" s="619"/>
      <c r="I1468" s="619"/>
      <c r="J1468" s="620">
        <v>21560000</v>
      </c>
      <c r="K1468" s="621" t="s">
        <v>1130</v>
      </c>
      <c r="L1468" s="621" t="s">
        <v>4852</v>
      </c>
      <c r="M1468" s="621" t="s">
        <v>4867</v>
      </c>
      <c r="N1468" s="621" t="s">
        <v>4754</v>
      </c>
      <c r="O1468" s="621"/>
      <c r="P1468" s="621"/>
    </row>
    <row r="1469" spans="1:16">
      <c r="A1469" s="232" t="s">
        <v>686</v>
      </c>
      <c r="B1469" s="232" t="s">
        <v>1864</v>
      </c>
      <c r="C1469" s="622">
        <v>45077</v>
      </c>
      <c r="D1469" s="232" t="s">
        <v>4869</v>
      </c>
      <c r="E1469" s="232"/>
      <c r="F1469" s="233">
        <v>49</v>
      </c>
      <c r="G1469" s="232" t="s">
        <v>4851</v>
      </c>
      <c r="H1469" s="233"/>
      <c r="I1469" s="233"/>
      <c r="J1469" s="623">
        <v>21560000</v>
      </c>
      <c r="K1469" s="624" t="s">
        <v>1130</v>
      </c>
      <c r="L1469" s="624" t="s">
        <v>4852</v>
      </c>
      <c r="M1469" s="624" t="s">
        <v>4867</v>
      </c>
      <c r="N1469" s="624" t="s">
        <v>4754</v>
      </c>
      <c r="O1469" s="624"/>
      <c r="P1469" s="624"/>
    </row>
    <row r="1470" spans="1:16">
      <c r="A1470" s="231" t="s">
        <v>686</v>
      </c>
      <c r="B1470" s="231" t="s">
        <v>1864</v>
      </c>
      <c r="C1470" s="618">
        <v>45077</v>
      </c>
      <c r="D1470" s="231" t="s">
        <v>4869</v>
      </c>
      <c r="E1470" s="231"/>
      <c r="F1470" s="619">
        <v>49</v>
      </c>
      <c r="G1470" s="231" t="s">
        <v>4851</v>
      </c>
      <c r="H1470" s="619"/>
      <c r="I1470" s="619"/>
      <c r="J1470" s="620">
        <v>21560000</v>
      </c>
      <c r="K1470" s="621" t="s">
        <v>1130</v>
      </c>
      <c r="L1470" s="621" t="s">
        <v>4852</v>
      </c>
      <c r="M1470" s="621" t="s">
        <v>4867</v>
      </c>
      <c r="N1470" s="621" t="s">
        <v>4754</v>
      </c>
      <c r="O1470" s="621"/>
      <c r="P1470" s="621"/>
    </row>
    <row r="1471" spans="1:16">
      <c r="A1471" s="232" t="s">
        <v>686</v>
      </c>
      <c r="B1471" s="232" t="s">
        <v>1864</v>
      </c>
      <c r="C1471" s="622">
        <v>45077</v>
      </c>
      <c r="D1471" s="232" t="s">
        <v>4869</v>
      </c>
      <c r="E1471" s="232"/>
      <c r="F1471" s="233">
        <v>27.71</v>
      </c>
      <c r="G1471" s="232" t="s">
        <v>4851</v>
      </c>
      <c r="H1471" s="233"/>
      <c r="I1471" s="233"/>
      <c r="J1471" s="623">
        <v>12192400</v>
      </c>
      <c r="K1471" s="624" t="s">
        <v>1130</v>
      </c>
      <c r="L1471" s="624" t="s">
        <v>4852</v>
      </c>
      <c r="M1471" s="624" t="s">
        <v>4867</v>
      </c>
      <c r="N1471" s="624" t="s">
        <v>4754</v>
      </c>
      <c r="O1471" s="624"/>
      <c r="P1471" s="624"/>
    </row>
    <row r="1472" spans="1:16">
      <c r="A1472" s="231" t="s">
        <v>686</v>
      </c>
      <c r="B1472" s="231" t="s">
        <v>1864</v>
      </c>
      <c r="C1472" s="618">
        <v>45077</v>
      </c>
      <c r="D1472" s="231" t="s">
        <v>4868</v>
      </c>
      <c r="E1472" s="231" t="s">
        <v>5076</v>
      </c>
      <c r="F1472" s="619">
        <v>38</v>
      </c>
      <c r="G1472" s="231" t="s">
        <v>4851</v>
      </c>
      <c r="H1472" s="619"/>
      <c r="I1472" s="619"/>
      <c r="J1472" s="620">
        <v>15770000</v>
      </c>
      <c r="K1472" s="621" t="s">
        <v>1130</v>
      </c>
      <c r="L1472" s="621" t="s">
        <v>4852</v>
      </c>
      <c r="M1472" s="621" t="s">
        <v>4874</v>
      </c>
      <c r="N1472" s="621" t="s">
        <v>4754</v>
      </c>
      <c r="O1472" s="621"/>
      <c r="P1472" s="621"/>
    </row>
    <row r="1473" spans="1:16">
      <c r="A1473" s="232" t="s">
        <v>686</v>
      </c>
      <c r="B1473" s="232" t="s">
        <v>1864</v>
      </c>
      <c r="C1473" s="622">
        <v>45077</v>
      </c>
      <c r="D1473" s="232" t="s">
        <v>4868</v>
      </c>
      <c r="E1473" s="231" t="s">
        <v>5076</v>
      </c>
      <c r="F1473" s="233">
        <v>50</v>
      </c>
      <c r="G1473" s="232" t="s">
        <v>4851</v>
      </c>
      <c r="H1473" s="233"/>
      <c r="I1473" s="233"/>
      <c r="J1473" s="623">
        <v>20750000</v>
      </c>
      <c r="K1473" s="624" t="s">
        <v>1130</v>
      </c>
      <c r="L1473" s="624" t="s">
        <v>4852</v>
      </c>
      <c r="M1473" s="624" t="s">
        <v>4874</v>
      </c>
      <c r="N1473" s="624" t="s">
        <v>4754</v>
      </c>
      <c r="O1473" s="624"/>
      <c r="P1473" s="624"/>
    </row>
    <row r="1474" spans="1:16">
      <c r="A1474" s="231" t="s">
        <v>686</v>
      </c>
      <c r="B1474" s="231" t="s">
        <v>1864</v>
      </c>
      <c r="C1474" s="618">
        <v>45077</v>
      </c>
      <c r="D1474" s="231" t="s">
        <v>4868</v>
      </c>
      <c r="E1474" s="231" t="s">
        <v>5076</v>
      </c>
      <c r="F1474" s="619">
        <v>50</v>
      </c>
      <c r="G1474" s="231" t="s">
        <v>4851</v>
      </c>
      <c r="H1474" s="619"/>
      <c r="I1474" s="619"/>
      <c r="J1474" s="620">
        <v>20750000</v>
      </c>
      <c r="K1474" s="621" t="s">
        <v>1130</v>
      </c>
      <c r="L1474" s="621" t="s">
        <v>4852</v>
      </c>
      <c r="M1474" s="621" t="s">
        <v>4874</v>
      </c>
      <c r="N1474" s="621" t="s">
        <v>4754</v>
      </c>
      <c r="O1474" s="621"/>
      <c r="P1474" s="621"/>
    </row>
    <row r="1475" spans="1:16">
      <c r="A1475" s="232" t="s">
        <v>686</v>
      </c>
      <c r="B1475" s="232" t="s">
        <v>1864</v>
      </c>
      <c r="C1475" s="622">
        <v>45077</v>
      </c>
      <c r="D1475" s="232" t="s">
        <v>4868</v>
      </c>
      <c r="E1475" s="231" t="s">
        <v>5076</v>
      </c>
      <c r="F1475" s="233">
        <v>50</v>
      </c>
      <c r="G1475" s="232" t="s">
        <v>4851</v>
      </c>
      <c r="H1475" s="233"/>
      <c r="I1475" s="233"/>
      <c r="J1475" s="623">
        <v>20750000</v>
      </c>
      <c r="K1475" s="624" t="s">
        <v>1130</v>
      </c>
      <c r="L1475" s="624" t="s">
        <v>4852</v>
      </c>
      <c r="M1475" s="624" t="s">
        <v>4874</v>
      </c>
      <c r="N1475" s="624" t="s">
        <v>4754</v>
      </c>
      <c r="O1475" s="624"/>
      <c r="P1475" s="624"/>
    </row>
    <row r="1476" spans="1:16">
      <c r="A1476" s="231" t="s">
        <v>686</v>
      </c>
      <c r="B1476" s="231" t="s">
        <v>1864</v>
      </c>
      <c r="C1476" s="618">
        <v>45077</v>
      </c>
      <c r="D1476" s="231" t="s">
        <v>4868</v>
      </c>
      <c r="E1476" s="231" t="s">
        <v>5076</v>
      </c>
      <c r="F1476" s="619">
        <v>35</v>
      </c>
      <c r="G1476" s="231" t="s">
        <v>4851</v>
      </c>
      <c r="H1476" s="619"/>
      <c r="I1476" s="619"/>
      <c r="J1476" s="620">
        <v>14525000</v>
      </c>
      <c r="K1476" s="621" t="s">
        <v>1130</v>
      </c>
      <c r="L1476" s="621" t="s">
        <v>4852</v>
      </c>
      <c r="M1476" s="621" t="s">
        <v>4874</v>
      </c>
      <c r="N1476" s="621" t="s">
        <v>4754</v>
      </c>
      <c r="O1476" s="621"/>
      <c r="P1476" s="621"/>
    </row>
    <row r="1477" spans="1:16">
      <c r="A1477" s="232" t="s">
        <v>686</v>
      </c>
      <c r="B1477" s="232" t="s">
        <v>1864</v>
      </c>
      <c r="C1477" s="622">
        <v>45077</v>
      </c>
      <c r="D1477" s="232" t="s">
        <v>4870</v>
      </c>
      <c r="E1477" s="232"/>
      <c r="F1477" s="233">
        <v>43</v>
      </c>
      <c r="G1477" s="232" t="s">
        <v>4851</v>
      </c>
      <c r="H1477" s="233"/>
      <c r="I1477" s="233"/>
      <c r="J1477" s="623">
        <v>18490000</v>
      </c>
      <c r="K1477" s="624" t="s">
        <v>1130</v>
      </c>
      <c r="L1477" s="624" t="s">
        <v>4852</v>
      </c>
      <c r="M1477" s="624" t="s">
        <v>4871</v>
      </c>
      <c r="N1477" s="624" t="s">
        <v>4754</v>
      </c>
      <c r="O1477" s="624"/>
      <c r="P1477" s="624"/>
    </row>
    <row r="1478" spans="1:16">
      <c r="A1478" s="231" t="s">
        <v>686</v>
      </c>
      <c r="B1478" s="231" t="s">
        <v>1864</v>
      </c>
      <c r="C1478" s="618">
        <v>45077</v>
      </c>
      <c r="D1478" s="231" t="s">
        <v>4870</v>
      </c>
      <c r="E1478" s="231"/>
      <c r="F1478" s="619">
        <v>43</v>
      </c>
      <c r="G1478" s="231" t="s">
        <v>4851</v>
      </c>
      <c r="H1478" s="619"/>
      <c r="I1478" s="619"/>
      <c r="J1478" s="620">
        <v>18490000</v>
      </c>
      <c r="K1478" s="621" t="s">
        <v>1130</v>
      </c>
      <c r="L1478" s="621" t="s">
        <v>4852</v>
      </c>
      <c r="M1478" s="621" t="s">
        <v>4871</v>
      </c>
      <c r="N1478" s="621" t="s">
        <v>4754</v>
      </c>
      <c r="O1478" s="621"/>
      <c r="P1478" s="621"/>
    </row>
    <row r="1479" spans="1:16">
      <c r="A1479" s="232" t="s">
        <v>686</v>
      </c>
      <c r="B1479" s="232" t="s">
        <v>1864</v>
      </c>
      <c r="C1479" s="622">
        <v>45077</v>
      </c>
      <c r="D1479" s="232" t="s">
        <v>4870</v>
      </c>
      <c r="E1479" s="232"/>
      <c r="F1479" s="233">
        <v>16.55</v>
      </c>
      <c r="G1479" s="232" t="s">
        <v>4851</v>
      </c>
      <c r="H1479" s="233"/>
      <c r="I1479" s="233"/>
      <c r="J1479" s="623">
        <v>7116500</v>
      </c>
      <c r="K1479" s="624" t="s">
        <v>1130</v>
      </c>
      <c r="L1479" s="624" t="s">
        <v>4852</v>
      </c>
      <c r="M1479" s="624" t="s">
        <v>4871</v>
      </c>
      <c r="N1479" s="624" t="s">
        <v>4754</v>
      </c>
      <c r="O1479" s="624"/>
      <c r="P1479" s="624"/>
    </row>
    <row r="1480" spans="1:16">
      <c r="A1480" s="231" t="s">
        <v>686</v>
      </c>
      <c r="B1480" s="231" t="s">
        <v>1864</v>
      </c>
      <c r="C1480" s="618">
        <v>45077</v>
      </c>
      <c r="D1480" s="231" t="s">
        <v>4870</v>
      </c>
      <c r="E1480" s="231"/>
      <c r="F1480" s="619">
        <v>43</v>
      </c>
      <c r="G1480" s="231" t="s">
        <v>4851</v>
      </c>
      <c r="H1480" s="619"/>
      <c r="I1480" s="619"/>
      <c r="J1480" s="620">
        <v>18490000</v>
      </c>
      <c r="K1480" s="621" t="s">
        <v>1130</v>
      </c>
      <c r="L1480" s="621" t="s">
        <v>4852</v>
      </c>
      <c r="M1480" s="621" t="s">
        <v>4871</v>
      </c>
      <c r="N1480" s="621" t="s">
        <v>4754</v>
      </c>
      <c r="O1480" s="621"/>
      <c r="P1480" s="621"/>
    </row>
    <row r="1481" spans="1:16">
      <c r="A1481" s="232" t="s">
        <v>686</v>
      </c>
      <c r="B1481" s="232" t="s">
        <v>1864</v>
      </c>
      <c r="C1481" s="622">
        <v>45077</v>
      </c>
      <c r="D1481" s="232" t="s">
        <v>4870</v>
      </c>
      <c r="E1481" s="232"/>
      <c r="F1481" s="233">
        <v>43</v>
      </c>
      <c r="G1481" s="232" t="s">
        <v>4851</v>
      </c>
      <c r="H1481" s="233"/>
      <c r="I1481" s="233"/>
      <c r="J1481" s="623">
        <v>18490000</v>
      </c>
      <c r="K1481" s="624" t="s">
        <v>1130</v>
      </c>
      <c r="L1481" s="624" t="s">
        <v>4852</v>
      </c>
      <c r="M1481" s="624" t="s">
        <v>4871</v>
      </c>
      <c r="N1481" s="624" t="s">
        <v>4754</v>
      </c>
      <c r="O1481" s="624"/>
      <c r="P1481" s="624"/>
    </row>
    <row r="1482" spans="1:16">
      <c r="A1482" s="231" t="s">
        <v>686</v>
      </c>
      <c r="B1482" s="231" t="s">
        <v>1864</v>
      </c>
      <c r="C1482" s="618">
        <v>45077</v>
      </c>
      <c r="D1482" s="231" t="s">
        <v>4870</v>
      </c>
      <c r="E1482" s="231"/>
      <c r="F1482" s="619">
        <v>33.450000000000003</v>
      </c>
      <c r="G1482" s="231" t="s">
        <v>4851</v>
      </c>
      <c r="H1482" s="619"/>
      <c r="I1482" s="619"/>
      <c r="J1482" s="620">
        <v>14383500</v>
      </c>
      <c r="K1482" s="621" t="s">
        <v>1130</v>
      </c>
      <c r="L1482" s="621" t="s">
        <v>4852</v>
      </c>
      <c r="M1482" s="621" t="s">
        <v>4871</v>
      </c>
      <c r="N1482" s="621" t="s">
        <v>4754</v>
      </c>
      <c r="O1482" s="621"/>
      <c r="P1482" s="621"/>
    </row>
    <row r="1483" spans="1:16">
      <c r="A1483" s="232" t="s">
        <v>686</v>
      </c>
      <c r="B1483" s="232" t="s">
        <v>1864</v>
      </c>
      <c r="C1483" s="622">
        <v>45077</v>
      </c>
      <c r="D1483" s="232" t="s">
        <v>4868</v>
      </c>
      <c r="E1483" s="231" t="s">
        <v>5076</v>
      </c>
      <c r="F1483" s="233">
        <v>45</v>
      </c>
      <c r="G1483" s="232" t="s">
        <v>4851</v>
      </c>
      <c r="H1483" s="233"/>
      <c r="I1483" s="233"/>
      <c r="J1483" s="623">
        <v>18900000</v>
      </c>
      <c r="K1483" s="624" t="s">
        <v>1130</v>
      </c>
      <c r="L1483" s="624" t="s">
        <v>4852</v>
      </c>
      <c r="M1483" s="624" t="s">
        <v>4858</v>
      </c>
      <c r="N1483" s="624" t="s">
        <v>4754</v>
      </c>
      <c r="O1483" s="624"/>
      <c r="P1483" s="624"/>
    </row>
    <row r="1484" spans="1:16">
      <c r="A1484" s="231" t="s">
        <v>686</v>
      </c>
      <c r="B1484" s="231" t="s">
        <v>1864</v>
      </c>
      <c r="C1484" s="618">
        <v>45077</v>
      </c>
      <c r="D1484" s="231" t="s">
        <v>4868</v>
      </c>
      <c r="E1484" s="231" t="s">
        <v>5076</v>
      </c>
      <c r="F1484" s="619">
        <v>5</v>
      </c>
      <c r="G1484" s="231" t="s">
        <v>4851</v>
      </c>
      <c r="H1484" s="619"/>
      <c r="I1484" s="619"/>
      <c r="J1484" s="620">
        <v>2100000</v>
      </c>
      <c r="K1484" s="621" t="s">
        <v>1130</v>
      </c>
      <c r="L1484" s="621" t="s">
        <v>4852</v>
      </c>
      <c r="M1484" s="621" t="s">
        <v>4858</v>
      </c>
      <c r="N1484" s="621" t="s">
        <v>4754</v>
      </c>
      <c r="O1484" s="621"/>
      <c r="P1484" s="621"/>
    </row>
    <row r="1485" spans="1:16">
      <c r="A1485" s="232" t="s">
        <v>686</v>
      </c>
      <c r="B1485" s="232" t="s">
        <v>1864</v>
      </c>
      <c r="C1485" s="622">
        <v>45077</v>
      </c>
      <c r="D1485" s="232" t="s">
        <v>4868</v>
      </c>
      <c r="E1485" s="231" t="s">
        <v>5076</v>
      </c>
      <c r="F1485" s="233">
        <v>53</v>
      </c>
      <c r="G1485" s="232" t="s">
        <v>4851</v>
      </c>
      <c r="H1485" s="233"/>
      <c r="I1485" s="233"/>
      <c r="J1485" s="623">
        <v>21995000</v>
      </c>
      <c r="K1485" s="624" t="s">
        <v>1130</v>
      </c>
      <c r="L1485" s="624" t="s">
        <v>4852</v>
      </c>
      <c r="M1485" s="624" t="s">
        <v>4874</v>
      </c>
      <c r="N1485" s="624" t="s">
        <v>4754</v>
      </c>
      <c r="O1485" s="624"/>
      <c r="P1485" s="624"/>
    </row>
    <row r="1486" spans="1:16">
      <c r="A1486" s="231" t="s">
        <v>686</v>
      </c>
      <c r="B1486" s="231" t="s">
        <v>1864</v>
      </c>
      <c r="C1486" s="618">
        <v>45077</v>
      </c>
      <c r="D1486" s="231" t="s">
        <v>4868</v>
      </c>
      <c r="E1486" s="231" t="s">
        <v>5076</v>
      </c>
      <c r="F1486" s="619">
        <v>53</v>
      </c>
      <c r="G1486" s="231" t="s">
        <v>4851</v>
      </c>
      <c r="H1486" s="619"/>
      <c r="I1486" s="619"/>
      <c r="J1486" s="620">
        <v>21995000</v>
      </c>
      <c r="K1486" s="621" t="s">
        <v>1130</v>
      </c>
      <c r="L1486" s="621" t="s">
        <v>4852</v>
      </c>
      <c r="M1486" s="621" t="s">
        <v>4874</v>
      </c>
      <c r="N1486" s="621" t="s">
        <v>4754</v>
      </c>
      <c r="O1486" s="621"/>
      <c r="P1486" s="621"/>
    </row>
    <row r="1487" spans="1:16">
      <c r="A1487" s="232" t="s">
        <v>686</v>
      </c>
      <c r="B1487" s="232" t="s">
        <v>1864</v>
      </c>
      <c r="C1487" s="622">
        <v>45077</v>
      </c>
      <c r="D1487" s="232" t="s">
        <v>4868</v>
      </c>
      <c r="E1487" s="231" t="s">
        <v>5076</v>
      </c>
      <c r="F1487" s="233">
        <v>50</v>
      </c>
      <c r="G1487" s="232" t="s">
        <v>4851</v>
      </c>
      <c r="H1487" s="233"/>
      <c r="I1487" s="233"/>
      <c r="J1487" s="623">
        <v>20750000</v>
      </c>
      <c r="K1487" s="624" t="s">
        <v>1130</v>
      </c>
      <c r="L1487" s="624" t="s">
        <v>4852</v>
      </c>
      <c r="M1487" s="624" t="s">
        <v>4874</v>
      </c>
      <c r="N1487" s="624" t="s">
        <v>4754</v>
      </c>
      <c r="O1487" s="624"/>
      <c r="P1487" s="624"/>
    </row>
    <row r="1488" spans="1:16">
      <c r="A1488" s="231" t="s">
        <v>686</v>
      </c>
      <c r="B1488" s="231" t="s">
        <v>1864</v>
      </c>
      <c r="C1488" s="618">
        <v>45077</v>
      </c>
      <c r="D1488" s="231" t="s">
        <v>4870</v>
      </c>
      <c r="E1488" s="231"/>
      <c r="F1488" s="619">
        <v>55</v>
      </c>
      <c r="G1488" s="231" t="s">
        <v>4851</v>
      </c>
      <c r="H1488" s="619"/>
      <c r="I1488" s="619"/>
      <c r="J1488" s="620">
        <v>23650000</v>
      </c>
      <c r="K1488" s="621" t="s">
        <v>1130</v>
      </c>
      <c r="L1488" s="621" t="s">
        <v>4852</v>
      </c>
      <c r="M1488" s="621" t="s">
        <v>4871</v>
      </c>
      <c r="N1488" s="621" t="s">
        <v>4754</v>
      </c>
      <c r="O1488" s="621"/>
      <c r="P1488" s="621"/>
    </row>
    <row r="1489" spans="1:16">
      <c r="A1489" s="232" t="s">
        <v>686</v>
      </c>
      <c r="B1489" s="232" t="s">
        <v>1864</v>
      </c>
      <c r="C1489" s="622">
        <v>45077</v>
      </c>
      <c r="D1489" s="232" t="s">
        <v>4870</v>
      </c>
      <c r="E1489" s="232"/>
      <c r="F1489" s="233">
        <v>47</v>
      </c>
      <c r="G1489" s="232" t="s">
        <v>4851</v>
      </c>
      <c r="H1489" s="233"/>
      <c r="I1489" s="233"/>
      <c r="J1489" s="623">
        <v>20210000</v>
      </c>
      <c r="K1489" s="624" t="s">
        <v>1130</v>
      </c>
      <c r="L1489" s="624" t="s">
        <v>4852</v>
      </c>
      <c r="M1489" s="624" t="s">
        <v>4871</v>
      </c>
      <c r="N1489" s="624" t="s">
        <v>4754</v>
      </c>
      <c r="O1489" s="624"/>
      <c r="P1489" s="624"/>
    </row>
    <row r="1490" spans="1:16">
      <c r="A1490" s="231" t="s">
        <v>686</v>
      </c>
      <c r="B1490" s="231" t="s">
        <v>1864</v>
      </c>
      <c r="C1490" s="618">
        <v>45077</v>
      </c>
      <c r="D1490" s="231" t="s">
        <v>4868</v>
      </c>
      <c r="E1490" s="231" t="s">
        <v>5076</v>
      </c>
      <c r="F1490" s="619">
        <v>33.49</v>
      </c>
      <c r="G1490" s="231" t="s">
        <v>4851</v>
      </c>
      <c r="H1490" s="619"/>
      <c r="I1490" s="619"/>
      <c r="J1490" s="620">
        <v>13898350</v>
      </c>
      <c r="K1490" s="621" t="s">
        <v>1130</v>
      </c>
      <c r="L1490" s="621" t="s">
        <v>4852</v>
      </c>
      <c r="M1490" s="621" t="s">
        <v>4874</v>
      </c>
      <c r="N1490" s="621" t="s">
        <v>4754</v>
      </c>
      <c r="O1490" s="621"/>
      <c r="P1490" s="621"/>
    </row>
    <row r="1491" spans="1:16">
      <c r="A1491" s="232" t="s">
        <v>686</v>
      </c>
      <c r="B1491" s="232" t="s">
        <v>1864</v>
      </c>
      <c r="C1491" s="622">
        <v>45077</v>
      </c>
      <c r="D1491" s="232" t="s">
        <v>4868</v>
      </c>
      <c r="E1491" s="231" t="s">
        <v>5076</v>
      </c>
      <c r="F1491" s="233">
        <v>21.51</v>
      </c>
      <c r="G1491" s="232" t="s">
        <v>4851</v>
      </c>
      <c r="H1491" s="233"/>
      <c r="I1491" s="233"/>
      <c r="J1491" s="623">
        <v>8926650</v>
      </c>
      <c r="K1491" s="624" t="s">
        <v>1130</v>
      </c>
      <c r="L1491" s="624" t="s">
        <v>4852</v>
      </c>
      <c r="M1491" s="624" t="s">
        <v>4874</v>
      </c>
      <c r="N1491" s="624" t="s">
        <v>4754</v>
      </c>
      <c r="O1491" s="624"/>
      <c r="P1491" s="624"/>
    </row>
    <row r="1492" spans="1:16">
      <c r="A1492" s="231" t="s">
        <v>686</v>
      </c>
      <c r="B1492" s="231" t="s">
        <v>1864</v>
      </c>
      <c r="C1492" s="618">
        <v>45077</v>
      </c>
      <c r="D1492" s="231" t="s">
        <v>4869</v>
      </c>
      <c r="E1492" s="231"/>
      <c r="F1492" s="619">
        <v>49</v>
      </c>
      <c r="G1492" s="231" t="s">
        <v>4851</v>
      </c>
      <c r="H1492" s="619"/>
      <c r="I1492" s="619"/>
      <c r="J1492" s="620">
        <v>21560000</v>
      </c>
      <c r="K1492" s="621" t="s">
        <v>1130</v>
      </c>
      <c r="L1492" s="621" t="s">
        <v>4852</v>
      </c>
      <c r="M1492" s="621" t="s">
        <v>4867</v>
      </c>
      <c r="N1492" s="621" t="s">
        <v>4754</v>
      </c>
      <c r="O1492" s="621"/>
      <c r="P1492" s="621"/>
    </row>
    <row r="1493" spans="1:16">
      <c r="A1493" s="232" t="s">
        <v>686</v>
      </c>
      <c r="B1493" s="232" t="s">
        <v>1864</v>
      </c>
      <c r="C1493" s="622">
        <v>45077</v>
      </c>
      <c r="D1493" s="232" t="s">
        <v>4869</v>
      </c>
      <c r="E1493" s="232"/>
      <c r="F1493" s="233">
        <v>49</v>
      </c>
      <c r="G1493" s="232" t="s">
        <v>4851</v>
      </c>
      <c r="H1493" s="233"/>
      <c r="I1493" s="233"/>
      <c r="J1493" s="623">
        <v>21560000</v>
      </c>
      <c r="K1493" s="624" t="s">
        <v>1130</v>
      </c>
      <c r="L1493" s="624" t="s">
        <v>4852</v>
      </c>
      <c r="M1493" s="624" t="s">
        <v>4867</v>
      </c>
      <c r="N1493" s="624" t="s">
        <v>4754</v>
      </c>
      <c r="O1493" s="624"/>
      <c r="P1493" s="624"/>
    </row>
    <row r="1494" spans="1:16">
      <c r="A1494" s="231" t="s">
        <v>686</v>
      </c>
      <c r="B1494" s="231" t="s">
        <v>1864</v>
      </c>
      <c r="C1494" s="618">
        <v>45077</v>
      </c>
      <c r="D1494" s="231" t="s">
        <v>4869</v>
      </c>
      <c r="E1494" s="231"/>
      <c r="F1494" s="619">
        <v>18.88</v>
      </c>
      <c r="G1494" s="231" t="s">
        <v>4851</v>
      </c>
      <c r="H1494" s="619"/>
      <c r="I1494" s="619"/>
      <c r="J1494" s="620">
        <v>8307200</v>
      </c>
      <c r="K1494" s="621" t="s">
        <v>1130</v>
      </c>
      <c r="L1494" s="621" t="s">
        <v>4852</v>
      </c>
      <c r="M1494" s="621" t="s">
        <v>4867</v>
      </c>
      <c r="N1494" s="621" t="s">
        <v>4754</v>
      </c>
      <c r="O1494" s="621"/>
      <c r="P1494" s="621"/>
    </row>
    <row r="1495" spans="1:16">
      <c r="A1495" s="232" t="s">
        <v>686</v>
      </c>
      <c r="B1495" s="232" t="s">
        <v>1864</v>
      </c>
      <c r="C1495" s="622">
        <v>45077</v>
      </c>
      <c r="D1495" s="232" t="s">
        <v>4869</v>
      </c>
      <c r="E1495" s="232"/>
      <c r="F1495" s="233">
        <v>30.12</v>
      </c>
      <c r="G1495" s="232" t="s">
        <v>4851</v>
      </c>
      <c r="H1495" s="233"/>
      <c r="I1495" s="233"/>
      <c r="J1495" s="623">
        <v>13252800</v>
      </c>
      <c r="K1495" s="624" t="s">
        <v>1130</v>
      </c>
      <c r="L1495" s="624" t="s">
        <v>4852</v>
      </c>
      <c r="M1495" s="624" t="s">
        <v>4867</v>
      </c>
      <c r="N1495" s="624" t="s">
        <v>4754</v>
      </c>
      <c r="O1495" s="624"/>
      <c r="P1495" s="624"/>
    </row>
    <row r="1496" spans="1:16">
      <c r="A1496" s="231" t="s">
        <v>686</v>
      </c>
      <c r="B1496" s="231" t="s">
        <v>1864</v>
      </c>
      <c r="C1496" s="618">
        <v>45077</v>
      </c>
      <c r="D1496" s="231" t="s">
        <v>4869</v>
      </c>
      <c r="E1496" s="231"/>
      <c r="F1496" s="619">
        <v>49</v>
      </c>
      <c r="G1496" s="231" t="s">
        <v>4851</v>
      </c>
      <c r="H1496" s="619"/>
      <c r="I1496" s="619"/>
      <c r="J1496" s="620">
        <v>21560000</v>
      </c>
      <c r="K1496" s="621" t="s">
        <v>1130</v>
      </c>
      <c r="L1496" s="621" t="s">
        <v>4852</v>
      </c>
      <c r="M1496" s="621" t="s">
        <v>4867</v>
      </c>
      <c r="N1496" s="621" t="s">
        <v>4754</v>
      </c>
      <c r="O1496" s="621"/>
      <c r="P1496" s="621"/>
    </row>
    <row r="1497" spans="1:16">
      <c r="A1497" s="232" t="s">
        <v>686</v>
      </c>
      <c r="B1497" s="232" t="s">
        <v>1864</v>
      </c>
      <c r="C1497" s="622">
        <v>45077</v>
      </c>
      <c r="D1497" s="232" t="s">
        <v>4862</v>
      </c>
      <c r="E1497" s="232"/>
      <c r="F1497" s="233">
        <v>50</v>
      </c>
      <c r="G1497" s="232" t="s">
        <v>4851</v>
      </c>
      <c r="H1497" s="233"/>
      <c r="I1497" s="233"/>
      <c r="J1497" s="623">
        <v>23250000</v>
      </c>
      <c r="K1497" s="624" t="s">
        <v>1130</v>
      </c>
      <c r="L1497" s="624" t="s">
        <v>4852</v>
      </c>
      <c r="M1497" s="624" t="s">
        <v>4863</v>
      </c>
      <c r="N1497" s="624" t="s">
        <v>4754</v>
      </c>
      <c r="O1497" s="624"/>
      <c r="P1497" s="624"/>
    </row>
    <row r="1498" spans="1:16">
      <c r="A1498" s="231" t="s">
        <v>686</v>
      </c>
      <c r="B1498" s="231" t="s">
        <v>1864</v>
      </c>
      <c r="C1498" s="618">
        <v>45077</v>
      </c>
      <c r="D1498" s="231" t="s">
        <v>4868</v>
      </c>
      <c r="E1498" s="231" t="s">
        <v>5076</v>
      </c>
      <c r="F1498" s="619">
        <v>53</v>
      </c>
      <c r="G1498" s="231" t="s">
        <v>4851</v>
      </c>
      <c r="H1498" s="619"/>
      <c r="I1498" s="619"/>
      <c r="J1498" s="620">
        <v>21995000</v>
      </c>
      <c r="K1498" s="621" t="s">
        <v>1130</v>
      </c>
      <c r="L1498" s="621" t="s">
        <v>4852</v>
      </c>
      <c r="M1498" s="621" t="s">
        <v>4874</v>
      </c>
      <c r="N1498" s="621" t="s">
        <v>4754</v>
      </c>
      <c r="O1498" s="621"/>
      <c r="P1498" s="621"/>
    </row>
    <row r="1499" spans="1:16">
      <c r="A1499" s="232" t="s">
        <v>686</v>
      </c>
      <c r="B1499" s="232" t="s">
        <v>1864</v>
      </c>
      <c r="C1499" s="622">
        <v>45077</v>
      </c>
      <c r="D1499" s="232" t="s">
        <v>4868</v>
      </c>
      <c r="E1499" s="231" t="s">
        <v>5076</v>
      </c>
      <c r="F1499" s="233">
        <v>53</v>
      </c>
      <c r="G1499" s="232" t="s">
        <v>4851</v>
      </c>
      <c r="H1499" s="233"/>
      <c r="I1499" s="233"/>
      <c r="J1499" s="623">
        <v>21995000</v>
      </c>
      <c r="K1499" s="624" t="s">
        <v>1130</v>
      </c>
      <c r="L1499" s="624" t="s">
        <v>4852</v>
      </c>
      <c r="M1499" s="624" t="s">
        <v>4874</v>
      </c>
      <c r="N1499" s="624" t="s">
        <v>4754</v>
      </c>
      <c r="O1499" s="624"/>
      <c r="P1499" s="624"/>
    </row>
    <row r="1500" spans="1:16">
      <c r="A1500" s="231" t="s">
        <v>686</v>
      </c>
      <c r="B1500" s="231" t="s">
        <v>1864</v>
      </c>
      <c r="C1500" s="618">
        <v>45077</v>
      </c>
      <c r="D1500" s="231" t="s">
        <v>4868</v>
      </c>
      <c r="E1500" s="231" t="s">
        <v>5076</v>
      </c>
      <c r="F1500" s="619">
        <v>50</v>
      </c>
      <c r="G1500" s="231" t="s">
        <v>4851</v>
      </c>
      <c r="H1500" s="619"/>
      <c r="I1500" s="619"/>
      <c r="J1500" s="620">
        <v>20750000</v>
      </c>
      <c r="K1500" s="621" t="s">
        <v>1130</v>
      </c>
      <c r="L1500" s="621" t="s">
        <v>4852</v>
      </c>
      <c r="M1500" s="621" t="s">
        <v>4874</v>
      </c>
      <c r="N1500" s="621" t="s">
        <v>4754</v>
      </c>
      <c r="O1500" s="621"/>
      <c r="P1500" s="621"/>
    </row>
    <row r="1501" spans="1:16">
      <c r="A1501" s="232" t="s">
        <v>686</v>
      </c>
      <c r="B1501" s="232" t="s">
        <v>1864</v>
      </c>
      <c r="C1501" s="622">
        <v>45077</v>
      </c>
      <c r="D1501" s="232" t="s">
        <v>4869</v>
      </c>
      <c r="E1501" s="232"/>
      <c r="F1501" s="233">
        <v>49</v>
      </c>
      <c r="G1501" s="232" t="s">
        <v>4851</v>
      </c>
      <c r="H1501" s="233"/>
      <c r="I1501" s="233"/>
      <c r="J1501" s="623">
        <v>21560000</v>
      </c>
      <c r="K1501" s="624" t="s">
        <v>1130</v>
      </c>
      <c r="L1501" s="624" t="s">
        <v>4852</v>
      </c>
      <c r="M1501" s="624" t="s">
        <v>4867</v>
      </c>
      <c r="N1501" s="624" t="s">
        <v>4754</v>
      </c>
      <c r="O1501" s="624"/>
      <c r="P1501" s="624"/>
    </row>
    <row r="1502" spans="1:16">
      <c r="A1502" s="231" t="s">
        <v>686</v>
      </c>
      <c r="B1502" s="231" t="s">
        <v>1864</v>
      </c>
      <c r="C1502" s="618">
        <v>45077</v>
      </c>
      <c r="D1502" s="231" t="s">
        <v>4869</v>
      </c>
      <c r="E1502" s="231"/>
      <c r="F1502" s="619">
        <v>49</v>
      </c>
      <c r="G1502" s="231" t="s">
        <v>4851</v>
      </c>
      <c r="H1502" s="619"/>
      <c r="I1502" s="619"/>
      <c r="J1502" s="620">
        <v>21560000</v>
      </c>
      <c r="K1502" s="621" t="s">
        <v>1130</v>
      </c>
      <c r="L1502" s="621" t="s">
        <v>4852</v>
      </c>
      <c r="M1502" s="621" t="s">
        <v>4867</v>
      </c>
      <c r="N1502" s="621" t="s">
        <v>4754</v>
      </c>
      <c r="O1502" s="621"/>
      <c r="P1502" s="621"/>
    </row>
    <row r="1503" spans="1:16">
      <c r="A1503" s="232" t="s">
        <v>686</v>
      </c>
      <c r="B1503" s="232" t="s">
        <v>1864</v>
      </c>
      <c r="C1503" s="622">
        <v>45077</v>
      </c>
      <c r="D1503" s="232" t="s">
        <v>4870</v>
      </c>
      <c r="E1503" s="232"/>
      <c r="F1503" s="233">
        <v>43</v>
      </c>
      <c r="G1503" s="232" t="s">
        <v>4851</v>
      </c>
      <c r="H1503" s="233"/>
      <c r="I1503" s="233"/>
      <c r="J1503" s="623">
        <v>18490000</v>
      </c>
      <c r="K1503" s="624" t="s">
        <v>1130</v>
      </c>
      <c r="L1503" s="624" t="s">
        <v>4852</v>
      </c>
      <c r="M1503" s="624" t="s">
        <v>4871</v>
      </c>
      <c r="N1503" s="624" t="s">
        <v>4754</v>
      </c>
      <c r="O1503" s="624"/>
      <c r="P1503" s="624"/>
    </row>
    <row r="1504" spans="1:16">
      <c r="A1504" s="231" t="s">
        <v>686</v>
      </c>
      <c r="B1504" s="231" t="s">
        <v>1864</v>
      </c>
      <c r="C1504" s="618">
        <v>45077</v>
      </c>
      <c r="D1504" s="231" t="s">
        <v>4870</v>
      </c>
      <c r="E1504" s="231"/>
      <c r="F1504" s="619">
        <v>43</v>
      </c>
      <c r="G1504" s="231" t="s">
        <v>4851</v>
      </c>
      <c r="H1504" s="619"/>
      <c r="I1504" s="619"/>
      <c r="J1504" s="620">
        <v>18490000</v>
      </c>
      <c r="K1504" s="621" t="s">
        <v>1130</v>
      </c>
      <c r="L1504" s="621" t="s">
        <v>4852</v>
      </c>
      <c r="M1504" s="621" t="s">
        <v>4871</v>
      </c>
      <c r="N1504" s="621" t="s">
        <v>4754</v>
      </c>
      <c r="O1504" s="621"/>
      <c r="P1504" s="621"/>
    </row>
    <row r="1505" spans="1:16">
      <c r="A1505" s="232" t="s">
        <v>686</v>
      </c>
      <c r="B1505" s="232" t="s">
        <v>1864</v>
      </c>
      <c r="C1505" s="622">
        <v>45077</v>
      </c>
      <c r="D1505" s="232" t="s">
        <v>4868</v>
      </c>
      <c r="E1505" s="231" t="s">
        <v>5076</v>
      </c>
      <c r="F1505" s="233">
        <v>50</v>
      </c>
      <c r="G1505" s="232" t="s">
        <v>4851</v>
      </c>
      <c r="H1505" s="233"/>
      <c r="I1505" s="233"/>
      <c r="J1505" s="623">
        <v>20750000</v>
      </c>
      <c r="K1505" s="624" t="s">
        <v>1130</v>
      </c>
      <c r="L1505" s="624" t="s">
        <v>4852</v>
      </c>
      <c r="M1505" s="624" t="s">
        <v>4874</v>
      </c>
      <c r="N1505" s="624" t="s">
        <v>4754</v>
      </c>
      <c r="O1505" s="624"/>
      <c r="P1505" s="624"/>
    </row>
    <row r="1506" spans="1:16">
      <c r="A1506" s="231" t="s">
        <v>686</v>
      </c>
      <c r="B1506" s="231" t="s">
        <v>1864</v>
      </c>
      <c r="C1506" s="618">
        <v>45077</v>
      </c>
      <c r="D1506" s="231" t="s">
        <v>4868</v>
      </c>
      <c r="E1506" s="231" t="s">
        <v>5076</v>
      </c>
      <c r="F1506" s="619">
        <v>53</v>
      </c>
      <c r="G1506" s="231" t="s">
        <v>4851</v>
      </c>
      <c r="H1506" s="619"/>
      <c r="I1506" s="619"/>
      <c r="J1506" s="620">
        <v>21995000</v>
      </c>
      <c r="K1506" s="621" t="s">
        <v>1130</v>
      </c>
      <c r="L1506" s="621" t="s">
        <v>4852</v>
      </c>
      <c r="M1506" s="621" t="s">
        <v>4874</v>
      </c>
      <c r="N1506" s="621" t="s">
        <v>4754</v>
      </c>
      <c r="O1506" s="621"/>
      <c r="P1506" s="621"/>
    </row>
    <row r="1507" spans="1:16">
      <c r="A1507" s="232" t="s">
        <v>686</v>
      </c>
      <c r="B1507" s="232" t="s">
        <v>1864</v>
      </c>
      <c r="C1507" s="622">
        <v>45077</v>
      </c>
      <c r="D1507" s="232" t="s">
        <v>4868</v>
      </c>
      <c r="E1507" s="231" t="s">
        <v>5076</v>
      </c>
      <c r="F1507" s="233">
        <v>54</v>
      </c>
      <c r="G1507" s="232" t="s">
        <v>4851</v>
      </c>
      <c r="H1507" s="233"/>
      <c r="I1507" s="233"/>
      <c r="J1507" s="623">
        <v>22410000</v>
      </c>
      <c r="K1507" s="624" t="s">
        <v>1130</v>
      </c>
      <c r="L1507" s="624" t="s">
        <v>4852</v>
      </c>
      <c r="M1507" s="624" t="s">
        <v>4874</v>
      </c>
      <c r="N1507" s="624" t="s">
        <v>4754</v>
      </c>
      <c r="O1507" s="624"/>
      <c r="P1507" s="624"/>
    </row>
    <row r="1508" spans="1:16">
      <c r="A1508" s="231" t="s">
        <v>686</v>
      </c>
      <c r="B1508" s="231" t="s">
        <v>1864</v>
      </c>
      <c r="C1508" s="618">
        <v>45077</v>
      </c>
      <c r="D1508" s="231" t="s">
        <v>4870</v>
      </c>
      <c r="E1508" s="231"/>
      <c r="F1508" s="619">
        <v>42</v>
      </c>
      <c r="G1508" s="231" t="s">
        <v>4851</v>
      </c>
      <c r="H1508" s="619"/>
      <c r="I1508" s="619"/>
      <c r="J1508" s="620">
        <v>18060000</v>
      </c>
      <c r="K1508" s="621" t="s">
        <v>1130</v>
      </c>
      <c r="L1508" s="621" t="s">
        <v>4852</v>
      </c>
      <c r="M1508" s="621" t="s">
        <v>4871</v>
      </c>
      <c r="N1508" s="621" t="s">
        <v>4754</v>
      </c>
      <c r="O1508" s="621"/>
      <c r="P1508" s="621"/>
    </row>
    <row r="1509" spans="1:16">
      <c r="A1509" s="232" t="s">
        <v>686</v>
      </c>
      <c r="B1509" s="232" t="s">
        <v>1864</v>
      </c>
      <c r="C1509" s="622">
        <v>45077</v>
      </c>
      <c r="D1509" s="232" t="s">
        <v>4870</v>
      </c>
      <c r="E1509" s="232"/>
      <c r="F1509" s="233">
        <v>52</v>
      </c>
      <c r="G1509" s="232" t="s">
        <v>4851</v>
      </c>
      <c r="H1509" s="233"/>
      <c r="I1509" s="233"/>
      <c r="J1509" s="623">
        <v>22360000</v>
      </c>
      <c r="K1509" s="624" t="s">
        <v>1130</v>
      </c>
      <c r="L1509" s="624" t="s">
        <v>4852</v>
      </c>
      <c r="M1509" s="624" t="s">
        <v>4871</v>
      </c>
      <c r="N1509" s="624" t="s">
        <v>4754</v>
      </c>
      <c r="O1509" s="624"/>
      <c r="P1509" s="624"/>
    </row>
    <row r="1510" spans="1:16">
      <c r="A1510" s="231" t="s">
        <v>686</v>
      </c>
      <c r="B1510" s="231" t="s">
        <v>1864</v>
      </c>
      <c r="C1510" s="618">
        <v>45077</v>
      </c>
      <c r="D1510" s="231" t="s">
        <v>4870</v>
      </c>
      <c r="E1510" s="231"/>
      <c r="F1510" s="619">
        <v>1</v>
      </c>
      <c r="G1510" s="231" t="s">
        <v>4851</v>
      </c>
      <c r="H1510" s="619"/>
      <c r="I1510" s="619"/>
      <c r="J1510" s="620">
        <v>430000</v>
      </c>
      <c r="K1510" s="621" t="s">
        <v>1130</v>
      </c>
      <c r="L1510" s="621" t="s">
        <v>4852</v>
      </c>
      <c r="M1510" s="621" t="s">
        <v>4871</v>
      </c>
      <c r="N1510" s="621" t="s">
        <v>4754</v>
      </c>
      <c r="O1510" s="621"/>
      <c r="P1510" s="621"/>
    </row>
    <row r="1511" spans="1:16">
      <c r="A1511" s="232" t="s">
        <v>686</v>
      </c>
      <c r="B1511" s="232" t="s">
        <v>1864</v>
      </c>
      <c r="C1511" s="622">
        <v>45077</v>
      </c>
      <c r="D1511" s="232" t="s">
        <v>4870</v>
      </c>
      <c r="E1511" s="232"/>
      <c r="F1511" s="233">
        <v>0.2</v>
      </c>
      <c r="G1511" s="232" t="s">
        <v>4851</v>
      </c>
      <c r="H1511" s="233"/>
      <c r="I1511" s="233"/>
      <c r="J1511" s="623">
        <v>86000</v>
      </c>
      <c r="K1511" s="624" t="s">
        <v>1130</v>
      </c>
      <c r="L1511" s="624" t="s">
        <v>4852</v>
      </c>
      <c r="M1511" s="624" t="s">
        <v>4871</v>
      </c>
      <c r="N1511" s="624" t="s">
        <v>4754</v>
      </c>
      <c r="O1511" s="624"/>
      <c r="P1511" s="624"/>
    </row>
    <row r="1512" spans="1:16">
      <c r="A1512" s="231" t="s">
        <v>686</v>
      </c>
      <c r="B1512" s="231" t="s">
        <v>1864</v>
      </c>
      <c r="C1512" s="618">
        <v>45077</v>
      </c>
      <c r="D1512" s="231" t="s">
        <v>4870</v>
      </c>
      <c r="E1512" s="231"/>
      <c r="F1512" s="619">
        <v>54</v>
      </c>
      <c r="G1512" s="231" t="s">
        <v>4851</v>
      </c>
      <c r="H1512" s="619"/>
      <c r="I1512" s="619"/>
      <c r="J1512" s="620">
        <v>23220000</v>
      </c>
      <c r="K1512" s="621" t="s">
        <v>1130</v>
      </c>
      <c r="L1512" s="621" t="s">
        <v>4852</v>
      </c>
      <c r="M1512" s="621" t="s">
        <v>4871</v>
      </c>
      <c r="N1512" s="621" t="s">
        <v>4754</v>
      </c>
      <c r="O1512" s="621"/>
      <c r="P1512" s="621"/>
    </row>
    <row r="1513" spans="1:16">
      <c r="A1513" s="232" t="s">
        <v>686</v>
      </c>
      <c r="B1513" s="232" t="s">
        <v>1864</v>
      </c>
      <c r="C1513" s="622">
        <v>45077</v>
      </c>
      <c r="D1513" s="232" t="s">
        <v>4870</v>
      </c>
      <c r="E1513" s="232"/>
      <c r="F1513" s="233">
        <v>43</v>
      </c>
      <c r="G1513" s="232" t="s">
        <v>4851</v>
      </c>
      <c r="H1513" s="233"/>
      <c r="I1513" s="233"/>
      <c r="J1513" s="623">
        <v>18490000</v>
      </c>
      <c r="K1513" s="624" t="s">
        <v>1130</v>
      </c>
      <c r="L1513" s="624" t="s">
        <v>4852</v>
      </c>
      <c r="M1513" s="624" t="s">
        <v>4871</v>
      </c>
      <c r="N1513" s="624" t="s">
        <v>4754</v>
      </c>
      <c r="O1513" s="624"/>
      <c r="P1513" s="624"/>
    </row>
    <row r="1514" spans="1:16">
      <c r="A1514" s="231" t="s">
        <v>686</v>
      </c>
      <c r="B1514" s="231" t="s">
        <v>1864</v>
      </c>
      <c r="C1514" s="618">
        <v>45077</v>
      </c>
      <c r="D1514" s="231" t="s">
        <v>4870</v>
      </c>
      <c r="E1514" s="231"/>
      <c r="F1514" s="619">
        <v>4.8</v>
      </c>
      <c r="G1514" s="231" t="s">
        <v>4851</v>
      </c>
      <c r="H1514" s="619"/>
      <c r="I1514" s="619"/>
      <c r="J1514" s="620">
        <v>2064000</v>
      </c>
      <c r="K1514" s="621" t="s">
        <v>1130</v>
      </c>
      <c r="L1514" s="621" t="s">
        <v>4852</v>
      </c>
      <c r="M1514" s="621" t="s">
        <v>4871</v>
      </c>
      <c r="N1514" s="621" t="s">
        <v>4754</v>
      </c>
      <c r="O1514" s="621"/>
      <c r="P1514" s="621"/>
    </row>
    <row r="1515" spans="1:16">
      <c r="A1515" s="232" t="s">
        <v>686</v>
      </c>
      <c r="B1515" s="232" t="s">
        <v>1864</v>
      </c>
      <c r="C1515" s="622">
        <v>45077</v>
      </c>
      <c r="D1515" s="232" t="s">
        <v>4870</v>
      </c>
      <c r="E1515" s="232"/>
      <c r="F1515" s="233">
        <v>52</v>
      </c>
      <c r="G1515" s="232" t="s">
        <v>4851</v>
      </c>
      <c r="H1515" s="233"/>
      <c r="I1515" s="233"/>
      <c r="J1515" s="623">
        <v>22360000</v>
      </c>
      <c r="K1515" s="624" t="s">
        <v>1130</v>
      </c>
      <c r="L1515" s="624" t="s">
        <v>4852</v>
      </c>
      <c r="M1515" s="624" t="s">
        <v>4871</v>
      </c>
      <c r="N1515" s="624" t="s">
        <v>4754</v>
      </c>
      <c r="O1515" s="624"/>
      <c r="P1515" s="624"/>
    </row>
    <row r="1516" spans="1:16">
      <c r="A1516" s="231" t="s">
        <v>686</v>
      </c>
      <c r="B1516" s="231" t="s">
        <v>1864</v>
      </c>
      <c r="C1516" s="618">
        <v>45077</v>
      </c>
      <c r="D1516" s="231" t="s">
        <v>4870</v>
      </c>
      <c r="E1516" s="231"/>
      <c r="F1516" s="619">
        <v>40.200000000000003</v>
      </c>
      <c r="G1516" s="231" t="s">
        <v>4851</v>
      </c>
      <c r="H1516" s="619"/>
      <c r="I1516" s="619"/>
      <c r="J1516" s="620">
        <v>17286000</v>
      </c>
      <c r="K1516" s="621" t="s">
        <v>1130</v>
      </c>
      <c r="L1516" s="621" t="s">
        <v>4852</v>
      </c>
      <c r="M1516" s="621" t="s">
        <v>4871</v>
      </c>
      <c r="N1516" s="621" t="s">
        <v>4754</v>
      </c>
      <c r="O1516" s="621"/>
      <c r="P1516" s="621"/>
    </row>
    <row r="1517" spans="1:16">
      <c r="A1517" s="232" t="s">
        <v>686</v>
      </c>
      <c r="B1517" s="232" t="s">
        <v>1864</v>
      </c>
      <c r="C1517" s="622">
        <v>45077</v>
      </c>
      <c r="D1517" s="232" t="s">
        <v>4870</v>
      </c>
      <c r="E1517" s="232"/>
      <c r="F1517" s="233">
        <v>51.8</v>
      </c>
      <c r="G1517" s="232" t="s">
        <v>4851</v>
      </c>
      <c r="H1517" s="233"/>
      <c r="I1517" s="233"/>
      <c r="J1517" s="623">
        <v>22274000</v>
      </c>
      <c r="K1517" s="624" t="s">
        <v>1130</v>
      </c>
      <c r="L1517" s="624" t="s">
        <v>4852</v>
      </c>
      <c r="M1517" s="624" t="s">
        <v>4871</v>
      </c>
      <c r="N1517" s="624" t="s">
        <v>4754</v>
      </c>
      <c r="O1517" s="624"/>
      <c r="P1517" s="624"/>
    </row>
    <row r="1518" spans="1:16">
      <c r="A1518" s="231" t="s">
        <v>686</v>
      </c>
      <c r="B1518" s="231" t="s">
        <v>1864</v>
      </c>
      <c r="C1518" s="618">
        <v>45077</v>
      </c>
      <c r="D1518" s="231" t="s">
        <v>4870</v>
      </c>
      <c r="E1518" s="231"/>
      <c r="F1518" s="619">
        <v>52</v>
      </c>
      <c r="G1518" s="231" t="s">
        <v>4851</v>
      </c>
      <c r="H1518" s="619"/>
      <c r="I1518" s="619"/>
      <c r="J1518" s="620">
        <v>22360000</v>
      </c>
      <c r="K1518" s="621" t="s">
        <v>1130</v>
      </c>
      <c r="L1518" s="621" t="s">
        <v>4852</v>
      </c>
      <c r="M1518" s="621" t="s">
        <v>4871</v>
      </c>
      <c r="N1518" s="621" t="s">
        <v>4754</v>
      </c>
      <c r="O1518" s="621"/>
      <c r="P1518" s="621"/>
    </row>
    <row r="1519" spans="1:16">
      <c r="A1519" s="232" t="s">
        <v>686</v>
      </c>
      <c r="B1519" s="232" t="s">
        <v>1864</v>
      </c>
      <c r="C1519" s="622">
        <v>45077</v>
      </c>
      <c r="D1519" s="232" t="s">
        <v>4870</v>
      </c>
      <c r="E1519" s="232"/>
      <c r="F1519" s="233">
        <v>52</v>
      </c>
      <c r="G1519" s="232" t="s">
        <v>4851</v>
      </c>
      <c r="H1519" s="233"/>
      <c r="I1519" s="233"/>
      <c r="J1519" s="623">
        <v>22360000</v>
      </c>
      <c r="K1519" s="624" t="s">
        <v>1130</v>
      </c>
      <c r="L1519" s="624" t="s">
        <v>4852</v>
      </c>
      <c r="M1519" s="624" t="s">
        <v>4871</v>
      </c>
      <c r="N1519" s="624" t="s">
        <v>4754</v>
      </c>
      <c r="O1519" s="624"/>
      <c r="P1519" s="624"/>
    </row>
    <row r="1520" spans="1:16">
      <c r="A1520" s="231" t="s">
        <v>686</v>
      </c>
      <c r="B1520" s="231" t="s">
        <v>1864</v>
      </c>
      <c r="C1520" s="618">
        <v>45077</v>
      </c>
      <c r="D1520" s="231" t="s">
        <v>4869</v>
      </c>
      <c r="E1520" s="231"/>
      <c r="F1520" s="619">
        <v>16.079999999999998</v>
      </c>
      <c r="G1520" s="231" t="s">
        <v>4851</v>
      </c>
      <c r="H1520" s="619"/>
      <c r="I1520" s="619"/>
      <c r="J1520" s="620">
        <v>7075200</v>
      </c>
      <c r="K1520" s="621" t="s">
        <v>1130</v>
      </c>
      <c r="L1520" s="621" t="s">
        <v>4852</v>
      </c>
      <c r="M1520" s="621" t="s">
        <v>4867</v>
      </c>
      <c r="N1520" s="621" t="s">
        <v>4754</v>
      </c>
      <c r="O1520" s="621"/>
      <c r="P1520" s="621"/>
    </row>
    <row r="1521" spans="1:16">
      <c r="A1521" s="232" t="s">
        <v>686</v>
      </c>
      <c r="B1521" s="232" t="s">
        <v>1864</v>
      </c>
      <c r="C1521" s="622">
        <v>45077</v>
      </c>
      <c r="D1521" s="232" t="s">
        <v>4869</v>
      </c>
      <c r="E1521" s="232"/>
      <c r="F1521" s="233">
        <v>45</v>
      </c>
      <c r="G1521" s="232" t="s">
        <v>4851</v>
      </c>
      <c r="H1521" s="233"/>
      <c r="I1521" s="233"/>
      <c r="J1521" s="623">
        <v>19800000</v>
      </c>
      <c r="K1521" s="624" t="s">
        <v>1130</v>
      </c>
      <c r="L1521" s="624" t="s">
        <v>4852</v>
      </c>
      <c r="M1521" s="624" t="s">
        <v>4867</v>
      </c>
      <c r="N1521" s="624" t="s">
        <v>4754</v>
      </c>
      <c r="O1521" s="624"/>
      <c r="P1521" s="624"/>
    </row>
    <row r="1522" spans="1:16">
      <c r="A1522" s="231" t="s">
        <v>686</v>
      </c>
      <c r="B1522" s="231" t="s">
        <v>1864</v>
      </c>
      <c r="C1522" s="618">
        <v>45077</v>
      </c>
      <c r="D1522" s="231" t="s">
        <v>4869</v>
      </c>
      <c r="E1522" s="231"/>
      <c r="F1522" s="619">
        <v>49</v>
      </c>
      <c r="G1522" s="231" t="s">
        <v>4851</v>
      </c>
      <c r="H1522" s="619"/>
      <c r="I1522" s="619"/>
      <c r="J1522" s="620">
        <v>21560000</v>
      </c>
      <c r="K1522" s="621" t="s">
        <v>1130</v>
      </c>
      <c r="L1522" s="621" t="s">
        <v>4852</v>
      </c>
      <c r="M1522" s="621" t="s">
        <v>4867</v>
      </c>
      <c r="N1522" s="621" t="s">
        <v>4754</v>
      </c>
      <c r="O1522" s="621"/>
      <c r="P1522" s="621"/>
    </row>
    <row r="1523" spans="1:16">
      <c r="A1523" s="232" t="s">
        <v>686</v>
      </c>
      <c r="B1523" s="232" t="s">
        <v>1864</v>
      </c>
      <c r="C1523" s="622">
        <v>45077</v>
      </c>
      <c r="D1523" s="232" t="s">
        <v>4869</v>
      </c>
      <c r="E1523" s="232"/>
      <c r="F1523" s="233">
        <v>32.92</v>
      </c>
      <c r="G1523" s="232" t="s">
        <v>4851</v>
      </c>
      <c r="H1523" s="233"/>
      <c r="I1523" s="233"/>
      <c r="J1523" s="623">
        <v>14484800</v>
      </c>
      <c r="K1523" s="624" t="s">
        <v>1130</v>
      </c>
      <c r="L1523" s="624" t="s">
        <v>4852</v>
      </c>
      <c r="M1523" s="624" t="s">
        <v>4867</v>
      </c>
      <c r="N1523" s="624" t="s">
        <v>4754</v>
      </c>
      <c r="O1523" s="624"/>
      <c r="P1523" s="624"/>
    </row>
    <row r="1524" spans="1:16">
      <c r="A1524" s="231" t="s">
        <v>686</v>
      </c>
      <c r="B1524" s="231" t="s">
        <v>1864</v>
      </c>
      <c r="C1524" s="618">
        <v>45077</v>
      </c>
      <c r="D1524" s="231" t="s">
        <v>4869</v>
      </c>
      <c r="E1524" s="231"/>
      <c r="F1524" s="619">
        <v>49</v>
      </c>
      <c r="G1524" s="231" t="s">
        <v>4851</v>
      </c>
      <c r="H1524" s="619"/>
      <c r="I1524" s="619"/>
      <c r="J1524" s="620">
        <v>21560000</v>
      </c>
      <c r="K1524" s="621" t="s">
        <v>1130</v>
      </c>
      <c r="L1524" s="621" t="s">
        <v>4852</v>
      </c>
      <c r="M1524" s="621" t="s">
        <v>4867</v>
      </c>
      <c r="N1524" s="621" t="s">
        <v>4754</v>
      </c>
      <c r="O1524" s="621"/>
      <c r="P1524" s="621"/>
    </row>
    <row r="1525" spans="1:16">
      <c r="A1525" s="232" t="s">
        <v>686</v>
      </c>
      <c r="B1525" s="232" t="s">
        <v>1864</v>
      </c>
      <c r="C1525" s="622">
        <v>45077</v>
      </c>
      <c r="D1525" s="232" t="s">
        <v>4869</v>
      </c>
      <c r="E1525" s="232"/>
      <c r="F1525" s="233">
        <v>4</v>
      </c>
      <c r="G1525" s="232" t="s">
        <v>4851</v>
      </c>
      <c r="H1525" s="233"/>
      <c r="I1525" s="233"/>
      <c r="J1525" s="623">
        <v>1760000</v>
      </c>
      <c r="K1525" s="624" t="s">
        <v>1130</v>
      </c>
      <c r="L1525" s="624" t="s">
        <v>4852</v>
      </c>
      <c r="M1525" s="624" t="s">
        <v>4867</v>
      </c>
      <c r="N1525" s="624" t="s">
        <v>4754</v>
      </c>
      <c r="O1525" s="624"/>
      <c r="P1525" s="624"/>
    </row>
    <row r="1526" spans="1:16">
      <c r="A1526" s="231" t="s">
        <v>686</v>
      </c>
      <c r="B1526" s="231" t="s">
        <v>1864</v>
      </c>
      <c r="C1526" s="618">
        <v>45077</v>
      </c>
      <c r="D1526" s="231" t="s">
        <v>4868</v>
      </c>
      <c r="E1526" s="231" t="s">
        <v>5076</v>
      </c>
      <c r="F1526" s="619">
        <v>53</v>
      </c>
      <c r="G1526" s="231" t="s">
        <v>4851</v>
      </c>
      <c r="H1526" s="619"/>
      <c r="I1526" s="619"/>
      <c r="J1526" s="620">
        <v>21995000</v>
      </c>
      <c r="K1526" s="621" t="s">
        <v>1130</v>
      </c>
      <c r="L1526" s="621" t="s">
        <v>4852</v>
      </c>
      <c r="M1526" s="621" t="s">
        <v>4874</v>
      </c>
      <c r="N1526" s="621" t="s">
        <v>4754</v>
      </c>
      <c r="O1526" s="621"/>
      <c r="P1526" s="621"/>
    </row>
    <row r="1527" spans="1:16">
      <c r="A1527" s="232" t="s">
        <v>686</v>
      </c>
      <c r="B1527" s="232" t="s">
        <v>1864</v>
      </c>
      <c r="C1527" s="622">
        <v>45077</v>
      </c>
      <c r="D1527" s="232" t="s">
        <v>4868</v>
      </c>
      <c r="E1527" s="231" t="s">
        <v>5076</v>
      </c>
      <c r="F1527" s="233">
        <v>50</v>
      </c>
      <c r="G1527" s="232" t="s">
        <v>4851</v>
      </c>
      <c r="H1527" s="233"/>
      <c r="I1527" s="233"/>
      <c r="J1527" s="623">
        <v>20750000</v>
      </c>
      <c r="K1527" s="624" t="s">
        <v>1130</v>
      </c>
      <c r="L1527" s="624" t="s">
        <v>4852</v>
      </c>
      <c r="M1527" s="624" t="s">
        <v>4874</v>
      </c>
      <c r="N1527" s="624" t="s">
        <v>4754</v>
      </c>
      <c r="O1527" s="624"/>
      <c r="P1527" s="624"/>
    </row>
    <row r="1528" spans="1:16">
      <c r="A1528" s="231" t="s">
        <v>686</v>
      </c>
      <c r="B1528" s="231" t="s">
        <v>1864</v>
      </c>
      <c r="C1528" s="618">
        <v>45077</v>
      </c>
      <c r="D1528" s="231" t="s">
        <v>4868</v>
      </c>
      <c r="E1528" s="231" t="s">
        <v>5076</v>
      </c>
      <c r="F1528" s="619">
        <v>50</v>
      </c>
      <c r="G1528" s="231" t="s">
        <v>4851</v>
      </c>
      <c r="H1528" s="619"/>
      <c r="I1528" s="619"/>
      <c r="J1528" s="620">
        <v>20750000</v>
      </c>
      <c r="K1528" s="621" t="s">
        <v>1130</v>
      </c>
      <c r="L1528" s="621" t="s">
        <v>4852</v>
      </c>
      <c r="M1528" s="621" t="s">
        <v>4874</v>
      </c>
      <c r="N1528" s="621" t="s">
        <v>4754</v>
      </c>
      <c r="O1528" s="621"/>
      <c r="P1528" s="621"/>
    </row>
    <row r="1529" spans="1:16">
      <c r="A1529" s="232" t="s">
        <v>686</v>
      </c>
      <c r="B1529" s="232" t="s">
        <v>1864</v>
      </c>
      <c r="C1529" s="622">
        <v>45077</v>
      </c>
      <c r="D1529" s="232" t="s">
        <v>4868</v>
      </c>
      <c r="E1529" s="231" t="s">
        <v>5076</v>
      </c>
      <c r="F1529" s="233">
        <v>2</v>
      </c>
      <c r="G1529" s="232" t="s">
        <v>4851</v>
      </c>
      <c r="H1529" s="233"/>
      <c r="I1529" s="233"/>
      <c r="J1529" s="623">
        <v>830000</v>
      </c>
      <c r="K1529" s="624" t="s">
        <v>1130</v>
      </c>
      <c r="L1529" s="624" t="s">
        <v>4852</v>
      </c>
      <c r="M1529" s="624" t="s">
        <v>4874</v>
      </c>
      <c r="N1529" s="624" t="s">
        <v>4754</v>
      </c>
      <c r="O1529" s="624"/>
      <c r="P1529" s="624"/>
    </row>
    <row r="1530" spans="1:16">
      <c r="A1530" s="231" t="s">
        <v>686</v>
      </c>
      <c r="B1530" s="231" t="s">
        <v>1864</v>
      </c>
      <c r="C1530" s="618">
        <v>45077</v>
      </c>
      <c r="D1530" s="231" t="s">
        <v>4862</v>
      </c>
      <c r="E1530" s="231"/>
      <c r="F1530" s="619">
        <v>52</v>
      </c>
      <c r="G1530" s="231" t="s">
        <v>4851</v>
      </c>
      <c r="H1530" s="619"/>
      <c r="I1530" s="619"/>
      <c r="J1530" s="620">
        <v>24180000</v>
      </c>
      <c r="K1530" s="621" t="s">
        <v>1130</v>
      </c>
      <c r="L1530" s="621" t="s">
        <v>4852</v>
      </c>
      <c r="M1530" s="621" t="s">
        <v>4863</v>
      </c>
      <c r="N1530" s="621" t="s">
        <v>4754</v>
      </c>
      <c r="O1530" s="621"/>
      <c r="P1530" s="621"/>
    </row>
    <row r="1531" spans="1:16">
      <c r="A1531" s="232" t="s">
        <v>686</v>
      </c>
      <c r="B1531" s="232" t="s">
        <v>1864</v>
      </c>
      <c r="C1531" s="622">
        <v>45077</v>
      </c>
      <c r="D1531" s="232" t="s">
        <v>4870</v>
      </c>
      <c r="E1531" s="232"/>
      <c r="F1531" s="233">
        <v>11</v>
      </c>
      <c r="G1531" s="232" t="s">
        <v>4851</v>
      </c>
      <c r="H1531" s="233"/>
      <c r="I1531" s="233"/>
      <c r="J1531" s="623">
        <v>4730000</v>
      </c>
      <c r="K1531" s="624" t="s">
        <v>1130</v>
      </c>
      <c r="L1531" s="624" t="s">
        <v>4852</v>
      </c>
      <c r="M1531" s="624" t="s">
        <v>4871</v>
      </c>
      <c r="N1531" s="624" t="s">
        <v>4754</v>
      </c>
      <c r="O1531" s="624"/>
      <c r="P1531" s="624"/>
    </row>
    <row r="1532" spans="1:16">
      <c r="A1532" s="231" t="s">
        <v>686</v>
      </c>
      <c r="B1532" s="231" t="s">
        <v>1864</v>
      </c>
      <c r="C1532" s="618">
        <v>45077</v>
      </c>
      <c r="D1532" s="231" t="s">
        <v>4870</v>
      </c>
      <c r="E1532" s="231"/>
      <c r="F1532" s="619">
        <v>55</v>
      </c>
      <c r="G1532" s="231" t="s">
        <v>4851</v>
      </c>
      <c r="H1532" s="619"/>
      <c r="I1532" s="619"/>
      <c r="J1532" s="620">
        <v>23650000</v>
      </c>
      <c r="K1532" s="621" t="s">
        <v>1130</v>
      </c>
      <c r="L1532" s="621" t="s">
        <v>4852</v>
      </c>
      <c r="M1532" s="621" t="s">
        <v>4871</v>
      </c>
      <c r="N1532" s="621" t="s">
        <v>4754</v>
      </c>
      <c r="O1532" s="621"/>
      <c r="P1532" s="621"/>
    </row>
    <row r="1533" spans="1:16">
      <c r="A1533" s="232" t="s">
        <v>686</v>
      </c>
      <c r="B1533" s="232" t="s">
        <v>1864</v>
      </c>
      <c r="C1533" s="622">
        <v>45077</v>
      </c>
      <c r="D1533" s="232" t="s">
        <v>4870</v>
      </c>
      <c r="E1533" s="232"/>
      <c r="F1533" s="233">
        <v>7</v>
      </c>
      <c r="G1533" s="232" t="s">
        <v>4851</v>
      </c>
      <c r="H1533" s="233"/>
      <c r="I1533" s="233"/>
      <c r="J1533" s="623">
        <v>3010000</v>
      </c>
      <c r="K1533" s="624" t="s">
        <v>1130</v>
      </c>
      <c r="L1533" s="624" t="s">
        <v>4852</v>
      </c>
      <c r="M1533" s="624" t="s">
        <v>4871</v>
      </c>
      <c r="N1533" s="624" t="s">
        <v>4754</v>
      </c>
      <c r="O1533" s="624"/>
      <c r="P1533" s="624"/>
    </row>
    <row r="1534" spans="1:16">
      <c r="A1534" s="231" t="s">
        <v>686</v>
      </c>
      <c r="B1534" s="231" t="s">
        <v>1864</v>
      </c>
      <c r="C1534" s="618">
        <v>45077</v>
      </c>
      <c r="D1534" s="231" t="s">
        <v>4870</v>
      </c>
      <c r="E1534" s="231"/>
      <c r="F1534" s="619">
        <v>50</v>
      </c>
      <c r="G1534" s="231" t="s">
        <v>4851</v>
      </c>
      <c r="H1534" s="619"/>
      <c r="I1534" s="619"/>
      <c r="J1534" s="620">
        <v>21500000</v>
      </c>
      <c r="K1534" s="621" t="s">
        <v>1130</v>
      </c>
      <c r="L1534" s="621" t="s">
        <v>4852</v>
      </c>
      <c r="M1534" s="621" t="s">
        <v>4871</v>
      </c>
      <c r="N1534" s="621" t="s">
        <v>4754</v>
      </c>
      <c r="O1534" s="621"/>
      <c r="P1534" s="621"/>
    </row>
    <row r="1535" spans="1:16">
      <c r="A1535" s="232" t="s">
        <v>686</v>
      </c>
      <c r="B1535" s="232" t="s">
        <v>1864</v>
      </c>
      <c r="C1535" s="622">
        <v>45077</v>
      </c>
      <c r="D1535" s="232" t="s">
        <v>4870</v>
      </c>
      <c r="E1535" s="232"/>
      <c r="F1535" s="233">
        <v>54</v>
      </c>
      <c r="G1535" s="232" t="s">
        <v>4851</v>
      </c>
      <c r="H1535" s="233"/>
      <c r="I1535" s="233"/>
      <c r="J1535" s="623">
        <v>23220000</v>
      </c>
      <c r="K1535" s="624" t="s">
        <v>1130</v>
      </c>
      <c r="L1535" s="624" t="s">
        <v>4852</v>
      </c>
      <c r="M1535" s="624" t="s">
        <v>4871</v>
      </c>
      <c r="N1535" s="624" t="s">
        <v>4754</v>
      </c>
      <c r="O1535" s="624"/>
      <c r="P1535" s="624"/>
    </row>
    <row r="1536" spans="1:16">
      <c r="A1536" s="231" t="s">
        <v>686</v>
      </c>
      <c r="B1536" s="231" t="s">
        <v>1864</v>
      </c>
      <c r="C1536" s="618">
        <v>45077</v>
      </c>
      <c r="D1536" s="231" t="s">
        <v>4870</v>
      </c>
      <c r="E1536" s="231"/>
      <c r="F1536" s="619">
        <v>17</v>
      </c>
      <c r="G1536" s="231" t="s">
        <v>4851</v>
      </c>
      <c r="H1536" s="619"/>
      <c r="I1536" s="619"/>
      <c r="J1536" s="620">
        <v>7310000</v>
      </c>
      <c r="K1536" s="621" t="s">
        <v>1130</v>
      </c>
      <c r="L1536" s="621" t="s">
        <v>4852</v>
      </c>
      <c r="M1536" s="621" t="s">
        <v>4871</v>
      </c>
      <c r="N1536" s="621" t="s">
        <v>4754</v>
      </c>
      <c r="O1536" s="621"/>
      <c r="P1536" s="621"/>
    </row>
    <row r="1537" spans="1:16">
      <c r="A1537" s="232" t="s">
        <v>686</v>
      </c>
      <c r="B1537" s="232" t="s">
        <v>1864</v>
      </c>
      <c r="C1537" s="622">
        <v>45077</v>
      </c>
      <c r="D1537" s="232" t="s">
        <v>4870</v>
      </c>
      <c r="E1537" s="232"/>
      <c r="F1537" s="233">
        <v>43</v>
      </c>
      <c r="G1537" s="232" t="s">
        <v>4851</v>
      </c>
      <c r="H1537" s="233"/>
      <c r="I1537" s="233"/>
      <c r="J1537" s="623">
        <v>18490000</v>
      </c>
      <c r="K1537" s="624" t="s">
        <v>1130</v>
      </c>
      <c r="L1537" s="624" t="s">
        <v>4852</v>
      </c>
      <c r="M1537" s="624" t="s">
        <v>4871</v>
      </c>
      <c r="N1537" s="624" t="s">
        <v>4754</v>
      </c>
      <c r="O1537" s="624"/>
      <c r="P1537" s="624"/>
    </row>
    <row r="1538" spans="1:16">
      <c r="A1538" s="231" t="s">
        <v>686</v>
      </c>
      <c r="B1538" s="231" t="s">
        <v>1864</v>
      </c>
      <c r="C1538" s="618">
        <v>45077</v>
      </c>
      <c r="D1538" s="231" t="s">
        <v>4870</v>
      </c>
      <c r="E1538" s="231"/>
      <c r="F1538" s="619">
        <v>17</v>
      </c>
      <c r="G1538" s="231" t="s">
        <v>4851</v>
      </c>
      <c r="H1538" s="619"/>
      <c r="I1538" s="619"/>
      <c r="J1538" s="620">
        <v>7310000</v>
      </c>
      <c r="K1538" s="621" t="s">
        <v>1130</v>
      </c>
      <c r="L1538" s="621" t="s">
        <v>4852</v>
      </c>
      <c r="M1538" s="621" t="s">
        <v>4871</v>
      </c>
      <c r="N1538" s="621" t="s">
        <v>4754</v>
      </c>
      <c r="O1538" s="621"/>
      <c r="P1538" s="621"/>
    </row>
    <row r="1539" spans="1:16">
      <c r="A1539" s="232" t="s">
        <v>686</v>
      </c>
      <c r="B1539" s="232" t="s">
        <v>1864</v>
      </c>
      <c r="C1539" s="622">
        <v>45077</v>
      </c>
      <c r="D1539" s="232" t="s">
        <v>4869</v>
      </c>
      <c r="E1539" s="232"/>
      <c r="F1539" s="233">
        <v>49</v>
      </c>
      <c r="G1539" s="232" t="s">
        <v>4851</v>
      </c>
      <c r="H1539" s="233"/>
      <c r="I1539" s="233"/>
      <c r="J1539" s="623">
        <v>21560000</v>
      </c>
      <c r="K1539" s="624" t="s">
        <v>1130</v>
      </c>
      <c r="L1539" s="624" t="s">
        <v>4852</v>
      </c>
      <c r="M1539" s="624" t="s">
        <v>4867</v>
      </c>
      <c r="N1539" s="624" t="s">
        <v>4754</v>
      </c>
      <c r="O1539" s="624"/>
      <c r="P1539" s="624"/>
    </row>
    <row r="1540" spans="1:16">
      <c r="A1540" s="231" t="s">
        <v>686</v>
      </c>
      <c r="B1540" s="231" t="s">
        <v>1864</v>
      </c>
      <c r="C1540" s="618">
        <v>45077</v>
      </c>
      <c r="D1540" s="231" t="s">
        <v>4869</v>
      </c>
      <c r="E1540" s="231"/>
      <c r="F1540" s="619">
        <v>49</v>
      </c>
      <c r="G1540" s="231" t="s">
        <v>4851</v>
      </c>
      <c r="H1540" s="619"/>
      <c r="I1540" s="619"/>
      <c r="J1540" s="620">
        <v>21560000</v>
      </c>
      <c r="K1540" s="621" t="s">
        <v>1130</v>
      </c>
      <c r="L1540" s="621" t="s">
        <v>4852</v>
      </c>
      <c r="M1540" s="621" t="s">
        <v>4867</v>
      </c>
      <c r="N1540" s="621" t="s">
        <v>4754</v>
      </c>
      <c r="O1540" s="621"/>
      <c r="P1540" s="621"/>
    </row>
    <row r="1541" spans="1:16">
      <c r="A1541" s="232" t="s">
        <v>686</v>
      </c>
      <c r="B1541" s="232" t="s">
        <v>1864</v>
      </c>
      <c r="C1541" s="622">
        <v>45077</v>
      </c>
      <c r="D1541" s="232" t="s">
        <v>4869</v>
      </c>
      <c r="E1541" s="232"/>
      <c r="F1541" s="233">
        <v>49</v>
      </c>
      <c r="G1541" s="232" t="s">
        <v>4851</v>
      </c>
      <c r="H1541" s="233"/>
      <c r="I1541" s="233"/>
      <c r="J1541" s="623">
        <v>21560000</v>
      </c>
      <c r="K1541" s="624" t="s">
        <v>1130</v>
      </c>
      <c r="L1541" s="624" t="s">
        <v>4852</v>
      </c>
      <c r="M1541" s="624" t="s">
        <v>4867</v>
      </c>
      <c r="N1541" s="624" t="s">
        <v>4754</v>
      </c>
      <c r="O1541" s="624"/>
      <c r="P1541" s="624"/>
    </row>
    <row r="1542" spans="1:16">
      <c r="A1542" s="231" t="s">
        <v>686</v>
      </c>
      <c r="B1542" s="231" t="s">
        <v>1864</v>
      </c>
      <c r="C1542" s="618">
        <v>45077</v>
      </c>
      <c r="D1542" s="231" t="s">
        <v>4868</v>
      </c>
      <c r="E1542" s="231" t="s">
        <v>5076</v>
      </c>
      <c r="F1542" s="619">
        <v>18.09</v>
      </c>
      <c r="G1542" s="231" t="s">
        <v>4851</v>
      </c>
      <c r="H1542" s="619"/>
      <c r="I1542" s="619"/>
      <c r="J1542" s="620">
        <v>7507350</v>
      </c>
      <c r="K1542" s="621" t="s">
        <v>1130</v>
      </c>
      <c r="L1542" s="621" t="s">
        <v>4852</v>
      </c>
      <c r="M1542" s="621" t="s">
        <v>4874</v>
      </c>
      <c r="N1542" s="621" t="s">
        <v>4754</v>
      </c>
      <c r="O1542" s="621"/>
      <c r="P1542" s="621"/>
    </row>
    <row r="1543" spans="1:16">
      <c r="A1543" s="232" t="s">
        <v>686</v>
      </c>
      <c r="B1543" s="232" t="s">
        <v>1864</v>
      </c>
      <c r="C1543" s="622">
        <v>45077</v>
      </c>
      <c r="D1543" s="232" t="s">
        <v>4868</v>
      </c>
      <c r="E1543" s="231" t="s">
        <v>5076</v>
      </c>
      <c r="F1543" s="233">
        <v>20.09</v>
      </c>
      <c r="G1543" s="232" t="s">
        <v>4851</v>
      </c>
      <c r="H1543" s="233"/>
      <c r="I1543" s="233"/>
      <c r="J1543" s="623">
        <v>8337350</v>
      </c>
      <c r="K1543" s="624" t="s">
        <v>1130</v>
      </c>
      <c r="L1543" s="624" t="s">
        <v>4852</v>
      </c>
      <c r="M1543" s="624" t="s">
        <v>4874</v>
      </c>
      <c r="N1543" s="624" t="s">
        <v>4754</v>
      </c>
      <c r="O1543" s="624"/>
      <c r="P1543" s="624"/>
    </row>
    <row r="1544" spans="1:16">
      <c r="A1544" s="231" t="s">
        <v>686</v>
      </c>
      <c r="B1544" s="231" t="s">
        <v>1864</v>
      </c>
      <c r="C1544" s="618">
        <v>45077</v>
      </c>
      <c r="D1544" s="231" t="s">
        <v>4868</v>
      </c>
      <c r="E1544" s="231" t="s">
        <v>5076</v>
      </c>
      <c r="F1544" s="619">
        <v>26.91</v>
      </c>
      <c r="G1544" s="231" t="s">
        <v>4851</v>
      </c>
      <c r="H1544" s="619"/>
      <c r="I1544" s="619"/>
      <c r="J1544" s="620">
        <v>11167650</v>
      </c>
      <c r="K1544" s="621" t="s">
        <v>1130</v>
      </c>
      <c r="L1544" s="621" t="s">
        <v>4852</v>
      </c>
      <c r="M1544" s="621" t="s">
        <v>4874</v>
      </c>
      <c r="N1544" s="621" t="s">
        <v>4754</v>
      </c>
      <c r="O1544" s="621"/>
      <c r="P1544" s="621"/>
    </row>
    <row r="1545" spans="1:16">
      <c r="A1545" s="232" t="s">
        <v>686</v>
      </c>
      <c r="B1545" s="232" t="s">
        <v>1864</v>
      </c>
      <c r="C1545" s="622">
        <v>45077</v>
      </c>
      <c r="D1545" s="232" t="s">
        <v>4868</v>
      </c>
      <c r="E1545" s="231" t="s">
        <v>5076</v>
      </c>
      <c r="F1545" s="233">
        <v>29.91</v>
      </c>
      <c r="G1545" s="232" t="s">
        <v>4851</v>
      </c>
      <c r="H1545" s="233"/>
      <c r="I1545" s="233"/>
      <c r="J1545" s="623">
        <v>12412650</v>
      </c>
      <c r="K1545" s="624" t="s">
        <v>1130</v>
      </c>
      <c r="L1545" s="624" t="s">
        <v>4852</v>
      </c>
      <c r="M1545" s="624" t="s">
        <v>4874</v>
      </c>
      <c r="N1545" s="624" t="s">
        <v>4754</v>
      </c>
      <c r="O1545" s="624"/>
      <c r="P1545" s="624"/>
    </row>
    <row r="1546" spans="1:16">
      <c r="A1546" s="231" t="s">
        <v>686</v>
      </c>
      <c r="B1546" s="231" t="s">
        <v>1864</v>
      </c>
      <c r="C1546" s="618">
        <v>45077</v>
      </c>
      <c r="D1546" s="231" t="s">
        <v>4868</v>
      </c>
      <c r="E1546" s="231" t="s">
        <v>5076</v>
      </c>
      <c r="F1546" s="619">
        <v>45</v>
      </c>
      <c r="G1546" s="231" t="s">
        <v>4851</v>
      </c>
      <c r="H1546" s="619"/>
      <c r="I1546" s="619"/>
      <c r="J1546" s="620">
        <v>18675000</v>
      </c>
      <c r="K1546" s="621" t="s">
        <v>1130</v>
      </c>
      <c r="L1546" s="621" t="s">
        <v>4852</v>
      </c>
      <c r="M1546" s="621" t="s">
        <v>4874</v>
      </c>
      <c r="N1546" s="621" t="s">
        <v>4754</v>
      </c>
      <c r="O1546" s="621"/>
      <c r="P1546" s="621"/>
    </row>
    <row r="1547" spans="1:16">
      <c r="A1547" s="232" t="s">
        <v>686</v>
      </c>
      <c r="B1547" s="232" t="s">
        <v>1864</v>
      </c>
      <c r="C1547" s="622">
        <v>45077</v>
      </c>
      <c r="D1547" s="232" t="s">
        <v>4868</v>
      </c>
      <c r="E1547" s="231" t="s">
        <v>5076</v>
      </c>
      <c r="F1547" s="233">
        <v>50</v>
      </c>
      <c r="G1547" s="232" t="s">
        <v>4851</v>
      </c>
      <c r="H1547" s="233"/>
      <c r="I1547" s="233"/>
      <c r="J1547" s="623">
        <v>20750000</v>
      </c>
      <c r="K1547" s="624" t="s">
        <v>1130</v>
      </c>
      <c r="L1547" s="624" t="s">
        <v>4852</v>
      </c>
      <c r="M1547" s="624" t="s">
        <v>4874</v>
      </c>
      <c r="N1547" s="624" t="s">
        <v>4754</v>
      </c>
      <c r="O1547" s="624"/>
      <c r="P1547" s="624"/>
    </row>
    <row r="1548" spans="1:16">
      <c r="A1548" s="231" t="s">
        <v>686</v>
      </c>
      <c r="B1548" s="231" t="s">
        <v>1864</v>
      </c>
      <c r="C1548" s="618">
        <v>45077</v>
      </c>
      <c r="D1548" s="231" t="s">
        <v>4869</v>
      </c>
      <c r="E1548" s="231"/>
      <c r="F1548" s="619">
        <v>49</v>
      </c>
      <c r="G1548" s="231" t="s">
        <v>4851</v>
      </c>
      <c r="H1548" s="619"/>
      <c r="I1548" s="619"/>
      <c r="J1548" s="620">
        <v>21560000</v>
      </c>
      <c r="K1548" s="621" t="s">
        <v>1130</v>
      </c>
      <c r="L1548" s="621" t="s">
        <v>4852</v>
      </c>
      <c r="M1548" s="621" t="s">
        <v>4867</v>
      </c>
      <c r="N1548" s="621" t="s">
        <v>4754</v>
      </c>
      <c r="O1548" s="621"/>
      <c r="P1548" s="621"/>
    </row>
    <row r="1549" spans="1:16">
      <c r="A1549" s="232" t="s">
        <v>686</v>
      </c>
      <c r="B1549" s="232" t="s">
        <v>1864</v>
      </c>
      <c r="C1549" s="622">
        <v>45077</v>
      </c>
      <c r="D1549" s="232" t="s">
        <v>4869</v>
      </c>
      <c r="E1549" s="232"/>
      <c r="F1549" s="233">
        <v>49</v>
      </c>
      <c r="G1549" s="232" t="s">
        <v>4851</v>
      </c>
      <c r="H1549" s="233"/>
      <c r="I1549" s="233"/>
      <c r="J1549" s="623">
        <v>21560000</v>
      </c>
      <c r="K1549" s="624" t="s">
        <v>1130</v>
      </c>
      <c r="L1549" s="624" t="s">
        <v>4852</v>
      </c>
      <c r="M1549" s="624" t="s">
        <v>4867</v>
      </c>
      <c r="N1549" s="624" t="s">
        <v>4754</v>
      </c>
      <c r="O1549" s="624"/>
      <c r="P1549" s="624"/>
    </row>
    <row r="1550" spans="1:16">
      <c r="A1550" s="231" t="s">
        <v>686</v>
      </c>
      <c r="B1550" s="231" t="s">
        <v>1864</v>
      </c>
      <c r="C1550" s="618">
        <v>45077</v>
      </c>
      <c r="D1550" s="231" t="s">
        <v>4869</v>
      </c>
      <c r="E1550" s="231"/>
      <c r="F1550" s="619">
        <v>49</v>
      </c>
      <c r="G1550" s="231" t="s">
        <v>4851</v>
      </c>
      <c r="H1550" s="619"/>
      <c r="I1550" s="619"/>
      <c r="J1550" s="620">
        <v>21560000</v>
      </c>
      <c r="K1550" s="621" t="s">
        <v>1130</v>
      </c>
      <c r="L1550" s="621" t="s">
        <v>4852</v>
      </c>
      <c r="M1550" s="621" t="s">
        <v>4867</v>
      </c>
      <c r="N1550" s="621" t="s">
        <v>4754</v>
      </c>
      <c r="O1550" s="621"/>
      <c r="P1550" s="621"/>
    </row>
    <row r="1551" spans="1:16">
      <c r="A1551" s="232" t="s">
        <v>686</v>
      </c>
      <c r="B1551" s="232" t="s">
        <v>1864</v>
      </c>
      <c r="C1551" s="622">
        <v>45077</v>
      </c>
      <c r="D1551" s="232" t="s">
        <v>4869</v>
      </c>
      <c r="E1551" s="232"/>
      <c r="F1551" s="233">
        <v>49</v>
      </c>
      <c r="G1551" s="232" t="s">
        <v>4851</v>
      </c>
      <c r="H1551" s="233"/>
      <c r="I1551" s="233"/>
      <c r="J1551" s="623">
        <v>21560000</v>
      </c>
      <c r="K1551" s="624" t="s">
        <v>1130</v>
      </c>
      <c r="L1551" s="624" t="s">
        <v>4852</v>
      </c>
      <c r="M1551" s="624" t="s">
        <v>4867</v>
      </c>
      <c r="N1551" s="624" t="s">
        <v>4754</v>
      </c>
      <c r="O1551" s="624"/>
      <c r="P1551" s="624"/>
    </row>
    <row r="1552" spans="1:16">
      <c r="A1552" s="231" t="s">
        <v>686</v>
      </c>
      <c r="B1552" s="231" t="s">
        <v>1864</v>
      </c>
      <c r="C1552" s="618">
        <v>45077</v>
      </c>
      <c r="D1552" s="231" t="s">
        <v>4869</v>
      </c>
      <c r="E1552" s="231"/>
      <c r="F1552" s="619">
        <v>49</v>
      </c>
      <c r="G1552" s="231" t="s">
        <v>4851</v>
      </c>
      <c r="H1552" s="619"/>
      <c r="I1552" s="619"/>
      <c r="J1552" s="620">
        <v>21560000</v>
      </c>
      <c r="K1552" s="621" t="s">
        <v>1130</v>
      </c>
      <c r="L1552" s="621" t="s">
        <v>4852</v>
      </c>
      <c r="M1552" s="621" t="s">
        <v>4867</v>
      </c>
      <c r="N1552" s="621" t="s">
        <v>4754</v>
      </c>
      <c r="O1552" s="621"/>
      <c r="P1552" s="621"/>
    </row>
    <row r="1553" spans="1:16">
      <c r="A1553" s="232" t="s">
        <v>686</v>
      </c>
      <c r="B1553" s="232" t="s">
        <v>1864</v>
      </c>
      <c r="C1553" s="622">
        <v>45077</v>
      </c>
      <c r="D1553" s="232" t="s">
        <v>4869</v>
      </c>
      <c r="E1553" s="232"/>
      <c r="F1553" s="233">
        <v>49</v>
      </c>
      <c r="G1553" s="232" t="s">
        <v>4851</v>
      </c>
      <c r="H1553" s="233"/>
      <c r="I1553" s="233"/>
      <c r="J1553" s="623">
        <v>21560000</v>
      </c>
      <c r="K1553" s="624" t="s">
        <v>1130</v>
      </c>
      <c r="L1553" s="624" t="s">
        <v>4852</v>
      </c>
      <c r="M1553" s="624" t="s">
        <v>4867</v>
      </c>
      <c r="N1553" s="624" t="s">
        <v>4754</v>
      </c>
      <c r="O1553" s="624"/>
      <c r="P1553" s="624"/>
    </row>
    <row r="1554" spans="1:16">
      <c r="A1554" s="231" t="s">
        <v>686</v>
      </c>
      <c r="B1554" s="231" t="s">
        <v>1864</v>
      </c>
      <c r="C1554" s="618">
        <v>45077</v>
      </c>
      <c r="D1554" s="231" t="s">
        <v>4862</v>
      </c>
      <c r="E1554" s="231"/>
      <c r="F1554" s="619">
        <v>45</v>
      </c>
      <c r="G1554" s="231" t="s">
        <v>4851</v>
      </c>
      <c r="H1554" s="619"/>
      <c r="I1554" s="619"/>
      <c r="J1554" s="620">
        <v>20925000</v>
      </c>
      <c r="K1554" s="621" t="s">
        <v>1130</v>
      </c>
      <c r="L1554" s="621" t="s">
        <v>4852</v>
      </c>
      <c r="M1554" s="621" t="s">
        <v>4863</v>
      </c>
      <c r="N1554" s="621" t="s">
        <v>4754</v>
      </c>
      <c r="O1554" s="621"/>
      <c r="P1554" s="621"/>
    </row>
    <row r="1555" spans="1:16">
      <c r="A1555" s="232" t="s">
        <v>686</v>
      </c>
      <c r="B1555" s="232" t="s">
        <v>1864</v>
      </c>
      <c r="C1555" s="622">
        <v>45077</v>
      </c>
      <c r="D1555" s="232" t="s">
        <v>4868</v>
      </c>
      <c r="E1555" s="231" t="s">
        <v>5076</v>
      </c>
      <c r="F1555" s="233">
        <v>49.91</v>
      </c>
      <c r="G1555" s="232" t="s">
        <v>4851</v>
      </c>
      <c r="H1555" s="233"/>
      <c r="I1555" s="233"/>
      <c r="J1555" s="623">
        <v>20712650</v>
      </c>
      <c r="K1555" s="624" t="s">
        <v>1130</v>
      </c>
      <c r="L1555" s="624" t="s">
        <v>4852</v>
      </c>
      <c r="M1555" s="624" t="s">
        <v>4874</v>
      </c>
      <c r="N1555" s="624" t="s">
        <v>4754</v>
      </c>
      <c r="O1555" s="624"/>
      <c r="P1555" s="624"/>
    </row>
    <row r="1556" spans="1:16">
      <c r="A1556" s="231" t="s">
        <v>686</v>
      </c>
      <c r="B1556" s="231" t="s">
        <v>1864</v>
      </c>
      <c r="C1556" s="618">
        <v>45077</v>
      </c>
      <c r="D1556" s="231" t="s">
        <v>4868</v>
      </c>
      <c r="E1556" s="231" t="s">
        <v>5076</v>
      </c>
      <c r="F1556" s="619">
        <v>52</v>
      </c>
      <c r="G1556" s="231" t="s">
        <v>4851</v>
      </c>
      <c r="H1556" s="619"/>
      <c r="I1556" s="619"/>
      <c r="J1556" s="620">
        <v>21580000</v>
      </c>
      <c r="K1556" s="621" t="s">
        <v>1130</v>
      </c>
      <c r="L1556" s="621" t="s">
        <v>4852</v>
      </c>
      <c r="M1556" s="621" t="s">
        <v>4874</v>
      </c>
      <c r="N1556" s="621" t="s">
        <v>4754</v>
      </c>
      <c r="O1556" s="621"/>
      <c r="P1556" s="621"/>
    </row>
    <row r="1557" spans="1:16">
      <c r="A1557" s="232" t="s">
        <v>686</v>
      </c>
      <c r="B1557" s="232" t="s">
        <v>1864</v>
      </c>
      <c r="C1557" s="622">
        <v>45077</v>
      </c>
      <c r="D1557" s="232" t="s">
        <v>4868</v>
      </c>
      <c r="E1557" s="231" t="s">
        <v>5076</v>
      </c>
      <c r="F1557" s="233">
        <v>54</v>
      </c>
      <c r="G1557" s="232" t="s">
        <v>4851</v>
      </c>
      <c r="H1557" s="233"/>
      <c r="I1557" s="233"/>
      <c r="J1557" s="623">
        <v>22410000</v>
      </c>
      <c r="K1557" s="624" t="s">
        <v>1130</v>
      </c>
      <c r="L1557" s="624" t="s">
        <v>4852</v>
      </c>
      <c r="M1557" s="624" t="s">
        <v>4874</v>
      </c>
      <c r="N1557" s="624" t="s">
        <v>4754</v>
      </c>
      <c r="O1557" s="624"/>
      <c r="P1557" s="624"/>
    </row>
    <row r="1558" spans="1:16">
      <c r="A1558" s="231" t="s">
        <v>686</v>
      </c>
      <c r="B1558" s="231" t="s">
        <v>1864</v>
      </c>
      <c r="C1558" s="618">
        <v>45077</v>
      </c>
      <c r="D1558" s="231" t="s">
        <v>4868</v>
      </c>
      <c r="E1558" s="231" t="s">
        <v>5076</v>
      </c>
      <c r="F1558" s="619">
        <v>0.09</v>
      </c>
      <c r="G1558" s="231" t="s">
        <v>4851</v>
      </c>
      <c r="H1558" s="619"/>
      <c r="I1558" s="619"/>
      <c r="J1558" s="620">
        <v>37350</v>
      </c>
      <c r="K1558" s="621" t="s">
        <v>1130</v>
      </c>
      <c r="L1558" s="621" t="s">
        <v>4852</v>
      </c>
      <c r="M1558" s="621" t="s">
        <v>4874</v>
      </c>
      <c r="N1558" s="621" t="s">
        <v>4754</v>
      </c>
      <c r="O1558" s="621"/>
      <c r="P1558" s="621"/>
    </row>
    <row r="1559" spans="1:16">
      <c r="A1559" s="232" t="s">
        <v>686</v>
      </c>
      <c r="B1559" s="232" t="s">
        <v>1864</v>
      </c>
      <c r="C1559" s="622">
        <v>45077</v>
      </c>
      <c r="D1559" s="232" t="s">
        <v>4870</v>
      </c>
      <c r="E1559" s="232"/>
      <c r="F1559" s="233">
        <v>55</v>
      </c>
      <c r="G1559" s="232" t="s">
        <v>4851</v>
      </c>
      <c r="H1559" s="233"/>
      <c r="I1559" s="233"/>
      <c r="J1559" s="623">
        <v>23650000</v>
      </c>
      <c r="K1559" s="624" t="s">
        <v>1130</v>
      </c>
      <c r="L1559" s="624" t="s">
        <v>4852</v>
      </c>
      <c r="M1559" s="624" t="s">
        <v>4871</v>
      </c>
      <c r="N1559" s="624" t="s">
        <v>4754</v>
      </c>
      <c r="O1559" s="624"/>
      <c r="P1559" s="624"/>
    </row>
    <row r="1560" spans="1:16">
      <c r="A1560" s="231" t="s">
        <v>686</v>
      </c>
      <c r="B1560" s="231" t="s">
        <v>1864</v>
      </c>
      <c r="C1560" s="618">
        <v>45077</v>
      </c>
      <c r="D1560" s="231" t="s">
        <v>4869</v>
      </c>
      <c r="E1560" s="231"/>
      <c r="F1560" s="619">
        <v>49</v>
      </c>
      <c r="G1560" s="231" t="s">
        <v>4851</v>
      </c>
      <c r="H1560" s="619"/>
      <c r="I1560" s="619"/>
      <c r="J1560" s="620">
        <v>21560000</v>
      </c>
      <c r="K1560" s="621" t="s">
        <v>1130</v>
      </c>
      <c r="L1560" s="621" t="s">
        <v>4852</v>
      </c>
      <c r="M1560" s="621" t="s">
        <v>4867</v>
      </c>
      <c r="N1560" s="621" t="s">
        <v>4754</v>
      </c>
      <c r="O1560" s="621"/>
      <c r="P1560" s="621"/>
    </row>
    <row r="1561" spans="1:16">
      <c r="A1561" s="232" t="s">
        <v>686</v>
      </c>
      <c r="B1561" s="232" t="s">
        <v>1864</v>
      </c>
      <c r="C1561" s="622">
        <v>45077</v>
      </c>
      <c r="D1561" s="232" t="s">
        <v>4869</v>
      </c>
      <c r="E1561" s="232"/>
      <c r="F1561" s="233">
        <v>49</v>
      </c>
      <c r="G1561" s="232" t="s">
        <v>4851</v>
      </c>
      <c r="H1561" s="233"/>
      <c r="I1561" s="233"/>
      <c r="J1561" s="623">
        <v>21560000</v>
      </c>
      <c r="K1561" s="624" t="s">
        <v>1130</v>
      </c>
      <c r="L1561" s="624" t="s">
        <v>4852</v>
      </c>
      <c r="M1561" s="624" t="s">
        <v>4867</v>
      </c>
      <c r="N1561" s="624" t="s">
        <v>4754</v>
      </c>
      <c r="O1561" s="624"/>
      <c r="P1561" s="624"/>
    </row>
    <row r="1562" spans="1:16">
      <c r="A1562" s="231" t="s">
        <v>686</v>
      </c>
      <c r="B1562" s="231" t="s">
        <v>1864</v>
      </c>
      <c r="C1562" s="618">
        <v>45077</v>
      </c>
      <c r="D1562" s="231" t="s">
        <v>4869</v>
      </c>
      <c r="E1562" s="231"/>
      <c r="F1562" s="619">
        <v>49</v>
      </c>
      <c r="G1562" s="231" t="s">
        <v>4851</v>
      </c>
      <c r="H1562" s="619"/>
      <c r="I1562" s="619"/>
      <c r="J1562" s="620">
        <v>21560000</v>
      </c>
      <c r="K1562" s="621" t="s">
        <v>1130</v>
      </c>
      <c r="L1562" s="621" t="s">
        <v>4852</v>
      </c>
      <c r="M1562" s="621" t="s">
        <v>4867</v>
      </c>
      <c r="N1562" s="621" t="s">
        <v>4754</v>
      </c>
      <c r="O1562" s="621"/>
      <c r="P1562" s="621"/>
    </row>
    <row r="1563" spans="1:16">
      <c r="A1563" s="232" t="s">
        <v>686</v>
      </c>
      <c r="B1563" s="232" t="s">
        <v>1864</v>
      </c>
      <c r="C1563" s="622">
        <v>45077</v>
      </c>
      <c r="D1563" s="232" t="s">
        <v>4868</v>
      </c>
      <c r="E1563" s="231" t="s">
        <v>5076</v>
      </c>
      <c r="F1563" s="233">
        <v>16</v>
      </c>
      <c r="G1563" s="232" t="s">
        <v>4851</v>
      </c>
      <c r="H1563" s="233"/>
      <c r="I1563" s="233"/>
      <c r="J1563" s="623">
        <v>6720000</v>
      </c>
      <c r="K1563" s="624" t="s">
        <v>1130</v>
      </c>
      <c r="L1563" s="624" t="s">
        <v>4852</v>
      </c>
      <c r="M1563" s="624" t="s">
        <v>4858</v>
      </c>
      <c r="N1563" s="624" t="s">
        <v>4754</v>
      </c>
      <c r="O1563" s="624"/>
      <c r="P1563" s="624"/>
    </row>
    <row r="1564" spans="1:16">
      <c r="A1564" s="231" t="s">
        <v>686</v>
      </c>
      <c r="B1564" s="231" t="s">
        <v>1864</v>
      </c>
      <c r="C1564" s="618">
        <v>45077</v>
      </c>
      <c r="D1564" s="231" t="s">
        <v>4868</v>
      </c>
      <c r="E1564" s="231" t="s">
        <v>5076</v>
      </c>
      <c r="F1564" s="619">
        <v>45</v>
      </c>
      <c r="G1564" s="231" t="s">
        <v>4851</v>
      </c>
      <c r="H1564" s="619"/>
      <c r="I1564" s="619"/>
      <c r="J1564" s="620">
        <v>18900000</v>
      </c>
      <c r="K1564" s="621" t="s">
        <v>1130</v>
      </c>
      <c r="L1564" s="621" t="s">
        <v>4852</v>
      </c>
      <c r="M1564" s="621" t="s">
        <v>4858</v>
      </c>
      <c r="N1564" s="621" t="s">
        <v>4754</v>
      </c>
      <c r="O1564" s="621"/>
      <c r="P1564" s="621"/>
    </row>
    <row r="1565" spans="1:16">
      <c r="A1565" s="232" t="s">
        <v>686</v>
      </c>
      <c r="B1565" s="232" t="s">
        <v>1864</v>
      </c>
      <c r="C1565" s="622">
        <v>45077</v>
      </c>
      <c r="D1565" s="232" t="s">
        <v>4868</v>
      </c>
      <c r="E1565" s="231" t="s">
        <v>5076</v>
      </c>
      <c r="F1565" s="233">
        <v>5</v>
      </c>
      <c r="G1565" s="232" t="s">
        <v>4851</v>
      </c>
      <c r="H1565" s="233"/>
      <c r="I1565" s="233"/>
      <c r="J1565" s="623">
        <v>2100000</v>
      </c>
      <c r="K1565" s="624" t="s">
        <v>1130</v>
      </c>
      <c r="L1565" s="624" t="s">
        <v>4852</v>
      </c>
      <c r="M1565" s="624" t="s">
        <v>4858</v>
      </c>
      <c r="N1565" s="624" t="s">
        <v>4754</v>
      </c>
      <c r="O1565" s="624"/>
      <c r="P1565" s="624"/>
    </row>
    <row r="1566" spans="1:16">
      <c r="A1566" s="231" t="s">
        <v>686</v>
      </c>
      <c r="B1566" s="231" t="s">
        <v>1864</v>
      </c>
      <c r="C1566" s="618">
        <v>45077</v>
      </c>
      <c r="D1566" s="231" t="s">
        <v>4868</v>
      </c>
      <c r="E1566" s="231" t="s">
        <v>5076</v>
      </c>
      <c r="F1566" s="619">
        <v>50</v>
      </c>
      <c r="G1566" s="231" t="s">
        <v>4851</v>
      </c>
      <c r="H1566" s="619"/>
      <c r="I1566" s="619"/>
      <c r="J1566" s="620">
        <v>20750000</v>
      </c>
      <c r="K1566" s="621" t="s">
        <v>1130</v>
      </c>
      <c r="L1566" s="621" t="s">
        <v>4852</v>
      </c>
      <c r="M1566" s="621" t="s">
        <v>4874</v>
      </c>
      <c r="N1566" s="621" t="s">
        <v>4754</v>
      </c>
      <c r="O1566" s="621"/>
      <c r="P1566" s="621"/>
    </row>
    <row r="1567" spans="1:16">
      <c r="A1567" s="232" t="s">
        <v>686</v>
      </c>
      <c r="B1567" s="232" t="s">
        <v>1864</v>
      </c>
      <c r="C1567" s="622">
        <v>45077</v>
      </c>
      <c r="D1567" s="232" t="s">
        <v>4869</v>
      </c>
      <c r="E1567" s="232"/>
      <c r="F1567" s="233">
        <v>49</v>
      </c>
      <c r="G1567" s="232" t="s">
        <v>4851</v>
      </c>
      <c r="H1567" s="233"/>
      <c r="I1567" s="233"/>
      <c r="J1567" s="623">
        <v>21560000</v>
      </c>
      <c r="K1567" s="624" t="s">
        <v>1130</v>
      </c>
      <c r="L1567" s="624" t="s">
        <v>4852</v>
      </c>
      <c r="M1567" s="624" t="s">
        <v>4867</v>
      </c>
      <c r="N1567" s="624" t="s">
        <v>4754</v>
      </c>
      <c r="O1567" s="624"/>
      <c r="P1567" s="624"/>
    </row>
    <row r="1568" spans="1:16">
      <c r="A1568" s="231" t="s">
        <v>686</v>
      </c>
      <c r="B1568" s="231" t="s">
        <v>1864</v>
      </c>
      <c r="C1568" s="618">
        <v>45077</v>
      </c>
      <c r="D1568" s="231" t="s">
        <v>4869</v>
      </c>
      <c r="E1568" s="231"/>
      <c r="F1568" s="619">
        <v>47.22</v>
      </c>
      <c r="G1568" s="231" t="s">
        <v>4851</v>
      </c>
      <c r="H1568" s="619"/>
      <c r="I1568" s="619"/>
      <c r="J1568" s="620">
        <v>20776800</v>
      </c>
      <c r="K1568" s="621" t="s">
        <v>1130</v>
      </c>
      <c r="L1568" s="621" t="s">
        <v>4852</v>
      </c>
      <c r="M1568" s="621" t="s">
        <v>4867</v>
      </c>
      <c r="N1568" s="621" t="s">
        <v>4754</v>
      </c>
      <c r="O1568" s="621"/>
      <c r="P1568" s="621"/>
    </row>
    <row r="1569" spans="1:16">
      <c r="A1569" s="232" t="s">
        <v>686</v>
      </c>
      <c r="B1569" s="232" t="s">
        <v>1864</v>
      </c>
      <c r="C1569" s="622">
        <v>45077</v>
      </c>
      <c r="D1569" s="232" t="s">
        <v>4869</v>
      </c>
      <c r="E1569" s="232"/>
      <c r="F1569" s="233">
        <v>48.78</v>
      </c>
      <c r="G1569" s="232" t="s">
        <v>4851</v>
      </c>
      <c r="H1569" s="233"/>
      <c r="I1569" s="233"/>
      <c r="J1569" s="623">
        <v>21463200</v>
      </c>
      <c r="K1569" s="624" t="s">
        <v>1130</v>
      </c>
      <c r="L1569" s="624" t="s">
        <v>4852</v>
      </c>
      <c r="M1569" s="624" t="s">
        <v>4867</v>
      </c>
      <c r="N1569" s="624" t="s">
        <v>4754</v>
      </c>
      <c r="O1569" s="624"/>
      <c r="P1569" s="624"/>
    </row>
    <row r="1570" spans="1:16">
      <c r="A1570" s="231" t="s">
        <v>686</v>
      </c>
      <c r="B1570" s="231" t="s">
        <v>1864</v>
      </c>
      <c r="C1570" s="618">
        <v>45077</v>
      </c>
      <c r="D1570" s="231" t="s">
        <v>4869</v>
      </c>
      <c r="E1570" s="231"/>
      <c r="F1570" s="619">
        <v>0.22</v>
      </c>
      <c r="G1570" s="231" t="s">
        <v>4851</v>
      </c>
      <c r="H1570" s="619"/>
      <c r="I1570" s="619"/>
      <c r="J1570" s="620">
        <v>96800</v>
      </c>
      <c r="K1570" s="621" t="s">
        <v>1130</v>
      </c>
      <c r="L1570" s="621" t="s">
        <v>4852</v>
      </c>
      <c r="M1570" s="621" t="s">
        <v>4867</v>
      </c>
      <c r="N1570" s="621" t="s">
        <v>4754</v>
      </c>
      <c r="O1570" s="621"/>
      <c r="P1570" s="621"/>
    </row>
    <row r="1571" spans="1:16">
      <c r="A1571" s="232" t="s">
        <v>686</v>
      </c>
      <c r="B1571" s="232" t="s">
        <v>1864</v>
      </c>
      <c r="C1571" s="622">
        <v>45077</v>
      </c>
      <c r="D1571" s="232" t="s">
        <v>4869</v>
      </c>
      <c r="E1571" s="232"/>
      <c r="F1571" s="233">
        <v>1.78</v>
      </c>
      <c r="G1571" s="232" t="s">
        <v>4851</v>
      </c>
      <c r="H1571" s="233"/>
      <c r="I1571" s="233"/>
      <c r="J1571" s="623">
        <v>783200</v>
      </c>
      <c r="K1571" s="624" t="s">
        <v>1130</v>
      </c>
      <c r="L1571" s="624" t="s">
        <v>4852</v>
      </c>
      <c r="M1571" s="624" t="s">
        <v>4867</v>
      </c>
      <c r="N1571" s="624" t="s">
        <v>4754</v>
      </c>
      <c r="O1571" s="624"/>
      <c r="P1571" s="624"/>
    </row>
    <row r="1572" spans="1:16">
      <c r="A1572" s="231" t="s">
        <v>686</v>
      </c>
      <c r="B1572" s="231" t="s">
        <v>1864</v>
      </c>
      <c r="C1572" s="618">
        <v>45077</v>
      </c>
      <c r="D1572" s="231" t="s">
        <v>4862</v>
      </c>
      <c r="E1572" s="231"/>
      <c r="F1572" s="619">
        <v>56</v>
      </c>
      <c r="G1572" s="231" t="s">
        <v>4851</v>
      </c>
      <c r="H1572" s="619"/>
      <c r="I1572" s="619"/>
      <c r="J1572" s="620">
        <v>26040000</v>
      </c>
      <c r="K1572" s="621" t="s">
        <v>1130</v>
      </c>
      <c r="L1572" s="621" t="s">
        <v>4852</v>
      </c>
      <c r="M1572" s="621" t="s">
        <v>4863</v>
      </c>
      <c r="N1572" s="621" t="s">
        <v>4754</v>
      </c>
      <c r="O1572" s="621"/>
      <c r="P1572" s="621"/>
    </row>
    <row r="1573" spans="1:16">
      <c r="A1573" s="232" t="s">
        <v>686</v>
      </c>
      <c r="B1573" s="232" t="s">
        <v>1864</v>
      </c>
      <c r="C1573" s="622">
        <v>45077</v>
      </c>
      <c r="D1573" s="232" t="s">
        <v>4862</v>
      </c>
      <c r="E1573" s="232"/>
      <c r="F1573" s="233">
        <v>50</v>
      </c>
      <c r="G1573" s="232" t="s">
        <v>4851</v>
      </c>
      <c r="H1573" s="233"/>
      <c r="I1573" s="233"/>
      <c r="J1573" s="623">
        <v>23250000</v>
      </c>
      <c r="K1573" s="624" t="s">
        <v>1130</v>
      </c>
      <c r="L1573" s="624" t="s">
        <v>4852</v>
      </c>
      <c r="M1573" s="624" t="s">
        <v>4863</v>
      </c>
      <c r="N1573" s="624" t="s">
        <v>4754</v>
      </c>
      <c r="O1573" s="624"/>
      <c r="P1573" s="624"/>
    </row>
    <row r="1574" spans="1:16">
      <c r="A1574" s="231" t="s">
        <v>686</v>
      </c>
      <c r="B1574" s="231" t="s">
        <v>1864</v>
      </c>
      <c r="C1574" s="618">
        <v>45077</v>
      </c>
      <c r="D1574" s="231" t="s">
        <v>4862</v>
      </c>
      <c r="E1574" s="231"/>
      <c r="F1574" s="619">
        <v>3</v>
      </c>
      <c r="G1574" s="231" t="s">
        <v>4851</v>
      </c>
      <c r="H1574" s="619"/>
      <c r="I1574" s="619"/>
      <c r="J1574" s="620">
        <v>1395000</v>
      </c>
      <c r="K1574" s="621" t="s">
        <v>1130</v>
      </c>
      <c r="L1574" s="621" t="s">
        <v>4852</v>
      </c>
      <c r="M1574" s="621" t="s">
        <v>4863</v>
      </c>
      <c r="N1574" s="621" t="s">
        <v>4754</v>
      </c>
      <c r="O1574" s="621"/>
      <c r="P1574" s="621"/>
    </row>
    <row r="1575" spans="1:16">
      <c r="A1575" s="232" t="s">
        <v>686</v>
      </c>
      <c r="B1575" s="232" t="s">
        <v>1864</v>
      </c>
      <c r="C1575" s="622">
        <v>45077</v>
      </c>
      <c r="D1575" s="232" t="s">
        <v>4869</v>
      </c>
      <c r="E1575" s="232"/>
      <c r="F1575" s="233">
        <v>46</v>
      </c>
      <c r="G1575" s="232" t="s">
        <v>4851</v>
      </c>
      <c r="H1575" s="233"/>
      <c r="I1575" s="233"/>
      <c r="J1575" s="623">
        <v>19780000</v>
      </c>
      <c r="K1575" s="624" t="s">
        <v>1130</v>
      </c>
      <c r="L1575" s="624" t="s">
        <v>4852</v>
      </c>
      <c r="M1575" s="624" t="s">
        <v>4858</v>
      </c>
      <c r="N1575" s="624" t="s">
        <v>4754</v>
      </c>
      <c r="O1575" s="624"/>
      <c r="P1575" s="624"/>
    </row>
    <row r="1576" spans="1:16">
      <c r="A1576" s="231" t="s">
        <v>686</v>
      </c>
      <c r="B1576" s="231" t="s">
        <v>1864</v>
      </c>
      <c r="C1576" s="618">
        <v>45077</v>
      </c>
      <c r="D1576" s="231" t="s">
        <v>4868</v>
      </c>
      <c r="E1576" s="231" t="s">
        <v>5076</v>
      </c>
      <c r="F1576" s="619">
        <v>41.51</v>
      </c>
      <c r="G1576" s="231" t="s">
        <v>4851</v>
      </c>
      <c r="H1576" s="619"/>
      <c r="I1576" s="619"/>
      <c r="J1576" s="620">
        <v>17226650</v>
      </c>
      <c r="K1576" s="621" t="s">
        <v>1130</v>
      </c>
      <c r="L1576" s="621" t="s">
        <v>4852</v>
      </c>
      <c r="M1576" s="621" t="s">
        <v>4874</v>
      </c>
      <c r="N1576" s="621" t="s">
        <v>4754</v>
      </c>
      <c r="O1576" s="621"/>
      <c r="P1576" s="621"/>
    </row>
    <row r="1577" spans="1:16">
      <c r="A1577" s="232" t="s">
        <v>686</v>
      </c>
      <c r="B1577" s="232" t="s">
        <v>1864</v>
      </c>
      <c r="C1577" s="622">
        <v>45077</v>
      </c>
      <c r="D1577" s="232" t="s">
        <v>4868</v>
      </c>
      <c r="E1577" s="231" t="s">
        <v>5076</v>
      </c>
      <c r="F1577" s="233">
        <v>10</v>
      </c>
      <c r="G1577" s="232" t="s">
        <v>4851</v>
      </c>
      <c r="H1577" s="233"/>
      <c r="I1577" s="233"/>
      <c r="J1577" s="623">
        <v>4150000</v>
      </c>
      <c r="K1577" s="624" t="s">
        <v>1130</v>
      </c>
      <c r="L1577" s="624" t="s">
        <v>4852</v>
      </c>
      <c r="M1577" s="624" t="s">
        <v>4874</v>
      </c>
      <c r="N1577" s="624" t="s">
        <v>4754</v>
      </c>
      <c r="O1577" s="624"/>
      <c r="P1577" s="624"/>
    </row>
    <row r="1578" spans="1:16">
      <c r="A1578" s="231" t="s">
        <v>686</v>
      </c>
      <c r="B1578" s="231" t="s">
        <v>1864</v>
      </c>
      <c r="C1578" s="618">
        <v>45077</v>
      </c>
      <c r="D1578" s="231" t="s">
        <v>4868</v>
      </c>
      <c r="E1578" s="231" t="s">
        <v>5076</v>
      </c>
      <c r="F1578" s="619">
        <v>55</v>
      </c>
      <c r="G1578" s="231" t="s">
        <v>4851</v>
      </c>
      <c r="H1578" s="619"/>
      <c r="I1578" s="619"/>
      <c r="J1578" s="620">
        <v>22825000</v>
      </c>
      <c r="K1578" s="621" t="s">
        <v>1130</v>
      </c>
      <c r="L1578" s="621" t="s">
        <v>4852</v>
      </c>
      <c r="M1578" s="621" t="s">
        <v>4874</v>
      </c>
      <c r="N1578" s="621" t="s">
        <v>4754</v>
      </c>
      <c r="O1578" s="621"/>
      <c r="P1578" s="621"/>
    </row>
    <row r="1579" spans="1:16">
      <c r="A1579" s="232" t="s">
        <v>686</v>
      </c>
      <c r="B1579" s="232" t="s">
        <v>1864</v>
      </c>
      <c r="C1579" s="622">
        <v>45077</v>
      </c>
      <c r="D1579" s="232" t="s">
        <v>4868</v>
      </c>
      <c r="E1579" s="231" t="s">
        <v>5076</v>
      </c>
      <c r="F1579" s="233">
        <v>0.49</v>
      </c>
      <c r="G1579" s="232" t="s">
        <v>4851</v>
      </c>
      <c r="H1579" s="233"/>
      <c r="I1579" s="233"/>
      <c r="J1579" s="623">
        <v>203350</v>
      </c>
      <c r="K1579" s="624" t="s">
        <v>1130</v>
      </c>
      <c r="L1579" s="624" t="s">
        <v>4852</v>
      </c>
      <c r="M1579" s="624" t="s">
        <v>4874</v>
      </c>
      <c r="N1579" s="624" t="s">
        <v>4754</v>
      </c>
      <c r="O1579" s="624"/>
      <c r="P1579" s="624"/>
    </row>
    <row r="1580" spans="1:16">
      <c r="A1580" s="231" t="s">
        <v>686</v>
      </c>
      <c r="B1580" s="231" t="s">
        <v>1864</v>
      </c>
      <c r="C1580" s="618">
        <v>45077</v>
      </c>
      <c r="D1580" s="231" t="s">
        <v>4869</v>
      </c>
      <c r="E1580" s="231"/>
      <c r="F1580" s="619">
        <v>49</v>
      </c>
      <c r="G1580" s="231" t="s">
        <v>4851</v>
      </c>
      <c r="H1580" s="619"/>
      <c r="I1580" s="619"/>
      <c r="J1580" s="620">
        <v>21560000</v>
      </c>
      <c r="K1580" s="621" t="s">
        <v>1130</v>
      </c>
      <c r="L1580" s="621" t="s">
        <v>4852</v>
      </c>
      <c r="M1580" s="621" t="s">
        <v>4867</v>
      </c>
      <c r="N1580" s="621" t="s">
        <v>4754</v>
      </c>
      <c r="O1580" s="621"/>
      <c r="P1580" s="621"/>
    </row>
    <row r="1581" spans="1:16">
      <c r="A1581" s="232" t="s">
        <v>686</v>
      </c>
      <c r="B1581" s="232" t="s">
        <v>1864</v>
      </c>
      <c r="C1581" s="622">
        <v>45077</v>
      </c>
      <c r="D1581" s="232" t="s">
        <v>4869</v>
      </c>
      <c r="E1581" s="232"/>
      <c r="F1581" s="233">
        <v>49</v>
      </c>
      <c r="G1581" s="232" t="s">
        <v>4851</v>
      </c>
      <c r="H1581" s="233"/>
      <c r="I1581" s="233"/>
      <c r="J1581" s="623">
        <v>21560000</v>
      </c>
      <c r="K1581" s="624" t="s">
        <v>1130</v>
      </c>
      <c r="L1581" s="624" t="s">
        <v>4852</v>
      </c>
      <c r="M1581" s="624" t="s">
        <v>4867</v>
      </c>
      <c r="N1581" s="624" t="s">
        <v>4754</v>
      </c>
      <c r="O1581" s="624"/>
      <c r="P1581" s="624"/>
    </row>
    <row r="1582" spans="1:16">
      <c r="A1582" s="231" t="s">
        <v>686</v>
      </c>
      <c r="B1582" s="231" t="s">
        <v>1864</v>
      </c>
      <c r="C1582" s="618">
        <v>45077</v>
      </c>
      <c r="D1582" s="231" t="s">
        <v>4869</v>
      </c>
      <c r="E1582" s="231"/>
      <c r="F1582" s="619">
        <v>49</v>
      </c>
      <c r="G1582" s="231" t="s">
        <v>4851</v>
      </c>
      <c r="H1582" s="619"/>
      <c r="I1582" s="619"/>
      <c r="J1582" s="620">
        <v>21560000</v>
      </c>
      <c r="K1582" s="621" t="s">
        <v>1130</v>
      </c>
      <c r="L1582" s="621" t="s">
        <v>4852</v>
      </c>
      <c r="M1582" s="621" t="s">
        <v>4867</v>
      </c>
      <c r="N1582" s="621" t="s">
        <v>4754</v>
      </c>
      <c r="O1582" s="621"/>
      <c r="P1582" s="621"/>
    </row>
    <row r="1583" spans="1:16">
      <c r="A1583" s="232" t="s">
        <v>686</v>
      </c>
      <c r="B1583" s="232" t="s">
        <v>1864</v>
      </c>
      <c r="C1583" s="622">
        <v>45077</v>
      </c>
      <c r="D1583" s="232" t="s">
        <v>4869</v>
      </c>
      <c r="E1583" s="232"/>
      <c r="F1583" s="233">
        <v>49</v>
      </c>
      <c r="G1583" s="232" t="s">
        <v>4851</v>
      </c>
      <c r="H1583" s="233"/>
      <c r="I1583" s="233"/>
      <c r="J1583" s="623">
        <v>21560000</v>
      </c>
      <c r="K1583" s="624" t="s">
        <v>1130</v>
      </c>
      <c r="L1583" s="624" t="s">
        <v>4852</v>
      </c>
      <c r="M1583" s="624" t="s">
        <v>4867</v>
      </c>
      <c r="N1583" s="624" t="s">
        <v>4754</v>
      </c>
      <c r="O1583" s="624"/>
      <c r="P1583" s="624"/>
    </row>
    <row r="1584" spans="1:16">
      <c r="A1584" s="231" t="s">
        <v>686</v>
      </c>
      <c r="B1584" s="231" t="s">
        <v>1864</v>
      </c>
      <c r="C1584" s="618">
        <v>45077</v>
      </c>
      <c r="D1584" s="231" t="s">
        <v>4869</v>
      </c>
      <c r="E1584" s="231"/>
      <c r="F1584" s="619">
        <v>49</v>
      </c>
      <c r="G1584" s="231" t="s">
        <v>4851</v>
      </c>
      <c r="H1584" s="619"/>
      <c r="I1584" s="619"/>
      <c r="J1584" s="620">
        <v>21560000</v>
      </c>
      <c r="K1584" s="621" t="s">
        <v>1130</v>
      </c>
      <c r="L1584" s="621" t="s">
        <v>4852</v>
      </c>
      <c r="M1584" s="621" t="s">
        <v>4867</v>
      </c>
      <c r="N1584" s="621" t="s">
        <v>4754</v>
      </c>
      <c r="O1584" s="621"/>
      <c r="P1584" s="621"/>
    </row>
    <row r="1585" spans="1:16">
      <c r="A1585" s="232" t="s">
        <v>686</v>
      </c>
      <c r="B1585" s="232" t="s">
        <v>1864</v>
      </c>
      <c r="C1585" s="622">
        <v>45077</v>
      </c>
      <c r="D1585" s="232" t="s">
        <v>4869</v>
      </c>
      <c r="E1585" s="232"/>
      <c r="F1585" s="233">
        <v>4</v>
      </c>
      <c r="G1585" s="232" t="s">
        <v>4851</v>
      </c>
      <c r="H1585" s="233"/>
      <c r="I1585" s="233"/>
      <c r="J1585" s="623">
        <v>1720000</v>
      </c>
      <c r="K1585" s="624" t="s">
        <v>1130</v>
      </c>
      <c r="L1585" s="624" t="s">
        <v>4852</v>
      </c>
      <c r="M1585" s="624" t="s">
        <v>4858</v>
      </c>
      <c r="N1585" s="624" t="s">
        <v>4754</v>
      </c>
      <c r="O1585" s="624"/>
      <c r="P1585" s="624"/>
    </row>
    <row r="1586" spans="1:16">
      <c r="A1586" s="231" t="s">
        <v>686</v>
      </c>
      <c r="B1586" s="231" t="s">
        <v>1864</v>
      </c>
      <c r="C1586" s="618">
        <v>45077</v>
      </c>
      <c r="D1586" s="231" t="s">
        <v>4869</v>
      </c>
      <c r="E1586" s="231"/>
      <c r="F1586" s="619">
        <v>50</v>
      </c>
      <c r="G1586" s="231" t="s">
        <v>4851</v>
      </c>
      <c r="H1586" s="619"/>
      <c r="I1586" s="619"/>
      <c r="J1586" s="620">
        <v>21500000</v>
      </c>
      <c r="K1586" s="621" t="s">
        <v>1130</v>
      </c>
      <c r="L1586" s="621" t="s">
        <v>4852</v>
      </c>
      <c r="M1586" s="621" t="s">
        <v>4858</v>
      </c>
      <c r="N1586" s="621" t="s">
        <v>4754</v>
      </c>
      <c r="O1586" s="621"/>
      <c r="P1586" s="621"/>
    </row>
    <row r="1587" spans="1:16">
      <c r="A1587" s="232" t="s">
        <v>686</v>
      </c>
      <c r="B1587" s="232" t="s">
        <v>1864</v>
      </c>
      <c r="C1587" s="622">
        <v>45077</v>
      </c>
      <c r="D1587" s="232" t="s">
        <v>4869</v>
      </c>
      <c r="E1587" s="232"/>
      <c r="F1587" s="233">
        <v>34</v>
      </c>
      <c r="G1587" s="232" t="s">
        <v>4851</v>
      </c>
      <c r="H1587" s="233"/>
      <c r="I1587" s="233"/>
      <c r="J1587" s="623">
        <v>14620000</v>
      </c>
      <c r="K1587" s="624" t="s">
        <v>1130</v>
      </c>
      <c r="L1587" s="624" t="s">
        <v>4852</v>
      </c>
      <c r="M1587" s="624" t="s">
        <v>4858</v>
      </c>
      <c r="N1587" s="624" t="s">
        <v>4754</v>
      </c>
      <c r="O1587" s="624"/>
      <c r="P1587" s="624"/>
    </row>
    <row r="1588" spans="1:16">
      <c r="A1588" s="231" t="s">
        <v>686</v>
      </c>
      <c r="B1588" s="231" t="s">
        <v>1864</v>
      </c>
      <c r="C1588" s="618">
        <v>45077</v>
      </c>
      <c r="D1588" s="231" t="s">
        <v>4869</v>
      </c>
      <c r="E1588" s="231"/>
      <c r="F1588" s="619">
        <v>50</v>
      </c>
      <c r="G1588" s="231" t="s">
        <v>4851</v>
      </c>
      <c r="H1588" s="619"/>
      <c r="I1588" s="619"/>
      <c r="J1588" s="620">
        <v>21500000</v>
      </c>
      <c r="K1588" s="621" t="s">
        <v>1130</v>
      </c>
      <c r="L1588" s="621" t="s">
        <v>4852</v>
      </c>
      <c r="M1588" s="621" t="s">
        <v>4858</v>
      </c>
      <c r="N1588" s="621" t="s">
        <v>4754</v>
      </c>
      <c r="O1588" s="621"/>
      <c r="P1588" s="621"/>
    </row>
    <row r="1589" spans="1:16">
      <c r="A1589" s="232" t="s">
        <v>686</v>
      </c>
      <c r="B1589" s="232" t="s">
        <v>1864</v>
      </c>
      <c r="C1589" s="622">
        <v>45077</v>
      </c>
      <c r="D1589" s="232" t="s">
        <v>4862</v>
      </c>
      <c r="E1589" s="232"/>
      <c r="F1589" s="233">
        <v>50</v>
      </c>
      <c r="G1589" s="232" t="s">
        <v>4851</v>
      </c>
      <c r="H1589" s="233"/>
      <c r="I1589" s="233"/>
      <c r="J1589" s="623">
        <v>23250000</v>
      </c>
      <c r="K1589" s="624" t="s">
        <v>1130</v>
      </c>
      <c r="L1589" s="624" t="s">
        <v>4852</v>
      </c>
      <c r="M1589" s="624" t="s">
        <v>4863</v>
      </c>
      <c r="N1589" s="624" t="s">
        <v>4754</v>
      </c>
      <c r="O1589" s="624"/>
      <c r="P1589" s="624"/>
    </row>
    <row r="1590" spans="1:16">
      <c r="A1590" s="231" t="s">
        <v>686</v>
      </c>
      <c r="B1590" s="231" t="s">
        <v>1864</v>
      </c>
      <c r="C1590" s="618">
        <v>45077</v>
      </c>
      <c r="D1590" s="231" t="s">
        <v>4862</v>
      </c>
      <c r="E1590" s="231"/>
      <c r="F1590" s="619">
        <v>35</v>
      </c>
      <c r="G1590" s="231" t="s">
        <v>4851</v>
      </c>
      <c r="H1590" s="619"/>
      <c r="I1590" s="619"/>
      <c r="J1590" s="620">
        <v>16275000</v>
      </c>
      <c r="K1590" s="621" t="s">
        <v>1130</v>
      </c>
      <c r="L1590" s="621" t="s">
        <v>4852</v>
      </c>
      <c r="M1590" s="621" t="s">
        <v>4863</v>
      </c>
      <c r="N1590" s="621" t="s">
        <v>4754</v>
      </c>
      <c r="O1590" s="621"/>
      <c r="P1590" s="621"/>
    </row>
    <row r="1591" spans="1:16">
      <c r="A1591" s="232" t="s">
        <v>686</v>
      </c>
      <c r="B1591" s="232" t="s">
        <v>1864</v>
      </c>
      <c r="C1591" s="622">
        <v>45077</v>
      </c>
      <c r="D1591" s="232" t="s">
        <v>4855</v>
      </c>
      <c r="E1591" s="232"/>
      <c r="F1591" s="233">
        <v>18006.651999999998</v>
      </c>
      <c r="G1591" s="232" t="s">
        <v>4851</v>
      </c>
      <c r="H1591" s="233"/>
      <c r="I1591" s="233">
        <v>18906984.600000001</v>
      </c>
      <c r="J1591" s="623">
        <v>11756722256.99</v>
      </c>
      <c r="K1591" s="624" t="s">
        <v>991</v>
      </c>
      <c r="L1591" s="624" t="s">
        <v>4852</v>
      </c>
      <c r="M1591" s="624" t="s">
        <v>4853</v>
      </c>
      <c r="N1591" s="624" t="s">
        <v>4854</v>
      </c>
      <c r="O1591" s="624"/>
      <c r="P1591" s="624"/>
    </row>
    <row r="1592" spans="1:16">
      <c r="A1592" s="231" t="s">
        <v>686</v>
      </c>
      <c r="B1592" s="231" t="s">
        <v>1864</v>
      </c>
      <c r="C1592" s="618">
        <v>45077</v>
      </c>
      <c r="D1592" s="231" t="s">
        <v>4869</v>
      </c>
      <c r="E1592" s="231"/>
      <c r="F1592" s="619">
        <v>49</v>
      </c>
      <c r="G1592" s="231" t="s">
        <v>4851</v>
      </c>
      <c r="H1592" s="619"/>
      <c r="I1592" s="619"/>
      <c r="J1592" s="620">
        <v>21560000</v>
      </c>
      <c r="K1592" s="621" t="s">
        <v>1130</v>
      </c>
      <c r="L1592" s="621" t="s">
        <v>4852</v>
      </c>
      <c r="M1592" s="621" t="s">
        <v>4867</v>
      </c>
      <c r="N1592" s="621" t="s">
        <v>4754</v>
      </c>
      <c r="O1592" s="621"/>
      <c r="P1592" s="621"/>
    </row>
    <row r="1593" spans="1:16">
      <c r="A1593" s="232" t="s">
        <v>686</v>
      </c>
      <c r="B1593" s="232" t="s">
        <v>1864</v>
      </c>
      <c r="C1593" s="622">
        <v>45077</v>
      </c>
      <c r="D1593" s="232" t="s">
        <v>4869</v>
      </c>
      <c r="E1593" s="232"/>
      <c r="F1593" s="233">
        <v>49</v>
      </c>
      <c r="G1593" s="232" t="s">
        <v>4851</v>
      </c>
      <c r="H1593" s="233"/>
      <c r="I1593" s="233"/>
      <c r="J1593" s="623">
        <v>21560000</v>
      </c>
      <c r="K1593" s="624" t="s">
        <v>1130</v>
      </c>
      <c r="L1593" s="624" t="s">
        <v>4852</v>
      </c>
      <c r="M1593" s="624" t="s">
        <v>4867</v>
      </c>
      <c r="N1593" s="624" t="s">
        <v>4754</v>
      </c>
      <c r="O1593" s="624"/>
      <c r="P1593" s="624"/>
    </row>
    <row r="1594" spans="1:16">
      <c r="A1594" s="231" t="s">
        <v>686</v>
      </c>
      <c r="B1594" s="231" t="s">
        <v>1864</v>
      </c>
      <c r="C1594" s="618">
        <v>45077</v>
      </c>
      <c r="D1594" s="231" t="s">
        <v>4869</v>
      </c>
      <c r="E1594" s="231"/>
      <c r="F1594" s="619">
        <v>49</v>
      </c>
      <c r="G1594" s="231" t="s">
        <v>4851</v>
      </c>
      <c r="H1594" s="619"/>
      <c r="I1594" s="619"/>
      <c r="J1594" s="620">
        <v>21560000</v>
      </c>
      <c r="K1594" s="621" t="s">
        <v>1130</v>
      </c>
      <c r="L1594" s="621" t="s">
        <v>4852</v>
      </c>
      <c r="M1594" s="621" t="s">
        <v>4867</v>
      </c>
      <c r="N1594" s="621" t="s">
        <v>4754</v>
      </c>
      <c r="O1594" s="621"/>
      <c r="P1594" s="621"/>
    </row>
    <row r="1595" spans="1:16">
      <c r="A1595" s="232" t="s">
        <v>686</v>
      </c>
      <c r="B1595" s="232" t="s">
        <v>1864</v>
      </c>
      <c r="C1595" s="622">
        <v>45077</v>
      </c>
      <c r="D1595" s="232" t="s">
        <v>4869</v>
      </c>
      <c r="E1595" s="232"/>
      <c r="F1595" s="233">
        <v>49</v>
      </c>
      <c r="G1595" s="232" t="s">
        <v>4851</v>
      </c>
      <c r="H1595" s="233"/>
      <c r="I1595" s="233"/>
      <c r="J1595" s="623">
        <v>21560000</v>
      </c>
      <c r="K1595" s="624" t="s">
        <v>1130</v>
      </c>
      <c r="L1595" s="624" t="s">
        <v>4852</v>
      </c>
      <c r="M1595" s="624" t="s">
        <v>4867</v>
      </c>
      <c r="N1595" s="624" t="s">
        <v>4754</v>
      </c>
      <c r="O1595" s="624"/>
      <c r="P1595" s="624"/>
    </row>
    <row r="1596" spans="1:16">
      <c r="A1596" s="231" t="s">
        <v>686</v>
      </c>
      <c r="B1596" s="231" t="s">
        <v>1864</v>
      </c>
      <c r="C1596" s="618">
        <v>45077</v>
      </c>
      <c r="D1596" s="231" t="s">
        <v>4869</v>
      </c>
      <c r="E1596" s="231"/>
      <c r="F1596" s="619">
        <v>49</v>
      </c>
      <c r="G1596" s="231" t="s">
        <v>4851</v>
      </c>
      <c r="H1596" s="619"/>
      <c r="I1596" s="619"/>
      <c r="J1596" s="620">
        <v>21560000</v>
      </c>
      <c r="K1596" s="621" t="s">
        <v>1130</v>
      </c>
      <c r="L1596" s="621" t="s">
        <v>4852</v>
      </c>
      <c r="M1596" s="621" t="s">
        <v>4867</v>
      </c>
      <c r="N1596" s="621" t="s">
        <v>4754</v>
      </c>
      <c r="O1596" s="621"/>
      <c r="P1596" s="621"/>
    </row>
    <row r="1597" spans="1:16">
      <c r="A1597" s="232" t="s">
        <v>686</v>
      </c>
      <c r="B1597" s="232" t="s">
        <v>1864</v>
      </c>
      <c r="C1597" s="622">
        <v>45077</v>
      </c>
      <c r="D1597" s="232" t="s">
        <v>4869</v>
      </c>
      <c r="E1597" s="232"/>
      <c r="F1597" s="233">
        <v>49</v>
      </c>
      <c r="G1597" s="232" t="s">
        <v>4851</v>
      </c>
      <c r="H1597" s="233"/>
      <c r="I1597" s="233"/>
      <c r="J1597" s="623">
        <v>21560000</v>
      </c>
      <c r="K1597" s="624" t="s">
        <v>1130</v>
      </c>
      <c r="L1597" s="624" t="s">
        <v>4852</v>
      </c>
      <c r="M1597" s="624" t="s">
        <v>4867</v>
      </c>
      <c r="N1597" s="624" t="s">
        <v>4754</v>
      </c>
      <c r="O1597" s="624"/>
      <c r="P1597" s="624"/>
    </row>
    <row r="1598" spans="1:16">
      <c r="A1598" s="231" t="s">
        <v>686</v>
      </c>
      <c r="B1598" s="231" t="s">
        <v>1864</v>
      </c>
      <c r="C1598" s="618">
        <v>45077</v>
      </c>
      <c r="D1598" s="231" t="s">
        <v>4869</v>
      </c>
      <c r="E1598" s="231"/>
      <c r="F1598" s="619">
        <v>50</v>
      </c>
      <c r="G1598" s="231" t="s">
        <v>4851</v>
      </c>
      <c r="H1598" s="619"/>
      <c r="I1598" s="619"/>
      <c r="J1598" s="620">
        <v>21500000</v>
      </c>
      <c r="K1598" s="621" t="s">
        <v>1130</v>
      </c>
      <c r="L1598" s="621" t="s">
        <v>4852</v>
      </c>
      <c r="M1598" s="621" t="s">
        <v>4858</v>
      </c>
      <c r="N1598" s="621" t="s">
        <v>4754</v>
      </c>
      <c r="O1598" s="621"/>
      <c r="P1598" s="621"/>
    </row>
    <row r="1599" spans="1:16">
      <c r="A1599" s="232" t="s">
        <v>686</v>
      </c>
      <c r="B1599" s="232" t="s">
        <v>1864</v>
      </c>
      <c r="C1599" s="622">
        <v>45077</v>
      </c>
      <c r="D1599" s="232" t="s">
        <v>4869</v>
      </c>
      <c r="E1599" s="232"/>
      <c r="F1599" s="233">
        <v>2</v>
      </c>
      <c r="G1599" s="232" t="s">
        <v>4851</v>
      </c>
      <c r="H1599" s="233"/>
      <c r="I1599" s="233"/>
      <c r="J1599" s="623">
        <v>860000</v>
      </c>
      <c r="K1599" s="624" t="s">
        <v>1130</v>
      </c>
      <c r="L1599" s="624" t="s">
        <v>4852</v>
      </c>
      <c r="M1599" s="624" t="s">
        <v>4858</v>
      </c>
      <c r="N1599" s="624" t="s">
        <v>4754</v>
      </c>
      <c r="O1599" s="624"/>
      <c r="P1599" s="624"/>
    </row>
    <row r="1600" spans="1:16">
      <c r="A1600" s="231" t="s">
        <v>686</v>
      </c>
      <c r="B1600" s="231" t="s">
        <v>1864</v>
      </c>
      <c r="C1600" s="618">
        <v>45077</v>
      </c>
      <c r="D1600" s="231" t="s">
        <v>4869</v>
      </c>
      <c r="E1600" s="231"/>
      <c r="F1600" s="619">
        <v>4</v>
      </c>
      <c r="G1600" s="231" t="s">
        <v>4851</v>
      </c>
      <c r="H1600" s="619"/>
      <c r="I1600" s="619"/>
      <c r="J1600" s="620">
        <v>1720000</v>
      </c>
      <c r="K1600" s="621" t="s">
        <v>1130</v>
      </c>
      <c r="L1600" s="621" t="s">
        <v>4852</v>
      </c>
      <c r="M1600" s="621" t="s">
        <v>4858</v>
      </c>
      <c r="N1600" s="621" t="s">
        <v>4754</v>
      </c>
      <c r="O1600" s="621"/>
      <c r="P1600" s="621"/>
    </row>
    <row r="1601" spans="1:16">
      <c r="A1601" s="232" t="s">
        <v>686</v>
      </c>
      <c r="B1601" s="232" t="s">
        <v>1864</v>
      </c>
      <c r="C1601" s="622">
        <v>45077</v>
      </c>
      <c r="D1601" s="232" t="s">
        <v>4869</v>
      </c>
      <c r="E1601" s="232"/>
      <c r="F1601" s="233">
        <v>46</v>
      </c>
      <c r="G1601" s="232" t="s">
        <v>4851</v>
      </c>
      <c r="H1601" s="233"/>
      <c r="I1601" s="233"/>
      <c r="J1601" s="623">
        <v>19780000</v>
      </c>
      <c r="K1601" s="624" t="s">
        <v>1130</v>
      </c>
      <c r="L1601" s="624" t="s">
        <v>4852</v>
      </c>
      <c r="M1601" s="624" t="s">
        <v>4858</v>
      </c>
      <c r="N1601" s="624" t="s">
        <v>4754</v>
      </c>
      <c r="O1601" s="624"/>
      <c r="P1601" s="624"/>
    </row>
    <row r="1602" spans="1:16">
      <c r="A1602" s="231" t="s">
        <v>686</v>
      </c>
      <c r="B1602" s="231" t="s">
        <v>1864</v>
      </c>
      <c r="C1602" s="618">
        <v>45077</v>
      </c>
      <c r="D1602" s="231" t="s">
        <v>4862</v>
      </c>
      <c r="E1602" s="231"/>
      <c r="F1602" s="619">
        <v>30</v>
      </c>
      <c r="G1602" s="231" t="s">
        <v>4851</v>
      </c>
      <c r="H1602" s="619"/>
      <c r="I1602" s="619"/>
      <c r="J1602" s="620">
        <v>13950000</v>
      </c>
      <c r="K1602" s="621" t="s">
        <v>1130</v>
      </c>
      <c r="L1602" s="621" t="s">
        <v>4852</v>
      </c>
      <c r="M1602" s="621" t="s">
        <v>4863</v>
      </c>
      <c r="N1602" s="621" t="s">
        <v>4754</v>
      </c>
      <c r="O1602" s="621"/>
      <c r="P1602" s="621"/>
    </row>
    <row r="1603" spans="1:16">
      <c r="A1603" s="232" t="s">
        <v>686</v>
      </c>
      <c r="B1603" s="232" t="s">
        <v>1864</v>
      </c>
      <c r="C1603" s="622">
        <v>45077</v>
      </c>
      <c r="D1603" s="232" t="s">
        <v>4862</v>
      </c>
      <c r="E1603" s="232"/>
      <c r="F1603" s="233">
        <v>50</v>
      </c>
      <c r="G1603" s="232" t="s">
        <v>4851</v>
      </c>
      <c r="H1603" s="233"/>
      <c r="I1603" s="233"/>
      <c r="J1603" s="623">
        <v>23250000</v>
      </c>
      <c r="K1603" s="624" t="s">
        <v>1130</v>
      </c>
      <c r="L1603" s="624" t="s">
        <v>4852</v>
      </c>
      <c r="M1603" s="624" t="s">
        <v>4863</v>
      </c>
      <c r="N1603" s="624" t="s">
        <v>4754</v>
      </c>
      <c r="O1603" s="624"/>
      <c r="P1603" s="624"/>
    </row>
    <row r="1604" spans="1:16">
      <c r="A1604" s="231" t="s">
        <v>686</v>
      </c>
      <c r="B1604" s="231" t="s">
        <v>1864</v>
      </c>
      <c r="C1604" s="618">
        <v>45077</v>
      </c>
      <c r="D1604" s="231" t="s">
        <v>4862</v>
      </c>
      <c r="E1604" s="231"/>
      <c r="F1604" s="619">
        <v>40</v>
      </c>
      <c r="G1604" s="231" t="s">
        <v>4851</v>
      </c>
      <c r="H1604" s="619"/>
      <c r="I1604" s="619"/>
      <c r="J1604" s="620">
        <v>18600000</v>
      </c>
      <c r="K1604" s="621" t="s">
        <v>1130</v>
      </c>
      <c r="L1604" s="621" t="s">
        <v>4852</v>
      </c>
      <c r="M1604" s="621" t="s">
        <v>4863</v>
      </c>
      <c r="N1604" s="621" t="s">
        <v>4754</v>
      </c>
      <c r="O1604" s="621"/>
      <c r="P1604" s="621"/>
    </row>
    <row r="1605" spans="1:16">
      <c r="A1605" s="232" t="s">
        <v>686</v>
      </c>
      <c r="B1605" s="232" t="s">
        <v>1864</v>
      </c>
      <c r="C1605" s="622">
        <v>45077</v>
      </c>
      <c r="D1605" s="232" t="s">
        <v>4868</v>
      </c>
      <c r="E1605" s="231" t="s">
        <v>5076</v>
      </c>
      <c r="F1605" s="233">
        <v>40</v>
      </c>
      <c r="G1605" s="232" t="s">
        <v>4851</v>
      </c>
      <c r="H1605" s="233"/>
      <c r="I1605" s="233"/>
      <c r="J1605" s="623">
        <v>16600000</v>
      </c>
      <c r="K1605" s="624" t="s">
        <v>1130</v>
      </c>
      <c r="L1605" s="624" t="s">
        <v>4852</v>
      </c>
      <c r="M1605" s="624" t="s">
        <v>4874</v>
      </c>
      <c r="N1605" s="624" t="s">
        <v>4754</v>
      </c>
      <c r="O1605" s="624"/>
      <c r="P1605" s="624"/>
    </row>
    <row r="1606" spans="1:16">
      <c r="A1606" s="231" t="s">
        <v>686</v>
      </c>
      <c r="B1606" s="231" t="s">
        <v>1864</v>
      </c>
      <c r="C1606" s="618">
        <v>45077</v>
      </c>
      <c r="D1606" s="231" t="s">
        <v>4868</v>
      </c>
      <c r="E1606" s="231" t="s">
        <v>5076</v>
      </c>
      <c r="F1606" s="619">
        <v>10</v>
      </c>
      <c r="G1606" s="231" t="s">
        <v>4851</v>
      </c>
      <c r="H1606" s="619"/>
      <c r="I1606" s="619"/>
      <c r="J1606" s="620">
        <v>4150000</v>
      </c>
      <c r="K1606" s="621" t="s">
        <v>1130</v>
      </c>
      <c r="L1606" s="621" t="s">
        <v>4852</v>
      </c>
      <c r="M1606" s="621" t="s">
        <v>4874</v>
      </c>
      <c r="N1606" s="621" t="s">
        <v>4754</v>
      </c>
      <c r="O1606" s="621"/>
      <c r="P1606" s="621"/>
    </row>
    <row r="1607" spans="1:16">
      <c r="A1607" s="232" t="s">
        <v>686</v>
      </c>
      <c r="B1607" s="232" t="s">
        <v>1864</v>
      </c>
      <c r="C1607" s="622">
        <v>45077</v>
      </c>
      <c r="D1607" s="232" t="s">
        <v>4868</v>
      </c>
      <c r="E1607" s="231" t="s">
        <v>5076</v>
      </c>
      <c r="F1607" s="233">
        <v>42</v>
      </c>
      <c r="G1607" s="232" t="s">
        <v>4851</v>
      </c>
      <c r="H1607" s="233"/>
      <c r="I1607" s="233"/>
      <c r="J1607" s="623">
        <v>17430000</v>
      </c>
      <c r="K1607" s="624" t="s">
        <v>1130</v>
      </c>
      <c r="L1607" s="624" t="s">
        <v>4852</v>
      </c>
      <c r="M1607" s="624" t="s">
        <v>4874</v>
      </c>
      <c r="N1607" s="624" t="s">
        <v>4754</v>
      </c>
      <c r="O1607" s="624"/>
      <c r="P1607" s="624"/>
    </row>
    <row r="1608" spans="1:16">
      <c r="A1608" s="231" t="s">
        <v>686</v>
      </c>
      <c r="B1608" s="231" t="s">
        <v>1864</v>
      </c>
      <c r="C1608" s="618">
        <v>45077</v>
      </c>
      <c r="D1608" s="231" t="s">
        <v>4868</v>
      </c>
      <c r="E1608" s="231" t="s">
        <v>5076</v>
      </c>
      <c r="F1608" s="619">
        <v>3</v>
      </c>
      <c r="G1608" s="231" t="s">
        <v>4851</v>
      </c>
      <c r="H1608" s="619"/>
      <c r="I1608" s="619"/>
      <c r="J1608" s="620">
        <v>1245000</v>
      </c>
      <c r="K1608" s="621" t="s">
        <v>1130</v>
      </c>
      <c r="L1608" s="621" t="s">
        <v>4852</v>
      </c>
      <c r="M1608" s="621" t="s">
        <v>4874</v>
      </c>
      <c r="N1608" s="621" t="s">
        <v>4754</v>
      </c>
      <c r="O1608" s="621"/>
      <c r="P1608" s="621"/>
    </row>
    <row r="1609" spans="1:16">
      <c r="A1609" s="232" t="s">
        <v>686</v>
      </c>
      <c r="B1609" s="232" t="s">
        <v>1864</v>
      </c>
      <c r="C1609" s="622">
        <v>45077</v>
      </c>
      <c r="D1609" s="232" t="s">
        <v>4862</v>
      </c>
      <c r="E1609" s="232"/>
      <c r="F1609" s="233">
        <v>5</v>
      </c>
      <c r="G1609" s="232" t="s">
        <v>4851</v>
      </c>
      <c r="H1609" s="233"/>
      <c r="I1609" s="233"/>
      <c r="J1609" s="623">
        <v>2325000</v>
      </c>
      <c r="K1609" s="624" t="s">
        <v>1130</v>
      </c>
      <c r="L1609" s="624" t="s">
        <v>4852</v>
      </c>
      <c r="M1609" s="624" t="s">
        <v>4863</v>
      </c>
      <c r="N1609" s="624" t="s">
        <v>4754</v>
      </c>
      <c r="O1609" s="624"/>
      <c r="P1609" s="624"/>
    </row>
    <row r="1610" spans="1:16">
      <c r="A1610" s="231" t="s">
        <v>686</v>
      </c>
      <c r="B1610" s="231" t="s">
        <v>1864</v>
      </c>
      <c r="C1610" s="618">
        <v>45077</v>
      </c>
      <c r="D1610" s="231" t="s">
        <v>4862</v>
      </c>
      <c r="E1610" s="231"/>
      <c r="F1610" s="619">
        <v>4</v>
      </c>
      <c r="G1610" s="231" t="s">
        <v>4851</v>
      </c>
      <c r="H1610" s="619"/>
      <c r="I1610" s="619"/>
      <c r="J1610" s="620">
        <v>1860000</v>
      </c>
      <c r="K1610" s="621" t="s">
        <v>1130</v>
      </c>
      <c r="L1610" s="621" t="s">
        <v>4852</v>
      </c>
      <c r="M1610" s="621" t="s">
        <v>4863</v>
      </c>
      <c r="N1610" s="621" t="s">
        <v>4754</v>
      </c>
      <c r="O1610" s="621"/>
      <c r="P1610" s="621"/>
    </row>
    <row r="1611" spans="1:16">
      <c r="A1611" s="232" t="s">
        <v>686</v>
      </c>
      <c r="B1611" s="232" t="s">
        <v>1864</v>
      </c>
      <c r="C1611" s="622">
        <v>45077</v>
      </c>
      <c r="D1611" s="232" t="s">
        <v>4862</v>
      </c>
      <c r="E1611" s="232"/>
      <c r="F1611" s="233">
        <v>1</v>
      </c>
      <c r="G1611" s="232" t="s">
        <v>4851</v>
      </c>
      <c r="H1611" s="233"/>
      <c r="I1611" s="233"/>
      <c r="J1611" s="623">
        <v>465000</v>
      </c>
      <c r="K1611" s="624" t="s">
        <v>1130</v>
      </c>
      <c r="L1611" s="624" t="s">
        <v>4852</v>
      </c>
      <c r="M1611" s="624" t="s">
        <v>4863</v>
      </c>
      <c r="N1611" s="624" t="s">
        <v>4754</v>
      </c>
      <c r="O1611" s="624"/>
      <c r="P1611" s="624"/>
    </row>
    <row r="1612" spans="1:16">
      <c r="A1612" s="231" t="s">
        <v>686</v>
      </c>
      <c r="B1612" s="231" t="s">
        <v>1864</v>
      </c>
      <c r="C1612" s="618">
        <v>45077</v>
      </c>
      <c r="D1612" s="231" t="s">
        <v>4862</v>
      </c>
      <c r="E1612" s="231"/>
      <c r="F1612" s="619">
        <v>50</v>
      </c>
      <c r="G1612" s="231" t="s">
        <v>4851</v>
      </c>
      <c r="H1612" s="619"/>
      <c r="I1612" s="619"/>
      <c r="J1612" s="620">
        <v>23250000</v>
      </c>
      <c r="K1612" s="621" t="s">
        <v>1130</v>
      </c>
      <c r="L1612" s="621" t="s">
        <v>4852</v>
      </c>
      <c r="M1612" s="621" t="s">
        <v>4863</v>
      </c>
      <c r="N1612" s="621" t="s">
        <v>4754</v>
      </c>
      <c r="O1612" s="621"/>
      <c r="P1612" s="621"/>
    </row>
    <row r="1613" spans="1:16">
      <c r="A1613" s="232" t="s">
        <v>686</v>
      </c>
      <c r="B1613" s="232" t="s">
        <v>1864</v>
      </c>
      <c r="C1613" s="622">
        <v>45077</v>
      </c>
      <c r="D1613" s="232" t="s">
        <v>4862</v>
      </c>
      <c r="E1613" s="232"/>
      <c r="F1613" s="233">
        <v>50</v>
      </c>
      <c r="G1613" s="232" t="s">
        <v>4851</v>
      </c>
      <c r="H1613" s="233"/>
      <c r="I1613" s="233"/>
      <c r="J1613" s="623">
        <v>23250000</v>
      </c>
      <c r="K1613" s="624" t="s">
        <v>1130</v>
      </c>
      <c r="L1613" s="624" t="s">
        <v>4852</v>
      </c>
      <c r="M1613" s="624" t="s">
        <v>4863</v>
      </c>
      <c r="N1613" s="624" t="s">
        <v>4754</v>
      </c>
      <c r="O1613" s="624"/>
      <c r="P1613" s="624"/>
    </row>
    <row r="1614" spans="1:16">
      <c r="A1614" s="231" t="s">
        <v>686</v>
      </c>
      <c r="B1614" s="231" t="s">
        <v>1864</v>
      </c>
      <c r="C1614" s="618">
        <v>45077</v>
      </c>
      <c r="D1614" s="231" t="s">
        <v>4862</v>
      </c>
      <c r="E1614" s="231"/>
      <c r="F1614" s="619">
        <v>30</v>
      </c>
      <c r="G1614" s="231" t="s">
        <v>4851</v>
      </c>
      <c r="H1614" s="619"/>
      <c r="I1614" s="619"/>
      <c r="J1614" s="620">
        <v>13950000</v>
      </c>
      <c r="K1614" s="621" t="s">
        <v>1130</v>
      </c>
      <c r="L1614" s="621" t="s">
        <v>4852</v>
      </c>
      <c r="M1614" s="621" t="s">
        <v>4863</v>
      </c>
      <c r="N1614" s="621" t="s">
        <v>4754</v>
      </c>
      <c r="O1614" s="621"/>
      <c r="P1614" s="621"/>
    </row>
    <row r="1615" spans="1:16">
      <c r="A1615" s="232" t="s">
        <v>686</v>
      </c>
      <c r="B1615" s="232" t="s">
        <v>1864</v>
      </c>
      <c r="C1615" s="622">
        <v>45077</v>
      </c>
      <c r="D1615" s="232" t="s">
        <v>4862</v>
      </c>
      <c r="E1615" s="232"/>
      <c r="F1615" s="233">
        <v>50</v>
      </c>
      <c r="G1615" s="232" t="s">
        <v>4851</v>
      </c>
      <c r="H1615" s="233"/>
      <c r="I1615" s="233"/>
      <c r="J1615" s="623">
        <v>23250000</v>
      </c>
      <c r="K1615" s="624" t="s">
        <v>1130</v>
      </c>
      <c r="L1615" s="624" t="s">
        <v>4852</v>
      </c>
      <c r="M1615" s="624" t="s">
        <v>4863</v>
      </c>
      <c r="N1615" s="624" t="s">
        <v>4754</v>
      </c>
      <c r="O1615" s="624"/>
      <c r="P1615" s="624"/>
    </row>
    <row r="1616" spans="1:16">
      <c r="A1616" s="231" t="s">
        <v>686</v>
      </c>
      <c r="B1616" s="231" t="s">
        <v>1864</v>
      </c>
      <c r="C1616" s="618">
        <v>45077</v>
      </c>
      <c r="D1616" s="231" t="s">
        <v>4869</v>
      </c>
      <c r="E1616" s="231"/>
      <c r="F1616" s="619">
        <v>4.78</v>
      </c>
      <c r="G1616" s="231" t="s">
        <v>4851</v>
      </c>
      <c r="H1616" s="619"/>
      <c r="I1616" s="619"/>
      <c r="J1616" s="620">
        <v>2055400</v>
      </c>
      <c r="K1616" s="621" t="s">
        <v>1130</v>
      </c>
      <c r="L1616" s="621" t="s">
        <v>4852</v>
      </c>
      <c r="M1616" s="621" t="s">
        <v>4858</v>
      </c>
      <c r="N1616" s="621" t="s">
        <v>4754</v>
      </c>
      <c r="O1616" s="621"/>
      <c r="P1616" s="621"/>
    </row>
    <row r="1617" spans="1:16">
      <c r="A1617" s="232" t="s">
        <v>686</v>
      </c>
      <c r="B1617" s="232" t="s">
        <v>1864</v>
      </c>
      <c r="C1617" s="622">
        <v>45077</v>
      </c>
      <c r="D1617" s="232" t="s">
        <v>4869</v>
      </c>
      <c r="E1617" s="232"/>
      <c r="F1617" s="233">
        <v>18.78</v>
      </c>
      <c r="G1617" s="232" t="s">
        <v>4851</v>
      </c>
      <c r="H1617" s="233"/>
      <c r="I1617" s="233"/>
      <c r="J1617" s="623">
        <v>8075400</v>
      </c>
      <c r="K1617" s="624" t="s">
        <v>1130</v>
      </c>
      <c r="L1617" s="624" t="s">
        <v>4852</v>
      </c>
      <c r="M1617" s="624" t="s">
        <v>4858</v>
      </c>
      <c r="N1617" s="624" t="s">
        <v>4754</v>
      </c>
      <c r="O1617" s="624"/>
      <c r="P1617" s="624"/>
    </row>
    <row r="1618" spans="1:16">
      <c r="A1618" s="231" t="s">
        <v>686</v>
      </c>
      <c r="B1618" s="231" t="s">
        <v>1864</v>
      </c>
      <c r="C1618" s="618">
        <v>45077</v>
      </c>
      <c r="D1618" s="231" t="s">
        <v>4869</v>
      </c>
      <c r="E1618" s="231"/>
      <c r="F1618" s="619">
        <v>22.52</v>
      </c>
      <c r="G1618" s="231" t="s">
        <v>4851</v>
      </c>
      <c r="H1618" s="619"/>
      <c r="I1618" s="619"/>
      <c r="J1618" s="620">
        <v>9683600</v>
      </c>
      <c r="K1618" s="621" t="s">
        <v>1130</v>
      </c>
      <c r="L1618" s="621" t="s">
        <v>4852</v>
      </c>
      <c r="M1618" s="621" t="s">
        <v>4858</v>
      </c>
      <c r="N1618" s="621" t="s">
        <v>4754</v>
      </c>
      <c r="O1618" s="621"/>
      <c r="P1618" s="621"/>
    </row>
    <row r="1619" spans="1:16">
      <c r="A1619" s="232" t="s">
        <v>686</v>
      </c>
      <c r="B1619" s="232" t="s">
        <v>1864</v>
      </c>
      <c r="C1619" s="622">
        <v>45077</v>
      </c>
      <c r="D1619" s="232" t="s">
        <v>4869</v>
      </c>
      <c r="E1619" s="232"/>
      <c r="F1619" s="233">
        <v>22.7</v>
      </c>
      <c r="G1619" s="232" t="s">
        <v>4851</v>
      </c>
      <c r="H1619" s="233"/>
      <c r="I1619" s="233"/>
      <c r="J1619" s="623">
        <v>9761000</v>
      </c>
      <c r="K1619" s="624" t="s">
        <v>1130</v>
      </c>
      <c r="L1619" s="624" t="s">
        <v>4852</v>
      </c>
      <c r="M1619" s="624" t="s">
        <v>4858</v>
      </c>
      <c r="N1619" s="624" t="s">
        <v>4754</v>
      </c>
      <c r="O1619" s="624"/>
      <c r="P1619" s="624"/>
    </row>
    <row r="1620" spans="1:16">
      <c r="A1620" s="231" t="s">
        <v>686</v>
      </c>
      <c r="B1620" s="231" t="s">
        <v>1864</v>
      </c>
      <c r="C1620" s="618">
        <v>45077</v>
      </c>
      <c r="D1620" s="231" t="s">
        <v>4869</v>
      </c>
      <c r="E1620" s="231"/>
      <c r="F1620" s="619">
        <v>15.22</v>
      </c>
      <c r="G1620" s="231" t="s">
        <v>4851</v>
      </c>
      <c r="H1620" s="619"/>
      <c r="I1620" s="619"/>
      <c r="J1620" s="620">
        <v>6544600</v>
      </c>
      <c r="K1620" s="621" t="s">
        <v>1130</v>
      </c>
      <c r="L1620" s="621" t="s">
        <v>4852</v>
      </c>
      <c r="M1620" s="621" t="s">
        <v>4858</v>
      </c>
      <c r="N1620" s="621" t="s">
        <v>4754</v>
      </c>
      <c r="O1620" s="621"/>
      <c r="P1620" s="621"/>
    </row>
    <row r="1621" spans="1:16">
      <c r="A1621" s="232" t="s">
        <v>686</v>
      </c>
      <c r="B1621" s="232" t="s">
        <v>1864</v>
      </c>
      <c r="C1621" s="622">
        <v>45077</v>
      </c>
      <c r="D1621" s="232" t="s">
        <v>4869</v>
      </c>
      <c r="E1621" s="232"/>
      <c r="F1621" s="233">
        <v>2</v>
      </c>
      <c r="G1621" s="232" t="s">
        <v>4851</v>
      </c>
      <c r="H1621" s="233"/>
      <c r="I1621" s="233"/>
      <c r="J1621" s="623">
        <v>860000</v>
      </c>
      <c r="K1621" s="624" t="s">
        <v>1130</v>
      </c>
      <c r="L1621" s="624" t="s">
        <v>4852</v>
      </c>
      <c r="M1621" s="624" t="s">
        <v>4858</v>
      </c>
      <c r="N1621" s="624" t="s">
        <v>4754</v>
      </c>
      <c r="O1621" s="624"/>
      <c r="P1621" s="624"/>
    </row>
    <row r="1622" spans="1:16">
      <c r="A1622" s="231" t="s">
        <v>686</v>
      </c>
      <c r="B1622" s="231" t="s">
        <v>1864</v>
      </c>
      <c r="C1622" s="618">
        <v>45077</v>
      </c>
      <c r="D1622" s="231" t="s">
        <v>4869</v>
      </c>
      <c r="E1622" s="231"/>
      <c r="F1622" s="619">
        <v>16</v>
      </c>
      <c r="G1622" s="231" t="s">
        <v>4851</v>
      </c>
      <c r="H1622" s="619"/>
      <c r="I1622" s="619"/>
      <c r="J1622" s="620">
        <v>6880000</v>
      </c>
      <c r="K1622" s="621" t="s">
        <v>1130</v>
      </c>
      <c r="L1622" s="621" t="s">
        <v>4852</v>
      </c>
      <c r="M1622" s="621" t="s">
        <v>4858</v>
      </c>
      <c r="N1622" s="621" t="s">
        <v>4754</v>
      </c>
      <c r="O1622" s="621"/>
      <c r="P1622" s="621"/>
    </row>
    <row r="1623" spans="1:16">
      <c r="A1623" s="232" t="s">
        <v>686</v>
      </c>
      <c r="B1623" s="232" t="s">
        <v>1864</v>
      </c>
      <c r="C1623" s="622">
        <v>45077</v>
      </c>
      <c r="D1623" s="232" t="s">
        <v>4870</v>
      </c>
      <c r="E1623" s="232"/>
      <c r="F1623" s="233">
        <v>44.2</v>
      </c>
      <c r="G1623" s="232" t="s">
        <v>4851</v>
      </c>
      <c r="H1623" s="233"/>
      <c r="I1623" s="233"/>
      <c r="J1623" s="623">
        <v>19006000</v>
      </c>
      <c r="K1623" s="624" t="s">
        <v>1130</v>
      </c>
      <c r="L1623" s="624" t="s">
        <v>4852</v>
      </c>
      <c r="M1623" s="624" t="s">
        <v>4871</v>
      </c>
      <c r="N1623" s="624" t="s">
        <v>4754</v>
      </c>
      <c r="O1623" s="624"/>
      <c r="P1623" s="624"/>
    </row>
    <row r="1624" spans="1:16">
      <c r="A1624" s="231" t="s">
        <v>686</v>
      </c>
      <c r="B1624" s="231" t="s">
        <v>1864</v>
      </c>
      <c r="C1624" s="618">
        <v>45077</v>
      </c>
      <c r="D1624" s="231" t="s">
        <v>4870</v>
      </c>
      <c r="E1624" s="231"/>
      <c r="F1624" s="619">
        <v>3</v>
      </c>
      <c r="G1624" s="231" t="s">
        <v>4851</v>
      </c>
      <c r="H1624" s="619"/>
      <c r="I1624" s="619"/>
      <c r="J1624" s="620">
        <v>1290000</v>
      </c>
      <c r="K1624" s="621" t="s">
        <v>1130</v>
      </c>
      <c r="L1624" s="621" t="s">
        <v>4852</v>
      </c>
      <c r="M1624" s="621" t="s">
        <v>4871</v>
      </c>
      <c r="N1624" s="621" t="s">
        <v>4754</v>
      </c>
      <c r="O1624" s="621"/>
      <c r="P1624" s="621"/>
    </row>
    <row r="1625" spans="1:16">
      <c r="A1625" s="232" t="s">
        <v>686</v>
      </c>
      <c r="B1625" s="232" t="s">
        <v>1864</v>
      </c>
      <c r="C1625" s="622">
        <v>45077</v>
      </c>
      <c r="D1625" s="232" t="s">
        <v>4870</v>
      </c>
      <c r="E1625" s="232"/>
      <c r="F1625" s="233">
        <v>7.8</v>
      </c>
      <c r="G1625" s="232" t="s">
        <v>4851</v>
      </c>
      <c r="H1625" s="233"/>
      <c r="I1625" s="233"/>
      <c r="J1625" s="623">
        <v>3354000</v>
      </c>
      <c r="K1625" s="624" t="s">
        <v>1130</v>
      </c>
      <c r="L1625" s="624" t="s">
        <v>4852</v>
      </c>
      <c r="M1625" s="624" t="s">
        <v>4871</v>
      </c>
      <c r="N1625" s="624" t="s">
        <v>4754</v>
      </c>
      <c r="O1625" s="624"/>
      <c r="P1625" s="624"/>
    </row>
    <row r="1626" spans="1:16">
      <c r="A1626" s="231" t="s">
        <v>686</v>
      </c>
      <c r="B1626" s="231" t="s">
        <v>1864</v>
      </c>
      <c r="C1626" s="618">
        <v>45077</v>
      </c>
      <c r="D1626" s="231" t="s">
        <v>4870</v>
      </c>
      <c r="E1626" s="231"/>
      <c r="F1626" s="619">
        <v>52</v>
      </c>
      <c r="G1626" s="231" t="s">
        <v>4851</v>
      </c>
      <c r="H1626" s="619"/>
      <c r="I1626" s="619"/>
      <c r="J1626" s="620">
        <v>22360000</v>
      </c>
      <c r="K1626" s="621" t="s">
        <v>1130</v>
      </c>
      <c r="L1626" s="621" t="s">
        <v>4852</v>
      </c>
      <c r="M1626" s="621" t="s">
        <v>4871</v>
      </c>
      <c r="N1626" s="621" t="s">
        <v>4754</v>
      </c>
      <c r="O1626" s="621"/>
      <c r="P1626" s="621"/>
    </row>
    <row r="1627" spans="1:16">
      <c r="A1627" s="232" t="s">
        <v>686</v>
      </c>
      <c r="B1627" s="232" t="s">
        <v>1864</v>
      </c>
      <c r="C1627" s="622">
        <v>45077</v>
      </c>
      <c r="D1627" s="232" t="s">
        <v>4870</v>
      </c>
      <c r="E1627" s="232"/>
      <c r="F1627" s="233">
        <v>4</v>
      </c>
      <c r="G1627" s="232" t="s">
        <v>4851</v>
      </c>
      <c r="H1627" s="233"/>
      <c r="I1627" s="233"/>
      <c r="J1627" s="623">
        <v>1720000</v>
      </c>
      <c r="K1627" s="624" t="s">
        <v>1130</v>
      </c>
      <c r="L1627" s="624" t="s">
        <v>4852</v>
      </c>
      <c r="M1627" s="624" t="s">
        <v>4871</v>
      </c>
      <c r="N1627" s="624" t="s">
        <v>4754</v>
      </c>
      <c r="O1627" s="624"/>
      <c r="P1627" s="624"/>
    </row>
    <row r="1628" spans="1:16">
      <c r="A1628" s="231" t="s">
        <v>686</v>
      </c>
      <c r="B1628" s="231" t="s">
        <v>1864</v>
      </c>
      <c r="C1628" s="618">
        <v>45077</v>
      </c>
      <c r="D1628" s="231" t="s">
        <v>4869</v>
      </c>
      <c r="E1628" s="231"/>
      <c r="F1628" s="619">
        <v>49</v>
      </c>
      <c r="G1628" s="231" t="s">
        <v>4851</v>
      </c>
      <c r="H1628" s="619"/>
      <c r="I1628" s="619"/>
      <c r="J1628" s="620">
        <v>21560000</v>
      </c>
      <c r="K1628" s="621" t="s">
        <v>1130</v>
      </c>
      <c r="L1628" s="621" t="s">
        <v>4852</v>
      </c>
      <c r="M1628" s="621" t="s">
        <v>4867</v>
      </c>
      <c r="N1628" s="621" t="s">
        <v>4754</v>
      </c>
      <c r="O1628" s="621"/>
      <c r="P1628" s="621"/>
    </row>
    <row r="1629" spans="1:16">
      <c r="A1629" s="232" t="s">
        <v>686</v>
      </c>
      <c r="B1629" s="232" t="s">
        <v>1864</v>
      </c>
      <c r="C1629" s="622">
        <v>45077</v>
      </c>
      <c r="D1629" s="232" t="s">
        <v>4869</v>
      </c>
      <c r="E1629" s="232"/>
      <c r="F1629" s="233">
        <v>49</v>
      </c>
      <c r="G1629" s="232" t="s">
        <v>4851</v>
      </c>
      <c r="H1629" s="233"/>
      <c r="I1629" s="233"/>
      <c r="J1629" s="623">
        <v>21560000</v>
      </c>
      <c r="K1629" s="624" t="s">
        <v>1130</v>
      </c>
      <c r="L1629" s="624" t="s">
        <v>4852</v>
      </c>
      <c r="M1629" s="624" t="s">
        <v>4867</v>
      </c>
      <c r="N1629" s="624" t="s">
        <v>4754</v>
      </c>
      <c r="O1629" s="624"/>
      <c r="P1629" s="624"/>
    </row>
    <row r="1630" spans="1:16">
      <c r="A1630" s="231" t="s">
        <v>686</v>
      </c>
      <c r="B1630" s="231" t="s">
        <v>1864</v>
      </c>
      <c r="C1630" s="618">
        <v>45077</v>
      </c>
      <c r="D1630" s="231" t="s">
        <v>4869</v>
      </c>
      <c r="E1630" s="231"/>
      <c r="F1630" s="619">
        <v>49</v>
      </c>
      <c r="G1630" s="231" t="s">
        <v>4851</v>
      </c>
      <c r="H1630" s="619"/>
      <c r="I1630" s="619"/>
      <c r="J1630" s="620">
        <v>21560000</v>
      </c>
      <c r="K1630" s="621" t="s">
        <v>1130</v>
      </c>
      <c r="L1630" s="621" t="s">
        <v>4852</v>
      </c>
      <c r="M1630" s="621" t="s">
        <v>4867</v>
      </c>
      <c r="N1630" s="621" t="s">
        <v>4754</v>
      </c>
      <c r="O1630" s="621"/>
      <c r="P1630" s="621"/>
    </row>
    <row r="1631" spans="1:16">
      <c r="A1631" s="232" t="s">
        <v>686</v>
      </c>
      <c r="B1631" s="232" t="s">
        <v>1864</v>
      </c>
      <c r="C1631" s="622">
        <v>45077</v>
      </c>
      <c r="D1631" s="232" t="s">
        <v>4870</v>
      </c>
      <c r="E1631" s="232"/>
      <c r="F1631" s="233">
        <v>55</v>
      </c>
      <c r="G1631" s="232" t="s">
        <v>4851</v>
      </c>
      <c r="H1631" s="233"/>
      <c r="I1631" s="233"/>
      <c r="J1631" s="623">
        <v>23650000</v>
      </c>
      <c r="K1631" s="624" t="s">
        <v>1130</v>
      </c>
      <c r="L1631" s="624" t="s">
        <v>4852</v>
      </c>
      <c r="M1631" s="624" t="s">
        <v>4871</v>
      </c>
      <c r="N1631" s="624" t="s">
        <v>4754</v>
      </c>
      <c r="O1631" s="624"/>
      <c r="P1631" s="624"/>
    </row>
    <row r="1632" spans="1:16">
      <c r="A1632" s="231" t="s">
        <v>686</v>
      </c>
      <c r="B1632" s="231" t="s">
        <v>1864</v>
      </c>
      <c r="C1632" s="618">
        <v>45077</v>
      </c>
      <c r="D1632" s="231" t="s">
        <v>4862</v>
      </c>
      <c r="E1632" s="231"/>
      <c r="F1632" s="619">
        <v>5</v>
      </c>
      <c r="G1632" s="231" t="s">
        <v>4851</v>
      </c>
      <c r="H1632" s="619"/>
      <c r="I1632" s="619"/>
      <c r="J1632" s="620">
        <v>2325000</v>
      </c>
      <c r="K1632" s="621" t="s">
        <v>1130</v>
      </c>
      <c r="L1632" s="621" t="s">
        <v>4852</v>
      </c>
      <c r="M1632" s="621" t="s">
        <v>4863</v>
      </c>
      <c r="N1632" s="621" t="s">
        <v>4754</v>
      </c>
      <c r="O1632" s="621"/>
      <c r="P1632" s="621"/>
    </row>
    <row r="1633" spans="1:16">
      <c r="A1633" s="232" t="s">
        <v>686</v>
      </c>
      <c r="B1633" s="232" t="s">
        <v>1864</v>
      </c>
      <c r="C1633" s="622">
        <v>45077</v>
      </c>
      <c r="D1633" s="232" t="s">
        <v>4862</v>
      </c>
      <c r="E1633" s="232"/>
      <c r="F1633" s="233">
        <v>3</v>
      </c>
      <c r="G1633" s="232" t="s">
        <v>4851</v>
      </c>
      <c r="H1633" s="233"/>
      <c r="I1633" s="233"/>
      <c r="J1633" s="623">
        <v>1395000</v>
      </c>
      <c r="K1633" s="624" t="s">
        <v>1130</v>
      </c>
      <c r="L1633" s="624" t="s">
        <v>4852</v>
      </c>
      <c r="M1633" s="624" t="s">
        <v>4863</v>
      </c>
      <c r="N1633" s="624" t="s">
        <v>4754</v>
      </c>
      <c r="O1633" s="624"/>
      <c r="P1633" s="624"/>
    </row>
    <row r="1634" spans="1:16">
      <c r="A1634" s="231" t="s">
        <v>686</v>
      </c>
      <c r="B1634" s="231" t="s">
        <v>1864</v>
      </c>
      <c r="C1634" s="618">
        <v>45077</v>
      </c>
      <c r="D1634" s="231" t="s">
        <v>4869</v>
      </c>
      <c r="E1634" s="231"/>
      <c r="F1634" s="619">
        <v>49</v>
      </c>
      <c r="G1634" s="231" t="s">
        <v>4851</v>
      </c>
      <c r="H1634" s="619"/>
      <c r="I1634" s="619"/>
      <c r="J1634" s="620">
        <v>21560000</v>
      </c>
      <c r="K1634" s="621" t="s">
        <v>1130</v>
      </c>
      <c r="L1634" s="621" t="s">
        <v>4852</v>
      </c>
      <c r="M1634" s="621" t="s">
        <v>4867</v>
      </c>
      <c r="N1634" s="621" t="s">
        <v>4754</v>
      </c>
      <c r="O1634" s="621"/>
      <c r="P1634" s="621"/>
    </row>
    <row r="1635" spans="1:16">
      <c r="A1635" s="232" t="s">
        <v>686</v>
      </c>
      <c r="B1635" s="232" t="s">
        <v>1864</v>
      </c>
      <c r="C1635" s="622">
        <v>45077</v>
      </c>
      <c r="D1635" s="232" t="s">
        <v>4862</v>
      </c>
      <c r="E1635" s="232"/>
      <c r="F1635" s="233">
        <v>32.909999999999997</v>
      </c>
      <c r="G1635" s="232" t="s">
        <v>4851</v>
      </c>
      <c r="H1635" s="233"/>
      <c r="I1635" s="233"/>
      <c r="J1635" s="623">
        <v>15303150</v>
      </c>
      <c r="K1635" s="624" t="s">
        <v>1130</v>
      </c>
      <c r="L1635" s="624" t="s">
        <v>4852</v>
      </c>
      <c r="M1635" s="624" t="s">
        <v>4863</v>
      </c>
      <c r="N1635" s="624" t="s">
        <v>4754</v>
      </c>
      <c r="O1635" s="624"/>
      <c r="P1635" s="624"/>
    </row>
    <row r="1636" spans="1:16">
      <c r="A1636" s="231" t="s">
        <v>686</v>
      </c>
      <c r="B1636" s="231" t="s">
        <v>1864</v>
      </c>
      <c r="C1636" s="618">
        <v>45077</v>
      </c>
      <c r="D1636" s="231" t="s">
        <v>4862</v>
      </c>
      <c r="E1636" s="231"/>
      <c r="F1636" s="619">
        <v>17.09</v>
      </c>
      <c r="G1636" s="231" t="s">
        <v>4851</v>
      </c>
      <c r="H1636" s="619"/>
      <c r="I1636" s="619"/>
      <c r="J1636" s="620">
        <v>7946850</v>
      </c>
      <c r="K1636" s="621" t="s">
        <v>1130</v>
      </c>
      <c r="L1636" s="621" t="s">
        <v>4852</v>
      </c>
      <c r="M1636" s="621" t="s">
        <v>4863</v>
      </c>
      <c r="N1636" s="621" t="s">
        <v>4754</v>
      </c>
      <c r="O1636" s="621"/>
      <c r="P1636" s="621"/>
    </row>
    <row r="1637" spans="1:16">
      <c r="A1637" s="232" t="s">
        <v>686</v>
      </c>
      <c r="B1637" s="232" t="s">
        <v>1864</v>
      </c>
      <c r="C1637" s="622">
        <v>45077</v>
      </c>
      <c r="D1637" s="232" t="s">
        <v>4862</v>
      </c>
      <c r="E1637" s="232"/>
      <c r="F1637" s="233">
        <v>50</v>
      </c>
      <c r="G1637" s="232" t="s">
        <v>4851</v>
      </c>
      <c r="H1637" s="233"/>
      <c r="I1637" s="233"/>
      <c r="J1637" s="623">
        <v>23250000</v>
      </c>
      <c r="K1637" s="624" t="s">
        <v>1130</v>
      </c>
      <c r="L1637" s="624" t="s">
        <v>4852</v>
      </c>
      <c r="M1637" s="624" t="s">
        <v>4863</v>
      </c>
      <c r="N1637" s="624" t="s">
        <v>4754</v>
      </c>
      <c r="O1637" s="624"/>
      <c r="P1637" s="624"/>
    </row>
    <row r="1638" spans="1:16">
      <c r="A1638" s="231" t="s">
        <v>686</v>
      </c>
      <c r="B1638" s="231" t="s">
        <v>1864</v>
      </c>
      <c r="C1638" s="618">
        <v>45077</v>
      </c>
      <c r="D1638" s="231" t="s">
        <v>4862</v>
      </c>
      <c r="E1638" s="231"/>
      <c r="F1638" s="619">
        <v>4</v>
      </c>
      <c r="G1638" s="231" t="s">
        <v>4851</v>
      </c>
      <c r="H1638" s="619"/>
      <c r="I1638" s="619"/>
      <c r="J1638" s="620">
        <v>1860000</v>
      </c>
      <c r="K1638" s="621" t="s">
        <v>1130</v>
      </c>
      <c r="L1638" s="621" t="s">
        <v>4852</v>
      </c>
      <c r="M1638" s="621" t="s">
        <v>4863</v>
      </c>
      <c r="N1638" s="621" t="s">
        <v>4754</v>
      </c>
      <c r="O1638" s="621"/>
      <c r="P1638" s="621"/>
    </row>
    <row r="1639" spans="1:16">
      <c r="A1639" s="232" t="s">
        <v>686</v>
      </c>
      <c r="B1639" s="232" t="s">
        <v>1864</v>
      </c>
      <c r="C1639" s="622">
        <v>45077</v>
      </c>
      <c r="D1639" s="232" t="s">
        <v>4870</v>
      </c>
      <c r="E1639" s="232"/>
      <c r="F1639" s="233">
        <v>50</v>
      </c>
      <c r="G1639" s="232" t="s">
        <v>4851</v>
      </c>
      <c r="H1639" s="233"/>
      <c r="I1639" s="233"/>
      <c r="J1639" s="623">
        <v>21500000</v>
      </c>
      <c r="K1639" s="624" t="s">
        <v>1130</v>
      </c>
      <c r="L1639" s="624" t="s">
        <v>4852</v>
      </c>
      <c r="M1639" s="624" t="s">
        <v>4871</v>
      </c>
      <c r="N1639" s="624" t="s">
        <v>4754</v>
      </c>
      <c r="O1639" s="624"/>
      <c r="P1639" s="624"/>
    </row>
    <row r="1640" spans="1:16">
      <c r="A1640" s="231" t="s">
        <v>686</v>
      </c>
      <c r="B1640" s="231" t="s">
        <v>1864</v>
      </c>
      <c r="C1640" s="618">
        <v>45077</v>
      </c>
      <c r="D1640" s="231" t="s">
        <v>4870</v>
      </c>
      <c r="E1640" s="231"/>
      <c r="F1640" s="619">
        <v>5</v>
      </c>
      <c r="G1640" s="231" t="s">
        <v>4851</v>
      </c>
      <c r="H1640" s="619"/>
      <c r="I1640" s="619"/>
      <c r="J1640" s="620">
        <v>2150000</v>
      </c>
      <c r="K1640" s="621" t="s">
        <v>1130</v>
      </c>
      <c r="L1640" s="621" t="s">
        <v>4852</v>
      </c>
      <c r="M1640" s="621" t="s">
        <v>4871</v>
      </c>
      <c r="N1640" s="621" t="s">
        <v>4754</v>
      </c>
      <c r="O1640" s="621"/>
      <c r="P1640" s="621"/>
    </row>
    <row r="1641" spans="1:16">
      <c r="A1641" s="232" t="s">
        <v>686</v>
      </c>
      <c r="B1641" s="232" t="s">
        <v>1864</v>
      </c>
      <c r="C1641" s="622">
        <v>45077</v>
      </c>
      <c r="D1641" s="232" t="s">
        <v>4870</v>
      </c>
      <c r="E1641" s="232"/>
      <c r="F1641" s="233">
        <v>50</v>
      </c>
      <c r="G1641" s="232" t="s">
        <v>4851</v>
      </c>
      <c r="H1641" s="233"/>
      <c r="I1641" s="233"/>
      <c r="J1641" s="623">
        <v>21500000</v>
      </c>
      <c r="K1641" s="624" t="s">
        <v>1130</v>
      </c>
      <c r="L1641" s="624" t="s">
        <v>4852</v>
      </c>
      <c r="M1641" s="624" t="s">
        <v>4871</v>
      </c>
      <c r="N1641" s="624" t="s">
        <v>4754</v>
      </c>
      <c r="O1641" s="624"/>
      <c r="P1641" s="624"/>
    </row>
    <row r="1642" spans="1:16">
      <c r="A1642" s="231" t="s">
        <v>686</v>
      </c>
      <c r="B1642" s="231" t="s">
        <v>1864</v>
      </c>
      <c r="C1642" s="618">
        <v>45077</v>
      </c>
      <c r="D1642" s="231" t="s">
        <v>4870</v>
      </c>
      <c r="E1642" s="231"/>
      <c r="F1642" s="619">
        <v>5</v>
      </c>
      <c r="G1642" s="231" t="s">
        <v>4851</v>
      </c>
      <c r="H1642" s="619"/>
      <c r="I1642" s="619"/>
      <c r="J1642" s="620">
        <v>2150000</v>
      </c>
      <c r="K1642" s="621" t="s">
        <v>1130</v>
      </c>
      <c r="L1642" s="621" t="s">
        <v>4852</v>
      </c>
      <c r="M1642" s="621" t="s">
        <v>4871</v>
      </c>
      <c r="N1642" s="621" t="s">
        <v>4754</v>
      </c>
      <c r="O1642" s="621"/>
      <c r="P1642" s="621"/>
    </row>
    <row r="1643" spans="1:16">
      <c r="A1643" s="232" t="s">
        <v>686</v>
      </c>
      <c r="B1643" s="232" t="s">
        <v>1864</v>
      </c>
      <c r="C1643" s="622">
        <v>45077</v>
      </c>
      <c r="D1643" s="232" t="s">
        <v>4869</v>
      </c>
      <c r="E1643" s="232"/>
      <c r="F1643" s="233">
        <v>3.78</v>
      </c>
      <c r="G1643" s="232" t="s">
        <v>4851</v>
      </c>
      <c r="H1643" s="233"/>
      <c r="I1643" s="233"/>
      <c r="J1643" s="623">
        <v>1663200</v>
      </c>
      <c r="K1643" s="624" t="s">
        <v>1130</v>
      </c>
      <c r="L1643" s="624" t="s">
        <v>4852</v>
      </c>
      <c r="M1643" s="624" t="s">
        <v>4867</v>
      </c>
      <c r="N1643" s="624" t="s">
        <v>4754</v>
      </c>
      <c r="O1643" s="624"/>
      <c r="P1643" s="624"/>
    </row>
    <row r="1644" spans="1:16">
      <c r="A1644" s="231" t="s">
        <v>686</v>
      </c>
      <c r="B1644" s="231" t="s">
        <v>1864</v>
      </c>
      <c r="C1644" s="618">
        <v>45077</v>
      </c>
      <c r="D1644" s="231" t="s">
        <v>4869</v>
      </c>
      <c r="E1644" s="231"/>
      <c r="F1644" s="619">
        <v>45.22</v>
      </c>
      <c r="G1644" s="231" t="s">
        <v>4851</v>
      </c>
      <c r="H1644" s="619"/>
      <c r="I1644" s="619"/>
      <c r="J1644" s="620">
        <v>19896800</v>
      </c>
      <c r="K1644" s="621" t="s">
        <v>1130</v>
      </c>
      <c r="L1644" s="621" t="s">
        <v>4852</v>
      </c>
      <c r="M1644" s="621" t="s">
        <v>4867</v>
      </c>
      <c r="N1644" s="621" t="s">
        <v>4754</v>
      </c>
      <c r="O1644" s="621"/>
      <c r="P1644" s="621"/>
    </row>
    <row r="1645" spans="1:16">
      <c r="A1645" s="232" t="s">
        <v>686</v>
      </c>
      <c r="B1645" s="232" t="s">
        <v>1864</v>
      </c>
      <c r="C1645" s="622">
        <v>45077</v>
      </c>
      <c r="D1645" s="232" t="s">
        <v>4862</v>
      </c>
      <c r="E1645" s="232"/>
      <c r="F1645" s="233">
        <v>50</v>
      </c>
      <c r="G1645" s="232" t="s">
        <v>4851</v>
      </c>
      <c r="H1645" s="233"/>
      <c r="I1645" s="233"/>
      <c r="J1645" s="623">
        <v>23250000</v>
      </c>
      <c r="K1645" s="624" t="s">
        <v>1130</v>
      </c>
      <c r="L1645" s="624" t="s">
        <v>4852</v>
      </c>
      <c r="M1645" s="624" t="s">
        <v>4863</v>
      </c>
      <c r="N1645" s="624" t="s">
        <v>4754</v>
      </c>
      <c r="O1645" s="624"/>
      <c r="P1645" s="624"/>
    </row>
    <row r="1646" spans="1:16">
      <c r="A1646" s="231" t="s">
        <v>686</v>
      </c>
      <c r="B1646" s="231" t="s">
        <v>1864</v>
      </c>
      <c r="C1646" s="618">
        <v>45077</v>
      </c>
      <c r="D1646" s="231" t="s">
        <v>4869</v>
      </c>
      <c r="E1646" s="231"/>
      <c r="F1646" s="619">
        <v>36</v>
      </c>
      <c r="G1646" s="231" t="s">
        <v>4851</v>
      </c>
      <c r="H1646" s="619"/>
      <c r="I1646" s="619"/>
      <c r="J1646" s="620">
        <v>15840000</v>
      </c>
      <c r="K1646" s="621" t="s">
        <v>1130</v>
      </c>
      <c r="L1646" s="621" t="s">
        <v>4852</v>
      </c>
      <c r="M1646" s="621" t="s">
        <v>4867</v>
      </c>
      <c r="N1646" s="621" t="s">
        <v>4754</v>
      </c>
      <c r="O1646" s="621"/>
      <c r="P1646" s="621"/>
    </row>
    <row r="1647" spans="1:16">
      <c r="A1647" s="232" t="s">
        <v>686</v>
      </c>
      <c r="B1647" s="232" t="s">
        <v>1864</v>
      </c>
      <c r="C1647" s="622">
        <v>45077</v>
      </c>
      <c r="D1647" s="232" t="s">
        <v>4869</v>
      </c>
      <c r="E1647" s="232"/>
      <c r="F1647" s="233">
        <v>3</v>
      </c>
      <c r="G1647" s="232" t="s">
        <v>4851</v>
      </c>
      <c r="H1647" s="233"/>
      <c r="I1647" s="233"/>
      <c r="J1647" s="623">
        <v>1320000</v>
      </c>
      <c r="K1647" s="624" t="s">
        <v>1130</v>
      </c>
      <c r="L1647" s="624" t="s">
        <v>4852</v>
      </c>
      <c r="M1647" s="624" t="s">
        <v>4867</v>
      </c>
      <c r="N1647" s="624" t="s">
        <v>4754</v>
      </c>
      <c r="O1647" s="624"/>
      <c r="P1647" s="624"/>
    </row>
    <row r="1648" spans="1:16">
      <c r="A1648" s="231" t="s">
        <v>686</v>
      </c>
      <c r="B1648" s="231" t="s">
        <v>1864</v>
      </c>
      <c r="C1648" s="618">
        <v>45077</v>
      </c>
      <c r="D1648" s="231" t="s">
        <v>4869</v>
      </c>
      <c r="E1648" s="231"/>
      <c r="F1648" s="619">
        <v>6</v>
      </c>
      <c r="G1648" s="231" t="s">
        <v>4851</v>
      </c>
      <c r="H1648" s="619"/>
      <c r="I1648" s="619"/>
      <c r="J1648" s="620">
        <v>2640000</v>
      </c>
      <c r="K1648" s="621" t="s">
        <v>1130</v>
      </c>
      <c r="L1648" s="621" t="s">
        <v>4852</v>
      </c>
      <c r="M1648" s="621" t="s">
        <v>4867</v>
      </c>
      <c r="N1648" s="621" t="s">
        <v>4754</v>
      </c>
      <c r="O1648" s="621"/>
      <c r="P1648" s="621"/>
    </row>
    <row r="1649" spans="1:16">
      <c r="A1649" s="232" t="s">
        <v>686</v>
      </c>
      <c r="B1649" s="232" t="s">
        <v>1864</v>
      </c>
      <c r="C1649" s="622">
        <v>45077</v>
      </c>
      <c r="D1649" s="232" t="s">
        <v>4869</v>
      </c>
      <c r="E1649" s="232"/>
      <c r="F1649" s="233">
        <v>49</v>
      </c>
      <c r="G1649" s="232" t="s">
        <v>4851</v>
      </c>
      <c r="H1649" s="233"/>
      <c r="I1649" s="233"/>
      <c r="J1649" s="623">
        <v>21560000</v>
      </c>
      <c r="K1649" s="624" t="s">
        <v>1130</v>
      </c>
      <c r="L1649" s="624" t="s">
        <v>4852</v>
      </c>
      <c r="M1649" s="624" t="s">
        <v>4867</v>
      </c>
      <c r="N1649" s="624" t="s">
        <v>4754</v>
      </c>
      <c r="O1649" s="624"/>
      <c r="P1649" s="624"/>
    </row>
    <row r="1650" spans="1:16">
      <c r="A1650" s="231" t="s">
        <v>686</v>
      </c>
      <c r="B1650" s="231" t="s">
        <v>1864</v>
      </c>
      <c r="C1650" s="618">
        <v>45077</v>
      </c>
      <c r="D1650" s="231" t="s">
        <v>4869</v>
      </c>
      <c r="E1650" s="231"/>
      <c r="F1650" s="619">
        <v>4</v>
      </c>
      <c r="G1650" s="231" t="s">
        <v>4851</v>
      </c>
      <c r="H1650" s="619"/>
      <c r="I1650" s="619"/>
      <c r="J1650" s="620">
        <v>1760000</v>
      </c>
      <c r="K1650" s="621" t="s">
        <v>1130</v>
      </c>
      <c r="L1650" s="621" t="s">
        <v>4852</v>
      </c>
      <c r="M1650" s="621" t="s">
        <v>4867</v>
      </c>
      <c r="N1650" s="621" t="s">
        <v>4754</v>
      </c>
      <c r="O1650" s="621"/>
      <c r="P1650" s="621"/>
    </row>
    <row r="1651" spans="1:16">
      <c r="A1651" s="232" t="s">
        <v>686</v>
      </c>
      <c r="B1651" s="232" t="s">
        <v>1864</v>
      </c>
      <c r="C1651" s="622">
        <v>45077</v>
      </c>
      <c r="D1651" s="232" t="s">
        <v>4869</v>
      </c>
      <c r="E1651" s="232"/>
      <c r="F1651" s="233">
        <v>49</v>
      </c>
      <c r="G1651" s="232" t="s">
        <v>4851</v>
      </c>
      <c r="H1651" s="233"/>
      <c r="I1651" s="233"/>
      <c r="J1651" s="623">
        <v>21560000</v>
      </c>
      <c r="K1651" s="624" t="s">
        <v>1130</v>
      </c>
      <c r="L1651" s="624" t="s">
        <v>4852</v>
      </c>
      <c r="M1651" s="624" t="s">
        <v>4867</v>
      </c>
      <c r="N1651" s="624" t="s">
        <v>4754</v>
      </c>
      <c r="O1651" s="624"/>
      <c r="P1651" s="624"/>
    </row>
    <row r="1652" spans="1:16">
      <c r="A1652" s="231" t="s">
        <v>686</v>
      </c>
      <c r="B1652" s="231" t="s">
        <v>1864</v>
      </c>
      <c r="C1652" s="618">
        <v>45077</v>
      </c>
      <c r="D1652" s="231" t="s">
        <v>4869</v>
      </c>
      <c r="E1652" s="231"/>
      <c r="F1652" s="619">
        <v>49</v>
      </c>
      <c r="G1652" s="231" t="s">
        <v>4851</v>
      </c>
      <c r="H1652" s="619"/>
      <c r="I1652" s="619"/>
      <c r="J1652" s="620">
        <v>21560000</v>
      </c>
      <c r="K1652" s="621" t="s">
        <v>1130</v>
      </c>
      <c r="L1652" s="621" t="s">
        <v>4852</v>
      </c>
      <c r="M1652" s="621" t="s">
        <v>4867</v>
      </c>
      <c r="N1652" s="621" t="s">
        <v>4754</v>
      </c>
      <c r="O1652" s="621"/>
      <c r="P1652" s="621"/>
    </row>
    <row r="1653" spans="1:16">
      <c r="A1653" s="232" t="s">
        <v>686</v>
      </c>
      <c r="B1653" s="232" t="s">
        <v>1864</v>
      </c>
      <c r="C1653" s="622">
        <v>45077</v>
      </c>
      <c r="D1653" s="232" t="s">
        <v>4869</v>
      </c>
      <c r="E1653" s="232"/>
      <c r="F1653" s="233">
        <v>49</v>
      </c>
      <c r="G1653" s="232" t="s">
        <v>4851</v>
      </c>
      <c r="H1653" s="233"/>
      <c r="I1653" s="233"/>
      <c r="J1653" s="623">
        <v>21560000</v>
      </c>
      <c r="K1653" s="624" t="s">
        <v>1130</v>
      </c>
      <c r="L1653" s="624" t="s">
        <v>4852</v>
      </c>
      <c r="M1653" s="624" t="s">
        <v>4867</v>
      </c>
      <c r="N1653" s="624" t="s">
        <v>4754</v>
      </c>
      <c r="O1653" s="624"/>
      <c r="P1653" s="624"/>
    </row>
    <row r="1654" spans="1:16">
      <c r="A1654" s="231" t="s">
        <v>686</v>
      </c>
      <c r="B1654" s="231" t="s">
        <v>1864</v>
      </c>
      <c r="C1654" s="618">
        <v>45077</v>
      </c>
      <c r="D1654" s="231" t="s">
        <v>4870</v>
      </c>
      <c r="E1654" s="231"/>
      <c r="F1654" s="619">
        <v>55</v>
      </c>
      <c r="G1654" s="231" t="s">
        <v>4851</v>
      </c>
      <c r="H1654" s="619"/>
      <c r="I1654" s="619"/>
      <c r="J1654" s="620">
        <v>23650000</v>
      </c>
      <c r="K1654" s="621" t="s">
        <v>1130</v>
      </c>
      <c r="L1654" s="621" t="s">
        <v>4852</v>
      </c>
      <c r="M1654" s="621" t="s">
        <v>4871</v>
      </c>
      <c r="N1654" s="621" t="s">
        <v>4754</v>
      </c>
      <c r="O1654" s="621"/>
      <c r="P1654" s="621"/>
    </row>
    <row r="1655" spans="1:16">
      <c r="A1655" s="232" t="s">
        <v>686</v>
      </c>
      <c r="B1655" s="232" t="s">
        <v>1864</v>
      </c>
      <c r="C1655" s="622">
        <v>45077</v>
      </c>
      <c r="D1655" s="232" t="s">
        <v>4870</v>
      </c>
      <c r="E1655" s="232"/>
      <c r="F1655" s="233">
        <v>33</v>
      </c>
      <c r="G1655" s="232" t="s">
        <v>4851</v>
      </c>
      <c r="H1655" s="233"/>
      <c r="I1655" s="233"/>
      <c r="J1655" s="623">
        <v>14190000</v>
      </c>
      <c r="K1655" s="624" t="s">
        <v>1130</v>
      </c>
      <c r="L1655" s="624" t="s">
        <v>4852</v>
      </c>
      <c r="M1655" s="624" t="s">
        <v>4871</v>
      </c>
      <c r="N1655" s="624" t="s">
        <v>4754</v>
      </c>
      <c r="O1655" s="624"/>
      <c r="P1655" s="624"/>
    </row>
    <row r="1656" spans="1:16">
      <c r="A1656" s="231" t="s">
        <v>686</v>
      </c>
      <c r="B1656" s="231" t="s">
        <v>1864</v>
      </c>
      <c r="C1656" s="618">
        <v>45077</v>
      </c>
      <c r="D1656" s="231" t="s">
        <v>4862</v>
      </c>
      <c r="E1656" s="231"/>
      <c r="F1656" s="619">
        <v>1</v>
      </c>
      <c r="G1656" s="231" t="s">
        <v>4851</v>
      </c>
      <c r="H1656" s="619"/>
      <c r="I1656" s="619"/>
      <c r="J1656" s="620">
        <v>465000</v>
      </c>
      <c r="K1656" s="621" t="s">
        <v>1130</v>
      </c>
      <c r="L1656" s="621" t="s">
        <v>4852</v>
      </c>
      <c r="M1656" s="621" t="s">
        <v>4863</v>
      </c>
      <c r="N1656" s="621" t="s">
        <v>4754</v>
      </c>
      <c r="O1656" s="621"/>
      <c r="P1656" s="621"/>
    </row>
    <row r="1657" spans="1:16">
      <c r="A1657" s="232" t="s">
        <v>686</v>
      </c>
      <c r="B1657" s="232" t="s">
        <v>1864</v>
      </c>
      <c r="C1657" s="622">
        <v>45077</v>
      </c>
      <c r="D1657" s="232" t="s">
        <v>4862</v>
      </c>
      <c r="E1657" s="232"/>
      <c r="F1657" s="233">
        <v>40</v>
      </c>
      <c r="G1657" s="232" t="s">
        <v>4851</v>
      </c>
      <c r="H1657" s="233"/>
      <c r="I1657" s="233"/>
      <c r="J1657" s="623">
        <v>18600000</v>
      </c>
      <c r="K1657" s="624" t="s">
        <v>1130</v>
      </c>
      <c r="L1657" s="624" t="s">
        <v>4852</v>
      </c>
      <c r="M1657" s="624" t="s">
        <v>4863</v>
      </c>
      <c r="N1657" s="624" t="s">
        <v>4754</v>
      </c>
      <c r="O1657" s="624"/>
      <c r="P1657" s="624"/>
    </row>
    <row r="1658" spans="1:16">
      <c r="A1658" s="231" t="s">
        <v>686</v>
      </c>
      <c r="B1658" s="231" t="s">
        <v>1864</v>
      </c>
      <c r="C1658" s="618">
        <v>45077</v>
      </c>
      <c r="D1658" s="231" t="s">
        <v>4862</v>
      </c>
      <c r="E1658" s="231"/>
      <c r="F1658" s="619">
        <v>56</v>
      </c>
      <c r="G1658" s="231" t="s">
        <v>4851</v>
      </c>
      <c r="H1658" s="619"/>
      <c r="I1658" s="619"/>
      <c r="J1658" s="620">
        <v>26040000</v>
      </c>
      <c r="K1658" s="621" t="s">
        <v>1130</v>
      </c>
      <c r="L1658" s="621" t="s">
        <v>4852</v>
      </c>
      <c r="M1658" s="621" t="s">
        <v>4863</v>
      </c>
      <c r="N1658" s="621" t="s">
        <v>4754</v>
      </c>
      <c r="O1658" s="621"/>
      <c r="P1658" s="621"/>
    </row>
    <row r="1659" spans="1:16">
      <c r="A1659" s="232" t="s">
        <v>686</v>
      </c>
      <c r="B1659" s="232" t="s">
        <v>1864</v>
      </c>
      <c r="C1659" s="622">
        <v>45077</v>
      </c>
      <c r="D1659" s="232" t="s">
        <v>4862</v>
      </c>
      <c r="E1659" s="232"/>
      <c r="F1659" s="233">
        <v>56</v>
      </c>
      <c r="G1659" s="232" t="s">
        <v>4851</v>
      </c>
      <c r="H1659" s="233"/>
      <c r="I1659" s="233"/>
      <c r="J1659" s="623">
        <v>26040000</v>
      </c>
      <c r="K1659" s="624" t="s">
        <v>1130</v>
      </c>
      <c r="L1659" s="624" t="s">
        <v>4852</v>
      </c>
      <c r="M1659" s="624" t="s">
        <v>4863</v>
      </c>
      <c r="N1659" s="624" t="s">
        <v>4754</v>
      </c>
      <c r="O1659" s="624"/>
      <c r="P1659" s="624"/>
    </row>
    <row r="1660" spans="1:16">
      <c r="A1660" s="231" t="s">
        <v>686</v>
      </c>
      <c r="B1660" s="231" t="s">
        <v>1864</v>
      </c>
      <c r="C1660" s="618">
        <v>45077</v>
      </c>
      <c r="D1660" s="231" t="s">
        <v>4862</v>
      </c>
      <c r="E1660" s="231"/>
      <c r="F1660" s="619">
        <v>50</v>
      </c>
      <c r="G1660" s="231" t="s">
        <v>4851</v>
      </c>
      <c r="H1660" s="619"/>
      <c r="I1660" s="619"/>
      <c r="J1660" s="620">
        <v>23250000</v>
      </c>
      <c r="K1660" s="621" t="s">
        <v>1130</v>
      </c>
      <c r="L1660" s="621" t="s">
        <v>4852</v>
      </c>
      <c r="M1660" s="621" t="s">
        <v>4863</v>
      </c>
      <c r="N1660" s="621" t="s">
        <v>4754</v>
      </c>
      <c r="O1660" s="621"/>
      <c r="P1660" s="621"/>
    </row>
    <row r="1661" spans="1:16">
      <c r="A1661" s="232" t="s">
        <v>686</v>
      </c>
      <c r="B1661" s="232" t="s">
        <v>1864</v>
      </c>
      <c r="C1661" s="622">
        <v>45077</v>
      </c>
      <c r="D1661" s="232" t="s">
        <v>4862</v>
      </c>
      <c r="E1661" s="232"/>
      <c r="F1661" s="233">
        <v>55</v>
      </c>
      <c r="G1661" s="232" t="s">
        <v>4851</v>
      </c>
      <c r="H1661" s="233"/>
      <c r="I1661" s="233"/>
      <c r="J1661" s="623">
        <v>25575000</v>
      </c>
      <c r="K1661" s="624" t="s">
        <v>1130</v>
      </c>
      <c r="L1661" s="624" t="s">
        <v>4852</v>
      </c>
      <c r="M1661" s="624" t="s">
        <v>4863</v>
      </c>
      <c r="N1661" s="624" t="s">
        <v>4754</v>
      </c>
      <c r="O1661" s="624"/>
      <c r="P1661" s="624"/>
    </row>
    <row r="1662" spans="1:16">
      <c r="A1662" s="231" t="s">
        <v>686</v>
      </c>
      <c r="B1662" s="231" t="s">
        <v>1864</v>
      </c>
      <c r="C1662" s="618">
        <v>45077</v>
      </c>
      <c r="D1662" s="231" t="s">
        <v>4862</v>
      </c>
      <c r="E1662" s="231"/>
      <c r="F1662" s="619">
        <v>52</v>
      </c>
      <c r="G1662" s="231" t="s">
        <v>4851</v>
      </c>
      <c r="H1662" s="619"/>
      <c r="I1662" s="619"/>
      <c r="J1662" s="620">
        <v>24180000</v>
      </c>
      <c r="K1662" s="621" t="s">
        <v>1130</v>
      </c>
      <c r="L1662" s="621" t="s">
        <v>4852</v>
      </c>
      <c r="M1662" s="621" t="s">
        <v>4863</v>
      </c>
      <c r="N1662" s="621" t="s">
        <v>4754</v>
      </c>
      <c r="O1662" s="621"/>
      <c r="P1662" s="621"/>
    </row>
    <row r="1663" spans="1:16">
      <c r="A1663" s="232" t="s">
        <v>686</v>
      </c>
      <c r="B1663" s="232" t="s">
        <v>1864</v>
      </c>
      <c r="C1663" s="622">
        <v>45077</v>
      </c>
      <c r="D1663" s="232" t="s">
        <v>4862</v>
      </c>
      <c r="E1663" s="232"/>
      <c r="F1663" s="233">
        <v>56</v>
      </c>
      <c r="G1663" s="232" t="s">
        <v>4851</v>
      </c>
      <c r="H1663" s="233"/>
      <c r="I1663" s="233"/>
      <c r="J1663" s="623">
        <v>26040000</v>
      </c>
      <c r="K1663" s="624" t="s">
        <v>1130</v>
      </c>
      <c r="L1663" s="624" t="s">
        <v>4852</v>
      </c>
      <c r="M1663" s="624" t="s">
        <v>4863</v>
      </c>
      <c r="N1663" s="624" t="s">
        <v>4754</v>
      </c>
      <c r="O1663" s="624"/>
      <c r="P1663" s="624"/>
    </row>
    <row r="1664" spans="1:16">
      <c r="A1664" s="231" t="s">
        <v>686</v>
      </c>
      <c r="B1664" s="231" t="s">
        <v>1864</v>
      </c>
      <c r="C1664" s="618">
        <v>45077</v>
      </c>
      <c r="D1664" s="231" t="s">
        <v>4869</v>
      </c>
      <c r="E1664" s="231"/>
      <c r="F1664" s="619">
        <v>49</v>
      </c>
      <c r="G1664" s="231" t="s">
        <v>4851</v>
      </c>
      <c r="H1664" s="619"/>
      <c r="I1664" s="619"/>
      <c r="J1664" s="620">
        <v>21560000</v>
      </c>
      <c r="K1664" s="621" t="s">
        <v>1130</v>
      </c>
      <c r="L1664" s="621" t="s">
        <v>4852</v>
      </c>
      <c r="M1664" s="621" t="s">
        <v>4867</v>
      </c>
      <c r="N1664" s="621" t="s">
        <v>4754</v>
      </c>
      <c r="O1664" s="621"/>
      <c r="P1664" s="621"/>
    </row>
    <row r="1665" spans="1:16">
      <c r="A1665" s="232" t="s">
        <v>686</v>
      </c>
      <c r="B1665" s="232" t="s">
        <v>1864</v>
      </c>
      <c r="C1665" s="622">
        <v>45077</v>
      </c>
      <c r="D1665" s="232" t="s">
        <v>4869</v>
      </c>
      <c r="E1665" s="232"/>
      <c r="F1665" s="233">
        <v>49</v>
      </c>
      <c r="G1665" s="232" t="s">
        <v>4851</v>
      </c>
      <c r="H1665" s="233"/>
      <c r="I1665" s="233"/>
      <c r="J1665" s="623">
        <v>21560000</v>
      </c>
      <c r="K1665" s="624" t="s">
        <v>1130</v>
      </c>
      <c r="L1665" s="624" t="s">
        <v>4852</v>
      </c>
      <c r="M1665" s="624" t="s">
        <v>4867</v>
      </c>
      <c r="N1665" s="624" t="s">
        <v>4754</v>
      </c>
      <c r="O1665" s="624"/>
      <c r="P1665" s="624"/>
    </row>
    <row r="1666" spans="1:16">
      <c r="A1666" s="231" t="s">
        <v>686</v>
      </c>
      <c r="B1666" s="231" t="s">
        <v>1864</v>
      </c>
      <c r="C1666" s="618">
        <v>45077</v>
      </c>
      <c r="D1666" s="231" t="s">
        <v>4870</v>
      </c>
      <c r="E1666" s="231"/>
      <c r="F1666" s="619">
        <v>20</v>
      </c>
      <c r="G1666" s="231" t="s">
        <v>4851</v>
      </c>
      <c r="H1666" s="619"/>
      <c r="I1666" s="619"/>
      <c r="J1666" s="620">
        <v>8600000</v>
      </c>
      <c r="K1666" s="621" t="s">
        <v>1130</v>
      </c>
      <c r="L1666" s="621" t="s">
        <v>4852</v>
      </c>
      <c r="M1666" s="621" t="s">
        <v>4871</v>
      </c>
      <c r="N1666" s="621" t="s">
        <v>4754</v>
      </c>
      <c r="O1666" s="621"/>
      <c r="P1666" s="621"/>
    </row>
    <row r="1667" spans="1:16">
      <c r="A1667" s="232" t="s">
        <v>686</v>
      </c>
      <c r="B1667" s="232" t="s">
        <v>1864</v>
      </c>
      <c r="C1667" s="622">
        <v>45077</v>
      </c>
      <c r="D1667" s="232" t="s">
        <v>4862</v>
      </c>
      <c r="E1667" s="232"/>
      <c r="F1667" s="233">
        <v>55</v>
      </c>
      <c r="G1667" s="232" t="s">
        <v>4851</v>
      </c>
      <c r="H1667" s="233"/>
      <c r="I1667" s="233"/>
      <c r="J1667" s="623">
        <v>25575000</v>
      </c>
      <c r="K1667" s="624" t="s">
        <v>1130</v>
      </c>
      <c r="L1667" s="624" t="s">
        <v>4852</v>
      </c>
      <c r="M1667" s="624" t="s">
        <v>4863</v>
      </c>
      <c r="N1667" s="624" t="s">
        <v>4754</v>
      </c>
      <c r="O1667" s="624"/>
      <c r="P1667" s="624"/>
    </row>
    <row r="1668" spans="1:16">
      <c r="A1668" s="231" t="s">
        <v>686</v>
      </c>
      <c r="B1668" s="231" t="s">
        <v>1864</v>
      </c>
      <c r="C1668" s="618">
        <v>45077</v>
      </c>
      <c r="D1668" s="231" t="s">
        <v>4862</v>
      </c>
      <c r="E1668" s="231"/>
      <c r="F1668" s="619">
        <v>38.090000000000003</v>
      </c>
      <c r="G1668" s="231" t="s">
        <v>4851</v>
      </c>
      <c r="H1668" s="619"/>
      <c r="I1668" s="619"/>
      <c r="J1668" s="620">
        <v>17711850</v>
      </c>
      <c r="K1668" s="621" t="s">
        <v>1130</v>
      </c>
      <c r="L1668" s="621" t="s">
        <v>4852</v>
      </c>
      <c r="M1668" s="621" t="s">
        <v>4863</v>
      </c>
      <c r="N1668" s="621" t="s">
        <v>4754</v>
      </c>
      <c r="O1668" s="621"/>
      <c r="P1668" s="621"/>
    </row>
    <row r="1669" spans="1:16">
      <c r="A1669" s="232" t="s">
        <v>686</v>
      </c>
      <c r="B1669" s="232" t="s">
        <v>1864</v>
      </c>
      <c r="C1669" s="622">
        <v>45077</v>
      </c>
      <c r="D1669" s="232" t="s">
        <v>4862</v>
      </c>
      <c r="E1669" s="232"/>
      <c r="F1669" s="233">
        <v>52</v>
      </c>
      <c r="G1669" s="232" t="s">
        <v>4851</v>
      </c>
      <c r="H1669" s="233"/>
      <c r="I1669" s="233"/>
      <c r="J1669" s="623">
        <v>24180000</v>
      </c>
      <c r="K1669" s="624" t="s">
        <v>1130</v>
      </c>
      <c r="L1669" s="624" t="s">
        <v>4852</v>
      </c>
      <c r="M1669" s="624" t="s">
        <v>4863</v>
      </c>
      <c r="N1669" s="624" t="s">
        <v>4754</v>
      </c>
      <c r="O1669" s="624"/>
      <c r="P1669" s="624"/>
    </row>
    <row r="1670" spans="1:16">
      <c r="A1670" s="231" t="s">
        <v>686</v>
      </c>
      <c r="B1670" s="231" t="s">
        <v>1864</v>
      </c>
      <c r="C1670" s="618">
        <v>45077</v>
      </c>
      <c r="D1670" s="231" t="s">
        <v>4862</v>
      </c>
      <c r="E1670" s="231"/>
      <c r="F1670" s="619">
        <v>50</v>
      </c>
      <c r="G1670" s="231" t="s">
        <v>4851</v>
      </c>
      <c r="H1670" s="619"/>
      <c r="I1670" s="619"/>
      <c r="J1670" s="620">
        <v>23250000</v>
      </c>
      <c r="K1670" s="621" t="s">
        <v>1130</v>
      </c>
      <c r="L1670" s="621" t="s">
        <v>4852</v>
      </c>
      <c r="M1670" s="621" t="s">
        <v>4863</v>
      </c>
      <c r="N1670" s="621" t="s">
        <v>4754</v>
      </c>
      <c r="O1670" s="621"/>
      <c r="P1670" s="621"/>
    </row>
    <row r="1671" spans="1:16">
      <c r="A1671" s="232" t="s">
        <v>686</v>
      </c>
      <c r="B1671" s="232" t="s">
        <v>1864</v>
      </c>
      <c r="C1671" s="622">
        <v>45077</v>
      </c>
      <c r="D1671" s="232" t="s">
        <v>4862</v>
      </c>
      <c r="E1671" s="232"/>
      <c r="F1671" s="233">
        <v>55</v>
      </c>
      <c r="G1671" s="232" t="s">
        <v>4851</v>
      </c>
      <c r="H1671" s="233"/>
      <c r="I1671" s="233"/>
      <c r="J1671" s="623">
        <v>25575000</v>
      </c>
      <c r="K1671" s="624" t="s">
        <v>1130</v>
      </c>
      <c r="L1671" s="624" t="s">
        <v>4852</v>
      </c>
      <c r="M1671" s="624" t="s">
        <v>4863</v>
      </c>
      <c r="N1671" s="624" t="s">
        <v>4754</v>
      </c>
      <c r="O1671" s="624"/>
      <c r="P1671" s="624"/>
    </row>
    <row r="1672" spans="1:16">
      <c r="A1672" s="231" t="s">
        <v>686</v>
      </c>
      <c r="B1672" s="231" t="s">
        <v>1864</v>
      </c>
      <c r="C1672" s="618">
        <v>45077</v>
      </c>
      <c r="D1672" s="231" t="s">
        <v>4862</v>
      </c>
      <c r="E1672" s="231"/>
      <c r="F1672" s="619">
        <v>56</v>
      </c>
      <c r="G1672" s="231" t="s">
        <v>4851</v>
      </c>
      <c r="H1672" s="619"/>
      <c r="I1672" s="619"/>
      <c r="J1672" s="620">
        <v>26040000</v>
      </c>
      <c r="K1672" s="621" t="s">
        <v>1130</v>
      </c>
      <c r="L1672" s="621" t="s">
        <v>4852</v>
      </c>
      <c r="M1672" s="621" t="s">
        <v>4863</v>
      </c>
      <c r="N1672" s="621" t="s">
        <v>4754</v>
      </c>
      <c r="O1672" s="621"/>
      <c r="P1672" s="621"/>
    </row>
    <row r="1673" spans="1:16">
      <c r="A1673" s="232" t="s">
        <v>686</v>
      </c>
      <c r="B1673" s="232" t="s">
        <v>1864</v>
      </c>
      <c r="C1673" s="622">
        <v>45077</v>
      </c>
      <c r="D1673" s="232" t="s">
        <v>4862</v>
      </c>
      <c r="E1673" s="232"/>
      <c r="F1673" s="233">
        <v>35</v>
      </c>
      <c r="G1673" s="232" t="s">
        <v>4851</v>
      </c>
      <c r="H1673" s="233"/>
      <c r="I1673" s="233"/>
      <c r="J1673" s="623">
        <v>16275000</v>
      </c>
      <c r="K1673" s="624" t="s">
        <v>1130</v>
      </c>
      <c r="L1673" s="624" t="s">
        <v>4852</v>
      </c>
      <c r="M1673" s="624" t="s">
        <v>4863</v>
      </c>
      <c r="N1673" s="624" t="s">
        <v>4754</v>
      </c>
      <c r="O1673" s="624"/>
      <c r="P1673" s="624"/>
    </row>
    <row r="1674" spans="1:16">
      <c r="A1674" s="231" t="s">
        <v>686</v>
      </c>
      <c r="B1674" s="231" t="s">
        <v>1864</v>
      </c>
      <c r="C1674" s="618">
        <v>45077</v>
      </c>
      <c r="D1674" s="231" t="s">
        <v>4862</v>
      </c>
      <c r="E1674" s="231"/>
      <c r="F1674" s="619">
        <v>17.91</v>
      </c>
      <c r="G1674" s="231" t="s">
        <v>4851</v>
      </c>
      <c r="H1674" s="619"/>
      <c r="I1674" s="619"/>
      <c r="J1674" s="620">
        <v>8328150</v>
      </c>
      <c r="K1674" s="621" t="s">
        <v>1130</v>
      </c>
      <c r="L1674" s="621" t="s">
        <v>4852</v>
      </c>
      <c r="M1674" s="621" t="s">
        <v>4863</v>
      </c>
      <c r="N1674" s="621" t="s">
        <v>4754</v>
      </c>
      <c r="O1674" s="621"/>
      <c r="P1674" s="621"/>
    </row>
    <row r="1675" spans="1:16">
      <c r="A1675" s="232" t="s">
        <v>686</v>
      </c>
      <c r="B1675" s="232" t="s">
        <v>1864</v>
      </c>
      <c r="C1675" s="622">
        <v>45077</v>
      </c>
      <c r="D1675" s="232" t="s">
        <v>4862</v>
      </c>
      <c r="E1675" s="232"/>
      <c r="F1675" s="233">
        <v>50</v>
      </c>
      <c r="G1675" s="232" t="s">
        <v>4851</v>
      </c>
      <c r="H1675" s="233"/>
      <c r="I1675" s="233"/>
      <c r="J1675" s="623">
        <v>23250000</v>
      </c>
      <c r="K1675" s="624" t="s">
        <v>1130</v>
      </c>
      <c r="L1675" s="624" t="s">
        <v>4852</v>
      </c>
      <c r="M1675" s="624" t="s">
        <v>4863</v>
      </c>
      <c r="N1675" s="624" t="s">
        <v>4754</v>
      </c>
      <c r="O1675" s="624"/>
      <c r="P1675" s="624"/>
    </row>
    <row r="1676" spans="1:16">
      <c r="A1676" s="231" t="s">
        <v>686</v>
      </c>
      <c r="B1676" s="231" t="s">
        <v>1864</v>
      </c>
      <c r="C1676" s="618">
        <v>45077</v>
      </c>
      <c r="D1676" s="231" t="s">
        <v>4869</v>
      </c>
      <c r="E1676" s="231"/>
      <c r="F1676" s="619">
        <v>30.25</v>
      </c>
      <c r="G1676" s="231" t="s">
        <v>4851</v>
      </c>
      <c r="H1676" s="619"/>
      <c r="I1676" s="619"/>
      <c r="J1676" s="620">
        <v>13310000</v>
      </c>
      <c r="K1676" s="621" t="s">
        <v>1130</v>
      </c>
      <c r="L1676" s="621" t="s">
        <v>4852</v>
      </c>
      <c r="M1676" s="621" t="s">
        <v>4867</v>
      </c>
      <c r="N1676" s="621" t="s">
        <v>4754</v>
      </c>
      <c r="O1676" s="621"/>
      <c r="P1676" s="621"/>
    </row>
    <row r="1677" spans="1:16">
      <c r="A1677" s="232" t="s">
        <v>686</v>
      </c>
      <c r="B1677" s="232" t="s">
        <v>1864</v>
      </c>
      <c r="C1677" s="622">
        <v>45077</v>
      </c>
      <c r="D1677" s="232" t="s">
        <v>4869</v>
      </c>
      <c r="E1677" s="232"/>
      <c r="F1677" s="233">
        <v>18.75</v>
      </c>
      <c r="G1677" s="232" t="s">
        <v>4851</v>
      </c>
      <c r="H1677" s="233"/>
      <c r="I1677" s="233"/>
      <c r="J1677" s="623">
        <v>8250000</v>
      </c>
      <c r="K1677" s="624" t="s">
        <v>1130</v>
      </c>
      <c r="L1677" s="624" t="s">
        <v>4852</v>
      </c>
      <c r="M1677" s="624" t="s">
        <v>4867</v>
      </c>
      <c r="N1677" s="624" t="s">
        <v>4754</v>
      </c>
      <c r="O1677" s="624"/>
      <c r="P1677" s="624"/>
    </row>
    <row r="1678" spans="1:16">
      <c r="A1678" s="231" t="s">
        <v>686</v>
      </c>
      <c r="B1678" s="231" t="s">
        <v>1864</v>
      </c>
      <c r="C1678" s="618">
        <v>45077</v>
      </c>
      <c r="D1678" s="231" t="s">
        <v>4869</v>
      </c>
      <c r="E1678" s="231"/>
      <c r="F1678" s="619">
        <v>49</v>
      </c>
      <c r="G1678" s="231" t="s">
        <v>4851</v>
      </c>
      <c r="H1678" s="619"/>
      <c r="I1678" s="619"/>
      <c r="J1678" s="620">
        <v>21560000</v>
      </c>
      <c r="K1678" s="621" t="s">
        <v>1130</v>
      </c>
      <c r="L1678" s="621" t="s">
        <v>4852</v>
      </c>
      <c r="M1678" s="621" t="s">
        <v>4867</v>
      </c>
      <c r="N1678" s="621" t="s">
        <v>4754</v>
      </c>
      <c r="O1678" s="621"/>
      <c r="P1678" s="621"/>
    </row>
    <row r="1679" spans="1:16">
      <c r="A1679" s="232" t="s">
        <v>686</v>
      </c>
      <c r="B1679" s="232" t="s">
        <v>1864</v>
      </c>
      <c r="C1679" s="622">
        <v>45077</v>
      </c>
      <c r="D1679" s="232" t="s">
        <v>4869</v>
      </c>
      <c r="E1679" s="232"/>
      <c r="F1679" s="233">
        <v>49</v>
      </c>
      <c r="G1679" s="232" t="s">
        <v>4851</v>
      </c>
      <c r="H1679" s="233"/>
      <c r="I1679" s="233"/>
      <c r="J1679" s="623">
        <v>21560000</v>
      </c>
      <c r="K1679" s="624" t="s">
        <v>1130</v>
      </c>
      <c r="L1679" s="624" t="s">
        <v>4852</v>
      </c>
      <c r="M1679" s="624" t="s">
        <v>4867</v>
      </c>
      <c r="N1679" s="624" t="s">
        <v>4754</v>
      </c>
      <c r="O1679" s="624"/>
      <c r="P1679" s="624"/>
    </row>
    <row r="1680" spans="1:16">
      <c r="A1680" s="231" t="s">
        <v>686</v>
      </c>
      <c r="B1680" s="231" t="s">
        <v>1864</v>
      </c>
      <c r="C1680" s="618">
        <v>45077</v>
      </c>
      <c r="D1680" s="231" t="s">
        <v>4862</v>
      </c>
      <c r="E1680" s="231"/>
      <c r="F1680" s="619">
        <v>53</v>
      </c>
      <c r="G1680" s="231" t="s">
        <v>4851</v>
      </c>
      <c r="H1680" s="619"/>
      <c r="I1680" s="619"/>
      <c r="J1680" s="620">
        <v>24645000</v>
      </c>
      <c r="K1680" s="621" t="s">
        <v>1130</v>
      </c>
      <c r="L1680" s="621" t="s">
        <v>4852</v>
      </c>
      <c r="M1680" s="621" t="s">
        <v>4863</v>
      </c>
      <c r="N1680" s="621" t="s">
        <v>4754</v>
      </c>
      <c r="O1680" s="621"/>
      <c r="P1680" s="621"/>
    </row>
    <row r="1681" spans="1:16">
      <c r="A1681" s="232" t="s">
        <v>686</v>
      </c>
      <c r="B1681" s="232" t="s">
        <v>1864</v>
      </c>
      <c r="C1681" s="622">
        <v>45077</v>
      </c>
      <c r="D1681" s="232" t="s">
        <v>4862</v>
      </c>
      <c r="E1681" s="232"/>
      <c r="F1681" s="233">
        <v>55</v>
      </c>
      <c r="G1681" s="232" t="s">
        <v>4851</v>
      </c>
      <c r="H1681" s="233"/>
      <c r="I1681" s="233"/>
      <c r="J1681" s="623">
        <v>25575000</v>
      </c>
      <c r="K1681" s="624" t="s">
        <v>1130</v>
      </c>
      <c r="L1681" s="624" t="s">
        <v>4852</v>
      </c>
      <c r="M1681" s="624" t="s">
        <v>4863</v>
      </c>
      <c r="N1681" s="624" t="s">
        <v>4754</v>
      </c>
      <c r="O1681" s="624"/>
      <c r="P1681" s="624"/>
    </row>
    <row r="1682" spans="1:16">
      <c r="A1682" s="231" t="s">
        <v>686</v>
      </c>
      <c r="B1682" s="231" t="s">
        <v>1864</v>
      </c>
      <c r="C1682" s="618">
        <v>45077</v>
      </c>
      <c r="D1682" s="231" t="s">
        <v>4862</v>
      </c>
      <c r="E1682" s="231"/>
      <c r="F1682" s="619">
        <v>50</v>
      </c>
      <c r="G1682" s="231" t="s">
        <v>4851</v>
      </c>
      <c r="H1682" s="619"/>
      <c r="I1682" s="619"/>
      <c r="J1682" s="620">
        <v>23250000</v>
      </c>
      <c r="K1682" s="621" t="s">
        <v>1130</v>
      </c>
      <c r="L1682" s="621" t="s">
        <v>4852</v>
      </c>
      <c r="M1682" s="621" t="s">
        <v>4863</v>
      </c>
      <c r="N1682" s="621" t="s">
        <v>4754</v>
      </c>
      <c r="O1682" s="621"/>
      <c r="P1682" s="621"/>
    </row>
    <row r="1683" spans="1:16">
      <c r="A1683" s="232" t="s">
        <v>686</v>
      </c>
      <c r="B1683" s="232" t="s">
        <v>1864</v>
      </c>
      <c r="C1683" s="622">
        <v>45077</v>
      </c>
      <c r="D1683" s="232" t="s">
        <v>4862</v>
      </c>
      <c r="E1683" s="232"/>
      <c r="F1683" s="233">
        <v>3</v>
      </c>
      <c r="G1683" s="232" t="s">
        <v>4851</v>
      </c>
      <c r="H1683" s="233"/>
      <c r="I1683" s="233"/>
      <c r="J1683" s="623">
        <v>1395000</v>
      </c>
      <c r="K1683" s="624" t="s">
        <v>1130</v>
      </c>
      <c r="L1683" s="624" t="s">
        <v>4852</v>
      </c>
      <c r="M1683" s="624" t="s">
        <v>4863</v>
      </c>
      <c r="N1683" s="624" t="s">
        <v>4754</v>
      </c>
      <c r="O1683" s="624"/>
      <c r="P1683" s="624"/>
    </row>
    <row r="1684" spans="1:16">
      <c r="A1684" s="231" t="s">
        <v>686</v>
      </c>
      <c r="B1684" s="231" t="s">
        <v>1864</v>
      </c>
      <c r="C1684" s="618">
        <v>45077</v>
      </c>
      <c r="D1684" s="231" t="s">
        <v>4862</v>
      </c>
      <c r="E1684" s="231"/>
      <c r="F1684" s="619">
        <v>56</v>
      </c>
      <c r="G1684" s="231" t="s">
        <v>4851</v>
      </c>
      <c r="H1684" s="619"/>
      <c r="I1684" s="619"/>
      <c r="J1684" s="620">
        <v>26040000</v>
      </c>
      <c r="K1684" s="621" t="s">
        <v>1130</v>
      </c>
      <c r="L1684" s="621" t="s">
        <v>4852</v>
      </c>
      <c r="M1684" s="621" t="s">
        <v>4863</v>
      </c>
      <c r="N1684" s="621" t="s">
        <v>4754</v>
      </c>
      <c r="O1684" s="621"/>
      <c r="P1684" s="621"/>
    </row>
    <row r="1685" spans="1:16">
      <c r="A1685" s="232" t="s">
        <v>686</v>
      </c>
      <c r="B1685" s="232" t="s">
        <v>1864</v>
      </c>
      <c r="C1685" s="622">
        <v>45077</v>
      </c>
      <c r="D1685" s="232" t="s">
        <v>4862</v>
      </c>
      <c r="E1685" s="232"/>
      <c r="F1685" s="233">
        <v>3</v>
      </c>
      <c r="G1685" s="232" t="s">
        <v>4851</v>
      </c>
      <c r="H1685" s="233"/>
      <c r="I1685" s="233"/>
      <c r="J1685" s="623">
        <v>1395000</v>
      </c>
      <c r="K1685" s="624" t="s">
        <v>1130</v>
      </c>
      <c r="L1685" s="624" t="s">
        <v>4852</v>
      </c>
      <c r="M1685" s="624" t="s">
        <v>4863</v>
      </c>
      <c r="N1685" s="624" t="s">
        <v>4754</v>
      </c>
      <c r="O1685" s="624"/>
      <c r="P1685" s="624"/>
    </row>
    <row r="1686" spans="1:16">
      <c r="A1686" s="231" t="s">
        <v>686</v>
      </c>
      <c r="B1686" s="231" t="s">
        <v>1864</v>
      </c>
      <c r="C1686" s="618">
        <v>45077</v>
      </c>
      <c r="D1686" s="231" t="s">
        <v>4869</v>
      </c>
      <c r="E1686" s="231"/>
      <c r="F1686" s="619">
        <v>49</v>
      </c>
      <c r="G1686" s="231" t="s">
        <v>4851</v>
      </c>
      <c r="H1686" s="619"/>
      <c r="I1686" s="619"/>
      <c r="J1686" s="620">
        <v>21560000</v>
      </c>
      <c r="K1686" s="621" t="s">
        <v>1130</v>
      </c>
      <c r="L1686" s="621" t="s">
        <v>4852</v>
      </c>
      <c r="M1686" s="621" t="s">
        <v>4867</v>
      </c>
      <c r="N1686" s="621" t="s">
        <v>4754</v>
      </c>
      <c r="O1686" s="621"/>
      <c r="P1686" s="621"/>
    </row>
    <row r="1687" spans="1:16">
      <c r="A1687" s="232" t="s">
        <v>686</v>
      </c>
      <c r="B1687" s="232" t="s">
        <v>1864</v>
      </c>
      <c r="C1687" s="622">
        <v>45077</v>
      </c>
      <c r="D1687" s="232" t="s">
        <v>4869</v>
      </c>
      <c r="E1687" s="232"/>
      <c r="F1687" s="233">
        <v>49</v>
      </c>
      <c r="G1687" s="232" t="s">
        <v>4851</v>
      </c>
      <c r="H1687" s="233"/>
      <c r="I1687" s="233"/>
      <c r="J1687" s="623">
        <v>21560000</v>
      </c>
      <c r="K1687" s="624" t="s">
        <v>1130</v>
      </c>
      <c r="L1687" s="624" t="s">
        <v>4852</v>
      </c>
      <c r="M1687" s="624" t="s">
        <v>4867</v>
      </c>
      <c r="N1687" s="624" t="s">
        <v>4754</v>
      </c>
      <c r="O1687" s="624"/>
      <c r="P1687" s="624"/>
    </row>
    <row r="1688" spans="1:16">
      <c r="A1688" s="231" t="s">
        <v>686</v>
      </c>
      <c r="B1688" s="231" t="s">
        <v>1864</v>
      </c>
      <c r="C1688" s="618">
        <v>45077</v>
      </c>
      <c r="D1688" s="231" t="s">
        <v>4869</v>
      </c>
      <c r="E1688" s="231"/>
      <c r="F1688" s="619">
        <v>37.479999999999997</v>
      </c>
      <c r="G1688" s="231" t="s">
        <v>4851</v>
      </c>
      <c r="H1688" s="619"/>
      <c r="I1688" s="619"/>
      <c r="J1688" s="620">
        <v>16491200</v>
      </c>
      <c r="K1688" s="621" t="s">
        <v>1130</v>
      </c>
      <c r="L1688" s="621" t="s">
        <v>4852</v>
      </c>
      <c r="M1688" s="621" t="s">
        <v>4867</v>
      </c>
      <c r="N1688" s="621" t="s">
        <v>4754</v>
      </c>
      <c r="O1688" s="621"/>
      <c r="P1688" s="621"/>
    </row>
    <row r="1689" spans="1:16">
      <c r="A1689" s="232" t="s">
        <v>686</v>
      </c>
      <c r="B1689" s="232" t="s">
        <v>1864</v>
      </c>
      <c r="C1689" s="622">
        <v>45077</v>
      </c>
      <c r="D1689" s="232" t="s">
        <v>4869</v>
      </c>
      <c r="E1689" s="232"/>
      <c r="F1689" s="233">
        <v>49</v>
      </c>
      <c r="G1689" s="232" t="s">
        <v>4851</v>
      </c>
      <c r="H1689" s="233"/>
      <c r="I1689" s="233"/>
      <c r="J1689" s="623">
        <v>21560000</v>
      </c>
      <c r="K1689" s="624" t="s">
        <v>1130</v>
      </c>
      <c r="L1689" s="624" t="s">
        <v>4852</v>
      </c>
      <c r="M1689" s="624" t="s">
        <v>4867</v>
      </c>
      <c r="N1689" s="624" t="s">
        <v>4754</v>
      </c>
      <c r="O1689" s="624"/>
      <c r="P1689" s="624"/>
    </row>
    <row r="1690" spans="1:16">
      <c r="A1690" s="231" t="s">
        <v>686</v>
      </c>
      <c r="B1690" s="231" t="s">
        <v>1864</v>
      </c>
      <c r="C1690" s="618">
        <v>45077</v>
      </c>
      <c r="D1690" s="231" t="s">
        <v>4869</v>
      </c>
      <c r="E1690" s="231"/>
      <c r="F1690" s="619">
        <v>11.52</v>
      </c>
      <c r="G1690" s="231" t="s">
        <v>4851</v>
      </c>
      <c r="H1690" s="619"/>
      <c r="I1690" s="619"/>
      <c r="J1690" s="620">
        <v>5068800</v>
      </c>
      <c r="K1690" s="621" t="s">
        <v>1130</v>
      </c>
      <c r="L1690" s="621" t="s">
        <v>4852</v>
      </c>
      <c r="M1690" s="621" t="s">
        <v>4867</v>
      </c>
      <c r="N1690" s="621" t="s">
        <v>4754</v>
      </c>
      <c r="O1690" s="621"/>
      <c r="P1690" s="621"/>
    </row>
    <row r="1691" spans="1:16">
      <c r="A1691" s="232" t="s">
        <v>686</v>
      </c>
      <c r="B1691" s="232" t="s">
        <v>1864</v>
      </c>
      <c r="C1691" s="622">
        <v>45077</v>
      </c>
      <c r="D1691" s="232" t="s">
        <v>4862</v>
      </c>
      <c r="E1691" s="232"/>
      <c r="F1691" s="233">
        <v>53</v>
      </c>
      <c r="G1691" s="232" t="s">
        <v>4851</v>
      </c>
      <c r="H1691" s="233"/>
      <c r="I1691" s="233"/>
      <c r="J1691" s="623">
        <v>24645000</v>
      </c>
      <c r="K1691" s="624" t="s">
        <v>1130</v>
      </c>
      <c r="L1691" s="624" t="s">
        <v>4852</v>
      </c>
      <c r="M1691" s="624" t="s">
        <v>4863</v>
      </c>
      <c r="N1691" s="624" t="s">
        <v>4754</v>
      </c>
      <c r="O1691" s="624"/>
      <c r="P1691" s="624"/>
    </row>
    <row r="1692" spans="1:16">
      <c r="A1692" s="231" t="s">
        <v>686</v>
      </c>
      <c r="B1692" s="231" t="s">
        <v>1864</v>
      </c>
      <c r="C1692" s="618">
        <v>45077</v>
      </c>
      <c r="D1692" s="231" t="s">
        <v>4862</v>
      </c>
      <c r="E1692" s="231"/>
      <c r="F1692" s="619">
        <v>3</v>
      </c>
      <c r="G1692" s="231" t="s">
        <v>4851</v>
      </c>
      <c r="H1692" s="619"/>
      <c r="I1692" s="619"/>
      <c r="J1692" s="620">
        <v>1395000</v>
      </c>
      <c r="K1692" s="621" t="s">
        <v>1130</v>
      </c>
      <c r="L1692" s="621" t="s">
        <v>4852</v>
      </c>
      <c r="M1692" s="621" t="s">
        <v>4863</v>
      </c>
      <c r="N1692" s="621" t="s">
        <v>4754</v>
      </c>
      <c r="O1692" s="621"/>
      <c r="P1692" s="621"/>
    </row>
    <row r="1693" spans="1:16">
      <c r="A1693" s="232" t="s">
        <v>686</v>
      </c>
      <c r="B1693" s="232" t="s">
        <v>1864</v>
      </c>
      <c r="C1693" s="622">
        <v>45077</v>
      </c>
      <c r="D1693" s="232" t="s">
        <v>4862</v>
      </c>
      <c r="E1693" s="232"/>
      <c r="F1693" s="233">
        <v>55</v>
      </c>
      <c r="G1693" s="232" t="s">
        <v>4851</v>
      </c>
      <c r="H1693" s="233"/>
      <c r="I1693" s="233"/>
      <c r="J1693" s="623">
        <v>25575000</v>
      </c>
      <c r="K1693" s="624" t="s">
        <v>1130</v>
      </c>
      <c r="L1693" s="624" t="s">
        <v>4852</v>
      </c>
      <c r="M1693" s="624" t="s">
        <v>4863</v>
      </c>
      <c r="N1693" s="624" t="s">
        <v>4754</v>
      </c>
      <c r="O1693" s="624"/>
      <c r="P1693" s="624"/>
    </row>
    <row r="1694" spans="1:16">
      <c r="A1694" s="231" t="s">
        <v>686</v>
      </c>
      <c r="B1694" s="231" t="s">
        <v>1864</v>
      </c>
      <c r="C1694" s="618">
        <v>45077</v>
      </c>
      <c r="D1694" s="231" t="s">
        <v>4855</v>
      </c>
      <c r="E1694" s="231"/>
      <c r="F1694" s="619">
        <v>16078.709000000001</v>
      </c>
      <c r="G1694" s="231" t="s">
        <v>4851</v>
      </c>
      <c r="H1694" s="619"/>
      <c r="I1694" s="619">
        <v>16882644.449999999</v>
      </c>
      <c r="J1694" s="620">
        <v>10497949089.25</v>
      </c>
      <c r="K1694" s="621" t="s">
        <v>991</v>
      </c>
      <c r="L1694" s="621" t="s">
        <v>4852</v>
      </c>
      <c r="M1694" s="621" t="s">
        <v>4853</v>
      </c>
      <c r="N1694" s="621" t="s">
        <v>4854</v>
      </c>
      <c r="O1694" s="621"/>
      <c r="P1694" s="621"/>
    </row>
    <row r="1695" spans="1:16">
      <c r="A1695" s="232" t="s">
        <v>686</v>
      </c>
      <c r="B1695" s="232" t="s">
        <v>1864</v>
      </c>
      <c r="C1695" s="622">
        <v>45077</v>
      </c>
      <c r="D1695" s="232" t="s">
        <v>4855</v>
      </c>
      <c r="E1695" s="232"/>
      <c r="F1695" s="233">
        <v>14739.507</v>
      </c>
      <c r="G1695" s="232" t="s">
        <v>4851</v>
      </c>
      <c r="H1695" s="233"/>
      <c r="I1695" s="233">
        <v>15476482.35</v>
      </c>
      <c r="J1695" s="623">
        <v>9623570778.3899994</v>
      </c>
      <c r="K1695" s="624" t="s">
        <v>991</v>
      </c>
      <c r="L1695" s="624" t="s">
        <v>4852</v>
      </c>
      <c r="M1695" s="624" t="s">
        <v>4853</v>
      </c>
      <c r="N1695" s="624" t="s">
        <v>4854</v>
      </c>
      <c r="O1695" s="624"/>
      <c r="P1695" s="624"/>
    </row>
    <row r="1696" spans="1:16">
      <c r="A1696" s="231" t="s">
        <v>686</v>
      </c>
      <c r="B1696" s="231" t="s">
        <v>1864</v>
      </c>
      <c r="C1696" s="618">
        <v>45077</v>
      </c>
      <c r="D1696" s="231" t="s">
        <v>4850</v>
      </c>
      <c r="E1696" s="231"/>
      <c r="F1696" s="619"/>
      <c r="G1696" s="231" t="s">
        <v>4851</v>
      </c>
      <c r="H1696" s="619"/>
      <c r="I1696" s="619">
        <v>-169982.79</v>
      </c>
      <c r="J1696" s="620">
        <v>-105698528.5</v>
      </c>
      <c r="K1696" s="621" t="s">
        <v>991</v>
      </c>
      <c r="L1696" s="621" t="s">
        <v>4852</v>
      </c>
      <c r="M1696" s="621" t="s">
        <v>4853</v>
      </c>
      <c r="N1696" s="621" t="s">
        <v>4854</v>
      </c>
      <c r="O1696" s="621"/>
      <c r="P1696" s="621"/>
    </row>
    <row r="1697" spans="1:16">
      <c r="A1697" s="232" t="s">
        <v>686</v>
      </c>
      <c r="B1697" s="232" t="s">
        <v>1864</v>
      </c>
      <c r="C1697" s="622">
        <v>45077</v>
      </c>
      <c r="D1697" s="232" t="s">
        <v>4850</v>
      </c>
      <c r="E1697" s="232"/>
      <c r="F1697" s="233"/>
      <c r="G1697" s="232" t="s">
        <v>4851</v>
      </c>
      <c r="H1697" s="233"/>
      <c r="I1697" s="233">
        <v>-140025.32</v>
      </c>
      <c r="J1697" s="623">
        <v>-87070404.459999993</v>
      </c>
      <c r="K1697" s="624" t="s">
        <v>991</v>
      </c>
      <c r="L1697" s="624" t="s">
        <v>4852</v>
      </c>
      <c r="M1697" s="624" t="s">
        <v>4853</v>
      </c>
      <c r="N1697" s="624" t="s">
        <v>4854</v>
      </c>
      <c r="O1697" s="624"/>
      <c r="P1697" s="624"/>
    </row>
    <row r="1698" spans="1:16">
      <c r="A1698" s="231" t="s">
        <v>686</v>
      </c>
      <c r="B1698" s="231" t="s">
        <v>1864</v>
      </c>
      <c r="C1698" s="618">
        <v>45077</v>
      </c>
      <c r="D1698" s="231" t="s">
        <v>4850</v>
      </c>
      <c r="E1698" s="231"/>
      <c r="F1698" s="619"/>
      <c r="G1698" s="231" t="s">
        <v>4851</v>
      </c>
      <c r="H1698" s="619"/>
      <c r="I1698" s="619">
        <v>-146959.4</v>
      </c>
      <c r="J1698" s="620">
        <v>-91382147.150000006</v>
      </c>
      <c r="K1698" s="621" t="s">
        <v>991</v>
      </c>
      <c r="L1698" s="621" t="s">
        <v>4852</v>
      </c>
      <c r="M1698" s="621" t="s">
        <v>4853</v>
      </c>
      <c r="N1698" s="621" t="s">
        <v>4854</v>
      </c>
      <c r="O1698" s="621"/>
      <c r="P1698" s="621"/>
    </row>
    <row r="1699" spans="1:16">
      <c r="A1699" s="232" t="s">
        <v>686</v>
      </c>
      <c r="B1699" s="232" t="s">
        <v>1864</v>
      </c>
      <c r="C1699" s="622">
        <v>45046</v>
      </c>
      <c r="D1699" s="232" t="s">
        <v>4862</v>
      </c>
      <c r="E1699" s="232"/>
      <c r="F1699" s="233">
        <v>55</v>
      </c>
      <c r="G1699" s="232" t="s">
        <v>4851</v>
      </c>
      <c r="H1699" s="233"/>
      <c r="I1699" s="233"/>
      <c r="J1699" s="623">
        <v>25575000</v>
      </c>
      <c r="K1699" s="624" t="s">
        <v>1130</v>
      </c>
      <c r="L1699" s="624" t="s">
        <v>4852</v>
      </c>
      <c r="M1699" s="624" t="s">
        <v>4863</v>
      </c>
      <c r="N1699" s="624" t="s">
        <v>4754</v>
      </c>
      <c r="O1699" s="624"/>
      <c r="P1699" s="624"/>
    </row>
    <row r="1700" spans="1:16">
      <c r="A1700" s="231" t="s">
        <v>686</v>
      </c>
      <c r="B1700" s="231" t="s">
        <v>1864</v>
      </c>
      <c r="C1700" s="618">
        <v>45046</v>
      </c>
      <c r="D1700" s="231" t="s">
        <v>4869</v>
      </c>
      <c r="E1700" s="231"/>
      <c r="F1700" s="619">
        <v>49</v>
      </c>
      <c r="G1700" s="231" t="s">
        <v>4851</v>
      </c>
      <c r="H1700" s="619"/>
      <c r="I1700" s="619"/>
      <c r="J1700" s="620">
        <v>21560000</v>
      </c>
      <c r="K1700" s="621" t="s">
        <v>1130</v>
      </c>
      <c r="L1700" s="621" t="s">
        <v>4852</v>
      </c>
      <c r="M1700" s="621" t="s">
        <v>4867</v>
      </c>
      <c r="N1700" s="621" t="s">
        <v>4754</v>
      </c>
      <c r="O1700" s="621"/>
      <c r="P1700" s="621"/>
    </row>
    <row r="1701" spans="1:16">
      <c r="A1701" s="232" t="s">
        <v>686</v>
      </c>
      <c r="B1701" s="232" t="s">
        <v>1864</v>
      </c>
      <c r="C1701" s="622">
        <v>45046</v>
      </c>
      <c r="D1701" s="232" t="s">
        <v>4869</v>
      </c>
      <c r="E1701" s="232"/>
      <c r="F1701" s="233">
        <v>49</v>
      </c>
      <c r="G1701" s="232" t="s">
        <v>4851</v>
      </c>
      <c r="H1701" s="233"/>
      <c r="I1701" s="233"/>
      <c r="J1701" s="623">
        <v>21560000</v>
      </c>
      <c r="K1701" s="624" t="s">
        <v>1130</v>
      </c>
      <c r="L1701" s="624" t="s">
        <v>4852</v>
      </c>
      <c r="M1701" s="624" t="s">
        <v>4867</v>
      </c>
      <c r="N1701" s="624" t="s">
        <v>4754</v>
      </c>
      <c r="O1701" s="624"/>
      <c r="P1701" s="624"/>
    </row>
    <row r="1702" spans="1:16">
      <c r="A1702" s="231" t="s">
        <v>686</v>
      </c>
      <c r="B1702" s="231" t="s">
        <v>1864</v>
      </c>
      <c r="C1702" s="618">
        <v>45046</v>
      </c>
      <c r="D1702" s="231" t="s">
        <v>4869</v>
      </c>
      <c r="E1702" s="231"/>
      <c r="F1702" s="619">
        <v>49</v>
      </c>
      <c r="G1702" s="231" t="s">
        <v>4851</v>
      </c>
      <c r="H1702" s="619"/>
      <c r="I1702" s="619"/>
      <c r="J1702" s="620">
        <v>21560000</v>
      </c>
      <c r="K1702" s="621" t="s">
        <v>1130</v>
      </c>
      <c r="L1702" s="621" t="s">
        <v>4852</v>
      </c>
      <c r="M1702" s="621" t="s">
        <v>4867</v>
      </c>
      <c r="N1702" s="621" t="s">
        <v>4754</v>
      </c>
      <c r="O1702" s="621"/>
      <c r="P1702" s="621"/>
    </row>
    <row r="1703" spans="1:16">
      <c r="A1703" s="232" t="s">
        <v>686</v>
      </c>
      <c r="B1703" s="232" t="s">
        <v>1864</v>
      </c>
      <c r="C1703" s="622">
        <v>45046</v>
      </c>
      <c r="D1703" s="232" t="s">
        <v>4869</v>
      </c>
      <c r="E1703" s="232"/>
      <c r="F1703" s="233">
        <v>47.37</v>
      </c>
      <c r="G1703" s="232" t="s">
        <v>4851</v>
      </c>
      <c r="H1703" s="233"/>
      <c r="I1703" s="233"/>
      <c r="J1703" s="623">
        <v>20842800</v>
      </c>
      <c r="K1703" s="624" t="s">
        <v>1130</v>
      </c>
      <c r="L1703" s="624" t="s">
        <v>4852</v>
      </c>
      <c r="M1703" s="624" t="s">
        <v>4867</v>
      </c>
      <c r="N1703" s="624" t="s">
        <v>4754</v>
      </c>
      <c r="O1703" s="624"/>
      <c r="P1703" s="624"/>
    </row>
    <row r="1704" spans="1:16">
      <c r="A1704" s="231" t="s">
        <v>686</v>
      </c>
      <c r="B1704" s="231" t="s">
        <v>1864</v>
      </c>
      <c r="C1704" s="618">
        <v>45046</v>
      </c>
      <c r="D1704" s="231" t="s">
        <v>4869</v>
      </c>
      <c r="E1704" s="231"/>
      <c r="F1704" s="619">
        <v>1.63</v>
      </c>
      <c r="G1704" s="231" t="s">
        <v>4851</v>
      </c>
      <c r="H1704" s="619"/>
      <c r="I1704" s="619"/>
      <c r="J1704" s="620">
        <v>717200</v>
      </c>
      <c r="K1704" s="621" t="s">
        <v>1130</v>
      </c>
      <c r="L1704" s="621" t="s">
        <v>4852</v>
      </c>
      <c r="M1704" s="621" t="s">
        <v>4867</v>
      </c>
      <c r="N1704" s="621" t="s">
        <v>4754</v>
      </c>
      <c r="O1704" s="621"/>
      <c r="P1704" s="621"/>
    </row>
    <row r="1705" spans="1:16">
      <c r="A1705" s="232" t="s">
        <v>686</v>
      </c>
      <c r="B1705" s="232" t="s">
        <v>1864</v>
      </c>
      <c r="C1705" s="622">
        <v>45046</v>
      </c>
      <c r="D1705" s="232" t="s">
        <v>4869</v>
      </c>
      <c r="E1705" s="232"/>
      <c r="F1705" s="233">
        <v>37.770000000000003</v>
      </c>
      <c r="G1705" s="232" t="s">
        <v>4851</v>
      </c>
      <c r="H1705" s="233"/>
      <c r="I1705" s="233"/>
      <c r="J1705" s="623">
        <v>16618800</v>
      </c>
      <c r="K1705" s="624" t="s">
        <v>1130</v>
      </c>
      <c r="L1705" s="624" t="s">
        <v>4852</v>
      </c>
      <c r="M1705" s="624" t="s">
        <v>4867</v>
      </c>
      <c r="N1705" s="624" t="s">
        <v>4754</v>
      </c>
      <c r="O1705" s="624"/>
      <c r="P1705" s="624"/>
    </row>
    <row r="1706" spans="1:16">
      <c r="A1706" s="231" t="s">
        <v>686</v>
      </c>
      <c r="B1706" s="231" t="s">
        <v>1864</v>
      </c>
      <c r="C1706" s="618">
        <v>45046</v>
      </c>
      <c r="D1706" s="231" t="s">
        <v>4869</v>
      </c>
      <c r="E1706" s="231"/>
      <c r="F1706" s="619">
        <v>11.23</v>
      </c>
      <c r="G1706" s="231" t="s">
        <v>4851</v>
      </c>
      <c r="H1706" s="619"/>
      <c r="I1706" s="619"/>
      <c r="J1706" s="620">
        <v>4941200</v>
      </c>
      <c r="K1706" s="621" t="s">
        <v>1130</v>
      </c>
      <c r="L1706" s="621" t="s">
        <v>4852</v>
      </c>
      <c r="M1706" s="621" t="s">
        <v>4867</v>
      </c>
      <c r="N1706" s="621" t="s">
        <v>4754</v>
      </c>
      <c r="O1706" s="621"/>
      <c r="P1706" s="621"/>
    </row>
    <row r="1707" spans="1:16">
      <c r="A1707" s="232" t="s">
        <v>686</v>
      </c>
      <c r="B1707" s="232" t="s">
        <v>1864</v>
      </c>
      <c r="C1707" s="622">
        <v>45046</v>
      </c>
      <c r="D1707" s="232" t="s">
        <v>4869</v>
      </c>
      <c r="E1707" s="232"/>
      <c r="F1707" s="233">
        <v>49</v>
      </c>
      <c r="G1707" s="232" t="s">
        <v>4851</v>
      </c>
      <c r="H1707" s="233"/>
      <c r="I1707" s="233"/>
      <c r="J1707" s="623">
        <v>21560000</v>
      </c>
      <c r="K1707" s="624" t="s">
        <v>1130</v>
      </c>
      <c r="L1707" s="624" t="s">
        <v>4852</v>
      </c>
      <c r="M1707" s="624" t="s">
        <v>4867</v>
      </c>
      <c r="N1707" s="624" t="s">
        <v>4754</v>
      </c>
      <c r="O1707" s="624"/>
      <c r="P1707" s="624"/>
    </row>
    <row r="1708" spans="1:16">
      <c r="A1708" s="231" t="s">
        <v>686</v>
      </c>
      <c r="B1708" s="231" t="s">
        <v>1864</v>
      </c>
      <c r="C1708" s="618">
        <v>45046</v>
      </c>
      <c r="D1708" s="231" t="s">
        <v>4862</v>
      </c>
      <c r="E1708" s="231"/>
      <c r="F1708" s="619">
        <v>55</v>
      </c>
      <c r="G1708" s="231" t="s">
        <v>4851</v>
      </c>
      <c r="H1708" s="619"/>
      <c r="I1708" s="619"/>
      <c r="J1708" s="620">
        <v>25575000</v>
      </c>
      <c r="K1708" s="621" t="s">
        <v>1130</v>
      </c>
      <c r="L1708" s="621" t="s">
        <v>4852</v>
      </c>
      <c r="M1708" s="621" t="s">
        <v>4863</v>
      </c>
      <c r="N1708" s="621" t="s">
        <v>4754</v>
      </c>
      <c r="O1708" s="621"/>
      <c r="P1708" s="621"/>
    </row>
    <row r="1709" spans="1:16">
      <c r="A1709" s="232" t="s">
        <v>686</v>
      </c>
      <c r="B1709" s="232" t="s">
        <v>1864</v>
      </c>
      <c r="C1709" s="622">
        <v>45046</v>
      </c>
      <c r="D1709" s="232" t="s">
        <v>4862</v>
      </c>
      <c r="E1709" s="232"/>
      <c r="F1709" s="233">
        <v>56</v>
      </c>
      <c r="G1709" s="232" t="s">
        <v>4851</v>
      </c>
      <c r="H1709" s="233"/>
      <c r="I1709" s="233"/>
      <c r="J1709" s="623">
        <v>26040000</v>
      </c>
      <c r="K1709" s="624" t="s">
        <v>1130</v>
      </c>
      <c r="L1709" s="624" t="s">
        <v>4852</v>
      </c>
      <c r="M1709" s="624" t="s">
        <v>4863</v>
      </c>
      <c r="N1709" s="624" t="s">
        <v>4754</v>
      </c>
      <c r="O1709" s="624"/>
      <c r="P1709" s="624"/>
    </row>
    <row r="1710" spans="1:16">
      <c r="A1710" s="231" t="s">
        <v>686</v>
      </c>
      <c r="B1710" s="231" t="s">
        <v>1864</v>
      </c>
      <c r="C1710" s="618">
        <v>45046</v>
      </c>
      <c r="D1710" s="231" t="s">
        <v>4862</v>
      </c>
      <c r="E1710" s="231"/>
      <c r="F1710" s="619">
        <v>43</v>
      </c>
      <c r="G1710" s="231" t="s">
        <v>4851</v>
      </c>
      <c r="H1710" s="619"/>
      <c r="I1710" s="619"/>
      <c r="J1710" s="620">
        <v>19995000</v>
      </c>
      <c r="K1710" s="621" t="s">
        <v>1130</v>
      </c>
      <c r="L1710" s="621" t="s">
        <v>4852</v>
      </c>
      <c r="M1710" s="621" t="s">
        <v>4863</v>
      </c>
      <c r="N1710" s="621" t="s">
        <v>4754</v>
      </c>
      <c r="O1710" s="621"/>
      <c r="P1710" s="621"/>
    </row>
    <row r="1711" spans="1:16">
      <c r="A1711" s="232" t="s">
        <v>686</v>
      </c>
      <c r="B1711" s="232" t="s">
        <v>1864</v>
      </c>
      <c r="C1711" s="622">
        <v>45046</v>
      </c>
      <c r="D1711" s="232" t="s">
        <v>4862</v>
      </c>
      <c r="E1711" s="232"/>
      <c r="F1711" s="233">
        <v>50</v>
      </c>
      <c r="G1711" s="232" t="s">
        <v>4851</v>
      </c>
      <c r="H1711" s="233"/>
      <c r="I1711" s="233"/>
      <c r="J1711" s="623">
        <v>23250000</v>
      </c>
      <c r="K1711" s="624" t="s">
        <v>1130</v>
      </c>
      <c r="L1711" s="624" t="s">
        <v>4852</v>
      </c>
      <c r="M1711" s="624" t="s">
        <v>4863</v>
      </c>
      <c r="N1711" s="624" t="s">
        <v>4754</v>
      </c>
      <c r="O1711" s="624"/>
      <c r="P1711" s="624"/>
    </row>
    <row r="1712" spans="1:16">
      <c r="A1712" s="231" t="s">
        <v>686</v>
      </c>
      <c r="B1712" s="231" t="s">
        <v>1864</v>
      </c>
      <c r="C1712" s="618">
        <v>45046</v>
      </c>
      <c r="D1712" s="231" t="s">
        <v>4862</v>
      </c>
      <c r="E1712" s="231"/>
      <c r="F1712" s="619">
        <v>50</v>
      </c>
      <c r="G1712" s="231" t="s">
        <v>4851</v>
      </c>
      <c r="H1712" s="619"/>
      <c r="I1712" s="619"/>
      <c r="J1712" s="620">
        <v>23250000</v>
      </c>
      <c r="K1712" s="621" t="s">
        <v>1130</v>
      </c>
      <c r="L1712" s="621" t="s">
        <v>4852</v>
      </c>
      <c r="M1712" s="621" t="s">
        <v>4863</v>
      </c>
      <c r="N1712" s="621" t="s">
        <v>4754</v>
      </c>
      <c r="O1712" s="621"/>
      <c r="P1712" s="621"/>
    </row>
    <row r="1713" spans="1:16">
      <c r="A1713" s="232" t="s">
        <v>686</v>
      </c>
      <c r="B1713" s="232" t="s">
        <v>1864</v>
      </c>
      <c r="C1713" s="622">
        <v>45046</v>
      </c>
      <c r="D1713" s="232" t="s">
        <v>4862</v>
      </c>
      <c r="E1713" s="232"/>
      <c r="F1713" s="233">
        <v>2</v>
      </c>
      <c r="G1713" s="232" t="s">
        <v>4851</v>
      </c>
      <c r="H1713" s="233"/>
      <c r="I1713" s="233"/>
      <c r="J1713" s="623">
        <v>930000</v>
      </c>
      <c r="K1713" s="624" t="s">
        <v>1130</v>
      </c>
      <c r="L1713" s="624" t="s">
        <v>4852</v>
      </c>
      <c r="M1713" s="624" t="s">
        <v>4863</v>
      </c>
      <c r="N1713" s="624" t="s">
        <v>4754</v>
      </c>
      <c r="O1713" s="624"/>
      <c r="P1713" s="624"/>
    </row>
    <row r="1714" spans="1:16">
      <c r="A1714" s="231" t="s">
        <v>686</v>
      </c>
      <c r="B1714" s="231" t="s">
        <v>1864</v>
      </c>
      <c r="C1714" s="618">
        <v>45046</v>
      </c>
      <c r="D1714" s="231" t="s">
        <v>4862</v>
      </c>
      <c r="E1714" s="231"/>
      <c r="F1714" s="619">
        <v>38</v>
      </c>
      <c r="G1714" s="231" t="s">
        <v>4851</v>
      </c>
      <c r="H1714" s="619"/>
      <c r="I1714" s="619"/>
      <c r="J1714" s="620">
        <v>17670000</v>
      </c>
      <c r="K1714" s="621" t="s">
        <v>1130</v>
      </c>
      <c r="L1714" s="621" t="s">
        <v>4852</v>
      </c>
      <c r="M1714" s="621" t="s">
        <v>4863</v>
      </c>
      <c r="N1714" s="621" t="s">
        <v>4754</v>
      </c>
      <c r="O1714" s="621"/>
      <c r="P1714" s="621"/>
    </row>
    <row r="1715" spans="1:16">
      <c r="A1715" s="232" t="s">
        <v>686</v>
      </c>
      <c r="B1715" s="232" t="s">
        <v>1864</v>
      </c>
      <c r="C1715" s="622">
        <v>45046</v>
      </c>
      <c r="D1715" s="232" t="s">
        <v>4862</v>
      </c>
      <c r="E1715" s="232"/>
      <c r="F1715" s="233">
        <v>2</v>
      </c>
      <c r="G1715" s="232" t="s">
        <v>4851</v>
      </c>
      <c r="H1715" s="233"/>
      <c r="I1715" s="233"/>
      <c r="J1715" s="623">
        <v>930000</v>
      </c>
      <c r="K1715" s="624" t="s">
        <v>1130</v>
      </c>
      <c r="L1715" s="624" t="s">
        <v>4852</v>
      </c>
      <c r="M1715" s="624" t="s">
        <v>4863</v>
      </c>
      <c r="N1715" s="624" t="s">
        <v>4754</v>
      </c>
      <c r="O1715" s="624"/>
      <c r="P1715" s="624"/>
    </row>
    <row r="1716" spans="1:16">
      <c r="A1716" s="231" t="s">
        <v>686</v>
      </c>
      <c r="B1716" s="231" t="s">
        <v>1864</v>
      </c>
      <c r="C1716" s="618">
        <v>45046</v>
      </c>
      <c r="D1716" s="231" t="s">
        <v>4875</v>
      </c>
      <c r="E1716" s="231" t="s">
        <v>5076</v>
      </c>
      <c r="F1716" s="619">
        <v>45</v>
      </c>
      <c r="G1716" s="231" t="s">
        <v>4851</v>
      </c>
      <c r="H1716" s="619"/>
      <c r="I1716" s="619"/>
      <c r="J1716" s="620">
        <v>12604213.76</v>
      </c>
      <c r="K1716" s="621" t="s">
        <v>1130</v>
      </c>
      <c r="L1716" s="621" t="s">
        <v>4852</v>
      </c>
      <c r="M1716" s="621" t="s">
        <v>4876</v>
      </c>
      <c r="N1716" s="621" t="s">
        <v>4866</v>
      </c>
      <c r="O1716" s="621"/>
      <c r="P1716" s="621"/>
    </row>
    <row r="1717" spans="1:16">
      <c r="A1717" s="232" t="s">
        <v>686</v>
      </c>
      <c r="B1717" s="232" t="s">
        <v>1864</v>
      </c>
      <c r="C1717" s="622">
        <v>45046</v>
      </c>
      <c r="D1717" s="232" t="s">
        <v>4875</v>
      </c>
      <c r="E1717" s="231" t="s">
        <v>5076</v>
      </c>
      <c r="F1717" s="233">
        <v>45</v>
      </c>
      <c r="G1717" s="232" t="s">
        <v>4851</v>
      </c>
      <c r="H1717" s="233"/>
      <c r="I1717" s="233"/>
      <c r="J1717" s="623">
        <v>12604213.76</v>
      </c>
      <c r="K1717" s="624" t="s">
        <v>1130</v>
      </c>
      <c r="L1717" s="624" t="s">
        <v>4852</v>
      </c>
      <c r="M1717" s="624" t="s">
        <v>4876</v>
      </c>
      <c r="N1717" s="624" t="s">
        <v>4866</v>
      </c>
      <c r="O1717" s="624"/>
      <c r="P1717" s="624"/>
    </row>
    <row r="1718" spans="1:16">
      <c r="A1718" s="231" t="s">
        <v>686</v>
      </c>
      <c r="B1718" s="231" t="s">
        <v>1864</v>
      </c>
      <c r="C1718" s="618">
        <v>45046</v>
      </c>
      <c r="D1718" s="231" t="s">
        <v>4875</v>
      </c>
      <c r="E1718" s="231" t="s">
        <v>5076</v>
      </c>
      <c r="F1718" s="619">
        <v>55</v>
      </c>
      <c r="G1718" s="231" t="s">
        <v>4851</v>
      </c>
      <c r="H1718" s="619"/>
      <c r="I1718" s="619"/>
      <c r="J1718" s="620">
        <v>15405150.15</v>
      </c>
      <c r="K1718" s="621" t="s">
        <v>1130</v>
      </c>
      <c r="L1718" s="621" t="s">
        <v>4852</v>
      </c>
      <c r="M1718" s="621" t="s">
        <v>4876</v>
      </c>
      <c r="N1718" s="621" t="s">
        <v>4866</v>
      </c>
      <c r="O1718" s="621"/>
      <c r="P1718" s="621"/>
    </row>
    <row r="1719" spans="1:16">
      <c r="A1719" s="232" t="s">
        <v>686</v>
      </c>
      <c r="B1719" s="232" t="s">
        <v>1864</v>
      </c>
      <c r="C1719" s="622">
        <v>45046</v>
      </c>
      <c r="D1719" s="232" t="s">
        <v>4875</v>
      </c>
      <c r="E1719" s="231" t="s">
        <v>5076</v>
      </c>
      <c r="F1719" s="233">
        <v>7</v>
      </c>
      <c r="G1719" s="232" t="s">
        <v>4851</v>
      </c>
      <c r="H1719" s="233"/>
      <c r="I1719" s="233"/>
      <c r="J1719" s="623">
        <v>1960655.47</v>
      </c>
      <c r="K1719" s="624" t="s">
        <v>1130</v>
      </c>
      <c r="L1719" s="624" t="s">
        <v>4852</v>
      </c>
      <c r="M1719" s="624" t="s">
        <v>4876</v>
      </c>
      <c r="N1719" s="624" t="s">
        <v>4866</v>
      </c>
      <c r="O1719" s="624"/>
      <c r="P1719" s="624"/>
    </row>
    <row r="1720" spans="1:16">
      <c r="A1720" s="231" t="s">
        <v>686</v>
      </c>
      <c r="B1720" s="231" t="s">
        <v>1864</v>
      </c>
      <c r="C1720" s="618">
        <v>45046</v>
      </c>
      <c r="D1720" s="231" t="s">
        <v>4875</v>
      </c>
      <c r="E1720" s="231" t="s">
        <v>5076</v>
      </c>
      <c r="F1720" s="619">
        <v>55</v>
      </c>
      <c r="G1720" s="231" t="s">
        <v>4851</v>
      </c>
      <c r="H1720" s="619"/>
      <c r="I1720" s="619"/>
      <c r="J1720" s="620">
        <v>15405150.15</v>
      </c>
      <c r="K1720" s="621" t="s">
        <v>1130</v>
      </c>
      <c r="L1720" s="621" t="s">
        <v>4852</v>
      </c>
      <c r="M1720" s="621" t="s">
        <v>4876</v>
      </c>
      <c r="N1720" s="621" t="s">
        <v>4866</v>
      </c>
      <c r="O1720" s="621"/>
      <c r="P1720" s="621"/>
    </row>
    <row r="1721" spans="1:16">
      <c r="A1721" s="232" t="s">
        <v>686</v>
      </c>
      <c r="B1721" s="232" t="s">
        <v>1864</v>
      </c>
      <c r="C1721" s="622">
        <v>45046</v>
      </c>
      <c r="D1721" s="232" t="s">
        <v>4875</v>
      </c>
      <c r="E1721" s="231" t="s">
        <v>5076</v>
      </c>
      <c r="F1721" s="233">
        <v>45</v>
      </c>
      <c r="G1721" s="232" t="s">
        <v>4851</v>
      </c>
      <c r="H1721" s="233"/>
      <c r="I1721" s="233"/>
      <c r="J1721" s="623">
        <v>12604213.76</v>
      </c>
      <c r="K1721" s="624" t="s">
        <v>1130</v>
      </c>
      <c r="L1721" s="624" t="s">
        <v>4852</v>
      </c>
      <c r="M1721" s="624" t="s">
        <v>4876</v>
      </c>
      <c r="N1721" s="624" t="s">
        <v>4866</v>
      </c>
      <c r="O1721" s="624"/>
      <c r="P1721" s="624"/>
    </row>
    <row r="1722" spans="1:16">
      <c r="A1722" s="231" t="s">
        <v>686</v>
      </c>
      <c r="B1722" s="231" t="s">
        <v>1864</v>
      </c>
      <c r="C1722" s="618">
        <v>45046</v>
      </c>
      <c r="D1722" s="231" t="s">
        <v>4875</v>
      </c>
      <c r="E1722" s="231" t="s">
        <v>5076</v>
      </c>
      <c r="F1722" s="619">
        <v>55</v>
      </c>
      <c r="G1722" s="231" t="s">
        <v>4851</v>
      </c>
      <c r="H1722" s="619"/>
      <c r="I1722" s="619"/>
      <c r="J1722" s="620">
        <v>15405150.15</v>
      </c>
      <c r="K1722" s="621" t="s">
        <v>1130</v>
      </c>
      <c r="L1722" s="621" t="s">
        <v>4852</v>
      </c>
      <c r="M1722" s="621" t="s">
        <v>4876</v>
      </c>
      <c r="N1722" s="621" t="s">
        <v>4866</v>
      </c>
      <c r="O1722" s="621"/>
      <c r="P1722" s="621"/>
    </row>
    <row r="1723" spans="1:16">
      <c r="A1723" s="232" t="s">
        <v>686</v>
      </c>
      <c r="B1723" s="232" t="s">
        <v>1864</v>
      </c>
      <c r="C1723" s="622">
        <v>45046</v>
      </c>
      <c r="D1723" s="232" t="s">
        <v>4875</v>
      </c>
      <c r="E1723" s="231" t="s">
        <v>5076</v>
      </c>
      <c r="F1723" s="233">
        <v>55</v>
      </c>
      <c r="G1723" s="232" t="s">
        <v>4851</v>
      </c>
      <c r="H1723" s="233"/>
      <c r="I1723" s="233"/>
      <c r="J1723" s="623">
        <v>15405150.15</v>
      </c>
      <c r="K1723" s="624" t="s">
        <v>1130</v>
      </c>
      <c r="L1723" s="624" t="s">
        <v>4852</v>
      </c>
      <c r="M1723" s="624" t="s">
        <v>4876</v>
      </c>
      <c r="N1723" s="624" t="s">
        <v>4866</v>
      </c>
      <c r="O1723" s="624"/>
      <c r="P1723" s="624"/>
    </row>
    <row r="1724" spans="1:16">
      <c r="A1724" s="231" t="s">
        <v>686</v>
      </c>
      <c r="B1724" s="231" t="s">
        <v>1864</v>
      </c>
      <c r="C1724" s="618">
        <v>45046</v>
      </c>
      <c r="D1724" s="231" t="s">
        <v>4875</v>
      </c>
      <c r="E1724" s="231" t="s">
        <v>5076</v>
      </c>
      <c r="F1724" s="619">
        <v>45</v>
      </c>
      <c r="G1724" s="231" t="s">
        <v>4851</v>
      </c>
      <c r="H1724" s="619"/>
      <c r="I1724" s="619"/>
      <c r="J1724" s="620">
        <v>12604213.76</v>
      </c>
      <c r="K1724" s="621" t="s">
        <v>1130</v>
      </c>
      <c r="L1724" s="621" t="s">
        <v>4852</v>
      </c>
      <c r="M1724" s="621" t="s">
        <v>4876</v>
      </c>
      <c r="N1724" s="621" t="s">
        <v>4866</v>
      </c>
      <c r="O1724" s="621"/>
      <c r="P1724" s="621"/>
    </row>
    <row r="1725" spans="1:16">
      <c r="A1725" s="232" t="s">
        <v>686</v>
      </c>
      <c r="B1725" s="232" t="s">
        <v>1864</v>
      </c>
      <c r="C1725" s="622">
        <v>45046</v>
      </c>
      <c r="D1725" s="232" t="s">
        <v>4875</v>
      </c>
      <c r="E1725" s="231" t="s">
        <v>5076</v>
      </c>
      <c r="F1725" s="233">
        <v>45</v>
      </c>
      <c r="G1725" s="232" t="s">
        <v>4851</v>
      </c>
      <c r="H1725" s="233"/>
      <c r="I1725" s="233"/>
      <c r="J1725" s="623">
        <v>12604213.76</v>
      </c>
      <c r="K1725" s="624" t="s">
        <v>1130</v>
      </c>
      <c r="L1725" s="624" t="s">
        <v>4852</v>
      </c>
      <c r="M1725" s="624" t="s">
        <v>4876</v>
      </c>
      <c r="N1725" s="624" t="s">
        <v>4866</v>
      </c>
      <c r="O1725" s="624"/>
      <c r="P1725" s="624"/>
    </row>
    <row r="1726" spans="1:16">
      <c r="A1726" s="231" t="s">
        <v>686</v>
      </c>
      <c r="B1726" s="231" t="s">
        <v>1864</v>
      </c>
      <c r="C1726" s="618">
        <v>45046</v>
      </c>
      <c r="D1726" s="231" t="s">
        <v>4875</v>
      </c>
      <c r="E1726" s="231" t="s">
        <v>5076</v>
      </c>
      <c r="F1726" s="619">
        <v>55</v>
      </c>
      <c r="G1726" s="231" t="s">
        <v>4851</v>
      </c>
      <c r="H1726" s="619"/>
      <c r="I1726" s="619"/>
      <c r="J1726" s="620">
        <v>15405150.15</v>
      </c>
      <c r="K1726" s="621" t="s">
        <v>1130</v>
      </c>
      <c r="L1726" s="621" t="s">
        <v>4852</v>
      </c>
      <c r="M1726" s="621" t="s">
        <v>4876</v>
      </c>
      <c r="N1726" s="621" t="s">
        <v>4866</v>
      </c>
      <c r="O1726" s="621"/>
      <c r="P1726" s="621"/>
    </row>
    <row r="1727" spans="1:16">
      <c r="A1727" s="232" t="s">
        <v>686</v>
      </c>
      <c r="B1727" s="232" t="s">
        <v>1864</v>
      </c>
      <c r="C1727" s="622">
        <v>45046</v>
      </c>
      <c r="D1727" s="232" t="s">
        <v>4875</v>
      </c>
      <c r="E1727" s="231" t="s">
        <v>5076</v>
      </c>
      <c r="F1727" s="233">
        <v>55</v>
      </c>
      <c r="G1727" s="232" t="s">
        <v>4851</v>
      </c>
      <c r="H1727" s="233"/>
      <c r="I1727" s="233"/>
      <c r="J1727" s="623">
        <v>15405150.15</v>
      </c>
      <c r="K1727" s="624" t="s">
        <v>1130</v>
      </c>
      <c r="L1727" s="624" t="s">
        <v>4852</v>
      </c>
      <c r="M1727" s="624" t="s">
        <v>4876</v>
      </c>
      <c r="N1727" s="624" t="s">
        <v>4866</v>
      </c>
      <c r="O1727" s="624"/>
      <c r="P1727" s="624"/>
    </row>
    <row r="1728" spans="1:16">
      <c r="A1728" s="231" t="s">
        <v>686</v>
      </c>
      <c r="B1728" s="231" t="s">
        <v>1864</v>
      </c>
      <c r="C1728" s="618">
        <v>45046</v>
      </c>
      <c r="D1728" s="231" t="s">
        <v>4875</v>
      </c>
      <c r="E1728" s="231" t="s">
        <v>5076</v>
      </c>
      <c r="F1728" s="619">
        <v>5</v>
      </c>
      <c r="G1728" s="231" t="s">
        <v>4851</v>
      </c>
      <c r="H1728" s="619"/>
      <c r="I1728" s="619"/>
      <c r="J1728" s="620">
        <v>1400468.2</v>
      </c>
      <c r="K1728" s="621" t="s">
        <v>1130</v>
      </c>
      <c r="L1728" s="621" t="s">
        <v>4852</v>
      </c>
      <c r="M1728" s="621" t="s">
        <v>4876</v>
      </c>
      <c r="N1728" s="621" t="s">
        <v>4866</v>
      </c>
      <c r="O1728" s="621"/>
      <c r="P1728" s="621"/>
    </row>
    <row r="1729" spans="1:16">
      <c r="A1729" s="232" t="s">
        <v>686</v>
      </c>
      <c r="B1729" s="232" t="s">
        <v>1864</v>
      </c>
      <c r="C1729" s="622">
        <v>45046</v>
      </c>
      <c r="D1729" s="232" t="s">
        <v>4875</v>
      </c>
      <c r="E1729" s="231" t="s">
        <v>5076</v>
      </c>
      <c r="F1729" s="233">
        <v>45</v>
      </c>
      <c r="G1729" s="232" t="s">
        <v>4851</v>
      </c>
      <c r="H1729" s="233"/>
      <c r="I1729" s="233"/>
      <c r="J1729" s="623">
        <v>12604213.76</v>
      </c>
      <c r="K1729" s="624" t="s">
        <v>1130</v>
      </c>
      <c r="L1729" s="624" t="s">
        <v>4852</v>
      </c>
      <c r="M1729" s="624" t="s">
        <v>4876</v>
      </c>
      <c r="N1729" s="624" t="s">
        <v>4866</v>
      </c>
      <c r="O1729" s="624"/>
      <c r="P1729" s="624"/>
    </row>
    <row r="1730" spans="1:16">
      <c r="A1730" s="231" t="s">
        <v>686</v>
      </c>
      <c r="B1730" s="231" t="s">
        <v>1864</v>
      </c>
      <c r="C1730" s="618">
        <v>45046</v>
      </c>
      <c r="D1730" s="231" t="s">
        <v>4875</v>
      </c>
      <c r="E1730" s="231" t="s">
        <v>5076</v>
      </c>
      <c r="F1730" s="619">
        <v>55</v>
      </c>
      <c r="G1730" s="231" t="s">
        <v>4851</v>
      </c>
      <c r="H1730" s="619"/>
      <c r="I1730" s="619"/>
      <c r="J1730" s="620">
        <v>15405150.15</v>
      </c>
      <c r="K1730" s="621" t="s">
        <v>1130</v>
      </c>
      <c r="L1730" s="621" t="s">
        <v>4852</v>
      </c>
      <c r="M1730" s="621" t="s">
        <v>4876</v>
      </c>
      <c r="N1730" s="621" t="s">
        <v>4866</v>
      </c>
      <c r="O1730" s="621"/>
      <c r="P1730" s="621"/>
    </row>
    <row r="1731" spans="1:16">
      <c r="A1731" s="232" t="s">
        <v>686</v>
      </c>
      <c r="B1731" s="232" t="s">
        <v>1864</v>
      </c>
      <c r="C1731" s="622">
        <v>45046</v>
      </c>
      <c r="D1731" s="232" t="s">
        <v>4875</v>
      </c>
      <c r="E1731" s="231" t="s">
        <v>5076</v>
      </c>
      <c r="F1731" s="233">
        <v>55</v>
      </c>
      <c r="G1731" s="232" t="s">
        <v>4851</v>
      </c>
      <c r="H1731" s="233"/>
      <c r="I1731" s="233"/>
      <c r="J1731" s="623">
        <v>15405150.15</v>
      </c>
      <c r="K1731" s="624" t="s">
        <v>1130</v>
      </c>
      <c r="L1731" s="624" t="s">
        <v>4852</v>
      </c>
      <c r="M1731" s="624" t="s">
        <v>4876</v>
      </c>
      <c r="N1731" s="624" t="s">
        <v>4866</v>
      </c>
      <c r="O1731" s="624"/>
      <c r="P1731" s="624"/>
    </row>
    <row r="1732" spans="1:16">
      <c r="A1732" s="231" t="s">
        <v>686</v>
      </c>
      <c r="B1732" s="231" t="s">
        <v>1864</v>
      </c>
      <c r="C1732" s="618">
        <v>45046</v>
      </c>
      <c r="D1732" s="231" t="s">
        <v>4875</v>
      </c>
      <c r="E1732" s="231" t="s">
        <v>5076</v>
      </c>
      <c r="F1732" s="619">
        <v>55</v>
      </c>
      <c r="G1732" s="231" t="s">
        <v>4851</v>
      </c>
      <c r="H1732" s="619"/>
      <c r="I1732" s="619"/>
      <c r="J1732" s="620">
        <v>15405150.15</v>
      </c>
      <c r="K1732" s="621" t="s">
        <v>1130</v>
      </c>
      <c r="L1732" s="621" t="s">
        <v>4852</v>
      </c>
      <c r="M1732" s="621" t="s">
        <v>4876</v>
      </c>
      <c r="N1732" s="621" t="s">
        <v>4866</v>
      </c>
      <c r="O1732" s="621"/>
      <c r="P1732" s="621"/>
    </row>
    <row r="1733" spans="1:16">
      <c r="A1733" s="232" t="s">
        <v>686</v>
      </c>
      <c r="B1733" s="232" t="s">
        <v>1864</v>
      </c>
      <c r="C1733" s="622">
        <v>45046</v>
      </c>
      <c r="D1733" s="232" t="s">
        <v>4875</v>
      </c>
      <c r="E1733" s="231" t="s">
        <v>5076</v>
      </c>
      <c r="F1733" s="233">
        <v>45</v>
      </c>
      <c r="G1733" s="232" t="s">
        <v>4851</v>
      </c>
      <c r="H1733" s="233"/>
      <c r="I1733" s="233"/>
      <c r="J1733" s="623">
        <v>12604213.76</v>
      </c>
      <c r="K1733" s="624" t="s">
        <v>1130</v>
      </c>
      <c r="L1733" s="624" t="s">
        <v>4852</v>
      </c>
      <c r="M1733" s="624" t="s">
        <v>4876</v>
      </c>
      <c r="N1733" s="624" t="s">
        <v>4866</v>
      </c>
      <c r="O1733" s="624"/>
      <c r="P1733" s="624"/>
    </row>
    <row r="1734" spans="1:16">
      <c r="A1734" s="231" t="s">
        <v>686</v>
      </c>
      <c r="B1734" s="231" t="s">
        <v>1864</v>
      </c>
      <c r="C1734" s="618">
        <v>45046</v>
      </c>
      <c r="D1734" s="231" t="s">
        <v>4875</v>
      </c>
      <c r="E1734" s="231" t="s">
        <v>5076</v>
      </c>
      <c r="F1734" s="619">
        <v>45</v>
      </c>
      <c r="G1734" s="231" t="s">
        <v>4851</v>
      </c>
      <c r="H1734" s="619"/>
      <c r="I1734" s="619"/>
      <c r="J1734" s="620">
        <v>12604213.76</v>
      </c>
      <c r="K1734" s="621" t="s">
        <v>1130</v>
      </c>
      <c r="L1734" s="621" t="s">
        <v>4852</v>
      </c>
      <c r="M1734" s="621" t="s">
        <v>4876</v>
      </c>
      <c r="N1734" s="621" t="s">
        <v>4866</v>
      </c>
      <c r="O1734" s="621"/>
      <c r="P1734" s="621"/>
    </row>
    <row r="1735" spans="1:16">
      <c r="A1735" s="232" t="s">
        <v>686</v>
      </c>
      <c r="B1735" s="232" t="s">
        <v>1864</v>
      </c>
      <c r="C1735" s="622">
        <v>45046</v>
      </c>
      <c r="D1735" s="232" t="s">
        <v>4875</v>
      </c>
      <c r="E1735" s="231" t="s">
        <v>5076</v>
      </c>
      <c r="F1735" s="233">
        <v>5</v>
      </c>
      <c r="G1735" s="232" t="s">
        <v>4851</v>
      </c>
      <c r="H1735" s="233"/>
      <c r="I1735" s="233"/>
      <c r="J1735" s="623">
        <v>1400468.2</v>
      </c>
      <c r="K1735" s="624" t="s">
        <v>1130</v>
      </c>
      <c r="L1735" s="624" t="s">
        <v>4852</v>
      </c>
      <c r="M1735" s="624" t="s">
        <v>4876</v>
      </c>
      <c r="N1735" s="624" t="s">
        <v>4866</v>
      </c>
      <c r="O1735" s="624"/>
      <c r="P1735" s="624"/>
    </row>
    <row r="1736" spans="1:16">
      <c r="A1736" s="231" t="s">
        <v>686</v>
      </c>
      <c r="B1736" s="231" t="s">
        <v>1864</v>
      </c>
      <c r="C1736" s="618">
        <v>45046</v>
      </c>
      <c r="D1736" s="231" t="s">
        <v>4875</v>
      </c>
      <c r="E1736" s="231" t="s">
        <v>5076</v>
      </c>
      <c r="F1736" s="619">
        <v>55</v>
      </c>
      <c r="G1736" s="231" t="s">
        <v>4851</v>
      </c>
      <c r="H1736" s="619"/>
      <c r="I1736" s="619"/>
      <c r="J1736" s="620">
        <v>15405150.15</v>
      </c>
      <c r="K1736" s="621" t="s">
        <v>1130</v>
      </c>
      <c r="L1736" s="621" t="s">
        <v>4852</v>
      </c>
      <c r="M1736" s="621" t="s">
        <v>4876</v>
      </c>
      <c r="N1736" s="621" t="s">
        <v>4866</v>
      </c>
      <c r="O1736" s="621"/>
      <c r="P1736" s="621"/>
    </row>
    <row r="1737" spans="1:16">
      <c r="A1737" s="232" t="s">
        <v>686</v>
      </c>
      <c r="B1737" s="232" t="s">
        <v>1864</v>
      </c>
      <c r="C1737" s="622">
        <v>45046</v>
      </c>
      <c r="D1737" s="232" t="s">
        <v>4875</v>
      </c>
      <c r="E1737" s="231" t="s">
        <v>5076</v>
      </c>
      <c r="F1737" s="233">
        <v>45</v>
      </c>
      <c r="G1737" s="232" t="s">
        <v>4851</v>
      </c>
      <c r="H1737" s="233"/>
      <c r="I1737" s="233"/>
      <c r="J1737" s="623">
        <v>12604213.76</v>
      </c>
      <c r="K1737" s="624" t="s">
        <v>1130</v>
      </c>
      <c r="L1737" s="624" t="s">
        <v>4852</v>
      </c>
      <c r="M1737" s="624" t="s">
        <v>4876</v>
      </c>
      <c r="N1737" s="624" t="s">
        <v>4866</v>
      </c>
      <c r="O1737" s="624"/>
      <c r="P1737" s="624"/>
    </row>
    <row r="1738" spans="1:16">
      <c r="A1738" s="231" t="s">
        <v>686</v>
      </c>
      <c r="B1738" s="231" t="s">
        <v>1864</v>
      </c>
      <c r="C1738" s="618">
        <v>45046</v>
      </c>
      <c r="D1738" s="231" t="s">
        <v>4875</v>
      </c>
      <c r="E1738" s="231" t="s">
        <v>5076</v>
      </c>
      <c r="F1738" s="619">
        <v>10</v>
      </c>
      <c r="G1738" s="231" t="s">
        <v>4851</v>
      </c>
      <c r="H1738" s="619"/>
      <c r="I1738" s="619"/>
      <c r="J1738" s="620">
        <v>2800936.39</v>
      </c>
      <c r="K1738" s="621" t="s">
        <v>1130</v>
      </c>
      <c r="L1738" s="621" t="s">
        <v>4852</v>
      </c>
      <c r="M1738" s="621" t="s">
        <v>4876</v>
      </c>
      <c r="N1738" s="621" t="s">
        <v>4866</v>
      </c>
      <c r="O1738" s="621"/>
      <c r="P1738" s="621"/>
    </row>
    <row r="1739" spans="1:16">
      <c r="A1739" s="232" t="s">
        <v>686</v>
      </c>
      <c r="B1739" s="232" t="s">
        <v>1864</v>
      </c>
      <c r="C1739" s="622">
        <v>45046</v>
      </c>
      <c r="D1739" s="232" t="s">
        <v>4862</v>
      </c>
      <c r="E1739" s="232"/>
      <c r="F1739" s="233">
        <v>50</v>
      </c>
      <c r="G1739" s="232" t="s">
        <v>4851</v>
      </c>
      <c r="H1739" s="233"/>
      <c r="I1739" s="233"/>
      <c r="J1739" s="623">
        <v>23250000</v>
      </c>
      <c r="K1739" s="624" t="s">
        <v>1130</v>
      </c>
      <c r="L1739" s="624" t="s">
        <v>4852</v>
      </c>
      <c r="M1739" s="624" t="s">
        <v>4863</v>
      </c>
      <c r="N1739" s="624" t="s">
        <v>4754</v>
      </c>
      <c r="O1739" s="624"/>
      <c r="P1739" s="624"/>
    </row>
    <row r="1740" spans="1:16">
      <c r="A1740" s="231" t="s">
        <v>686</v>
      </c>
      <c r="B1740" s="231" t="s">
        <v>1864</v>
      </c>
      <c r="C1740" s="618">
        <v>45046</v>
      </c>
      <c r="D1740" s="231" t="s">
        <v>4875</v>
      </c>
      <c r="E1740" s="231" t="s">
        <v>5076</v>
      </c>
      <c r="F1740" s="619">
        <v>5</v>
      </c>
      <c r="G1740" s="231" t="s">
        <v>4851</v>
      </c>
      <c r="H1740" s="619"/>
      <c r="I1740" s="619"/>
      <c r="J1740" s="620">
        <v>1400468.2</v>
      </c>
      <c r="K1740" s="621" t="s">
        <v>1130</v>
      </c>
      <c r="L1740" s="621" t="s">
        <v>4852</v>
      </c>
      <c r="M1740" s="621" t="s">
        <v>4876</v>
      </c>
      <c r="N1740" s="621" t="s">
        <v>4866</v>
      </c>
      <c r="O1740" s="621"/>
      <c r="P1740" s="621"/>
    </row>
    <row r="1741" spans="1:16">
      <c r="A1741" s="232" t="s">
        <v>686</v>
      </c>
      <c r="B1741" s="232" t="s">
        <v>1864</v>
      </c>
      <c r="C1741" s="622">
        <v>45046</v>
      </c>
      <c r="D1741" s="232" t="s">
        <v>4875</v>
      </c>
      <c r="E1741" s="231" t="s">
        <v>5076</v>
      </c>
      <c r="F1741" s="233">
        <v>45</v>
      </c>
      <c r="G1741" s="232" t="s">
        <v>4851</v>
      </c>
      <c r="H1741" s="233"/>
      <c r="I1741" s="233"/>
      <c r="J1741" s="623">
        <v>12604213.76</v>
      </c>
      <c r="K1741" s="624" t="s">
        <v>1130</v>
      </c>
      <c r="L1741" s="624" t="s">
        <v>4852</v>
      </c>
      <c r="M1741" s="624" t="s">
        <v>4876</v>
      </c>
      <c r="N1741" s="624" t="s">
        <v>4866</v>
      </c>
      <c r="O1741" s="624"/>
      <c r="P1741" s="624"/>
    </row>
    <row r="1742" spans="1:16">
      <c r="A1742" s="231" t="s">
        <v>686</v>
      </c>
      <c r="B1742" s="231" t="s">
        <v>1864</v>
      </c>
      <c r="C1742" s="618">
        <v>45046</v>
      </c>
      <c r="D1742" s="231" t="s">
        <v>4875</v>
      </c>
      <c r="E1742" s="231" t="s">
        <v>5076</v>
      </c>
      <c r="F1742" s="619">
        <v>55</v>
      </c>
      <c r="G1742" s="231" t="s">
        <v>4851</v>
      </c>
      <c r="H1742" s="619"/>
      <c r="I1742" s="619"/>
      <c r="J1742" s="620">
        <v>15405150.15</v>
      </c>
      <c r="K1742" s="621" t="s">
        <v>1130</v>
      </c>
      <c r="L1742" s="621" t="s">
        <v>4852</v>
      </c>
      <c r="M1742" s="621" t="s">
        <v>4876</v>
      </c>
      <c r="N1742" s="621" t="s">
        <v>4866</v>
      </c>
      <c r="O1742" s="621"/>
      <c r="P1742" s="621"/>
    </row>
    <row r="1743" spans="1:16">
      <c r="A1743" s="232" t="s">
        <v>686</v>
      </c>
      <c r="B1743" s="232" t="s">
        <v>1864</v>
      </c>
      <c r="C1743" s="622">
        <v>45046</v>
      </c>
      <c r="D1743" s="232" t="s">
        <v>4875</v>
      </c>
      <c r="E1743" s="231" t="s">
        <v>5076</v>
      </c>
      <c r="F1743" s="233">
        <v>45</v>
      </c>
      <c r="G1743" s="232" t="s">
        <v>4851</v>
      </c>
      <c r="H1743" s="233"/>
      <c r="I1743" s="233"/>
      <c r="J1743" s="623">
        <v>12604213.76</v>
      </c>
      <c r="K1743" s="624" t="s">
        <v>1130</v>
      </c>
      <c r="L1743" s="624" t="s">
        <v>4852</v>
      </c>
      <c r="M1743" s="624" t="s">
        <v>4876</v>
      </c>
      <c r="N1743" s="624" t="s">
        <v>4866</v>
      </c>
      <c r="O1743" s="624"/>
      <c r="P1743" s="624"/>
    </row>
    <row r="1744" spans="1:16">
      <c r="A1744" s="231" t="s">
        <v>686</v>
      </c>
      <c r="B1744" s="231" t="s">
        <v>1864</v>
      </c>
      <c r="C1744" s="618">
        <v>45046</v>
      </c>
      <c r="D1744" s="231" t="s">
        <v>4875</v>
      </c>
      <c r="E1744" s="231" t="s">
        <v>5076</v>
      </c>
      <c r="F1744" s="619">
        <v>10</v>
      </c>
      <c r="G1744" s="231" t="s">
        <v>4851</v>
      </c>
      <c r="H1744" s="619"/>
      <c r="I1744" s="619"/>
      <c r="J1744" s="620">
        <v>2800936.39</v>
      </c>
      <c r="K1744" s="621" t="s">
        <v>1130</v>
      </c>
      <c r="L1744" s="621" t="s">
        <v>4852</v>
      </c>
      <c r="M1744" s="621" t="s">
        <v>4876</v>
      </c>
      <c r="N1744" s="621" t="s">
        <v>4866</v>
      </c>
      <c r="O1744" s="621"/>
      <c r="P1744" s="621"/>
    </row>
    <row r="1745" spans="1:16">
      <c r="A1745" s="232" t="s">
        <v>686</v>
      </c>
      <c r="B1745" s="232" t="s">
        <v>1864</v>
      </c>
      <c r="C1745" s="622">
        <v>45046</v>
      </c>
      <c r="D1745" s="232" t="s">
        <v>4875</v>
      </c>
      <c r="E1745" s="231" t="s">
        <v>5076</v>
      </c>
      <c r="F1745" s="233">
        <v>55</v>
      </c>
      <c r="G1745" s="232" t="s">
        <v>4851</v>
      </c>
      <c r="H1745" s="233"/>
      <c r="I1745" s="233"/>
      <c r="J1745" s="623">
        <v>15405150.15</v>
      </c>
      <c r="K1745" s="624" t="s">
        <v>1130</v>
      </c>
      <c r="L1745" s="624" t="s">
        <v>4852</v>
      </c>
      <c r="M1745" s="624" t="s">
        <v>4876</v>
      </c>
      <c r="N1745" s="624" t="s">
        <v>4866</v>
      </c>
      <c r="O1745" s="624"/>
      <c r="P1745" s="624"/>
    </row>
    <row r="1746" spans="1:16">
      <c r="A1746" s="231" t="s">
        <v>686</v>
      </c>
      <c r="B1746" s="231" t="s">
        <v>1864</v>
      </c>
      <c r="C1746" s="618">
        <v>45046</v>
      </c>
      <c r="D1746" s="231" t="s">
        <v>4875</v>
      </c>
      <c r="E1746" s="231" t="s">
        <v>5076</v>
      </c>
      <c r="F1746" s="619">
        <v>55</v>
      </c>
      <c r="G1746" s="231" t="s">
        <v>4851</v>
      </c>
      <c r="H1746" s="619"/>
      <c r="I1746" s="619"/>
      <c r="J1746" s="620">
        <v>15405150.15</v>
      </c>
      <c r="K1746" s="621" t="s">
        <v>1130</v>
      </c>
      <c r="L1746" s="621" t="s">
        <v>4852</v>
      </c>
      <c r="M1746" s="621" t="s">
        <v>4876</v>
      </c>
      <c r="N1746" s="621" t="s">
        <v>4866</v>
      </c>
      <c r="O1746" s="621"/>
      <c r="P1746" s="621"/>
    </row>
    <row r="1747" spans="1:16">
      <c r="A1747" s="232" t="s">
        <v>686</v>
      </c>
      <c r="B1747" s="232" t="s">
        <v>1864</v>
      </c>
      <c r="C1747" s="622">
        <v>45046</v>
      </c>
      <c r="D1747" s="232" t="s">
        <v>4875</v>
      </c>
      <c r="E1747" s="231" t="s">
        <v>5076</v>
      </c>
      <c r="F1747" s="233">
        <v>55</v>
      </c>
      <c r="G1747" s="232" t="s">
        <v>4851</v>
      </c>
      <c r="H1747" s="233"/>
      <c r="I1747" s="233"/>
      <c r="J1747" s="623">
        <v>15405150.15</v>
      </c>
      <c r="K1747" s="624" t="s">
        <v>1130</v>
      </c>
      <c r="L1747" s="624" t="s">
        <v>4852</v>
      </c>
      <c r="M1747" s="624" t="s">
        <v>4876</v>
      </c>
      <c r="N1747" s="624" t="s">
        <v>4866</v>
      </c>
      <c r="O1747" s="624"/>
      <c r="P1747" s="624"/>
    </row>
    <row r="1748" spans="1:16">
      <c r="A1748" s="231" t="s">
        <v>686</v>
      </c>
      <c r="B1748" s="231" t="s">
        <v>1864</v>
      </c>
      <c r="C1748" s="618">
        <v>45046</v>
      </c>
      <c r="D1748" s="231" t="s">
        <v>4875</v>
      </c>
      <c r="E1748" s="231" t="s">
        <v>5076</v>
      </c>
      <c r="F1748" s="619">
        <v>5</v>
      </c>
      <c r="G1748" s="231" t="s">
        <v>4851</v>
      </c>
      <c r="H1748" s="619"/>
      <c r="I1748" s="619"/>
      <c r="J1748" s="620">
        <v>1400468.2</v>
      </c>
      <c r="K1748" s="621" t="s">
        <v>1130</v>
      </c>
      <c r="L1748" s="621" t="s">
        <v>4852</v>
      </c>
      <c r="M1748" s="621" t="s">
        <v>4876</v>
      </c>
      <c r="N1748" s="621" t="s">
        <v>4866</v>
      </c>
      <c r="O1748" s="621"/>
      <c r="P1748" s="621"/>
    </row>
    <row r="1749" spans="1:16">
      <c r="A1749" s="232" t="s">
        <v>686</v>
      </c>
      <c r="B1749" s="232" t="s">
        <v>1864</v>
      </c>
      <c r="C1749" s="622">
        <v>45046</v>
      </c>
      <c r="D1749" s="232" t="s">
        <v>4860</v>
      </c>
      <c r="E1749" s="232" t="s">
        <v>5072</v>
      </c>
      <c r="F1749" s="233">
        <v>34.85</v>
      </c>
      <c r="G1749" s="232" t="s">
        <v>4851</v>
      </c>
      <c r="H1749" s="233"/>
      <c r="I1749" s="233"/>
      <c r="J1749" s="623">
        <v>209100</v>
      </c>
      <c r="K1749" s="624" t="s">
        <v>991</v>
      </c>
      <c r="L1749" s="624" t="s">
        <v>4852</v>
      </c>
      <c r="M1749" s="624" t="s">
        <v>4877</v>
      </c>
      <c r="N1749" s="624" t="s">
        <v>4878</v>
      </c>
      <c r="O1749" s="624"/>
      <c r="P1749" s="624"/>
    </row>
    <row r="1750" spans="1:16">
      <c r="A1750" s="231" t="s">
        <v>686</v>
      </c>
      <c r="B1750" s="231" t="s">
        <v>1864</v>
      </c>
      <c r="C1750" s="618">
        <v>45046</v>
      </c>
      <c r="D1750" s="231" t="s">
        <v>4860</v>
      </c>
      <c r="E1750" s="232" t="s">
        <v>5072</v>
      </c>
      <c r="F1750" s="619">
        <v>45.7</v>
      </c>
      <c r="G1750" s="231" t="s">
        <v>4851</v>
      </c>
      <c r="H1750" s="619"/>
      <c r="I1750" s="619"/>
      <c r="J1750" s="620">
        <v>274200</v>
      </c>
      <c r="K1750" s="621" t="s">
        <v>991</v>
      </c>
      <c r="L1750" s="621" t="s">
        <v>4852</v>
      </c>
      <c r="M1750" s="621" t="s">
        <v>4877</v>
      </c>
      <c r="N1750" s="621" t="s">
        <v>4878</v>
      </c>
      <c r="O1750" s="621"/>
      <c r="P1750" s="621"/>
    </row>
    <row r="1751" spans="1:16">
      <c r="A1751" s="232" t="s">
        <v>686</v>
      </c>
      <c r="B1751" s="232" t="s">
        <v>1864</v>
      </c>
      <c r="C1751" s="622">
        <v>45046</v>
      </c>
      <c r="D1751" s="232" t="s">
        <v>4860</v>
      </c>
      <c r="E1751" s="232" t="s">
        <v>5072</v>
      </c>
      <c r="F1751" s="233">
        <v>48.2</v>
      </c>
      <c r="G1751" s="232" t="s">
        <v>4851</v>
      </c>
      <c r="H1751" s="233"/>
      <c r="I1751" s="233"/>
      <c r="J1751" s="623">
        <v>289200</v>
      </c>
      <c r="K1751" s="624" t="s">
        <v>991</v>
      </c>
      <c r="L1751" s="624" t="s">
        <v>4852</v>
      </c>
      <c r="M1751" s="624" t="s">
        <v>4877</v>
      </c>
      <c r="N1751" s="624" t="s">
        <v>4878</v>
      </c>
      <c r="O1751" s="624"/>
      <c r="P1751" s="624"/>
    </row>
    <row r="1752" spans="1:16">
      <c r="A1752" s="231" t="s">
        <v>686</v>
      </c>
      <c r="B1752" s="231" t="s">
        <v>1864</v>
      </c>
      <c r="C1752" s="618">
        <v>45046</v>
      </c>
      <c r="D1752" s="231" t="s">
        <v>4862</v>
      </c>
      <c r="E1752" s="231"/>
      <c r="F1752" s="619">
        <v>50</v>
      </c>
      <c r="G1752" s="231" t="s">
        <v>4851</v>
      </c>
      <c r="H1752" s="619"/>
      <c r="I1752" s="619"/>
      <c r="J1752" s="620">
        <v>23250000</v>
      </c>
      <c r="K1752" s="621" t="s">
        <v>1130</v>
      </c>
      <c r="L1752" s="621" t="s">
        <v>4852</v>
      </c>
      <c r="M1752" s="621" t="s">
        <v>4863</v>
      </c>
      <c r="N1752" s="621" t="s">
        <v>4754</v>
      </c>
      <c r="O1752" s="621"/>
      <c r="P1752" s="621"/>
    </row>
    <row r="1753" spans="1:16">
      <c r="A1753" s="232" t="s">
        <v>686</v>
      </c>
      <c r="B1753" s="232" t="s">
        <v>1864</v>
      </c>
      <c r="C1753" s="622">
        <v>45046</v>
      </c>
      <c r="D1753" s="232" t="s">
        <v>4875</v>
      </c>
      <c r="E1753" s="231" t="s">
        <v>5076</v>
      </c>
      <c r="F1753" s="233">
        <v>40</v>
      </c>
      <c r="G1753" s="232" t="s">
        <v>4851</v>
      </c>
      <c r="H1753" s="233"/>
      <c r="I1753" s="233"/>
      <c r="J1753" s="623">
        <v>11203745.560000001</v>
      </c>
      <c r="K1753" s="624" t="s">
        <v>1130</v>
      </c>
      <c r="L1753" s="624" t="s">
        <v>4852</v>
      </c>
      <c r="M1753" s="624" t="s">
        <v>4876</v>
      </c>
      <c r="N1753" s="624" t="s">
        <v>4866</v>
      </c>
      <c r="O1753" s="624"/>
      <c r="P1753" s="624"/>
    </row>
    <row r="1754" spans="1:16">
      <c r="A1754" s="231" t="s">
        <v>686</v>
      </c>
      <c r="B1754" s="231" t="s">
        <v>1864</v>
      </c>
      <c r="C1754" s="618">
        <v>45046</v>
      </c>
      <c r="D1754" s="231" t="s">
        <v>4875</v>
      </c>
      <c r="E1754" s="231" t="s">
        <v>5076</v>
      </c>
      <c r="F1754" s="619">
        <v>42</v>
      </c>
      <c r="G1754" s="231" t="s">
        <v>4851</v>
      </c>
      <c r="H1754" s="619"/>
      <c r="I1754" s="619"/>
      <c r="J1754" s="620">
        <v>11763932.84</v>
      </c>
      <c r="K1754" s="621" t="s">
        <v>1130</v>
      </c>
      <c r="L1754" s="621" t="s">
        <v>4852</v>
      </c>
      <c r="M1754" s="621" t="s">
        <v>4876</v>
      </c>
      <c r="N1754" s="621" t="s">
        <v>4866</v>
      </c>
      <c r="O1754" s="621"/>
      <c r="P1754" s="621"/>
    </row>
    <row r="1755" spans="1:16">
      <c r="A1755" s="232" t="s">
        <v>686</v>
      </c>
      <c r="B1755" s="232" t="s">
        <v>1864</v>
      </c>
      <c r="C1755" s="622">
        <v>45046</v>
      </c>
      <c r="D1755" s="232" t="s">
        <v>4875</v>
      </c>
      <c r="E1755" s="231" t="s">
        <v>5076</v>
      </c>
      <c r="F1755" s="233">
        <v>34</v>
      </c>
      <c r="G1755" s="232" t="s">
        <v>4851</v>
      </c>
      <c r="H1755" s="233"/>
      <c r="I1755" s="233"/>
      <c r="J1755" s="623">
        <v>9523183.7300000004</v>
      </c>
      <c r="K1755" s="624" t="s">
        <v>1130</v>
      </c>
      <c r="L1755" s="624" t="s">
        <v>4852</v>
      </c>
      <c r="M1755" s="624" t="s">
        <v>4876</v>
      </c>
      <c r="N1755" s="624" t="s">
        <v>4866</v>
      </c>
      <c r="O1755" s="624"/>
      <c r="P1755" s="624"/>
    </row>
    <row r="1756" spans="1:16">
      <c r="A1756" s="231" t="s">
        <v>686</v>
      </c>
      <c r="B1756" s="231" t="s">
        <v>1864</v>
      </c>
      <c r="C1756" s="618">
        <v>45046</v>
      </c>
      <c r="D1756" s="231" t="s">
        <v>4875</v>
      </c>
      <c r="E1756" s="231" t="s">
        <v>5076</v>
      </c>
      <c r="F1756" s="619">
        <v>40</v>
      </c>
      <c r="G1756" s="231" t="s">
        <v>4851</v>
      </c>
      <c r="H1756" s="619"/>
      <c r="I1756" s="619"/>
      <c r="J1756" s="620">
        <v>11203745.560000001</v>
      </c>
      <c r="K1756" s="621" t="s">
        <v>1130</v>
      </c>
      <c r="L1756" s="621" t="s">
        <v>4852</v>
      </c>
      <c r="M1756" s="621" t="s">
        <v>4876</v>
      </c>
      <c r="N1756" s="621" t="s">
        <v>4866</v>
      </c>
      <c r="O1756" s="621"/>
      <c r="P1756" s="621"/>
    </row>
    <row r="1757" spans="1:16">
      <c r="A1757" s="232" t="s">
        <v>686</v>
      </c>
      <c r="B1757" s="232" t="s">
        <v>1864</v>
      </c>
      <c r="C1757" s="622">
        <v>45046</v>
      </c>
      <c r="D1757" s="232" t="s">
        <v>4875</v>
      </c>
      <c r="E1757" s="231" t="s">
        <v>5076</v>
      </c>
      <c r="F1757" s="233">
        <v>45</v>
      </c>
      <c r="G1757" s="232" t="s">
        <v>4851</v>
      </c>
      <c r="H1757" s="233"/>
      <c r="I1757" s="233"/>
      <c r="J1757" s="623">
        <v>12604213.76</v>
      </c>
      <c r="K1757" s="624" t="s">
        <v>1130</v>
      </c>
      <c r="L1757" s="624" t="s">
        <v>4852</v>
      </c>
      <c r="M1757" s="624" t="s">
        <v>4876</v>
      </c>
      <c r="N1757" s="624" t="s">
        <v>4866</v>
      </c>
      <c r="O1757" s="624"/>
      <c r="P1757" s="624"/>
    </row>
    <row r="1758" spans="1:16">
      <c r="A1758" s="231" t="s">
        <v>686</v>
      </c>
      <c r="B1758" s="231" t="s">
        <v>1864</v>
      </c>
      <c r="C1758" s="618">
        <v>45046</v>
      </c>
      <c r="D1758" s="231" t="s">
        <v>4875</v>
      </c>
      <c r="E1758" s="231" t="s">
        <v>5076</v>
      </c>
      <c r="F1758" s="619">
        <v>55</v>
      </c>
      <c r="G1758" s="231" t="s">
        <v>4851</v>
      </c>
      <c r="H1758" s="619"/>
      <c r="I1758" s="619"/>
      <c r="J1758" s="620">
        <v>15405150.15</v>
      </c>
      <c r="K1758" s="621" t="s">
        <v>1130</v>
      </c>
      <c r="L1758" s="621" t="s">
        <v>4852</v>
      </c>
      <c r="M1758" s="621" t="s">
        <v>4876</v>
      </c>
      <c r="N1758" s="621" t="s">
        <v>4866</v>
      </c>
      <c r="O1758" s="621"/>
      <c r="P1758" s="621"/>
    </row>
    <row r="1759" spans="1:16">
      <c r="A1759" s="232" t="s">
        <v>686</v>
      </c>
      <c r="B1759" s="232" t="s">
        <v>1864</v>
      </c>
      <c r="C1759" s="622">
        <v>45046</v>
      </c>
      <c r="D1759" s="232" t="s">
        <v>4875</v>
      </c>
      <c r="E1759" s="231" t="s">
        <v>5076</v>
      </c>
      <c r="F1759" s="233">
        <v>40</v>
      </c>
      <c r="G1759" s="232" t="s">
        <v>4851</v>
      </c>
      <c r="H1759" s="233"/>
      <c r="I1759" s="233"/>
      <c r="J1759" s="623">
        <v>11203745.560000001</v>
      </c>
      <c r="K1759" s="624" t="s">
        <v>1130</v>
      </c>
      <c r="L1759" s="624" t="s">
        <v>4852</v>
      </c>
      <c r="M1759" s="624" t="s">
        <v>4876</v>
      </c>
      <c r="N1759" s="624" t="s">
        <v>4866</v>
      </c>
      <c r="O1759" s="624"/>
      <c r="P1759" s="624"/>
    </row>
    <row r="1760" spans="1:16">
      <c r="A1760" s="231" t="s">
        <v>686</v>
      </c>
      <c r="B1760" s="231" t="s">
        <v>1864</v>
      </c>
      <c r="C1760" s="618">
        <v>45046</v>
      </c>
      <c r="D1760" s="231" t="s">
        <v>4875</v>
      </c>
      <c r="E1760" s="231" t="s">
        <v>5076</v>
      </c>
      <c r="F1760" s="619">
        <v>42</v>
      </c>
      <c r="G1760" s="231" t="s">
        <v>4851</v>
      </c>
      <c r="H1760" s="619"/>
      <c r="I1760" s="619"/>
      <c r="J1760" s="620">
        <v>11763932.84</v>
      </c>
      <c r="K1760" s="621" t="s">
        <v>1130</v>
      </c>
      <c r="L1760" s="621" t="s">
        <v>4852</v>
      </c>
      <c r="M1760" s="621" t="s">
        <v>4876</v>
      </c>
      <c r="N1760" s="621" t="s">
        <v>4866</v>
      </c>
      <c r="O1760" s="621"/>
      <c r="P1760" s="621"/>
    </row>
    <row r="1761" spans="1:16">
      <c r="A1761" s="232" t="s">
        <v>686</v>
      </c>
      <c r="B1761" s="232" t="s">
        <v>1864</v>
      </c>
      <c r="C1761" s="622">
        <v>45046</v>
      </c>
      <c r="D1761" s="232" t="s">
        <v>4875</v>
      </c>
      <c r="E1761" s="231" t="s">
        <v>5076</v>
      </c>
      <c r="F1761" s="233">
        <v>10</v>
      </c>
      <c r="G1761" s="232" t="s">
        <v>4851</v>
      </c>
      <c r="H1761" s="233"/>
      <c r="I1761" s="233"/>
      <c r="J1761" s="623">
        <v>2800936.39</v>
      </c>
      <c r="K1761" s="624" t="s">
        <v>1130</v>
      </c>
      <c r="L1761" s="624" t="s">
        <v>4852</v>
      </c>
      <c r="M1761" s="624" t="s">
        <v>4876</v>
      </c>
      <c r="N1761" s="624" t="s">
        <v>4866</v>
      </c>
      <c r="O1761" s="624"/>
      <c r="P1761" s="624"/>
    </row>
    <row r="1762" spans="1:16">
      <c r="A1762" s="231" t="s">
        <v>686</v>
      </c>
      <c r="B1762" s="231" t="s">
        <v>1864</v>
      </c>
      <c r="C1762" s="618">
        <v>45046</v>
      </c>
      <c r="D1762" s="231" t="s">
        <v>4875</v>
      </c>
      <c r="E1762" s="231" t="s">
        <v>5076</v>
      </c>
      <c r="F1762" s="619">
        <v>36</v>
      </c>
      <c r="G1762" s="231" t="s">
        <v>4851</v>
      </c>
      <c r="H1762" s="619"/>
      <c r="I1762" s="619"/>
      <c r="J1762" s="620">
        <v>10083371</v>
      </c>
      <c r="K1762" s="621" t="s">
        <v>1130</v>
      </c>
      <c r="L1762" s="621" t="s">
        <v>4852</v>
      </c>
      <c r="M1762" s="621" t="s">
        <v>4876</v>
      </c>
      <c r="N1762" s="621" t="s">
        <v>4866</v>
      </c>
      <c r="O1762" s="621"/>
      <c r="P1762" s="621"/>
    </row>
    <row r="1763" spans="1:16">
      <c r="A1763" s="232" t="s">
        <v>686</v>
      </c>
      <c r="B1763" s="232" t="s">
        <v>1864</v>
      </c>
      <c r="C1763" s="622">
        <v>45046</v>
      </c>
      <c r="D1763" s="232" t="s">
        <v>4875</v>
      </c>
      <c r="E1763" s="231" t="s">
        <v>5076</v>
      </c>
      <c r="F1763" s="233">
        <v>43</v>
      </c>
      <c r="G1763" s="232" t="s">
        <v>4851</v>
      </c>
      <c r="H1763" s="233"/>
      <c r="I1763" s="233"/>
      <c r="J1763" s="623">
        <v>12044026.48</v>
      </c>
      <c r="K1763" s="624" t="s">
        <v>1130</v>
      </c>
      <c r="L1763" s="624" t="s">
        <v>4852</v>
      </c>
      <c r="M1763" s="624" t="s">
        <v>4876</v>
      </c>
      <c r="N1763" s="624" t="s">
        <v>4866</v>
      </c>
      <c r="O1763" s="624"/>
      <c r="P1763" s="624"/>
    </row>
    <row r="1764" spans="1:16">
      <c r="A1764" s="231" t="s">
        <v>686</v>
      </c>
      <c r="B1764" s="231" t="s">
        <v>1864</v>
      </c>
      <c r="C1764" s="618">
        <v>45046</v>
      </c>
      <c r="D1764" s="231" t="s">
        <v>4875</v>
      </c>
      <c r="E1764" s="231" t="s">
        <v>5076</v>
      </c>
      <c r="F1764" s="619">
        <v>45</v>
      </c>
      <c r="G1764" s="231" t="s">
        <v>4851</v>
      </c>
      <c r="H1764" s="619"/>
      <c r="I1764" s="619"/>
      <c r="J1764" s="620">
        <v>12604213.76</v>
      </c>
      <c r="K1764" s="621" t="s">
        <v>1130</v>
      </c>
      <c r="L1764" s="621" t="s">
        <v>4852</v>
      </c>
      <c r="M1764" s="621" t="s">
        <v>4876</v>
      </c>
      <c r="N1764" s="621" t="s">
        <v>4866</v>
      </c>
      <c r="O1764" s="621"/>
      <c r="P1764" s="621"/>
    </row>
    <row r="1765" spans="1:16">
      <c r="A1765" s="232" t="s">
        <v>686</v>
      </c>
      <c r="B1765" s="232" t="s">
        <v>1864</v>
      </c>
      <c r="C1765" s="622">
        <v>45046</v>
      </c>
      <c r="D1765" s="232" t="s">
        <v>4875</v>
      </c>
      <c r="E1765" s="231" t="s">
        <v>5076</v>
      </c>
      <c r="F1765" s="233">
        <v>55</v>
      </c>
      <c r="G1765" s="232" t="s">
        <v>4851</v>
      </c>
      <c r="H1765" s="233"/>
      <c r="I1765" s="233"/>
      <c r="J1765" s="623">
        <v>15405150.15</v>
      </c>
      <c r="K1765" s="624" t="s">
        <v>1130</v>
      </c>
      <c r="L1765" s="624" t="s">
        <v>4852</v>
      </c>
      <c r="M1765" s="624" t="s">
        <v>4876</v>
      </c>
      <c r="N1765" s="624" t="s">
        <v>4866</v>
      </c>
      <c r="O1765" s="624"/>
      <c r="P1765" s="624"/>
    </row>
    <row r="1766" spans="1:16">
      <c r="A1766" s="231" t="s">
        <v>686</v>
      </c>
      <c r="B1766" s="231" t="s">
        <v>1864</v>
      </c>
      <c r="C1766" s="618">
        <v>45046</v>
      </c>
      <c r="D1766" s="231" t="s">
        <v>4875</v>
      </c>
      <c r="E1766" s="231" t="s">
        <v>5076</v>
      </c>
      <c r="F1766" s="619">
        <v>35</v>
      </c>
      <c r="G1766" s="231" t="s">
        <v>4851</v>
      </c>
      <c r="H1766" s="619"/>
      <c r="I1766" s="619"/>
      <c r="J1766" s="620">
        <v>9803277.3699999992</v>
      </c>
      <c r="K1766" s="621" t="s">
        <v>1130</v>
      </c>
      <c r="L1766" s="621" t="s">
        <v>4852</v>
      </c>
      <c r="M1766" s="621" t="s">
        <v>4876</v>
      </c>
      <c r="N1766" s="621" t="s">
        <v>4866</v>
      </c>
      <c r="O1766" s="621"/>
      <c r="P1766" s="621"/>
    </row>
    <row r="1767" spans="1:16">
      <c r="A1767" s="232" t="s">
        <v>686</v>
      </c>
      <c r="B1767" s="232" t="s">
        <v>1864</v>
      </c>
      <c r="C1767" s="622">
        <v>45046</v>
      </c>
      <c r="D1767" s="232" t="s">
        <v>4875</v>
      </c>
      <c r="E1767" s="231" t="s">
        <v>5076</v>
      </c>
      <c r="F1767" s="233">
        <v>55</v>
      </c>
      <c r="G1767" s="232" t="s">
        <v>4851</v>
      </c>
      <c r="H1767" s="233"/>
      <c r="I1767" s="233"/>
      <c r="J1767" s="623">
        <v>15405150.15</v>
      </c>
      <c r="K1767" s="624" t="s">
        <v>1130</v>
      </c>
      <c r="L1767" s="624" t="s">
        <v>4852</v>
      </c>
      <c r="M1767" s="624" t="s">
        <v>4876</v>
      </c>
      <c r="N1767" s="624" t="s">
        <v>4866</v>
      </c>
      <c r="O1767" s="624"/>
      <c r="P1767" s="624"/>
    </row>
    <row r="1768" spans="1:16">
      <c r="A1768" s="231" t="s">
        <v>686</v>
      </c>
      <c r="B1768" s="231" t="s">
        <v>1864</v>
      </c>
      <c r="C1768" s="618">
        <v>45046</v>
      </c>
      <c r="D1768" s="231" t="s">
        <v>4875</v>
      </c>
      <c r="E1768" s="231" t="s">
        <v>5076</v>
      </c>
      <c r="F1768" s="619">
        <v>34</v>
      </c>
      <c r="G1768" s="231" t="s">
        <v>4851</v>
      </c>
      <c r="H1768" s="619"/>
      <c r="I1768" s="619"/>
      <c r="J1768" s="620">
        <v>9523183.7300000004</v>
      </c>
      <c r="K1768" s="621" t="s">
        <v>1130</v>
      </c>
      <c r="L1768" s="621" t="s">
        <v>4852</v>
      </c>
      <c r="M1768" s="621" t="s">
        <v>4876</v>
      </c>
      <c r="N1768" s="621" t="s">
        <v>4866</v>
      </c>
      <c r="O1768" s="621"/>
      <c r="P1768" s="621"/>
    </row>
    <row r="1769" spans="1:16">
      <c r="A1769" s="232" t="s">
        <v>686</v>
      </c>
      <c r="B1769" s="232" t="s">
        <v>1864</v>
      </c>
      <c r="C1769" s="622">
        <v>45046</v>
      </c>
      <c r="D1769" s="232" t="s">
        <v>4875</v>
      </c>
      <c r="E1769" s="231" t="s">
        <v>5076</v>
      </c>
      <c r="F1769" s="233">
        <v>34</v>
      </c>
      <c r="G1769" s="232" t="s">
        <v>4851</v>
      </c>
      <c r="H1769" s="233"/>
      <c r="I1769" s="233"/>
      <c r="J1769" s="623">
        <v>9523183.7300000004</v>
      </c>
      <c r="K1769" s="624" t="s">
        <v>1130</v>
      </c>
      <c r="L1769" s="624" t="s">
        <v>4852</v>
      </c>
      <c r="M1769" s="624" t="s">
        <v>4876</v>
      </c>
      <c r="N1769" s="624" t="s">
        <v>4866</v>
      </c>
      <c r="O1769" s="624"/>
      <c r="P1769" s="624"/>
    </row>
    <row r="1770" spans="1:16">
      <c r="A1770" s="231" t="s">
        <v>686</v>
      </c>
      <c r="B1770" s="231" t="s">
        <v>1864</v>
      </c>
      <c r="C1770" s="618">
        <v>45046</v>
      </c>
      <c r="D1770" s="231" t="s">
        <v>4875</v>
      </c>
      <c r="E1770" s="231" t="s">
        <v>5076</v>
      </c>
      <c r="F1770" s="619">
        <v>55</v>
      </c>
      <c r="G1770" s="231" t="s">
        <v>4851</v>
      </c>
      <c r="H1770" s="619"/>
      <c r="I1770" s="619"/>
      <c r="J1770" s="620">
        <v>15405150.15</v>
      </c>
      <c r="K1770" s="621" t="s">
        <v>1130</v>
      </c>
      <c r="L1770" s="621" t="s">
        <v>4852</v>
      </c>
      <c r="M1770" s="621" t="s">
        <v>4876</v>
      </c>
      <c r="N1770" s="621" t="s">
        <v>4866</v>
      </c>
      <c r="O1770" s="621"/>
      <c r="P1770" s="621"/>
    </row>
    <row r="1771" spans="1:16">
      <c r="A1771" s="232" t="s">
        <v>686</v>
      </c>
      <c r="B1771" s="232" t="s">
        <v>1864</v>
      </c>
      <c r="C1771" s="622">
        <v>45046</v>
      </c>
      <c r="D1771" s="232" t="s">
        <v>4875</v>
      </c>
      <c r="E1771" s="231" t="s">
        <v>5076</v>
      </c>
      <c r="F1771" s="233">
        <v>55</v>
      </c>
      <c r="G1771" s="232" t="s">
        <v>4851</v>
      </c>
      <c r="H1771" s="233"/>
      <c r="I1771" s="233"/>
      <c r="J1771" s="623">
        <v>15405150.15</v>
      </c>
      <c r="K1771" s="624" t="s">
        <v>1130</v>
      </c>
      <c r="L1771" s="624" t="s">
        <v>4852</v>
      </c>
      <c r="M1771" s="624" t="s">
        <v>4876</v>
      </c>
      <c r="N1771" s="624" t="s">
        <v>4866</v>
      </c>
      <c r="O1771" s="624"/>
      <c r="P1771" s="624"/>
    </row>
    <row r="1772" spans="1:16">
      <c r="A1772" s="231" t="s">
        <v>686</v>
      </c>
      <c r="B1772" s="231" t="s">
        <v>1864</v>
      </c>
      <c r="C1772" s="618">
        <v>45046</v>
      </c>
      <c r="D1772" s="231" t="s">
        <v>4875</v>
      </c>
      <c r="E1772" s="231" t="s">
        <v>5076</v>
      </c>
      <c r="F1772" s="619">
        <v>35</v>
      </c>
      <c r="G1772" s="231" t="s">
        <v>4851</v>
      </c>
      <c r="H1772" s="619"/>
      <c r="I1772" s="619"/>
      <c r="J1772" s="620">
        <v>9803277.3699999992</v>
      </c>
      <c r="K1772" s="621" t="s">
        <v>1130</v>
      </c>
      <c r="L1772" s="621" t="s">
        <v>4852</v>
      </c>
      <c r="M1772" s="621" t="s">
        <v>4876</v>
      </c>
      <c r="N1772" s="621" t="s">
        <v>4866</v>
      </c>
      <c r="O1772" s="621"/>
      <c r="P1772" s="621"/>
    </row>
    <row r="1773" spans="1:16">
      <c r="A1773" s="232" t="s">
        <v>686</v>
      </c>
      <c r="B1773" s="232" t="s">
        <v>1864</v>
      </c>
      <c r="C1773" s="622">
        <v>45046</v>
      </c>
      <c r="D1773" s="232" t="s">
        <v>4862</v>
      </c>
      <c r="E1773" s="232"/>
      <c r="F1773" s="233">
        <v>46</v>
      </c>
      <c r="G1773" s="232" t="s">
        <v>4851</v>
      </c>
      <c r="H1773" s="233"/>
      <c r="I1773" s="233"/>
      <c r="J1773" s="623">
        <v>21390000</v>
      </c>
      <c r="K1773" s="624" t="s">
        <v>1130</v>
      </c>
      <c r="L1773" s="624" t="s">
        <v>4852</v>
      </c>
      <c r="M1773" s="624" t="s">
        <v>4863</v>
      </c>
      <c r="N1773" s="624" t="s">
        <v>4754</v>
      </c>
      <c r="O1773" s="624"/>
      <c r="P1773" s="624"/>
    </row>
    <row r="1774" spans="1:16">
      <c r="A1774" s="231" t="s">
        <v>686</v>
      </c>
      <c r="B1774" s="231" t="s">
        <v>1864</v>
      </c>
      <c r="C1774" s="618">
        <v>45046</v>
      </c>
      <c r="D1774" s="231" t="s">
        <v>4875</v>
      </c>
      <c r="E1774" s="231" t="s">
        <v>5076</v>
      </c>
      <c r="F1774" s="619">
        <v>35</v>
      </c>
      <c r="G1774" s="231" t="s">
        <v>4851</v>
      </c>
      <c r="H1774" s="619"/>
      <c r="I1774" s="619"/>
      <c r="J1774" s="620">
        <v>9803277.3699999992</v>
      </c>
      <c r="K1774" s="621" t="s">
        <v>1130</v>
      </c>
      <c r="L1774" s="621" t="s">
        <v>4852</v>
      </c>
      <c r="M1774" s="621" t="s">
        <v>4876</v>
      </c>
      <c r="N1774" s="621" t="s">
        <v>4866</v>
      </c>
      <c r="O1774" s="621"/>
      <c r="P1774" s="621"/>
    </row>
    <row r="1775" spans="1:16">
      <c r="A1775" s="232" t="s">
        <v>686</v>
      </c>
      <c r="B1775" s="232" t="s">
        <v>1864</v>
      </c>
      <c r="C1775" s="622">
        <v>45046</v>
      </c>
      <c r="D1775" s="232" t="s">
        <v>4875</v>
      </c>
      <c r="E1775" s="231" t="s">
        <v>5076</v>
      </c>
      <c r="F1775" s="233">
        <v>37</v>
      </c>
      <c r="G1775" s="232" t="s">
        <v>4851</v>
      </c>
      <c r="H1775" s="233"/>
      <c r="I1775" s="233"/>
      <c r="J1775" s="623">
        <v>10363464.640000001</v>
      </c>
      <c r="K1775" s="624" t="s">
        <v>1130</v>
      </c>
      <c r="L1775" s="624" t="s">
        <v>4852</v>
      </c>
      <c r="M1775" s="624" t="s">
        <v>4876</v>
      </c>
      <c r="N1775" s="624" t="s">
        <v>4866</v>
      </c>
      <c r="O1775" s="624"/>
      <c r="P1775" s="624"/>
    </row>
    <row r="1776" spans="1:16">
      <c r="A1776" s="231" t="s">
        <v>686</v>
      </c>
      <c r="B1776" s="231" t="s">
        <v>1864</v>
      </c>
      <c r="C1776" s="618">
        <v>45046</v>
      </c>
      <c r="D1776" s="231" t="s">
        <v>4875</v>
      </c>
      <c r="E1776" s="231" t="s">
        <v>5076</v>
      </c>
      <c r="F1776" s="619">
        <v>37</v>
      </c>
      <c r="G1776" s="231" t="s">
        <v>4851</v>
      </c>
      <c r="H1776" s="619"/>
      <c r="I1776" s="619"/>
      <c r="J1776" s="620">
        <v>10363464.640000001</v>
      </c>
      <c r="K1776" s="621" t="s">
        <v>1130</v>
      </c>
      <c r="L1776" s="621" t="s">
        <v>4852</v>
      </c>
      <c r="M1776" s="621" t="s">
        <v>4876</v>
      </c>
      <c r="N1776" s="621" t="s">
        <v>4866</v>
      </c>
      <c r="O1776" s="621"/>
      <c r="P1776" s="621"/>
    </row>
    <row r="1777" spans="1:16">
      <c r="A1777" s="232" t="s">
        <v>686</v>
      </c>
      <c r="B1777" s="232" t="s">
        <v>1864</v>
      </c>
      <c r="C1777" s="622">
        <v>45046</v>
      </c>
      <c r="D1777" s="232" t="s">
        <v>4875</v>
      </c>
      <c r="E1777" s="231" t="s">
        <v>5076</v>
      </c>
      <c r="F1777" s="233">
        <v>37</v>
      </c>
      <c r="G1777" s="232" t="s">
        <v>4851</v>
      </c>
      <c r="H1777" s="233"/>
      <c r="I1777" s="233"/>
      <c r="J1777" s="623">
        <v>10363464.640000001</v>
      </c>
      <c r="K1777" s="624" t="s">
        <v>1130</v>
      </c>
      <c r="L1777" s="624" t="s">
        <v>4852</v>
      </c>
      <c r="M1777" s="624" t="s">
        <v>4876</v>
      </c>
      <c r="N1777" s="624" t="s">
        <v>4866</v>
      </c>
      <c r="O1777" s="624"/>
      <c r="P1777" s="624"/>
    </row>
    <row r="1778" spans="1:16">
      <c r="A1778" s="231" t="s">
        <v>686</v>
      </c>
      <c r="B1778" s="231" t="s">
        <v>1864</v>
      </c>
      <c r="C1778" s="618">
        <v>45046</v>
      </c>
      <c r="D1778" s="231" t="s">
        <v>4875</v>
      </c>
      <c r="E1778" s="231" t="s">
        <v>5076</v>
      </c>
      <c r="F1778" s="619">
        <v>40</v>
      </c>
      <c r="G1778" s="231" t="s">
        <v>4851</v>
      </c>
      <c r="H1778" s="619"/>
      <c r="I1778" s="619"/>
      <c r="J1778" s="620">
        <v>11203745.560000001</v>
      </c>
      <c r="K1778" s="621" t="s">
        <v>1130</v>
      </c>
      <c r="L1778" s="621" t="s">
        <v>4852</v>
      </c>
      <c r="M1778" s="621" t="s">
        <v>4876</v>
      </c>
      <c r="N1778" s="621" t="s">
        <v>4866</v>
      </c>
      <c r="O1778" s="621"/>
      <c r="P1778" s="621"/>
    </row>
    <row r="1779" spans="1:16">
      <c r="A1779" s="232" t="s">
        <v>686</v>
      </c>
      <c r="B1779" s="232" t="s">
        <v>1864</v>
      </c>
      <c r="C1779" s="622">
        <v>45046</v>
      </c>
      <c r="D1779" s="232" t="s">
        <v>4875</v>
      </c>
      <c r="E1779" s="231" t="s">
        <v>5076</v>
      </c>
      <c r="F1779" s="233">
        <v>55</v>
      </c>
      <c r="G1779" s="232" t="s">
        <v>4851</v>
      </c>
      <c r="H1779" s="233"/>
      <c r="I1779" s="233"/>
      <c r="J1779" s="623">
        <v>15405150.15</v>
      </c>
      <c r="K1779" s="624" t="s">
        <v>1130</v>
      </c>
      <c r="L1779" s="624" t="s">
        <v>4852</v>
      </c>
      <c r="M1779" s="624" t="s">
        <v>4876</v>
      </c>
      <c r="N1779" s="624" t="s">
        <v>4866</v>
      </c>
      <c r="O1779" s="624"/>
      <c r="P1779" s="624"/>
    </row>
    <row r="1780" spans="1:16">
      <c r="A1780" s="231" t="s">
        <v>686</v>
      </c>
      <c r="B1780" s="231" t="s">
        <v>1864</v>
      </c>
      <c r="C1780" s="618">
        <v>45046</v>
      </c>
      <c r="D1780" s="231" t="s">
        <v>4875</v>
      </c>
      <c r="E1780" s="231" t="s">
        <v>5076</v>
      </c>
      <c r="F1780" s="619">
        <v>34</v>
      </c>
      <c r="G1780" s="231" t="s">
        <v>4851</v>
      </c>
      <c r="H1780" s="619"/>
      <c r="I1780" s="619"/>
      <c r="J1780" s="620">
        <v>9523183.7300000004</v>
      </c>
      <c r="K1780" s="621" t="s">
        <v>1130</v>
      </c>
      <c r="L1780" s="621" t="s">
        <v>4852</v>
      </c>
      <c r="M1780" s="621" t="s">
        <v>4876</v>
      </c>
      <c r="N1780" s="621" t="s">
        <v>4866</v>
      </c>
      <c r="O1780" s="621"/>
      <c r="P1780" s="621"/>
    </row>
    <row r="1781" spans="1:16">
      <c r="A1781" s="232" t="s">
        <v>686</v>
      </c>
      <c r="B1781" s="232" t="s">
        <v>1864</v>
      </c>
      <c r="C1781" s="622">
        <v>45046</v>
      </c>
      <c r="D1781" s="232" t="s">
        <v>4875</v>
      </c>
      <c r="E1781" s="231" t="s">
        <v>5076</v>
      </c>
      <c r="F1781" s="233">
        <v>38</v>
      </c>
      <c r="G1781" s="232" t="s">
        <v>4851</v>
      </c>
      <c r="H1781" s="233"/>
      <c r="I1781" s="233"/>
      <c r="J1781" s="623">
        <v>10643558.279999999</v>
      </c>
      <c r="K1781" s="624" t="s">
        <v>1130</v>
      </c>
      <c r="L1781" s="624" t="s">
        <v>4852</v>
      </c>
      <c r="M1781" s="624" t="s">
        <v>4876</v>
      </c>
      <c r="N1781" s="624" t="s">
        <v>4866</v>
      </c>
      <c r="O1781" s="624"/>
      <c r="P1781" s="624"/>
    </row>
    <row r="1782" spans="1:16">
      <c r="A1782" s="231" t="s">
        <v>686</v>
      </c>
      <c r="B1782" s="231" t="s">
        <v>1864</v>
      </c>
      <c r="C1782" s="618">
        <v>45046</v>
      </c>
      <c r="D1782" s="231" t="s">
        <v>4875</v>
      </c>
      <c r="E1782" s="231" t="s">
        <v>5076</v>
      </c>
      <c r="F1782" s="619">
        <v>40</v>
      </c>
      <c r="G1782" s="231" t="s">
        <v>4851</v>
      </c>
      <c r="H1782" s="619"/>
      <c r="I1782" s="619"/>
      <c r="J1782" s="620">
        <v>11203745.560000001</v>
      </c>
      <c r="K1782" s="621" t="s">
        <v>1130</v>
      </c>
      <c r="L1782" s="621" t="s">
        <v>4852</v>
      </c>
      <c r="M1782" s="621" t="s">
        <v>4876</v>
      </c>
      <c r="N1782" s="621" t="s">
        <v>4866</v>
      </c>
      <c r="O1782" s="621"/>
      <c r="P1782" s="621"/>
    </row>
    <row r="1783" spans="1:16">
      <c r="A1783" s="232" t="s">
        <v>686</v>
      </c>
      <c r="B1783" s="232" t="s">
        <v>1864</v>
      </c>
      <c r="C1783" s="622">
        <v>45046</v>
      </c>
      <c r="D1783" s="232" t="s">
        <v>4875</v>
      </c>
      <c r="E1783" s="231" t="s">
        <v>5076</v>
      </c>
      <c r="F1783" s="233">
        <v>36</v>
      </c>
      <c r="G1783" s="232" t="s">
        <v>4851</v>
      </c>
      <c r="H1783" s="233"/>
      <c r="I1783" s="233"/>
      <c r="J1783" s="623">
        <v>10083371</v>
      </c>
      <c r="K1783" s="624" t="s">
        <v>1130</v>
      </c>
      <c r="L1783" s="624" t="s">
        <v>4852</v>
      </c>
      <c r="M1783" s="624" t="s">
        <v>4876</v>
      </c>
      <c r="N1783" s="624" t="s">
        <v>4866</v>
      </c>
      <c r="O1783" s="624"/>
      <c r="P1783" s="624"/>
    </row>
    <row r="1784" spans="1:16">
      <c r="A1784" s="231" t="s">
        <v>686</v>
      </c>
      <c r="B1784" s="231" t="s">
        <v>1864</v>
      </c>
      <c r="C1784" s="618">
        <v>45046</v>
      </c>
      <c r="D1784" s="231" t="s">
        <v>4875</v>
      </c>
      <c r="E1784" s="231" t="s">
        <v>5076</v>
      </c>
      <c r="F1784" s="619">
        <v>45</v>
      </c>
      <c r="G1784" s="231" t="s">
        <v>4851</v>
      </c>
      <c r="H1784" s="619"/>
      <c r="I1784" s="619"/>
      <c r="J1784" s="620">
        <v>12604213.76</v>
      </c>
      <c r="K1784" s="621" t="s">
        <v>1130</v>
      </c>
      <c r="L1784" s="621" t="s">
        <v>4852</v>
      </c>
      <c r="M1784" s="621" t="s">
        <v>4876</v>
      </c>
      <c r="N1784" s="621" t="s">
        <v>4866</v>
      </c>
      <c r="O1784" s="621"/>
      <c r="P1784" s="621"/>
    </row>
    <row r="1785" spans="1:16">
      <c r="A1785" s="232" t="s">
        <v>686</v>
      </c>
      <c r="B1785" s="232" t="s">
        <v>1864</v>
      </c>
      <c r="C1785" s="622">
        <v>45046</v>
      </c>
      <c r="D1785" s="232" t="s">
        <v>4875</v>
      </c>
      <c r="E1785" s="231" t="s">
        <v>5076</v>
      </c>
      <c r="F1785" s="233">
        <v>42</v>
      </c>
      <c r="G1785" s="232" t="s">
        <v>4851</v>
      </c>
      <c r="H1785" s="233"/>
      <c r="I1785" s="233"/>
      <c r="J1785" s="623">
        <v>11763932.84</v>
      </c>
      <c r="K1785" s="624" t="s">
        <v>1130</v>
      </c>
      <c r="L1785" s="624" t="s">
        <v>4852</v>
      </c>
      <c r="M1785" s="624" t="s">
        <v>4876</v>
      </c>
      <c r="N1785" s="624" t="s">
        <v>4866</v>
      </c>
      <c r="O1785" s="624"/>
      <c r="P1785" s="624"/>
    </row>
    <row r="1786" spans="1:16">
      <c r="A1786" s="231" t="s">
        <v>686</v>
      </c>
      <c r="B1786" s="231" t="s">
        <v>1864</v>
      </c>
      <c r="C1786" s="618">
        <v>45046</v>
      </c>
      <c r="D1786" s="231" t="s">
        <v>4875</v>
      </c>
      <c r="E1786" s="231" t="s">
        <v>5076</v>
      </c>
      <c r="F1786" s="619">
        <v>45</v>
      </c>
      <c r="G1786" s="231" t="s">
        <v>4851</v>
      </c>
      <c r="H1786" s="619"/>
      <c r="I1786" s="619"/>
      <c r="J1786" s="620">
        <v>12604213.76</v>
      </c>
      <c r="K1786" s="621" t="s">
        <v>1130</v>
      </c>
      <c r="L1786" s="621" t="s">
        <v>4852</v>
      </c>
      <c r="M1786" s="621" t="s">
        <v>4876</v>
      </c>
      <c r="N1786" s="621" t="s">
        <v>4866</v>
      </c>
      <c r="O1786" s="621"/>
      <c r="P1786" s="621"/>
    </row>
    <row r="1787" spans="1:16">
      <c r="A1787" s="232" t="s">
        <v>686</v>
      </c>
      <c r="B1787" s="232" t="s">
        <v>1864</v>
      </c>
      <c r="C1787" s="622">
        <v>45046</v>
      </c>
      <c r="D1787" s="232" t="s">
        <v>4875</v>
      </c>
      <c r="E1787" s="231" t="s">
        <v>5076</v>
      </c>
      <c r="F1787" s="233">
        <v>36</v>
      </c>
      <c r="G1787" s="232" t="s">
        <v>4851</v>
      </c>
      <c r="H1787" s="233"/>
      <c r="I1787" s="233"/>
      <c r="J1787" s="623">
        <v>10083371</v>
      </c>
      <c r="K1787" s="624" t="s">
        <v>1130</v>
      </c>
      <c r="L1787" s="624" t="s">
        <v>4852</v>
      </c>
      <c r="M1787" s="624" t="s">
        <v>4876</v>
      </c>
      <c r="N1787" s="624" t="s">
        <v>4866</v>
      </c>
      <c r="O1787" s="624"/>
      <c r="P1787" s="624"/>
    </row>
    <row r="1788" spans="1:16">
      <c r="A1788" s="231" t="s">
        <v>686</v>
      </c>
      <c r="B1788" s="231" t="s">
        <v>1864</v>
      </c>
      <c r="C1788" s="618">
        <v>45046</v>
      </c>
      <c r="D1788" s="231" t="s">
        <v>4875</v>
      </c>
      <c r="E1788" s="231" t="s">
        <v>5076</v>
      </c>
      <c r="F1788" s="619">
        <v>47</v>
      </c>
      <c r="G1788" s="231" t="s">
        <v>4851</v>
      </c>
      <c r="H1788" s="619"/>
      <c r="I1788" s="619"/>
      <c r="J1788" s="620">
        <v>13164401.029999999</v>
      </c>
      <c r="K1788" s="621" t="s">
        <v>1130</v>
      </c>
      <c r="L1788" s="621" t="s">
        <v>4852</v>
      </c>
      <c r="M1788" s="621" t="s">
        <v>4876</v>
      </c>
      <c r="N1788" s="621" t="s">
        <v>4866</v>
      </c>
      <c r="O1788" s="621"/>
      <c r="P1788" s="621"/>
    </row>
    <row r="1789" spans="1:16">
      <c r="A1789" s="232" t="s">
        <v>686</v>
      </c>
      <c r="B1789" s="232" t="s">
        <v>1864</v>
      </c>
      <c r="C1789" s="622">
        <v>45046</v>
      </c>
      <c r="D1789" s="232" t="s">
        <v>4875</v>
      </c>
      <c r="E1789" s="231" t="s">
        <v>5076</v>
      </c>
      <c r="F1789" s="233">
        <v>43</v>
      </c>
      <c r="G1789" s="232" t="s">
        <v>4851</v>
      </c>
      <c r="H1789" s="233"/>
      <c r="I1789" s="233"/>
      <c r="J1789" s="623">
        <v>12044026.48</v>
      </c>
      <c r="K1789" s="624" t="s">
        <v>1130</v>
      </c>
      <c r="L1789" s="624" t="s">
        <v>4852</v>
      </c>
      <c r="M1789" s="624" t="s">
        <v>4876</v>
      </c>
      <c r="N1789" s="624" t="s">
        <v>4866</v>
      </c>
      <c r="O1789" s="624"/>
      <c r="P1789" s="624"/>
    </row>
    <row r="1790" spans="1:16">
      <c r="A1790" s="231" t="s">
        <v>686</v>
      </c>
      <c r="B1790" s="231" t="s">
        <v>1864</v>
      </c>
      <c r="C1790" s="618">
        <v>45046</v>
      </c>
      <c r="D1790" s="231" t="s">
        <v>4875</v>
      </c>
      <c r="E1790" s="231" t="s">
        <v>5076</v>
      </c>
      <c r="F1790" s="619">
        <v>34</v>
      </c>
      <c r="G1790" s="231" t="s">
        <v>4851</v>
      </c>
      <c r="H1790" s="619"/>
      <c r="I1790" s="619"/>
      <c r="J1790" s="620">
        <v>9523183.7300000004</v>
      </c>
      <c r="K1790" s="621" t="s">
        <v>1130</v>
      </c>
      <c r="L1790" s="621" t="s">
        <v>4852</v>
      </c>
      <c r="M1790" s="621" t="s">
        <v>4876</v>
      </c>
      <c r="N1790" s="621" t="s">
        <v>4866</v>
      </c>
      <c r="O1790" s="621"/>
      <c r="P1790" s="621"/>
    </row>
    <row r="1791" spans="1:16">
      <c r="A1791" s="232" t="s">
        <v>686</v>
      </c>
      <c r="B1791" s="232" t="s">
        <v>1864</v>
      </c>
      <c r="C1791" s="622">
        <v>45046</v>
      </c>
      <c r="D1791" s="232" t="s">
        <v>4875</v>
      </c>
      <c r="E1791" s="231" t="s">
        <v>5076</v>
      </c>
      <c r="F1791" s="233">
        <v>36</v>
      </c>
      <c r="G1791" s="232" t="s">
        <v>4851</v>
      </c>
      <c r="H1791" s="233"/>
      <c r="I1791" s="233"/>
      <c r="J1791" s="623">
        <v>10083371</v>
      </c>
      <c r="K1791" s="624" t="s">
        <v>1130</v>
      </c>
      <c r="L1791" s="624" t="s">
        <v>4852</v>
      </c>
      <c r="M1791" s="624" t="s">
        <v>4876</v>
      </c>
      <c r="N1791" s="624" t="s">
        <v>4866</v>
      </c>
      <c r="O1791" s="624"/>
      <c r="P1791" s="624"/>
    </row>
    <row r="1792" spans="1:16">
      <c r="A1792" s="231" t="s">
        <v>686</v>
      </c>
      <c r="B1792" s="231" t="s">
        <v>1864</v>
      </c>
      <c r="C1792" s="618">
        <v>45046</v>
      </c>
      <c r="D1792" s="231" t="s">
        <v>4875</v>
      </c>
      <c r="E1792" s="231" t="s">
        <v>5076</v>
      </c>
      <c r="F1792" s="619">
        <v>55</v>
      </c>
      <c r="G1792" s="231" t="s">
        <v>4851</v>
      </c>
      <c r="H1792" s="619"/>
      <c r="I1792" s="619"/>
      <c r="J1792" s="620">
        <v>15405150.15</v>
      </c>
      <c r="K1792" s="621" t="s">
        <v>1130</v>
      </c>
      <c r="L1792" s="621" t="s">
        <v>4852</v>
      </c>
      <c r="M1792" s="621" t="s">
        <v>4876</v>
      </c>
      <c r="N1792" s="621" t="s">
        <v>4866</v>
      </c>
      <c r="O1792" s="621"/>
      <c r="P1792" s="621"/>
    </row>
    <row r="1793" spans="1:16">
      <c r="A1793" s="232" t="s">
        <v>686</v>
      </c>
      <c r="B1793" s="232" t="s">
        <v>1864</v>
      </c>
      <c r="C1793" s="622">
        <v>45046</v>
      </c>
      <c r="D1793" s="232" t="s">
        <v>4875</v>
      </c>
      <c r="E1793" s="231" t="s">
        <v>5076</v>
      </c>
      <c r="F1793" s="233">
        <v>38</v>
      </c>
      <c r="G1793" s="232" t="s">
        <v>4851</v>
      </c>
      <c r="H1793" s="233"/>
      <c r="I1793" s="233"/>
      <c r="J1793" s="623">
        <v>10643558.279999999</v>
      </c>
      <c r="K1793" s="624" t="s">
        <v>1130</v>
      </c>
      <c r="L1793" s="624" t="s">
        <v>4852</v>
      </c>
      <c r="M1793" s="624" t="s">
        <v>4876</v>
      </c>
      <c r="N1793" s="624" t="s">
        <v>4866</v>
      </c>
      <c r="O1793" s="624"/>
      <c r="P1793" s="624"/>
    </row>
    <row r="1794" spans="1:16">
      <c r="A1794" s="231" t="s">
        <v>686</v>
      </c>
      <c r="B1794" s="231" t="s">
        <v>1864</v>
      </c>
      <c r="C1794" s="618">
        <v>45046</v>
      </c>
      <c r="D1794" s="231" t="s">
        <v>4875</v>
      </c>
      <c r="E1794" s="231" t="s">
        <v>5076</v>
      </c>
      <c r="F1794" s="619">
        <v>55</v>
      </c>
      <c r="G1794" s="231" t="s">
        <v>4851</v>
      </c>
      <c r="H1794" s="619"/>
      <c r="I1794" s="619"/>
      <c r="J1794" s="620">
        <v>15405150.15</v>
      </c>
      <c r="K1794" s="621" t="s">
        <v>1130</v>
      </c>
      <c r="L1794" s="621" t="s">
        <v>4852</v>
      </c>
      <c r="M1794" s="621" t="s">
        <v>4876</v>
      </c>
      <c r="N1794" s="621" t="s">
        <v>4866</v>
      </c>
      <c r="O1794" s="621"/>
      <c r="P1794" s="621"/>
    </row>
    <row r="1795" spans="1:16">
      <c r="A1795" s="232" t="s">
        <v>686</v>
      </c>
      <c r="B1795" s="232" t="s">
        <v>1864</v>
      </c>
      <c r="C1795" s="622">
        <v>45046</v>
      </c>
      <c r="D1795" s="232" t="s">
        <v>4875</v>
      </c>
      <c r="E1795" s="231" t="s">
        <v>5076</v>
      </c>
      <c r="F1795" s="233">
        <v>47</v>
      </c>
      <c r="G1795" s="232" t="s">
        <v>4851</v>
      </c>
      <c r="H1795" s="233"/>
      <c r="I1795" s="233"/>
      <c r="J1795" s="623">
        <v>13164401.029999999</v>
      </c>
      <c r="K1795" s="624" t="s">
        <v>1130</v>
      </c>
      <c r="L1795" s="624" t="s">
        <v>4852</v>
      </c>
      <c r="M1795" s="624" t="s">
        <v>4876</v>
      </c>
      <c r="N1795" s="624" t="s">
        <v>4866</v>
      </c>
      <c r="O1795" s="624"/>
      <c r="P1795" s="624"/>
    </row>
    <row r="1796" spans="1:16">
      <c r="A1796" s="231" t="s">
        <v>686</v>
      </c>
      <c r="B1796" s="231" t="s">
        <v>1864</v>
      </c>
      <c r="C1796" s="618">
        <v>45046</v>
      </c>
      <c r="D1796" s="231" t="s">
        <v>4875</v>
      </c>
      <c r="E1796" s="231" t="s">
        <v>5076</v>
      </c>
      <c r="F1796" s="619">
        <v>43</v>
      </c>
      <c r="G1796" s="231" t="s">
        <v>4851</v>
      </c>
      <c r="H1796" s="619"/>
      <c r="I1796" s="619"/>
      <c r="J1796" s="620">
        <v>12044026.48</v>
      </c>
      <c r="K1796" s="621" t="s">
        <v>1130</v>
      </c>
      <c r="L1796" s="621" t="s">
        <v>4852</v>
      </c>
      <c r="M1796" s="621" t="s">
        <v>4876</v>
      </c>
      <c r="N1796" s="621" t="s">
        <v>4866</v>
      </c>
      <c r="O1796" s="621"/>
      <c r="P1796" s="621"/>
    </row>
    <row r="1797" spans="1:16">
      <c r="A1797" s="232" t="s">
        <v>686</v>
      </c>
      <c r="B1797" s="232" t="s">
        <v>1864</v>
      </c>
      <c r="C1797" s="622">
        <v>45046</v>
      </c>
      <c r="D1797" s="232" t="s">
        <v>4875</v>
      </c>
      <c r="E1797" s="231" t="s">
        <v>5076</v>
      </c>
      <c r="F1797" s="233">
        <v>36</v>
      </c>
      <c r="G1797" s="232" t="s">
        <v>4851</v>
      </c>
      <c r="H1797" s="233"/>
      <c r="I1797" s="233"/>
      <c r="J1797" s="623">
        <v>10083371</v>
      </c>
      <c r="K1797" s="624" t="s">
        <v>1130</v>
      </c>
      <c r="L1797" s="624" t="s">
        <v>4852</v>
      </c>
      <c r="M1797" s="624" t="s">
        <v>4876</v>
      </c>
      <c r="N1797" s="624" t="s">
        <v>4866</v>
      </c>
      <c r="O1797" s="624"/>
      <c r="P1797" s="624"/>
    </row>
    <row r="1798" spans="1:16">
      <c r="A1798" s="231" t="s">
        <v>686</v>
      </c>
      <c r="B1798" s="231" t="s">
        <v>1864</v>
      </c>
      <c r="C1798" s="618">
        <v>45046</v>
      </c>
      <c r="D1798" s="231" t="s">
        <v>4862</v>
      </c>
      <c r="E1798" s="231"/>
      <c r="F1798" s="619">
        <v>50</v>
      </c>
      <c r="G1798" s="231" t="s">
        <v>4851</v>
      </c>
      <c r="H1798" s="619"/>
      <c r="I1798" s="619"/>
      <c r="J1798" s="620">
        <v>23250000</v>
      </c>
      <c r="K1798" s="621" t="s">
        <v>1130</v>
      </c>
      <c r="L1798" s="621" t="s">
        <v>4852</v>
      </c>
      <c r="M1798" s="621" t="s">
        <v>4863</v>
      </c>
      <c r="N1798" s="621" t="s">
        <v>4754</v>
      </c>
      <c r="O1798" s="621"/>
      <c r="P1798" s="621"/>
    </row>
    <row r="1799" spans="1:16">
      <c r="A1799" s="232" t="s">
        <v>686</v>
      </c>
      <c r="B1799" s="232" t="s">
        <v>1864</v>
      </c>
      <c r="C1799" s="622">
        <v>45046</v>
      </c>
      <c r="D1799" s="232" t="s">
        <v>4869</v>
      </c>
      <c r="E1799" s="232"/>
      <c r="F1799" s="233">
        <v>49</v>
      </c>
      <c r="G1799" s="232" t="s">
        <v>4851</v>
      </c>
      <c r="H1799" s="233"/>
      <c r="I1799" s="233"/>
      <c r="J1799" s="623">
        <v>21560000</v>
      </c>
      <c r="K1799" s="624" t="s">
        <v>1130</v>
      </c>
      <c r="L1799" s="624" t="s">
        <v>4852</v>
      </c>
      <c r="M1799" s="624" t="s">
        <v>4867</v>
      </c>
      <c r="N1799" s="624" t="s">
        <v>4754</v>
      </c>
      <c r="O1799" s="624"/>
      <c r="P1799" s="624"/>
    </row>
    <row r="1800" spans="1:16">
      <c r="A1800" s="231" t="s">
        <v>686</v>
      </c>
      <c r="B1800" s="231" t="s">
        <v>1864</v>
      </c>
      <c r="C1800" s="618">
        <v>45046</v>
      </c>
      <c r="D1800" s="231" t="s">
        <v>4869</v>
      </c>
      <c r="E1800" s="231"/>
      <c r="F1800" s="619">
        <v>49</v>
      </c>
      <c r="G1800" s="231" t="s">
        <v>4851</v>
      </c>
      <c r="H1800" s="619"/>
      <c r="I1800" s="619"/>
      <c r="J1800" s="620">
        <v>21560000</v>
      </c>
      <c r="K1800" s="621" t="s">
        <v>1130</v>
      </c>
      <c r="L1800" s="621" t="s">
        <v>4852</v>
      </c>
      <c r="M1800" s="621" t="s">
        <v>4867</v>
      </c>
      <c r="N1800" s="621" t="s">
        <v>4754</v>
      </c>
      <c r="O1800" s="621"/>
      <c r="P1800" s="621"/>
    </row>
    <row r="1801" spans="1:16">
      <c r="A1801" s="232" t="s">
        <v>686</v>
      </c>
      <c r="B1801" s="232" t="s">
        <v>1864</v>
      </c>
      <c r="C1801" s="622">
        <v>45046</v>
      </c>
      <c r="D1801" s="232" t="s">
        <v>4875</v>
      </c>
      <c r="E1801" s="231" t="s">
        <v>5076</v>
      </c>
      <c r="F1801" s="233">
        <v>36</v>
      </c>
      <c r="G1801" s="232" t="s">
        <v>4851</v>
      </c>
      <c r="H1801" s="233"/>
      <c r="I1801" s="233"/>
      <c r="J1801" s="623">
        <v>10083371</v>
      </c>
      <c r="K1801" s="624" t="s">
        <v>1130</v>
      </c>
      <c r="L1801" s="624" t="s">
        <v>4852</v>
      </c>
      <c r="M1801" s="624" t="s">
        <v>4876</v>
      </c>
      <c r="N1801" s="624" t="s">
        <v>4866</v>
      </c>
      <c r="O1801" s="624"/>
      <c r="P1801" s="624"/>
    </row>
    <row r="1802" spans="1:16">
      <c r="A1802" s="231" t="s">
        <v>686</v>
      </c>
      <c r="B1802" s="231" t="s">
        <v>1864</v>
      </c>
      <c r="C1802" s="618">
        <v>45046</v>
      </c>
      <c r="D1802" s="231" t="s">
        <v>4875</v>
      </c>
      <c r="E1802" s="231" t="s">
        <v>5076</v>
      </c>
      <c r="F1802" s="619">
        <v>2</v>
      </c>
      <c r="G1802" s="231" t="s">
        <v>4851</v>
      </c>
      <c r="H1802" s="619"/>
      <c r="I1802" s="619"/>
      <c r="J1802" s="620">
        <v>560187.28</v>
      </c>
      <c r="K1802" s="621" t="s">
        <v>1130</v>
      </c>
      <c r="L1802" s="621" t="s">
        <v>4852</v>
      </c>
      <c r="M1802" s="621" t="s">
        <v>4876</v>
      </c>
      <c r="N1802" s="621" t="s">
        <v>4866</v>
      </c>
      <c r="O1802" s="621"/>
      <c r="P1802" s="621"/>
    </row>
    <row r="1803" spans="1:16">
      <c r="A1803" s="232" t="s">
        <v>686</v>
      </c>
      <c r="B1803" s="232" t="s">
        <v>1864</v>
      </c>
      <c r="C1803" s="622">
        <v>45046</v>
      </c>
      <c r="D1803" s="232" t="s">
        <v>4875</v>
      </c>
      <c r="E1803" s="231" t="s">
        <v>5076</v>
      </c>
      <c r="F1803" s="233">
        <v>7</v>
      </c>
      <c r="G1803" s="232" t="s">
        <v>4851</v>
      </c>
      <c r="H1803" s="233"/>
      <c r="I1803" s="233"/>
      <c r="J1803" s="623">
        <v>1960655.47</v>
      </c>
      <c r="K1803" s="624" t="s">
        <v>1130</v>
      </c>
      <c r="L1803" s="624" t="s">
        <v>4852</v>
      </c>
      <c r="M1803" s="624" t="s">
        <v>4876</v>
      </c>
      <c r="N1803" s="624" t="s">
        <v>4866</v>
      </c>
      <c r="O1803" s="624"/>
      <c r="P1803" s="624"/>
    </row>
    <row r="1804" spans="1:16">
      <c r="A1804" s="231" t="s">
        <v>686</v>
      </c>
      <c r="B1804" s="231" t="s">
        <v>1864</v>
      </c>
      <c r="C1804" s="618">
        <v>45046</v>
      </c>
      <c r="D1804" s="231" t="s">
        <v>4875</v>
      </c>
      <c r="E1804" s="231" t="s">
        <v>5076</v>
      </c>
      <c r="F1804" s="619">
        <v>45</v>
      </c>
      <c r="G1804" s="231" t="s">
        <v>4851</v>
      </c>
      <c r="H1804" s="619"/>
      <c r="I1804" s="619"/>
      <c r="J1804" s="620">
        <v>12604213.76</v>
      </c>
      <c r="K1804" s="621" t="s">
        <v>1130</v>
      </c>
      <c r="L1804" s="621" t="s">
        <v>4852</v>
      </c>
      <c r="M1804" s="621" t="s">
        <v>4876</v>
      </c>
      <c r="N1804" s="621" t="s">
        <v>4866</v>
      </c>
      <c r="O1804" s="621"/>
      <c r="P1804" s="621"/>
    </row>
    <row r="1805" spans="1:16">
      <c r="A1805" s="232" t="s">
        <v>686</v>
      </c>
      <c r="B1805" s="232" t="s">
        <v>1864</v>
      </c>
      <c r="C1805" s="622">
        <v>45046</v>
      </c>
      <c r="D1805" s="232" t="s">
        <v>4875</v>
      </c>
      <c r="E1805" s="231" t="s">
        <v>5076</v>
      </c>
      <c r="F1805" s="233">
        <v>9</v>
      </c>
      <c r="G1805" s="232" t="s">
        <v>4851</v>
      </c>
      <c r="H1805" s="233"/>
      <c r="I1805" s="233"/>
      <c r="J1805" s="623">
        <v>2520842.75</v>
      </c>
      <c r="K1805" s="624" t="s">
        <v>1130</v>
      </c>
      <c r="L1805" s="624" t="s">
        <v>4852</v>
      </c>
      <c r="M1805" s="624" t="s">
        <v>4876</v>
      </c>
      <c r="N1805" s="624" t="s">
        <v>4866</v>
      </c>
      <c r="O1805" s="624"/>
      <c r="P1805" s="624"/>
    </row>
    <row r="1806" spans="1:16">
      <c r="A1806" s="231" t="s">
        <v>686</v>
      </c>
      <c r="B1806" s="231" t="s">
        <v>1864</v>
      </c>
      <c r="C1806" s="618">
        <v>45046</v>
      </c>
      <c r="D1806" s="231" t="s">
        <v>4875</v>
      </c>
      <c r="E1806" s="231" t="s">
        <v>5076</v>
      </c>
      <c r="F1806" s="619">
        <v>55</v>
      </c>
      <c r="G1806" s="231" t="s">
        <v>4851</v>
      </c>
      <c r="H1806" s="619"/>
      <c r="I1806" s="619"/>
      <c r="J1806" s="620">
        <v>15405150.15</v>
      </c>
      <c r="K1806" s="621" t="s">
        <v>1130</v>
      </c>
      <c r="L1806" s="621" t="s">
        <v>4852</v>
      </c>
      <c r="M1806" s="621" t="s">
        <v>4876</v>
      </c>
      <c r="N1806" s="621" t="s">
        <v>4866</v>
      </c>
      <c r="O1806" s="621"/>
      <c r="P1806" s="621"/>
    </row>
    <row r="1807" spans="1:16">
      <c r="A1807" s="232" t="s">
        <v>686</v>
      </c>
      <c r="B1807" s="232" t="s">
        <v>1864</v>
      </c>
      <c r="C1807" s="622">
        <v>45046</v>
      </c>
      <c r="D1807" s="232" t="s">
        <v>4875</v>
      </c>
      <c r="E1807" s="231" t="s">
        <v>5076</v>
      </c>
      <c r="F1807" s="233">
        <v>55</v>
      </c>
      <c r="G1807" s="232" t="s">
        <v>4851</v>
      </c>
      <c r="H1807" s="233"/>
      <c r="I1807" s="233"/>
      <c r="J1807" s="623">
        <v>15405150.15</v>
      </c>
      <c r="K1807" s="624" t="s">
        <v>1130</v>
      </c>
      <c r="L1807" s="624" t="s">
        <v>4852</v>
      </c>
      <c r="M1807" s="624" t="s">
        <v>4876</v>
      </c>
      <c r="N1807" s="624" t="s">
        <v>4866</v>
      </c>
      <c r="O1807" s="624"/>
      <c r="P1807" s="624"/>
    </row>
    <row r="1808" spans="1:16">
      <c r="A1808" s="231" t="s">
        <v>686</v>
      </c>
      <c r="B1808" s="231" t="s">
        <v>1864</v>
      </c>
      <c r="C1808" s="618">
        <v>45046</v>
      </c>
      <c r="D1808" s="231" t="s">
        <v>4875</v>
      </c>
      <c r="E1808" s="231" t="s">
        <v>5076</v>
      </c>
      <c r="F1808" s="619">
        <v>35</v>
      </c>
      <c r="G1808" s="231" t="s">
        <v>4851</v>
      </c>
      <c r="H1808" s="619"/>
      <c r="I1808" s="619"/>
      <c r="J1808" s="620">
        <v>9803277.3699999992</v>
      </c>
      <c r="K1808" s="621" t="s">
        <v>1130</v>
      </c>
      <c r="L1808" s="621" t="s">
        <v>4852</v>
      </c>
      <c r="M1808" s="621" t="s">
        <v>4876</v>
      </c>
      <c r="N1808" s="621" t="s">
        <v>4866</v>
      </c>
      <c r="O1808" s="621"/>
      <c r="P1808" s="621"/>
    </row>
    <row r="1809" spans="1:16">
      <c r="A1809" s="232" t="s">
        <v>686</v>
      </c>
      <c r="B1809" s="232" t="s">
        <v>1864</v>
      </c>
      <c r="C1809" s="622">
        <v>45046</v>
      </c>
      <c r="D1809" s="232" t="s">
        <v>4875</v>
      </c>
      <c r="E1809" s="231" t="s">
        <v>5076</v>
      </c>
      <c r="F1809" s="233">
        <v>36</v>
      </c>
      <c r="G1809" s="232" t="s">
        <v>4851</v>
      </c>
      <c r="H1809" s="233"/>
      <c r="I1809" s="233"/>
      <c r="J1809" s="623">
        <v>10083371</v>
      </c>
      <c r="K1809" s="624" t="s">
        <v>1130</v>
      </c>
      <c r="L1809" s="624" t="s">
        <v>4852</v>
      </c>
      <c r="M1809" s="624" t="s">
        <v>4876</v>
      </c>
      <c r="N1809" s="624" t="s">
        <v>4866</v>
      </c>
      <c r="O1809" s="624"/>
      <c r="P1809" s="624"/>
    </row>
    <row r="1810" spans="1:16">
      <c r="A1810" s="231" t="s">
        <v>686</v>
      </c>
      <c r="B1810" s="231" t="s">
        <v>1864</v>
      </c>
      <c r="C1810" s="618">
        <v>45046</v>
      </c>
      <c r="D1810" s="231" t="s">
        <v>4875</v>
      </c>
      <c r="E1810" s="231" t="s">
        <v>5076</v>
      </c>
      <c r="F1810" s="619">
        <v>35</v>
      </c>
      <c r="G1810" s="231" t="s">
        <v>4851</v>
      </c>
      <c r="H1810" s="619"/>
      <c r="I1810" s="619"/>
      <c r="J1810" s="620">
        <v>9803277.3699999992</v>
      </c>
      <c r="K1810" s="621" t="s">
        <v>1130</v>
      </c>
      <c r="L1810" s="621" t="s">
        <v>4852</v>
      </c>
      <c r="M1810" s="621" t="s">
        <v>4876</v>
      </c>
      <c r="N1810" s="621" t="s">
        <v>4866</v>
      </c>
      <c r="O1810" s="621"/>
      <c r="P1810" s="621"/>
    </row>
    <row r="1811" spans="1:16">
      <c r="A1811" s="232" t="s">
        <v>686</v>
      </c>
      <c r="B1811" s="232" t="s">
        <v>1864</v>
      </c>
      <c r="C1811" s="622">
        <v>45046</v>
      </c>
      <c r="D1811" s="232" t="s">
        <v>4875</v>
      </c>
      <c r="E1811" s="231" t="s">
        <v>5076</v>
      </c>
      <c r="F1811" s="233">
        <v>55</v>
      </c>
      <c r="G1811" s="232" t="s">
        <v>4851</v>
      </c>
      <c r="H1811" s="233"/>
      <c r="I1811" s="233"/>
      <c r="J1811" s="623">
        <v>15405150.15</v>
      </c>
      <c r="K1811" s="624" t="s">
        <v>1130</v>
      </c>
      <c r="L1811" s="624" t="s">
        <v>4852</v>
      </c>
      <c r="M1811" s="624" t="s">
        <v>4876</v>
      </c>
      <c r="N1811" s="624" t="s">
        <v>4866</v>
      </c>
      <c r="O1811" s="624"/>
      <c r="P1811" s="624"/>
    </row>
    <row r="1812" spans="1:16">
      <c r="A1812" s="231" t="s">
        <v>686</v>
      </c>
      <c r="B1812" s="231" t="s">
        <v>1864</v>
      </c>
      <c r="C1812" s="618">
        <v>45046</v>
      </c>
      <c r="D1812" s="231" t="s">
        <v>4875</v>
      </c>
      <c r="E1812" s="231" t="s">
        <v>5076</v>
      </c>
      <c r="F1812" s="619">
        <v>42</v>
      </c>
      <c r="G1812" s="231" t="s">
        <v>4851</v>
      </c>
      <c r="H1812" s="619"/>
      <c r="I1812" s="619"/>
      <c r="J1812" s="620">
        <v>11763932.84</v>
      </c>
      <c r="K1812" s="621" t="s">
        <v>1130</v>
      </c>
      <c r="L1812" s="621" t="s">
        <v>4852</v>
      </c>
      <c r="M1812" s="621" t="s">
        <v>4876</v>
      </c>
      <c r="N1812" s="621" t="s">
        <v>4866</v>
      </c>
      <c r="O1812" s="621"/>
      <c r="P1812" s="621"/>
    </row>
    <row r="1813" spans="1:16">
      <c r="A1813" s="232" t="s">
        <v>686</v>
      </c>
      <c r="B1813" s="232" t="s">
        <v>1864</v>
      </c>
      <c r="C1813" s="622">
        <v>45046</v>
      </c>
      <c r="D1813" s="232" t="s">
        <v>4869</v>
      </c>
      <c r="E1813" s="232"/>
      <c r="F1813" s="233">
        <v>49</v>
      </c>
      <c r="G1813" s="232" t="s">
        <v>4851</v>
      </c>
      <c r="H1813" s="233"/>
      <c r="I1813" s="233"/>
      <c r="J1813" s="623">
        <v>21560000</v>
      </c>
      <c r="K1813" s="624" t="s">
        <v>1130</v>
      </c>
      <c r="L1813" s="624" t="s">
        <v>4852</v>
      </c>
      <c r="M1813" s="624" t="s">
        <v>4867</v>
      </c>
      <c r="N1813" s="624" t="s">
        <v>4754</v>
      </c>
      <c r="O1813" s="624"/>
      <c r="P1813" s="624"/>
    </row>
    <row r="1814" spans="1:16">
      <c r="A1814" s="231" t="s">
        <v>686</v>
      </c>
      <c r="B1814" s="231" t="s">
        <v>1864</v>
      </c>
      <c r="C1814" s="618">
        <v>45046</v>
      </c>
      <c r="D1814" s="231" t="s">
        <v>4869</v>
      </c>
      <c r="E1814" s="231"/>
      <c r="F1814" s="619">
        <v>49</v>
      </c>
      <c r="G1814" s="231" t="s">
        <v>4851</v>
      </c>
      <c r="H1814" s="619"/>
      <c r="I1814" s="619"/>
      <c r="J1814" s="620">
        <v>21560000</v>
      </c>
      <c r="K1814" s="621" t="s">
        <v>1130</v>
      </c>
      <c r="L1814" s="621" t="s">
        <v>4852</v>
      </c>
      <c r="M1814" s="621" t="s">
        <v>4867</v>
      </c>
      <c r="N1814" s="621" t="s">
        <v>4754</v>
      </c>
      <c r="O1814" s="621"/>
      <c r="P1814" s="621"/>
    </row>
    <row r="1815" spans="1:16">
      <c r="A1815" s="232" t="s">
        <v>686</v>
      </c>
      <c r="B1815" s="232" t="s">
        <v>1864</v>
      </c>
      <c r="C1815" s="622">
        <v>45046</v>
      </c>
      <c r="D1815" s="232" t="s">
        <v>4869</v>
      </c>
      <c r="E1815" s="232"/>
      <c r="F1815" s="233">
        <v>49</v>
      </c>
      <c r="G1815" s="232" t="s">
        <v>4851</v>
      </c>
      <c r="H1815" s="233"/>
      <c r="I1815" s="233"/>
      <c r="J1815" s="623">
        <v>21560000</v>
      </c>
      <c r="K1815" s="624" t="s">
        <v>1130</v>
      </c>
      <c r="L1815" s="624" t="s">
        <v>4852</v>
      </c>
      <c r="M1815" s="624" t="s">
        <v>4867</v>
      </c>
      <c r="N1815" s="624" t="s">
        <v>4754</v>
      </c>
      <c r="O1815" s="624"/>
      <c r="P1815" s="624"/>
    </row>
    <row r="1816" spans="1:16">
      <c r="A1816" s="231" t="s">
        <v>686</v>
      </c>
      <c r="B1816" s="231" t="s">
        <v>1864</v>
      </c>
      <c r="C1816" s="618">
        <v>45046</v>
      </c>
      <c r="D1816" s="231" t="s">
        <v>4862</v>
      </c>
      <c r="E1816" s="231"/>
      <c r="F1816" s="619">
        <v>50</v>
      </c>
      <c r="G1816" s="231" t="s">
        <v>4851</v>
      </c>
      <c r="H1816" s="619"/>
      <c r="I1816" s="619"/>
      <c r="J1816" s="620">
        <v>23250000</v>
      </c>
      <c r="K1816" s="621" t="s">
        <v>1130</v>
      </c>
      <c r="L1816" s="621" t="s">
        <v>4852</v>
      </c>
      <c r="M1816" s="621" t="s">
        <v>4863</v>
      </c>
      <c r="N1816" s="621" t="s">
        <v>4754</v>
      </c>
      <c r="O1816" s="621"/>
      <c r="P1816" s="621"/>
    </row>
    <row r="1817" spans="1:16">
      <c r="A1817" s="232" t="s">
        <v>686</v>
      </c>
      <c r="B1817" s="232" t="s">
        <v>1864</v>
      </c>
      <c r="C1817" s="622">
        <v>45046</v>
      </c>
      <c r="D1817" s="232" t="s">
        <v>4875</v>
      </c>
      <c r="E1817" s="231" t="s">
        <v>5076</v>
      </c>
      <c r="F1817" s="233">
        <v>14</v>
      </c>
      <c r="G1817" s="232" t="s">
        <v>4851</v>
      </c>
      <c r="H1817" s="233"/>
      <c r="I1817" s="233"/>
      <c r="J1817" s="623">
        <v>3921310.95</v>
      </c>
      <c r="K1817" s="624" t="s">
        <v>1130</v>
      </c>
      <c r="L1817" s="624" t="s">
        <v>4852</v>
      </c>
      <c r="M1817" s="624" t="s">
        <v>4876</v>
      </c>
      <c r="N1817" s="624" t="s">
        <v>4866</v>
      </c>
      <c r="O1817" s="624"/>
      <c r="P1817" s="624"/>
    </row>
    <row r="1818" spans="1:16">
      <c r="A1818" s="231" t="s">
        <v>686</v>
      </c>
      <c r="B1818" s="231" t="s">
        <v>1864</v>
      </c>
      <c r="C1818" s="618">
        <v>45046</v>
      </c>
      <c r="D1818" s="231" t="s">
        <v>4875</v>
      </c>
      <c r="E1818" s="231" t="s">
        <v>5076</v>
      </c>
      <c r="F1818" s="619">
        <v>36</v>
      </c>
      <c r="G1818" s="231" t="s">
        <v>4851</v>
      </c>
      <c r="H1818" s="619"/>
      <c r="I1818" s="619"/>
      <c r="J1818" s="620">
        <v>10083371</v>
      </c>
      <c r="K1818" s="621" t="s">
        <v>1130</v>
      </c>
      <c r="L1818" s="621" t="s">
        <v>4852</v>
      </c>
      <c r="M1818" s="621" t="s">
        <v>4876</v>
      </c>
      <c r="N1818" s="621" t="s">
        <v>4866</v>
      </c>
      <c r="O1818" s="621"/>
      <c r="P1818" s="621"/>
    </row>
    <row r="1819" spans="1:16">
      <c r="A1819" s="232" t="s">
        <v>686</v>
      </c>
      <c r="B1819" s="232" t="s">
        <v>1864</v>
      </c>
      <c r="C1819" s="622">
        <v>45046</v>
      </c>
      <c r="D1819" s="232" t="s">
        <v>4875</v>
      </c>
      <c r="E1819" s="231" t="s">
        <v>5076</v>
      </c>
      <c r="F1819" s="233">
        <v>36</v>
      </c>
      <c r="G1819" s="232" t="s">
        <v>4851</v>
      </c>
      <c r="H1819" s="233"/>
      <c r="I1819" s="233"/>
      <c r="J1819" s="623">
        <v>10083371</v>
      </c>
      <c r="K1819" s="624" t="s">
        <v>1130</v>
      </c>
      <c r="L1819" s="624" t="s">
        <v>4852</v>
      </c>
      <c r="M1819" s="624" t="s">
        <v>4876</v>
      </c>
      <c r="N1819" s="624" t="s">
        <v>4866</v>
      </c>
      <c r="O1819" s="624"/>
      <c r="P1819" s="624"/>
    </row>
    <row r="1820" spans="1:16">
      <c r="A1820" s="231" t="s">
        <v>686</v>
      </c>
      <c r="B1820" s="231" t="s">
        <v>1864</v>
      </c>
      <c r="C1820" s="618">
        <v>45046</v>
      </c>
      <c r="D1820" s="231" t="s">
        <v>4875</v>
      </c>
      <c r="E1820" s="231" t="s">
        <v>5076</v>
      </c>
      <c r="F1820" s="619">
        <v>36</v>
      </c>
      <c r="G1820" s="231" t="s">
        <v>4851</v>
      </c>
      <c r="H1820" s="619"/>
      <c r="I1820" s="619"/>
      <c r="J1820" s="620">
        <v>10083371</v>
      </c>
      <c r="K1820" s="621" t="s">
        <v>1130</v>
      </c>
      <c r="L1820" s="621" t="s">
        <v>4852</v>
      </c>
      <c r="M1820" s="621" t="s">
        <v>4876</v>
      </c>
      <c r="N1820" s="621" t="s">
        <v>4866</v>
      </c>
      <c r="O1820" s="621"/>
      <c r="P1820" s="621"/>
    </row>
    <row r="1821" spans="1:16">
      <c r="A1821" s="232" t="s">
        <v>686</v>
      </c>
      <c r="B1821" s="232" t="s">
        <v>1864</v>
      </c>
      <c r="C1821" s="622">
        <v>45046</v>
      </c>
      <c r="D1821" s="232" t="s">
        <v>4875</v>
      </c>
      <c r="E1821" s="231" t="s">
        <v>5076</v>
      </c>
      <c r="F1821" s="233">
        <v>5</v>
      </c>
      <c r="G1821" s="232" t="s">
        <v>4851</v>
      </c>
      <c r="H1821" s="233"/>
      <c r="I1821" s="233"/>
      <c r="J1821" s="623">
        <v>1400468.2</v>
      </c>
      <c r="K1821" s="624" t="s">
        <v>1130</v>
      </c>
      <c r="L1821" s="624" t="s">
        <v>4852</v>
      </c>
      <c r="M1821" s="624" t="s">
        <v>4876</v>
      </c>
      <c r="N1821" s="624" t="s">
        <v>4866</v>
      </c>
      <c r="O1821" s="624"/>
      <c r="P1821" s="624"/>
    </row>
    <row r="1822" spans="1:16">
      <c r="A1822" s="231" t="s">
        <v>686</v>
      </c>
      <c r="B1822" s="231" t="s">
        <v>1864</v>
      </c>
      <c r="C1822" s="618">
        <v>45046</v>
      </c>
      <c r="D1822" s="231" t="s">
        <v>4875</v>
      </c>
      <c r="E1822" s="231" t="s">
        <v>5076</v>
      </c>
      <c r="F1822" s="619">
        <v>34</v>
      </c>
      <c r="G1822" s="231" t="s">
        <v>4851</v>
      </c>
      <c r="H1822" s="619"/>
      <c r="I1822" s="619"/>
      <c r="J1822" s="620">
        <v>9523183.7300000004</v>
      </c>
      <c r="K1822" s="621" t="s">
        <v>1130</v>
      </c>
      <c r="L1822" s="621" t="s">
        <v>4852</v>
      </c>
      <c r="M1822" s="621" t="s">
        <v>4876</v>
      </c>
      <c r="N1822" s="621" t="s">
        <v>4866</v>
      </c>
      <c r="O1822" s="621"/>
      <c r="P1822" s="621"/>
    </row>
    <row r="1823" spans="1:16">
      <c r="A1823" s="232" t="s">
        <v>686</v>
      </c>
      <c r="B1823" s="232" t="s">
        <v>1864</v>
      </c>
      <c r="C1823" s="622">
        <v>45046</v>
      </c>
      <c r="D1823" s="232" t="s">
        <v>4875</v>
      </c>
      <c r="E1823" s="231" t="s">
        <v>5076</v>
      </c>
      <c r="F1823" s="233">
        <v>36</v>
      </c>
      <c r="G1823" s="232" t="s">
        <v>4851</v>
      </c>
      <c r="H1823" s="233"/>
      <c r="I1823" s="233"/>
      <c r="J1823" s="623">
        <v>10083371</v>
      </c>
      <c r="K1823" s="624" t="s">
        <v>1130</v>
      </c>
      <c r="L1823" s="624" t="s">
        <v>4852</v>
      </c>
      <c r="M1823" s="624" t="s">
        <v>4876</v>
      </c>
      <c r="N1823" s="624" t="s">
        <v>4866</v>
      </c>
      <c r="O1823" s="624"/>
      <c r="P1823" s="624"/>
    </row>
    <row r="1824" spans="1:16">
      <c r="A1824" s="231" t="s">
        <v>686</v>
      </c>
      <c r="B1824" s="231" t="s">
        <v>1864</v>
      </c>
      <c r="C1824" s="618">
        <v>45046</v>
      </c>
      <c r="D1824" s="231" t="s">
        <v>4875</v>
      </c>
      <c r="E1824" s="231" t="s">
        <v>5076</v>
      </c>
      <c r="F1824" s="619">
        <v>50</v>
      </c>
      <c r="G1824" s="231" t="s">
        <v>4851</v>
      </c>
      <c r="H1824" s="619"/>
      <c r="I1824" s="619"/>
      <c r="J1824" s="620">
        <v>14004681.949999999</v>
      </c>
      <c r="K1824" s="621" t="s">
        <v>1130</v>
      </c>
      <c r="L1824" s="621" t="s">
        <v>4852</v>
      </c>
      <c r="M1824" s="621" t="s">
        <v>4876</v>
      </c>
      <c r="N1824" s="621" t="s">
        <v>4866</v>
      </c>
      <c r="O1824" s="621"/>
      <c r="P1824" s="621"/>
    </row>
    <row r="1825" spans="1:16">
      <c r="A1825" s="232" t="s">
        <v>686</v>
      </c>
      <c r="B1825" s="232" t="s">
        <v>1864</v>
      </c>
      <c r="C1825" s="622">
        <v>45046</v>
      </c>
      <c r="D1825" s="232" t="s">
        <v>4875</v>
      </c>
      <c r="E1825" s="231" t="s">
        <v>5076</v>
      </c>
      <c r="F1825" s="233">
        <v>36</v>
      </c>
      <c r="G1825" s="232" t="s">
        <v>4851</v>
      </c>
      <c r="H1825" s="233"/>
      <c r="I1825" s="233"/>
      <c r="J1825" s="623">
        <v>10083371</v>
      </c>
      <c r="K1825" s="624" t="s">
        <v>1130</v>
      </c>
      <c r="L1825" s="624" t="s">
        <v>4852</v>
      </c>
      <c r="M1825" s="624" t="s">
        <v>4876</v>
      </c>
      <c r="N1825" s="624" t="s">
        <v>4866</v>
      </c>
      <c r="O1825" s="624"/>
      <c r="P1825" s="624"/>
    </row>
    <row r="1826" spans="1:16">
      <c r="A1826" s="231" t="s">
        <v>686</v>
      </c>
      <c r="B1826" s="231" t="s">
        <v>1864</v>
      </c>
      <c r="C1826" s="618">
        <v>45046</v>
      </c>
      <c r="D1826" s="231" t="s">
        <v>4875</v>
      </c>
      <c r="E1826" s="231" t="s">
        <v>5076</v>
      </c>
      <c r="F1826" s="619">
        <v>55</v>
      </c>
      <c r="G1826" s="231" t="s">
        <v>4851</v>
      </c>
      <c r="H1826" s="619"/>
      <c r="I1826" s="619"/>
      <c r="J1826" s="620">
        <v>15405150.15</v>
      </c>
      <c r="K1826" s="621" t="s">
        <v>1130</v>
      </c>
      <c r="L1826" s="621" t="s">
        <v>4852</v>
      </c>
      <c r="M1826" s="621" t="s">
        <v>4876</v>
      </c>
      <c r="N1826" s="621" t="s">
        <v>4866</v>
      </c>
      <c r="O1826" s="621"/>
      <c r="P1826" s="621"/>
    </row>
    <row r="1827" spans="1:16">
      <c r="A1827" s="232" t="s">
        <v>686</v>
      </c>
      <c r="B1827" s="232" t="s">
        <v>1864</v>
      </c>
      <c r="C1827" s="622">
        <v>45046</v>
      </c>
      <c r="D1827" s="232" t="s">
        <v>4875</v>
      </c>
      <c r="E1827" s="231" t="s">
        <v>5076</v>
      </c>
      <c r="F1827" s="233">
        <v>55</v>
      </c>
      <c r="G1827" s="232" t="s">
        <v>4851</v>
      </c>
      <c r="H1827" s="233"/>
      <c r="I1827" s="233"/>
      <c r="J1827" s="623">
        <v>15405150.15</v>
      </c>
      <c r="K1827" s="624" t="s">
        <v>1130</v>
      </c>
      <c r="L1827" s="624" t="s">
        <v>4852</v>
      </c>
      <c r="M1827" s="624" t="s">
        <v>4876</v>
      </c>
      <c r="N1827" s="624" t="s">
        <v>4866</v>
      </c>
      <c r="O1827" s="624"/>
      <c r="P1827" s="624"/>
    </row>
    <row r="1828" spans="1:16">
      <c r="A1828" s="231" t="s">
        <v>686</v>
      </c>
      <c r="B1828" s="231" t="s">
        <v>1864</v>
      </c>
      <c r="C1828" s="618">
        <v>45046</v>
      </c>
      <c r="D1828" s="231" t="s">
        <v>4875</v>
      </c>
      <c r="E1828" s="231" t="s">
        <v>5076</v>
      </c>
      <c r="F1828" s="619">
        <v>36</v>
      </c>
      <c r="G1828" s="231" t="s">
        <v>4851</v>
      </c>
      <c r="H1828" s="619"/>
      <c r="I1828" s="619"/>
      <c r="J1828" s="620">
        <v>10083371</v>
      </c>
      <c r="K1828" s="621" t="s">
        <v>1130</v>
      </c>
      <c r="L1828" s="621" t="s">
        <v>4852</v>
      </c>
      <c r="M1828" s="621" t="s">
        <v>4876</v>
      </c>
      <c r="N1828" s="621" t="s">
        <v>4866</v>
      </c>
      <c r="O1828" s="621"/>
      <c r="P1828" s="621"/>
    </row>
    <row r="1829" spans="1:16">
      <c r="A1829" s="232" t="s">
        <v>686</v>
      </c>
      <c r="B1829" s="232" t="s">
        <v>1864</v>
      </c>
      <c r="C1829" s="622">
        <v>45046</v>
      </c>
      <c r="D1829" s="232" t="s">
        <v>4869</v>
      </c>
      <c r="E1829" s="232"/>
      <c r="F1829" s="233">
        <v>49</v>
      </c>
      <c r="G1829" s="232" t="s">
        <v>4851</v>
      </c>
      <c r="H1829" s="233"/>
      <c r="I1829" s="233"/>
      <c r="J1829" s="623">
        <v>21560000</v>
      </c>
      <c r="K1829" s="624" t="s">
        <v>1130</v>
      </c>
      <c r="L1829" s="624" t="s">
        <v>4852</v>
      </c>
      <c r="M1829" s="624" t="s">
        <v>4867</v>
      </c>
      <c r="N1829" s="624" t="s">
        <v>4754</v>
      </c>
      <c r="O1829" s="624"/>
      <c r="P1829" s="624"/>
    </row>
    <row r="1830" spans="1:16">
      <c r="A1830" s="231" t="s">
        <v>686</v>
      </c>
      <c r="B1830" s="231" t="s">
        <v>1864</v>
      </c>
      <c r="C1830" s="618">
        <v>45046</v>
      </c>
      <c r="D1830" s="231" t="s">
        <v>4869</v>
      </c>
      <c r="E1830" s="231"/>
      <c r="F1830" s="619">
        <v>49</v>
      </c>
      <c r="G1830" s="231" t="s">
        <v>4851</v>
      </c>
      <c r="H1830" s="619"/>
      <c r="I1830" s="619"/>
      <c r="J1830" s="620">
        <v>21560000</v>
      </c>
      <c r="K1830" s="621" t="s">
        <v>1130</v>
      </c>
      <c r="L1830" s="621" t="s">
        <v>4852</v>
      </c>
      <c r="M1830" s="621" t="s">
        <v>4867</v>
      </c>
      <c r="N1830" s="621" t="s">
        <v>4754</v>
      </c>
      <c r="O1830" s="621"/>
      <c r="P1830" s="621"/>
    </row>
    <row r="1831" spans="1:16">
      <c r="A1831" s="232" t="s">
        <v>686</v>
      </c>
      <c r="B1831" s="232" t="s">
        <v>1864</v>
      </c>
      <c r="C1831" s="622">
        <v>45046</v>
      </c>
      <c r="D1831" s="232" t="s">
        <v>4869</v>
      </c>
      <c r="E1831" s="232"/>
      <c r="F1831" s="233">
        <v>49</v>
      </c>
      <c r="G1831" s="232" t="s">
        <v>4851</v>
      </c>
      <c r="H1831" s="233"/>
      <c r="I1831" s="233"/>
      <c r="J1831" s="623">
        <v>21560000</v>
      </c>
      <c r="K1831" s="624" t="s">
        <v>1130</v>
      </c>
      <c r="L1831" s="624" t="s">
        <v>4852</v>
      </c>
      <c r="M1831" s="624" t="s">
        <v>4867</v>
      </c>
      <c r="N1831" s="624" t="s">
        <v>4754</v>
      </c>
      <c r="O1831" s="624"/>
      <c r="P1831" s="624"/>
    </row>
    <row r="1832" spans="1:16">
      <c r="A1832" s="231" t="s">
        <v>686</v>
      </c>
      <c r="B1832" s="231" t="s">
        <v>1864</v>
      </c>
      <c r="C1832" s="618">
        <v>45046</v>
      </c>
      <c r="D1832" s="231" t="s">
        <v>4869</v>
      </c>
      <c r="E1832" s="231"/>
      <c r="F1832" s="619">
        <v>49</v>
      </c>
      <c r="G1832" s="231" t="s">
        <v>4851</v>
      </c>
      <c r="H1832" s="619"/>
      <c r="I1832" s="619"/>
      <c r="J1832" s="620">
        <v>21560000</v>
      </c>
      <c r="K1832" s="621" t="s">
        <v>1130</v>
      </c>
      <c r="L1832" s="621" t="s">
        <v>4852</v>
      </c>
      <c r="M1832" s="621" t="s">
        <v>4867</v>
      </c>
      <c r="N1832" s="621" t="s">
        <v>4754</v>
      </c>
      <c r="O1832" s="621"/>
      <c r="P1832" s="621"/>
    </row>
    <row r="1833" spans="1:16">
      <c r="A1833" s="232" t="s">
        <v>686</v>
      </c>
      <c r="B1833" s="232" t="s">
        <v>1864</v>
      </c>
      <c r="C1833" s="622">
        <v>45046</v>
      </c>
      <c r="D1833" s="232" t="s">
        <v>4869</v>
      </c>
      <c r="E1833" s="232"/>
      <c r="F1833" s="233">
        <v>34</v>
      </c>
      <c r="G1833" s="232" t="s">
        <v>4851</v>
      </c>
      <c r="H1833" s="233"/>
      <c r="I1833" s="233"/>
      <c r="J1833" s="623">
        <v>14620000</v>
      </c>
      <c r="K1833" s="624" t="s">
        <v>1130</v>
      </c>
      <c r="L1833" s="624" t="s">
        <v>4852</v>
      </c>
      <c r="M1833" s="624" t="s">
        <v>4858</v>
      </c>
      <c r="N1833" s="624" t="s">
        <v>4754</v>
      </c>
      <c r="O1833" s="624"/>
      <c r="P1833" s="624"/>
    </row>
    <row r="1834" spans="1:16">
      <c r="A1834" s="231" t="s">
        <v>686</v>
      </c>
      <c r="B1834" s="231" t="s">
        <v>1864</v>
      </c>
      <c r="C1834" s="618">
        <v>45046</v>
      </c>
      <c r="D1834" s="231" t="s">
        <v>4869</v>
      </c>
      <c r="E1834" s="231"/>
      <c r="F1834" s="619">
        <v>16</v>
      </c>
      <c r="G1834" s="231" t="s">
        <v>4851</v>
      </c>
      <c r="H1834" s="619"/>
      <c r="I1834" s="619"/>
      <c r="J1834" s="620">
        <v>6880000</v>
      </c>
      <c r="K1834" s="621" t="s">
        <v>1130</v>
      </c>
      <c r="L1834" s="621" t="s">
        <v>4852</v>
      </c>
      <c r="M1834" s="621" t="s">
        <v>4858</v>
      </c>
      <c r="N1834" s="621" t="s">
        <v>4754</v>
      </c>
      <c r="O1834" s="621"/>
      <c r="P1834" s="621"/>
    </row>
    <row r="1835" spans="1:16">
      <c r="A1835" s="232" t="s">
        <v>686</v>
      </c>
      <c r="B1835" s="232" t="s">
        <v>1864</v>
      </c>
      <c r="C1835" s="622">
        <v>45046</v>
      </c>
      <c r="D1835" s="232" t="s">
        <v>4869</v>
      </c>
      <c r="E1835" s="232"/>
      <c r="F1835" s="233">
        <v>49</v>
      </c>
      <c r="G1835" s="232" t="s">
        <v>4851</v>
      </c>
      <c r="H1835" s="233"/>
      <c r="I1835" s="233"/>
      <c r="J1835" s="623">
        <v>21560000</v>
      </c>
      <c r="K1835" s="624" t="s">
        <v>1130</v>
      </c>
      <c r="L1835" s="624" t="s">
        <v>4852</v>
      </c>
      <c r="M1835" s="624" t="s">
        <v>4867</v>
      </c>
      <c r="N1835" s="624" t="s">
        <v>4754</v>
      </c>
      <c r="O1835" s="624"/>
      <c r="P1835" s="624"/>
    </row>
    <row r="1836" spans="1:16">
      <c r="A1836" s="231" t="s">
        <v>686</v>
      </c>
      <c r="B1836" s="231" t="s">
        <v>1864</v>
      </c>
      <c r="C1836" s="618">
        <v>45046</v>
      </c>
      <c r="D1836" s="231" t="s">
        <v>4869</v>
      </c>
      <c r="E1836" s="231"/>
      <c r="F1836" s="619">
        <v>49</v>
      </c>
      <c r="G1836" s="231" t="s">
        <v>4851</v>
      </c>
      <c r="H1836" s="619"/>
      <c r="I1836" s="619"/>
      <c r="J1836" s="620">
        <v>21560000</v>
      </c>
      <c r="K1836" s="621" t="s">
        <v>1130</v>
      </c>
      <c r="L1836" s="621" t="s">
        <v>4852</v>
      </c>
      <c r="M1836" s="621" t="s">
        <v>4867</v>
      </c>
      <c r="N1836" s="621" t="s">
        <v>4754</v>
      </c>
      <c r="O1836" s="621"/>
      <c r="P1836" s="621"/>
    </row>
    <row r="1837" spans="1:16">
      <c r="A1837" s="232" t="s">
        <v>686</v>
      </c>
      <c r="B1837" s="232" t="s">
        <v>1864</v>
      </c>
      <c r="C1837" s="622">
        <v>45046</v>
      </c>
      <c r="D1837" s="232" t="s">
        <v>4869</v>
      </c>
      <c r="E1837" s="232"/>
      <c r="F1837" s="233">
        <v>49</v>
      </c>
      <c r="G1837" s="232" t="s">
        <v>4851</v>
      </c>
      <c r="H1837" s="233"/>
      <c r="I1837" s="233"/>
      <c r="J1837" s="623">
        <v>21560000</v>
      </c>
      <c r="K1837" s="624" t="s">
        <v>1130</v>
      </c>
      <c r="L1837" s="624" t="s">
        <v>4852</v>
      </c>
      <c r="M1837" s="624" t="s">
        <v>4867</v>
      </c>
      <c r="N1837" s="624" t="s">
        <v>4754</v>
      </c>
      <c r="O1837" s="624"/>
      <c r="P1837" s="624"/>
    </row>
    <row r="1838" spans="1:16">
      <c r="A1838" s="231" t="s">
        <v>686</v>
      </c>
      <c r="B1838" s="231" t="s">
        <v>1864</v>
      </c>
      <c r="C1838" s="618">
        <v>45046</v>
      </c>
      <c r="D1838" s="231" t="s">
        <v>4869</v>
      </c>
      <c r="E1838" s="231"/>
      <c r="F1838" s="619">
        <v>49</v>
      </c>
      <c r="G1838" s="231" t="s">
        <v>4851</v>
      </c>
      <c r="H1838" s="619"/>
      <c r="I1838" s="619"/>
      <c r="J1838" s="620">
        <v>21560000</v>
      </c>
      <c r="K1838" s="621" t="s">
        <v>1130</v>
      </c>
      <c r="L1838" s="621" t="s">
        <v>4852</v>
      </c>
      <c r="M1838" s="621" t="s">
        <v>4867</v>
      </c>
      <c r="N1838" s="621" t="s">
        <v>4754</v>
      </c>
      <c r="O1838" s="621"/>
      <c r="P1838" s="621"/>
    </row>
    <row r="1839" spans="1:16">
      <c r="A1839" s="232" t="s">
        <v>686</v>
      </c>
      <c r="B1839" s="232" t="s">
        <v>1864</v>
      </c>
      <c r="C1839" s="622">
        <v>45046</v>
      </c>
      <c r="D1839" s="232" t="s">
        <v>4869</v>
      </c>
      <c r="E1839" s="232"/>
      <c r="F1839" s="233">
        <v>49</v>
      </c>
      <c r="G1839" s="232" t="s">
        <v>4851</v>
      </c>
      <c r="H1839" s="233"/>
      <c r="I1839" s="233"/>
      <c r="J1839" s="623">
        <v>21560000</v>
      </c>
      <c r="K1839" s="624" t="s">
        <v>1130</v>
      </c>
      <c r="L1839" s="624" t="s">
        <v>4852</v>
      </c>
      <c r="M1839" s="624" t="s">
        <v>4867</v>
      </c>
      <c r="N1839" s="624" t="s">
        <v>4754</v>
      </c>
      <c r="O1839" s="624"/>
      <c r="P1839" s="624"/>
    </row>
    <row r="1840" spans="1:16">
      <c r="A1840" s="231" t="s">
        <v>686</v>
      </c>
      <c r="B1840" s="231" t="s">
        <v>1864</v>
      </c>
      <c r="C1840" s="618">
        <v>45046</v>
      </c>
      <c r="D1840" s="231" t="s">
        <v>4869</v>
      </c>
      <c r="E1840" s="231"/>
      <c r="F1840" s="619">
        <v>49</v>
      </c>
      <c r="G1840" s="231" t="s">
        <v>4851</v>
      </c>
      <c r="H1840" s="619"/>
      <c r="I1840" s="619"/>
      <c r="J1840" s="620">
        <v>21560000</v>
      </c>
      <c r="K1840" s="621" t="s">
        <v>1130</v>
      </c>
      <c r="L1840" s="621" t="s">
        <v>4852</v>
      </c>
      <c r="M1840" s="621" t="s">
        <v>4867</v>
      </c>
      <c r="N1840" s="621" t="s">
        <v>4754</v>
      </c>
      <c r="O1840" s="621"/>
      <c r="P1840" s="621"/>
    </row>
    <row r="1841" spans="1:16">
      <c r="A1841" s="232" t="s">
        <v>686</v>
      </c>
      <c r="B1841" s="232" t="s">
        <v>1864</v>
      </c>
      <c r="C1841" s="622">
        <v>45046</v>
      </c>
      <c r="D1841" s="232" t="s">
        <v>4869</v>
      </c>
      <c r="E1841" s="232"/>
      <c r="F1841" s="233">
        <v>49</v>
      </c>
      <c r="G1841" s="232" t="s">
        <v>4851</v>
      </c>
      <c r="H1841" s="233"/>
      <c r="I1841" s="233"/>
      <c r="J1841" s="623">
        <v>21560000</v>
      </c>
      <c r="K1841" s="624" t="s">
        <v>1130</v>
      </c>
      <c r="L1841" s="624" t="s">
        <v>4852</v>
      </c>
      <c r="M1841" s="624" t="s">
        <v>4867</v>
      </c>
      <c r="N1841" s="624" t="s">
        <v>4754</v>
      </c>
      <c r="O1841" s="624"/>
      <c r="P1841" s="624"/>
    </row>
    <row r="1842" spans="1:16">
      <c r="A1842" s="231" t="s">
        <v>686</v>
      </c>
      <c r="B1842" s="231" t="s">
        <v>1864</v>
      </c>
      <c r="C1842" s="618">
        <v>45046</v>
      </c>
      <c r="D1842" s="231" t="s">
        <v>4869</v>
      </c>
      <c r="E1842" s="231"/>
      <c r="F1842" s="619">
        <v>49</v>
      </c>
      <c r="G1842" s="231" t="s">
        <v>4851</v>
      </c>
      <c r="H1842" s="619"/>
      <c r="I1842" s="619"/>
      <c r="J1842" s="620">
        <v>21560000</v>
      </c>
      <c r="K1842" s="621" t="s">
        <v>1130</v>
      </c>
      <c r="L1842" s="621" t="s">
        <v>4852</v>
      </c>
      <c r="M1842" s="621" t="s">
        <v>4867</v>
      </c>
      <c r="N1842" s="621" t="s">
        <v>4754</v>
      </c>
      <c r="O1842" s="621"/>
      <c r="P1842" s="621"/>
    </row>
    <row r="1843" spans="1:16">
      <c r="A1843" s="232" t="s">
        <v>686</v>
      </c>
      <c r="B1843" s="232" t="s">
        <v>1864</v>
      </c>
      <c r="C1843" s="622">
        <v>45046</v>
      </c>
      <c r="D1843" s="232" t="s">
        <v>4869</v>
      </c>
      <c r="E1843" s="232"/>
      <c r="F1843" s="233">
        <v>49</v>
      </c>
      <c r="G1843" s="232" t="s">
        <v>4851</v>
      </c>
      <c r="H1843" s="233"/>
      <c r="I1843" s="233"/>
      <c r="J1843" s="623">
        <v>21560000</v>
      </c>
      <c r="K1843" s="624" t="s">
        <v>1130</v>
      </c>
      <c r="L1843" s="624" t="s">
        <v>4852</v>
      </c>
      <c r="M1843" s="624" t="s">
        <v>4867</v>
      </c>
      <c r="N1843" s="624" t="s">
        <v>4754</v>
      </c>
      <c r="O1843" s="624"/>
      <c r="P1843" s="624"/>
    </row>
    <row r="1844" spans="1:16">
      <c r="A1844" s="231" t="s">
        <v>686</v>
      </c>
      <c r="B1844" s="231" t="s">
        <v>1864</v>
      </c>
      <c r="C1844" s="618">
        <v>45046</v>
      </c>
      <c r="D1844" s="231" t="s">
        <v>4860</v>
      </c>
      <c r="E1844" s="232" t="s">
        <v>5072</v>
      </c>
      <c r="F1844" s="619">
        <v>37.450000000000003</v>
      </c>
      <c r="G1844" s="231" t="s">
        <v>4851</v>
      </c>
      <c r="H1844" s="619"/>
      <c r="I1844" s="619"/>
      <c r="J1844" s="620">
        <v>224700</v>
      </c>
      <c r="K1844" s="621" t="s">
        <v>991</v>
      </c>
      <c r="L1844" s="621" t="s">
        <v>4852</v>
      </c>
      <c r="M1844" s="621" t="s">
        <v>4877</v>
      </c>
      <c r="N1844" s="621" t="s">
        <v>4878</v>
      </c>
      <c r="O1844" s="621"/>
      <c r="P1844" s="621"/>
    </row>
    <row r="1845" spans="1:16">
      <c r="A1845" s="232" t="s">
        <v>686</v>
      </c>
      <c r="B1845" s="232" t="s">
        <v>1864</v>
      </c>
      <c r="C1845" s="622">
        <v>45046</v>
      </c>
      <c r="D1845" s="232" t="s">
        <v>4860</v>
      </c>
      <c r="E1845" s="232" t="s">
        <v>5072</v>
      </c>
      <c r="F1845" s="233">
        <v>35.549999999999997</v>
      </c>
      <c r="G1845" s="232" t="s">
        <v>4851</v>
      </c>
      <c r="H1845" s="233"/>
      <c r="I1845" s="233"/>
      <c r="J1845" s="623">
        <v>213300</v>
      </c>
      <c r="K1845" s="624" t="s">
        <v>991</v>
      </c>
      <c r="L1845" s="624" t="s">
        <v>4852</v>
      </c>
      <c r="M1845" s="624" t="s">
        <v>4877</v>
      </c>
      <c r="N1845" s="624" t="s">
        <v>4878</v>
      </c>
      <c r="O1845" s="624"/>
      <c r="P1845" s="624"/>
    </row>
    <row r="1846" spans="1:16">
      <c r="A1846" s="231" t="s">
        <v>686</v>
      </c>
      <c r="B1846" s="231" t="s">
        <v>1864</v>
      </c>
      <c r="C1846" s="618">
        <v>45046</v>
      </c>
      <c r="D1846" s="231" t="s">
        <v>4860</v>
      </c>
      <c r="E1846" s="232" t="s">
        <v>5072</v>
      </c>
      <c r="F1846" s="619">
        <v>33.799999999999997</v>
      </c>
      <c r="G1846" s="231" t="s">
        <v>4851</v>
      </c>
      <c r="H1846" s="619"/>
      <c r="I1846" s="619"/>
      <c r="J1846" s="620">
        <v>202800</v>
      </c>
      <c r="K1846" s="621" t="s">
        <v>991</v>
      </c>
      <c r="L1846" s="621" t="s">
        <v>4852</v>
      </c>
      <c r="M1846" s="621" t="s">
        <v>4877</v>
      </c>
      <c r="N1846" s="621" t="s">
        <v>4878</v>
      </c>
      <c r="O1846" s="621"/>
      <c r="P1846" s="621"/>
    </row>
    <row r="1847" spans="1:16">
      <c r="A1847" s="232" t="s">
        <v>686</v>
      </c>
      <c r="B1847" s="232" t="s">
        <v>1864</v>
      </c>
      <c r="C1847" s="622">
        <v>45046</v>
      </c>
      <c r="D1847" s="232" t="s">
        <v>4875</v>
      </c>
      <c r="E1847" s="231" t="s">
        <v>5076</v>
      </c>
      <c r="F1847" s="233">
        <v>37</v>
      </c>
      <c r="G1847" s="232" t="s">
        <v>4851</v>
      </c>
      <c r="H1847" s="233"/>
      <c r="I1847" s="233"/>
      <c r="J1847" s="623">
        <v>10363464.640000001</v>
      </c>
      <c r="K1847" s="624" t="s">
        <v>1130</v>
      </c>
      <c r="L1847" s="624" t="s">
        <v>4852</v>
      </c>
      <c r="M1847" s="624" t="s">
        <v>4876</v>
      </c>
      <c r="N1847" s="624" t="s">
        <v>4866</v>
      </c>
      <c r="O1847" s="624"/>
      <c r="P1847" s="624"/>
    </row>
    <row r="1848" spans="1:16">
      <c r="A1848" s="231" t="s">
        <v>686</v>
      </c>
      <c r="B1848" s="231" t="s">
        <v>1864</v>
      </c>
      <c r="C1848" s="618">
        <v>45046</v>
      </c>
      <c r="D1848" s="231" t="s">
        <v>4875</v>
      </c>
      <c r="E1848" s="231" t="s">
        <v>5076</v>
      </c>
      <c r="F1848" s="619">
        <v>37</v>
      </c>
      <c r="G1848" s="231" t="s">
        <v>4851</v>
      </c>
      <c r="H1848" s="619"/>
      <c r="I1848" s="619"/>
      <c r="J1848" s="620">
        <v>10363464.640000001</v>
      </c>
      <c r="K1848" s="621" t="s">
        <v>1130</v>
      </c>
      <c r="L1848" s="621" t="s">
        <v>4852</v>
      </c>
      <c r="M1848" s="621" t="s">
        <v>4876</v>
      </c>
      <c r="N1848" s="621" t="s">
        <v>4866</v>
      </c>
      <c r="O1848" s="621"/>
      <c r="P1848" s="621"/>
    </row>
    <row r="1849" spans="1:16">
      <c r="A1849" s="232" t="s">
        <v>686</v>
      </c>
      <c r="B1849" s="232" t="s">
        <v>1864</v>
      </c>
      <c r="C1849" s="622">
        <v>45046</v>
      </c>
      <c r="D1849" s="232" t="s">
        <v>4875</v>
      </c>
      <c r="E1849" s="231" t="s">
        <v>5076</v>
      </c>
      <c r="F1849" s="233">
        <v>39</v>
      </c>
      <c r="G1849" s="232" t="s">
        <v>4851</v>
      </c>
      <c r="H1849" s="233"/>
      <c r="I1849" s="233"/>
      <c r="J1849" s="623">
        <v>10923651.92</v>
      </c>
      <c r="K1849" s="624" t="s">
        <v>1130</v>
      </c>
      <c r="L1849" s="624" t="s">
        <v>4852</v>
      </c>
      <c r="M1849" s="624" t="s">
        <v>4876</v>
      </c>
      <c r="N1849" s="624" t="s">
        <v>4866</v>
      </c>
      <c r="O1849" s="624"/>
      <c r="P1849" s="624"/>
    </row>
    <row r="1850" spans="1:16">
      <c r="A1850" s="231" t="s">
        <v>686</v>
      </c>
      <c r="B1850" s="231" t="s">
        <v>1864</v>
      </c>
      <c r="C1850" s="618">
        <v>45046</v>
      </c>
      <c r="D1850" s="231" t="s">
        <v>4875</v>
      </c>
      <c r="E1850" s="231" t="s">
        <v>5076</v>
      </c>
      <c r="F1850" s="619">
        <v>37</v>
      </c>
      <c r="G1850" s="231" t="s">
        <v>4851</v>
      </c>
      <c r="H1850" s="619"/>
      <c r="I1850" s="619"/>
      <c r="J1850" s="620">
        <v>10363464.640000001</v>
      </c>
      <c r="K1850" s="621" t="s">
        <v>1130</v>
      </c>
      <c r="L1850" s="621" t="s">
        <v>4852</v>
      </c>
      <c r="M1850" s="621" t="s">
        <v>4876</v>
      </c>
      <c r="N1850" s="621" t="s">
        <v>4866</v>
      </c>
      <c r="O1850" s="621"/>
      <c r="P1850" s="621"/>
    </row>
    <row r="1851" spans="1:16">
      <c r="A1851" s="232" t="s">
        <v>686</v>
      </c>
      <c r="B1851" s="232" t="s">
        <v>1864</v>
      </c>
      <c r="C1851" s="622">
        <v>45046</v>
      </c>
      <c r="D1851" s="232" t="s">
        <v>4875</v>
      </c>
      <c r="E1851" s="231" t="s">
        <v>5076</v>
      </c>
      <c r="F1851" s="233">
        <v>44</v>
      </c>
      <c r="G1851" s="232" t="s">
        <v>4851</v>
      </c>
      <c r="H1851" s="233"/>
      <c r="I1851" s="233"/>
      <c r="J1851" s="623">
        <v>12324120.119999999</v>
      </c>
      <c r="K1851" s="624" t="s">
        <v>1130</v>
      </c>
      <c r="L1851" s="624" t="s">
        <v>4852</v>
      </c>
      <c r="M1851" s="624" t="s">
        <v>4876</v>
      </c>
      <c r="N1851" s="624" t="s">
        <v>4866</v>
      </c>
      <c r="O1851" s="624"/>
      <c r="P1851" s="624"/>
    </row>
    <row r="1852" spans="1:16">
      <c r="A1852" s="231" t="s">
        <v>686</v>
      </c>
      <c r="B1852" s="231" t="s">
        <v>1864</v>
      </c>
      <c r="C1852" s="618">
        <v>45046</v>
      </c>
      <c r="D1852" s="231" t="s">
        <v>4875</v>
      </c>
      <c r="E1852" s="231" t="s">
        <v>5076</v>
      </c>
      <c r="F1852" s="619">
        <v>36</v>
      </c>
      <c r="G1852" s="231" t="s">
        <v>4851</v>
      </c>
      <c r="H1852" s="619"/>
      <c r="I1852" s="619"/>
      <c r="J1852" s="620">
        <v>10083371</v>
      </c>
      <c r="K1852" s="621" t="s">
        <v>1130</v>
      </c>
      <c r="L1852" s="621" t="s">
        <v>4852</v>
      </c>
      <c r="M1852" s="621" t="s">
        <v>4876</v>
      </c>
      <c r="N1852" s="621" t="s">
        <v>4866</v>
      </c>
      <c r="O1852" s="621"/>
      <c r="P1852" s="621"/>
    </row>
    <row r="1853" spans="1:16">
      <c r="A1853" s="232" t="s">
        <v>686</v>
      </c>
      <c r="B1853" s="232" t="s">
        <v>1864</v>
      </c>
      <c r="C1853" s="622">
        <v>45046</v>
      </c>
      <c r="D1853" s="232" t="s">
        <v>4875</v>
      </c>
      <c r="E1853" s="231" t="s">
        <v>5076</v>
      </c>
      <c r="F1853" s="233">
        <v>38</v>
      </c>
      <c r="G1853" s="232" t="s">
        <v>4851</v>
      </c>
      <c r="H1853" s="233"/>
      <c r="I1853" s="233"/>
      <c r="J1853" s="623">
        <v>10643558.279999999</v>
      </c>
      <c r="K1853" s="624" t="s">
        <v>1130</v>
      </c>
      <c r="L1853" s="624" t="s">
        <v>4852</v>
      </c>
      <c r="M1853" s="624" t="s">
        <v>4876</v>
      </c>
      <c r="N1853" s="624" t="s">
        <v>4866</v>
      </c>
      <c r="O1853" s="624"/>
      <c r="P1853" s="624"/>
    </row>
    <row r="1854" spans="1:16">
      <c r="A1854" s="231" t="s">
        <v>686</v>
      </c>
      <c r="B1854" s="231" t="s">
        <v>1864</v>
      </c>
      <c r="C1854" s="618">
        <v>45046</v>
      </c>
      <c r="D1854" s="231" t="s">
        <v>4875</v>
      </c>
      <c r="E1854" s="231" t="s">
        <v>5076</v>
      </c>
      <c r="F1854" s="619">
        <v>44</v>
      </c>
      <c r="G1854" s="231" t="s">
        <v>4851</v>
      </c>
      <c r="H1854" s="619"/>
      <c r="I1854" s="619"/>
      <c r="J1854" s="620">
        <v>12324120.119999999</v>
      </c>
      <c r="K1854" s="621" t="s">
        <v>1130</v>
      </c>
      <c r="L1854" s="621" t="s">
        <v>4852</v>
      </c>
      <c r="M1854" s="621" t="s">
        <v>4876</v>
      </c>
      <c r="N1854" s="621" t="s">
        <v>4866</v>
      </c>
      <c r="O1854" s="621"/>
      <c r="P1854" s="621"/>
    </row>
    <row r="1855" spans="1:16">
      <c r="A1855" s="232" t="s">
        <v>686</v>
      </c>
      <c r="B1855" s="232" t="s">
        <v>1864</v>
      </c>
      <c r="C1855" s="622">
        <v>45046</v>
      </c>
      <c r="D1855" s="232" t="s">
        <v>4875</v>
      </c>
      <c r="E1855" s="231" t="s">
        <v>5076</v>
      </c>
      <c r="F1855" s="233">
        <v>38</v>
      </c>
      <c r="G1855" s="232" t="s">
        <v>4851</v>
      </c>
      <c r="H1855" s="233"/>
      <c r="I1855" s="233"/>
      <c r="J1855" s="623">
        <v>10643558.279999999</v>
      </c>
      <c r="K1855" s="624" t="s">
        <v>1130</v>
      </c>
      <c r="L1855" s="624" t="s">
        <v>4852</v>
      </c>
      <c r="M1855" s="624" t="s">
        <v>4876</v>
      </c>
      <c r="N1855" s="624" t="s">
        <v>4866</v>
      </c>
      <c r="O1855" s="624"/>
      <c r="P1855" s="624"/>
    </row>
    <row r="1856" spans="1:16">
      <c r="A1856" s="231" t="s">
        <v>686</v>
      </c>
      <c r="B1856" s="231" t="s">
        <v>1864</v>
      </c>
      <c r="C1856" s="618">
        <v>45046</v>
      </c>
      <c r="D1856" s="231" t="s">
        <v>4875</v>
      </c>
      <c r="E1856" s="231" t="s">
        <v>5076</v>
      </c>
      <c r="F1856" s="619">
        <v>39</v>
      </c>
      <c r="G1856" s="231" t="s">
        <v>4851</v>
      </c>
      <c r="H1856" s="619"/>
      <c r="I1856" s="619"/>
      <c r="J1856" s="620">
        <v>10923651.92</v>
      </c>
      <c r="K1856" s="621" t="s">
        <v>1130</v>
      </c>
      <c r="L1856" s="621" t="s">
        <v>4852</v>
      </c>
      <c r="M1856" s="621" t="s">
        <v>4876</v>
      </c>
      <c r="N1856" s="621" t="s">
        <v>4866</v>
      </c>
      <c r="O1856" s="621"/>
      <c r="P1856" s="621"/>
    </row>
    <row r="1857" spans="1:16">
      <c r="A1857" s="232" t="s">
        <v>686</v>
      </c>
      <c r="B1857" s="232" t="s">
        <v>1864</v>
      </c>
      <c r="C1857" s="622">
        <v>45046</v>
      </c>
      <c r="D1857" s="232" t="s">
        <v>4875</v>
      </c>
      <c r="E1857" s="231" t="s">
        <v>5076</v>
      </c>
      <c r="F1857" s="233">
        <v>37</v>
      </c>
      <c r="G1857" s="232" t="s">
        <v>4851</v>
      </c>
      <c r="H1857" s="233"/>
      <c r="I1857" s="233"/>
      <c r="J1857" s="623">
        <v>10363464.640000001</v>
      </c>
      <c r="K1857" s="624" t="s">
        <v>1130</v>
      </c>
      <c r="L1857" s="624" t="s">
        <v>4852</v>
      </c>
      <c r="M1857" s="624" t="s">
        <v>4876</v>
      </c>
      <c r="N1857" s="624" t="s">
        <v>4866</v>
      </c>
      <c r="O1857" s="624"/>
      <c r="P1857" s="624"/>
    </row>
    <row r="1858" spans="1:16">
      <c r="A1858" s="231" t="s">
        <v>686</v>
      </c>
      <c r="B1858" s="231" t="s">
        <v>1864</v>
      </c>
      <c r="C1858" s="618">
        <v>45046</v>
      </c>
      <c r="D1858" s="231" t="s">
        <v>4875</v>
      </c>
      <c r="E1858" s="231" t="s">
        <v>5076</v>
      </c>
      <c r="F1858" s="619">
        <v>55</v>
      </c>
      <c r="G1858" s="231" t="s">
        <v>4851</v>
      </c>
      <c r="H1858" s="619"/>
      <c r="I1858" s="619"/>
      <c r="J1858" s="620">
        <v>15405150.15</v>
      </c>
      <c r="K1858" s="621" t="s">
        <v>1130</v>
      </c>
      <c r="L1858" s="621" t="s">
        <v>4852</v>
      </c>
      <c r="M1858" s="621" t="s">
        <v>4876</v>
      </c>
      <c r="N1858" s="621" t="s">
        <v>4866</v>
      </c>
      <c r="O1858" s="621"/>
      <c r="P1858" s="621"/>
    </row>
    <row r="1859" spans="1:16">
      <c r="A1859" s="232" t="s">
        <v>686</v>
      </c>
      <c r="B1859" s="232" t="s">
        <v>1864</v>
      </c>
      <c r="C1859" s="622">
        <v>45046</v>
      </c>
      <c r="D1859" s="232" t="s">
        <v>4869</v>
      </c>
      <c r="E1859" s="232"/>
      <c r="F1859" s="233">
        <v>49</v>
      </c>
      <c r="G1859" s="232" t="s">
        <v>4851</v>
      </c>
      <c r="H1859" s="233"/>
      <c r="I1859" s="233"/>
      <c r="J1859" s="623">
        <v>21560000</v>
      </c>
      <c r="K1859" s="624" t="s">
        <v>1130</v>
      </c>
      <c r="L1859" s="624" t="s">
        <v>4852</v>
      </c>
      <c r="M1859" s="624" t="s">
        <v>4867</v>
      </c>
      <c r="N1859" s="624" t="s">
        <v>4754</v>
      </c>
      <c r="O1859" s="624"/>
      <c r="P1859" s="624"/>
    </row>
    <row r="1860" spans="1:16">
      <c r="A1860" s="231" t="s">
        <v>686</v>
      </c>
      <c r="B1860" s="231" t="s">
        <v>1864</v>
      </c>
      <c r="C1860" s="618">
        <v>45046</v>
      </c>
      <c r="D1860" s="231" t="s">
        <v>4862</v>
      </c>
      <c r="E1860" s="231"/>
      <c r="F1860" s="619">
        <v>43</v>
      </c>
      <c r="G1860" s="231" t="s">
        <v>4851</v>
      </c>
      <c r="H1860" s="619"/>
      <c r="I1860" s="619"/>
      <c r="J1860" s="620">
        <v>19995000</v>
      </c>
      <c r="K1860" s="621" t="s">
        <v>1130</v>
      </c>
      <c r="L1860" s="621" t="s">
        <v>4852</v>
      </c>
      <c r="M1860" s="621" t="s">
        <v>4863</v>
      </c>
      <c r="N1860" s="621" t="s">
        <v>4754</v>
      </c>
      <c r="O1860" s="621"/>
      <c r="P1860" s="621"/>
    </row>
    <row r="1861" spans="1:16">
      <c r="A1861" s="232" t="s">
        <v>686</v>
      </c>
      <c r="B1861" s="232" t="s">
        <v>1864</v>
      </c>
      <c r="C1861" s="622">
        <v>45046</v>
      </c>
      <c r="D1861" s="232" t="s">
        <v>4862</v>
      </c>
      <c r="E1861" s="232"/>
      <c r="F1861" s="233">
        <v>52</v>
      </c>
      <c r="G1861" s="232" t="s">
        <v>4851</v>
      </c>
      <c r="H1861" s="233"/>
      <c r="I1861" s="233"/>
      <c r="J1861" s="623">
        <v>24180000</v>
      </c>
      <c r="K1861" s="624" t="s">
        <v>1130</v>
      </c>
      <c r="L1861" s="624" t="s">
        <v>4852</v>
      </c>
      <c r="M1861" s="624" t="s">
        <v>4863</v>
      </c>
      <c r="N1861" s="624" t="s">
        <v>4754</v>
      </c>
      <c r="O1861" s="624"/>
      <c r="P1861" s="624"/>
    </row>
    <row r="1862" spans="1:16">
      <c r="A1862" s="231" t="s">
        <v>686</v>
      </c>
      <c r="B1862" s="231" t="s">
        <v>1864</v>
      </c>
      <c r="C1862" s="618">
        <v>45046</v>
      </c>
      <c r="D1862" s="231" t="s">
        <v>4862</v>
      </c>
      <c r="E1862" s="231"/>
      <c r="F1862" s="619">
        <v>43</v>
      </c>
      <c r="G1862" s="231" t="s">
        <v>4851</v>
      </c>
      <c r="H1862" s="619"/>
      <c r="I1862" s="619"/>
      <c r="J1862" s="620">
        <v>19995000</v>
      </c>
      <c r="K1862" s="621" t="s">
        <v>1130</v>
      </c>
      <c r="L1862" s="621" t="s">
        <v>4852</v>
      </c>
      <c r="M1862" s="621" t="s">
        <v>4863</v>
      </c>
      <c r="N1862" s="621" t="s">
        <v>4754</v>
      </c>
      <c r="O1862" s="621"/>
      <c r="P1862" s="621"/>
    </row>
    <row r="1863" spans="1:16">
      <c r="A1863" s="232" t="s">
        <v>686</v>
      </c>
      <c r="B1863" s="232" t="s">
        <v>1864</v>
      </c>
      <c r="C1863" s="622">
        <v>45046</v>
      </c>
      <c r="D1863" s="232" t="s">
        <v>4860</v>
      </c>
      <c r="E1863" s="232" t="s">
        <v>5072</v>
      </c>
      <c r="F1863" s="233">
        <v>40.15</v>
      </c>
      <c r="G1863" s="232" t="s">
        <v>4851</v>
      </c>
      <c r="H1863" s="233"/>
      <c r="I1863" s="233"/>
      <c r="J1863" s="623">
        <v>240900</v>
      </c>
      <c r="K1863" s="624" t="s">
        <v>991</v>
      </c>
      <c r="L1863" s="624" t="s">
        <v>4852</v>
      </c>
      <c r="M1863" s="624" t="s">
        <v>4877</v>
      </c>
      <c r="N1863" s="624" t="s">
        <v>4878</v>
      </c>
      <c r="O1863" s="624"/>
      <c r="P1863" s="624"/>
    </row>
    <row r="1864" spans="1:16">
      <c r="A1864" s="231" t="s">
        <v>686</v>
      </c>
      <c r="B1864" s="231" t="s">
        <v>1864</v>
      </c>
      <c r="C1864" s="618">
        <v>45046</v>
      </c>
      <c r="D1864" s="231" t="s">
        <v>4860</v>
      </c>
      <c r="E1864" s="232" t="s">
        <v>5072</v>
      </c>
      <c r="F1864" s="619">
        <v>46</v>
      </c>
      <c r="G1864" s="231" t="s">
        <v>4851</v>
      </c>
      <c r="H1864" s="619"/>
      <c r="I1864" s="619"/>
      <c r="J1864" s="620">
        <v>276000</v>
      </c>
      <c r="K1864" s="621" t="s">
        <v>991</v>
      </c>
      <c r="L1864" s="621" t="s">
        <v>4852</v>
      </c>
      <c r="M1864" s="621" t="s">
        <v>4877</v>
      </c>
      <c r="N1864" s="621" t="s">
        <v>4878</v>
      </c>
      <c r="O1864" s="621"/>
      <c r="P1864" s="621"/>
    </row>
    <row r="1865" spans="1:16">
      <c r="A1865" s="232" t="s">
        <v>686</v>
      </c>
      <c r="B1865" s="232" t="s">
        <v>1864</v>
      </c>
      <c r="C1865" s="622">
        <v>45046</v>
      </c>
      <c r="D1865" s="232" t="s">
        <v>4869</v>
      </c>
      <c r="E1865" s="232"/>
      <c r="F1865" s="233">
        <v>9.18</v>
      </c>
      <c r="G1865" s="232" t="s">
        <v>4851</v>
      </c>
      <c r="H1865" s="233"/>
      <c r="I1865" s="233"/>
      <c r="J1865" s="623">
        <v>4039200</v>
      </c>
      <c r="K1865" s="624" t="s">
        <v>1130</v>
      </c>
      <c r="L1865" s="624" t="s">
        <v>4852</v>
      </c>
      <c r="M1865" s="624" t="s">
        <v>4867</v>
      </c>
      <c r="N1865" s="624" t="s">
        <v>4754</v>
      </c>
      <c r="O1865" s="624"/>
      <c r="P1865" s="624"/>
    </row>
    <row r="1866" spans="1:16">
      <c r="A1866" s="231" t="s">
        <v>686</v>
      </c>
      <c r="B1866" s="231" t="s">
        <v>1864</v>
      </c>
      <c r="C1866" s="618">
        <v>45046</v>
      </c>
      <c r="D1866" s="231" t="s">
        <v>4875</v>
      </c>
      <c r="E1866" s="231" t="s">
        <v>5076</v>
      </c>
      <c r="F1866" s="619">
        <v>55</v>
      </c>
      <c r="G1866" s="231" t="s">
        <v>4851</v>
      </c>
      <c r="H1866" s="619"/>
      <c r="I1866" s="619"/>
      <c r="J1866" s="620">
        <v>15405150.15</v>
      </c>
      <c r="K1866" s="621" t="s">
        <v>1130</v>
      </c>
      <c r="L1866" s="621" t="s">
        <v>4852</v>
      </c>
      <c r="M1866" s="621" t="s">
        <v>4876</v>
      </c>
      <c r="N1866" s="621" t="s">
        <v>4866</v>
      </c>
      <c r="O1866" s="621"/>
      <c r="P1866" s="621"/>
    </row>
    <row r="1867" spans="1:16">
      <c r="A1867" s="232" t="s">
        <v>686</v>
      </c>
      <c r="B1867" s="232" t="s">
        <v>1864</v>
      </c>
      <c r="C1867" s="622">
        <v>45046</v>
      </c>
      <c r="D1867" s="232" t="s">
        <v>4875</v>
      </c>
      <c r="E1867" s="231" t="s">
        <v>5076</v>
      </c>
      <c r="F1867" s="233">
        <v>55</v>
      </c>
      <c r="G1867" s="232" t="s">
        <v>4851</v>
      </c>
      <c r="H1867" s="233"/>
      <c r="I1867" s="233"/>
      <c r="J1867" s="623">
        <v>15405150.15</v>
      </c>
      <c r="K1867" s="624" t="s">
        <v>1130</v>
      </c>
      <c r="L1867" s="624" t="s">
        <v>4852</v>
      </c>
      <c r="M1867" s="624" t="s">
        <v>4876</v>
      </c>
      <c r="N1867" s="624" t="s">
        <v>4866</v>
      </c>
      <c r="O1867" s="624"/>
      <c r="P1867" s="624"/>
    </row>
    <row r="1868" spans="1:16">
      <c r="A1868" s="231" t="s">
        <v>686</v>
      </c>
      <c r="B1868" s="231" t="s">
        <v>1864</v>
      </c>
      <c r="C1868" s="618">
        <v>45046</v>
      </c>
      <c r="D1868" s="231" t="s">
        <v>4875</v>
      </c>
      <c r="E1868" s="231" t="s">
        <v>5076</v>
      </c>
      <c r="F1868" s="619">
        <v>55</v>
      </c>
      <c r="G1868" s="231" t="s">
        <v>4851</v>
      </c>
      <c r="H1868" s="619"/>
      <c r="I1868" s="619"/>
      <c r="J1868" s="620">
        <v>15405150.15</v>
      </c>
      <c r="K1868" s="621" t="s">
        <v>1130</v>
      </c>
      <c r="L1868" s="621" t="s">
        <v>4852</v>
      </c>
      <c r="M1868" s="621" t="s">
        <v>4876</v>
      </c>
      <c r="N1868" s="621" t="s">
        <v>4866</v>
      </c>
      <c r="O1868" s="621"/>
      <c r="P1868" s="621"/>
    </row>
    <row r="1869" spans="1:16">
      <c r="A1869" s="232" t="s">
        <v>686</v>
      </c>
      <c r="B1869" s="232" t="s">
        <v>1864</v>
      </c>
      <c r="C1869" s="622">
        <v>45046</v>
      </c>
      <c r="D1869" s="232" t="s">
        <v>4875</v>
      </c>
      <c r="E1869" s="231" t="s">
        <v>5076</v>
      </c>
      <c r="F1869" s="233">
        <v>50</v>
      </c>
      <c r="G1869" s="232" t="s">
        <v>4851</v>
      </c>
      <c r="H1869" s="233"/>
      <c r="I1869" s="233"/>
      <c r="J1869" s="623">
        <v>14004681.949999999</v>
      </c>
      <c r="K1869" s="624" t="s">
        <v>1130</v>
      </c>
      <c r="L1869" s="624" t="s">
        <v>4852</v>
      </c>
      <c r="M1869" s="624" t="s">
        <v>4876</v>
      </c>
      <c r="N1869" s="624" t="s">
        <v>4866</v>
      </c>
      <c r="O1869" s="624"/>
      <c r="P1869" s="624"/>
    </row>
    <row r="1870" spans="1:16">
      <c r="A1870" s="231" t="s">
        <v>686</v>
      </c>
      <c r="B1870" s="231" t="s">
        <v>1864</v>
      </c>
      <c r="C1870" s="618">
        <v>45046</v>
      </c>
      <c r="D1870" s="231" t="s">
        <v>4875</v>
      </c>
      <c r="E1870" s="231" t="s">
        <v>5076</v>
      </c>
      <c r="F1870" s="619">
        <v>55</v>
      </c>
      <c r="G1870" s="231" t="s">
        <v>4851</v>
      </c>
      <c r="H1870" s="619"/>
      <c r="I1870" s="619"/>
      <c r="J1870" s="620">
        <v>15405150.15</v>
      </c>
      <c r="K1870" s="621" t="s">
        <v>1130</v>
      </c>
      <c r="L1870" s="621" t="s">
        <v>4852</v>
      </c>
      <c r="M1870" s="621" t="s">
        <v>4876</v>
      </c>
      <c r="N1870" s="621" t="s">
        <v>4866</v>
      </c>
      <c r="O1870" s="621"/>
      <c r="P1870" s="621"/>
    </row>
    <row r="1871" spans="1:16">
      <c r="A1871" s="232" t="s">
        <v>686</v>
      </c>
      <c r="B1871" s="232" t="s">
        <v>1864</v>
      </c>
      <c r="C1871" s="622">
        <v>45046</v>
      </c>
      <c r="D1871" s="232" t="s">
        <v>4875</v>
      </c>
      <c r="E1871" s="231" t="s">
        <v>5076</v>
      </c>
      <c r="F1871" s="233">
        <v>5</v>
      </c>
      <c r="G1871" s="232" t="s">
        <v>4851</v>
      </c>
      <c r="H1871" s="233"/>
      <c r="I1871" s="233"/>
      <c r="J1871" s="623">
        <v>1400468.2</v>
      </c>
      <c r="K1871" s="624" t="s">
        <v>1130</v>
      </c>
      <c r="L1871" s="624" t="s">
        <v>4852</v>
      </c>
      <c r="M1871" s="624" t="s">
        <v>4876</v>
      </c>
      <c r="N1871" s="624" t="s">
        <v>4866</v>
      </c>
      <c r="O1871" s="624"/>
      <c r="P1871" s="624"/>
    </row>
    <row r="1872" spans="1:16">
      <c r="A1872" s="231" t="s">
        <v>686</v>
      </c>
      <c r="B1872" s="231" t="s">
        <v>1864</v>
      </c>
      <c r="C1872" s="618">
        <v>45046</v>
      </c>
      <c r="D1872" s="231" t="s">
        <v>4875</v>
      </c>
      <c r="E1872" s="231" t="s">
        <v>5076</v>
      </c>
      <c r="F1872" s="619">
        <v>55</v>
      </c>
      <c r="G1872" s="231" t="s">
        <v>4851</v>
      </c>
      <c r="H1872" s="619"/>
      <c r="I1872" s="619"/>
      <c r="J1872" s="620">
        <v>15405150.15</v>
      </c>
      <c r="K1872" s="621" t="s">
        <v>1130</v>
      </c>
      <c r="L1872" s="621" t="s">
        <v>4852</v>
      </c>
      <c r="M1872" s="621" t="s">
        <v>4876</v>
      </c>
      <c r="N1872" s="621" t="s">
        <v>4866</v>
      </c>
      <c r="O1872" s="621"/>
      <c r="P1872" s="621"/>
    </row>
    <row r="1873" spans="1:16">
      <c r="A1873" s="232" t="s">
        <v>686</v>
      </c>
      <c r="B1873" s="232" t="s">
        <v>1864</v>
      </c>
      <c r="C1873" s="622">
        <v>45046</v>
      </c>
      <c r="D1873" s="232" t="s">
        <v>4875</v>
      </c>
      <c r="E1873" s="231" t="s">
        <v>5076</v>
      </c>
      <c r="F1873" s="233">
        <v>50</v>
      </c>
      <c r="G1873" s="232" t="s">
        <v>4851</v>
      </c>
      <c r="H1873" s="233"/>
      <c r="I1873" s="233"/>
      <c r="J1873" s="623">
        <v>14004681.949999999</v>
      </c>
      <c r="K1873" s="624" t="s">
        <v>1130</v>
      </c>
      <c r="L1873" s="624" t="s">
        <v>4852</v>
      </c>
      <c r="M1873" s="624" t="s">
        <v>4876</v>
      </c>
      <c r="N1873" s="624" t="s">
        <v>4866</v>
      </c>
      <c r="O1873" s="624"/>
      <c r="P1873" s="624"/>
    </row>
    <row r="1874" spans="1:16">
      <c r="A1874" s="231" t="s">
        <v>686</v>
      </c>
      <c r="B1874" s="231" t="s">
        <v>1864</v>
      </c>
      <c r="C1874" s="618">
        <v>45046</v>
      </c>
      <c r="D1874" s="231" t="s">
        <v>4875</v>
      </c>
      <c r="E1874" s="231" t="s">
        <v>5076</v>
      </c>
      <c r="F1874" s="619">
        <v>55</v>
      </c>
      <c r="G1874" s="231" t="s">
        <v>4851</v>
      </c>
      <c r="H1874" s="619"/>
      <c r="I1874" s="619"/>
      <c r="J1874" s="620">
        <v>15405150.15</v>
      </c>
      <c r="K1874" s="621" t="s">
        <v>1130</v>
      </c>
      <c r="L1874" s="621" t="s">
        <v>4852</v>
      </c>
      <c r="M1874" s="621" t="s">
        <v>4876</v>
      </c>
      <c r="N1874" s="621" t="s">
        <v>4866</v>
      </c>
      <c r="O1874" s="621"/>
      <c r="P1874" s="621"/>
    </row>
    <row r="1875" spans="1:16">
      <c r="A1875" s="232" t="s">
        <v>686</v>
      </c>
      <c r="B1875" s="232" t="s">
        <v>1864</v>
      </c>
      <c r="C1875" s="622">
        <v>45046</v>
      </c>
      <c r="D1875" s="232" t="s">
        <v>4875</v>
      </c>
      <c r="E1875" s="231" t="s">
        <v>5076</v>
      </c>
      <c r="F1875" s="233">
        <v>55</v>
      </c>
      <c r="G1875" s="232" t="s">
        <v>4851</v>
      </c>
      <c r="H1875" s="233"/>
      <c r="I1875" s="233"/>
      <c r="J1875" s="623">
        <v>15405150.15</v>
      </c>
      <c r="K1875" s="624" t="s">
        <v>1130</v>
      </c>
      <c r="L1875" s="624" t="s">
        <v>4852</v>
      </c>
      <c r="M1875" s="624" t="s">
        <v>4876</v>
      </c>
      <c r="N1875" s="624" t="s">
        <v>4866</v>
      </c>
      <c r="O1875" s="624"/>
      <c r="P1875" s="624"/>
    </row>
    <row r="1876" spans="1:16">
      <c r="A1876" s="231" t="s">
        <v>686</v>
      </c>
      <c r="B1876" s="231" t="s">
        <v>1864</v>
      </c>
      <c r="C1876" s="618">
        <v>45046</v>
      </c>
      <c r="D1876" s="231" t="s">
        <v>4875</v>
      </c>
      <c r="E1876" s="231" t="s">
        <v>5076</v>
      </c>
      <c r="F1876" s="619">
        <v>45</v>
      </c>
      <c r="G1876" s="231" t="s">
        <v>4851</v>
      </c>
      <c r="H1876" s="619"/>
      <c r="I1876" s="619"/>
      <c r="J1876" s="620">
        <v>12604213.76</v>
      </c>
      <c r="K1876" s="621" t="s">
        <v>1130</v>
      </c>
      <c r="L1876" s="621" t="s">
        <v>4852</v>
      </c>
      <c r="M1876" s="621" t="s">
        <v>4876</v>
      </c>
      <c r="N1876" s="621" t="s">
        <v>4866</v>
      </c>
      <c r="O1876" s="621"/>
      <c r="P1876" s="621"/>
    </row>
    <row r="1877" spans="1:16">
      <c r="A1877" s="232" t="s">
        <v>686</v>
      </c>
      <c r="B1877" s="232" t="s">
        <v>1864</v>
      </c>
      <c r="C1877" s="622">
        <v>45046</v>
      </c>
      <c r="D1877" s="232" t="s">
        <v>4875</v>
      </c>
      <c r="E1877" s="231" t="s">
        <v>5076</v>
      </c>
      <c r="F1877" s="233">
        <v>55</v>
      </c>
      <c r="G1877" s="232" t="s">
        <v>4851</v>
      </c>
      <c r="H1877" s="233"/>
      <c r="I1877" s="233"/>
      <c r="J1877" s="623">
        <v>15405150.15</v>
      </c>
      <c r="K1877" s="624" t="s">
        <v>1130</v>
      </c>
      <c r="L1877" s="624" t="s">
        <v>4852</v>
      </c>
      <c r="M1877" s="624" t="s">
        <v>4876</v>
      </c>
      <c r="N1877" s="624" t="s">
        <v>4866</v>
      </c>
      <c r="O1877" s="624"/>
      <c r="P1877" s="624"/>
    </row>
    <row r="1878" spans="1:16">
      <c r="A1878" s="231" t="s">
        <v>686</v>
      </c>
      <c r="B1878" s="231" t="s">
        <v>1864</v>
      </c>
      <c r="C1878" s="618">
        <v>45046</v>
      </c>
      <c r="D1878" s="231" t="s">
        <v>4875</v>
      </c>
      <c r="E1878" s="231" t="s">
        <v>5076</v>
      </c>
      <c r="F1878" s="619">
        <v>50</v>
      </c>
      <c r="G1878" s="231" t="s">
        <v>4851</v>
      </c>
      <c r="H1878" s="619"/>
      <c r="I1878" s="619"/>
      <c r="J1878" s="620">
        <v>14004681.949999999</v>
      </c>
      <c r="K1878" s="621" t="s">
        <v>1130</v>
      </c>
      <c r="L1878" s="621" t="s">
        <v>4852</v>
      </c>
      <c r="M1878" s="621" t="s">
        <v>4876</v>
      </c>
      <c r="N1878" s="621" t="s">
        <v>4866</v>
      </c>
      <c r="O1878" s="621"/>
      <c r="P1878" s="621"/>
    </row>
    <row r="1879" spans="1:16">
      <c r="A1879" s="232" t="s">
        <v>686</v>
      </c>
      <c r="B1879" s="232" t="s">
        <v>1864</v>
      </c>
      <c r="C1879" s="622">
        <v>45046</v>
      </c>
      <c r="D1879" s="232" t="s">
        <v>4875</v>
      </c>
      <c r="E1879" s="231" t="s">
        <v>5076</v>
      </c>
      <c r="F1879" s="233">
        <v>55</v>
      </c>
      <c r="G1879" s="232" t="s">
        <v>4851</v>
      </c>
      <c r="H1879" s="233"/>
      <c r="I1879" s="233"/>
      <c r="J1879" s="623">
        <v>15405150.15</v>
      </c>
      <c r="K1879" s="624" t="s">
        <v>1130</v>
      </c>
      <c r="L1879" s="624" t="s">
        <v>4852</v>
      </c>
      <c r="M1879" s="624" t="s">
        <v>4876</v>
      </c>
      <c r="N1879" s="624" t="s">
        <v>4866</v>
      </c>
      <c r="O1879" s="624"/>
      <c r="P1879" s="624"/>
    </row>
    <row r="1880" spans="1:16">
      <c r="A1880" s="231" t="s">
        <v>686</v>
      </c>
      <c r="B1880" s="231" t="s">
        <v>1864</v>
      </c>
      <c r="C1880" s="618">
        <v>45046</v>
      </c>
      <c r="D1880" s="231" t="s">
        <v>4875</v>
      </c>
      <c r="E1880" s="231" t="s">
        <v>5076</v>
      </c>
      <c r="F1880" s="619">
        <v>55</v>
      </c>
      <c r="G1880" s="231" t="s">
        <v>4851</v>
      </c>
      <c r="H1880" s="619"/>
      <c r="I1880" s="619"/>
      <c r="J1880" s="620">
        <v>15405150.15</v>
      </c>
      <c r="K1880" s="621" t="s">
        <v>1130</v>
      </c>
      <c r="L1880" s="621" t="s">
        <v>4852</v>
      </c>
      <c r="M1880" s="621" t="s">
        <v>4876</v>
      </c>
      <c r="N1880" s="621" t="s">
        <v>4866</v>
      </c>
      <c r="O1880" s="621"/>
      <c r="P1880" s="621"/>
    </row>
    <row r="1881" spans="1:16">
      <c r="A1881" s="232" t="s">
        <v>686</v>
      </c>
      <c r="B1881" s="232" t="s">
        <v>1864</v>
      </c>
      <c r="C1881" s="622">
        <v>45046</v>
      </c>
      <c r="D1881" s="232" t="s">
        <v>4870</v>
      </c>
      <c r="E1881" s="232"/>
      <c r="F1881" s="233">
        <v>52</v>
      </c>
      <c r="G1881" s="232" t="s">
        <v>4851</v>
      </c>
      <c r="H1881" s="233"/>
      <c r="I1881" s="233"/>
      <c r="J1881" s="623">
        <v>22360000</v>
      </c>
      <c r="K1881" s="624" t="s">
        <v>1130</v>
      </c>
      <c r="L1881" s="624" t="s">
        <v>4852</v>
      </c>
      <c r="M1881" s="624" t="s">
        <v>4871</v>
      </c>
      <c r="N1881" s="624" t="s">
        <v>4754</v>
      </c>
      <c r="O1881" s="624"/>
      <c r="P1881" s="624"/>
    </row>
    <row r="1882" spans="1:16">
      <c r="A1882" s="231" t="s">
        <v>686</v>
      </c>
      <c r="B1882" s="231" t="s">
        <v>1864</v>
      </c>
      <c r="C1882" s="618">
        <v>45046</v>
      </c>
      <c r="D1882" s="231" t="s">
        <v>4870</v>
      </c>
      <c r="E1882" s="231"/>
      <c r="F1882" s="619">
        <v>52</v>
      </c>
      <c r="G1882" s="231" t="s">
        <v>4851</v>
      </c>
      <c r="H1882" s="619"/>
      <c r="I1882" s="619"/>
      <c r="J1882" s="620">
        <v>22360000</v>
      </c>
      <c r="K1882" s="621" t="s">
        <v>1130</v>
      </c>
      <c r="L1882" s="621" t="s">
        <v>4852</v>
      </c>
      <c r="M1882" s="621" t="s">
        <v>4871</v>
      </c>
      <c r="N1882" s="621" t="s">
        <v>4754</v>
      </c>
      <c r="O1882" s="621"/>
      <c r="P1882" s="621"/>
    </row>
    <row r="1883" spans="1:16">
      <c r="A1883" s="232" t="s">
        <v>686</v>
      </c>
      <c r="B1883" s="232" t="s">
        <v>1864</v>
      </c>
      <c r="C1883" s="622">
        <v>45046</v>
      </c>
      <c r="D1883" s="232" t="s">
        <v>4875</v>
      </c>
      <c r="E1883" s="231" t="s">
        <v>5076</v>
      </c>
      <c r="F1883" s="233">
        <v>45</v>
      </c>
      <c r="G1883" s="232" t="s">
        <v>4851</v>
      </c>
      <c r="H1883" s="233"/>
      <c r="I1883" s="233"/>
      <c r="J1883" s="623">
        <v>12604213.76</v>
      </c>
      <c r="K1883" s="624" t="s">
        <v>1130</v>
      </c>
      <c r="L1883" s="624" t="s">
        <v>4852</v>
      </c>
      <c r="M1883" s="624" t="s">
        <v>4876</v>
      </c>
      <c r="N1883" s="624" t="s">
        <v>4866</v>
      </c>
      <c r="O1883" s="624"/>
      <c r="P1883" s="624"/>
    </row>
    <row r="1884" spans="1:16">
      <c r="A1884" s="231" t="s">
        <v>686</v>
      </c>
      <c r="B1884" s="231" t="s">
        <v>1864</v>
      </c>
      <c r="C1884" s="618">
        <v>45046</v>
      </c>
      <c r="D1884" s="231" t="s">
        <v>4870</v>
      </c>
      <c r="E1884" s="231"/>
      <c r="F1884" s="619">
        <v>52</v>
      </c>
      <c r="G1884" s="231" t="s">
        <v>4851</v>
      </c>
      <c r="H1884" s="619"/>
      <c r="I1884" s="619"/>
      <c r="J1884" s="620">
        <v>22360000</v>
      </c>
      <c r="K1884" s="621" t="s">
        <v>1130</v>
      </c>
      <c r="L1884" s="621" t="s">
        <v>4852</v>
      </c>
      <c r="M1884" s="621" t="s">
        <v>4871</v>
      </c>
      <c r="N1884" s="621" t="s">
        <v>4754</v>
      </c>
      <c r="O1884" s="621"/>
      <c r="P1884" s="621"/>
    </row>
    <row r="1885" spans="1:16">
      <c r="A1885" s="232" t="s">
        <v>686</v>
      </c>
      <c r="B1885" s="232" t="s">
        <v>1864</v>
      </c>
      <c r="C1885" s="622">
        <v>45046</v>
      </c>
      <c r="D1885" s="232" t="s">
        <v>4870</v>
      </c>
      <c r="E1885" s="232"/>
      <c r="F1885" s="233">
        <v>52</v>
      </c>
      <c r="G1885" s="232" t="s">
        <v>4851</v>
      </c>
      <c r="H1885" s="233"/>
      <c r="I1885" s="233"/>
      <c r="J1885" s="623">
        <v>22360000</v>
      </c>
      <c r="K1885" s="624" t="s">
        <v>1130</v>
      </c>
      <c r="L1885" s="624" t="s">
        <v>4852</v>
      </c>
      <c r="M1885" s="624" t="s">
        <v>4871</v>
      </c>
      <c r="N1885" s="624" t="s">
        <v>4754</v>
      </c>
      <c r="O1885" s="624"/>
      <c r="P1885" s="624"/>
    </row>
    <row r="1886" spans="1:16">
      <c r="A1886" s="231" t="s">
        <v>686</v>
      </c>
      <c r="B1886" s="231" t="s">
        <v>1864</v>
      </c>
      <c r="C1886" s="618">
        <v>45046</v>
      </c>
      <c r="D1886" s="231" t="s">
        <v>4875</v>
      </c>
      <c r="E1886" s="231" t="s">
        <v>5076</v>
      </c>
      <c r="F1886" s="619">
        <v>50</v>
      </c>
      <c r="G1886" s="231" t="s">
        <v>4851</v>
      </c>
      <c r="H1886" s="619"/>
      <c r="I1886" s="619"/>
      <c r="J1886" s="620">
        <v>14004681.949999999</v>
      </c>
      <c r="K1886" s="621" t="s">
        <v>1130</v>
      </c>
      <c r="L1886" s="621" t="s">
        <v>4852</v>
      </c>
      <c r="M1886" s="621" t="s">
        <v>4876</v>
      </c>
      <c r="N1886" s="621" t="s">
        <v>4866</v>
      </c>
      <c r="O1886" s="621"/>
      <c r="P1886" s="621"/>
    </row>
    <row r="1887" spans="1:16">
      <c r="A1887" s="232" t="s">
        <v>686</v>
      </c>
      <c r="B1887" s="232" t="s">
        <v>1864</v>
      </c>
      <c r="C1887" s="622">
        <v>45046</v>
      </c>
      <c r="D1887" s="232" t="s">
        <v>4875</v>
      </c>
      <c r="E1887" s="231" t="s">
        <v>5076</v>
      </c>
      <c r="F1887" s="233">
        <v>45</v>
      </c>
      <c r="G1887" s="232" t="s">
        <v>4851</v>
      </c>
      <c r="H1887" s="233"/>
      <c r="I1887" s="233"/>
      <c r="J1887" s="623">
        <v>12604213.76</v>
      </c>
      <c r="K1887" s="624" t="s">
        <v>1130</v>
      </c>
      <c r="L1887" s="624" t="s">
        <v>4852</v>
      </c>
      <c r="M1887" s="624" t="s">
        <v>4876</v>
      </c>
      <c r="N1887" s="624" t="s">
        <v>4866</v>
      </c>
      <c r="O1887" s="624"/>
      <c r="P1887" s="624"/>
    </row>
    <row r="1888" spans="1:16">
      <c r="A1888" s="231" t="s">
        <v>686</v>
      </c>
      <c r="B1888" s="231" t="s">
        <v>1864</v>
      </c>
      <c r="C1888" s="618">
        <v>45046</v>
      </c>
      <c r="D1888" s="231" t="s">
        <v>4875</v>
      </c>
      <c r="E1888" s="231" t="s">
        <v>5076</v>
      </c>
      <c r="F1888" s="619">
        <v>55</v>
      </c>
      <c r="G1888" s="231" t="s">
        <v>4851</v>
      </c>
      <c r="H1888" s="619"/>
      <c r="I1888" s="619"/>
      <c r="J1888" s="620">
        <v>15405150.15</v>
      </c>
      <c r="K1888" s="621" t="s">
        <v>1130</v>
      </c>
      <c r="L1888" s="621" t="s">
        <v>4852</v>
      </c>
      <c r="M1888" s="621" t="s">
        <v>4876</v>
      </c>
      <c r="N1888" s="621" t="s">
        <v>4866</v>
      </c>
      <c r="O1888" s="621"/>
      <c r="P1888" s="621"/>
    </row>
    <row r="1889" spans="1:16">
      <c r="A1889" s="232" t="s">
        <v>686</v>
      </c>
      <c r="B1889" s="232" t="s">
        <v>1864</v>
      </c>
      <c r="C1889" s="622">
        <v>45046</v>
      </c>
      <c r="D1889" s="232" t="s">
        <v>4875</v>
      </c>
      <c r="E1889" s="231" t="s">
        <v>5076</v>
      </c>
      <c r="F1889" s="233">
        <v>55</v>
      </c>
      <c r="G1889" s="232" t="s">
        <v>4851</v>
      </c>
      <c r="H1889" s="233"/>
      <c r="I1889" s="233"/>
      <c r="J1889" s="623">
        <v>15405150.15</v>
      </c>
      <c r="K1889" s="624" t="s">
        <v>1130</v>
      </c>
      <c r="L1889" s="624" t="s">
        <v>4852</v>
      </c>
      <c r="M1889" s="624" t="s">
        <v>4876</v>
      </c>
      <c r="N1889" s="624" t="s">
        <v>4866</v>
      </c>
      <c r="O1889" s="624"/>
      <c r="P1889" s="624"/>
    </row>
    <row r="1890" spans="1:16">
      <c r="A1890" s="231" t="s">
        <v>686</v>
      </c>
      <c r="B1890" s="231" t="s">
        <v>1864</v>
      </c>
      <c r="C1890" s="618">
        <v>45046</v>
      </c>
      <c r="D1890" s="231" t="s">
        <v>4862</v>
      </c>
      <c r="E1890" s="231"/>
      <c r="F1890" s="619">
        <v>50</v>
      </c>
      <c r="G1890" s="231" t="s">
        <v>4851</v>
      </c>
      <c r="H1890" s="619"/>
      <c r="I1890" s="619"/>
      <c r="J1890" s="620">
        <v>23250000</v>
      </c>
      <c r="K1890" s="621" t="s">
        <v>1130</v>
      </c>
      <c r="L1890" s="621" t="s">
        <v>4852</v>
      </c>
      <c r="M1890" s="621" t="s">
        <v>4863</v>
      </c>
      <c r="N1890" s="621" t="s">
        <v>4754</v>
      </c>
      <c r="O1890" s="621"/>
      <c r="P1890" s="621"/>
    </row>
    <row r="1891" spans="1:16">
      <c r="A1891" s="232" t="s">
        <v>686</v>
      </c>
      <c r="B1891" s="232" t="s">
        <v>1864</v>
      </c>
      <c r="C1891" s="622">
        <v>45046</v>
      </c>
      <c r="D1891" s="232" t="s">
        <v>4862</v>
      </c>
      <c r="E1891" s="232"/>
      <c r="F1891" s="233">
        <v>15.09</v>
      </c>
      <c r="G1891" s="232" t="s">
        <v>4851</v>
      </c>
      <c r="H1891" s="233"/>
      <c r="I1891" s="233"/>
      <c r="J1891" s="623">
        <v>7016850</v>
      </c>
      <c r="K1891" s="624" t="s">
        <v>1130</v>
      </c>
      <c r="L1891" s="624" t="s">
        <v>4852</v>
      </c>
      <c r="M1891" s="624" t="s">
        <v>4863</v>
      </c>
      <c r="N1891" s="624" t="s">
        <v>4754</v>
      </c>
      <c r="O1891" s="624"/>
      <c r="P1891" s="624"/>
    </row>
    <row r="1892" spans="1:16">
      <c r="A1892" s="231" t="s">
        <v>686</v>
      </c>
      <c r="B1892" s="231" t="s">
        <v>1864</v>
      </c>
      <c r="C1892" s="618">
        <v>45046</v>
      </c>
      <c r="D1892" s="231" t="s">
        <v>4862</v>
      </c>
      <c r="E1892" s="231"/>
      <c r="F1892" s="619">
        <v>39.909999999999997</v>
      </c>
      <c r="G1892" s="231" t="s">
        <v>4851</v>
      </c>
      <c r="H1892" s="619"/>
      <c r="I1892" s="619"/>
      <c r="J1892" s="620">
        <v>18558150</v>
      </c>
      <c r="K1892" s="621" t="s">
        <v>1130</v>
      </c>
      <c r="L1892" s="621" t="s">
        <v>4852</v>
      </c>
      <c r="M1892" s="621" t="s">
        <v>4863</v>
      </c>
      <c r="N1892" s="621" t="s">
        <v>4754</v>
      </c>
      <c r="O1892" s="621"/>
      <c r="P1892" s="621"/>
    </row>
    <row r="1893" spans="1:16">
      <c r="A1893" s="232" t="s">
        <v>686</v>
      </c>
      <c r="B1893" s="232" t="s">
        <v>1864</v>
      </c>
      <c r="C1893" s="622">
        <v>45046</v>
      </c>
      <c r="D1893" s="232" t="s">
        <v>4860</v>
      </c>
      <c r="E1893" s="232" t="s">
        <v>5072</v>
      </c>
      <c r="F1893" s="233">
        <v>32.700000000000003</v>
      </c>
      <c r="G1893" s="232" t="s">
        <v>4851</v>
      </c>
      <c r="H1893" s="233"/>
      <c r="I1893" s="233"/>
      <c r="J1893" s="623">
        <v>196200</v>
      </c>
      <c r="K1893" s="624" t="s">
        <v>991</v>
      </c>
      <c r="L1893" s="624" t="s">
        <v>4852</v>
      </c>
      <c r="M1893" s="624" t="s">
        <v>4877</v>
      </c>
      <c r="N1893" s="624" t="s">
        <v>4878</v>
      </c>
      <c r="O1893" s="624"/>
      <c r="P1893" s="624"/>
    </row>
    <row r="1894" spans="1:16">
      <c r="A1894" s="231" t="s">
        <v>686</v>
      </c>
      <c r="B1894" s="231" t="s">
        <v>1864</v>
      </c>
      <c r="C1894" s="618">
        <v>45046</v>
      </c>
      <c r="D1894" s="231" t="s">
        <v>4860</v>
      </c>
      <c r="E1894" s="232" t="s">
        <v>5072</v>
      </c>
      <c r="F1894" s="619">
        <v>33.85</v>
      </c>
      <c r="G1894" s="231" t="s">
        <v>4851</v>
      </c>
      <c r="H1894" s="619"/>
      <c r="I1894" s="619"/>
      <c r="J1894" s="620">
        <v>203100</v>
      </c>
      <c r="K1894" s="621" t="s">
        <v>991</v>
      </c>
      <c r="L1894" s="621" t="s">
        <v>4852</v>
      </c>
      <c r="M1894" s="621" t="s">
        <v>4877</v>
      </c>
      <c r="N1894" s="621" t="s">
        <v>4878</v>
      </c>
      <c r="O1894" s="621"/>
      <c r="P1894" s="621"/>
    </row>
    <row r="1895" spans="1:16">
      <c r="A1895" s="232" t="s">
        <v>686</v>
      </c>
      <c r="B1895" s="232" t="s">
        <v>1864</v>
      </c>
      <c r="C1895" s="622">
        <v>45046</v>
      </c>
      <c r="D1895" s="232" t="s">
        <v>4860</v>
      </c>
      <c r="E1895" s="232" t="s">
        <v>5072</v>
      </c>
      <c r="F1895" s="233">
        <v>38.5</v>
      </c>
      <c r="G1895" s="232" t="s">
        <v>4851</v>
      </c>
      <c r="H1895" s="233"/>
      <c r="I1895" s="233"/>
      <c r="J1895" s="623">
        <v>231000</v>
      </c>
      <c r="K1895" s="624" t="s">
        <v>991</v>
      </c>
      <c r="L1895" s="624" t="s">
        <v>4852</v>
      </c>
      <c r="M1895" s="624" t="s">
        <v>4877</v>
      </c>
      <c r="N1895" s="624" t="s">
        <v>4878</v>
      </c>
      <c r="O1895" s="624"/>
      <c r="P1895" s="624"/>
    </row>
    <row r="1896" spans="1:16">
      <c r="A1896" s="231" t="s">
        <v>686</v>
      </c>
      <c r="B1896" s="231" t="s">
        <v>1864</v>
      </c>
      <c r="C1896" s="618">
        <v>45046</v>
      </c>
      <c r="D1896" s="231" t="s">
        <v>4860</v>
      </c>
      <c r="E1896" s="232" t="s">
        <v>5072</v>
      </c>
      <c r="F1896" s="619">
        <v>39.200000000000003</v>
      </c>
      <c r="G1896" s="231" t="s">
        <v>4851</v>
      </c>
      <c r="H1896" s="619"/>
      <c r="I1896" s="619"/>
      <c r="J1896" s="620">
        <v>235200</v>
      </c>
      <c r="K1896" s="621" t="s">
        <v>991</v>
      </c>
      <c r="L1896" s="621" t="s">
        <v>4852</v>
      </c>
      <c r="M1896" s="621" t="s">
        <v>4877</v>
      </c>
      <c r="N1896" s="621" t="s">
        <v>4878</v>
      </c>
      <c r="O1896" s="621"/>
      <c r="P1896" s="621"/>
    </row>
    <row r="1897" spans="1:16">
      <c r="A1897" s="232" t="s">
        <v>686</v>
      </c>
      <c r="B1897" s="232" t="s">
        <v>1864</v>
      </c>
      <c r="C1897" s="622">
        <v>45046</v>
      </c>
      <c r="D1897" s="232" t="s">
        <v>4860</v>
      </c>
      <c r="E1897" s="232" t="s">
        <v>5072</v>
      </c>
      <c r="F1897" s="233">
        <v>38.5</v>
      </c>
      <c r="G1897" s="232" t="s">
        <v>4851</v>
      </c>
      <c r="H1897" s="233"/>
      <c r="I1897" s="233"/>
      <c r="J1897" s="623">
        <v>231000</v>
      </c>
      <c r="K1897" s="624" t="s">
        <v>991</v>
      </c>
      <c r="L1897" s="624" t="s">
        <v>4852</v>
      </c>
      <c r="M1897" s="624" t="s">
        <v>4877</v>
      </c>
      <c r="N1897" s="624" t="s">
        <v>4878</v>
      </c>
      <c r="O1897" s="624"/>
      <c r="P1897" s="624"/>
    </row>
    <row r="1898" spans="1:16">
      <c r="A1898" s="231" t="s">
        <v>686</v>
      </c>
      <c r="B1898" s="231" t="s">
        <v>1864</v>
      </c>
      <c r="C1898" s="618">
        <v>45046</v>
      </c>
      <c r="D1898" s="231" t="s">
        <v>4875</v>
      </c>
      <c r="E1898" s="231" t="s">
        <v>5076</v>
      </c>
      <c r="F1898" s="619">
        <v>45</v>
      </c>
      <c r="G1898" s="231" t="s">
        <v>4851</v>
      </c>
      <c r="H1898" s="619"/>
      <c r="I1898" s="619"/>
      <c r="J1898" s="620">
        <v>12604213.76</v>
      </c>
      <c r="K1898" s="621" t="s">
        <v>1130</v>
      </c>
      <c r="L1898" s="621" t="s">
        <v>4852</v>
      </c>
      <c r="M1898" s="621" t="s">
        <v>4876</v>
      </c>
      <c r="N1898" s="621" t="s">
        <v>4866</v>
      </c>
      <c r="O1898" s="621"/>
      <c r="P1898" s="621"/>
    </row>
    <row r="1899" spans="1:16">
      <c r="A1899" s="232" t="s">
        <v>686</v>
      </c>
      <c r="B1899" s="232" t="s">
        <v>1864</v>
      </c>
      <c r="C1899" s="622">
        <v>45046</v>
      </c>
      <c r="D1899" s="232" t="s">
        <v>4875</v>
      </c>
      <c r="E1899" s="231" t="s">
        <v>5076</v>
      </c>
      <c r="F1899" s="233">
        <v>55</v>
      </c>
      <c r="G1899" s="232" t="s">
        <v>4851</v>
      </c>
      <c r="H1899" s="233"/>
      <c r="I1899" s="233"/>
      <c r="J1899" s="623">
        <v>15405150.15</v>
      </c>
      <c r="K1899" s="624" t="s">
        <v>1130</v>
      </c>
      <c r="L1899" s="624" t="s">
        <v>4852</v>
      </c>
      <c r="M1899" s="624" t="s">
        <v>4876</v>
      </c>
      <c r="N1899" s="624" t="s">
        <v>4866</v>
      </c>
      <c r="O1899" s="624"/>
      <c r="P1899" s="624"/>
    </row>
    <row r="1900" spans="1:16">
      <c r="A1900" s="231" t="s">
        <v>686</v>
      </c>
      <c r="B1900" s="231" t="s">
        <v>1864</v>
      </c>
      <c r="C1900" s="618">
        <v>45046</v>
      </c>
      <c r="D1900" s="231" t="s">
        <v>4875</v>
      </c>
      <c r="E1900" s="231" t="s">
        <v>5076</v>
      </c>
      <c r="F1900" s="619">
        <v>45</v>
      </c>
      <c r="G1900" s="231" t="s">
        <v>4851</v>
      </c>
      <c r="H1900" s="619"/>
      <c r="I1900" s="619"/>
      <c r="J1900" s="620">
        <v>12604213.76</v>
      </c>
      <c r="K1900" s="621" t="s">
        <v>1130</v>
      </c>
      <c r="L1900" s="621" t="s">
        <v>4852</v>
      </c>
      <c r="M1900" s="621" t="s">
        <v>4876</v>
      </c>
      <c r="N1900" s="621" t="s">
        <v>4866</v>
      </c>
      <c r="O1900" s="621"/>
      <c r="P1900" s="621"/>
    </row>
    <row r="1901" spans="1:16">
      <c r="A1901" s="232" t="s">
        <v>686</v>
      </c>
      <c r="B1901" s="232" t="s">
        <v>1864</v>
      </c>
      <c r="C1901" s="622">
        <v>45046</v>
      </c>
      <c r="D1901" s="232" t="s">
        <v>4875</v>
      </c>
      <c r="E1901" s="231" t="s">
        <v>5076</v>
      </c>
      <c r="F1901" s="233">
        <v>55</v>
      </c>
      <c r="G1901" s="232" t="s">
        <v>4851</v>
      </c>
      <c r="H1901" s="233"/>
      <c r="I1901" s="233"/>
      <c r="J1901" s="623">
        <v>15405150.15</v>
      </c>
      <c r="K1901" s="624" t="s">
        <v>1130</v>
      </c>
      <c r="L1901" s="624" t="s">
        <v>4852</v>
      </c>
      <c r="M1901" s="624" t="s">
        <v>4876</v>
      </c>
      <c r="N1901" s="624" t="s">
        <v>4866</v>
      </c>
      <c r="O1901" s="624"/>
      <c r="P1901" s="624"/>
    </row>
    <row r="1902" spans="1:16">
      <c r="A1902" s="231" t="s">
        <v>686</v>
      </c>
      <c r="B1902" s="231" t="s">
        <v>1864</v>
      </c>
      <c r="C1902" s="618">
        <v>45046</v>
      </c>
      <c r="D1902" s="231" t="s">
        <v>4875</v>
      </c>
      <c r="E1902" s="231" t="s">
        <v>5076</v>
      </c>
      <c r="F1902" s="619">
        <v>45</v>
      </c>
      <c r="G1902" s="231" t="s">
        <v>4851</v>
      </c>
      <c r="H1902" s="619"/>
      <c r="I1902" s="619"/>
      <c r="J1902" s="620">
        <v>12604213.76</v>
      </c>
      <c r="K1902" s="621" t="s">
        <v>1130</v>
      </c>
      <c r="L1902" s="621" t="s">
        <v>4852</v>
      </c>
      <c r="M1902" s="621" t="s">
        <v>4876</v>
      </c>
      <c r="N1902" s="621" t="s">
        <v>4866</v>
      </c>
      <c r="O1902" s="621"/>
      <c r="P1902" s="621"/>
    </row>
    <row r="1903" spans="1:16">
      <c r="A1903" s="232" t="s">
        <v>686</v>
      </c>
      <c r="B1903" s="232" t="s">
        <v>1864</v>
      </c>
      <c r="C1903" s="622">
        <v>45046</v>
      </c>
      <c r="D1903" s="232" t="s">
        <v>4875</v>
      </c>
      <c r="E1903" s="231" t="s">
        <v>5076</v>
      </c>
      <c r="F1903" s="233">
        <v>45</v>
      </c>
      <c r="G1903" s="232" t="s">
        <v>4851</v>
      </c>
      <c r="H1903" s="233"/>
      <c r="I1903" s="233"/>
      <c r="J1903" s="623">
        <v>12604213.76</v>
      </c>
      <c r="K1903" s="624" t="s">
        <v>1130</v>
      </c>
      <c r="L1903" s="624" t="s">
        <v>4852</v>
      </c>
      <c r="M1903" s="624" t="s">
        <v>4876</v>
      </c>
      <c r="N1903" s="624" t="s">
        <v>4866</v>
      </c>
      <c r="O1903" s="624"/>
      <c r="P1903" s="624"/>
    </row>
    <row r="1904" spans="1:16">
      <c r="A1904" s="231" t="s">
        <v>686</v>
      </c>
      <c r="B1904" s="231" t="s">
        <v>1864</v>
      </c>
      <c r="C1904" s="618">
        <v>45046</v>
      </c>
      <c r="D1904" s="231" t="s">
        <v>4875</v>
      </c>
      <c r="E1904" s="231" t="s">
        <v>5076</v>
      </c>
      <c r="F1904" s="619">
        <v>55</v>
      </c>
      <c r="G1904" s="231" t="s">
        <v>4851</v>
      </c>
      <c r="H1904" s="619"/>
      <c r="I1904" s="619"/>
      <c r="J1904" s="620">
        <v>15405150.15</v>
      </c>
      <c r="K1904" s="621" t="s">
        <v>1130</v>
      </c>
      <c r="L1904" s="621" t="s">
        <v>4852</v>
      </c>
      <c r="M1904" s="621" t="s">
        <v>4876</v>
      </c>
      <c r="N1904" s="621" t="s">
        <v>4866</v>
      </c>
      <c r="O1904" s="621"/>
      <c r="P1904" s="621"/>
    </row>
    <row r="1905" spans="1:16">
      <c r="A1905" s="232" t="s">
        <v>686</v>
      </c>
      <c r="B1905" s="232" t="s">
        <v>1864</v>
      </c>
      <c r="C1905" s="622">
        <v>45046</v>
      </c>
      <c r="D1905" s="232" t="s">
        <v>4875</v>
      </c>
      <c r="E1905" s="231" t="s">
        <v>5076</v>
      </c>
      <c r="F1905" s="233">
        <v>55</v>
      </c>
      <c r="G1905" s="232" t="s">
        <v>4851</v>
      </c>
      <c r="H1905" s="233"/>
      <c r="I1905" s="233"/>
      <c r="J1905" s="623">
        <v>15405150.15</v>
      </c>
      <c r="K1905" s="624" t="s">
        <v>1130</v>
      </c>
      <c r="L1905" s="624" t="s">
        <v>4852</v>
      </c>
      <c r="M1905" s="624" t="s">
        <v>4876</v>
      </c>
      <c r="N1905" s="624" t="s">
        <v>4866</v>
      </c>
      <c r="O1905" s="624"/>
      <c r="P1905" s="624"/>
    </row>
    <row r="1906" spans="1:16">
      <c r="A1906" s="231" t="s">
        <v>686</v>
      </c>
      <c r="B1906" s="231" t="s">
        <v>1864</v>
      </c>
      <c r="C1906" s="618">
        <v>45046</v>
      </c>
      <c r="D1906" s="231" t="s">
        <v>4875</v>
      </c>
      <c r="E1906" s="231" t="s">
        <v>5076</v>
      </c>
      <c r="F1906" s="619">
        <v>45</v>
      </c>
      <c r="G1906" s="231" t="s">
        <v>4851</v>
      </c>
      <c r="H1906" s="619"/>
      <c r="I1906" s="619"/>
      <c r="J1906" s="620">
        <v>12604213.76</v>
      </c>
      <c r="K1906" s="621" t="s">
        <v>1130</v>
      </c>
      <c r="L1906" s="621" t="s">
        <v>4852</v>
      </c>
      <c r="M1906" s="621" t="s">
        <v>4876</v>
      </c>
      <c r="N1906" s="621" t="s">
        <v>4866</v>
      </c>
      <c r="O1906" s="621"/>
      <c r="P1906" s="621"/>
    </row>
    <row r="1907" spans="1:16">
      <c r="A1907" s="232" t="s">
        <v>686</v>
      </c>
      <c r="B1907" s="232" t="s">
        <v>1864</v>
      </c>
      <c r="C1907" s="622">
        <v>45046</v>
      </c>
      <c r="D1907" s="232" t="s">
        <v>4875</v>
      </c>
      <c r="E1907" s="231" t="s">
        <v>5076</v>
      </c>
      <c r="F1907" s="233">
        <v>55</v>
      </c>
      <c r="G1907" s="232" t="s">
        <v>4851</v>
      </c>
      <c r="H1907" s="233"/>
      <c r="I1907" s="233"/>
      <c r="J1907" s="623">
        <v>15405150.15</v>
      </c>
      <c r="K1907" s="624" t="s">
        <v>1130</v>
      </c>
      <c r="L1907" s="624" t="s">
        <v>4852</v>
      </c>
      <c r="M1907" s="624" t="s">
        <v>4876</v>
      </c>
      <c r="N1907" s="624" t="s">
        <v>4866</v>
      </c>
      <c r="O1907" s="624"/>
      <c r="P1907" s="624"/>
    </row>
    <row r="1908" spans="1:16">
      <c r="A1908" s="231" t="s">
        <v>686</v>
      </c>
      <c r="B1908" s="231" t="s">
        <v>1864</v>
      </c>
      <c r="C1908" s="618">
        <v>45046</v>
      </c>
      <c r="D1908" s="231" t="s">
        <v>4860</v>
      </c>
      <c r="E1908" s="232" t="s">
        <v>5072</v>
      </c>
      <c r="F1908" s="619">
        <v>39.65</v>
      </c>
      <c r="G1908" s="231" t="s">
        <v>4851</v>
      </c>
      <c r="H1908" s="619"/>
      <c r="I1908" s="619"/>
      <c r="J1908" s="620">
        <v>237900</v>
      </c>
      <c r="K1908" s="621" t="s">
        <v>991</v>
      </c>
      <c r="L1908" s="621" t="s">
        <v>4852</v>
      </c>
      <c r="M1908" s="621" t="s">
        <v>4877</v>
      </c>
      <c r="N1908" s="621" t="s">
        <v>4878</v>
      </c>
      <c r="O1908" s="621"/>
      <c r="P1908" s="621"/>
    </row>
    <row r="1909" spans="1:16">
      <c r="A1909" s="232" t="s">
        <v>686</v>
      </c>
      <c r="B1909" s="232" t="s">
        <v>1864</v>
      </c>
      <c r="C1909" s="622">
        <v>45046</v>
      </c>
      <c r="D1909" s="232" t="s">
        <v>4862</v>
      </c>
      <c r="E1909" s="232"/>
      <c r="F1909" s="233">
        <v>50</v>
      </c>
      <c r="G1909" s="232" t="s">
        <v>4851</v>
      </c>
      <c r="H1909" s="233"/>
      <c r="I1909" s="233"/>
      <c r="J1909" s="623">
        <v>23250000</v>
      </c>
      <c r="K1909" s="624" t="s">
        <v>1130</v>
      </c>
      <c r="L1909" s="624" t="s">
        <v>4852</v>
      </c>
      <c r="M1909" s="624" t="s">
        <v>4863</v>
      </c>
      <c r="N1909" s="624" t="s">
        <v>4754</v>
      </c>
      <c r="O1909" s="624"/>
      <c r="P1909" s="624"/>
    </row>
    <row r="1910" spans="1:16">
      <c r="A1910" s="231" t="s">
        <v>686</v>
      </c>
      <c r="B1910" s="231" t="s">
        <v>1864</v>
      </c>
      <c r="C1910" s="618">
        <v>45046</v>
      </c>
      <c r="D1910" s="231" t="s">
        <v>4862</v>
      </c>
      <c r="E1910" s="231"/>
      <c r="F1910" s="619">
        <v>45</v>
      </c>
      <c r="G1910" s="231" t="s">
        <v>4851</v>
      </c>
      <c r="H1910" s="619"/>
      <c r="I1910" s="619"/>
      <c r="J1910" s="620">
        <v>20925000</v>
      </c>
      <c r="K1910" s="621" t="s">
        <v>1130</v>
      </c>
      <c r="L1910" s="621" t="s">
        <v>4852</v>
      </c>
      <c r="M1910" s="621" t="s">
        <v>4863</v>
      </c>
      <c r="N1910" s="621" t="s">
        <v>4754</v>
      </c>
      <c r="O1910" s="621"/>
      <c r="P1910" s="621"/>
    </row>
    <row r="1911" spans="1:16">
      <c r="A1911" s="232" t="s">
        <v>686</v>
      </c>
      <c r="B1911" s="232" t="s">
        <v>1864</v>
      </c>
      <c r="C1911" s="622">
        <v>45046</v>
      </c>
      <c r="D1911" s="232" t="s">
        <v>4862</v>
      </c>
      <c r="E1911" s="232"/>
      <c r="F1911" s="233">
        <v>50</v>
      </c>
      <c r="G1911" s="232" t="s">
        <v>4851</v>
      </c>
      <c r="H1911" s="233"/>
      <c r="I1911" s="233"/>
      <c r="J1911" s="623">
        <v>23250000</v>
      </c>
      <c r="K1911" s="624" t="s">
        <v>1130</v>
      </c>
      <c r="L1911" s="624" t="s">
        <v>4852</v>
      </c>
      <c r="M1911" s="624" t="s">
        <v>4863</v>
      </c>
      <c r="N1911" s="624" t="s">
        <v>4754</v>
      </c>
      <c r="O1911" s="624"/>
      <c r="P1911" s="624"/>
    </row>
    <row r="1912" spans="1:16">
      <c r="A1912" s="231" t="s">
        <v>686</v>
      </c>
      <c r="B1912" s="231" t="s">
        <v>1864</v>
      </c>
      <c r="C1912" s="618">
        <v>45046</v>
      </c>
      <c r="D1912" s="231" t="s">
        <v>4868</v>
      </c>
      <c r="E1912" s="231" t="s">
        <v>5076</v>
      </c>
      <c r="F1912" s="619">
        <v>49</v>
      </c>
      <c r="G1912" s="231" t="s">
        <v>4851</v>
      </c>
      <c r="H1912" s="619"/>
      <c r="I1912" s="619"/>
      <c r="J1912" s="620">
        <v>21070000</v>
      </c>
      <c r="K1912" s="621" t="s">
        <v>1130</v>
      </c>
      <c r="L1912" s="621" t="s">
        <v>4852</v>
      </c>
      <c r="M1912" s="621" t="s">
        <v>4867</v>
      </c>
      <c r="N1912" s="621" t="s">
        <v>4754</v>
      </c>
      <c r="O1912" s="621"/>
      <c r="P1912" s="621"/>
    </row>
    <row r="1913" spans="1:16">
      <c r="A1913" s="232" t="s">
        <v>686</v>
      </c>
      <c r="B1913" s="232" t="s">
        <v>1864</v>
      </c>
      <c r="C1913" s="622">
        <v>45046</v>
      </c>
      <c r="D1913" s="232" t="s">
        <v>4868</v>
      </c>
      <c r="E1913" s="231" t="s">
        <v>5076</v>
      </c>
      <c r="F1913" s="233">
        <v>37</v>
      </c>
      <c r="G1913" s="232" t="s">
        <v>4851</v>
      </c>
      <c r="H1913" s="233"/>
      <c r="I1913" s="233"/>
      <c r="J1913" s="623">
        <v>15910000</v>
      </c>
      <c r="K1913" s="624" t="s">
        <v>1130</v>
      </c>
      <c r="L1913" s="624" t="s">
        <v>4852</v>
      </c>
      <c r="M1913" s="624" t="s">
        <v>4867</v>
      </c>
      <c r="N1913" s="624" t="s">
        <v>4754</v>
      </c>
      <c r="O1913" s="624"/>
      <c r="P1913" s="624"/>
    </row>
    <row r="1914" spans="1:16">
      <c r="A1914" s="231" t="s">
        <v>686</v>
      </c>
      <c r="B1914" s="231" t="s">
        <v>1864</v>
      </c>
      <c r="C1914" s="618">
        <v>45046</v>
      </c>
      <c r="D1914" s="231" t="s">
        <v>4868</v>
      </c>
      <c r="E1914" s="231" t="s">
        <v>5076</v>
      </c>
      <c r="F1914" s="619">
        <v>49</v>
      </c>
      <c r="G1914" s="231" t="s">
        <v>4851</v>
      </c>
      <c r="H1914" s="619"/>
      <c r="I1914" s="619"/>
      <c r="J1914" s="620">
        <v>21070000</v>
      </c>
      <c r="K1914" s="621" t="s">
        <v>1130</v>
      </c>
      <c r="L1914" s="621" t="s">
        <v>4852</v>
      </c>
      <c r="M1914" s="621" t="s">
        <v>4867</v>
      </c>
      <c r="N1914" s="621" t="s">
        <v>4754</v>
      </c>
      <c r="O1914" s="621"/>
      <c r="P1914" s="621"/>
    </row>
    <row r="1915" spans="1:16">
      <c r="A1915" s="232" t="s">
        <v>686</v>
      </c>
      <c r="B1915" s="232" t="s">
        <v>1864</v>
      </c>
      <c r="C1915" s="622">
        <v>45046</v>
      </c>
      <c r="D1915" s="232" t="s">
        <v>4868</v>
      </c>
      <c r="E1915" s="231" t="s">
        <v>5076</v>
      </c>
      <c r="F1915" s="233">
        <v>49</v>
      </c>
      <c r="G1915" s="232" t="s">
        <v>4851</v>
      </c>
      <c r="H1915" s="233"/>
      <c r="I1915" s="233"/>
      <c r="J1915" s="623">
        <v>21070000</v>
      </c>
      <c r="K1915" s="624" t="s">
        <v>1130</v>
      </c>
      <c r="L1915" s="624" t="s">
        <v>4852</v>
      </c>
      <c r="M1915" s="624" t="s">
        <v>4867</v>
      </c>
      <c r="N1915" s="624" t="s">
        <v>4754</v>
      </c>
      <c r="O1915" s="624"/>
      <c r="P1915" s="624"/>
    </row>
    <row r="1916" spans="1:16">
      <c r="A1916" s="231" t="s">
        <v>686</v>
      </c>
      <c r="B1916" s="231" t="s">
        <v>1864</v>
      </c>
      <c r="C1916" s="618">
        <v>45046</v>
      </c>
      <c r="D1916" s="231" t="s">
        <v>4868</v>
      </c>
      <c r="E1916" s="231" t="s">
        <v>5076</v>
      </c>
      <c r="F1916" s="619">
        <v>49</v>
      </c>
      <c r="G1916" s="231" t="s">
        <v>4851</v>
      </c>
      <c r="H1916" s="619"/>
      <c r="I1916" s="619"/>
      <c r="J1916" s="620">
        <v>21070000</v>
      </c>
      <c r="K1916" s="621" t="s">
        <v>1130</v>
      </c>
      <c r="L1916" s="621" t="s">
        <v>4852</v>
      </c>
      <c r="M1916" s="621" t="s">
        <v>4867</v>
      </c>
      <c r="N1916" s="621" t="s">
        <v>4754</v>
      </c>
      <c r="O1916" s="621"/>
      <c r="P1916" s="621"/>
    </row>
    <row r="1917" spans="1:16">
      <c r="A1917" s="232" t="s">
        <v>686</v>
      </c>
      <c r="B1917" s="232" t="s">
        <v>1864</v>
      </c>
      <c r="C1917" s="622">
        <v>45046</v>
      </c>
      <c r="D1917" s="232" t="s">
        <v>4868</v>
      </c>
      <c r="E1917" s="231" t="s">
        <v>5076</v>
      </c>
      <c r="F1917" s="233">
        <v>12</v>
      </c>
      <c r="G1917" s="232" t="s">
        <v>4851</v>
      </c>
      <c r="H1917" s="233"/>
      <c r="I1917" s="233"/>
      <c r="J1917" s="623">
        <v>5160000</v>
      </c>
      <c r="K1917" s="624" t="s">
        <v>1130</v>
      </c>
      <c r="L1917" s="624" t="s">
        <v>4852</v>
      </c>
      <c r="M1917" s="624" t="s">
        <v>4867</v>
      </c>
      <c r="N1917" s="624" t="s">
        <v>4754</v>
      </c>
      <c r="O1917" s="624"/>
      <c r="P1917" s="624"/>
    </row>
    <row r="1918" spans="1:16">
      <c r="A1918" s="231" t="s">
        <v>686</v>
      </c>
      <c r="B1918" s="231" t="s">
        <v>1864</v>
      </c>
      <c r="C1918" s="618">
        <v>45046</v>
      </c>
      <c r="D1918" s="231" t="s">
        <v>4868</v>
      </c>
      <c r="E1918" s="231" t="s">
        <v>5076</v>
      </c>
      <c r="F1918" s="619">
        <v>49</v>
      </c>
      <c r="G1918" s="231" t="s">
        <v>4851</v>
      </c>
      <c r="H1918" s="619"/>
      <c r="I1918" s="619"/>
      <c r="J1918" s="620">
        <v>21070000</v>
      </c>
      <c r="K1918" s="621" t="s">
        <v>1130</v>
      </c>
      <c r="L1918" s="621" t="s">
        <v>4852</v>
      </c>
      <c r="M1918" s="621" t="s">
        <v>4867</v>
      </c>
      <c r="N1918" s="621" t="s">
        <v>4754</v>
      </c>
      <c r="O1918" s="621"/>
      <c r="P1918" s="621"/>
    </row>
    <row r="1919" spans="1:16">
      <c r="A1919" s="232" t="s">
        <v>686</v>
      </c>
      <c r="B1919" s="232" t="s">
        <v>1864</v>
      </c>
      <c r="C1919" s="622">
        <v>45046</v>
      </c>
      <c r="D1919" s="232" t="s">
        <v>4868</v>
      </c>
      <c r="E1919" s="231" t="s">
        <v>5076</v>
      </c>
      <c r="F1919" s="233">
        <v>40</v>
      </c>
      <c r="G1919" s="232" t="s">
        <v>4851</v>
      </c>
      <c r="H1919" s="233"/>
      <c r="I1919" s="233"/>
      <c r="J1919" s="623">
        <v>17200000</v>
      </c>
      <c r="K1919" s="624" t="s">
        <v>1130</v>
      </c>
      <c r="L1919" s="624" t="s">
        <v>4852</v>
      </c>
      <c r="M1919" s="624" t="s">
        <v>4867</v>
      </c>
      <c r="N1919" s="624" t="s">
        <v>4754</v>
      </c>
      <c r="O1919" s="624"/>
      <c r="P1919" s="624"/>
    </row>
    <row r="1920" spans="1:16">
      <c r="A1920" s="231" t="s">
        <v>686</v>
      </c>
      <c r="B1920" s="231" t="s">
        <v>1864</v>
      </c>
      <c r="C1920" s="618">
        <v>45046</v>
      </c>
      <c r="D1920" s="231" t="s">
        <v>4868</v>
      </c>
      <c r="E1920" s="231" t="s">
        <v>5076</v>
      </c>
      <c r="F1920" s="619">
        <v>49</v>
      </c>
      <c r="G1920" s="231" t="s">
        <v>4851</v>
      </c>
      <c r="H1920" s="619"/>
      <c r="I1920" s="619"/>
      <c r="J1920" s="620">
        <v>21070000</v>
      </c>
      <c r="K1920" s="621" t="s">
        <v>1130</v>
      </c>
      <c r="L1920" s="621" t="s">
        <v>4852</v>
      </c>
      <c r="M1920" s="621" t="s">
        <v>4867</v>
      </c>
      <c r="N1920" s="621" t="s">
        <v>4754</v>
      </c>
      <c r="O1920" s="621"/>
      <c r="P1920" s="621"/>
    </row>
    <row r="1921" spans="1:16">
      <c r="A1921" s="232" t="s">
        <v>686</v>
      </c>
      <c r="B1921" s="232" t="s">
        <v>1864</v>
      </c>
      <c r="C1921" s="622">
        <v>45046</v>
      </c>
      <c r="D1921" s="232" t="s">
        <v>4868</v>
      </c>
      <c r="E1921" s="231" t="s">
        <v>5076</v>
      </c>
      <c r="F1921" s="233">
        <v>49</v>
      </c>
      <c r="G1921" s="232" t="s">
        <v>4851</v>
      </c>
      <c r="H1921" s="233"/>
      <c r="I1921" s="233"/>
      <c r="J1921" s="623">
        <v>21070000</v>
      </c>
      <c r="K1921" s="624" t="s">
        <v>1130</v>
      </c>
      <c r="L1921" s="624" t="s">
        <v>4852</v>
      </c>
      <c r="M1921" s="624" t="s">
        <v>4867</v>
      </c>
      <c r="N1921" s="624" t="s">
        <v>4754</v>
      </c>
      <c r="O1921" s="624"/>
      <c r="P1921" s="624"/>
    </row>
    <row r="1922" spans="1:16">
      <c r="A1922" s="231" t="s">
        <v>686</v>
      </c>
      <c r="B1922" s="231" t="s">
        <v>1864</v>
      </c>
      <c r="C1922" s="618">
        <v>45046</v>
      </c>
      <c r="D1922" s="231" t="s">
        <v>4868</v>
      </c>
      <c r="E1922" s="231" t="s">
        <v>5076</v>
      </c>
      <c r="F1922" s="619">
        <v>49</v>
      </c>
      <c r="G1922" s="231" t="s">
        <v>4851</v>
      </c>
      <c r="H1922" s="619"/>
      <c r="I1922" s="619"/>
      <c r="J1922" s="620">
        <v>21070000</v>
      </c>
      <c r="K1922" s="621" t="s">
        <v>1130</v>
      </c>
      <c r="L1922" s="621" t="s">
        <v>4852</v>
      </c>
      <c r="M1922" s="621" t="s">
        <v>4867</v>
      </c>
      <c r="N1922" s="621" t="s">
        <v>4754</v>
      </c>
      <c r="O1922" s="621"/>
      <c r="P1922" s="621"/>
    </row>
    <row r="1923" spans="1:16">
      <c r="A1923" s="232" t="s">
        <v>686</v>
      </c>
      <c r="B1923" s="232" t="s">
        <v>1864</v>
      </c>
      <c r="C1923" s="622">
        <v>45046</v>
      </c>
      <c r="D1923" s="232" t="s">
        <v>4868</v>
      </c>
      <c r="E1923" s="231" t="s">
        <v>5076</v>
      </c>
      <c r="F1923" s="233">
        <v>49</v>
      </c>
      <c r="G1923" s="232" t="s">
        <v>4851</v>
      </c>
      <c r="H1923" s="233"/>
      <c r="I1923" s="233"/>
      <c r="J1923" s="623">
        <v>21070000</v>
      </c>
      <c r="K1923" s="624" t="s">
        <v>1130</v>
      </c>
      <c r="L1923" s="624" t="s">
        <v>4852</v>
      </c>
      <c r="M1923" s="624" t="s">
        <v>4867</v>
      </c>
      <c r="N1923" s="624" t="s">
        <v>4754</v>
      </c>
      <c r="O1923" s="624"/>
      <c r="P1923" s="624"/>
    </row>
    <row r="1924" spans="1:16">
      <c r="A1924" s="231" t="s">
        <v>686</v>
      </c>
      <c r="B1924" s="231" t="s">
        <v>1864</v>
      </c>
      <c r="C1924" s="618">
        <v>45046</v>
      </c>
      <c r="D1924" s="231" t="s">
        <v>4868</v>
      </c>
      <c r="E1924" s="231" t="s">
        <v>5076</v>
      </c>
      <c r="F1924" s="619">
        <v>49</v>
      </c>
      <c r="G1924" s="231" t="s">
        <v>4851</v>
      </c>
      <c r="H1924" s="619"/>
      <c r="I1924" s="619"/>
      <c r="J1924" s="620">
        <v>21070000</v>
      </c>
      <c r="K1924" s="621" t="s">
        <v>1130</v>
      </c>
      <c r="L1924" s="621" t="s">
        <v>4852</v>
      </c>
      <c r="M1924" s="621" t="s">
        <v>4867</v>
      </c>
      <c r="N1924" s="621" t="s">
        <v>4754</v>
      </c>
      <c r="O1924" s="621"/>
      <c r="P1924" s="621"/>
    </row>
    <row r="1925" spans="1:16">
      <c r="A1925" s="232" t="s">
        <v>686</v>
      </c>
      <c r="B1925" s="232" t="s">
        <v>1864</v>
      </c>
      <c r="C1925" s="622">
        <v>45046</v>
      </c>
      <c r="D1925" s="232" t="s">
        <v>4868</v>
      </c>
      <c r="E1925" s="231" t="s">
        <v>5076</v>
      </c>
      <c r="F1925" s="233">
        <v>49</v>
      </c>
      <c r="G1925" s="232" t="s">
        <v>4851</v>
      </c>
      <c r="H1925" s="233"/>
      <c r="I1925" s="233"/>
      <c r="J1925" s="623">
        <v>21070000</v>
      </c>
      <c r="K1925" s="624" t="s">
        <v>1130</v>
      </c>
      <c r="L1925" s="624" t="s">
        <v>4852</v>
      </c>
      <c r="M1925" s="624" t="s">
        <v>4867</v>
      </c>
      <c r="N1925" s="624" t="s">
        <v>4754</v>
      </c>
      <c r="O1925" s="624"/>
      <c r="P1925" s="624"/>
    </row>
    <row r="1926" spans="1:16">
      <c r="A1926" s="231" t="s">
        <v>686</v>
      </c>
      <c r="B1926" s="231" t="s">
        <v>1864</v>
      </c>
      <c r="C1926" s="618">
        <v>45046</v>
      </c>
      <c r="D1926" s="231" t="s">
        <v>4868</v>
      </c>
      <c r="E1926" s="231" t="s">
        <v>5076</v>
      </c>
      <c r="F1926" s="619">
        <v>49</v>
      </c>
      <c r="G1926" s="231" t="s">
        <v>4851</v>
      </c>
      <c r="H1926" s="619"/>
      <c r="I1926" s="619"/>
      <c r="J1926" s="620">
        <v>21070000</v>
      </c>
      <c r="K1926" s="621" t="s">
        <v>1130</v>
      </c>
      <c r="L1926" s="621" t="s">
        <v>4852</v>
      </c>
      <c r="M1926" s="621" t="s">
        <v>4867</v>
      </c>
      <c r="N1926" s="621" t="s">
        <v>4754</v>
      </c>
      <c r="O1926" s="621"/>
      <c r="P1926" s="621"/>
    </row>
    <row r="1927" spans="1:16">
      <c r="A1927" s="232" t="s">
        <v>686</v>
      </c>
      <c r="B1927" s="232" t="s">
        <v>1864</v>
      </c>
      <c r="C1927" s="622">
        <v>45046</v>
      </c>
      <c r="D1927" s="232" t="s">
        <v>4868</v>
      </c>
      <c r="E1927" s="231" t="s">
        <v>5076</v>
      </c>
      <c r="F1927" s="233">
        <v>49</v>
      </c>
      <c r="G1927" s="232" t="s">
        <v>4851</v>
      </c>
      <c r="H1927" s="233"/>
      <c r="I1927" s="233"/>
      <c r="J1927" s="623">
        <v>21070000</v>
      </c>
      <c r="K1927" s="624" t="s">
        <v>1130</v>
      </c>
      <c r="L1927" s="624" t="s">
        <v>4852</v>
      </c>
      <c r="M1927" s="624" t="s">
        <v>4867</v>
      </c>
      <c r="N1927" s="624" t="s">
        <v>4754</v>
      </c>
      <c r="O1927" s="624"/>
      <c r="P1927" s="624"/>
    </row>
    <row r="1928" spans="1:16">
      <c r="A1928" s="231" t="s">
        <v>686</v>
      </c>
      <c r="B1928" s="231" t="s">
        <v>1864</v>
      </c>
      <c r="C1928" s="618">
        <v>45046</v>
      </c>
      <c r="D1928" s="231" t="s">
        <v>4868</v>
      </c>
      <c r="E1928" s="231" t="s">
        <v>5076</v>
      </c>
      <c r="F1928" s="619">
        <v>49</v>
      </c>
      <c r="G1928" s="231" t="s">
        <v>4851</v>
      </c>
      <c r="H1928" s="619"/>
      <c r="I1928" s="619"/>
      <c r="J1928" s="620">
        <v>21070000</v>
      </c>
      <c r="K1928" s="621" t="s">
        <v>1130</v>
      </c>
      <c r="L1928" s="621" t="s">
        <v>4852</v>
      </c>
      <c r="M1928" s="621" t="s">
        <v>4867</v>
      </c>
      <c r="N1928" s="621" t="s">
        <v>4754</v>
      </c>
      <c r="O1928" s="621"/>
      <c r="P1928" s="621"/>
    </row>
    <row r="1929" spans="1:16">
      <c r="A1929" s="232" t="s">
        <v>686</v>
      </c>
      <c r="B1929" s="232" t="s">
        <v>1864</v>
      </c>
      <c r="C1929" s="622">
        <v>45046</v>
      </c>
      <c r="D1929" s="232" t="s">
        <v>4875</v>
      </c>
      <c r="E1929" s="231" t="s">
        <v>5076</v>
      </c>
      <c r="F1929" s="233">
        <v>55</v>
      </c>
      <c r="G1929" s="232" t="s">
        <v>4851</v>
      </c>
      <c r="H1929" s="233"/>
      <c r="I1929" s="233"/>
      <c r="J1929" s="623">
        <v>15405150.15</v>
      </c>
      <c r="K1929" s="624" t="s">
        <v>1130</v>
      </c>
      <c r="L1929" s="624" t="s">
        <v>4852</v>
      </c>
      <c r="M1929" s="624" t="s">
        <v>4876</v>
      </c>
      <c r="N1929" s="624" t="s">
        <v>4866</v>
      </c>
      <c r="O1929" s="624"/>
      <c r="P1929" s="624"/>
    </row>
    <row r="1930" spans="1:16">
      <c r="A1930" s="231" t="s">
        <v>686</v>
      </c>
      <c r="B1930" s="231" t="s">
        <v>1864</v>
      </c>
      <c r="C1930" s="618">
        <v>45046</v>
      </c>
      <c r="D1930" s="231" t="s">
        <v>4875</v>
      </c>
      <c r="E1930" s="231" t="s">
        <v>5076</v>
      </c>
      <c r="F1930" s="619">
        <v>55</v>
      </c>
      <c r="G1930" s="231" t="s">
        <v>4851</v>
      </c>
      <c r="H1930" s="619"/>
      <c r="I1930" s="619"/>
      <c r="J1930" s="620">
        <v>15405150.15</v>
      </c>
      <c r="K1930" s="621" t="s">
        <v>1130</v>
      </c>
      <c r="L1930" s="621" t="s">
        <v>4852</v>
      </c>
      <c r="M1930" s="621" t="s">
        <v>4876</v>
      </c>
      <c r="N1930" s="621" t="s">
        <v>4866</v>
      </c>
      <c r="O1930" s="621"/>
      <c r="P1930" s="621"/>
    </row>
    <row r="1931" spans="1:16">
      <c r="A1931" s="232" t="s">
        <v>686</v>
      </c>
      <c r="B1931" s="232" t="s">
        <v>1864</v>
      </c>
      <c r="C1931" s="622">
        <v>45046</v>
      </c>
      <c r="D1931" s="232" t="s">
        <v>4868</v>
      </c>
      <c r="E1931" s="231" t="s">
        <v>5076</v>
      </c>
      <c r="F1931" s="233">
        <v>49</v>
      </c>
      <c r="G1931" s="232" t="s">
        <v>4851</v>
      </c>
      <c r="H1931" s="233"/>
      <c r="I1931" s="233"/>
      <c r="J1931" s="623">
        <v>21070000</v>
      </c>
      <c r="K1931" s="624" t="s">
        <v>1130</v>
      </c>
      <c r="L1931" s="624" t="s">
        <v>4852</v>
      </c>
      <c r="M1931" s="624" t="s">
        <v>4867</v>
      </c>
      <c r="N1931" s="624" t="s">
        <v>4754</v>
      </c>
      <c r="O1931" s="624"/>
      <c r="P1931" s="624"/>
    </row>
    <row r="1932" spans="1:16">
      <c r="A1932" s="231" t="s">
        <v>686</v>
      </c>
      <c r="B1932" s="231" t="s">
        <v>1864</v>
      </c>
      <c r="C1932" s="618">
        <v>45046</v>
      </c>
      <c r="D1932" s="231" t="s">
        <v>4868</v>
      </c>
      <c r="E1932" s="231" t="s">
        <v>5076</v>
      </c>
      <c r="F1932" s="619">
        <v>49</v>
      </c>
      <c r="G1932" s="231" t="s">
        <v>4851</v>
      </c>
      <c r="H1932" s="619"/>
      <c r="I1932" s="619"/>
      <c r="J1932" s="620">
        <v>21070000</v>
      </c>
      <c r="K1932" s="621" t="s">
        <v>1130</v>
      </c>
      <c r="L1932" s="621" t="s">
        <v>4852</v>
      </c>
      <c r="M1932" s="621" t="s">
        <v>4867</v>
      </c>
      <c r="N1932" s="621" t="s">
        <v>4754</v>
      </c>
      <c r="O1932" s="621"/>
      <c r="P1932" s="621"/>
    </row>
    <row r="1933" spans="1:16">
      <c r="A1933" s="232" t="s">
        <v>686</v>
      </c>
      <c r="B1933" s="232" t="s">
        <v>1864</v>
      </c>
      <c r="C1933" s="622">
        <v>45046</v>
      </c>
      <c r="D1933" s="232" t="s">
        <v>4868</v>
      </c>
      <c r="E1933" s="231" t="s">
        <v>5076</v>
      </c>
      <c r="F1933" s="233">
        <v>49</v>
      </c>
      <c r="G1933" s="232" t="s">
        <v>4851</v>
      </c>
      <c r="H1933" s="233"/>
      <c r="I1933" s="233"/>
      <c r="J1933" s="623">
        <v>21070000</v>
      </c>
      <c r="K1933" s="624" t="s">
        <v>1130</v>
      </c>
      <c r="L1933" s="624" t="s">
        <v>4852</v>
      </c>
      <c r="M1933" s="624" t="s">
        <v>4867</v>
      </c>
      <c r="N1933" s="624" t="s">
        <v>4754</v>
      </c>
      <c r="O1933" s="624"/>
      <c r="P1933" s="624"/>
    </row>
    <row r="1934" spans="1:16">
      <c r="A1934" s="231" t="s">
        <v>686</v>
      </c>
      <c r="B1934" s="231" t="s">
        <v>1864</v>
      </c>
      <c r="C1934" s="618">
        <v>45046</v>
      </c>
      <c r="D1934" s="231" t="s">
        <v>4868</v>
      </c>
      <c r="E1934" s="231" t="s">
        <v>5076</v>
      </c>
      <c r="F1934" s="619">
        <v>22.49</v>
      </c>
      <c r="G1934" s="231" t="s">
        <v>4851</v>
      </c>
      <c r="H1934" s="619"/>
      <c r="I1934" s="619"/>
      <c r="J1934" s="620">
        <v>9670700</v>
      </c>
      <c r="K1934" s="621" t="s">
        <v>1130</v>
      </c>
      <c r="L1934" s="621" t="s">
        <v>4852</v>
      </c>
      <c r="M1934" s="621" t="s">
        <v>4867</v>
      </c>
      <c r="N1934" s="621" t="s">
        <v>4754</v>
      </c>
      <c r="O1934" s="621"/>
      <c r="P1934" s="621"/>
    </row>
    <row r="1935" spans="1:16">
      <c r="A1935" s="232" t="s">
        <v>686</v>
      </c>
      <c r="B1935" s="232" t="s">
        <v>1864</v>
      </c>
      <c r="C1935" s="622">
        <v>45046</v>
      </c>
      <c r="D1935" s="232" t="s">
        <v>4868</v>
      </c>
      <c r="E1935" s="231" t="s">
        <v>5076</v>
      </c>
      <c r="F1935" s="233">
        <v>26.51</v>
      </c>
      <c r="G1935" s="232" t="s">
        <v>4851</v>
      </c>
      <c r="H1935" s="233"/>
      <c r="I1935" s="233"/>
      <c r="J1935" s="623">
        <v>11399300</v>
      </c>
      <c r="K1935" s="624" t="s">
        <v>1130</v>
      </c>
      <c r="L1935" s="624" t="s">
        <v>4852</v>
      </c>
      <c r="M1935" s="624" t="s">
        <v>4867</v>
      </c>
      <c r="N1935" s="624" t="s">
        <v>4754</v>
      </c>
      <c r="O1935" s="624"/>
      <c r="P1935" s="624"/>
    </row>
    <row r="1936" spans="1:16">
      <c r="A1936" s="231" t="s">
        <v>686</v>
      </c>
      <c r="B1936" s="231" t="s">
        <v>1864</v>
      </c>
      <c r="C1936" s="618">
        <v>45046</v>
      </c>
      <c r="D1936" s="231" t="s">
        <v>4875</v>
      </c>
      <c r="E1936" s="231" t="s">
        <v>5076</v>
      </c>
      <c r="F1936" s="619">
        <v>55</v>
      </c>
      <c r="G1936" s="231" t="s">
        <v>4851</v>
      </c>
      <c r="H1936" s="619"/>
      <c r="I1936" s="619"/>
      <c r="J1936" s="620">
        <v>15405150.15</v>
      </c>
      <c r="K1936" s="621" t="s">
        <v>1130</v>
      </c>
      <c r="L1936" s="621" t="s">
        <v>4852</v>
      </c>
      <c r="M1936" s="621" t="s">
        <v>4876</v>
      </c>
      <c r="N1936" s="621" t="s">
        <v>4866</v>
      </c>
      <c r="O1936" s="621"/>
      <c r="P1936" s="621"/>
    </row>
    <row r="1937" spans="1:16">
      <c r="A1937" s="232" t="s">
        <v>686</v>
      </c>
      <c r="B1937" s="232" t="s">
        <v>1864</v>
      </c>
      <c r="C1937" s="622">
        <v>45046</v>
      </c>
      <c r="D1937" s="232" t="s">
        <v>4875</v>
      </c>
      <c r="E1937" s="231" t="s">
        <v>5076</v>
      </c>
      <c r="F1937" s="233">
        <v>55</v>
      </c>
      <c r="G1937" s="232" t="s">
        <v>4851</v>
      </c>
      <c r="H1937" s="233"/>
      <c r="I1937" s="233"/>
      <c r="J1937" s="623">
        <v>15405150.15</v>
      </c>
      <c r="K1937" s="624" t="s">
        <v>1130</v>
      </c>
      <c r="L1937" s="624" t="s">
        <v>4852</v>
      </c>
      <c r="M1937" s="624" t="s">
        <v>4876</v>
      </c>
      <c r="N1937" s="624" t="s">
        <v>4866</v>
      </c>
      <c r="O1937" s="624"/>
      <c r="P1937" s="624"/>
    </row>
    <row r="1938" spans="1:16">
      <c r="A1938" s="231" t="s">
        <v>686</v>
      </c>
      <c r="B1938" s="231" t="s">
        <v>1864</v>
      </c>
      <c r="C1938" s="618">
        <v>45046</v>
      </c>
      <c r="D1938" s="231" t="s">
        <v>4860</v>
      </c>
      <c r="E1938" s="232" t="s">
        <v>5072</v>
      </c>
      <c r="F1938" s="619">
        <v>34.35</v>
      </c>
      <c r="G1938" s="231" t="s">
        <v>4851</v>
      </c>
      <c r="H1938" s="619"/>
      <c r="I1938" s="619"/>
      <c r="J1938" s="620">
        <v>206100</v>
      </c>
      <c r="K1938" s="621" t="s">
        <v>991</v>
      </c>
      <c r="L1938" s="621" t="s">
        <v>4852</v>
      </c>
      <c r="M1938" s="621" t="s">
        <v>4877</v>
      </c>
      <c r="N1938" s="621" t="s">
        <v>4878</v>
      </c>
      <c r="O1938" s="621"/>
      <c r="P1938" s="621"/>
    </row>
    <row r="1939" spans="1:16">
      <c r="A1939" s="232" t="s">
        <v>686</v>
      </c>
      <c r="B1939" s="232" t="s">
        <v>1864</v>
      </c>
      <c r="C1939" s="622">
        <v>45046</v>
      </c>
      <c r="D1939" s="232" t="s">
        <v>4860</v>
      </c>
      <c r="E1939" s="232" t="s">
        <v>5072</v>
      </c>
      <c r="F1939" s="233">
        <v>34.299999999999997</v>
      </c>
      <c r="G1939" s="232" t="s">
        <v>4851</v>
      </c>
      <c r="H1939" s="233"/>
      <c r="I1939" s="233"/>
      <c r="J1939" s="623">
        <v>205800</v>
      </c>
      <c r="K1939" s="624" t="s">
        <v>991</v>
      </c>
      <c r="L1939" s="624" t="s">
        <v>4852</v>
      </c>
      <c r="M1939" s="624" t="s">
        <v>4877</v>
      </c>
      <c r="N1939" s="624" t="s">
        <v>4878</v>
      </c>
      <c r="O1939" s="624"/>
      <c r="P1939" s="624"/>
    </row>
    <row r="1940" spans="1:16">
      <c r="A1940" s="231" t="s">
        <v>686</v>
      </c>
      <c r="B1940" s="231" t="s">
        <v>1864</v>
      </c>
      <c r="C1940" s="618">
        <v>45046</v>
      </c>
      <c r="D1940" s="231" t="s">
        <v>4862</v>
      </c>
      <c r="E1940" s="231"/>
      <c r="F1940" s="619">
        <v>45</v>
      </c>
      <c r="G1940" s="231" t="s">
        <v>4851</v>
      </c>
      <c r="H1940" s="619"/>
      <c r="I1940" s="619"/>
      <c r="J1940" s="620">
        <v>20925000</v>
      </c>
      <c r="K1940" s="621" t="s">
        <v>1130</v>
      </c>
      <c r="L1940" s="621" t="s">
        <v>4852</v>
      </c>
      <c r="M1940" s="621" t="s">
        <v>4863</v>
      </c>
      <c r="N1940" s="621" t="s">
        <v>4754</v>
      </c>
      <c r="O1940" s="621"/>
      <c r="P1940" s="621"/>
    </row>
    <row r="1941" spans="1:16">
      <c r="A1941" s="232" t="s">
        <v>686</v>
      </c>
      <c r="B1941" s="232" t="s">
        <v>1864</v>
      </c>
      <c r="C1941" s="622">
        <v>45046</v>
      </c>
      <c r="D1941" s="232" t="s">
        <v>4862</v>
      </c>
      <c r="E1941" s="232"/>
      <c r="F1941" s="233">
        <v>45</v>
      </c>
      <c r="G1941" s="232" t="s">
        <v>4851</v>
      </c>
      <c r="H1941" s="233"/>
      <c r="I1941" s="233"/>
      <c r="J1941" s="623">
        <v>20925000</v>
      </c>
      <c r="K1941" s="624" t="s">
        <v>1130</v>
      </c>
      <c r="L1941" s="624" t="s">
        <v>4852</v>
      </c>
      <c r="M1941" s="624" t="s">
        <v>4863</v>
      </c>
      <c r="N1941" s="624" t="s">
        <v>4754</v>
      </c>
      <c r="O1941" s="624"/>
      <c r="P1941" s="624"/>
    </row>
    <row r="1942" spans="1:16">
      <c r="A1942" s="231" t="s">
        <v>686</v>
      </c>
      <c r="B1942" s="231" t="s">
        <v>1864</v>
      </c>
      <c r="C1942" s="618">
        <v>45046</v>
      </c>
      <c r="D1942" s="231" t="s">
        <v>4862</v>
      </c>
      <c r="E1942" s="231"/>
      <c r="F1942" s="619">
        <v>49</v>
      </c>
      <c r="G1942" s="231" t="s">
        <v>4851</v>
      </c>
      <c r="H1942" s="619"/>
      <c r="I1942" s="619"/>
      <c r="J1942" s="620">
        <v>22785000</v>
      </c>
      <c r="K1942" s="621" t="s">
        <v>1130</v>
      </c>
      <c r="L1942" s="621" t="s">
        <v>4852</v>
      </c>
      <c r="M1942" s="621" t="s">
        <v>4863</v>
      </c>
      <c r="N1942" s="621" t="s">
        <v>4754</v>
      </c>
      <c r="O1942" s="621"/>
      <c r="P1942" s="621"/>
    </row>
    <row r="1943" spans="1:16">
      <c r="A1943" s="232" t="s">
        <v>686</v>
      </c>
      <c r="B1943" s="232" t="s">
        <v>1864</v>
      </c>
      <c r="C1943" s="622">
        <v>45046</v>
      </c>
      <c r="D1943" s="232" t="s">
        <v>4860</v>
      </c>
      <c r="E1943" s="232" t="s">
        <v>5072</v>
      </c>
      <c r="F1943" s="233">
        <v>36.049999999999997</v>
      </c>
      <c r="G1943" s="232" t="s">
        <v>4851</v>
      </c>
      <c r="H1943" s="233"/>
      <c r="I1943" s="233"/>
      <c r="J1943" s="623">
        <v>216300</v>
      </c>
      <c r="K1943" s="624" t="s">
        <v>991</v>
      </c>
      <c r="L1943" s="624" t="s">
        <v>4852</v>
      </c>
      <c r="M1943" s="624" t="s">
        <v>4877</v>
      </c>
      <c r="N1943" s="624" t="s">
        <v>4878</v>
      </c>
      <c r="O1943" s="624"/>
      <c r="P1943" s="624"/>
    </row>
    <row r="1944" spans="1:16">
      <c r="A1944" s="231" t="s">
        <v>686</v>
      </c>
      <c r="B1944" s="231" t="s">
        <v>1864</v>
      </c>
      <c r="C1944" s="618">
        <v>45046</v>
      </c>
      <c r="D1944" s="231" t="s">
        <v>4860</v>
      </c>
      <c r="E1944" s="232" t="s">
        <v>5072</v>
      </c>
      <c r="F1944" s="619">
        <v>29.05</v>
      </c>
      <c r="G1944" s="231" t="s">
        <v>4851</v>
      </c>
      <c r="H1944" s="619"/>
      <c r="I1944" s="619"/>
      <c r="J1944" s="620">
        <v>174300</v>
      </c>
      <c r="K1944" s="621" t="s">
        <v>991</v>
      </c>
      <c r="L1944" s="621" t="s">
        <v>4852</v>
      </c>
      <c r="M1944" s="621" t="s">
        <v>4877</v>
      </c>
      <c r="N1944" s="621" t="s">
        <v>4878</v>
      </c>
      <c r="O1944" s="621"/>
      <c r="P1944" s="621"/>
    </row>
    <row r="1945" spans="1:16">
      <c r="A1945" s="232" t="s">
        <v>686</v>
      </c>
      <c r="B1945" s="232" t="s">
        <v>1864</v>
      </c>
      <c r="C1945" s="622">
        <v>45046</v>
      </c>
      <c r="D1945" s="232" t="s">
        <v>4860</v>
      </c>
      <c r="E1945" s="232" t="s">
        <v>5072</v>
      </c>
      <c r="F1945" s="233">
        <v>2</v>
      </c>
      <c r="G1945" s="232" t="s">
        <v>4851</v>
      </c>
      <c r="H1945" s="233"/>
      <c r="I1945" s="233"/>
      <c r="J1945" s="623">
        <v>12000</v>
      </c>
      <c r="K1945" s="624" t="s">
        <v>991</v>
      </c>
      <c r="L1945" s="624" t="s">
        <v>4852</v>
      </c>
      <c r="M1945" s="624" t="s">
        <v>4877</v>
      </c>
      <c r="N1945" s="624" t="s">
        <v>4878</v>
      </c>
      <c r="O1945" s="624"/>
      <c r="P1945" s="624"/>
    </row>
    <row r="1946" spans="1:16">
      <c r="A1946" s="231" t="s">
        <v>686</v>
      </c>
      <c r="B1946" s="231" t="s">
        <v>1864</v>
      </c>
      <c r="C1946" s="618">
        <v>45046</v>
      </c>
      <c r="D1946" s="231" t="s">
        <v>4860</v>
      </c>
      <c r="E1946" s="232" t="s">
        <v>5072</v>
      </c>
      <c r="F1946" s="619">
        <v>34.1</v>
      </c>
      <c r="G1946" s="231" t="s">
        <v>4851</v>
      </c>
      <c r="H1946" s="619"/>
      <c r="I1946" s="619"/>
      <c r="J1946" s="620">
        <v>204600</v>
      </c>
      <c r="K1946" s="621" t="s">
        <v>991</v>
      </c>
      <c r="L1946" s="621" t="s">
        <v>4852</v>
      </c>
      <c r="M1946" s="621" t="s">
        <v>4877</v>
      </c>
      <c r="N1946" s="621" t="s">
        <v>4878</v>
      </c>
      <c r="O1946" s="621"/>
      <c r="P1946" s="621"/>
    </row>
    <row r="1947" spans="1:16">
      <c r="A1947" s="232" t="s">
        <v>686</v>
      </c>
      <c r="B1947" s="232" t="s">
        <v>1864</v>
      </c>
      <c r="C1947" s="622">
        <v>45046</v>
      </c>
      <c r="D1947" s="232" t="s">
        <v>4860</v>
      </c>
      <c r="E1947" s="232" t="s">
        <v>5072</v>
      </c>
      <c r="F1947" s="233">
        <v>29.75</v>
      </c>
      <c r="G1947" s="232" t="s">
        <v>4851</v>
      </c>
      <c r="H1947" s="233"/>
      <c r="I1947" s="233"/>
      <c r="J1947" s="623">
        <v>178500</v>
      </c>
      <c r="K1947" s="624" t="s">
        <v>991</v>
      </c>
      <c r="L1947" s="624" t="s">
        <v>4852</v>
      </c>
      <c r="M1947" s="624" t="s">
        <v>4877</v>
      </c>
      <c r="N1947" s="624" t="s">
        <v>4878</v>
      </c>
      <c r="O1947" s="624"/>
      <c r="P1947" s="624"/>
    </row>
    <row r="1948" spans="1:16">
      <c r="A1948" s="231" t="s">
        <v>686</v>
      </c>
      <c r="B1948" s="231" t="s">
        <v>1864</v>
      </c>
      <c r="C1948" s="618">
        <v>45046</v>
      </c>
      <c r="D1948" s="231" t="s">
        <v>4868</v>
      </c>
      <c r="E1948" s="231" t="s">
        <v>5076</v>
      </c>
      <c r="F1948" s="619">
        <v>49</v>
      </c>
      <c r="G1948" s="231" t="s">
        <v>4851</v>
      </c>
      <c r="H1948" s="619"/>
      <c r="I1948" s="619"/>
      <c r="J1948" s="620">
        <v>21070000</v>
      </c>
      <c r="K1948" s="621" t="s">
        <v>1130</v>
      </c>
      <c r="L1948" s="621" t="s">
        <v>4852</v>
      </c>
      <c r="M1948" s="621" t="s">
        <v>4867</v>
      </c>
      <c r="N1948" s="621" t="s">
        <v>4754</v>
      </c>
      <c r="O1948" s="621"/>
      <c r="P1948" s="621"/>
    </row>
    <row r="1949" spans="1:16">
      <c r="A1949" s="232" t="s">
        <v>686</v>
      </c>
      <c r="B1949" s="232" t="s">
        <v>1864</v>
      </c>
      <c r="C1949" s="622">
        <v>45046</v>
      </c>
      <c r="D1949" s="232" t="s">
        <v>4868</v>
      </c>
      <c r="E1949" s="231" t="s">
        <v>5076</v>
      </c>
      <c r="F1949" s="233">
        <v>49</v>
      </c>
      <c r="G1949" s="232" t="s">
        <v>4851</v>
      </c>
      <c r="H1949" s="233"/>
      <c r="I1949" s="233"/>
      <c r="J1949" s="623">
        <v>21070000</v>
      </c>
      <c r="K1949" s="624" t="s">
        <v>1130</v>
      </c>
      <c r="L1949" s="624" t="s">
        <v>4852</v>
      </c>
      <c r="M1949" s="624" t="s">
        <v>4867</v>
      </c>
      <c r="N1949" s="624" t="s">
        <v>4754</v>
      </c>
      <c r="O1949" s="624"/>
      <c r="P1949" s="624"/>
    </row>
    <row r="1950" spans="1:16">
      <c r="A1950" s="231" t="s">
        <v>686</v>
      </c>
      <c r="B1950" s="231" t="s">
        <v>1864</v>
      </c>
      <c r="C1950" s="618">
        <v>45046</v>
      </c>
      <c r="D1950" s="231" t="s">
        <v>4875</v>
      </c>
      <c r="E1950" s="231" t="s">
        <v>5076</v>
      </c>
      <c r="F1950" s="619">
        <v>55</v>
      </c>
      <c r="G1950" s="231" t="s">
        <v>4851</v>
      </c>
      <c r="H1950" s="619"/>
      <c r="I1950" s="619"/>
      <c r="J1950" s="620">
        <v>15405150.15</v>
      </c>
      <c r="K1950" s="621" t="s">
        <v>1130</v>
      </c>
      <c r="L1950" s="621" t="s">
        <v>4852</v>
      </c>
      <c r="M1950" s="621" t="s">
        <v>4876</v>
      </c>
      <c r="N1950" s="621" t="s">
        <v>4866</v>
      </c>
      <c r="O1950" s="621"/>
      <c r="P1950" s="621"/>
    </row>
    <row r="1951" spans="1:16">
      <c r="A1951" s="232" t="s">
        <v>686</v>
      </c>
      <c r="B1951" s="232" t="s">
        <v>1864</v>
      </c>
      <c r="C1951" s="622">
        <v>45046</v>
      </c>
      <c r="D1951" s="232" t="s">
        <v>4875</v>
      </c>
      <c r="E1951" s="231" t="s">
        <v>5076</v>
      </c>
      <c r="F1951" s="233">
        <v>55</v>
      </c>
      <c r="G1951" s="232" t="s">
        <v>4851</v>
      </c>
      <c r="H1951" s="233"/>
      <c r="I1951" s="233"/>
      <c r="J1951" s="623">
        <v>15405150.15</v>
      </c>
      <c r="K1951" s="624" t="s">
        <v>1130</v>
      </c>
      <c r="L1951" s="624" t="s">
        <v>4852</v>
      </c>
      <c r="M1951" s="624" t="s">
        <v>4876</v>
      </c>
      <c r="N1951" s="624" t="s">
        <v>4866</v>
      </c>
      <c r="O1951" s="624"/>
      <c r="P1951" s="624"/>
    </row>
    <row r="1952" spans="1:16">
      <c r="A1952" s="231" t="s">
        <v>686</v>
      </c>
      <c r="B1952" s="231" t="s">
        <v>1864</v>
      </c>
      <c r="C1952" s="618">
        <v>45046</v>
      </c>
      <c r="D1952" s="231" t="s">
        <v>4875</v>
      </c>
      <c r="E1952" s="231" t="s">
        <v>5076</v>
      </c>
      <c r="F1952" s="619">
        <v>55</v>
      </c>
      <c r="G1952" s="231" t="s">
        <v>4851</v>
      </c>
      <c r="H1952" s="619"/>
      <c r="I1952" s="619"/>
      <c r="J1952" s="620">
        <v>15405150.15</v>
      </c>
      <c r="K1952" s="621" t="s">
        <v>1130</v>
      </c>
      <c r="L1952" s="621" t="s">
        <v>4852</v>
      </c>
      <c r="M1952" s="621" t="s">
        <v>4876</v>
      </c>
      <c r="N1952" s="621" t="s">
        <v>4866</v>
      </c>
      <c r="O1952" s="621"/>
      <c r="P1952" s="621"/>
    </row>
    <row r="1953" spans="1:16">
      <c r="A1953" s="232" t="s">
        <v>686</v>
      </c>
      <c r="B1953" s="232" t="s">
        <v>1864</v>
      </c>
      <c r="C1953" s="622">
        <v>45046</v>
      </c>
      <c r="D1953" s="232" t="s">
        <v>4875</v>
      </c>
      <c r="E1953" s="231" t="s">
        <v>5076</v>
      </c>
      <c r="F1953" s="233">
        <v>55</v>
      </c>
      <c r="G1953" s="232" t="s">
        <v>4851</v>
      </c>
      <c r="H1953" s="233"/>
      <c r="I1953" s="233"/>
      <c r="J1953" s="623">
        <v>15405150.15</v>
      </c>
      <c r="K1953" s="624" t="s">
        <v>1130</v>
      </c>
      <c r="L1953" s="624" t="s">
        <v>4852</v>
      </c>
      <c r="M1953" s="624" t="s">
        <v>4876</v>
      </c>
      <c r="N1953" s="624" t="s">
        <v>4866</v>
      </c>
      <c r="O1953" s="624"/>
      <c r="P1953" s="624"/>
    </row>
    <row r="1954" spans="1:16">
      <c r="A1954" s="231" t="s">
        <v>686</v>
      </c>
      <c r="B1954" s="231" t="s">
        <v>1864</v>
      </c>
      <c r="C1954" s="618">
        <v>45046</v>
      </c>
      <c r="D1954" s="231" t="s">
        <v>4862</v>
      </c>
      <c r="E1954" s="231"/>
      <c r="F1954" s="619">
        <v>45</v>
      </c>
      <c r="G1954" s="231" t="s">
        <v>4851</v>
      </c>
      <c r="H1954" s="619"/>
      <c r="I1954" s="619"/>
      <c r="J1954" s="620">
        <v>20925000</v>
      </c>
      <c r="K1954" s="621" t="s">
        <v>1130</v>
      </c>
      <c r="L1954" s="621" t="s">
        <v>4852</v>
      </c>
      <c r="M1954" s="621" t="s">
        <v>4863</v>
      </c>
      <c r="N1954" s="621" t="s">
        <v>4754</v>
      </c>
      <c r="O1954" s="621"/>
      <c r="P1954" s="621"/>
    </row>
    <row r="1955" spans="1:16">
      <c r="A1955" s="232" t="s">
        <v>686</v>
      </c>
      <c r="B1955" s="232" t="s">
        <v>1864</v>
      </c>
      <c r="C1955" s="622">
        <v>45046</v>
      </c>
      <c r="D1955" s="232" t="s">
        <v>4860</v>
      </c>
      <c r="E1955" s="232" t="s">
        <v>5072</v>
      </c>
      <c r="F1955" s="233">
        <v>40.049999999999997</v>
      </c>
      <c r="G1955" s="232" t="s">
        <v>4851</v>
      </c>
      <c r="H1955" s="233"/>
      <c r="I1955" s="233"/>
      <c r="J1955" s="623">
        <v>240300</v>
      </c>
      <c r="K1955" s="624" t="s">
        <v>991</v>
      </c>
      <c r="L1955" s="624" t="s">
        <v>4852</v>
      </c>
      <c r="M1955" s="624" t="s">
        <v>4877</v>
      </c>
      <c r="N1955" s="624" t="s">
        <v>4878</v>
      </c>
      <c r="O1955" s="624"/>
      <c r="P1955" s="624"/>
    </row>
    <row r="1956" spans="1:16">
      <c r="A1956" s="231" t="s">
        <v>686</v>
      </c>
      <c r="B1956" s="231" t="s">
        <v>1864</v>
      </c>
      <c r="C1956" s="618">
        <v>45046</v>
      </c>
      <c r="D1956" s="231" t="s">
        <v>4860</v>
      </c>
      <c r="E1956" s="232" t="s">
        <v>5072</v>
      </c>
      <c r="F1956" s="619">
        <v>40.75</v>
      </c>
      <c r="G1956" s="231" t="s">
        <v>4851</v>
      </c>
      <c r="H1956" s="619"/>
      <c r="I1956" s="619"/>
      <c r="J1956" s="620">
        <v>244500</v>
      </c>
      <c r="K1956" s="621" t="s">
        <v>991</v>
      </c>
      <c r="L1956" s="621" t="s">
        <v>4852</v>
      </c>
      <c r="M1956" s="621" t="s">
        <v>4877</v>
      </c>
      <c r="N1956" s="621" t="s">
        <v>4878</v>
      </c>
      <c r="O1956" s="621"/>
      <c r="P1956" s="621"/>
    </row>
    <row r="1957" spans="1:16">
      <c r="A1957" s="232" t="s">
        <v>686</v>
      </c>
      <c r="B1957" s="232" t="s">
        <v>1864</v>
      </c>
      <c r="C1957" s="622">
        <v>45046</v>
      </c>
      <c r="D1957" s="232" t="s">
        <v>4862</v>
      </c>
      <c r="E1957" s="232"/>
      <c r="F1957" s="233">
        <v>45</v>
      </c>
      <c r="G1957" s="232" t="s">
        <v>4851</v>
      </c>
      <c r="H1957" s="233"/>
      <c r="I1957" s="233"/>
      <c r="J1957" s="623">
        <v>20925000</v>
      </c>
      <c r="K1957" s="624" t="s">
        <v>1130</v>
      </c>
      <c r="L1957" s="624" t="s">
        <v>4852</v>
      </c>
      <c r="M1957" s="624" t="s">
        <v>4863</v>
      </c>
      <c r="N1957" s="624" t="s">
        <v>4754</v>
      </c>
      <c r="O1957" s="624"/>
      <c r="P1957" s="624"/>
    </row>
    <row r="1958" spans="1:16">
      <c r="A1958" s="231" t="s">
        <v>686</v>
      </c>
      <c r="B1958" s="231" t="s">
        <v>1864</v>
      </c>
      <c r="C1958" s="618">
        <v>45046</v>
      </c>
      <c r="D1958" s="231" t="s">
        <v>4868</v>
      </c>
      <c r="E1958" s="231" t="s">
        <v>5076</v>
      </c>
      <c r="F1958" s="619">
        <v>49</v>
      </c>
      <c r="G1958" s="231" t="s">
        <v>4851</v>
      </c>
      <c r="H1958" s="619"/>
      <c r="I1958" s="619"/>
      <c r="J1958" s="620">
        <v>21070000</v>
      </c>
      <c r="K1958" s="621" t="s">
        <v>1130</v>
      </c>
      <c r="L1958" s="621" t="s">
        <v>4852</v>
      </c>
      <c r="M1958" s="621" t="s">
        <v>4867</v>
      </c>
      <c r="N1958" s="621" t="s">
        <v>4754</v>
      </c>
      <c r="O1958" s="621"/>
      <c r="P1958" s="621"/>
    </row>
    <row r="1959" spans="1:16">
      <c r="A1959" s="232" t="s">
        <v>686</v>
      </c>
      <c r="B1959" s="232" t="s">
        <v>1864</v>
      </c>
      <c r="C1959" s="622">
        <v>45046</v>
      </c>
      <c r="D1959" s="232" t="s">
        <v>4855</v>
      </c>
      <c r="E1959" s="232"/>
      <c r="F1959" s="233">
        <v>10254.303309999999</v>
      </c>
      <c r="G1959" s="232" t="s">
        <v>4851</v>
      </c>
      <c r="H1959" s="233"/>
      <c r="I1959" s="233">
        <v>11170832.939999999</v>
      </c>
      <c r="J1959" s="623">
        <v>6627096641.6599998</v>
      </c>
      <c r="K1959" s="624" t="s">
        <v>991</v>
      </c>
      <c r="L1959" s="624" t="s">
        <v>4852</v>
      </c>
      <c r="M1959" s="624" t="s">
        <v>4856</v>
      </c>
      <c r="N1959" s="624" t="s">
        <v>4854</v>
      </c>
      <c r="O1959" s="624"/>
      <c r="P1959" s="624"/>
    </row>
    <row r="1960" spans="1:16">
      <c r="A1960" s="231" t="s">
        <v>686</v>
      </c>
      <c r="B1960" s="231" t="s">
        <v>1864</v>
      </c>
      <c r="C1960" s="618">
        <v>45046</v>
      </c>
      <c r="D1960" s="231" t="s">
        <v>4855</v>
      </c>
      <c r="E1960" s="231"/>
      <c r="F1960" s="619">
        <v>149.52368999999999</v>
      </c>
      <c r="G1960" s="231" t="s">
        <v>4851</v>
      </c>
      <c r="H1960" s="619"/>
      <c r="I1960" s="619">
        <v>162888.10999999999</v>
      </c>
      <c r="J1960" s="620">
        <v>96633371.260000005</v>
      </c>
      <c r="K1960" s="621" t="s">
        <v>991</v>
      </c>
      <c r="L1960" s="621" t="s">
        <v>4852</v>
      </c>
      <c r="M1960" s="621" t="s">
        <v>4856</v>
      </c>
      <c r="N1960" s="621" t="s">
        <v>4854</v>
      </c>
      <c r="O1960" s="621"/>
      <c r="P1960" s="621"/>
    </row>
    <row r="1961" spans="1:16">
      <c r="A1961" s="232" t="s">
        <v>686</v>
      </c>
      <c r="B1961" s="232" t="s">
        <v>1864</v>
      </c>
      <c r="C1961" s="622">
        <v>45046</v>
      </c>
      <c r="D1961" s="232" t="s">
        <v>4875</v>
      </c>
      <c r="E1961" s="231" t="s">
        <v>5076</v>
      </c>
      <c r="F1961" s="233">
        <v>55</v>
      </c>
      <c r="G1961" s="232" t="s">
        <v>4851</v>
      </c>
      <c r="H1961" s="233"/>
      <c r="I1961" s="233"/>
      <c r="J1961" s="623">
        <v>15405150.15</v>
      </c>
      <c r="K1961" s="624" t="s">
        <v>1130</v>
      </c>
      <c r="L1961" s="624" t="s">
        <v>4852</v>
      </c>
      <c r="M1961" s="624" t="s">
        <v>4876</v>
      </c>
      <c r="N1961" s="624" t="s">
        <v>4866</v>
      </c>
      <c r="O1961" s="624"/>
      <c r="P1961" s="624"/>
    </row>
    <row r="1962" spans="1:16">
      <c r="A1962" s="231" t="s">
        <v>686</v>
      </c>
      <c r="B1962" s="231" t="s">
        <v>1864</v>
      </c>
      <c r="C1962" s="618">
        <v>45046</v>
      </c>
      <c r="D1962" s="231" t="s">
        <v>4875</v>
      </c>
      <c r="E1962" s="231" t="s">
        <v>5076</v>
      </c>
      <c r="F1962" s="619">
        <v>45</v>
      </c>
      <c r="G1962" s="231" t="s">
        <v>4851</v>
      </c>
      <c r="H1962" s="619"/>
      <c r="I1962" s="619"/>
      <c r="J1962" s="620">
        <v>12604213.76</v>
      </c>
      <c r="K1962" s="621" t="s">
        <v>1130</v>
      </c>
      <c r="L1962" s="621" t="s">
        <v>4852</v>
      </c>
      <c r="M1962" s="621" t="s">
        <v>4876</v>
      </c>
      <c r="N1962" s="621" t="s">
        <v>4866</v>
      </c>
      <c r="O1962" s="621"/>
      <c r="P1962" s="621"/>
    </row>
    <row r="1963" spans="1:16">
      <c r="A1963" s="232" t="s">
        <v>686</v>
      </c>
      <c r="B1963" s="232" t="s">
        <v>1864</v>
      </c>
      <c r="C1963" s="622">
        <v>45046</v>
      </c>
      <c r="D1963" s="232" t="s">
        <v>4875</v>
      </c>
      <c r="E1963" s="231" t="s">
        <v>5076</v>
      </c>
      <c r="F1963" s="233">
        <v>55</v>
      </c>
      <c r="G1963" s="232" t="s">
        <v>4851</v>
      </c>
      <c r="H1963" s="233"/>
      <c r="I1963" s="233"/>
      <c r="J1963" s="623">
        <v>15405150.15</v>
      </c>
      <c r="K1963" s="624" t="s">
        <v>1130</v>
      </c>
      <c r="L1963" s="624" t="s">
        <v>4852</v>
      </c>
      <c r="M1963" s="624" t="s">
        <v>4876</v>
      </c>
      <c r="N1963" s="624" t="s">
        <v>4866</v>
      </c>
      <c r="O1963" s="624"/>
      <c r="P1963" s="624"/>
    </row>
    <row r="1964" spans="1:16">
      <c r="A1964" s="231" t="s">
        <v>686</v>
      </c>
      <c r="B1964" s="231" t="s">
        <v>1864</v>
      </c>
      <c r="C1964" s="618">
        <v>45046</v>
      </c>
      <c r="D1964" s="231" t="s">
        <v>4855</v>
      </c>
      <c r="E1964" s="231"/>
      <c r="F1964" s="619">
        <v>15890.744000000001</v>
      </c>
      <c r="G1964" s="231" t="s">
        <v>4851</v>
      </c>
      <c r="H1964" s="619"/>
      <c r="I1964" s="619">
        <v>16685281.199999999</v>
      </c>
      <c r="J1964" s="620">
        <v>9898543071.8999996</v>
      </c>
      <c r="K1964" s="621" t="s">
        <v>991</v>
      </c>
      <c r="L1964" s="621" t="s">
        <v>4852</v>
      </c>
      <c r="M1964" s="621" t="s">
        <v>4853</v>
      </c>
      <c r="N1964" s="621" t="s">
        <v>4854</v>
      </c>
      <c r="O1964" s="621"/>
      <c r="P1964" s="621"/>
    </row>
    <row r="1965" spans="1:16">
      <c r="A1965" s="232" t="s">
        <v>686</v>
      </c>
      <c r="B1965" s="232" t="s">
        <v>1864</v>
      </c>
      <c r="C1965" s="622">
        <v>45046</v>
      </c>
      <c r="D1965" s="232" t="s">
        <v>4875</v>
      </c>
      <c r="E1965" s="231" t="s">
        <v>5076</v>
      </c>
      <c r="F1965" s="233">
        <v>50</v>
      </c>
      <c r="G1965" s="232" t="s">
        <v>4851</v>
      </c>
      <c r="H1965" s="233"/>
      <c r="I1965" s="233"/>
      <c r="J1965" s="623">
        <v>14004681.949999999</v>
      </c>
      <c r="K1965" s="624" t="s">
        <v>1130</v>
      </c>
      <c r="L1965" s="624" t="s">
        <v>4852</v>
      </c>
      <c r="M1965" s="624" t="s">
        <v>4876</v>
      </c>
      <c r="N1965" s="624" t="s">
        <v>4866</v>
      </c>
      <c r="O1965" s="624"/>
      <c r="P1965" s="624"/>
    </row>
    <row r="1966" spans="1:16">
      <c r="A1966" s="231" t="s">
        <v>686</v>
      </c>
      <c r="B1966" s="231" t="s">
        <v>1864</v>
      </c>
      <c r="C1966" s="618">
        <v>45046</v>
      </c>
      <c r="D1966" s="231" t="s">
        <v>4875</v>
      </c>
      <c r="E1966" s="231" t="s">
        <v>5076</v>
      </c>
      <c r="F1966" s="619">
        <v>55</v>
      </c>
      <c r="G1966" s="231" t="s">
        <v>4851</v>
      </c>
      <c r="H1966" s="619"/>
      <c r="I1966" s="619"/>
      <c r="J1966" s="620">
        <v>15405150.15</v>
      </c>
      <c r="K1966" s="621" t="s">
        <v>1130</v>
      </c>
      <c r="L1966" s="621" t="s">
        <v>4852</v>
      </c>
      <c r="M1966" s="621" t="s">
        <v>4876</v>
      </c>
      <c r="N1966" s="621" t="s">
        <v>4866</v>
      </c>
      <c r="O1966" s="621"/>
      <c r="P1966" s="621"/>
    </row>
    <row r="1967" spans="1:16">
      <c r="A1967" s="232" t="s">
        <v>686</v>
      </c>
      <c r="B1967" s="232" t="s">
        <v>1864</v>
      </c>
      <c r="C1967" s="622">
        <v>45046</v>
      </c>
      <c r="D1967" s="232" t="s">
        <v>4875</v>
      </c>
      <c r="E1967" s="231" t="s">
        <v>5076</v>
      </c>
      <c r="F1967" s="233">
        <v>55</v>
      </c>
      <c r="G1967" s="232" t="s">
        <v>4851</v>
      </c>
      <c r="H1967" s="233"/>
      <c r="I1967" s="233"/>
      <c r="J1967" s="623">
        <v>15405150.15</v>
      </c>
      <c r="K1967" s="624" t="s">
        <v>1130</v>
      </c>
      <c r="L1967" s="624" t="s">
        <v>4852</v>
      </c>
      <c r="M1967" s="624" t="s">
        <v>4876</v>
      </c>
      <c r="N1967" s="624" t="s">
        <v>4866</v>
      </c>
      <c r="O1967" s="624"/>
      <c r="P1967" s="624"/>
    </row>
    <row r="1968" spans="1:16">
      <c r="A1968" s="231" t="s">
        <v>686</v>
      </c>
      <c r="B1968" s="231" t="s">
        <v>1864</v>
      </c>
      <c r="C1968" s="618">
        <v>45046</v>
      </c>
      <c r="D1968" s="231" t="s">
        <v>4875</v>
      </c>
      <c r="E1968" s="231" t="s">
        <v>5076</v>
      </c>
      <c r="F1968" s="619">
        <v>45</v>
      </c>
      <c r="G1968" s="231" t="s">
        <v>4851</v>
      </c>
      <c r="H1968" s="619"/>
      <c r="I1968" s="619"/>
      <c r="J1968" s="620">
        <v>12604213.76</v>
      </c>
      <c r="K1968" s="621" t="s">
        <v>1130</v>
      </c>
      <c r="L1968" s="621" t="s">
        <v>4852</v>
      </c>
      <c r="M1968" s="621" t="s">
        <v>4876</v>
      </c>
      <c r="N1968" s="621" t="s">
        <v>4866</v>
      </c>
      <c r="O1968" s="621"/>
      <c r="P1968" s="621"/>
    </row>
    <row r="1969" spans="1:16">
      <c r="A1969" s="232" t="s">
        <v>686</v>
      </c>
      <c r="B1969" s="232" t="s">
        <v>1864</v>
      </c>
      <c r="C1969" s="622">
        <v>45046</v>
      </c>
      <c r="D1969" s="232" t="s">
        <v>4855</v>
      </c>
      <c r="E1969" s="232"/>
      <c r="F1969" s="233">
        <v>14438.277</v>
      </c>
      <c r="G1969" s="232" t="s">
        <v>4851</v>
      </c>
      <c r="H1969" s="233"/>
      <c r="I1969" s="233">
        <v>15160190.85</v>
      </c>
      <c r="J1969" s="623">
        <v>8993783221.7600002</v>
      </c>
      <c r="K1969" s="624" t="s">
        <v>991</v>
      </c>
      <c r="L1969" s="624" t="s">
        <v>4852</v>
      </c>
      <c r="M1969" s="624" t="s">
        <v>4853</v>
      </c>
      <c r="N1969" s="624" t="s">
        <v>4854</v>
      </c>
      <c r="O1969" s="624"/>
      <c r="P1969" s="624"/>
    </row>
    <row r="1970" spans="1:16">
      <c r="A1970" s="231" t="s">
        <v>686</v>
      </c>
      <c r="B1970" s="231" t="s">
        <v>1864</v>
      </c>
      <c r="C1970" s="618">
        <v>45046</v>
      </c>
      <c r="D1970" s="231" t="s">
        <v>4870</v>
      </c>
      <c r="E1970" s="231"/>
      <c r="F1970" s="619">
        <v>52</v>
      </c>
      <c r="G1970" s="231" t="s">
        <v>4851</v>
      </c>
      <c r="H1970" s="619"/>
      <c r="I1970" s="619"/>
      <c r="J1970" s="620">
        <v>22360000</v>
      </c>
      <c r="K1970" s="621" t="s">
        <v>1130</v>
      </c>
      <c r="L1970" s="621" t="s">
        <v>4852</v>
      </c>
      <c r="M1970" s="621" t="s">
        <v>4871</v>
      </c>
      <c r="N1970" s="621" t="s">
        <v>4754</v>
      </c>
      <c r="O1970" s="621"/>
      <c r="P1970" s="621"/>
    </row>
    <row r="1971" spans="1:16">
      <c r="A1971" s="232" t="s">
        <v>686</v>
      </c>
      <c r="B1971" s="232" t="s">
        <v>1864</v>
      </c>
      <c r="C1971" s="622">
        <v>45046</v>
      </c>
      <c r="D1971" s="232" t="s">
        <v>4870</v>
      </c>
      <c r="E1971" s="232"/>
      <c r="F1971" s="233">
        <v>52</v>
      </c>
      <c r="G1971" s="232" t="s">
        <v>4851</v>
      </c>
      <c r="H1971" s="233"/>
      <c r="I1971" s="233"/>
      <c r="J1971" s="623">
        <v>22360000</v>
      </c>
      <c r="K1971" s="624" t="s">
        <v>1130</v>
      </c>
      <c r="L1971" s="624" t="s">
        <v>4852</v>
      </c>
      <c r="M1971" s="624" t="s">
        <v>4871</v>
      </c>
      <c r="N1971" s="624" t="s">
        <v>4754</v>
      </c>
      <c r="O1971" s="624"/>
      <c r="P1971" s="624"/>
    </row>
    <row r="1972" spans="1:16">
      <c r="A1972" s="231" t="s">
        <v>686</v>
      </c>
      <c r="B1972" s="231" t="s">
        <v>1864</v>
      </c>
      <c r="C1972" s="618">
        <v>45046</v>
      </c>
      <c r="D1972" s="231" t="s">
        <v>4862</v>
      </c>
      <c r="E1972" s="231"/>
      <c r="F1972" s="619">
        <v>50</v>
      </c>
      <c r="G1972" s="231" t="s">
        <v>4851</v>
      </c>
      <c r="H1972" s="619"/>
      <c r="I1972" s="619"/>
      <c r="J1972" s="620">
        <v>23250000</v>
      </c>
      <c r="K1972" s="621" t="s">
        <v>1130</v>
      </c>
      <c r="L1972" s="621" t="s">
        <v>4852</v>
      </c>
      <c r="M1972" s="621" t="s">
        <v>4863</v>
      </c>
      <c r="N1972" s="621" t="s">
        <v>4754</v>
      </c>
      <c r="O1972" s="621"/>
      <c r="P1972" s="621"/>
    </row>
    <row r="1973" spans="1:16">
      <c r="A1973" s="232" t="s">
        <v>686</v>
      </c>
      <c r="B1973" s="232" t="s">
        <v>1864</v>
      </c>
      <c r="C1973" s="622">
        <v>45046</v>
      </c>
      <c r="D1973" s="232" t="s">
        <v>4862</v>
      </c>
      <c r="E1973" s="232"/>
      <c r="F1973" s="233">
        <v>52</v>
      </c>
      <c r="G1973" s="232" t="s">
        <v>4851</v>
      </c>
      <c r="H1973" s="233"/>
      <c r="I1973" s="233"/>
      <c r="J1973" s="623">
        <v>24180000</v>
      </c>
      <c r="K1973" s="624" t="s">
        <v>1130</v>
      </c>
      <c r="L1973" s="624" t="s">
        <v>4852</v>
      </c>
      <c r="M1973" s="624" t="s">
        <v>4863</v>
      </c>
      <c r="N1973" s="624" t="s">
        <v>4754</v>
      </c>
      <c r="O1973" s="624"/>
      <c r="P1973" s="624"/>
    </row>
    <row r="1974" spans="1:16">
      <c r="A1974" s="231" t="s">
        <v>686</v>
      </c>
      <c r="B1974" s="231" t="s">
        <v>1864</v>
      </c>
      <c r="C1974" s="618">
        <v>45046</v>
      </c>
      <c r="D1974" s="231" t="s">
        <v>4862</v>
      </c>
      <c r="E1974" s="231"/>
      <c r="F1974" s="619">
        <v>50</v>
      </c>
      <c r="G1974" s="231" t="s">
        <v>4851</v>
      </c>
      <c r="H1974" s="619"/>
      <c r="I1974" s="619"/>
      <c r="J1974" s="620">
        <v>23250000</v>
      </c>
      <c r="K1974" s="621" t="s">
        <v>1130</v>
      </c>
      <c r="L1974" s="621" t="s">
        <v>4852</v>
      </c>
      <c r="M1974" s="621" t="s">
        <v>4863</v>
      </c>
      <c r="N1974" s="621" t="s">
        <v>4754</v>
      </c>
      <c r="O1974" s="621"/>
      <c r="P1974" s="621"/>
    </row>
    <row r="1975" spans="1:16">
      <c r="A1975" s="232" t="s">
        <v>686</v>
      </c>
      <c r="B1975" s="232" t="s">
        <v>1864</v>
      </c>
      <c r="C1975" s="622">
        <v>45046</v>
      </c>
      <c r="D1975" s="232" t="s">
        <v>4862</v>
      </c>
      <c r="E1975" s="232"/>
      <c r="F1975" s="233">
        <v>35</v>
      </c>
      <c r="G1975" s="232" t="s">
        <v>4851</v>
      </c>
      <c r="H1975" s="233"/>
      <c r="I1975" s="233"/>
      <c r="J1975" s="623">
        <v>16275000</v>
      </c>
      <c r="K1975" s="624" t="s">
        <v>1130</v>
      </c>
      <c r="L1975" s="624" t="s">
        <v>4852</v>
      </c>
      <c r="M1975" s="624" t="s">
        <v>4863</v>
      </c>
      <c r="N1975" s="624" t="s">
        <v>4754</v>
      </c>
      <c r="O1975" s="624"/>
      <c r="P1975" s="624"/>
    </row>
    <row r="1976" spans="1:16">
      <c r="A1976" s="231" t="s">
        <v>686</v>
      </c>
      <c r="B1976" s="231" t="s">
        <v>1864</v>
      </c>
      <c r="C1976" s="618">
        <v>45046</v>
      </c>
      <c r="D1976" s="231" t="s">
        <v>4862</v>
      </c>
      <c r="E1976" s="231"/>
      <c r="F1976" s="619">
        <v>50</v>
      </c>
      <c r="G1976" s="231" t="s">
        <v>4851</v>
      </c>
      <c r="H1976" s="619"/>
      <c r="I1976" s="619"/>
      <c r="J1976" s="620">
        <v>23250000</v>
      </c>
      <c r="K1976" s="621" t="s">
        <v>1130</v>
      </c>
      <c r="L1976" s="621" t="s">
        <v>4852</v>
      </c>
      <c r="M1976" s="621" t="s">
        <v>4863</v>
      </c>
      <c r="N1976" s="621" t="s">
        <v>4754</v>
      </c>
      <c r="O1976" s="621"/>
      <c r="P1976" s="621"/>
    </row>
    <row r="1977" spans="1:16">
      <c r="A1977" s="232" t="s">
        <v>686</v>
      </c>
      <c r="B1977" s="232" t="s">
        <v>1864</v>
      </c>
      <c r="C1977" s="622">
        <v>45046</v>
      </c>
      <c r="D1977" s="232" t="s">
        <v>4862</v>
      </c>
      <c r="E1977" s="232"/>
      <c r="F1977" s="233">
        <v>45</v>
      </c>
      <c r="G1977" s="232" t="s">
        <v>4851</v>
      </c>
      <c r="H1977" s="233"/>
      <c r="I1977" s="233"/>
      <c r="J1977" s="623">
        <v>20925000</v>
      </c>
      <c r="K1977" s="624" t="s">
        <v>1130</v>
      </c>
      <c r="L1977" s="624" t="s">
        <v>4852</v>
      </c>
      <c r="M1977" s="624" t="s">
        <v>4863</v>
      </c>
      <c r="N1977" s="624" t="s">
        <v>4754</v>
      </c>
      <c r="O1977" s="624"/>
      <c r="P1977" s="624"/>
    </row>
    <row r="1978" spans="1:16">
      <c r="A1978" s="231" t="s">
        <v>686</v>
      </c>
      <c r="B1978" s="231" t="s">
        <v>1864</v>
      </c>
      <c r="C1978" s="618">
        <v>45046</v>
      </c>
      <c r="D1978" s="231" t="s">
        <v>4862</v>
      </c>
      <c r="E1978" s="231"/>
      <c r="F1978" s="619">
        <v>35</v>
      </c>
      <c r="G1978" s="231" t="s">
        <v>4851</v>
      </c>
      <c r="H1978" s="619"/>
      <c r="I1978" s="619"/>
      <c r="J1978" s="620">
        <v>16275000</v>
      </c>
      <c r="K1978" s="621" t="s">
        <v>1130</v>
      </c>
      <c r="L1978" s="621" t="s">
        <v>4852</v>
      </c>
      <c r="M1978" s="621" t="s">
        <v>4863</v>
      </c>
      <c r="N1978" s="621" t="s">
        <v>4754</v>
      </c>
      <c r="O1978" s="621"/>
      <c r="P1978" s="621"/>
    </row>
    <row r="1979" spans="1:16">
      <c r="A1979" s="232" t="s">
        <v>686</v>
      </c>
      <c r="B1979" s="232" t="s">
        <v>1864</v>
      </c>
      <c r="C1979" s="622">
        <v>45046</v>
      </c>
      <c r="D1979" s="232" t="s">
        <v>4868</v>
      </c>
      <c r="E1979" s="231" t="s">
        <v>5076</v>
      </c>
      <c r="F1979" s="233">
        <v>49</v>
      </c>
      <c r="G1979" s="232" t="s">
        <v>4851</v>
      </c>
      <c r="H1979" s="233"/>
      <c r="I1979" s="233"/>
      <c r="J1979" s="623">
        <v>21070000</v>
      </c>
      <c r="K1979" s="624" t="s">
        <v>1130</v>
      </c>
      <c r="L1979" s="624" t="s">
        <v>4852</v>
      </c>
      <c r="M1979" s="624" t="s">
        <v>4867</v>
      </c>
      <c r="N1979" s="624" t="s">
        <v>4754</v>
      </c>
      <c r="O1979" s="624"/>
      <c r="P1979" s="624"/>
    </row>
    <row r="1980" spans="1:16">
      <c r="A1980" s="231" t="s">
        <v>686</v>
      </c>
      <c r="B1980" s="231" t="s">
        <v>1864</v>
      </c>
      <c r="C1980" s="618">
        <v>45046</v>
      </c>
      <c r="D1980" s="231" t="s">
        <v>4868</v>
      </c>
      <c r="E1980" s="231" t="s">
        <v>5076</v>
      </c>
      <c r="F1980" s="619">
        <v>49</v>
      </c>
      <c r="G1980" s="231" t="s">
        <v>4851</v>
      </c>
      <c r="H1980" s="619"/>
      <c r="I1980" s="619"/>
      <c r="J1980" s="620">
        <v>21070000</v>
      </c>
      <c r="K1980" s="621" t="s">
        <v>1130</v>
      </c>
      <c r="L1980" s="621" t="s">
        <v>4852</v>
      </c>
      <c r="M1980" s="621" t="s">
        <v>4867</v>
      </c>
      <c r="N1980" s="621" t="s">
        <v>4754</v>
      </c>
      <c r="O1980" s="621"/>
      <c r="P1980" s="621"/>
    </row>
    <row r="1981" spans="1:16">
      <c r="A1981" s="232" t="s">
        <v>686</v>
      </c>
      <c r="B1981" s="232" t="s">
        <v>1864</v>
      </c>
      <c r="C1981" s="622">
        <v>45046</v>
      </c>
      <c r="D1981" s="232" t="s">
        <v>4875</v>
      </c>
      <c r="E1981" s="231" t="s">
        <v>5076</v>
      </c>
      <c r="F1981" s="233">
        <v>45</v>
      </c>
      <c r="G1981" s="232" t="s">
        <v>4851</v>
      </c>
      <c r="H1981" s="233"/>
      <c r="I1981" s="233"/>
      <c r="J1981" s="623">
        <v>12604213.76</v>
      </c>
      <c r="K1981" s="624" t="s">
        <v>1130</v>
      </c>
      <c r="L1981" s="624" t="s">
        <v>4852</v>
      </c>
      <c r="M1981" s="624" t="s">
        <v>4876</v>
      </c>
      <c r="N1981" s="624" t="s">
        <v>4866</v>
      </c>
      <c r="O1981" s="624"/>
      <c r="P1981" s="624"/>
    </row>
    <row r="1982" spans="1:16">
      <c r="A1982" s="231" t="s">
        <v>686</v>
      </c>
      <c r="B1982" s="231" t="s">
        <v>1864</v>
      </c>
      <c r="C1982" s="618">
        <v>45046</v>
      </c>
      <c r="D1982" s="231" t="s">
        <v>4870</v>
      </c>
      <c r="E1982" s="231"/>
      <c r="F1982" s="619">
        <v>52</v>
      </c>
      <c r="G1982" s="231" t="s">
        <v>4851</v>
      </c>
      <c r="H1982" s="619"/>
      <c r="I1982" s="619"/>
      <c r="J1982" s="620">
        <v>22360000</v>
      </c>
      <c r="K1982" s="621" t="s">
        <v>1130</v>
      </c>
      <c r="L1982" s="621" t="s">
        <v>4852</v>
      </c>
      <c r="M1982" s="621" t="s">
        <v>4871</v>
      </c>
      <c r="N1982" s="621" t="s">
        <v>4754</v>
      </c>
      <c r="O1982" s="621"/>
      <c r="P1982" s="621"/>
    </row>
    <row r="1983" spans="1:16">
      <c r="A1983" s="232" t="s">
        <v>686</v>
      </c>
      <c r="B1983" s="232" t="s">
        <v>1864</v>
      </c>
      <c r="C1983" s="622">
        <v>45046</v>
      </c>
      <c r="D1983" s="232" t="s">
        <v>4875</v>
      </c>
      <c r="E1983" s="231" t="s">
        <v>5076</v>
      </c>
      <c r="F1983" s="233">
        <v>55</v>
      </c>
      <c r="G1983" s="232" t="s">
        <v>4851</v>
      </c>
      <c r="H1983" s="233"/>
      <c r="I1983" s="233"/>
      <c r="J1983" s="623">
        <v>15405150.15</v>
      </c>
      <c r="K1983" s="624" t="s">
        <v>1130</v>
      </c>
      <c r="L1983" s="624" t="s">
        <v>4852</v>
      </c>
      <c r="M1983" s="624" t="s">
        <v>4876</v>
      </c>
      <c r="N1983" s="624" t="s">
        <v>4866</v>
      </c>
      <c r="O1983" s="624"/>
      <c r="P1983" s="624"/>
    </row>
    <row r="1984" spans="1:16">
      <c r="A1984" s="231" t="s">
        <v>686</v>
      </c>
      <c r="B1984" s="231" t="s">
        <v>1864</v>
      </c>
      <c r="C1984" s="618">
        <v>45046</v>
      </c>
      <c r="D1984" s="231" t="s">
        <v>4875</v>
      </c>
      <c r="E1984" s="231" t="s">
        <v>5076</v>
      </c>
      <c r="F1984" s="619">
        <v>50</v>
      </c>
      <c r="G1984" s="231" t="s">
        <v>4851</v>
      </c>
      <c r="H1984" s="619"/>
      <c r="I1984" s="619"/>
      <c r="J1984" s="620">
        <v>14004681.949999999</v>
      </c>
      <c r="K1984" s="621" t="s">
        <v>1130</v>
      </c>
      <c r="L1984" s="621" t="s">
        <v>4852</v>
      </c>
      <c r="M1984" s="621" t="s">
        <v>4876</v>
      </c>
      <c r="N1984" s="621" t="s">
        <v>4866</v>
      </c>
      <c r="O1984" s="621"/>
      <c r="P1984" s="621"/>
    </row>
    <row r="1985" spans="1:16">
      <c r="A1985" s="232" t="s">
        <v>686</v>
      </c>
      <c r="B1985" s="232" t="s">
        <v>1864</v>
      </c>
      <c r="C1985" s="622">
        <v>45046</v>
      </c>
      <c r="D1985" s="232" t="s">
        <v>4862</v>
      </c>
      <c r="E1985" s="232"/>
      <c r="F1985" s="233">
        <v>50</v>
      </c>
      <c r="G1985" s="232" t="s">
        <v>4851</v>
      </c>
      <c r="H1985" s="233"/>
      <c r="I1985" s="233"/>
      <c r="J1985" s="623">
        <v>23250000</v>
      </c>
      <c r="K1985" s="624" t="s">
        <v>1130</v>
      </c>
      <c r="L1985" s="624" t="s">
        <v>4852</v>
      </c>
      <c r="M1985" s="624" t="s">
        <v>4863</v>
      </c>
      <c r="N1985" s="624" t="s">
        <v>4754</v>
      </c>
      <c r="O1985" s="624"/>
      <c r="P1985" s="624"/>
    </row>
    <row r="1986" spans="1:16">
      <c r="A1986" s="231" t="s">
        <v>686</v>
      </c>
      <c r="B1986" s="231" t="s">
        <v>1864</v>
      </c>
      <c r="C1986" s="618">
        <v>45046</v>
      </c>
      <c r="D1986" s="231" t="s">
        <v>4875</v>
      </c>
      <c r="E1986" s="231" t="s">
        <v>5076</v>
      </c>
      <c r="F1986" s="619">
        <v>50</v>
      </c>
      <c r="G1986" s="231" t="s">
        <v>4851</v>
      </c>
      <c r="H1986" s="619"/>
      <c r="I1986" s="619"/>
      <c r="J1986" s="620">
        <v>14004681.949999999</v>
      </c>
      <c r="K1986" s="621" t="s">
        <v>1130</v>
      </c>
      <c r="L1986" s="621" t="s">
        <v>4852</v>
      </c>
      <c r="M1986" s="621" t="s">
        <v>4876</v>
      </c>
      <c r="N1986" s="621" t="s">
        <v>4866</v>
      </c>
      <c r="O1986" s="621"/>
      <c r="P1986" s="621"/>
    </row>
    <row r="1987" spans="1:16">
      <c r="A1987" s="232" t="s">
        <v>686</v>
      </c>
      <c r="B1987" s="232" t="s">
        <v>1864</v>
      </c>
      <c r="C1987" s="622">
        <v>45046</v>
      </c>
      <c r="D1987" s="232" t="s">
        <v>4875</v>
      </c>
      <c r="E1987" s="231" t="s">
        <v>5076</v>
      </c>
      <c r="F1987" s="233">
        <v>45</v>
      </c>
      <c r="G1987" s="232" t="s">
        <v>4851</v>
      </c>
      <c r="H1987" s="233"/>
      <c r="I1987" s="233"/>
      <c r="J1987" s="623">
        <v>12604213.76</v>
      </c>
      <c r="K1987" s="624" t="s">
        <v>1130</v>
      </c>
      <c r="L1987" s="624" t="s">
        <v>4852</v>
      </c>
      <c r="M1987" s="624" t="s">
        <v>4876</v>
      </c>
      <c r="N1987" s="624" t="s">
        <v>4866</v>
      </c>
      <c r="O1987" s="624"/>
      <c r="P1987" s="624"/>
    </row>
    <row r="1988" spans="1:16">
      <c r="A1988" s="231" t="s">
        <v>686</v>
      </c>
      <c r="B1988" s="231" t="s">
        <v>1864</v>
      </c>
      <c r="C1988" s="618">
        <v>45046</v>
      </c>
      <c r="D1988" s="231" t="s">
        <v>4868</v>
      </c>
      <c r="E1988" s="231" t="s">
        <v>5076</v>
      </c>
      <c r="F1988" s="619">
        <v>49</v>
      </c>
      <c r="G1988" s="231" t="s">
        <v>4851</v>
      </c>
      <c r="H1988" s="619"/>
      <c r="I1988" s="619"/>
      <c r="J1988" s="620">
        <v>21070000</v>
      </c>
      <c r="K1988" s="621" t="s">
        <v>1130</v>
      </c>
      <c r="L1988" s="621" t="s">
        <v>4852</v>
      </c>
      <c r="M1988" s="621" t="s">
        <v>4867</v>
      </c>
      <c r="N1988" s="621" t="s">
        <v>4754</v>
      </c>
      <c r="O1988" s="621"/>
      <c r="P1988" s="621"/>
    </row>
    <row r="1989" spans="1:16">
      <c r="A1989" s="232" t="s">
        <v>686</v>
      </c>
      <c r="B1989" s="232" t="s">
        <v>1864</v>
      </c>
      <c r="C1989" s="622">
        <v>45046</v>
      </c>
      <c r="D1989" s="232" t="s">
        <v>4868</v>
      </c>
      <c r="E1989" s="231" t="s">
        <v>5076</v>
      </c>
      <c r="F1989" s="233">
        <v>49</v>
      </c>
      <c r="G1989" s="232" t="s">
        <v>4851</v>
      </c>
      <c r="H1989" s="233"/>
      <c r="I1989" s="233"/>
      <c r="J1989" s="623">
        <v>21070000</v>
      </c>
      <c r="K1989" s="624" t="s">
        <v>1130</v>
      </c>
      <c r="L1989" s="624" t="s">
        <v>4852</v>
      </c>
      <c r="M1989" s="624" t="s">
        <v>4867</v>
      </c>
      <c r="N1989" s="624" t="s">
        <v>4754</v>
      </c>
      <c r="O1989" s="624"/>
      <c r="P1989" s="624"/>
    </row>
    <row r="1990" spans="1:16">
      <c r="A1990" s="231" t="s">
        <v>686</v>
      </c>
      <c r="B1990" s="231" t="s">
        <v>1864</v>
      </c>
      <c r="C1990" s="618">
        <v>45046</v>
      </c>
      <c r="D1990" s="231" t="s">
        <v>4868</v>
      </c>
      <c r="E1990" s="231" t="s">
        <v>5076</v>
      </c>
      <c r="F1990" s="619">
        <v>49</v>
      </c>
      <c r="G1990" s="231" t="s">
        <v>4851</v>
      </c>
      <c r="H1990" s="619"/>
      <c r="I1990" s="619"/>
      <c r="J1990" s="620">
        <v>21070000</v>
      </c>
      <c r="K1990" s="621" t="s">
        <v>1130</v>
      </c>
      <c r="L1990" s="621" t="s">
        <v>4852</v>
      </c>
      <c r="M1990" s="621" t="s">
        <v>4867</v>
      </c>
      <c r="N1990" s="621" t="s">
        <v>4754</v>
      </c>
      <c r="O1990" s="621"/>
      <c r="P1990" s="621"/>
    </row>
    <row r="1991" spans="1:16">
      <c r="A1991" s="232" t="s">
        <v>686</v>
      </c>
      <c r="B1991" s="232" t="s">
        <v>1864</v>
      </c>
      <c r="C1991" s="622">
        <v>45046</v>
      </c>
      <c r="D1991" s="232" t="s">
        <v>4860</v>
      </c>
      <c r="E1991" s="232" t="s">
        <v>5072</v>
      </c>
      <c r="F1991" s="233">
        <v>39.35</v>
      </c>
      <c r="G1991" s="232" t="s">
        <v>4851</v>
      </c>
      <c r="H1991" s="233"/>
      <c r="I1991" s="233"/>
      <c r="J1991" s="623">
        <v>236100</v>
      </c>
      <c r="K1991" s="624" t="s">
        <v>991</v>
      </c>
      <c r="L1991" s="624" t="s">
        <v>4852</v>
      </c>
      <c r="M1991" s="624" t="s">
        <v>4877</v>
      </c>
      <c r="N1991" s="624" t="s">
        <v>4878</v>
      </c>
      <c r="O1991" s="624"/>
      <c r="P1991" s="624"/>
    </row>
    <row r="1992" spans="1:16">
      <c r="A1992" s="231" t="s">
        <v>686</v>
      </c>
      <c r="B1992" s="231" t="s">
        <v>1864</v>
      </c>
      <c r="C1992" s="618">
        <v>45046</v>
      </c>
      <c r="D1992" s="231" t="s">
        <v>4850</v>
      </c>
      <c r="E1992" s="231"/>
      <c r="F1992" s="619"/>
      <c r="G1992" s="231" t="s">
        <v>4851</v>
      </c>
      <c r="H1992" s="619"/>
      <c r="I1992" s="619">
        <v>-136730.48000000001</v>
      </c>
      <c r="J1992" s="620">
        <v>-81115357.260000005</v>
      </c>
      <c r="K1992" s="621" t="s">
        <v>991</v>
      </c>
      <c r="L1992" s="621" t="s">
        <v>4852</v>
      </c>
      <c r="M1992" s="621" t="s">
        <v>4853</v>
      </c>
      <c r="N1992" s="621" t="s">
        <v>4854</v>
      </c>
      <c r="O1992" s="621"/>
      <c r="P1992" s="621"/>
    </row>
    <row r="1993" spans="1:16">
      <c r="A1993" s="232" t="s">
        <v>686</v>
      </c>
      <c r="B1993" s="232" t="s">
        <v>1864</v>
      </c>
      <c r="C1993" s="622">
        <v>45046</v>
      </c>
      <c r="D1993" s="232" t="s">
        <v>4850</v>
      </c>
      <c r="E1993" s="232"/>
      <c r="F1993" s="233"/>
      <c r="G1993" s="232" t="s">
        <v>4851</v>
      </c>
      <c r="H1993" s="233"/>
      <c r="I1993" s="233">
        <v>-150803.16</v>
      </c>
      <c r="J1993" s="623">
        <v>-89463974.670000002</v>
      </c>
      <c r="K1993" s="624" t="s">
        <v>991</v>
      </c>
      <c r="L1993" s="624" t="s">
        <v>4852</v>
      </c>
      <c r="M1993" s="624" t="s">
        <v>4853</v>
      </c>
      <c r="N1993" s="624" t="s">
        <v>4854</v>
      </c>
      <c r="O1993" s="624"/>
      <c r="P1993" s="624"/>
    </row>
    <row r="1994" spans="1:16">
      <c r="A1994" s="231" t="s">
        <v>686</v>
      </c>
      <c r="B1994" s="231" t="s">
        <v>1864</v>
      </c>
      <c r="C1994" s="618">
        <v>45046</v>
      </c>
      <c r="D1994" s="231" t="s">
        <v>4855</v>
      </c>
      <c r="E1994" s="231"/>
      <c r="F1994" s="619"/>
      <c r="G1994" s="231" t="s">
        <v>4851</v>
      </c>
      <c r="H1994" s="619"/>
      <c r="I1994" s="619">
        <v>-1258546.92</v>
      </c>
      <c r="J1994" s="620">
        <v>-746632960.28999996</v>
      </c>
      <c r="K1994" s="621" t="s">
        <v>991</v>
      </c>
      <c r="L1994" s="621" t="s">
        <v>4852</v>
      </c>
      <c r="M1994" s="621" t="s">
        <v>4853</v>
      </c>
      <c r="N1994" s="621" t="s">
        <v>4854</v>
      </c>
      <c r="O1994" s="621"/>
      <c r="P1994" s="621"/>
    </row>
    <row r="1995" spans="1:16">
      <c r="A1995" s="232" t="s">
        <v>686</v>
      </c>
      <c r="B1995" s="232" t="s">
        <v>1864</v>
      </c>
      <c r="C1995" s="622">
        <v>45046</v>
      </c>
      <c r="D1995" s="232" t="s">
        <v>4855</v>
      </c>
      <c r="E1995" s="232"/>
      <c r="F1995" s="233"/>
      <c r="G1995" s="232" t="s">
        <v>4851</v>
      </c>
      <c r="H1995" s="233"/>
      <c r="I1995" s="233">
        <v>-1143511.54</v>
      </c>
      <c r="J1995" s="623">
        <v>-678388221.11000001</v>
      </c>
      <c r="K1995" s="624" t="s">
        <v>991</v>
      </c>
      <c r="L1995" s="624" t="s">
        <v>4852</v>
      </c>
      <c r="M1995" s="624" t="s">
        <v>4853</v>
      </c>
      <c r="N1995" s="624" t="s">
        <v>4854</v>
      </c>
      <c r="O1995" s="624"/>
      <c r="P1995" s="624"/>
    </row>
    <row r="1996" spans="1:16">
      <c r="A1996" s="231" t="s">
        <v>686</v>
      </c>
      <c r="B1996" s="231" t="s">
        <v>1864</v>
      </c>
      <c r="C1996" s="618">
        <v>45046</v>
      </c>
      <c r="D1996" s="231" t="s">
        <v>4855</v>
      </c>
      <c r="E1996" s="231"/>
      <c r="F1996" s="619"/>
      <c r="G1996" s="231" t="s">
        <v>4851</v>
      </c>
      <c r="H1996" s="619"/>
      <c r="I1996" s="619">
        <v>-863517.64</v>
      </c>
      <c r="J1996" s="620">
        <v>-512281839.93000001</v>
      </c>
      <c r="K1996" s="621" t="s">
        <v>991</v>
      </c>
      <c r="L1996" s="621" t="s">
        <v>4852</v>
      </c>
      <c r="M1996" s="621" t="s">
        <v>4856</v>
      </c>
      <c r="N1996" s="621" t="s">
        <v>4854</v>
      </c>
      <c r="O1996" s="621"/>
      <c r="P1996" s="621"/>
    </row>
    <row r="1997" spans="1:16">
      <c r="A1997" s="232" t="s">
        <v>686</v>
      </c>
      <c r="B1997" s="232" t="s">
        <v>1864</v>
      </c>
      <c r="C1997" s="622">
        <v>45077</v>
      </c>
      <c r="D1997" s="232" t="s">
        <v>4868</v>
      </c>
      <c r="E1997" s="231" t="s">
        <v>5076</v>
      </c>
      <c r="F1997" s="233">
        <v>49</v>
      </c>
      <c r="G1997" s="232" t="s">
        <v>4851</v>
      </c>
      <c r="H1997" s="233"/>
      <c r="I1997" s="233"/>
      <c r="J1997" s="623">
        <v>21070000</v>
      </c>
      <c r="K1997" s="624" t="s">
        <v>1130</v>
      </c>
      <c r="L1997" s="624" t="s">
        <v>4852</v>
      </c>
      <c r="M1997" s="624" t="s">
        <v>4867</v>
      </c>
      <c r="N1997" s="624" t="s">
        <v>4754</v>
      </c>
      <c r="O1997" s="624"/>
      <c r="P1997" s="624"/>
    </row>
    <row r="1998" spans="1:16">
      <c r="A1998" s="231" t="s">
        <v>686</v>
      </c>
      <c r="B1998" s="231" t="s">
        <v>1864</v>
      </c>
      <c r="C1998" s="618">
        <v>45077</v>
      </c>
      <c r="D1998" s="231" t="s">
        <v>4868</v>
      </c>
      <c r="E1998" s="231" t="s">
        <v>5076</v>
      </c>
      <c r="F1998" s="619">
        <v>32</v>
      </c>
      <c r="G1998" s="231" t="s">
        <v>4851</v>
      </c>
      <c r="H1998" s="619"/>
      <c r="I1998" s="619"/>
      <c r="J1998" s="620">
        <v>13760000</v>
      </c>
      <c r="K1998" s="621" t="s">
        <v>1130</v>
      </c>
      <c r="L1998" s="621" t="s">
        <v>4852</v>
      </c>
      <c r="M1998" s="621" t="s">
        <v>4867</v>
      </c>
      <c r="N1998" s="621" t="s">
        <v>4754</v>
      </c>
      <c r="O1998" s="621"/>
      <c r="P1998" s="621"/>
    </row>
    <row r="1999" spans="1:16">
      <c r="A1999" s="232" t="s">
        <v>686</v>
      </c>
      <c r="B1999" s="232" t="s">
        <v>1864</v>
      </c>
      <c r="C1999" s="622">
        <v>45077</v>
      </c>
      <c r="D1999" s="232" t="s">
        <v>4868</v>
      </c>
      <c r="E1999" s="231" t="s">
        <v>5076</v>
      </c>
      <c r="F1999" s="233">
        <v>49</v>
      </c>
      <c r="G1999" s="232" t="s">
        <v>4851</v>
      </c>
      <c r="H1999" s="233"/>
      <c r="I1999" s="233"/>
      <c r="J1999" s="623">
        <v>21070000</v>
      </c>
      <c r="K1999" s="624" t="s">
        <v>1130</v>
      </c>
      <c r="L1999" s="624" t="s">
        <v>4852</v>
      </c>
      <c r="M1999" s="624" t="s">
        <v>4867</v>
      </c>
      <c r="N1999" s="624" t="s">
        <v>4754</v>
      </c>
      <c r="O1999" s="624"/>
      <c r="P1999" s="624"/>
    </row>
    <row r="2000" spans="1:16">
      <c r="A2000" s="231" t="s">
        <v>686</v>
      </c>
      <c r="B2000" s="231" t="s">
        <v>1864</v>
      </c>
      <c r="C2000" s="618">
        <v>45077</v>
      </c>
      <c r="D2000" s="231" t="s">
        <v>4868</v>
      </c>
      <c r="E2000" s="231" t="s">
        <v>5076</v>
      </c>
      <c r="F2000" s="619">
        <v>49</v>
      </c>
      <c r="G2000" s="231" t="s">
        <v>4851</v>
      </c>
      <c r="H2000" s="619"/>
      <c r="I2000" s="619"/>
      <c r="J2000" s="620">
        <v>21070000</v>
      </c>
      <c r="K2000" s="621" t="s">
        <v>1130</v>
      </c>
      <c r="L2000" s="621" t="s">
        <v>4852</v>
      </c>
      <c r="M2000" s="621" t="s">
        <v>4867</v>
      </c>
      <c r="N2000" s="621" t="s">
        <v>4754</v>
      </c>
      <c r="O2000" s="621"/>
      <c r="P2000" s="621"/>
    </row>
    <row r="2001" spans="1:16">
      <c r="A2001" s="232" t="s">
        <v>686</v>
      </c>
      <c r="B2001" s="232" t="s">
        <v>1864</v>
      </c>
      <c r="C2001" s="622">
        <v>45077</v>
      </c>
      <c r="D2001" s="232" t="s">
        <v>4868</v>
      </c>
      <c r="E2001" s="231" t="s">
        <v>5076</v>
      </c>
      <c r="F2001" s="233">
        <v>49</v>
      </c>
      <c r="G2001" s="232" t="s">
        <v>4851</v>
      </c>
      <c r="H2001" s="233"/>
      <c r="I2001" s="233"/>
      <c r="J2001" s="623">
        <v>21070000</v>
      </c>
      <c r="K2001" s="624" t="s">
        <v>1130</v>
      </c>
      <c r="L2001" s="624" t="s">
        <v>4852</v>
      </c>
      <c r="M2001" s="624" t="s">
        <v>4867</v>
      </c>
      <c r="N2001" s="624" t="s">
        <v>4754</v>
      </c>
      <c r="O2001" s="624"/>
      <c r="P2001" s="624"/>
    </row>
    <row r="2002" spans="1:16">
      <c r="A2002" s="231" t="s">
        <v>686</v>
      </c>
      <c r="B2002" s="231" t="s">
        <v>1864</v>
      </c>
      <c r="C2002" s="618">
        <v>45077</v>
      </c>
      <c r="D2002" s="231" t="s">
        <v>4868</v>
      </c>
      <c r="E2002" s="231" t="s">
        <v>5076</v>
      </c>
      <c r="F2002" s="619">
        <v>49</v>
      </c>
      <c r="G2002" s="231" t="s">
        <v>4851</v>
      </c>
      <c r="H2002" s="619"/>
      <c r="I2002" s="619"/>
      <c r="J2002" s="620">
        <v>21070000</v>
      </c>
      <c r="K2002" s="621" t="s">
        <v>1130</v>
      </c>
      <c r="L2002" s="621" t="s">
        <v>4852</v>
      </c>
      <c r="M2002" s="621" t="s">
        <v>4867</v>
      </c>
      <c r="N2002" s="621" t="s">
        <v>4754</v>
      </c>
      <c r="O2002" s="621"/>
      <c r="P2002" s="621"/>
    </row>
    <row r="2003" spans="1:16">
      <c r="A2003" s="232" t="s">
        <v>686</v>
      </c>
      <c r="B2003" s="232" t="s">
        <v>1864</v>
      </c>
      <c r="C2003" s="622">
        <v>45077</v>
      </c>
      <c r="D2003" s="232" t="s">
        <v>4868</v>
      </c>
      <c r="E2003" s="231" t="s">
        <v>5076</v>
      </c>
      <c r="F2003" s="233">
        <v>17</v>
      </c>
      <c r="G2003" s="232" t="s">
        <v>4851</v>
      </c>
      <c r="H2003" s="233"/>
      <c r="I2003" s="233"/>
      <c r="J2003" s="623">
        <v>7310000</v>
      </c>
      <c r="K2003" s="624" t="s">
        <v>1130</v>
      </c>
      <c r="L2003" s="624" t="s">
        <v>4852</v>
      </c>
      <c r="M2003" s="624" t="s">
        <v>4867</v>
      </c>
      <c r="N2003" s="624" t="s">
        <v>4754</v>
      </c>
      <c r="O2003" s="624"/>
      <c r="P2003" s="624"/>
    </row>
    <row r="2004" spans="1:16">
      <c r="A2004" s="231" t="s">
        <v>686</v>
      </c>
      <c r="B2004" s="231" t="s">
        <v>1864</v>
      </c>
      <c r="C2004" s="618">
        <v>45077</v>
      </c>
      <c r="D2004" s="231" t="s">
        <v>4868</v>
      </c>
      <c r="E2004" s="231" t="s">
        <v>5076</v>
      </c>
      <c r="F2004" s="619">
        <v>49</v>
      </c>
      <c r="G2004" s="231" t="s">
        <v>4851</v>
      </c>
      <c r="H2004" s="619"/>
      <c r="I2004" s="619"/>
      <c r="J2004" s="620">
        <v>21070000</v>
      </c>
      <c r="K2004" s="621" t="s">
        <v>1130</v>
      </c>
      <c r="L2004" s="621" t="s">
        <v>4852</v>
      </c>
      <c r="M2004" s="621" t="s">
        <v>4867</v>
      </c>
      <c r="N2004" s="621" t="s">
        <v>4754</v>
      </c>
      <c r="O2004" s="621"/>
      <c r="P2004" s="621"/>
    </row>
    <row r="2005" spans="1:16">
      <c r="A2005" s="232" t="s">
        <v>686</v>
      </c>
      <c r="B2005" s="232" t="s">
        <v>1864</v>
      </c>
      <c r="C2005" s="622">
        <v>45077</v>
      </c>
      <c r="D2005" s="232" t="s">
        <v>4860</v>
      </c>
      <c r="E2005" s="232" t="s">
        <v>5072</v>
      </c>
      <c r="F2005" s="233">
        <v>35.65</v>
      </c>
      <c r="G2005" s="232" t="s">
        <v>4851</v>
      </c>
      <c r="H2005" s="233"/>
      <c r="I2005" s="233"/>
      <c r="J2005" s="623">
        <v>213900</v>
      </c>
      <c r="K2005" s="624" t="s">
        <v>991</v>
      </c>
      <c r="L2005" s="624" t="s">
        <v>4852</v>
      </c>
      <c r="M2005" s="624" t="s">
        <v>4877</v>
      </c>
      <c r="N2005" s="624" t="s">
        <v>4878</v>
      </c>
      <c r="O2005" s="624"/>
      <c r="P2005" s="624"/>
    </row>
    <row r="2006" spans="1:16">
      <c r="A2006" s="231" t="s">
        <v>686</v>
      </c>
      <c r="B2006" s="231" t="s">
        <v>1864</v>
      </c>
      <c r="C2006" s="618">
        <v>45077</v>
      </c>
      <c r="D2006" s="231" t="s">
        <v>4860</v>
      </c>
      <c r="E2006" s="232" t="s">
        <v>5072</v>
      </c>
      <c r="F2006" s="619">
        <v>36.049999999999997</v>
      </c>
      <c r="G2006" s="231" t="s">
        <v>4851</v>
      </c>
      <c r="H2006" s="619"/>
      <c r="I2006" s="619"/>
      <c r="J2006" s="620">
        <v>216300</v>
      </c>
      <c r="K2006" s="621" t="s">
        <v>991</v>
      </c>
      <c r="L2006" s="621" t="s">
        <v>4852</v>
      </c>
      <c r="M2006" s="621" t="s">
        <v>4877</v>
      </c>
      <c r="N2006" s="621" t="s">
        <v>4878</v>
      </c>
      <c r="O2006" s="621"/>
      <c r="P2006" s="621"/>
    </row>
    <row r="2007" spans="1:16">
      <c r="A2007" s="232" t="s">
        <v>686</v>
      </c>
      <c r="B2007" s="232" t="s">
        <v>1864</v>
      </c>
      <c r="C2007" s="622">
        <v>45077</v>
      </c>
      <c r="D2007" s="232" t="s">
        <v>4868</v>
      </c>
      <c r="E2007" s="231" t="s">
        <v>5076</v>
      </c>
      <c r="F2007" s="233">
        <v>49</v>
      </c>
      <c r="G2007" s="232" t="s">
        <v>4851</v>
      </c>
      <c r="H2007" s="233"/>
      <c r="I2007" s="233"/>
      <c r="J2007" s="623">
        <v>21070000</v>
      </c>
      <c r="K2007" s="624" t="s">
        <v>1130</v>
      </c>
      <c r="L2007" s="624" t="s">
        <v>4852</v>
      </c>
      <c r="M2007" s="624" t="s">
        <v>4867</v>
      </c>
      <c r="N2007" s="624" t="s">
        <v>4754</v>
      </c>
      <c r="O2007" s="624"/>
      <c r="P2007" s="624"/>
    </row>
    <row r="2008" spans="1:16">
      <c r="A2008" s="231" t="s">
        <v>686</v>
      </c>
      <c r="B2008" s="231" t="s">
        <v>1864</v>
      </c>
      <c r="C2008" s="618">
        <v>45077</v>
      </c>
      <c r="D2008" s="231" t="s">
        <v>4868</v>
      </c>
      <c r="E2008" s="231" t="s">
        <v>5076</v>
      </c>
      <c r="F2008" s="619">
        <v>49</v>
      </c>
      <c r="G2008" s="231" t="s">
        <v>4851</v>
      </c>
      <c r="H2008" s="619"/>
      <c r="I2008" s="619"/>
      <c r="J2008" s="620">
        <v>21070000</v>
      </c>
      <c r="K2008" s="621" t="s">
        <v>1130</v>
      </c>
      <c r="L2008" s="621" t="s">
        <v>4852</v>
      </c>
      <c r="M2008" s="621" t="s">
        <v>4867</v>
      </c>
      <c r="N2008" s="621" t="s">
        <v>4754</v>
      </c>
      <c r="O2008" s="621"/>
      <c r="P2008" s="621"/>
    </row>
    <row r="2009" spans="1:16">
      <c r="A2009" s="232" t="s">
        <v>686</v>
      </c>
      <c r="B2009" s="232" t="s">
        <v>1864</v>
      </c>
      <c r="C2009" s="622">
        <v>45077</v>
      </c>
      <c r="D2009" s="232" t="s">
        <v>4868</v>
      </c>
      <c r="E2009" s="231" t="s">
        <v>5076</v>
      </c>
      <c r="F2009" s="233">
        <v>49</v>
      </c>
      <c r="G2009" s="232" t="s">
        <v>4851</v>
      </c>
      <c r="H2009" s="233"/>
      <c r="I2009" s="233"/>
      <c r="J2009" s="623">
        <v>21070000</v>
      </c>
      <c r="K2009" s="624" t="s">
        <v>1130</v>
      </c>
      <c r="L2009" s="624" t="s">
        <v>4852</v>
      </c>
      <c r="M2009" s="624" t="s">
        <v>4867</v>
      </c>
      <c r="N2009" s="624" t="s">
        <v>4754</v>
      </c>
      <c r="O2009" s="624"/>
      <c r="P2009" s="624"/>
    </row>
    <row r="2010" spans="1:16">
      <c r="A2010" s="231" t="s">
        <v>686</v>
      </c>
      <c r="B2010" s="231" t="s">
        <v>1864</v>
      </c>
      <c r="C2010" s="618">
        <v>45077</v>
      </c>
      <c r="D2010" s="231" t="s">
        <v>4868</v>
      </c>
      <c r="E2010" s="231" t="s">
        <v>5076</v>
      </c>
      <c r="F2010" s="619">
        <v>49</v>
      </c>
      <c r="G2010" s="231" t="s">
        <v>4851</v>
      </c>
      <c r="H2010" s="619"/>
      <c r="I2010" s="619"/>
      <c r="J2010" s="620">
        <v>21070000</v>
      </c>
      <c r="K2010" s="621" t="s">
        <v>1130</v>
      </c>
      <c r="L2010" s="621" t="s">
        <v>4852</v>
      </c>
      <c r="M2010" s="621" t="s">
        <v>4867</v>
      </c>
      <c r="N2010" s="621" t="s">
        <v>4754</v>
      </c>
      <c r="O2010" s="621"/>
      <c r="P2010" s="621"/>
    </row>
    <row r="2011" spans="1:16">
      <c r="A2011" s="232" t="s">
        <v>686</v>
      </c>
      <c r="B2011" s="232" t="s">
        <v>1864</v>
      </c>
      <c r="C2011" s="622">
        <v>45077</v>
      </c>
      <c r="D2011" s="232" t="s">
        <v>4860</v>
      </c>
      <c r="E2011" s="232" t="s">
        <v>5072</v>
      </c>
      <c r="F2011" s="233">
        <v>42.6</v>
      </c>
      <c r="G2011" s="232" t="s">
        <v>4851</v>
      </c>
      <c r="H2011" s="233"/>
      <c r="I2011" s="233"/>
      <c r="J2011" s="623">
        <v>255600</v>
      </c>
      <c r="K2011" s="624" t="s">
        <v>991</v>
      </c>
      <c r="L2011" s="624" t="s">
        <v>4852</v>
      </c>
      <c r="M2011" s="624" t="s">
        <v>4877</v>
      </c>
      <c r="N2011" s="624" t="s">
        <v>4878</v>
      </c>
      <c r="O2011" s="624"/>
      <c r="P2011" s="624"/>
    </row>
    <row r="2012" spans="1:16">
      <c r="A2012" s="231" t="s">
        <v>686</v>
      </c>
      <c r="B2012" s="231" t="s">
        <v>1864</v>
      </c>
      <c r="C2012" s="618">
        <v>45077</v>
      </c>
      <c r="D2012" s="231" t="s">
        <v>4868</v>
      </c>
      <c r="E2012" s="231" t="s">
        <v>5076</v>
      </c>
      <c r="F2012" s="619">
        <v>49</v>
      </c>
      <c r="G2012" s="231" t="s">
        <v>4851</v>
      </c>
      <c r="H2012" s="619"/>
      <c r="I2012" s="619"/>
      <c r="J2012" s="620">
        <v>21070000</v>
      </c>
      <c r="K2012" s="621" t="s">
        <v>1130</v>
      </c>
      <c r="L2012" s="621" t="s">
        <v>4852</v>
      </c>
      <c r="M2012" s="621" t="s">
        <v>4867</v>
      </c>
      <c r="N2012" s="621" t="s">
        <v>4754</v>
      </c>
      <c r="O2012" s="621"/>
      <c r="P2012" s="621"/>
    </row>
    <row r="2013" spans="1:16">
      <c r="A2013" s="232" t="s">
        <v>686</v>
      </c>
      <c r="B2013" s="232" t="s">
        <v>1864</v>
      </c>
      <c r="C2013" s="622">
        <v>45077</v>
      </c>
      <c r="D2013" s="232" t="s">
        <v>4868</v>
      </c>
      <c r="E2013" s="231" t="s">
        <v>5076</v>
      </c>
      <c r="F2013" s="233">
        <v>49</v>
      </c>
      <c r="G2013" s="232" t="s">
        <v>4851</v>
      </c>
      <c r="H2013" s="233"/>
      <c r="I2013" s="233"/>
      <c r="J2013" s="623">
        <v>21070000</v>
      </c>
      <c r="K2013" s="624" t="s">
        <v>1130</v>
      </c>
      <c r="L2013" s="624" t="s">
        <v>4852</v>
      </c>
      <c r="M2013" s="624" t="s">
        <v>4867</v>
      </c>
      <c r="N2013" s="624" t="s">
        <v>4754</v>
      </c>
      <c r="O2013" s="624"/>
      <c r="P2013" s="624"/>
    </row>
    <row r="2014" spans="1:16">
      <c r="A2014" s="231" t="s">
        <v>686</v>
      </c>
      <c r="B2014" s="231" t="s">
        <v>1864</v>
      </c>
      <c r="C2014" s="618">
        <v>45077</v>
      </c>
      <c r="D2014" s="231" t="s">
        <v>4870</v>
      </c>
      <c r="E2014" s="231"/>
      <c r="F2014" s="619">
        <v>52</v>
      </c>
      <c r="G2014" s="231" t="s">
        <v>4851</v>
      </c>
      <c r="H2014" s="619"/>
      <c r="I2014" s="619"/>
      <c r="J2014" s="620">
        <v>22360000</v>
      </c>
      <c r="K2014" s="621" t="s">
        <v>1130</v>
      </c>
      <c r="L2014" s="621" t="s">
        <v>4852</v>
      </c>
      <c r="M2014" s="621" t="s">
        <v>4871</v>
      </c>
      <c r="N2014" s="621" t="s">
        <v>4754</v>
      </c>
      <c r="O2014" s="621"/>
      <c r="P2014" s="621"/>
    </row>
    <row r="2015" spans="1:16">
      <c r="A2015" s="232" t="s">
        <v>686</v>
      </c>
      <c r="B2015" s="232" t="s">
        <v>1864</v>
      </c>
      <c r="C2015" s="622">
        <v>45077</v>
      </c>
      <c r="D2015" s="232" t="s">
        <v>4870</v>
      </c>
      <c r="E2015" s="232"/>
      <c r="F2015" s="233">
        <v>55</v>
      </c>
      <c r="G2015" s="232" t="s">
        <v>4851</v>
      </c>
      <c r="H2015" s="233"/>
      <c r="I2015" s="233"/>
      <c r="J2015" s="623">
        <v>23650000</v>
      </c>
      <c r="K2015" s="624" t="s">
        <v>1130</v>
      </c>
      <c r="L2015" s="624" t="s">
        <v>4852</v>
      </c>
      <c r="M2015" s="624" t="s">
        <v>4871</v>
      </c>
      <c r="N2015" s="624" t="s">
        <v>4754</v>
      </c>
      <c r="O2015" s="624"/>
      <c r="P2015" s="624"/>
    </row>
    <row r="2016" spans="1:16">
      <c r="A2016" s="231" t="s">
        <v>686</v>
      </c>
      <c r="B2016" s="231" t="s">
        <v>1864</v>
      </c>
      <c r="C2016" s="618">
        <v>45077</v>
      </c>
      <c r="D2016" s="231" t="s">
        <v>4870</v>
      </c>
      <c r="E2016" s="231"/>
      <c r="F2016" s="619">
        <v>52</v>
      </c>
      <c r="G2016" s="231" t="s">
        <v>4851</v>
      </c>
      <c r="H2016" s="619"/>
      <c r="I2016" s="619"/>
      <c r="J2016" s="620">
        <v>22360000</v>
      </c>
      <c r="K2016" s="621" t="s">
        <v>1130</v>
      </c>
      <c r="L2016" s="621" t="s">
        <v>4852</v>
      </c>
      <c r="M2016" s="621" t="s">
        <v>4871</v>
      </c>
      <c r="N2016" s="621" t="s">
        <v>4754</v>
      </c>
      <c r="O2016" s="621"/>
      <c r="P2016" s="621"/>
    </row>
    <row r="2017" spans="1:16">
      <c r="A2017" s="232" t="s">
        <v>686</v>
      </c>
      <c r="B2017" s="232" t="s">
        <v>1864</v>
      </c>
      <c r="C2017" s="622">
        <v>45077</v>
      </c>
      <c r="D2017" s="232" t="s">
        <v>4870</v>
      </c>
      <c r="E2017" s="232"/>
      <c r="F2017" s="233">
        <v>52</v>
      </c>
      <c r="G2017" s="232" t="s">
        <v>4851</v>
      </c>
      <c r="H2017" s="233"/>
      <c r="I2017" s="233"/>
      <c r="J2017" s="623">
        <v>22360000</v>
      </c>
      <c r="K2017" s="624" t="s">
        <v>1130</v>
      </c>
      <c r="L2017" s="624" t="s">
        <v>4852</v>
      </c>
      <c r="M2017" s="624" t="s">
        <v>4871</v>
      </c>
      <c r="N2017" s="624" t="s">
        <v>4754</v>
      </c>
      <c r="O2017" s="624"/>
      <c r="P2017" s="624"/>
    </row>
    <row r="2018" spans="1:16">
      <c r="A2018" s="231" t="s">
        <v>686</v>
      </c>
      <c r="B2018" s="231" t="s">
        <v>1864</v>
      </c>
      <c r="C2018" s="618">
        <v>45077</v>
      </c>
      <c r="D2018" s="231" t="s">
        <v>4870</v>
      </c>
      <c r="E2018" s="231"/>
      <c r="F2018" s="619">
        <v>52</v>
      </c>
      <c r="G2018" s="231" t="s">
        <v>4851</v>
      </c>
      <c r="H2018" s="619"/>
      <c r="I2018" s="619"/>
      <c r="J2018" s="620">
        <v>22360000</v>
      </c>
      <c r="K2018" s="621" t="s">
        <v>1130</v>
      </c>
      <c r="L2018" s="621" t="s">
        <v>4852</v>
      </c>
      <c r="M2018" s="621" t="s">
        <v>4871</v>
      </c>
      <c r="N2018" s="621" t="s">
        <v>4754</v>
      </c>
      <c r="O2018" s="621"/>
      <c r="P2018" s="621"/>
    </row>
    <row r="2019" spans="1:16">
      <c r="A2019" s="232" t="s">
        <v>686</v>
      </c>
      <c r="B2019" s="232" t="s">
        <v>1864</v>
      </c>
      <c r="C2019" s="622">
        <v>45077</v>
      </c>
      <c r="D2019" s="232" t="s">
        <v>4870</v>
      </c>
      <c r="E2019" s="232"/>
      <c r="F2019" s="233">
        <v>55</v>
      </c>
      <c r="G2019" s="232" t="s">
        <v>4851</v>
      </c>
      <c r="H2019" s="233"/>
      <c r="I2019" s="233"/>
      <c r="J2019" s="623">
        <v>23650000</v>
      </c>
      <c r="K2019" s="624" t="s">
        <v>1130</v>
      </c>
      <c r="L2019" s="624" t="s">
        <v>4852</v>
      </c>
      <c r="M2019" s="624" t="s">
        <v>4871</v>
      </c>
      <c r="N2019" s="624" t="s">
        <v>4754</v>
      </c>
      <c r="O2019" s="624"/>
      <c r="P2019" s="624"/>
    </row>
    <row r="2020" spans="1:16">
      <c r="A2020" s="231" t="s">
        <v>686</v>
      </c>
      <c r="B2020" s="231" t="s">
        <v>1864</v>
      </c>
      <c r="C2020" s="618">
        <v>45077</v>
      </c>
      <c r="D2020" s="231" t="s">
        <v>4870</v>
      </c>
      <c r="E2020" s="231"/>
      <c r="F2020" s="619">
        <v>55</v>
      </c>
      <c r="G2020" s="231" t="s">
        <v>4851</v>
      </c>
      <c r="H2020" s="619"/>
      <c r="I2020" s="619"/>
      <c r="J2020" s="620">
        <v>23650000</v>
      </c>
      <c r="K2020" s="621" t="s">
        <v>1130</v>
      </c>
      <c r="L2020" s="621" t="s">
        <v>4852</v>
      </c>
      <c r="M2020" s="621" t="s">
        <v>4871</v>
      </c>
      <c r="N2020" s="621" t="s">
        <v>4754</v>
      </c>
      <c r="O2020" s="621"/>
      <c r="P2020" s="621"/>
    </row>
    <row r="2021" spans="1:16">
      <c r="A2021" s="232" t="s">
        <v>686</v>
      </c>
      <c r="B2021" s="232" t="s">
        <v>1864</v>
      </c>
      <c r="C2021" s="622">
        <v>45077</v>
      </c>
      <c r="D2021" s="232" t="s">
        <v>4870</v>
      </c>
      <c r="E2021" s="232"/>
      <c r="F2021" s="233">
        <v>52</v>
      </c>
      <c r="G2021" s="232" t="s">
        <v>4851</v>
      </c>
      <c r="H2021" s="233"/>
      <c r="I2021" s="233"/>
      <c r="J2021" s="623">
        <v>22360000</v>
      </c>
      <c r="K2021" s="624" t="s">
        <v>1130</v>
      </c>
      <c r="L2021" s="624" t="s">
        <v>4852</v>
      </c>
      <c r="M2021" s="624" t="s">
        <v>4871</v>
      </c>
      <c r="N2021" s="624" t="s">
        <v>4754</v>
      </c>
      <c r="O2021" s="624"/>
      <c r="P2021" s="624"/>
    </row>
    <row r="2022" spans="1:16">
      <c r="A2022" s="231" t="s">
        <v>686</v>
      </c>
      <c r="B2022" s="231" t="s">
        <v>1864</v>
      </c>
      <c r="C2022" s="618">
        <v>45077</v>
      </c>
      <c r="D2022" s="231" t="s">
        <v>4870</v>
      </c>
      <c r="E2022" s="231"/>
      <c r="F2022" s="619">
        <v>52</v>
      </c>
      <c r="G2022" s="231" t="s">
        <v>4851</v>
      </c>
      <c r="H2022" s="619"/>
      <c r="I2022" s="619"/>
      <c r="J2022" s="620">
        <v>22360000</v>
      </c>
      <c r="K2022" s="621" t="s">
        <v>1130</v>
      </c>
      <c r="L2022" s="621" t="s">
        <v>4852</v>
      </c>
      <c r="M2022" s="621" t="s">
        <v>4871</v>
      </c>
      <c r="N2022" s="621" t="s">
        <v>4754</v>
      </c>
      <c r="O2022" s="621"/>
      <c r="P2022" s="621"/>
    </row>
    <row r="2023" spans="1:16">
      <c r="A2023" s="232" t="s">
        <v>686</v>
      </c>
      <c r="B2023" s="232" t="s">
        <v>1864</v>
      </c>
      <c r="C2023" s="622">
        <v>45077</v>
      </c>
      <c r="D2023" s="232" t="s">
        <v>4870</v>
      </c>
      <c r="E2023" s="232"/>
      <c r="F2023" s="233">
        <v>52</v>
      </c>
      <c r="G2023" s="232" t="s">
        <v>4851</v>
      </c>
      <c r="H2023" s="233"/>
      <c r="I2023" s="233"/>
      <c r="J2023" s="623">
        <v>22360000</v>
      </c>
      <c r="K2023" s="624" t="s">
        <v>1130</v>
      </c>
      <c r="L2023" s="624" t="s">
        <v>4852</v>
      </c>
      <c r="M2023" s="624" t="s">
        <v>4871</v>
      </c>
      <c r="N2023" s="624" t="s">
        <v>4754</v>
      </c>
      <c r="O2023" s="624"/>
      <c r="P2023" s="624"/>
    </row>
    <row r="2024" spans="1:16">
      <c r="A2024" s="231" t="s">
        <v>686</v>
      </c>
      <c r="B2024" s="231" t="s">
        <v>1864</v>
      </c>
      <c r="C2024" s="618">
        <v>45077</v>
      </c>
      <c r="D2024" s="231" t="s">
        <v>4860</v>
      </c>
      <c r="E2024" s="232" t="s">
        <v>5072</v>
      </c>
      <c r="F2024" s="619">
        <v>40.799999999999997</v>
      </c>
      <c r="G2024" s="231" t="s">
        <v>4851</v>
      </c>
      <c r="H2024" s="619"/>
      <c r="I2024" s="619"/>
      <c r="J2024" s="620">
        <v>244800</v>
      </c>
      <c r="K2024" s="621" t="s">
        <v>991</v>
      </c>
      <c r="L2024" s="621" t="s">
        <v>4852</v>
      </c>
      <c r="M2024" s="621" t="s">
        <v>4877</v>
      </c>
      <c r="N2024" s="621" t="s">
        <v>4878</v>
      </c>
      <c r="O2024" s="621"/>
      <c r="P2024" s="621"/>
    </row>
    <row r="2025" spans="1:16">
      <c r="A2025" s="232" t="s">
        <v>686</v>
      </c>
      <c r="B2025" s="232" t="s">
        <v>1864</v>
      </c>
      <c r="C2025" s="622">
        <v>45077</v>
      </c>
      <c r="D2025" s="232" t="s">
        <v>4870</v>
      </c>
      <c r="E2025" s="232"/>
      <c r="F2025" s="233">
        <v>52</v>
      </c>
      <c r="G2025" s="232" t="s">
        <v>4851</v>
      </c>
      <c r="H2025" s="233"/>
      <c r="I2025" s="233"/>
      <c r="J2025" s="623">
        <v>22360000</v>
      </c>
      <c r="K2025" s="624" t="s">
        <v>1130</v>
      </c>
      <c r="L2025" s="624" t="s">
        <v>4852</v>
      </c>
      <c r="M2025" s="624" t="s">
        <v>4871</v>
      </c>
      <c r="N2025" s="624" t="s">
        <v>4754</v>
      </c>
      <c r="O2025" s="624"/>
      <c r="P2025" s="624"/>
    </row>
    <row r="2026" spans="1:16">
      <c r="A2026" s="231" t="s">
        <v>686</v>
      </c>
      <c r="B2026" s="231" t="s">
        <v>1864</v>
      </c>
      <c r="C2026" s="618">
        <v>45077</v>
      </c>
      <c r="D2026" s="231" t="s">
        <v>4870</v>
      </c>
      <c r="E2026" s="231"/>
      <c r="F2026" s="619">
        <v>55</v>
      </c>
      <c r="G2026" s="231" t="s">
        <v>4851</v>
      </c>
      <c r="H2026" s="619"/>
      <c r="I2026" s="619"/>
      <c r="J2026" s="620">
        <v>23650000</v>
      </c>
      <c r="K2026" s="621" t="s">
        <v>1130</v>
      </c>
      <c r="L2026" s="621" t="s">
        <v>4852</v>
      </c>
      <c r="M2026" s="621" t="s">
        <v>4871</v>
      </c>
      <c r="N2026" s="621" t="s">
        <v>4754</v>
      </c>
      <c r="O2026" s="621"/>
      <c r="P2026" s="621"/>
    </row>
    <row r="2027" spans="1:16">
      <c r="A2027" s="232" t="s">
        <v>686</v>
      </c>
      <c r="B2027" s="232" t="s">
        <v>1864</v>
      </c>
      <c r="C2027" s="622">
        <v>45077</v>
      </c>
      <c r="D2027" s="232" t="s">
        <v>4870</v>
      </c>
      <c r="E2027" s="232"/>
      <c r="F2027" s="233">
        <v>50</v>
      </c>
      <c r="G2027" s="232" t="s">
        <v>4851</v>
      </c>
      <c r="H2027" s="233"/>
      <c r="I2027" s="233"/>
      <c r="J2027" s="623">
        <v>21500000</v>
      </c>
      <c r="K2027" s="624" t="s">
        <v>1130</v>
      </c>
      <c r="L2027" s="624" t="s">
        <v>4852</v>
      </c>
      <c r="M2027" s="624" t="s">
        <v>4871</v>
      </c>
      <c r="N2027" s="624" t="s">
        <v>4754</v>
      </c>
      <c r="O2027" s="624"/>
      <c r="P2027" s="624"/>
    </row>
    <row r="2028" spans="1:16">
      <c r="A2028" s="231" t="s">
        <v>686</v>
      </c>
      <c r="B2028" s="231" t="s">
        <v>1864</v>
      </c>
      <c r="C2028" s="618">
        <v>45077</v>
      </c>
      <c r="D2028" s="231" t="s">
        <v>4870</v>
      </c>
      <c r="E2028" s="231"/>
      <c r="F2028" s="619">
        <v>45</v>
      </c>
      <c r="G2028" s="231" t="s">
        <v>4851</v>
      </c>
      <c r="H2028" s="619"/>
      <c r="I2028" s="619"/>
      <c r="J2028" s="620">
        <v>19350000</v>
      </c>
      <c r="K2028" s="621" t="s">
        <v>1130</v>
      </c>
      <c r="L2028" s="621" t="s">
        <v>4852</v>
      </c>
      <c r="M2028" s="621" t="s">
        <v>4871</v>
      </c>
      <c r="N2028" s="621" t="s">
        <v>4754</v>
      </c>
      <c r="O2028" s="621"/>
      <c r="P2028" s="621"/>
    </row>
    <row r="2029" spans="1:16">
      <c r="A2029" s="232" t="s">
        <v>686</v>
      </c>
      <c r="B2029" s="232" t="s">
        <v>1864</v>
      </c>
      <c r="C2029" s="622">
        <v>45077</v>
      </c>
      <c r="D2029" s="232" t="s">
        <v>4870</v>
      </c>
      <c r="E2029" s="232"/>
      <c r="F2029" s="233">
        <v>52</v>
      </c>
      <c r="G2029" s="232" t="s">
        <v>4851</v>
      </c>
      <c r="H2029" s="233"/>
      <c r="I2029" s="233"/>
      <c r="J2029" s="623">
        <v>22360000</v>
      </c>
      <c r="K2029" s="624" t="s">
        <v>1130</v>
      </c>
      <c r="L2029" s="624" t="s">
        <v>4852</v>
      </c>
      <c r="M2029" s="624" t="s">
        <v>4871</v>
      </c>
      <c r="N2029" s="624" t="s">
        <v>4754</v>
      </c>
      <c r="O2029" s="624"/>
      <c r="P2029" s="624"/>
    </row>
    <row r="2030" spans="1:16">
      <c r="A2030" s="231" t="s">
        <v>686</v>
      </c>
      <c r="B2030" s="231" t="s">
        <v>1864</v>
      </c>
      <c r="C2030" s="618">
        <v>45077</v>
      </c>
      <c r="D2030" s="231" t="s">
        <v>4870</v>
      </c>
      <c r="E2030" s="231"/>
      <c r="F2030" s="619">
        <v>45</v>
      </c>
      <c r="G2030" s="231" t="s">
        <v>4851</v>
      </c>
      <c r="H2030" s="619"/>
      <c r="I2030" s="619"/>
      <c r="J2030" s="620">
        <v>19350000</v>
      </c>
      <c r="K2030" s="621" t="s">
        <v>1130</v>
      </c>
      <c r="L2030" s="621" t="s">
        <v>4852</v>
      </c>
      <c r="M2030" s="621" t="s">
        <v>4871</v>
      </c>
      <c r="N2030" s="621" t="s">
        <v>4754</v>
      </c>
      <c r="O2030" s="621"/>
      <c r="P2030" s="621"/>
    </row>
    <row r="2031" spans="1:16">
      <c r="A2031" s="232" t="s">
        <v>686</v>
      </c>
      <c r="B2031" s="232" t="s">
        <v>1864</v>
      </c>
      <c r="C2031" s="622">
        <v>45077</v>
      </c>
      <c r="D2031" s="232" t="s">
        <v>4870</v>
      </c>
      <c r="E2031" s="232"/>
      <c r="F2031" s="233">
        <v>55</v>
      </c>
      <c r="G2031" s="232" t="s">
        <v>4851</v>
      </c>
      <c r="H2031" s="233"/>
      <c r="I2031" s="233"/>
      <c r="J2031" s="623">
        <v>23650000</v>
      </c>
      <c r="K2031" s="624" t="s">
        <v>1130</v>
      </c>
      <c r="L2031" s="624" t="s">
        <v>4852</v>
      </c>
      <c r="M2031" s="624" t="s">
        <v>4871</v>
      </c>
      <c r="N2031" s="624" t="s">
        <v>4754</v>
      </c>
      <c r="O2031" s="624"/>
      <c r="P2031" s="624"/>
    </row>
    <row r="2032" spans="1:16">
      <c r="A2032" s="231" t="s">
        <v>686</v>
      </c>
      <c r="B2032" s="231" t="s">
        <v>1864</v>
      </c>
      <c r="C2032" s="618">
        <v>45077</v>
      </c>
      <c r="D2032" s="231" t="s">
        <v>4870</v>
      </c>
      <c r="E2032" s="231"/>
      <c r="F2032" s="619">
        <v>52</v>
      </c>
      <c r="G2032" s="231" t="s">
        <v>4851</v>
      </c>
      <c r="H2032" s="619"/>
      <c r="I2032" s="619"/>
      <c r="J2032" s="620">
        <v>22360000</v>
      </c>
      <c r="K2032" s="621" t="s">
        <v>1130</v>
      </c>
      <c r="L2032" s="621" t="s">
        <v>4852</v>
      </c>
      <c r="M2032" s="621" t="s">
        <v>4871</v>
      </c>
      <c r="N2032" s="621" t="s">
        <v>4754</v>
      </c>
      <c r="O2032" s="621"/>
      <c r="P2032" s="621"/>
    </row>
    <row r="2033" spans="1:16">
      <c r="A2033" s="232" t="s">
        <v>686</v>
      </c>
      <c r="B2033" s="232" t="s">
        <v>1864</v>
      </c>
      <c r="C2033" s="622">
        <v>45077</v>
      </c>
      <c r="D2033" s="232" t="s">
        <v>4870</v>
      </c>
      <c r="E2033" s="232"/>
      <c r="F2033" s="233">
        <v>5</v>
      </c>
      <c r="G2033" s="232" t="s">
        <v>4851</v>
      </c>
      <c r="H2033" s="233"/>
      <c r="I2033" s="233"/>
      <c r="J2033" s="623">
        <v>2150000</v>
      </c>
      <c r="K2033" s="624" t="s">
        <v>1130</v>
      </c>
      <c r="L2033" s="624" t="s">
        <v>4852</v>
      </c>
      <c r="M2033" s="624" t="s">
        <v>4871</v>
      </c>
      <c r="N2033" s="624" t="s">
        <v>4754</v>
      </c>
      <c r="O2033" s="624"/>
      <c r="P2033" s="624"/>
    </row>
    <row r="2034" spans="1:16">
      <c r="A2034" s="231" t="s">
        <v>686</v>
      </c>
      <c r="B2034" s="231" t="s">
        <v>1864</v>
      </c>
      <c r="C2034" s="618">
        <v>45077</v>
      </c>
      <c r="D2034" s="231" t="s">
        <v>4870</v>
      </c>
      <c r="E2034" s="231"/>
      <c r="F2034" s="619">
        <v>50</v>
      </c>
      <c r="G2034" s="231" t="s">
        <v>4851</v>
      </c>
      <c r="H2034" s="619"/>
      <c r="I2034" s="619"/>
      <c r="J2034" s="620">
        <v>21500000</v>
      </c>
      <c r="K2034" s="621" t="s">
        <v>1130</v>
      </c>
      <c r="L2034" s="621" t="s">
        <v>4852</v>
      </c>
      <c r="M2034" s="621" t="s">
        <v>4871</v>
      </c>
      <c r="N2034" s="621" t="s">
        <v>4754</v>
      </c>
      <c r="O2034" s="621"/>
      <c r="P2034" s="621"/>
    </row>
    <row r="2035" spans="1:16">
      <c r="A2035" s="232" t="s">
        <v>686</v>
      </c>
      <c r="B2035" s="232" t="s">
        <v>1864</v>
      </c>
      <c r="C2035" s="622">
        <v>45077</v>
      </c>
      <c r="D2035" s="232" t="s">
        <v>4869</v>
      </c>
      <c r="E2035" s="232"/>
      <c r="F2035" s="233">
        <v>29</v>
      </c>
      <c r="G2035" s="232" t="s">
        <v>4851</v>
      </c>
      <c r="H2035" s="233"/>
      <c r="I2035" s="233"/>
      <c r="J2035" s="623">
        <v>12470000</v>
      </c>
      <c r="K2035" s="624" t="s">
        <v>1130</v>
      </c>
      <c r="L2035" s="624" t="s">
        <v>4852</v>
      </c>
      <c r="M2035" s="624" t="s">
        <v>4858</v>
      </c>
      <c r="N2035" s="624" t="s">
        <v>4754</v>
      </c>
      <c r="O2035" s="624"/>
      <c r="P2035" s="624"/>
    </row>
    <row r="2036" spans="1:16">
      <c r="A2036" s="231" t="s">
        <v>686</v>
      </c>
      <c r="B2036" s="231" t="s">
        <v>1864</v>
      </c>
      <c r="C2036" s="618">
        <v>45077</v>
      </c>
      <c r="D2036" s="231" t="s">
        <v>4869</v>
      </c>
      <c r="E2036" s="231"/>
      <c r="F2036" s="619">
        <v>12</v>
      </c>
      <c r="G2036" s="231" t="s">
        <v>4851</v>
      </c>
      <c r="H2036" s="619"/>
      <c r="I2036" s="619"/>
      <c r="J2036" s="620">
        <v>5160000</v>
      </c>
      <c r="K2036" s="621" t="s">
        <v>1130</v>
      </c>
      <c r="L2036" s="621" t="s">
        <v>4852</v>
      </c>
      <c r="M2036" s="621" t="s">
        <v>4858</v>
      </c>
      <c r="N2036" s="621" t="s">
        <v>4754</v>
      </c>
      <c r="O2036" s="621"/>
      <c r="P2036" s="621"/>
    </row>
    <row r="2037" spans="1:16">
      <c r="A2037" s="232" t="s">
        <v>686</v>
      </c>
      <c r="B2037" s="232" t="s">
        <v>1864</v>
      </c>
      <c r="C2037" s="622">
        <v>45077</v>
      </c>
      <c r="D2037" s="232" t="s">
        <v>4870</v>
      </c>
      <c r="E2037" s="232"/>
      <c r="F2037" s="233">
        <v>4</v>
      </c>
      <c r="G2037" s="232" t="s">
        <v>4851</v>
      </c>
      <c r="H2037" s="233"/>
      <c r="I2037" s="233"/>
      <c r="J2037" s="623">
        <v>1720000</v>
      </c>
      <c r="K2037" s="624" t="s">
        <v>1130</v>
      </c>
      <c r="L2037" s="624" t="s">
        <v>4852</v>
      </c>
      <c r="M2037" s="624" t="s">
        <v>4871</v>
      </c>
      <c r="N2037" s="624" t="s">
        <v>4754</v>
      </c>
      <c r="O2037" s="624"/>
      <c r="P2037" s="624"/>
    </row>
    <row r="2038" spans="1:16">
      <c r="A2038" s="231" t="s">
        <v>686</v>
      </c>
      <c r="B2038" s="231" t="s">
        <v>1864</v>
      </c>
      <c r="C2038" s="618">
        <v>45077</v>
      </c>
      <c r="D2038" s="231" t="s">
        <v>4870</v>
      </c>
      <c r="E2038" s="231"/>
      <c r="F2038" s="619">
        <v>50</v>
      </c>
      <c r="G2038" s="231" t="s">
        <v>4851</v>
      </c>
      <c r="H2038" s="619"/>
      <c r="I2038" s="619"/>
      <c r="J2038" s="620">
        <v>21500000</v>
      </c>
      <c r="K2038" s="621" t="s">
        <v>1130</v>
      </c>
      <c r="L2038" s="621" t="s">
        <v>4852</v>
      </c>
      <c r="M2038" s="621" t="s">
        <v>4871</v>
      </c>
      <c r="N2038" s="621" t="s">
        <v>4754</v>
      </c>
      <c r="O2038" s="621"/>
      <c r="P2038" s="621"/>
    </row>
    <row r="2039" spans="1:16">
      <c r="A2039" s="232" t="s">
        <v>686</v>
      </c>
      <c r="B2039" s="232" t="s">
        <v>1864</v>
      </c>
      <c r="C2039" s="622">
        <v>45077</v>
      </c>
      <c r="D2039" s="232" t="s">
        <v>4870</v>
      </c>
      <c r="E2039" s="232"/>
      <c r="F2039" s="233">
        <v>52</v>
      </c>
      <c r="G2039" s="232" t="s">
        <v>4851</v>
      </c>
      <c r="H2039" s="233"/>
      <c r="I2039" s="233"/>
      <c r="J2039" s="623">
        <v>22360000</v>
      </c>
      <c r="K2039" s="624" t="s">
        <v>1130</v>
      </c>
      <c r="L2039" s="624" t="s">
        <v>4852</v>
      </c>
      <c r="M2039" s="624" t="s">
        <v>4871</v>
      </c>
      <c r="N2039" s="624" t="s">
        <v>4754</v>
      </c>
      <c r="O2039" s="624"/>
      <c r="P2039" s="624"/>
    </row>
    <row r="2040" spans="1:16">
      <c r="A2040" s="231" t="s">
        <v>686</v>
      </c>
      <c r="B2040" s="231" t="s">
        <v>1864</v>
      </c>
      <c r="C2040" s="618">
        <v>45077</v>
      </c>
      <c r="D2040" s="231" t="s">
        <v>4870</v>
      </c>
      <c r="E2040" s="231"/>
      <c r="F2040" s="619">
        <v>52</v>
      </c>
      <c r="G2040" s="231" t="s">
        <v>4851</v>
      </c>
      <c r="H2040" s="619"/>
      <c r="I2040" s="619"/>
      <c r="J2040" s="620">
        <v>22360000</v>
      </c>
      <c r="K2040" s="621" t="s">
        <v>1130</v>
      </c>
      <c r="L2040" s="621" t="s">
        <v>4852</v>
      </c>
      <c r="M2040" s="621" t="s">
        <v>4871</v>
      </c>
      <c r="N2040" s="621" t="s">
        <v>4754</v>
      </c>
      <c r="O2040" s="621"/>
      <c r="P2040" s="621"/>
    </row>
    <row r="2041" spans="1:16">
      <c r="A2041" s="232" t="s">
        <v>686</v>
      </c>
      <c r="B2041" s="232" t="s">
        <v>1864</v>
      </c>
      <c r="C2041" s="622">
        <v>45077</v>
      </c>
      <c r="D2041" s="232" t="s">
        <v>4870</v>
      </c>
      <c r="E2041" s="232"/>
      <c r="F2041" s="233">
        <v>52</v>
      </c>
      <c r="G2041" s="232" t="s">
        <v>4851</v>
      </c>
      <c r="H2041" s="233"/>
      <c r="I2041" s="233"/>
      <c r="J2041" s="623">
        <v>22360000</v>
      </c>
      <c r="K2041" s="624" t="s">
        <v>1130</v>
      </c>
      <c r="L2041" s="624" t="s">
        <v>4852</v>
      </c>
      <c r="M2041" s="624" t="s">
        <v>4871</v>
      </c>
      <c r="N2041" s="624" t="s">
        <v>4754</v>
      </c>
      <c r="O2041" s="624"/>
      <c r="P2041" s="624"/>
    </row>
    <row r="2042" spans="1:16">
      <c r="A2042" s="231" t="s">
        <v>686</v>
      </c>
      <c r="B2042" s="231" t="s">
        <v>1864</v>
      </c>
      <c r="C2042" s="618">
        <v>45077</v>
      </c>
      <c r="D2042" s="231" t="s">
        <v>4860</v>
      </c>
      <c r="E2042" s="232" t="s">
        <v>5072</v>
      </c>
      <c r="F2042" s="619">
        <v>42.6</v>
      </c>
      <c r="G2042" s="231" t="s">
        <v>4851</v>
      </c>
      <c r="H2042" s="619"/>
      <c r="I2042" s="619"/>
      <c r="J2042" s="620">
        <v>255600</v>
      </c>
      <c r="K2042" s="621" t="s">
        <v>991</v>
      </c>
      <c r="L2042" s="621" t="s">
        <v>4852</v>
      </c>
      <c r="M2042" s="621" t="s">
        <v>4877</v>
      </c>
      <c r="N2042" s="621" t="s">
        <v>4878</v>
      </c>
      <c r="O2042" s="621"/>
      <c r="P2042" s="621"/>
    </row>
    <row r="2043" spans="1:16">
      <c r="A2043" s="232" t="s">
        <v>686</v>
      </c>
      <c r="B2043" s="232" t="s">
        <v>1864</v>
      </c>
      <c r="C2043" s="622">
        <v>45077</v>
      </c>
      <c r="D2043" s="232" t="s">
        <v>4870</v>
      </c>
      <c r="E2043" s="232"/>
      <c r="F2043" s="233">
        <v>52</v>
      </c>
      <c r="G2043" s="232" t="s">
        <v>4851</v>
      </c>
      <c r="H2043" s="233"/>
      <c r="I2043" s="233"/>
      <c r="J2043" s="623">
        <v>22360000</v>
      </c>
      <c r="K2043" s="624" t="s">
        <v>1130</v>
      </c>
      <c r="L2043" s="624" t="s">
        <v>4852</v>
      </c>
      <c r="M2043" s="624" t="s">
        <v>4871</v>
      </c>
      <c r="N2043" s="624" t="s">
        <v>4754</v>
      </c>
      <c r="O2043" s="624"/>
      <c r="P2043" s="624"/>
    </row>
    <row r="2044" spans="1:16">
      <c r="A2044" s="231" t="s">
        <v>686</v>
      </c>
      <c r="B2044" s="231" t="s">
        <v>1864</v>
      </c>
      <c r="C2044" s="618">
        <v>45077</v>
      </c>
      <c r="D2044" s="231" t="s">
        <v>4870</v>
      </c>
      <c r="E2044" s="231"/>
      <c r="F2044" s="619">
        <v>52</v>
      </c>
      <c r="G2044" s="231" t="s">
        <v>4851</v>
      </c>
      <c r="H2044" s="619"/>
      <c r="I2044" s="619"/>
      <c r="J2044" s="620">
        <v>22360000</v>
      </c>
      <c r="K2044" s="621" t="s">
        <v>1130</v>
      </c>
      <c r="L2044" s="621" t="s">
        <v>4852</v>
      </c>
      <c r="M2044" s="621" t="s">
        <v>4871</v>
      </c>
      <c r="N2044" s="621" t="s">
        <v>4754</v>
      </c>
      <c r="O2044" s="621"/>
      <c r="P2044" s="621"/>
    </row>
    <row r="2045" spans="1:16">
      <c r="A2045" s="232" t="s">
        <v>686</v>
      </c>
      <c r="B2045" s="232" t="s">
        <v>1864</v>
      </c>
      <c r="C2045" s="622">
        <v>45077</v>
      </c>
      <c r="D2045" s="232" t="s">
        <v>4875</v>
      </c>
      <c r="E2045" s="231" t="s">
        <v>5076</v>
      </c>
      <c r="F2045" s="233">
        <v>7.67</v>
      </c>
      <c r="G2045" s="232" t="s">
        <v>4851</v>
      </c>
      <c r="H2045" s="233"/>
      <c r="I2045" s="233"/>
      <c r="J2045" s="623">
        <v>2147600</v>
      </c>
      <c r="K2045" s="624" t="s">
        <v>1130</v>
      </c>
      <c r="L2045" s="624" t="s">
        <v>4852</v>
      </c>
      <c r="M2045" s="624" t="s">
        <v>4879</v>
      </c>
      <c r="N2045" s="624" t="s">
        <v>4866</v>
      </c>
      <c r="O2045" s="624"/>
      <c r="P2045" s="624"/>
    </row>
    <row r="2046" spans="1:16">
      <c r="A2046" s="231" t="s">
        <v>686</v>
      </c>
      <c r="B2046" s="231" t="s">
        <v>1864</v>
      </c>
      <c r="C2046" s="618">
        <v>45077</v>
      </c>
      <c r="D2046" s="231" t="s">
        <v>4860</v>
      </c>
      <c r="E2046" s="232" t="s">
        <v>5072</v>
      </c>
      <c r="F2046" s="619">
        <v>43.6</v>
      </c>
      <c r="G2046" s="231" t="s">
        <v>4851</v>
      </c>
      <c r="H2046" s="619"/>
      <c r="I2046" s="619"/>
      <c r="J2046" s="620">
        <v>261600</v>
      </c>
      <c r="K2046" s="621" t="s">
        <v>991</v>
      </c>
      <c r="L2046" s="621" t="s">
        <v>4852</v>
      </c>
      <c r="M2046" s="621" t="s">
        <v>4877</v>
      </c>
      <c r="N2046" s="621" t="s">
        <v>4878</v>
      </c>
      <c r="O2046" s="621"/>
      <c r="P2046" s="621"/>
    </row>
    <row r="2047" spans="1:16">
      <c r="A2047" s="232" t="s">
        <v>686</v>
      </c>
      <c r="B2047" s="232" t="s">
        <v>1864</v>
      </c>
      <c r="C2047" s="622">
        <v>45077</v>
      </c>
      <c r="D2047" s="232" t="s">
        <v>4880</v>
      </c>
      <c r="E2047" s="231" t="s">
        <v>5076</v>
      </c>
      <c r="F2047" s="233">
        <v>50</v>
      </c>
      <c r="G2047" s="232" t="s">
        <v>4851</v>
      </c>
      <c r="H2047" s="233"/>
      <c r="I2047" s="233"/>
      <c r="J2047" s="623">
        <v>21253006.800000001</v>
      </c>
      <c r="K2047" s="624" t="s">
        <v>1130</v>
      </c>
      <c r="L2047" s="624" t="s">
        <v>4852</v>
      </c>
      <c r="M2047" s="624" t="s">
        <v>4879</v>
      </c>
      <c r="N2047" s="624" t="s">
        <v>4866</v>
      </c>
      <c r="O2047" s="624"/>
      <c r="P2047" s="624"/>
    </row>
    <row r="2048" spans="1:16">
      <c r="A2048" s="231" t="s">
        <v>686</v>
      </c>
      <c r="B2048" s="231" t="s">
        <v>1864</v>
      </c>
      <c r="C2048" s="618">
        <v>45077</v>
      </c>
      <c r="D2048" s="231" t="s">
        <v>4880</v>
      </c>
      <c r="E2048" s="231" t="s">
        <v>5076</v>
      </c>
      <c r="F2048" s="619">
        <v>50</v>
      </c>
      <c r="G2048" s="231" t="s">
        <v>4851</v>
      </c>
      <c r="H2048" s="619"/>
      <c r="I2048" s="619"/>
      <c r="J2048" s="620">
        <v>21253006.800000001</v>
      </c>
      <c r="K2048" s="621" t="s">
        <v>1130</v>
      </c>
      <c r="L2048" s="621" t="s">
        <v>4852</v>
      </c>
      <c r="M2048" s="621" t="s">
        <v>4879</v>
      </c>
      <c r="N2048" s="621" t="s">
        <v>4866</v>
      </c>
      <c r="O2048" s="621"/>
      <c r="P2048" s="621"/>
    </row>
    <row r="2049" spans="1:16">
      <c r="A2049" s="232" t="s">
        <v>686</v>
      </c>
      <c r="B2049" s="232" t="s">
        <v>1864</v>
      </c>
      <c r="C2049" s="622">
        <v>45077</v>
      </c>
      <c r="D2049" s="232" t="s">
        <v>4880</v>
      </c>
      <c r="E2049" s="231" t="s">
        <v>5076</v>
      </c>
      <c r="F2049" s="233">
        <v>55</v>
      </c>
      <c r="G2049" s="232" t="s">
        <v>4851</v>
      </c>
      <c r="H2049" s="233"/>
      <c r="I2049" s="233"/>
      <c r="J2049" s="623">
        <v>23378307.48</v>
      </c>
      <c r="K2049" s="624" t="s">
        <v>1130</v>
      </c>
      <c r="L2049" s="624" t="s">
        <v>4852</v>
      </c>
      <c r="M2049" s="624" t="s">
        <v>4879</v>
      </c>
      <c r="N2049" s="624" t="s">
        <v>4866</v>
      </c>
      <c r="O2049" s="624"/>
      <c r="P2049" s="624"/>
    </row>
    <row r="2050" spans="1:16">
      <c r="A2050" s="231" t="s">
        <v>686</v>
      </c>
      <c r="B2050" s="231" t="s">
        <v>1864</v>
      </c>
      <c r="C2050" s="618">
        <v>45077</v>
      </c>
      <c r="D2050" s="231" t="s">
        <v>4880</v>
      </c>
      <c r="E2050" s="231" t="s">
        <v>5076</v>
      </c>
      <c r="F2050" s="619">
        <v>55</v>
      </c>
      <c r="G2050" s="231" t="s">
        <v>4851</v>
      </c>
      <c r="H2050" s="619"/>
      <c r="I2050" s="619"/>
      <c r="J2050" s="620">
        <v>23378307.48</v>
      </c>
      <c r="K2050" s="621" t="s">
        <v>1130</v>
      </c>
      <c r="L2050" s="621" t="s">
        <v>4852</v>
      </c>
      <c r="M2050" s="621" t="s">
        <v>4879</v>
      </c>
      <c r="N2050" s="621" t="s">
        <v>4866</v>
      </c>
      <c r="O2050" s="621"/>
      <c r="P2050" s="621"/>
    </row>
    <row r="2051" spans="1:16">
      <c r="A2051" s="232" t="s">
        <v>686</v>
      </c>
      <c r="B2051" s="232" t="s">
        <v>1864</v>
      </c>
      <c r="C2051" s="622">
        <v>45077</v>
      </c>
      <c r="D2051" s="232" t="s">
        <v>4864</v>
      </c>
      <c r="E2051" s="231" t="s">
        <v>5076</v>
      </c>
      <c r="F2051" s="233">
        <v>35</v>
      </c>
      <c r="G2051" s="232" t="s">
        <v>4851</v>
      </c>
      <c r="H2051" s="233"/>
      <c r="I2051" s="233"/>
      <c r="J2051" s="623">
        <v>9100000</v>
      </c>
      <c r="K2051" s="624" t="s">
        <v>1130</v>
      </c>
      <c r="L2051" s="624" t="s">
        <v>4852</v>
      </c>
      <c r="M2051" s="624" t="s">
        <v>4865</v>
      </c>
      <c r="N2051" s="624" t="s">
        <v>4866</v>
      </c>
      <c r="O2051" s="624"/>
      <c r="P2051" s="624"/>
    </row>
    <row r="2052" spans="1:16">
      <c r="A2052" s="231" t="s">
        <v>686</v>
      </c>
      <c r="B2052" s="231" t="s">
        <v>1864</v>
      </c>
      <c r="C2052" s="618">
        <v>45077</v>
      </c>
      <c r="D2052" s="231" t="s">
        <v>4880</v>
      </c>
      <c r="E2052" s="231" t="s">
        <v>5076</v>
      </c>
      <c r="F2052" s="619">
        <v>45</v>
      </c>
      <c r="G2052" s="231" t="s">
        <v>4851</v>
      </c>
      <c r="H2052" s="619"/>
      <c r="I2052" s="619"/>
      <c r="J2052" s="620">
        <v>19127706.120000001</v>
      </c>
      <c r="K2052" s="621" t="s">
        <v>1130</v>
      </c>
      <c r="L2052" s="621" t="s">
        <v>4852</v>
      </c>
      <c r="M2052" s="621" t="s">
        <v>4879</v>
      </c>
      <c r="N2052" s="621" t="s">
        <v>4866</v>
      </c>
      <c r="O2052" s="621"/>
      <c r="P2052" s="621"/>
    </row>
    <row r="2053" spans="1:16">
      <c r="A2053" s="232" t="s">
        <v>686</v>
      </c>
      <c r="B2053" s="232" t="s">
        <v>1864</v>
      </c>
      <c r="C2053" s="622">
        <v>45077</v>
      </c>
      <c r="D2053" s="232" t="s">
        <v>4880</v>
      </c>
      <c r="E2053" s="231" t="s">
        <v>5076</v>
      </c>
      <c r="F2053" s="233">
        <v>50</v>
      </c>
      <c r="G2053" s="232" t="s">
        <v>4851</v>
      </c>
      <c r="H2053" s="233"/>
      <c r="I2053" s="233"/>
      <c r="J2053" s="623">
        <v>21253006.800000001</v>
      </c>
      <c r="K2053" s="624" t="s">
        <v>1130</v>
      </c>
      <c r="L2053" s="624" t="s">
        <v>4852</v>
      </c>
      <c r="M2053" s="624" t="s">
        <v>4879</v>
      </c>
      <c r="N2053" s="624" t="s">
        <v>4866</v>
      </c>
      <c r="O2053" s="624"/>
      <c r="P2053" s="624"/>
    </row>
    <row r="2054" spans="1:16">
      <c r="A2054" s="231" t="s">
        <v>686</v>
      </c>
      <c r="B2054" s="231" t="s">
        <v>1864</v>
      </c>
      <c r="C2054" s="618">
        <v>45077</v>
      </c>
      <c r="D2054" s="231" t="s">
        <v>4880</v>
      </c>
      <c r="E2054" s="231" t="s">
        <v>5076</v>
      </c>
      <c r="F2054" s="619">
        <v>50</v>
      </c>
      <c r="G2054" s="231" t="s">
        <v>4851</v>
      </c>
      <c r="H2054" s="619"/>
      <c r="I2054" s="619"/>
      <c r="J2054" s="620">
        <v>21253006.800000001</v>
      </c>
      <c r="K2054" s="621" t="s">
        <v>1130</v>
      </c>
      <c r="L2054" s="621" t="s">
        <v>4852</v>
      </c>
      <c r="M2054" s="621" t="s">
        <v>4879</v>
      </c>
      <c r="N2054" s="621" t="s">
        <v>4866</v>
      </c>
      <c r="O2054" s="621"/>
      <c r="P2054" s="621"/>
    </row>
    <row r="2055" spans="1:16">
      <c r="A2055" s="232" t="s">
        <v>686</v>
      </c>
      <c r="B2055" s="232" t="s">
        <v>1864</v>
      </c>
      <c r="C2055" s="622">
        <v>45077</v>
      </c>
      <c r="D2055" s="232" t="s">
        <v>4880</v>
      </c>
      <c r="E2055" s="231" t="s">
        <v>5076</v>
      </c>
      <c r="F2055" s="233">
        <v>50</v>
      </c>
      <c r="G2055" s="232" t="s">
        <v>4851</v>
      </c>
      <c r="H2055" s="233"/>
      <c r="I2055" s="233"/>
      <c r="J2055" s="623">
        <v>21253006.800000001</v>
      </c>
      <c r="K2055" s="624" t="s">
        <v>1130</v>
      </c>
      <c r="L2055" s="624" t="s">
        <v>4852</v>
      </c>
      <c r="M2055" s="624" t="s">
        <v>4879</v>
      </c>
      <c r="N2055" s="624" t="s">
        <v>4866</v>
      </c>
      <c r="O2055" s="624"/>
      <c r="P2055" s="624"/>
    </row>
    <row r="2056" spans="1:16">
      <c r="A2056" s="231" t="s">
        <v>686</v>
      </c>
      <c r="B2056" s="231" t="s">
        <v>1864</v>
      </c>
      <c r="C2056" s="618">
        <v>45077</v>
      </c>
      <c r="D2056" s="231" t="s">
        <v>4880</v>
      </c>
      <c r="E2056" s="231" t="s">
        <v>5076</v>
      </c>
      <c r="F2056" s="619">
        <v>50</v>
      </c>
      <c r="G2056" s="231" t="s">
        <v>4851</v>
      </c>
      <c r="H2056" s="619"/>
      <c r="I2056" s="619"/>
      <c r="J2056" s="620">
        <v>21253006.800000001</v>
      </c>
      <c r="K2056" s="621" t="s">
        <v>1130</v>
      </c>
      <c r="L2056" s="621" t="s">
        <v>4852</v>
      </c>
      <c r="M2056" s="621" t="s">
        <v>4879</v>
      </c>
      <c r="N2056" s="621" t="s">
        <v>4866</v>
      </c>
      <c r="O2056" s="621"/>
      <c r="P2056" s="621"/>
    </row>
    <row r="2057" spans="1:16">
      <c r="A2057" s="232" t="s">
        <v>686</v>
      </c>
      <c r="B2057" s="232" t="s">
        <v>1864</v>
      </c>
      <c r="C2057" s="622">
        <v>45077</v>
      </c>
      <c r="D2057" s="232" t="s">
        <v>4880</v>
      </c>
      <c r="E2057" s="231" t="s">
        <v>5076</v>
      </c>
      <c r="F2057" s="233">
        <v>55</v>
      </c>
      <c r="G2057" s="232" t="s">
        <v>4851</v>
      </c>
      <c r="H2057" s="233"/>
      <c r="I2057" s="233"/>
      <c r="J2057" s="623">
        <v>23378307.48</v>
      </c>
      <c r="K2057" s="624" t="s">
        <v>1130</v>
      </c>
      <c r="L2057" s="624" t="s">
        <v>4852</v>
      </c>
      <c r="M2057" s="624" t="s">
        <v>4879</v>
      </c>
      <c r="N2057" s="624" t="s">
        <v>4866</v>
      </c>
      <c r="O2057" s="624"/>
      <c r="P2057" s="624"/>
    </row>
    <row r="2058" spans="1:16">
      <c r="A2058" s="231" t="s">
        <v>686</v>
      </c>
      <c r="B2058" s="231" t="s">
        <v>1864</v>
      </c>
      <c r="C2058" s="618">
        <v>45077</v>
      </c>
      <c r="D2058" s="231" t="s">
        <v>4880</v>
      </c>
      <c r="E2058" s="231" t="s">
        <v>5076</v>
      </c>
      <c r="F2058" s="619">
        <v>55</v>
      </c>
      <c r="G2058" s="231" t="s">
        <v>4851</v>
      </c>
      <c r="H2058" s="619"/>
      <c r="I2058" s="619"/>
      <c r="J2058" s="620">
        <v>23378307.48</v>
      </c>
      <c r="K2058" s="621" t="s">
        <v>1130</v>
      </c>
      <c r="L2058" s="621" t="s">
        <v>4852</v>
      </c>
      <c r="M2058" s="621" t="s">
        <v>4879</v>
      </c>
      <c r="N2058" s="621" t="s">
        <v>4866</v>
      </c>
      <c r="O2058" s="621"/>
      <c r="P2058" s="621"/>
    </row>
    <row r="2059" spans="1:16">
      <c r="A2059" s="232" t="s">
        <v>686</v>
      </c>
      <c r="B2059" s="232" t="s">
        <v>1864</v>
      </c>
      <c r="C2059" s="622">
        <v>45077</v>
      </c>
      <c r="D2059" s="232" t="s">
        <v>4880</v>
      </c>
      <c r="E2059" s="231" t="s">
        <v>5076</v>
      </c>
      <c r="F2059" s="233">
        <v>50</v>
      </c>
      <c r="G2059" s="232" t="s">
        <v>4851</v>
      </c>
      <c r="H2059" s="233"/>
      <c r="I2059" s="233"/>
      <c r="J2059" s="623">
        <v>21253006.800000001</v>
      </c>
      <c r="K2059" s="624" t="s">
        <v>1130</v>
      </c>
      <c r="L2059" s="624" t="s">
        <v>4852</v>
      </c>
      <c r="M2059" s="624" t="s">
        <v>4879</v>
      </c>
      <c r="N2059" s="624" t="s">
        <v>4866</v>
      </c>
      <c r="O2059" s="624"/>
      <c r="P2059" s="624"/>
    </row>
    <row r="2060" spans="1:16">
      <c r="A2060" s="231" t="s">
        <v>686</v>
      </c>
      <c r="B2060" s="231" t="s">
        <v>1864</v>
      </c>
      <c r="C2060" s="618">
        <v>45077</v>
      </c>
      <c r="D2060" s="231" t="s">
        <v>4880</v>
      </c>
      <c r="E2060" s="231" t="s">
        <v>5076</v>
      </c>
      <c r="F2060" s="619">
        <v>55</v>
      </c>
      <c r="G2060" s="231" t="s">
        <v>4851</v>
      </c>
      <c r="H2060" s="619"/>
      <c r="I2060" s="619"/>
      <c r="J2060" s="620">
        <v>23378307.48</v>
      </c>
      <c r="K2060" s="621" t="s">
        <v>1130</v>
      </c>
      <c r="L2060" s="621" t="s">
        <v>4852</v>
      </c>
      <c r="M2060" s="621" t="s">
        <v>4879</v>
      </c>
      <c r="N2060" s="621" t="s">
        <v>4866</v>
      </c>
      <c r="O2060" s="621"/>
      <c r="P2060" s="621"/>
    </row>
    <row r="2061" spans="1:16">
      <c r="A2061" s="232" t="s">
        <v>686</v>
      </c>
      <c r="B2061" s="232" t="s">
        <v>1864</v>
      </c>
      <c r="C2061" s="622">
        <v>45077</v>
      </c>
      <c r="D2061" s="232" t="s">
        <v>4880</v>
      </c>
      <c r="E2061" s="231" t="s">
        <v>5076</v>
      </c>
      <c r="F2061" s="233">
        <v>45</v>
      </c>
      <c r="G2061" s="232" t="s">
        <v>4851</v>
      </c>
      <c r="H2061" s="233"/>
      <c r="I2061" s="233"/>
      <c r="J2061" s="623">
        <v>19127706.120000001</v>
      </c>
      <c r="K2061" s="624" t="s">
        <v>1130</v>
      </c>
      <c r="L2061" s="624" t="s">
        <v>4852</v>
      </c>
      <c r="M2061" s="624" t="s">
        <v>4879</v>
      </c>
      <c r="N2061" s="624" t="s">
        <v>4866</v>
      </c>
      <c r="O2061" s="624"/>
      <c r="P2061" s="624"/>
    </row>
    <row r="2062" spans="1:16">
      <c r="A2062" s="231" t="s">
        <v>686</v>
      </c>
      <c r="B2062" s="231" t="s">
        <v>1864</v>
      </c>
      <c r="C2062" s="618">
        <v>45077</v>
      </c>
      <c r="D2062" s="231" t="s">
        <v>4860</v>
      </c>
      <c r="E2062" s="232" t="s">
        <v>5072</v>
      </c>
      <c r="F2062" s="619">
        <v>34.75</v>
      </c>
      <c r="G2062" s="231" t="s">
        <v>4851</v>
      </c>
      <c r="H2062" s="619"/>
      <c r="I2062" s="619"/>
      <c r="J2062" s="620">
        <v>208500</v>
      </c>
      <c r="K2062" s="621" t="s">
        <v>991</v>
      </c>
      <c r="L2062" s="621" t="s">
        <v>4852</v>
      </c>
      <c r="M2062" s="621" t="s">
        <v>4877</v>
      </c>
      <c r="N2062" s="621" t="s">
        <v>4878</v>
      </c>
      <c r="O2062" s="621"/>
      <c r="P2062" s="621"/>
    </row>
    <row r="2063" spans="1:16">
      <c r="A2063" s="232" t="s">
        <v>686</v>
      </c>
      <c r="B2063" s="232" t="s">
        <v>1864</v>
      </c>
      <c r="C2063" s="622">
        <v>45077</v>
      </c>
      <c r="D2063" s="232" t="s">
        <v>4860</v>
      </c>
      <c r="E2063" s="232" t="s">
        <v>5072</v>
      </c>
      <c r="F2063" s="233">
        <v>45</v>
      </c>
      <c r="G2063" s="232" t="s">
        <v>4851</v>
      </c>
      <c r="H2063" s="233"/>
      <c r="I2063" s="233"/>
      <c r="J2063" s="623">
        <v>270000</v>
      </c>
      <c r="K2063" s="624" t="s">
        <v>991</v>
      </c>
      <c r="L2063" s="624" t="s">
        <v>4852</v>
      </c>
      <c r="M2063" s="624" t="s">
        <v>4877</v>
      </c>
      <c r="N2063" s="624" t="s">
        <v>4878</v>
      </c>
      <c r="O2063" s="624"/>
      <c r="P2063" s="624"/>
    </row>
    <row r="2064" spans="1:16">
      <c r="A2064" s="231" t="s">
        <v>686</v>
      </c>
      <c r="B2064" s="231" t="s">
        <v>1864</v>
      </c>
      <c r="C2064" s="618">
        <v>45077</v>
      </c>
      <c r="D2064" s="231" t="s">
        <v>4860</v>
      </c>
      <c r="E2064" s="232" t="s">
        <v>5072</v>
      </c>
      <c r="F2064" s="619">
        <v>44.85</v>
      </c>
      <c r="G2064" s="231" t="s">
        <v>4851</v>
      </c>
      <c r="H2064" s="619"/>
      <c r="I2064" s="619"/>
      <c r="J2064" s="620">
        <v>269100</v>
      </c>
      <c r="K2064" s="621" t="s">
        <v>991</v>
      </c>
      <c r="L2064" s="621" t="s">
        <v>4852</v>
      </c>
      <c r="M2064" s="621" t="s">
        <v>4877</v>
      </c>
      <c r="N2064" s="621" t="s">
        <v>4878</v>
      </c>
      <c r="O2064" s="621"/>
      <c r="P2064" s="621"/>
    </row>
    <row r="2065" spans="1:16">
      <c r="A2065" s="232" t="s">
        <v>686</v>
      </c>
      <c r="B2065" s="232" t="s">
        <v>1864</v>
      </c>
      <c r="C2065" s="622">
        <v>45077</v>
      </c>
      <c r="D2065" s="232" t="s">
        <v>4860</v>
      </c>
      <c r="E2065" s="232" t="s">
        <v>5072</v>
      </c>
      <c r="F2065" s="233">
        <v>40.9</v>
      </c>
      <c r="G2065" s="232" t="s">
        <v>4851</v>
      </c>
      <c r="H2065" s="233"/>
      <c r="I2065" s="233"/>
      <c r="J2065" s="623">
        <v>245400</v>
      </c>
      <c r="K2065" s="624" t="s">
        <v>991</v>
      </c>
      <c r="L2065" s="624" t="s">
        <v>4852</v>
      </c>
      <c r="M2065" s="624" t="s">
        <v>4877</v>
      </c>
      <c r="N2065" s="624" t="s">
        <v>4878</v>
      </c>
      <c r="O2065" s="624"/>
      <c r="P2065" s="624"/>
    </row>
    <row r="2066" spans="1:16">
      <c r="A2066" s="231" t="s">
        <v>686</v>
      </c>
      <c r="B2066" s="231" t="s">
        <v>1864</v>
      </c>
      <c r="C2066" s="618">
        <v>45077</v>
      </c>
      <c r="D2066" s="231" t="s">
        <v>4880</v>
      </c>
      <c r="E2066" s="231" t="s">
        <v>5076</v>
      </c>
      <c r="F2066" s="619">
        <v>55</v>
      </c>
      <c r="G2066" s="231" t="s">
        <v>4851</v>
      </c>
      <c r="H2066" s="619"/>
      <c r="I2066" s="619"/>
      <c r="J2066" s="620">
        <v>23378307.48</v>
      </c>
      <c r="K2066" s="621" t="s">
        <v>1130</v>
      </c>
      <c r="L2066" s="621" t="s">
        <v>4852</v>
      </c>
      <c r="M2066" s="621" t="s">
        <v>4879</v>
      </c>
      <c r="N2066" s="621" t="s">
        <v>4866</v>
      </c>
      <c r="O2066" s="621"/>
      <c r="P2066" s="621"/>
    </row>
    <row r="2067" spans="1:16">
      <c r="A2067" s="232" t="s">
        <v>686</v>
      </c>
      <c r="B2067" s="232" t="s">
        <v>1864</v>
      </c>
      <c r="C2067" s="622">
        <v>45077</v>
      </c>
      <c r="D2067" s="232" t="s">
        <v>4880</v>
      </c>
      <c r="E2067" s="231" t="s">
        <v>5076</v>
      </c>
      <c r="F2067" s="233">
        <v>50</v>
      </c>
      <c r="G2067" s="232" t="s">
        <v>4851</v>
      </c>
      <c r="H2067" s="233"/>
      <c r="I2067" s="233"/>
      <c r="J2067" s="623">
        <v>21253006.800000001</v>
      </c>
      <c r="K2067" s="624" t="s">
        <v>1130</v>
      </c>
      <c r="L2067" s="624" t="s">
        <v>4852</v>
      </c>
      <c r="M2067" s="624" t="s">
        <v>4879</v>
      </c>
      <c r="N2067" s="624" t="s">
        <v>4866</v>
      </c>
      <c r="O2067" s="624"/>
      <c r="P2067" s="624"/>
    </row>
    <row r="2068" spans="1:16">
      <c r="A2068" s="231" t="s">
        <v>686</v>
      </c>
      <c r="B2068" s="231" t="s">
        <v>1864</v>
      </c>
      <c r="C2068" s="618">
        <v>45077</v>
      </c>
      <c r="D2068" s="231" t="s">
        <v>4880</v>
      </c>
      <c r="E2068" s="231" t="s">
        <v>5076</v>
      </c>
      <c r="F2068" s="619">
        <v>55</v>
      </c>
      <c r="G2068" s="231" t="s">
        <v>4851</v>
      </c>
      <c r="H2068" s="619"/>
      <c r="I2068" s="619"/>
      <c r="J2068" s="620">
        <v>23378307.48</v>
      </c>
      <c r="K2068" s="621" t="s">
        <v>1130</v>
      </c>
      <c r="L2068" s="621" t="s">
        <v>4852</v>
      </c>
      <c r="M2068" s="621" t="s">
        <v>4879</v>
      </c>
      <c r="N2068" s="621" t="s">
        <v>4866</v>
      </c>
      <c r="O2068" s="621"/>
      <c r="P2068" s="621"/>
    </row>
    <row r="2069" spans="1:16">
      <c r="A2069" s="232" t="s">
        <v>686</v>
      </c>
      <c r="B2069" s="232" t="s">
        <v>1864</v>
      </c>
      <c r="C2069" s="622">
        <v>45077</v>
      </c>
      <c r="D2069" s="232" t="s">
        <v>4880</v>
      </c>
      <c r="E2069" s="231" t="s">
        <v>5076</v>
      </c>
      <c r="F2069" s="233">
        <v>45</v>
      </c>
      <c r="G2069" s="232" t="s">
        <v>4851</v>
      </c>
      <c r="H2069" s="233"/>
      <c r="I2069" s="233"/>
      <c r="J2069" s="623">
        <v>19127706.120000001</v>
      </c>
      <c r="K2069" s="624" t="s">
        <v>1130</v>
      </c>
      <c r="L2069" s="624" t="s">
        <v>4852</v>
      </c>
      <c r="M2069" s="624" t="s">
        <v>4879</v>
      </c>
      <c r="N2069" s="624" t="s">
        <v>4866</v>
      </c>
      <c r="O2069" s="624"/>
      <c r="P2069" s="624"/>
    </row>
    <row r="2070" spans="1:16">
      <c r="A2070" s="231" t="s">
        <v>686</v>
      </c>
      <c r="B2070" s="231" t="s">
        <v>1864</v>
      </c>
      <c r="C2070" s="618">
        <v>45077</v>
      </c>
      <c r="D2070" s="231" t="s">
        <v>4880</v>
      </c>
      <c r="E2070" s="231" t="s">
        <v>5076</v>
      </c>
      <c r="F2070" s="619">
        <v>55</v>
      </c>
      <c r="G2070" s="231" t="s">
        <v>4851</v>
      </c>
      <c r="H2070" s="619"/>
      <c r="I2070" s="619"/>
      <c r="J2070" s="620">
        <v>23378307.48</v>
      </c>
      <c r="K2070" s="621" t="s">
        <v>1130</v>
      </c>
      <c r="L2070" s="621" t="s">
        <v>4852</v>
      </c>
      <c r="M2070" s="621" t="s">
        <v>4879</v>
      </c>
      <c r="N2070" s="621" t="s">
        <v>4866</v>
      </c>
      <c r="O2070" s="621"/>
      <c r="P2070" s="621"/>
    </row>
    <row r="2071" spans="1:16">
      <c r="A2071" s="232" t="s">
        <v>686</v>
      </c>
      <c r="B2071" s="232" t="s">
        <v>1864</v>
      </c>
      <c r="C2071" s="622">
        <v>45077</v>
      </c>
      <c r="D2071" s="232" t="s">
        <v>4880</v>
      </c>
      <c r="E2071" s="231" t="s">
        <v>5076</v>
      </c>
      <c r="F2071" s="233">
        <v>55</v>
      </c>
      <c r="G2071" s="232" t="s">
        <v>4851</v>
      </c>
      <c r="H2071" s="233"/>
      <c r="I2071" s="233"/>
      <c r="J2071" s="623">
        <v>23378307.48</v>
      </c>
      <c r="K2071" s="624" t="s">
        <v>1130</v>
      </c>
      <c r="L2071" s="624" t="s">
        <v>4852</v>
      </c>
      <c r="M2071" s="624" t="s">
        <v>4879</v>
      </c>
      <c r="N2071" s="624" t="s">
        <v>4866</v>
      </c>
      <c r="O2071" s="624"/>
      <c r="P2071" s="624"/>
    </row>
    <row r="2072" spans="1:16">
      <c r="A2072" s="231" t="s">
        <v>686</v>
      </c>
      <c r="B2072" s="231" t="s">
        <v>1864</v>
      </c>
      <c r="C2072" s="618">
        <v>45077</v>
      </c>
      <c r="D2072" s="231" t="s">
        <v>4880</v>
      </c>
      <c r="E2072" s="231" t="s">
        <v>5076</v>
      </c>
      <c r="F2072" s="619">
        <v>45</v>
      </c>
      <c r="G2072" s="231" t="s">
        <v>4851</v>
      </c>
      <c r="H2072" s="619"/>
      <c r="I2072" s="619"/>
      <c r="J2072" s="620">
        <v>19127706.120000001</v>
      </c>
      <c r="K2072" s="621" t="s">
        <v>1130</v>
      </c>
      <c r="L2072" s="621" t="s">
        <v>4852</v>
      </c>
      <c r="M2072" s="621" t="s">
        <v>4879</v>
      </c>
      <c r="N2072" s="621" t="s">
        <v>4866</v>
      </c>
      <c r="O2072" s="621"/>
      <c r="P2072" s="621"/>
    </row>
    <row r="2073" spans="1:16">
      <c r="A2073" s="232" t="s">
        <v>686</v>
      </c>
      <c r="B2073" s="232" t="s">
        <v>1864</v>
      </c>
      <c r="C2073" s="622">
        <v>45077</v>
      </c>
      <c r="D2073" s="232" t="s">
        <v>4880</v>
      </c>
      <c r="E2073" s="231" t="s">
        <v>5076</v>
      </c>
      <c r="F2073" s="233">
        <v>50</v>
      </c>
      <c r="G2073" s="232" t="s">
        <v>4851</v>
      </c>
      <c r="H2073" s="233"/>
      <c r="I2073" s="233"/>
      <c r="J2073" s="623">
        <v>21253006.800000001</v>
      </c>
      <c r="K2073" s="624" t="s">
        <v>1130</v>
      </c>
      <c r="L2073" s="624" t="s">
        <v>4852</v>
      </c>
      <c r="M2073" s="624" t="s">
        <v>4879</v>
      </c>
      <c r="N2073" s="624" t="s">
        <v>4866</v>
      </c>
      <c r="O2073" s="624"/>
      <c r="P2073" s="624"/>
    </row>
    <row r="2074" spans="1:16">
      <c r="A2074" s="231" t="s">
        <v>686</v>
      </c>
      <c r="B2074" s="231" t="s">
        <v>1864</v>
      </c>
      <c r="C2074" s="618">
        <v>45077</v>
      </c>
      <c r="D2074" s="231" t="s">
        <v>4880</v>
      </c>
      <c r="E2074" s="231" t="s">
        <v>5076</v>
      </c>
      <c r="F2074" s="619">
        <v>50</v>
      </c>
      <c r="G2074" s="231" t="s">
        <v>4851</v>
      </c>
      <c r="H2074" s="619"/>
      <c r="I2074" s="619"/>
      <c r="J2074" s="620">
        <v>21253006.800000001</v>
      </c>
      <c r="K2074" s="621" t="s">
        <v>1130</v>
      </c>
      <c r="L2074" s="621" t="s">
        <v>4852</v>
      </c>
      <c r="M2074" s="621" t="s">
        <v>4879</v>
      </c>
      <c r="N2074" s="621" t="s">
        <v>4866</v>
      </c>
      <c r="O2074" s="621"/>
      <c r="P2074" s="621"/>
    </row>
    <row r="2075" spans="1:16">
      <c r="A2075" s="232" t="s">
        <v>686</v>
      </c>
      <c r="B2075" s="232" t="s">
        <v>1864</v>
      </c>
      <c r="C2075" s="622">
        <v>45077</v>
      </c>
      <c r="D2075" s="232" t="s">
        <v>4880</v>
      </c>
      <c r="E2075" s="231" t="s">
        <v>5076</v>
      </c>
      <c r="F2075" s="233">
        <v>55</v>
      </c>
      <c r="G2075" s="232" t="s">
        <v>4851</v>
      </c>
      <c r="H2075" s="233"/>
      <c r="I2075" s="233"/>
      <c r="J2075" s="623">
        <v>23378307.48</v>
      </c>
      <c r="K2075" s="624" t="s">
        <v>1130</v>
      </c>
      <c r="L2075" s="624" t="s">
        <v>4852</v>
      </c>
      <c r="M2075" s="624" t="s">
        <v>4879</v>
      </c>
      <c r="N2075" s="624" t="s">
        <v>4866</v>
      </c>
      <c r="O2075" s="624"/>
      <c r="P2075" s="624"/>
    </row>
    <row r="2076" spans="1:16">
      <c r="A2076" s="231" t="s">
        <v>686</v>
      </c>
      <c r="B2076" s="231" t="s">
        <v>1864</v>
      </c>
      <c r="C2076" s="618">
        <v>45077</v>
      </c>
      <c r="D2076" s="231" t="s">
        <v>4855</v>
      </c>
      <c r="E2076" s="231"/>
      <c r="F2076" s="619">
        <v>8135.4560000000001</v>
      </c>
      <c r="G2076" s="231" t="s">
        <v>4851</v>
      </c>
      <c r="H2076" s="619"/>
      <c r="I2076" s="619">
        <v>8187360.21</v>
      </c>
      <c r="J2076" s="620">
        <v>4890768745.6000004</v>
      </c>
      <c r="K2076" s="621" t="s">
        <v>991</v>
      </c>
      <c r="L2076" s="621" t="s">
        <v>4852</v>
      </c>
      <c r="M2076" s="621" t="s">
        <v>4856</v>
      </c>
      <c r="N2076" s="621" t="s">
        <v>4854</v>
      </c>
      <c r="O2076" s="621"/>
      <c r="P2076" s="621"/>
    </row>
    <row r="2077" spans="1:16">
      <c r="A2077" s="232" t="s">
        <v>686</v>
      </c>
      <c r="B2077" s="232" t="s">
        <v>1864</v>
      </c>
      <c r="C2077" s="622">
        <v>45077</v>
      </c>
      <c r="D2077" s="232" t="s">
        <v>4855</v>
      </c>
      <c r="E2077" s="232"/>
      <c r="F2077" s="233">
        <v>1543</v>
      </c>
      <c r="G2077" s="232" t="s">
        <v>4851</v>
      </c>
      <c r="H2077" s="233"/>
      <c r="I2077" s="233">
        <v>1552844.34</v>
      </c>
      <c r="J2077" s="623">
        <v>927600883.57000005</v>
      </c>
      <c r="K2077" s="624" t="s">
        <v>991</v>
      </c>
      <c r="L2077" s="624" t="s">
        <v>4852</v>
      </c>
      <c r="M2077" s="624" t="s">
        <v>4856</v>
      </c>
      <c r="N2077" s="624" t="s">
        <v>4854</v>
      </c>
      <c r="O2077" s="624"/>
      <c r="P2077" s="624"/>
    </row>
    <row r="2078" spans="1:16">
      <c r="A2078" s="231" t="s">
        <v>686</v>
      </c>
      <c r="B2078" s="231" t="s">
        <v>1864</v>
      </c>
      <c r="C2078" s="618">
        <v>45077</v>
      </c>
      <c r="D2078" s="231" t="s">
        <v>4855</v>
      </c>
      <c r="E2078" s="231"/>
      <c r="F2078" s="619">
        <v>623</v>
      </c>
      <c r="G2078" s="231" t="s">
        <v>4851</v>
      </c>
      <c r="H2078" s="619"/>
      <c r="I2078" s="619">
        <v>626974.74</v>
      </c>
      <c r="J2078" s="620">
        <v>374527122.79000002</v>
      </c>
      <c r="K2078" s="621" t="s">
        <v>991</v>
      </c>
      <c r="L2078" s="621" t="s">
        <v>4852</v>
      </c>
      <c r="M2078" s="621" t="s">
        <v>4856</v>
      </c>
      <c r="N2078" s="621" t="s">
        <v>4854</v>
      </c>
      <c r="O2078" s="621"/>
      <c r="P2078" s="621"/>
    </row>
    <row r="2079" spans="1:16">
      <c r="A2079" s="232" t="s">
        <v>686</v>
      </c>
      <c r="B2079" s="232" t="s">
        <v>1864</v>
      </c>
      <c r="C2079" s="622">
        <v>45077</v>
      </c>
      <c r="D2079" s="232" t="s">
        <v>4880</v>
      </c>
      <c r="E2079" s="231" t="s">
        <v>5076</v>
      </c>
      <c r="F2079" s="233">
        <v>45</v>
      </c>
      <c r="G2079" s="232" t="s">
        <v>4851</v>
      </c>
      <c r="H2079" s="233"/>
      <c r="I2079" s="233"/>
      <c r="J2079" s="623">
        <v>19127706.120000001</v>
      </c>
      <c r="K2079" s="624" t="s">
        <v>1130</v>
      </c>
      <c r="L2079" s="624" t="s">
        <v>4852</v>
      </c>
      <c r="M2079" s="624" t="s">
        <v>4879</v>
      </c>
      <c r="N2079" s="624" t="s">
        <v>4866</v>
      </c>
      <c r="O2079" s="624"/>
      <c r="P2079" s="624"/>
    </row>
    <row r="2080" spans="1:16">
      <c r="A2080" s="231" t="s">
        <v>686</v>
      </c>
      <c r="B2080" s="231" t="s">
        <v>1864</v>
      </c>
      <c r="C2080" s="618">
        <v>45077</v>
      </c>
      <c r="D2080" s="231" t="s">
        <v>4880</v>
      </c>
      <c r="E2080" s="231" t="s">
        <v>5076</v>
      </c>
      <c r="F2080" s="619">
        <v>50</v>
      </c>
      <c r="G2080" s="231" t="s">
        <v>4851</v>
      </c>
      <c r="H2080" s="619"/>
      <c r="I2080" s="619"/>
      <c r="J2080" s="620">
        <v>21253006.800000001</v>
      </c>
      <c r="K2080" s="621" t="s">
        <v>1130</v>
      </c>
      <c r="L2080" s="621" t="s">
        <v>4852</v>
      </c>
      <c r="M2080" s="621" t="s">
        <v>4879</v>
      </c>
      <c r="N2080" s="621" t="s">
        <v>4866</v>
      </c>
      <c r="O2080" s="621"/>
      <c r="P2080" s="621"/>
    </row>
    <row r="2081" spans="1:16">
      <c r="A2081" s="232" t="s">
        <v>686</v>
      </c>
      <c r="B2081" s="232" t="s">
        <v>1864</v>
      </c>
      <c r="C2081" s="622">
        <v>45077</v>
      </c>
      <c r="D2081" s="232" t="s">
        <v>4880</v>
      </c>
      <c r="E2081" s="231" t="s">
        <v>5076</v>
      </c>
      <c r="F2081" s="233">
        <v>50</v>
      </c>
      <c r="G2081" s="232" t="s">
        <v>4851</v>
      </c>
      <c r="H2081" s="233"/>
      <c r="I2081" s="233"/>
      <c r="J2081" s="623">
        <v>21253006.800000001</v>
      </c>
      <c r="K2081" s="624" t="s">
        <v>1130</v>
      </c>
      <c r="L2081" s="624" t="s">
        <v>4852</v>
      </c>
      <c r="M2081" s="624" t="s">
        <v>4879</v>
      </c>
      <c r="N2081" s="624" t="s">
        <v>4866</v>
      </c>
      <c r="O2081" s="624"/>
      <c r="P2081" s="624"/>
    </row>
    <row r="2082" spans="1:16">
      <c r="A2082" s="231" t="s">
        <v>686</v>
      </c>
      <c r="B2082" s="231" t="s">
        <v>1864</v>
      </c>
      <c r="C2082" s="618">
        <v>45077</v>
      </c>
      <c r="D2082" s="231" t="s">
        <v>4880</v>
      </c>
      <c r="E2082" s="231" t="s">
        <v>5076</v>
      </c>
      <c r="F2082" s="619">
        <v>55</v>
      </c>
      <c r="G2082" s="231" t="s">
        <v>4851</v>
      </c>
      <c r="H2082" s="619"/>
      <c r="I2082" s="619"/>
      <c r="J2082" s="620">
        <v>23378307.48</v>
      </c>
      <c r="K2082" s="621" t="s">
        <v>1130</v>
      </c>
      <c r="L2082" s="621" t="s">
        <v>4852</v>
      </c>
      <c r="M2082" s="621" t="s">
        <v>4879</v>
      </c>
      <c r="N2082" s="621" t="s">
        <v>4866</v>
      </c>
      <c r="O2082" s="621"/>
      <c r="P2082" s="621"/>
    </row>
    <row r="2083" spans="1:16">
      <c r="A2083" s="232" t="s">
        <v>686</v>
      </c>
      <c r="B2083" s="232" t="s">
        <v>1864</v>
      </c>
      <c r="C2083" s="622">
        <v>45077</v>
      </c>
      <c r="D2083" s="232" t="s">
        <v>4880</v>
      </c>
      <c r="E2083" s="231" t="s">
        <v>5076</v>
      </c>
      <c r="F2083" s="233">
        <v>50</v>
      </c>
      <c r="G2083" s="232" t="s">
        <v>4851</v>
      </c>
      <c r="H2083" s="233"/>
      <c r="I2083" s="233"/>
      <c r="J2083" s="623">
        <v>21253006.800000001</v>
      </c>
      <c r="K2083" s="624" t="s">
        <v>1130</v>
      </c>
      <c r="L2083" s="624" t="s">
        <v>4852</v>
      </c>
      <c r="M2083" s="624" t="s">
        <v>4879</v>
      </c>
      <c r="N2083" s="624" t="s">
        <v>4866</v>
      </c>
      <c r="O2083" s="624"/>
      <c r="P2083" s="624"/>
    </row>
    <row r="2084" spans="1:16">
      <c r="A2084" s="231" t="s">
        <v>686</v>
      </c>
      <c r="B2084" s="231" t="s">
        <v>1864</v>
      </c>
      <c r="C2084" s="618">
        <v>45077</v>
      </c>
      <c r="D2084" s="231" t="s">
        <v>4880</v>
      </c>
      <c r="E2084" s="231" t="s">
        <v>5076</v>
      </c>
      <c r="F2084" s="619">
        <v>55</v>
      </c>
      <c r="G2084" s="231" t="s">
        <v>4851</v>
      </c>
      <c r="H2084" s="619"/>
      <c r="I2084" s="619"/>
      <c r="J2084" s="620">
        <v>23378307.48</v>
      </c>
      <c r="K2084" s="621" t="s">
        <v>1130</v>
      </c>
      <c r="L2084" s="621" t="s">
        <v>4852</v>
      </c>
      <c r="M2084" s="621" t="s">
        <v>4879</v>
      </c>
      <c r="N2084" s="621" t="s">
        <v>4866</v>
      </c>
      <c r="O2084" s="621"/>
      <c r="P2084" s="621"/>
    </row>
    <row r="2085" spans="1:16">
      <c r="A2085" s="232" t="s">
        <v>686</v>
      </c>
      <c r="B2085" s="232" t="s">
        <v>1864</v>
      </c>
      <c r="C2085" s="622">
        <v>45077</v>
      </c>
      <c r="D2085" s="232" t="s">
        <v>4880</v>
      </c>
      <c r="E2085" s="231" t="s">
        <v>5076</v>
      </c>
      <c r="F2085" s="233">
        <v>55</v>
      </c>
      <c r="G2085" s="232" t="s">
        <v>4851</v>
      </c>
      <c r="H2085" s="233"/>
      <c r="I2085" s="233"/>
      <c r="J2085" s="623">
        <v>23378307.48</v>
      </c>
      <c r="K2085" s="624" t="s">
        <v>1130</v>
      </c>
      <c r="L2085" s="624" t="s">
        <v>4852</v>
      </c>
      <c r="M2085" s="624" t="s">
        <v>4879</v>
      </c>
      <c r="N2085" s="624" t="s">
        <v>4866</v>
      </c>
      <c r="O2085" s="624"/>
      <c r="P2085" s="624"/>
    </row>
    <row r="2086" spans="1:16">
      <c r="A2086" s="231" t="s">
        <v>686</v>
      </c>
      <c r="B2086" s="231" t="s">
        <v>1864</v>
      </c>
      <c r="C2086" s="618">
        <v>45077</v>
      </c>
      <c r="D2086" s="231" t="s">
        <v>4880</v>
      </c>
      <c r="E2086" s="231" t="s">
        <v>5076</v>
      </c>
      <c r="F2086" s="619">
        <v>45</v>
      </c>
      <c r="G2086" s="231" t="s">
        <v>4851</v>
      </c>
      <c r="H2086" s="619"/>
      <c r="I2086" s="619"/>
      <c r="J2086" s="620">
        <v>19127706.120000001</v>
      </c>
      <c r="K2086" s="621" t="s">
        <v>1130</v>
      </c>
      <c r="L2086" s="621" t="s">
        <v>4852</v>
      </c>
      <c r="M2086" s="621" t="s">
        <v>4879</v>
      </c>
      <c r="N2086" s="621" t="s">
        <v>4866</v>
      </c>
      <c r="O2086" s="621"/>
      <c r="P2086" s="621"/>
    </row>
    <row r="2087" spans="1:16">
      <c r="A2087" s="232" t="s">
        <v>686</v>
      </c>
      <c r="B2087" s="232" t="s">
        <v>1864</v>
      </c>
      <c r="C2087" s="622">
        <v>45077</v>
      </c>
      <c r="D2087" s="232" t="s">
        <v>4880</v>
      </c>
      <c r="E2087" s="231" t="s">
        <v>5076</v>
      </c>
      <c r="F2087" s="233">
        <v>55</v>
      </c>
      <c r="G2087" s="232" t="s">
        <v>4851</v>
      </c>
      <c r="H2087" s="233"/>
      <c r="I2087" s="233"/>
      <c r="J2087" s="623">
        <v>23378307.48</v>
      </c>
      <c r="K2087" s="624" t="s">
        <v>1130</v>
      </c>
      <c r="L2087" s="624" t="s">
        <v>4852</v>
      </c>
      <c r="M2087" s="624" t="s">
        <v>4879</v>
      </c>
      <c r="N2087" s="624" t="s">
        <v>4866</v>
      </c>
      <c r="O2087" s="624"/>
      <c r="P2087" s="624"/>
    </row>
    <row r="2088" spans="1:16">
      <c r="A2088" s="231" t="s">
        <v>686</v>
      </c>
      <c r="B2088" s="231" t="s">
        <v>1864</v>
      </c>
      <c r="C2088" s="618">
        <v>45077</v>
      </c>
      <c r="D2088" s="231" t="s">
        <v>4880</v>
      </c>
      <c r="E2088" s="231" t="s">
        <v>5076</v>
      </c>
      <c r="F2088" s="619">
        <v>50</v>
      </c>
      <c r="G2088" s="231" t="s">
        <v>4851</v>
      </c>
      <c r="H2088" s="619"/>
      <c r="I2088" s="619"/>
      <c r="J2088" s="620">
        <v>21253006.800000001</v>
      </c>
      <c r="K2088" s="621" t="s">
        <v>1130</v>
      </c>
      <c r="L2088" s="621" t="s">
        <v>4852</v>
      </c>
      <c r="M2088" s="621" t="s">
        <v>4879</v>
      </c>
      <c r="N2088" s="621" t="s">
        <v>4866</v>
      </c>
      <c r="O2088" s="621"/>
      <c r="P2088" s="621"/>
    </row>
    <row r="2089" spans="1:16">
      <c r="A2089" s="232" t="s">
        <v>686</v>
      </c>
      <c r="B2089" s="232" t="s">
        <v>1864</v>
      </c>
      <c r="C2089" s="622">
        <v>45077</v>
      </c>
      <c r="D2089" s="232" t="s">
        <v>4880</v>
      </c>
      <c r="E2089" s="231" t="s">
        <v>5076</v>
      </c>
      <c r="F2089" s="233">
        <v>45</v>
      </c>
      <c r="G2089" s="232" t="s">
        <v>4851</v>
      </c>
      <c r="H2089" s="233"/>
      <c r="I2089" s="233"/>
      <c r="J2089" s="623">
        <v>19127706.120000001</v>
      </c>
      <c r="K2089" s="624" t="s">
        <v>1130</v>
      </c>
      <c r="L2089" s="624" t="s">
        <v>4852</v>
      </c>
      <c r="M2089" s="624" t="s">
        <v>4879</v>
      </c>
      <c r="N2089" s="624" t="s">
        <v>4866</v>
      </c>
      <c r="O2089" s="624"/>
      <c r="P2089" s="624"/>
    </row>
    <row r="2090" spans="1:16">
      <c r="A2090" s="231" t="s">
        <v>686</v>
      </c>
      <c r="B2090" s="231" t="s">
        <v>1864</v>
      </c>
      <c r="C2090" s="618">
        <v>45077</v>
      </c>
      <c r="D2090" s="231" t="s">
        <v>4880</v>
      </c>
      <c r="E2090" s="231" t="s">
        <v>5076</v>
      </c>
      <c r="F2090" s="619">
        <v>50</v>
      </c>
      <c r="G2090" s="231" t="s">
        <v>4851</v>
      </c>
      <c r="H2090" s="619"/>
      <c r="I2090" s="619"/>
      <c r="J2090" s="620">
        <v>21253006.800000001</v>
      </c>
      <c r="K2090" s="621" t="s">
        <v>1130</v>
      </c>
      <c r="L2090" s="621" t="s">
        <v>4852</v>
      </c>
      <c r="M2090" s="621" t="s">
        <v>4879</v>
      </c>
      <c r="N2090" s="621" t="s">
        <v>4866</v>
      </c>
      <c r="O2090" s="621"/>
      <c r="P2090" s="621"/>
    </row>
    <row r="2091" spans="1:16">
      <c r="A2091" s="232" t="s">
        <v>686</v>
      </c>
      <c r="B2091" s="232" t="s">
        <v>1864</v>
      </c>
      <c r="C2091" s="622">
        <v>45077</v>
      </c>
      <c r="D2091" s="232" t="s">
        <v>4880</v>
      </c>
      <c r="E2091" s="231" t="s">
        <v>5076</v>
      </c>
      <c r="F2091" s="233">
        <v>55</v>
      </c>
      <c r="G2091" s="232" t="s">
        <v>4851</v>
      </c>
      <c r="H2091" s="233"/>
      <c r="I2091" s="233"/>
      <c r="J2091" s="623">
        <v>23378307.48</v>
      </c>
      <c r="K2091" s="624" t="s">
        <v>1130</v>
      </c>
      <c r="L2091" s="624" t="s">
        <v>4852</v>
      </c>
      <c r="M2091" s="624" t="s">
        <v>4879</v>
      </c>
      <c r="N2091" s="624" t="s">
        <v>4866</v>
      </c>
      <c r="O2091" s="624"/>
      <c r="P2091" s="624"/>
    </row>
    <row r="2092" spans="1:16">
      <c r="A2092" s="231" t="s">
        <v>686</v>
      </c>
      <c r="B2092" s="231" t="s">
        <v>1864</v>
      </c>
      <c r="C2092" s="618">
        <v>45077</v>
      </c>
      <c r="D2092" s="231" t="s">
        <v>4880</v>
      </c>
      <c r="E2092" s="231" t="s">
        <v>5076</v>
      </c>
      <c r="F2092" s="619">
        <v>55</v>
      </c>
      <c r="G2092" s="231" t="s">
        <v>4851</v>
      </c>
      <c r="H2092" s="619"/>
      <c r="I2092" s="619"/>
      <c r="J2092" s="620">
        <v>23378307.48</v>
      </c>
      <c r="K2092" s="621" t="s">
        <v>1130</v>
      </c>
      <c r="L2092" s="621" t="s">
        <v>4852</v>
      </c>
      <c r="M2092" s="621" t="s">
        <v>4879</v>
      </c>
      <c r="N2092" s="621" t="s">
        <v>4866</v>
      </c>
      <c r="O2092" s="621"/>
      <c r="P2092" s="621"/>
    </row>
    <row r="2093" spans="1:16">
      <c r="A2093" s="232" t="s">
        <v>686</v>
      </c>
      <c r="B2093" s="232" t="s">
        <v>1864</v>
      </c>
      <c r="C2093" s="622">
        <v>45077</v>
      </c>
      <c r="D2093" s="232" t="s">
        <v>4880</v>
      </c>
      <c r="E2093" s="231" t="s">
        <v>5076</v>
      </c>
      <c r="F2093" s="233">
        <v>55</v>
      </c>
      <c r="G2093" s="232" t="s">
        <v>4851</v>
      </c>
      <c r="H2093" s="233"/>
      <c r="I2093" s="233"/>
      <c r="J2093" s="623">
        <v>23378307.48</v>
      </c>
      <c r="K2093" s="624" t="s">
        <v>1130</v>
      </c>
      <c r="L2093" s="624" t="s">
        <v>4852</v>
      </c>
      <c r="M2093" s="624" t="s">
        <v>4879</v>
      </c>
      <c r="N2093" s="624" t="s">
        <v>4866</v>
      </c>
      <c r="O2093" s="624"/>
      <c r="P2093" s="624"/>
    </row>
    <row r="2094" spans="1:16">
      <c r="A2094" s="231" t="s">
        <v>686</v>
      </c>
      <c r="B2094" s="231" t="s">
        <v>1864</v>
      </c>
      <c r="C2094" s="618">
        <v>45077</v>
      </c>
      <c r="D2094" s="231" t="s">
        <v>4880</v>
      </c>
      <c r="E2094" s="231" t="s">
        <v>5076</v>
      </c>
      <c r="F2094" s="619">
        <v>55</v>
      </c>
      <c r="G2094" s="231" t="s">
        <v>4851</v>
      </c>
      <c r="H2094" s="619"/>
      <c r="I2094" s="619"/>
      <c r="J2094" s="620">
        <v>23378307.48</v>
      </c>
      <c r="K2094" s="621" t="s">
        <v>1130</v>
      </c>
      <c r="L2094" s="621" t="s">
        <v>4852</v>
      </c>
      <c r="M2094" s="621" t="s">
        <v>4879</v>
      </c>
      <c r="N2094" s="621" t="s">
        <v>4866</v>
      </c>
      <c r="O2094" s="621"/>
      <c r="P2094" s="621"/>
    </row>
    <row r="2095" spans="1:16">
      <c r="A2095" s="232" t="s">
        <v>686</v>
      </c>
      <c r="B2095" s="232" t="s">
        <v>1864</v>
      </c>
      <c r="C2095" s="622">
        <v>45077</v>
      </c>
      <c r="D2095" s="232" t="s">
        <v>4880</v>
      </c>
      <c r="E2095" s="231" t="s">
        <v>5076</v>
      </c>
      <c r="F2095" s="233">
        <v>55</v>
      </c>
      <c r="G2095" s="232" t="s">
        <v>4851</v>
      </c>
      <c r="H2095" s="233"/>
      <c r="I2095" s="233"/>
      <c r="J2095" s="623">
        <v>23378307.48</v>
      </c>
      <c r="K2095" s="624" t="s">
        <v>1130</v>
      </c>
      <c r="L2095" s="624" t="s">
        <v>4852</v>
      </c>
      <c r="M2095" s="624" t="s">
        <v>4879</v>
      </c>
      <c r="N2095" s="624" t="s">
        <v>4866</v>
      </c>
      <c r="O2095" s="624"/>
      <c r="P2095" s="624"/>
    </row>
    <row r="2096" spans="1:16">
      <c r="A2096" s="231" t="s">
        <v>686</v>
      </c>
      <c r="B2096" s="231" t="s">
        <v>1864</v>
      </c>
      <c r="C2096" s="618">
        <v>45077</v>
      </c>
      <c r="D2096" s="231" t="s">
        <v>4880</v>
      </c>
      <c r="E2096" s="231" t="s">
        <v>5076</v>
      </c>
      <c r="F2096" s="619">
        <v>55</v>
      </c>
      <c r="G2096" s="231" t="s">
        <v>4851</v>
      </c>
      <c r="H2096" s="619"/>
      <c r="I2096" s="619"/>
      <c r="J2096" s="620">
        <v>23378307.48</v>
      </c>
      <c r="K2096" s="621" t="s">
        <v>1130</v>
      </c>
      <c r="L2096" s="621" t="s">
        <v>4852</v>
      </c>
      <c r="M2096" s="621" t="s">
        <v>4879</v>
      </c>
      <c r="N2096" s="621" t="s">
        <v>4866</v>
      </c>
      <c r="O2096" s="621"/>
      <c r="P2096" s="621"/>
    </row>
    <row r="2097" spans="1:16">
      <c r="A2097" s="232" t="s">
        <v>686</v>
      </c>
      <c r="B2097" s="232" t="s">
        <v>1864</v>
      </c>
      <c r="C2097" s="622">
        <v>45077</v>
      </c>
      <c r="D2097" s="232" t="s">
        <v>4880</v>
      </c>
      <c r="E2097" s="231" t="s">
        <v>5076</v>
      </c>
      <c r="F2097" s="233">
        <v>55</v>
      </c>
      <c r="G2097" s="232" t="s">
        <v>4851</v>
      </c>
      <c r="H2097" s="233"/>
      <c r="I2097" s="233"/>
      <c r="J2097" s="623">
        <v>23378307.48</v>
      </c>
      <c r="K2097" s="624" t="s">
        <v>1130</v>
      </c>
      <c r="L2097" s="624" t="s">
        <v>4852</v>
      </c>
      <c r="M2097" s="624" t="s">
        <v>4879</v>
      </c>
      <c r="N2097" s="624" t="s">
        <v>4866</v>
      </c>
      <c r="O2097" s="624"/>
      <c r="P2097" s="624"/>
    </row>
    <row r="2098" spans="1:16">
      <c r="A2098" s="231" t="s">
        <v>686</v>
      </c>
      <c r="B2098" s="231" t="s">
        <v>1864</v>
      </c>
      <c r="C2098" s="618">
        <v>45077</v>
      </c>
      <c r="D2098" s="231" t="s">
        <v>4880</v>
      </c>
      <c r="E2098" s="231" t="s">
        <v>5076</v>
      </c>
      <c r="F2098" s="619">
        <v>50</v>
      </c>
      <c r="G2098" s="231" t="s">
        <v>4851</v>
      </c>
      <c r="H2098" s="619"/>
      <c r="I2098" s="619"/>
      <c r="J2098" s="620">
        <v>21253006.800000001</v>
      </c>
      <c r="K2098" s="621" t="s">
        <v>1130</v>
      </c>
      <c r="L2098" s="621" t="s">
        <v>4852</v>
      </c>
      <c r="M2098" s="621" t="s">
        <v>4879</v>
      </c>
      <c r="N2098" s="621" t="s">
        <v>4866</v>
      </c>
      <c r="O2098" s="621"/>
      <c r="P2098" s="621"/>
    </row>
    <row r="2099" spans="1:16">
      <c r="A2099" s="232" t="s">
        <v>686</v>
      </c>
      <c r="B2099" s="232" t="s">
        <v>1864</v>
      </c>
      <c r="C2099" s="622">
        <v>45077</v>
      </c>
      <c r="D2099" s="232" t="s">
        <v>4880</v>
      </c>
      <c r="E2099" s="231" t="s">
        <v>5076</v>
      </c>
      <c r="F2099" s="233">
        <v>55</v>
      </c>
      <c r="G2099" s="232" t="s">
        <v>4851</v>
      </c>
      <c r="H2099" s="233"/>
      <c r="I2099" s="233"/>
      <c r="J2099" s="623">
        <v>23378307.48</v>
      </c>
      <c r="K2099" s="624" t="s">
        <v>1130</v>
      </c>
      <c r="L2099" s="624" t="s">
        <v>4852</v>
      </c>
      <c r="M2099" s="624" t="s">
        <v>4879</v>
      </c>
      <c r="N2099" s="624" t="s">
        <v>4866</v>
      </c>
      <c r="O2099" s="624"/>
      <c r="P2099" s="624"/>
    </row>
    <row r="2100" spans="1:16">
      <c r="A2100" s="231" t="s">
        <v>686</v>
      </c>
      <c r="B2100" s="231" t="s">
        <v>1864</v>
      </c>
      <c r="C2100" s="618">
        <v>45077</v>
      </c>
      <c r="D2100" s="231" t="s">
        <v>4880</v>
      </c>
      <c r="E2100" s="231" t="s">
        <v>5076</v>
      </c>
      <c r="F2100" s="619">
        <v>50</v>
      </c>
      <c r="G2100" s="231" t="s">
        <v>4851</v>
      </c>
      <c r="H2100" s="619"/>
      <c r="I2100" s="619"/>
      <c r="J2100" s="620">
        <v>21253006.800000001</v>
      </c>
      <c r="K2100" s="621" t="s">
        <v>1130</v>
      </c>
      <c r="L2100" s="621" t="s">
        <v>4852</v>
      </c>
      <c r="M2100" s="621" t="s">
        <v>4879</v>
      </c>
      <c r="N2100" s="621" t="s">
        <v>4866</v>
      </c>
      <c r="O2100" s="621"/>
      <c r="P2100" s="621"/>
    </row>
    <row r="2101" spans="1:16">
      <c r="A2101" s="232" t="s">
        <v>686</v>
      </c>
      <c r="B2101" s="232" t="s">
        <v>1864</v>
      </c>
      <c r="C2101" s="622">
        <v>45077</v>
      </c>
      <c r="D2101" s="232" t="s">
        <v>4880</v>
      </c>
      <c r="E2101" s="231" t="s">
        <v>5076</v>
      </c>
      <c r="F2101" s="233">
        <v>55</v>
      </c>
      <c r="G2101" s="232" t="s">
        <v>4851</v>
      </c>
      <c r="H2101" s="233"/>
      <c r="I2101" s="233"/>
      <c r="J2101" s="623">
        <v>23378307.48</v>
      </c>
      <c r="K2101" s="624" t="s">
        <v>1130</v>
      </c>
      <c r="L2101" s="624" t="s">
        <v>4852</v>
      </c>
      <c r="M2101" s="624" t="s">
        <v>4879</v>
      </c>
      <c r="N2101" s="624" t="s">
        <v>4866</v>
      </c>
      <c r="O2101" s="624"/>
      <c r="P2101" s="624"/>
    </row>
    <row r="2102" spans="1:16">
      <c r="A2102" s="231" t="s">
        <v>686</v>
      </c>
      <c r="B2102" s="231" t="s">
        <v>1864</v>
      </c>
      <c r="C2102" s="618">
        <v>45077</v>
      </c>
      <c r="D2102" s="231" t="s">
        <v>4880</v>
      </c>
      <c r="E2102" s="231" t="s">
        <v>5076</v>
      </c>
      <c r="F2102" s="619">
        <v>55</v>
      </c>
      <c r="G2102" s="231" t="s">
        <v>4851</v>
      </c>
      <c r="H2102" s="619"/>
      <c r="I2102" s="619"/>
      <c r="J2102" s="620">
        <v>23378307.48</v>
      </c>
      <c r="K2102" s="621" t="s">
        <v>1130</v>
      </c>
      <c r="L2102" s="621" t="s">
        <v>4852</v>
      </c>
      <c r="M2102" s="621" t="s">
        <v>4879</v>
      </c>
      <c r="N2102" s="621" t="s">
        <v>4866</v>
      </c>
      <c r="O2102" s="621"/>
      <c r="P2102" s="621"/>
    </row>
    <row r="2103" spans="1:16">
      <c r="A2103" s="232" t="s">
        <v>686</v>
      </c>
      <c r="B2103" s="232" t="s">
        <v>1864</v>
      </c>
      <c r="C2103" s="622">
        <v>45077</v>
      </c>
      <c r="D2103" s="232" t="s">
        <v>4880</v>
      </c>
      <c r="E2103" s="231" t="s">
        <v>5076</v>
      </c>
      <c r="F2103" s="233">
        <v>55</v>
      </c>
      <c r="G2103" s="232" t="s">
        <v>4851</v>
      </c>
      <c r="H2103" s="233"/>
      <c r="I2103" s="233"/>
      <c r="J2103" s="623">
        <v>23378307.48</v>
      </c>
      <c r="K2103" s="624" t="s">
        <v>1130</v>
      </c>
      <c r="L2103" s="624" t="s">
        <v>4852</v>
      </c>
      <c r="M2103" s="624" t="s">
        <v>4879</v>
      </c>
      <c r="N2103" s="624" t="s">
        <v>4866</v>
      </c>
      <c r="O2103" s="624"/>
      <c r="P2103" s="624"/>
    </row>
    <row r="2104" spans="1:16">
      <c r="A2104" s="231" t="s">
        <v>686</v>
      </c>
      <c r="B2104" s="231" t="s">
        <v>1864</v>
      </c>
      <c r="C2104" s="618">
        <v>45077</v>
      </c>
      <c r="D2104" s="231" t="s">
        <v>4862</v>
      </c>
      <c r="E2104" s="231"/>
      <c r="F2104" s="619">
        <v>35</v>
      </c>
      <c r="G2104" s="231" t="s">
        <v>4851</v>
      </c>
      <c r="H2104" s="619"/>
      <c r="I2104" s="619"/>
      <c r="J2104" s="620">
        <v>16275000</v>
      </c>
      <c r="K2104" s="621" t="s">
        <v>1130</v>
      </c>
      <c r="L2104" s="621" t="s">
        <v>4852</v>
      </c>
      <c r="M2104" s="621" t="s">
        <v>4863</v>
      </c>
      <c r="N2104" s="621" t="s">
        <v>4754</v>
      </c>
      <c r="O2104" s="621"/>
      <c r="P2104" s="621"/>
    </row>
    <row r="2105" spans="1:16">
      <c r="A2105" s="232" t="s">
        <v>686</v>
      </c>
      <c r="B2105" s="232" t="s">
        <v>1864</v>
      </c>
      <c r="C2105" s="622">
        <v>45077</v>
      </c>
      <c r="D2105" s="232" t="s">
        <v>4862</v>
      </c>
      <c r="E2105" s="232"/>
      <c r="F2105" s="233">
        <v>52</v>
      </c>
      <c r="G2105" s="232" t="s">
        <v>4851</v>
      </c>
      <c r="H2105" s="233"/>
      <c r="I2105" s="233"/>
      <c r="J2105" s="623">
        <v>24180000</v>
      </c>
      <c r="K2105" s="624" t="s">
        <v>1130</v>
      </c>
      <c r="L2105" s="624" t="s">
        <v>4852</v>
      </c>
      <c r="M2105" s="624" t="s">
        <v>4863</v>
      </c>
      <c r="N2105" s="624" t="s">
        <v>4754</v>
      </c>
      <c r="O2105" s="624"/>
      <c r="P2105" s="624"/>
    </row>
    <row r="2106" spans="1:16">
      <c r="A2106" s="231" t="s">
        <v>686</v>
      </c>
      <c r="B2106" s="231" t="s">
        <v>1864</v>
      </c>
      <c r="C2106" s="618">
        <v>45077</v>
      </c>
      <c r="D2106" s="231" t="s">
        <v>4862</v>
      </c>
      <c r="E2106" s="231"/>
      <c r="F2106" s="619">
        <v>5</v>
      </c>
      <c r="G2106" s="231" t="s">
        <v>4851</v>
      </c>
      <c r="H2106" s="619"/>
      <c r="I2106" s="619"/>
      <c r="J2106" s="620">
        <v>2325000</v>
      </c>
      <c r="K2106" s="621" t="s">
        <v>1130</v>
      </c>
      <c r="L2106" s="621" t="s">
        <v>4852</v>
      </c>
      <c r="M2106" s="621" t="s">
        <v>4863</v>
      </c>
      <c r="N2106" s="621" t="s">
        <v>4754</v>
      </c>
      <c r="O2106" s="621"/>
      <c r="P2106" s="621"/>
    </row>
    <row r="2107" spans="1:16">
      <c r="A2107" s="232" t="s">
        <v>686</v>
      </c>
      <c r="B2107" s="232" t="s">
        <v>1864</v>
      </c>
      <c r="C2107" s="622">
        <v>45077</v>
      </c>
      <c r="D2107" s="232" t="s">
        <v>4880</v>
      </c>
      <c r="E2107" s="231" t="s">
        <v>5076</v>
      </c>
      <c r="F2107" s="233">
        <v>55</v>
      </c>
      <c r="G2107" s="232" t="s">
        <v>4851</v>
      </c>
      <c r="H2107" s="233"/>
      <c r="I2107" s="233"/>
      <c r="J2107" s="623">
        <v>23378307.48</v>
      </c>
      <c r="K2107" s="624" t="s">
        <v>1130</v>
      </c>
      <c r="L2107" s="624" t="s">
        <v>4852</v>
      </c>
      <c r="M2107" s="624" t="s">
        <v>4879</v>
      </c>
      <c r="N2107" s="624" t="s">
        <v>4866</v>
      </c>
      <c r="O2107" s="624"/>
      <c r="P2107" s="624"/>
    </row>
    <row r="2108" spans="1:16">
      <c r="A2108" s="231" t="s">
        <v>686</v>
      </c>
      <c r="B2108" s="231" t="s">
        <v>1864</v>
      </c>
      <c r="C2108" s="618">
        <v>45077</v>
      </c>
      <c r="D2108" s="231" t="s">
        <v>4880</v>
      </c>
      <c r="E2108" s="231" t="s">
        <v>5076</v>
      </c>
      <c r="F2108" s="619">
        <v>50</v>
      </c>
      <c r="G2108" s="231" t="s">
        <v>4851</v>
      </c>
      <c r="H2108" s="619"/>
      <c r="I2108" s="619"/>
      <c r="J2108" s="620">
        <v>21253006.800000001</v>
      </c>
      <c r="K2108" s="621" t="s">
        <v>1130</v>
      </c>
      <c r="L2108" s="621" t="s">
        <v>4852</v>
      </c>
      <c r="M2108" s="621" t="s">
        <v>4879</v>
      </c>
      <c r="N2108" s="621" t="s">
        <v>4866</v>
      </c>
      <c r="O2108" s="621"/>
      <c r="P2108" s="621"/>
    </row>
    <row r="2109" spans="1:16">
      <c r="A2109" s="232" t="s">
        <v>686</v>
      </c>
      <c r="B2109" s="232" t="s">
        <v>1864</v>
      </c>
      <c r="C2109" s="622">
        <v>45077</v>
      </c>
      <c r="D2109" s="232" t="s">
        <v>4880</v>
      </c>
      <c r="E2109" s="231" t="s">
        <v>5076</v>
      </c>
      <c r="F2109" s="233">
        <v>55</v>
      </c>
      <c r="G2109" s="232" t="s">
        <v>4851</v>
      </c>
      <c r="H2109" s="233"/>
      <c r="I2109" s="233"/>
      <c r="J2109" s="623">
        <v>23378307.48</v>
      </c>
      <c r="K2109" s="624" t="s">
        <v>1130</v>
      </c>
      <c r="L2109" s="624" t="s">
        <v>4852</v>
      </c>
      <c r="M2109" s="624" t="s">
        <v>4879</v>
      </c>
      <c r="N2109" s="624" t="s">
        <v>4866</v>
      </c>
      <c r="O2109" s="624"/>
      <c r="P2109" s="624"/>
    </row>
    <row r="2110" spans="1:16">
      <c r="A2110" s="231" t="s">
        <v>686</v>
      </c>
      <c r="B2110" s="231" t="s">
        <v>1864</v>
      </c>
      <c r="C2110" s="618">
        <v>45077</v>
      </c>
      <c r="D2110" s="231" t="s">
        <v>4880</v>
      </c>
      <c r="E2110" s="231" t="s">
        <v>5076</v>
      </c>
      <c r="F2110" s="619">
        <v>50</v>
      </c>
      <c r="G2110" s="231" t="s">
        <v>4851</v>
      </c>
      <c r="H2110" s="619"/>
      <c r="I2110" s="619"/>
      <c r="J2110" s="620">
        <v>21253006.800000001</v>
      </c>
      <c r="K2110" s="621" t="s">
        <v>1130</v>
      </c>
      <c r="L2110" s="621" t="s">
        <v>4852</v>
      </c>
      <c r="M2110" s="621" t="s">
        <v>4879</v>
      </c>
      <c r="N2110" s="621" t="s">
        <v>4866</v>
      </c>
      <c r="O2110" s="621"/>
      <c r="P2110" s="621"/>
    </row>
    <row r="2111" spans="1:16">
      <c r="A2111" s="232" t="s">
        <v>686</v>
      </c>
      <c r="B2111" s="232" t="s">
        <v>1864</v>
      </c>
      <c r="C2111" s="622">
        <v>45077</v>
      </c>
      <c r="D2111" s="232" t="s">
        <v>4862</v>
      </c>
      <c r="E2111" s="232"/>
      <c r="F2111" s="233">
        <v>5</v>
      </c>
      <c r="G2111" s="232" t="s">
        <v>4851</v>
      </c>
      <c r="H2111" s="233"/>
      <c r="I2111" s="233"/>
      <c r="J2111" s="623">
        <v>2325000</v>
      </c>
      <c r="K2111" s="624" t="s">
        <v>1130</v>
      </c>
      <c r="L2111" s="624" t="s">
        <v>4852</v>
      </c>
      <c r="M2111" s="624" t="s">
        <v>4863</v>
      </c>
      <c r="N2111" s="624" t="s">
        <v>4754</v>
      </c>
      <c r="O2111" s="624"/>
      <c r="P2111" s="624"/>
    </row>
    <row r="2112" spans="1:16">
      <c r="A2112" s="231" t="s">
        <v>686</v>
      </c>
      <c r="B2112" s="231" t="s">
        <v>1864</v>
      </c>
      <c r="C2112" s="618">
        <v>45077</v>
      </c>
      <c r="D2112" s="231" t="s">
        <v>4862</v>
      </c>
      <c r="E2112" s="231"/>
      <c r="F2112" s="619">
        <v>50</v>
      </c>
      <c r="G2112" s="231" t="s">
        <v>4851</v>
      </c>
      <c r="H2112" s="619"/>
      <c r="I2112" s="619"/>
      <c r="J2112" s="620">
        <v>23250000</v>
      </c>
      <c r="K2112" s="621" t="s">
        <v>1130</v>
      </c>
      <c r="L2112" s="621" t="s">
        <v>4852</v>
      </c>
      <c r="M2112" s="621" t="s">
        <v>4863</v>
      </c>
      <c r="N2112" s="621" t="s">
        <v>4754</v>
      </c>
      <c r="O2112" s="621"/>
      <c r="P2112" s="621"/>
    </row>
    <row r="2113" spans="1:16">
      <c r="A2113" s="232" t="s">
        <v>686</v>
      </c>
      <c r="B2113" s="232" t="s">
        <v>1864</v>
      </c>
      <c r="C2113" s="622">
        <v>45077</v>
      </c>
      <c r="D2113" s="232" t="s">
        <v>4862</v>
      </c>
      <c r="E2113" s="232"/>
      <c r="F2113" s="233">
        <v>50</v>
      </c>
      <c r="G2113" s="232" t="s">
        <v>4851</v>
      </c>
      <c r="H2113" s="233"/>
      <c r="I2113" s="233"/>
      <c r="J2113" s="623">
        <v>23250000</v>
      </c>
      <c r="K2113" s="624" t="s">
        <v>1130</v>
      </c>
      <c r="L2113" s="624" t="s">
        <v>4852</v>
      </c>
      <c r="M2113" s="624" t="s">
        <v>4863</v>
      </c>
      <c r="N2113" s="624" t="s">
        <v>4754</v>
      </c>
      <c r="O2113" s="624"/>
      <c r="P2113" s="624"/>
    </row>
    <row r="2114" spans="1:16">
      <c r="A2114" s="231" t="s">
        <v>686</v>
      </c>
      <c r="B2114" s="231" t="s">
        <v>1864</v>
      </c>
      <c r="C2114" s="618">
        <v>45077</v>
      </c>
      <c r="D2114" s="231" t="s">
        <v>4862</v>
      </c>
      <c r="E2114" s="231"/>
      <c r="F2114" s="619">
        <v>55</v>
      </c>
      <c r="G2114" s="231" t="s">
        <v>4851</v>
      </c>
      <c r="H2114" s="619"/>
      <c r="I2114" s="619"/>
      <c r="J2114" s="620">
        <v>25575000</v>
      </c>
      <c r="K2114" s="621" t="s">
        <v>1130</v>
      </c>
      <c r="L2114" s="621" t="s">
        <v>4852</v>
      </c>
      <c r="M2114" s="621" t="s">
        <v>4863</v>
      </c>
      <c r="N2114" s="621" t="s">
        <v>4754</v>
      </c>
      <c r="O2114" s="621"/>
      <c r="P2114" s="621"/>
    </row>
    <row r="2115" spans="1:16">
      <c r="A2115" s="232" t="s">
        <v>686</v>
      </c>
      <c r="B2115" s="232" t="s">
        <v>1864</v>
      </c>
      <c r="C2115" s="622">
        <v>45077</v>
      </c>
      <c r="D2115" s="232" t="s">
        <v>4862</v>
      </c>
      <c r="E2115" s="232"/>
      <c r="F2115" s="233">
        <v>55</v>
      </c>
      <c r="G2115" s="232" t="s">
        <v>4851</v>
      </c>
      <c r="H2115" s="233"/>
      <c r="I2115" s="233"/>
      <c r="J2115" s="623">
        <v>25575000</v>
      </c>
      <c r="K2115" s="624" t="s">
        <v>1130</v>
      </c>
      <c r="L2115" s="624" t="s">
        <v>4852</v>
      </c>
      <c r="M2115" s="624" t="s">
        <v>4863</v>
      </c>
      <c r="N2115" s="624" t="s">
        <v>4754</v>
      </c>
      <c r="O2115" s="624"/>
      <c r="P2115" s="624"/>
    </row>
    <row r="2116" spans="1:16">
      <c r="A2116" s="231" t="s">
        <v>686</v>
      </c>
      <c r="B2116" s="231" t="s">
        <v>1864</v>
      </c>
      <c r="C2116" s="618">
        <v>45077</v>
      </c>
      <c r="D2116" s="231" t="s">
        <v>4862</v>
      </c>
      <c r="E2116" s="231"/>
      <c r="F2116" s="619">
        <v>5</v>
      </c>
      <c r="G2116" s="231" t="s">
        <v>4851</v>
      </c>
      <c r="H2116" s="619"/>
      <c r="I2116" s="619"/>
      <c r="J2116" s="620">
        <v>2325000</v>
      </c>
      <c r="K2116" s="621" t="s">
        <v>1130</v>
      </c>
      <c r="L2116" s="621" t="s">
        <v>4852</v>
      </c>
      <c r="M2116" s="621" t="s">
        <v>4863</v>
      </c>
      <c r="N2116" s="621" t="s">
        <v>4754</v>
      </c>
      <c r="O2116" s="621"/>
      <c r="P2116" s="621"/>
    </row>
    <row r="2117" spans="1:16">
      <c r="A2117" s="232" t="s">
        <v>686</v>
      </c>
      <c r="B2117" s="232" t="s">
        <v>1864</v>
      </c>
      <c r="C2117" s="622">
        <v>45077</v>
      </c>
      <c r="D2117" s="232" t="s">
        <v>4880</v>
      </c>
      <c r="E2117" s="231" t="s">
        <v>5076</v>
      </c>
      <c r="F2117" s="233">
        <v>50</v>
      </c>
      <c r="G2117" s="232" t="s">
        <v>4851</v>
      </c>
      <c r="H2117" s="233"/>
      <c r="I2117" s="233"/>
      <c r="J2117" s="623">
        <v>21253006.800000001</v>
      </c>
      <c r="K2117" s="624" t="s">
        <v>1130</v>
      </c>
      <c r="L2117" s="624" t="s">
        <v>4852</v>
      </c>
      <c r="M2117" s="624" t="s">
        <v>4879</v>
      </c>
      <c r="N2117" s="624" t="s">
        <v>4866</v>
      </c>
      <c r="O2117" s="624"/>
      <c r="P2117" s="624"/>
    </row>
    <row r="2118" spans="1:16">
      <c r="A2118" s="231" t="s">
        <v>686</v>
      </c>
      <c r="B2118" s="231" t="s">
        <v>1864</v>
      </c>
      <c r="C2118" s="618">
        <v>45077</v>
      </c>
      <c r="D2118" s="231" t="s">
        <v>4880</v>
      </c>
      <c r="E2118" s="231" t="s">
        <v>5076</v>
      </c>
      <c r="F2118" s="619">
        <v>45</v>
      </c>
      <c r="G2118" s="231" t="s">
        <v>4851</v>
      </c>
      <c r="H2118" s="619"/>
      <c r="I2118" s="619"/>
      <c r="J2118" s="620">
        <v>19127706.120000001</v>
      </c>
      <c r="K2118" s="621" t="s">
        <v>1130</v>
      </c>
      <c r="L2118" s="621" t="s">
        <v>4852</v>
      </c>
      <c r="M2118" s="621" t="s">
        <v>4879</v>
      </c>
      <c r="N2118" s="621" t="s">
        <v>4866</v>
      </c>
      <c r="O2118" s="621"/>
      <c r="P2118" s="621"/>
    </row>
    <row r="2119" spans="1:16">
      <c r="A2119" s="232" t="s">
        <v>686</v>
      </c>
      <c r="B2119" s="232" t="s">
        <v>1864</v>
      </c>
      <c r="C2119" s="622">
        <v>45077</v>
      </c>
      <c r="D2119" s="232" t="s">
        <v>4880</v>
      </c>
      <c r="E2119" s="231" t="s">
        <v>5076</v>
      </c>
      <c r="F2119" s="233">
        <v>50</v>
      </c>
      <c r="G2119" s="232" t="s">
        <v>4851</v>
      </c>
      <c r="H2119" s="233"/>
      <c r="I2119" s="233"/>
      <c r="J2119" s="623">
        <v>21253006.800000001</v>
      </c>
      <c r="K2119" s="624" t="s">
        <v>1130</v>
      </c>
      <c r="L2119" s="624" t="s">
        <v>4852</v>
      </c>
      <c r="M2119" s="624" t="s">
        <v>4879</v>
      </c>
      <c r="N2119" s="624" t="s">
        <v>4866</v>
      </c>
      <c r="O2119" s="624"/>
      <c r="P2119" s="624"/>
    </row>
    <row r="2120" spans="1:16">
      <c r="A2120" s="231" t="s">
        <v>686</v>
      </c>
      <c r="B2120" s="231" t="s">
        <v>1864</v>
      </c>
      <c r="C2120" s="618">
        <v>45077</v>
      </c>
      <c r="D2120" s="231" t="s">
        <v>4880</v>
      </c>
      <c r="E2120" s="231" t="s">
        <v>5076</v>
      </c>
      <c r="F2120" s="619">
        <v>50</v>
      </c>
      <c r="G2120" s="231" t="s">
        <v>4851</v>
      </c>
      <c r="H2120" s="619"/>
      <c r="I2120" s="619"/>
      <c r="J2120" s="620">
        <v>21253006.800000001</v>
      </c>
      <c r="K2120" s="621" t="s">
        <v>1130</v>
      </c>
      <c r="L2120" s="621" t="s">
        <v>4852</v>
      </c>
      <c r="M2120" s="621" t="s">
        <v>4879</v>
      </c>
      <c r="N2120" s="621" t="s">
        <v>4866</v>
      </c>
      <c r="O2120" s="621"/>
      <c r="P2120" s="621"/>
    </row>
    <row r="2121" spans="1:16">
      <c r="A2121" s="232" t="s">
        <v>686</v>
      </c>
      <c r="B2121" s="232" t="s">
        <v>1864</v>
      </c>
      <c r="C2121" s="622">
        <v>45077</v>
      </c>
      <c r="D2121" s="232" t="s">
        <v>4880</v>
      </c>
      <c r="E2121" s="231" t="s">
        <v>5076</v>
      </c>
      <c r="F2121" s="233">
        <v>45</v>
      </c>
      <c r="G2121" s="232" t="s">
        <v>4851</v>
      </c>
      <c r="H2121" s="233"/>
      <c r="I2121" s="233"/>
      <c r="J2121" s="623">
        <v>19127706.120000001</v>
      </c>
      <c r="K2121" s="624" t="s">
        <v>1130</v>
      </c>
      <c r="L2121" s="624" t="s">
        <v>4852</v>
      </c>
      <c r="M2121" s="624" t="s">
        <v>4879</v>
      </c>
      <c r="N2121" s="624" t="s">
        <v>4866</v>
      </c>
      <c r="O2121" s="624"/>
      <c r="P2121" s="624"/>
    </row>
    <row r="2122" spans="1:16">
      <c r="A2122" s="231" t="s">
        <v>686</v>
      </c>
      <c r="B2122" s="231" t="s">
        <v>1864</v>
      </c>
      <c r="C2122" s="618">
        <v>45077</v>
      </c>
      <c r="D2122" s="231" t="s">
        <v>4880</v>
      </c>
      <c r="E2122" s="231" t="s">
        <v>5076</v>
      </c>
      <c r="F2122" s="619">
        <v>55</v>
      </c>
      <c r="G2122" s="231" t="s">
        <v>4851</v>
      </c>
      <c r="H2122" s="619"/>
      <c r="I2122" s="619"/>
      <c r="J2122" s="620">
        <v>23378307.48</v>
      </c>
      <c r="K2122" s="621" t="s">
        <v>1130</v>
      </c>
      <c r="L2122" s="621" t="s">
        <v>4852</v>
      </c>
      <c r="M2122" s="621" t="s">
        <v>4879</v>
      </c>
      <c r="N2122" s="621" t="s">
        <v>4866</v>
      </c>
      <c r="O2122" s="621"/>
      <c r="P2122" s="621"/>
    </row>
    <row r="2123" spans="1:16">
      <c r="A2123" s="232" t="s">
        <v>686</v>
      </c>
      <c r="B2123" s="232" t="s">
        <v>1864</v>
      </c>
      <c r="C2123" s="622">
        <v>45077</v>
      </c>
      <c r="D2123" s="232" t="s">
        <v>4862</v>
      </c>
      <c r="E2123" s="232"/>
      <c r="F2123" s="233">
        <v>5</v>
      </c>
      <c r="G2123" s="232" t="s">
        <v>4851</v>
      </c>
      <c r="H2123" s="233"/>
      <c r="I2123" s="233"/>
      <c r="J2123" s="623">
        <v>2325000</v>
      </c>
      <c r="K2123" s="624" t="s">
        <v>1130</v>
      </c>
      <c r="L2123" s="624" t="s">
        <v>4852</v>
      </c>
      <c r="M2123" s="624" t="s">
        <v>4863</v>
      </c>
      <c r="N2123" s="624" t="s">
        <v>4754</v>
      </c>
      <c r="O2123" s="624"/>
      <c r="P2123" s="624"/>
    </row>
    <row r="2124" spans="1:16">
      <c r="A2124" s="231" t="s">
        <v>686</v>
      </c>
      <c r="B2124" s="231" t="s">
        <v>1864</v>
      </c>
      <c r="C2124" s="618">
        <v>45077</v>
      </c>
      <c r="D2124" s="231" t="s">
        <v>4870</v>
      </c>
      <c r="E2124" s="231"/>
      <c r="F2124" s="619">
        <v>16</v>
      </c>
      <c r="G2124" s="231" t="s">
        <v>4851</v>
      </c>
      <c r="H2124" s="619"/>
      <c r="I2124" s="619"/>
      <c r="J2124" s="620">
        <v>6880000</v>
      </c>
      <c r="K2124" s="621" t="s">
        <v>1130</v>
      </c>
      <c r="L2124" s="621" t="s">
        <v>4852</v>
      </c>
      <c r="M2124" s="621" t="s">
        <v>4871</v>
      </c>
      <c r="N2124" s="621" t="s">
        <v>4754</v>
      </c>
      <c r="O2124" s="621"/>
      <c r="P2124" s="621"/>
    </row>
    <row r="2125" spans="1:16">
      <c r="A2125" s="232" t="s">
        <v>686</v>
      </c>
      <c r="B2125" s="232" t="s">
        <v>1864</v>
      </c>
      <c r="C2125" s="622">
        <v>45077</v>
      </c>
      <c r="D2125" s="232" t="s">
        <v>4870</v>
      </c>
      <c r="E2125" s="232"/>
      <c r="F2125" s="233">
        <v>41</v>
      </c>
      <c r="G2125" s="232" t="s">
        <v>4851</v>
      </c>
      <c r="H2125" s="233"/>
      <c r="I2125" s="233"/>
      <c r="J2125" s="623">
        <v>17630000</v>
      </c>
      <c r="K2125" s="624" t="s">
        <v>1130</v>
      </c>
      <c r="L2125" s="624" t="s">
        <v>4852</v>
      </c>
      <c r="M2125" s="624" t="s">
        <v>4871</v>
      </c>
      <c r="N2125" s="624" t="s">
        <v>4754</v>
      </c>
      <c r="O2125" s="624"/>
      <c r="P2125" s="624"/>
    </row>
    <row r="2126" spans="1:16">
      <c r="A2126" s="231" t="s">
        <v>686</v>
      </c>
      <c r="B2126" s="231" t="s">
        <v>1864</v>
      </c>
      <c r="C2126" s="618">
        <v>45077</v>
      </c>
      <c r="D2126" s="231" t="s">
        <v>4870</v>
      </c>
      <c r="E2126" s="231"/>
      <c r="F2126" s="619">
        <v>43</v>
      </c>
      <c r="G2126" s="231" t="s">
        <v>4851</v>
      </c>
      <c r="H2126" s="619"/>
      <c r="I2126" s="619"/>
      <c r="J2126" s="620">
        <v>18490000</v>
      </c>
      <c r="K2126" s="621" t="s">
        <v>1130</v>
      </c>
      <c r="L2126" s="621" t="s">
        <v>4852</v>
      </c>
      <c r="M2126" s="621" t="s">
        <v>4871</v>
      </c>
      <c r="N2126" s="621" t="s">
        <v>4754</v>
      </c>
      <c r="O2126" s="621"/>
      <c r="P2126" s="621"/>
    </row>
    <row r="2127" spans="1:16">
      <c r="A2127" s="232" t="s">
        <v>686</v>
      </c>
      <c r="B2127" s="232" t="s">
        <v>1864</v>
      </c>
      <c r="C2127" s="622">
        <v>45077</v>
      </c>
      <c r="D2127" s="232" t="s">
        <v>4870</v>
      </c>
      <c r="E2127" s="232"/>
      <c r="F2127" s="233">
        <v>41</v>
      </c>
      <c r="G2127" s="232" t="s">
        <v>4851</v>
      </c>
      <c r="H2127" s="233"/>
      <c r="I2127" s="233"/>
      <c r="J2127" s="623">
        <v>17630000</v>
      </c>
      <c r="K2127" s="624" t="s">
        <v>1130</v>
      </c>
      <c r="L2127" s="624" t="s">
        <v>4852</v>
      </c>
      <c r="M2127" s="624" t="s">
        <v>4871</v>
      </c>
      <c r="N2127" s="624" t="s">
        <v>4754</v>
      </c>
      <c r="O2127" s="624"/>
      <c r="P2127" s="624"/>
    </row>
    <row r="2128" spans="1:16">
      <c r="A2128" s="231" t="s">
        <v>686</v>
      </c>
      <c r="B2128" s="231" t="s">
        <v>1864</v>
      </c>
      <c r="C2128" s="618">
        <v>45077</v>
      </c>
      <c r="D2128" s="231" t="s">
        <v>4870</v>
      </c>
      <c r="E2128" s="231"/>
      <c r="F2128" s="619">
        <v>41</v>
      </c>
      <c r="G2128" s="231" t="s">
        <v>4851</v>
      </c>
      <c r="H2128" s="619"/>
      <c r="I2128" s="619"/>
      <c r="J2128" s="620">
        <v>17630000</v>
      </c>
      <c r="K2128" s="621" t="s">
        <v>1130</v>
      </c>
      <c r="L2128" s="621" t="s">
        <v>4852</v>
      </c>
      <c r="M2128" s="621" t="s">
        <v>4871</v>
      </c>
      <c r="N2128" s="621" t="s">
        <v>4754</v>
      </c>
      <c r="O2128" s="621"/>
      <c r="P2128" s="621"/>
    </row>
    <row r="2129" spans="1:16">
      <c r="A2129" s="232" t="s">
        <v>686</v>
      </c>
      <c r="B2129" s="232" t="s">
        <v>1864</v>
      </c>
      <c r="C2129" s="622">
        <v>45077</v>
      </c>
      <c r="D2129" s="232" t="s">
        <v>4870</v>
      </c>
      <c r="E2129" s="232"/>
      <c r="F2129" s="233">
        <v>41</v>
      </c>
      <c r="G2129" s="232" t="s">
        <v>4851</v>
      </c>
      <c r="H2129" s="233"/>
      <c r="I2129" s="233"/>
      <c r="J2129" s="623">
        <v>17630000</v>
      </c>
      <c r="K2129" s="624" t="s">
        <v>1130</v>
      </c>
      <c r="L2129" s="624" t="s">
        <v>4852</v>
      </c>
      <c r="M2129" s="624" t="s">
        <v>4871</v>
      </c>
      <c r="N2129" s="624" t="s">
        <v>4754</v>
      </c>
      <c r="O2129" s="624"/>
      <c r="P2129" s="624"/>
    </row>
    <row r="2130" spans="1:16">
      <c r="A2130" s="231" t="s">
        <v>686</v>
      </c>
      <c r="B2130" s="231" t="s">
        <v>1864</v>
      </c>
      <c r="C2130" s="618">
        <v>45077</v>
      </c>
      <c r="D2130" s="231" t="s">
        <v>4870</v>
      </c>
      <c r="E2130" s="231"/>
      <c r="F2130" s="619">
        <v>43</v>
      </c>
      <c r="G2130" s="231" t="s">
        <v>4851</v>
      </c>
      <c r="H2130" s="619"/>
      <c r="I2130" s="619"/>
      <c r="J2130" s="620">
        <v>18490000</v>
      </c>
      <c r="K2130" s="621" t="s">
        <v>1130</v>
      </c>
      <c r="L2130" s="621" t="s">
        <v>4852</v>
      </c>
      <c r="M2130" s="621" t="s">
        <v>4871</v>
      </c>
      <c r="N2130" s="621" t="s">
        <v>4754</v>
      </c>
      <c r="O2130" s="621"/>
      <c r="P2130" s="621"/>
    </row>
    <row r="2131" spans="1:16">
      <c r="A2131" s="232" t="s">
        <v>686</v>
      </c>
      <c r="B2131" s="232" t="s">
        <v>1864</v>
      </c>
      <c r="C2131" s="622">
        <v>45077</v>
      </c>
      <c r="D2131" s="232" t="s">
        <v>4880</v>
      </c>
      <c r="E2131" s="231" t="s">
        <v>5076</v>
      </c>
      <c r="F2131" s="233">
        <v>45</v>
      </c>
      <c r="G2131" s="232" t="s">
        <v>4851</v>
      </c>
      <c r="H2131" s="233"/>
      <c r="I2131" s="233"/>
      <c r="J2131" s="623">
        <v>19127706.120000001</v>
      </c>
      <c r="K2131" s="624" t="s">
        <v>1130</v>
      </c>
      <c r="L2131" s="624" t="s">
        <v>4852</v>
      </c>
      <c r="M2131" s="624" t="s">
        <v>4879</v>
      </c>
      <c r="N2131" s="624" t="s">
        <v>4866</v>
      </c>
      <c r="O2131" s="624"/>
      <c r="P2131" s="624"/>
    </row>
    <row r="2132" spans="1:16">
      <c r="A2132" s="231" t="s">
        <v>686</v>
      </c>
      <c r="B2132" s="231" t="s">
        <v>1864</v>
      </c>
      <c r="C2132" s="618">
        <v>45077</v>
      </c>
      <c r="D2132" s="231" t="s">
        <v>4880</v>
      </c>
      <c r="E2132" s="231" t="s">
        <v>5076</v>
      </c>
      <c r="F2132" s="619">
        <v>55</v>
      </c>
      <c r="G2132" s="231" t="s">
        <v>4851</v>
      </c>
      <c r="H2132" s="619"/>
      <c r="I2132" s="619"/>
      <c r="J2132" s="620">
        <v>23378307.48</v>
      </c>
      <c r="K2132" s="621" t="s">
        <v>1130</v>
      </c>
      <c r="L2132" s="621" t="s">
        <v>4852</v>
      </c>
      <c r="M2132" s="621" t="s">
        <v>4879</v>
      </c>
      <c r="N2132" s="621" t="s">
        <v>4866</v>
      </c>
      <c r="O2132" s="621"/>
      <c r="P2132" s="621"/>
    </row>
    <row r="2133" spans="1:16">
      <c r="A2133" s="232" t="s">
        <v>686</v>
      </c>
      <c r="B2133" s="232" t="s">
        <v>1864</v>
      </c>
      <c r="C2133" s="622">
        <v>45077</v>
      </c>
      <c r="D2133" s="232" t="s">
        <v>4880</v>
      </c>
      <c r="E2133" s="231" t="s">
        <v>5076</v>
      </c>
      <c r="F2133" s="233">
        <v>45</v>
      </c>
      <c r="G2133" s="232" t="s">
        <v>4851</v>
      </c>
      <c r="H2133" s="233"/>
      <c r="I2133" s="233"/>
      <c r="J2133" s="623">
        <v>19127706.120000001</v>
      </c>
      <c r="K2133" s="624" t="s">
        <v>1130</v>
      </c>
      <c r="L2133" s="624" t="s">
        <v>4852</v>
      </c>
      <c r="M2133" s="624" t="s">
        <v>4879</v>
      </c>
      <c r="N2133" s="624" t="s">
        <v>4866</v>
      </c>
      <c r="O2133" s="624"/>
      <c r="P2133" s="624"/>
    </row>
    <row r="2134" spans="1:16">
      <c r="A2134" s="231" t="s">
        <v>686</v>
      </c>
      <c r="B2134" s="231" t="s">
        <v>1864</v>
      </c>
      <c r="C2134" s="618">
        <v>45077</v>
      </c>
      <c r="D2134" s="231" t="s">
        <v>4880</v>
      </c>
      <c r="E2134" s="231" t="s">
        <v>5076</v>
      </c>
      <c r="F2134" s="619">
        <v>55</v>
      </c>
      <c r="G2134" s="231" t="s">
        <v>4851</v>
      </c>
      <c r="H2134" s="619"/>
      <c r="I2134" s="619"/>
      <c r="J2134" s="620">
        <v>23378307.48</v>
      </c>
      <c r="K2134" s="621" t="s">
        <v>1130</v>
      </c>
      <c r="L2134" s="621" t="s">
        <v>4852</v>
      </c>
      <c r="M2134" s="621" t="s">
        <v>4879</v>
      </c>
      <c r="N2134" s="621" t="s">
        <v>4866</v>
      </c>
      <c r="O2134" s="621"/>
      <c r="P2134" s="621"/>
    </row>
    <row r="2135" spans="1:16">
      <c r="A2135" s="232" t="s">
        <v>686</v>
      </c>
      <c r="B2135" s="232" t="s">
        <v>1864</v>
      </c>
      <c r="C2135" s="622">
        <v>45077</v>
      </c>
      <c r="D2135" s="232" t="s">
        <v>4880</v>
      </c>
      <c r="E2135" s="231" t="s">
        <v>5076</v>
      </c>
      <c r="F2135" s="233">
        <v>55</v>
      </c>
      <c r="G2135" s="232" t="s">
        <v>4851</v>
      </c>
      <c r="H2135" s="233"/>
      <c r="I2135" s="233"/>
      <c r="J2135" s="623">
        <v>23378307.48</v>
      </c>
      <c r="K2135" s="624" t="s">
        <v>1130</v>
      </c>
      <c r="L2135" s="624" t="s">
        <v>4852</v>
      </c>
      <c r="M2135" s="624" t="s">
        <v>4879</v>
      </c>
      <c r="N2135" s="624" t="s">
        <v>4866</v>
      </c>
      <c r="O2135" s="624"/>
      <c r="P2135" s="624"/>
    </row>
    <row r="2136" spans="1:16">
      <c r="A2136" s="231" t="s">
        <v>686</v>
      </c>
      <c r="B2136" s="231" t="s">
        <v>1864</v>
      </c>
      <c r="C2136" s="618">
        <v>45077</v>
      </c>
      <c r="D2136" s="231" t="s">
        <v>4880</v>
      </c>
      <c r="E2136" s="231" t="s">
        <v>5076</v>
      </c>
      <c r="F2136" s="619">
        <v>50</v>
      </c>
      <c r="G2136" s="231" t="s">
        <v>4851</v>
      </c>
      <c r="H2136" s="619"/>
      <c r="I2136" s="619"/>
      <c r="J2136" s="620">
        <v>21253006.800000001</v>
      </c>
      <c r="K2136" s="621" t="s">
        <v>1130</v>
      </c>
      <c r="L2136" s="621" t="s">
        <v>4852</v>
      </c>
      <c r="M2136" s="621" t="s">
        <v>4879</v>
      </c>
      <c r="N2136" s="621" t="s">
        <v>4866</v>
      </c>
      <c r="O2136" s="621"/>
      <c r="P2136" s="621"/>
    </row>
    <row r="2137" spans="1:16">
      <c r="A2137" s="232" t="s">
        <v>686</v>
      </c>
      <c r="B2137" s="232" t="s">
        <v>1864</v>
      </c>
      <c r="C2137" s="622">
        <v>45077</v>
      </c>
      <c r="D2137" s="232" t="s">
        <v>4880</v>
      </c>
      <c r="E2137" s="231" t="s">
        <v>5076</v>
      </c>
      <c r="F2137" s="233">
        <v>44</v>
      </c>
      <c r="G2137" s="232" t="s">
        <v>4851</v>
      </c>
      <c r="H2137" s="233"/>
      <c r="I2137" s="233"/>
      <c r="J2137" s="623">
        <v>18702645.98</v>
      </c>
      <c r="K2137" s="624" t="s">
        <v>1130</v>
      </c>
      <c r="L2137" s="624" t="s">
        <v>4852</v>
      </c>
      <c r="M2137" s="624" t="s">
        <v>4879</v>
      </c>
      <c r="N2137" s="624" t="s">
        <v>4866</v>
      </c>
      <c r="O2137" s="624"/>
      <c r="P2137" s="624"/>
    </row>
    <row r="2138" spans="1:16">
      <c r="A2138" s="231" t="s">
        <v>686</v>
      </c>
      <c r="B2138" s="231" t="s">
        <v>1864</v>
      </c>
      <c r="C2138" s="618">
        <v>45077</v>
      </c>
      <c r="D2138" s="231" t="s">
        <v>4880</v>
      </c>
      <c r="E2138" s="231" t="s">
        <v>5076</v>
      </c>
      <c r="F2138" s="619">
        <v>55</v>
      </c>
      <c r="G2138" s="231" t="s">
        <v>4851</v>
      </c>
      <c r="H2138" s="619"/>
      <c r="I2138" s="619"/>
      <c r="J2138" s="620">
        <v>23378307.48</v>
      </c>
      <c r="K2138" s="621" t="s">
        <v>1130</v>
      </c>
      <c r="L2138" s="621" t="s">
        <v>4852</v>
      </c>
      <c r="M2138" s="621" t="s">
        <v>4879</v>
      </c>
      <c r="N2138" s="621" t="s">
        <v>4866</v>
      </c>
      <c r="O2138" s="621"/>
      <c r="P2138" s="621"/>
    </row>
    <row r="2139" spans="1:16">
      <c r="A2139" s="232" t="s">
        <v>686</v>
      </c>
      <c r="B2139" s="232" t="s">
        <v>1864</v>
      </c>
      <c r="C2139" s="622">
        <v>45077</v>
      </c>
      <c r="D2139" s="232" t="s">
        <v>4880</v>
      </c>
      <c r="E2139" s="231" t="s">
        <v>5076</v>
      </c>
      <c r="F2139" s="233">
        <v>45</v>
      </c>
      <c r="G2139" s="232" t="s">
        <v>4851</v>
      </c>
      <c r="H2139" s="233"/>
      <c r="I2139" s="233"/>
      <c r="J2139" s="623">
        <v>19127706.120000001</v>
      </c>
      <c r="K2139" s="624" t="s">
        <v>1130</v>
      </c>
      <c r="L2139" s="624" t="s">
        <v>4852</v>
      </c>
      <c r="M2139" s="624" t="s">
        <v>4879</v>
      </c>
      <c r="N2139" s="624" t="s">
        <v>4866</v>
      </c>
      <c r="O2139" s="624"/>
      <c r="P2139" s="624"/>
    </row>
    <row r="2140" spans="1:16">
      <c r="A2140" s="231" t="s">
        <v>686</v>
      </c>
      <c r="B2140" s="231" t="s">
        <v>1864</v>
      </c>
      <c r="C2140" s="618">
        <v>45077</v>
      </c>
      <c r="D2140" s="231" t="s">
        <v>4880</v>
      </c>
      <c r="E2140" s="231" t="s">
        <v>5076</v>
      </c>
      <c r="F2140" s="619">
        <v>45</v>
      </c>
      <c r="G2140" s="231" t="s">
        <v>4851</v>
      </c>
      <c r="H2140" s="619"/>
      <c r="I2140" s="619"/>
      <c r="J2140" s="620">
        <v>19127706.120000001</v>
      </c>
      <c r="K2140" s="621" t="s">
        <v>1130</v>
      </c>
      <c r="L2140" s="621" t="s">
        <v>4852</v>
      </c>
      <c r="M2140" s="621" t="s">
        <v>4879</v>
      </c>
      <c r="N2140" s="621" t="s">
        <v>4866</v>
      </c>
      <c r="O2140" s="621"/>
      <c r="P2140" s="621"/>
    </row>
    <row r="2141" spans="1:16">
      <c r="A2141" s="232" t="s">
        <v>686</v>
      </c>
      <c r="B2141" s="232" t="s">
        <v>1864</v>
      </c>
      <c r="C2141" s="622">
        <v>45077</v>
      </c>
      <c r="D2141" s="232" t="s">
        <v>4862</v>
      </c>
      <c r="E2141" s="232"/>
      <c r="F2141" s="233">
        <v>1</v>
      </c>
      <c r="G2141" s="232" t="s">
        <v>4851</v>
      </c>
      <c r="H2141" s="233"/>
      <c r="I2141" s="233"/>
      <c r="J2141" s="623">
        <v>465000</v>
      </c>
      <c r="K2141" s="624" t="s">
        <v>1130</v>
      </c>
      <c r="L2141" s="624" t="s">
        <v>4852</v>
      </c>
      <c r="M2141" s="624" t="s">
        <v>4863</v>
      </c>
      <c r="N2141" s="624" t="s">
        <v>4754</v>
      </c>
      <c r="O2141" s="624"/>
      <c r="P2141" s="624"/>
    </row>
    <row r="2142" spans="1:16">
      <c r="A2142" s="231" t="s">
        <v>686</v>
      </c>
      <c r="B2142" s="231" t="s">
        <v>1864</v>
      </c>
      <c r="C2142" s="618">
        <v>45077</v>
      </c>
      <c r="D2142" s="231" t="s">
        <v>4862</v>
      </c>
      <c r="E2142" s="231"/>
      <c r="F2142" s="619">
        <v>1</v>
      </c>
      <c r="G2142" s="231" t="s">
        <v>4851</v>
      </c>
      <c r="H2142" s="619"/>
      <c r="I2142" s="619"/>
      <c r="J2142" s="620">
        <v>465000</v>
      </c>
      <c r="K2142" s="621" t="s">
        <v>1130</v>
      </c>
      <c r="L2142" s="621" t="s">
        <v>4852</v>
      </c>
      <c r="M2142" s="621" t="s">
        <v>4863</v>
      </c>
      <c r="N2142" s="621" t="s">
        <v>4754</v>
      </c>
      <c r="O2142" s="621"/>
      <c r="P2142" s="621"/>
    </row>
    <row r="2143" spans="1:16">
      <c r="A2143" s="232" t="s">
        <v>686</v>
      </c>
      <c r="B2143" s="232" t="s">
        <v>1864</v>
      </c>
      <c r="C2143" s="622">
        <v>45077</v>
      </c>
      <c r="D2143" s="232" t="s">
        <v>4862</v>
      </c>
      <c r="E2143" s="232"/>
      <c r="F2143" s="233">
        <v>1</v>
      </c>
      <c r="G2143" s="232" t="s">
        <v>4851</v>
      </c>
      <c r="H2143" s="233"/>
      <c r="I2143" s="233"/>
      <c r="J2143" s="623">
        <v>465000</v>
      </c>
      <c r="K2143" s="624" t="s">
        <v>1130</v>
      </c>
      <c r="L2143" s="624" t="s">
        <v>4852</v>
      </c>
      <c r="M2143" s="624" t="s">
        <v>4863</v>
      </c>
      <c r="N2143" s="624" t="s">
        <v>4754</v>
      </c>
      <c r="O2143" s="624"/>
      <c r="P2143" s="624"/>
    </row>
    <row r="2144" spans="1:16">
      <c r="A2144" s="231" t="s">
        <v>686</v>
      </c>
      <c r="B2144" s="231" t="s">
        <v>1864</v>
      </c>
      <c r="C2144" s="618">
        <v>45077</v>
      </c>
      <c r="D2144" s="231" t="s">
        <v>4880</v>
      </c>
      <c r="E2144" s="231" t="s">
        <v>5076</v>
      </c>
      <c r="F2144" s="619">
        <v>45</v>
      </c>
      <c r="G2144" s="231" t="s">
        <v>4851</v>
      </c>
      <c r="H2144" s="619"/>
      <c r="I2144" s="619"/>
      <c r="J2144" s="620">
        <v>19127706.120000001</v>
      </c>
      <c r="K2144" s="621" t="s">
        <v>1130</v>
      </c>
      <c r="L2144" s="621" t="s">
        <v>4852</v>
      </c>
      <c r="M2144" s="621" t="s">
        <v>4879</v>
      </c>
      <c r="N2144" s="621" t="s">
        <v>4866</v>
      </c>
      <c r="O2144" s="621"/>
      <c r="P2144" s="621"/>
    </row>
    <row r="2145" spans="1:16">
      <c r="A2145" s="232" t="s">
        <v>686</v>
      </c>
      <c r="B2145" s="232" t="s">
        <v>1864</v>
      </c>
      <c r="C2145" s="622">
        <v>45077</v>
      </c>
      <c r="D2145" s="232" t="s">
        <v>4880</v>
      </c>
      <c r="E2145" s="231" t="s">
        <v>5076</v>
      </c>
      <c r="F2145" s="233">
        <v>44</v>
      </c>
      <c r="G2145" s="232" t="s">
        <v>4851</v>
      </c>
      <c r="H2145" s="233"/>
      <c r="I2145" s="233"/>
      <c r="J2145" s="623">
        <v>18702645.98</v>
      </c>
      <c r="K2145" s="624" t="s">
        <v>1130</v>
      </c>
      <c r="L2145" s="624" t="s">
        <v>4852</v>
      </c>
      <c r="M2145" s="624" t="s">
        <v>4879</v>
      </c>
      <c r="N2145" s="624" t="s">
        <v>4866</v>
      </c>
      <c r="O2145" s="624"/>
      <c r="P2145" s="624"/>
    </row>
    <row r="2146" spans="1:16">
      <c r="A2146" s="231" t="s">
        <v>686</v>
      </c>
      <c r="B2146" s="231" t="s">
        <v>1864</v>
      </c>
      <c r="C2146" s="618">
        <v>45077</v>
      </c>
      <c r="D2146" s="231" t="s">
        <v>4880</v>
      </c>
      <c r="E2146" s="231" t="s">
        <v>5076</v>
      </c>
      <c r="F2146" s="619">
        <v>10</v>
      </c>
      <c r="G2146" s="231" t="s">
        <v>4851</v>
      </c>
      <c r="H2146" s="619"/>
      <c r="I2146" s="619"/>
      <c r="J2146" s="620">
        <v>4250601.3600000003</v>
      </c>
      <c r="K2146" s="621" t="s">
        <v>1130</v>
      </c>
      <c r="L2146" s="621" t="s">
        <v>4852</v>
      </c>
      <c r="M2146" s="621" t="s">
        <v>4879</v>
      </c>
      <c r="N2146" s="621" t="s">
        <v>4866</v>
      </c>
      <c r="O2146" s="621"/>
      <c r="P2146" s="621"/>
    </row>
    <row r="2147" spans="1:16">
      <c r="A2147" s="232" t="s">
        <v>686</v>
      </c>
      <c r="B2147" s="232" t="s">
        <v>1864</v>
      </c>
      <c r="C2147" s="622">
        <v>45077</v>
      </c>
      <c r="D2147" s="232" t="s">
        <v>4880</v>
      </c>
      <c r="E2147" s="231" t="s">
        <v>5076</v>
      </c>
      <c r="F2147" s="233">
        <v>55</v>
      </c>
      <c r="G2147" s="232" t="s">
        <v>4851</v>
      </c>
      <c r="H2147" s="233"/>
      <c r="I2147" s="233"/>
      <c r="J2147" s="623">
        <v>23378307.48</v>
      </c>
      <c r="K2147" s="624" t="s">
        <v>1130</v>
      </c>
      <c r="L2147" s="624" t="s">
        <v>4852</v>
      </c>
      <c r="M2147" s="624" t="s">
        <v>4879</v>
      </c>
      <c r="N2147" s="624" t="s">
        <v>4866</v>
      </c>
      <c r="O2147" s="624"/>
      <c r="P2147" s="624"/>
    </row>
    <row r="2148" spans="1:16">
      <c r="A2148" s="231" t="s">
        <v>686</v>
      </c>
      <c r="B2148" s="231" t="s">
        <v>1864</v>
      </c>
      <c r="C2148" s="618">
        <v>45077</v>
      </c>
      <c r="D2148" s="231" t="s">
        <v>4880</v>
      </c>
      <c r="E2148" s="231" t="s">
        <v>5076</v>
      </c>
      <c r="F2148" s="619">
        <v>1</v>
      </c>
      <c r="G2148" s="231" t="s">
        <v>4851</v>
      </c>
      <c r="H2148" s="619"/>
      <c r="I2148" s="619"/>
      <c r="J2148" s="620">
        <v>425060.14</v>
      </c>
      <c r="K2148" s="621" t="s">
        <v>1130</v>
      </c>
      <c r="L2148" s="621" t="s">
        <v>4852</v>
      </c>
      <c r="M2148" s="621" t="s">
        <v>4879</v>
      </c>
      <c r="N2148" s="621" t="s">
        <v>4866</v>
      </c>
      <c r="O2148" s="621"/>
      <c r="P2148" s="621"/>
    </row>
    <row r="2149" spans="1:16">
      <c r="A2149" s="232" t="s">
        <v>686</v>
      </c>
      <c r="B2149" s="232" t="s">
        <v>1864</v>
      </c>
      <c r="C2149" s="622">
        <v>45077</v>
      </c>
      <c r="D2149" s="232" t="s">
        <v>4855</v>
      </c>
      <c r="E2149" s="232"/>
      <c r="F2149" s="233">
        <v>17289.613000000001</v>
      </c>
      <c r="G2149" s="232" t="s">
        <v>4851</v>
      </c>
      <c r="H2149" s="233"/>
      <c r="I2149" s="233">
        <v>16770924.609999999</v>
      </c>
      <c r="J2149" s="623">
        <v>10018212441.33</v>
      </c>
      <c r="K2149" s="624" t="s">
        <v>991</v>
      </c>
      <c r="L2149" s="624" t="s">
        <v>4852</v>
      </c>
      <c r="M2149" s="624" t="s">
        <v>4853</v>
      </c>
      <c r="N2149" s="624" t="s">
        <v>4854</v>
      </c>
      <c r="O2149" s="624"/>
      <c r="P2149" s="624"/>
    </row>
    <row r="2150" spans="1:16">
      <c r="A2150" s="231" t="s">
        <v>686</v>
      </c>
      <c r="B2150" s="231" t="s">
        <v>1864</v>
      </c>
      <c r="C2150" s="618">
        <v>45077</v>
      </c>
      <c r="D2150" s="231" t="s">
        <v>4855</v>
      </c>
      <c r="E2150" s="231"/>
      <c r="F2150" s="619">
        <v>10566.094999999999</v>
      </c>
      <c r="G2150" s="231" t="s">
        <v>4851</v>
      </c>
      <c r="H2150" s="619"/>
      <c r="I2150" s="619">
        <v>10633506.689999999</v>
      </c>
      <c r="J2150" s="620">
        <v>6351989022.3100004</v>
      </c>
      <c r="K2150" s="621" t="s">
        <v>991</v>
      </c>
      <c r="L2150" s="621" t="s">
        <v>4852</v>
      </c>
      <c r="M2150" s="621" t="s">
        <v>4856</v>
      </c>
      <c r="N2150" s="621" t="s">
        <v>4854</v>
      </c>
      <c r="O2150" s="621"/>
      <c r="P2150" s="621"/>
    </row>
    <row r="2151" spans="1:16">
      <c r="A2151" s="232" t="s">
        <v>686</v>
      </c>
      <c r="B2151" s="232" t="s">
        <v>1864</v>
      </c>
      <c r="C2151" s="622">
        <v>45077</v>
      </c>
      <c r="D2151" s="232" t="s">
        <v>4880</v>
      </c>
      <c r="E2151" s="231" t="s">
        <v>5076</v>
      </c>
      <c r="F2151" s="233"/>
      <c r="G2151" s="232" t="s">
        <v>4851</v>
      </c>
      <c r="H2151" s="233"/>
      <c r="I2151" s="233"/>
      <c r="J2151" s="623">
        <v>-122400592.26000001</v>
      </c>
      <c r="K2151" s="624" t="s">
        <v>1130</v>
      </c>
      <c r="L2151" s="624" t="s">
        <v>4852</v>
      </c>
      <c r="M2151" s="624" t="s">
        <v>4879</v>
      </c>
      <c r="N2151" s="624" t="s">
        <v>4866</v>
      </c>
      <c r="O2151" s="624"/>
      <c r="P2151" s="624"/>
    </row>
    <row r="2152" spans="1:16">
      <c r="A2152" s="231" t="s">
        <v>686</v>
      </c>
      <c r="B2152" s="231" t="s">
        <v>1864</v>
      </c>
      <c r="C2152" s="618">
        <v>45077</v>
      </c>
      <c r="D2152" s="231" t="s">
        <v>4850</v>
      </c>
      <c r="E2152" s="231"/>
      <c r="F2152" s="619"/>
      <c r="G2152" s="231" t="s">
        <v>4851</v>
      </c>
      <c r="H2152" s="619"/>
      <c r="I2152" s="619">
        <v>-150938.32</v>
      </c>
      <c r="J2152" s="620">
        <v>-90163911.079999998</v>
      </c>
      <c r="K2152" s="621" t="s">
        <v>991</v>
      </c>
      <c r="L2152" s="621" t="s">
        <v>4852</v>
      </c>
      <c r="M2152" s="621" t="s">
        <v>4853</v>
      </c>
      <c r="N2152" s="621" t="s">
        <v>4854</v>
      </c>
      <c r="O2152" s="621"/>
      <c r="P2152" s="621"/>
    </row>
    <row r="2153" spans="1:16">
      <c r="A2153" s="232" t="s">
        <v>686</v>
      </c>
      <c r="B2153" s="232" t="s">
        <v>1864</v>
      </c>
      <c r="C2153" s="622">
        <v>45107</v>
      </c>
      <c r="D2153" s="232" t="s">
        <v>4880</v>
      </c>
      <c r="E2153" s="231" t="s">
        <v>5076</v>
      </c>
      <c r="F2153" s="233">
        <v>44</v>
      </c>
      <c r="G2153" s="232" t="s">
        <v>4851</v>
      </c>
      <c r="H2153" s="233"/>
      <c r="I2153" s="233"/>
      <c r="J2153" s="623">
        <v>18702645.98</v>
      </c>
      <c r="K2153" s="624" t="s">
        <v>1130</v>
      </c>
      <c r="L2153" s="624" t="s">
        <v>4852</v>
      </c>
      <c r="M2153" s="624" t="s">
        <v>4879</v>
      </c>
      <c r="N2153" s="624" t="s">
        <v>4866</v>
      </c>
      <c r="O2153" s="624"/>
      <c r="P2153" s="624"/>
    </row>
    <row r="2154" spans="1:16">
      <c r="A2154" s="231" t="s">
        <v>686</v>
      </c>
      <c r="B2154" s="231" t="s">
        <v>1864</v>
      </c>
      <c r="C2154" s="618">
        <v>45107</v>
      </c>
      <c r="D2154" s="231" t="s">
        <v>4880</v>
      </c>
      <c r="E2154" s="231" t="s">
        <v>5076</v>
      </c>
      <c r="F2154" s="619">
        <v>1</v>
      </c>
      <c r="G2154" s="231" t="s">
        <v>4851</v>
      </c>
      <c r="H2154" s="619"/>
      <c r="I2154" s="619"/>
      <c r="J2154" s="620">
        <v>425060.14</v>
      </c>
      <c r="K2154" s="621" t="s">
        <v>1130</v>
      </c>
      <c r="L2154" s="621" t="s">
        <v>4852</v>
      </c>
      <c r="M2154" s="621" t="s">
        <v>4879</v>
      </c>
      <c r="N2154" s="621" t="s">
        <v>4866</v>
      </c>
      <c r="O2154" s="621"/>
      <c r="P2154" s="621"/>
    </row>
    <row r="2155" spans="1:16">
      <c r="A2155" s="232" t="s">
        <v>686</v>
      </c>
      <c r="B2155" s="232" t="s">
        <v>1864</v>
      </c>
      <c r="C2155" s="622">
        <v>45107</v>
      </c>
      <c r="D2155" s="232" t="s">
        <v>4880</v>
      </c>
      <c r="E2155" s="231" t="s">
        <v>5076</v>
      </c>
      <c r="F2155" s="233">
        <v>45</v>
      </c>
      <c r="G2155" s="232" t="s">
        <v>4851</v>
      </c>
      <c r="H2155" s="233"/>
      <c r="I2155" s="233"/>
      <c r="J2155" s="623">
        <v>19127706.120000001</v>
      </c>
      <c r="K2155" s="624" t="s">
        <v>1130</v>
      </c>
      <c r="L2155" s="624" t="s">
        <v>4852</v>
      </c>
      <c r="M2155" s="624" t="s">
        <v>4879</v>
      </c>
      <c r="N2155" s="624" t="s">
        <v>4866</v>
      </c>
      <c r="O2155" s="624"/>
      <c r="P2155" s="624"/>
    </row>
    <row r="2156" spans="1:16">
      <c r="A2156" s="231" t="s">
        <v>686</v>
      </c>
      <c r="B2156" s="231" t="s">
        <v>1864</v>
      </c>
      <c r="C2156" s="618">
        <v>45107</v>
      </c>
      <c r="D2156" s="231" t="s">
        <v>4880</v>
      </c>
      <c r="E2156" s="231" t="s">
        <v>5076</v>
      </c>
      <c r="F2156" s="619">
        <v>50</v>
      </c>
      <c r="G2156" s="231" t="s">
        <v>4851</v>
      </c>
      <c r="H2156" s="619"/>
      <c r="I2156" s="619"/>
      <c r="J2156" s="620">
        <v>21253006.800000001</v>
      </c>
      <c r="K2156" s="621" t="s">
        <v>1130</v>
      </c>
      <c r="L2156" s="621" t="s">
        <v>4852</v>
      </c>
      <c r="M2156" s="621" t="s">
        <v>4879</v>
      </c>
      <c r="N2156" s="621" t="s">
        <v>4866</v>
      </c>
      <c r="O2156" s="621"/>
      <c r="P2156" s="621"/>
    </row>
    <row r="2157" spans="1:16">
      <c r="A2157" s="232" t="s">
        <v>686</v>
      </c>
      <c r="B2157" s="232" t="s">
        <v>1864</v>
      </c>
      <c r="C2157" s="622">
        <v>45107</v>
      </c>
      <c r="D2157" s="232" t="s">
        <v>4880</v>
      </c>
      <c r="E2157" s="231" t="s">
        <v>5076</v>
      </c>
      <c r="F2157" s="233">
        <v>50</v>
      </c>
      <c r="G2157" s="232" t="s">
        <v>4851</v>
      </c>
      <c r="H2157" s="233"/>
      <c r="I2157" s="233"/>
      <c r="J2157" s="623">
        <v>21253006.800000001</v>
      </c>
      <c r="K2157" s="624" t="s">
        <v>1130</v>
      </c>
      <c r="L2157" s="624" t="s">
        <v>4852</v>
      </c>
      <c r="M2157" s="624" t="s">
        <v>4879</v>
      </c>
      <c r="N2157" s="624" t="s">
        <v>4866</v>
      </c>
      <c r="O2157" s="624"/>
      <c r="P2157" s="624"/>
    </row>
    <row r="2158" spans="1:16">
      <c r="A2158" s="231" t="s">
        <v>686</v>
      </c>
      <c r="B2158" s="231" t="s">
        <v>1864</v>
      </c>
      <c r="C2158" s="618">
        <v>45107</v>
      </c>
      <c r="D2158" s="231" t="s">
        <v>4880</v>
      </c>
      <c r="E2158" s="231" t="s">
        <v>5076</v>
      </c>
      <c r="F2158" s="619">
        <v>10</v>
      </c>
      <c r="G2158" s="231" t="s">
        <v>4851</v>
      </c>
      <c r="H2158" s="619"/>
      <c r="I2158" s="619"/>
      <c r="J2158" s="620">
        <v>4250601.3600000003</v>
      </c>
      <c r="K2158" s="621" t="s">
        <v>1130</v>
      </c>
      <c r="L2158" s="621" t="s">
        <v>4852</v>
      </c>
      <c r="M2158" s="621" t="s">
        <v>4879</v>
      </c>
      <c r="N2158" s="621" t="s">
        <v>4866</v>
      </c>
      <c r="O2158" s="621"/>
      <c r="P2158" s="621"/>
    </row>
    <row r="2159" spans="1:16">
      <c r="A2159" s="232" t="s">
        <v>686</v>
      </c>
      <c r="B2159" s="232" t="s">
        <v>1864</v>
      </c>
      <c r="C2159" s="622">
        <v>45107</v>
      </c>
      <c r="D2159" s="232" t="s">
        <v>4880</v>
      </c>
      <c r="E2159" s="231" t="s">
        <v>5076</v>
      </c>
      <c r="F2159" s="233">
        <v>44</v>
      </c>
      <c r="G2159" s="232" t="s">
        <v>4851</v>
      </c>
      <c r="H2159" s="233"/>
      <c r="I2159" s="233"/>
      <c r="J2159" s="623">
        <v>18702645.98</v>
      </c>
      <c r="K2159" s="624" t="s">
        <v>1130</v>
      </c>
      <c r="L2159" s="624" t="s">
        <v>4852</v>
      </c>
      <c r="M2159" s="624" t="s">
        <v>4879</v>
      </c>
      <c r="N2159" s="624" t="s">
        <v>4866</v>
      </c>
      <c r="O2159" s="624"/>
      <c r="P2159" s="624"/>
    </row>
    <row r="2160" spans="1:16">
      <c r="A2160" s="231" t="s">
        <v>686</v>
      </c>
      <c r="B2160" s="231" t="s">
        <v>1864</v>
      </c>
      <c r="C2160" s="618">
        <v>45107</v>
      </c>
      <c r="D2160" s="231" t="s">
        <v>4880</v>
      </c>
      <c r="E2160" s="231" t="s">
        <v>5076</v>
      </c>
      <c r="F2160" s="619">
        <v>50</v>
      </c>
      <c r="G2160" s="231" t="s">
        <v>4851</v>
      </c>
      <c r="H2160" s="619"/>
      <c r="I2160" s="619"/>
      <c r="J2160" s="620">
        <v>21253006.800000001</v>
      </c>
      <c r="K2160" s="621" t="s">
        <v>1130</v>
      </c>
      <c r="L2160" s="621" t="s">
        <v>4852</v>
      </c>
      <c r="M2160" s="621" t="s">
        <v>4879</v>
      </c>
      <c r="N2160" s="621" t="s">
        <v>4866</v>
      </c>
      <c r="O2160" s="621"/>
      <c r="P2160" s="621"/>
    </row>
    <row r="2161" spans="1:16">
      <c r="A2161" s="232" t="s">
        <v>686</v>
      </c>
      <c r="B2161" s="232" t="s">
        <v>1864</v>
      </c>
      <c r="C2161" s="622">
        <v>45107</v>
      </c>
      <c r="D2161" s="232" t="s">
        <v>4880</v>
      </c>
      <c r="E2161" s="231" t="s">
        <v>5076</v>
      </c>
      <c r="F2161" s="233">
        <v>10</v>
      </c>
      <c r="G2161" s="232" t="s">
        <v>4851</v>
      </c>
      <c r="H2161" s="233"/>
      <c r="I2161" s="233"/>
      <c r="J2161" s="623">
        <v>4250601.3600000003</v>
      </c>
      <c r="K2161" s="624" t="s">
        <v>1130</v>
      </c>
      <c r="L2161" s="624" t="s">
        <v>4852</v>
      </c>
      <c r="M2161" s="624" t="s">
        <v>4879</v>
      </c>
      <c r="N2161" s="624" t="s">
        <v>4866</v>
      </c>
      <c r="O2161" s="624"/>
      <c r="P2161" s="624"/>
    </row>
    <row r="2162" spans="1:16">
      <c r="A2162" s="231" t="s">
        <v>686</v>
      </c>
      <c r="B2162" s="231" t="s">
        <v>1864</v>
      </c>
      <c r="C2162" s="618">
        <v>45107</v>
      </c>
      <c r="D2162" s="231" t="s">
        <v>4880</v>
      </c>
      <c r="E2162" s="231" t="s">
        <v>5076</v>
      </c>
      <c r="F2162" s="619">
        <v>45</v>
      </c>
      <c r="G2162" s="231" t="s">
        <v>4851</v>
      </c>
      <c r="H2162" s="619"/>
      <c r="I2162" s="619"/>
      <c r="J2162" s="620">
        <v>19127706.120000001</v>
      </c>
      <c r="K2162" s="621" t="s">
        <v>1130</v>
      </c>
      <c r="L2162" s="621" t="s">
        <v>4852</v>
      </c>
      <c r="M2162" s="621" t="s">
        <v>4879</v>
      </c>
      <c r="N2162" s="621" t="s">
        <v>4866</v>
      </c>
      <c r="O2162" s="621"/>
      <c r="P2162" s="621"/>
    </row>
    <row r="2163" spans="1:16">
      <c r="A2163" s="232" t="s">
        <v>686</v>
      </c>
      <c r="B2163" s="232" t="s">
        <v>1864</v>
      </c>
      <c r="C2163" s="622">
        <v>45107</v>
      </c>
      <c r="D2163" s="232" t="s">
        <v>4880</v>
      </c>
      <c r="E2163" s="231" t="s">
        <v>5076</v>
      </c>
      <c r="F2163" s="233">
        <v>50</v>
      </c>
      <c r="G2163" s="232" t="s">
        <v>4851</v>
      </c>
      <c r="H2163" s="233"/>
      <c r="I2163" s="233"/>
      <c r="J2163" s="623">
        <v>21253006.800000001</v>
      </c>
      <c r="K2163" s="624" t="s">
        <v>1130</v>
      </c>
      <c r="L2163" s="624" t="s">
        <v>4852</v>
      </c>
      <c r="M2163" s="624" t="s">
        <v>4879</v>
      </c>
      <c r="N2163" s="624" t="s">
        <v>4866</v>
      </c>
      <c r="O2163" s="624"/>
      <c r="P2163" s="624"/>
    </row>
    <row r="2164" spans="1:16">
      <c r="A2164" s="231" t="s">
        <v>686</v>
      </c>
      <c r="B2164" s="231" t="s">
        <v>1864</v>
      </c>
      <c r="C2164" s="618">
        <v>45107</v>
      </c>
      <c r="D2164" s="231" t="s">
        <v>4880</v>
      </c>
      <c r="E2164" s="231" t="s">
        <v>5076</v>
      </c>
      <c r="F2164" s="619">
        <v>10</v>
      </c>
      <c r="G2164" s="231" t="s">
        <v>4851</v>
      </c>
      <c r="H2164" s="619"/>
      <c r="I2164" s="619"/>
      <c r="J2164" s="620">
        <v>4250601.3600000003</v>
      </c>
      <c r="K2164" s="621" t="s">
        <v>1130</v>
      </c>
      <c r="L2164" s="621" t="s">
        <v>4852</v>
      </c>
      <c r="M2164" s="621" t="s">
        <v>4879</v>
      </c>
      <c r="N2164" s="621" t="s">
        <v>4866</v>
      </c>
      <c r="O2164" s="621"/>
      <c r="P2164" s="621"/>
    </row>
    <row r="2165" spans="1:16">
      <c r="A2165" s="232" t="s">
        <v>686</v>
      </c>
      <c r="B2165" s="232" t="s">
        <v>1864</v>
      </c>
      <c r="C2165" s="622">
        <v>45107</v>
      </c>
      <c r="D2165" s="232" t="s">
        <v>4880</v>
      </c>
      <c r="E2165" s="231" t="s">
        <v>5076</v>
      </c>
      <c r="F2165" s="233">
        <v>45</v>
      </c>
      <c r="G2165" s="232" t="s">
        <v>4851</v>
      </c>
      <c r="H2165" s="233"/>
      <c r="I2165" s="233"/>
      <c r="J2165" s="623">
        <v>19127706.120000001</v>
      </c>
      <c r="K2165" s="624" t="s">
        <v>1130</v>
      </c>
      <c r="L2165" s="624" t="s">
        <v>4852</v>
      </c>
      <c r="M2165" s="624" t="s">
        <v>4879</v>
      </c>
      <c r="N2165" s="624" t="s">
        <v>4866</v>
      </c>
      <c r="O2165" s="624"/>
      <c r="P2165" s="624"/>
    </row>
    <row r="2166" spans="1:16">
      <c r="A2166" s="231" t="s">
        <v>686</v>
      </c>
      <c r="B2166" s="231" t="s">
        <v>1864</v>
      </c>
      <c r="C2166" s="618">
        <v>45107</v>
      </c>
      <c r="D2166" s="231" t="s">
        <v>4880</v>
      </c>
      <c r="E2166" s="231" t="s">
        <v>5076</v>
      </c>
      <c r="F2166" s="619">
        <v>10</v>
      </c>
      <c r="G2166" s="231" t="s">
        <v>4851</v>
      </c>
      <c r="H2166" s="619"/>
      <c r="I2166" s="619"/>
      <c r="J2166" s="620">
        <v>4250601.3600000003</v>
      </c>
      <c r="K2166" s="621" t="s">
        <v>1130</v>
      </c>
      <c r="L2166" s="621" t="s">
        <v>4852</v>
      </c>
      <c r="M2166" s="621" t="s">
        <v>4879</v>
      </c>
      <c r="N2166" s="621" t="s">
        <v>4866</v>
      </c>
      <c r="O2166" s="621"/>
      <c r="P2166" s="621"/>
    </row>
    <row r="2167" spans="1:16">
      <c r="A2167" s="232" t="s">
        <v>686</v>
      </c>
      <c r="B2167" s="232" t="s">
        <v>1864</v>
      </c>
      <c r="C2167" s="622">
        <v>45107</v>
      </c>
      <c r="D2167" s="232" t="s">
        <v>4880</v>
      </c>
      <c r="E2167" s="231" t="s">
        <v>5076</v>
      </c>
      <c r="F2167" s="233">
        <v>45</v>
      </c>
      <c r="G2167" s="232" t="s">
        <v>4851</v>
      </c>
      <c r="H2167" s="233"/>
      <c r="I2167" s="233"/>
      <c r="J2167" s="623">
        <v>19127706.120000001</v>
      </c>
      <c r="K2167" s="624" t="s">
        <v>1130</v>
      </c>
      <c r="L2167" s="624" t="s">
        <v>4852</v>
      </c>
      <c r="M2167" s="624" t="s">
        <v>4879</v>
      </c>
      <c r="N2167" s="624" t="s">
        <v>4866</v>
      </c>
      <c r="O2167" s="624"/>
      <c r="P2167" s="624"/>
    </row>
    <row r="2168" spans="1:16">
      <c r="A2168" s="231" t="s">
        <v>686</v>
      </c>
      <c r="B2168" s="231" t="s">
        <v>1864</v>
      </c>
      <c r="C2168" s="618">
        <v>45107</v>
      </c>
      <c r="D2168" s="231" t="s">
        <v>4880</v>
      </c>
      <c r="E2168" s="231" t="s">
        <v>5076</v>
      </c>
      <c r="F2168" s="619">
        <v>10</v>
      </c>
      <c r="G2168" s="231" t="s">
        <v>4851</v>
      </c>
      <c r="H2168" s="619"/>
      <c r="I2168" s="619"/>
      <c r="J2168" s="620">
        <v>4250601.3600000003</v>
      </c>
      <c r="K2168" s="621" t="s">
        <v>1130</v>
      </c>
      <c r="L2168" s="621" t="s">
        <v>4852</v>
      </c>
      <c r="M2168" s="621" t="s">
        <v>4879</v>
      </c>
      <c r="N2168" s="621" t="s">
        <v>4866</v>
      </c>
      <c r="O2168" s="621"/>
      <c r="P2168" s="621"/>
    </row>
    <row r="2169" spans="1:16">
      <c r="A2169" s="232" t="s">
        <v>686</v>
      </c>
      <c r="B2169" s="232" t="s">
        <v>1864</v>
      </c>
      <c r="C2169" s="622">
        <v>45107</v>
      </c>
      <c r="D2169" s="232" t="s">
        <v>4880</v>
      </c>
      <c r="E2169" s="231" t="s">
        <v>5076</v>
      </c>
      <c r="F2169" s="233">
        <v>10</v>
      </c>
      <c r="G2169" s="232" t="s">
        <v>4851</v>
      </c>
      <c r="H2169" s="233"/>
      <c r="I2169" s="233"/>
      <c r="J2169" s="623">
        <v>4250601.3600000003</v>
      </c>
      <c r="K2169" s="624" t="s">
        <v>1130</v>
      </c>
      <c r="L2169" s="624" t="s">
        <v>4852</v>
      </c>
      <c r="M2169" s="624" t="s">
        <v>4879</v>
      </c>
      <c r="N2169" s="624" t="s">
        <v>4866</v>
      </c>
      <c r="O2169" s="624"/>
      <c r="P2169" s="624"/>
    </row>
    <row r="2170" spans="1:16">
      <c r="A2170" s="231" t="s">
        <v>686</v>
      </c>
      <c r="B2170" s="231" t="s">
        <v>1864</v>
      </c>
      <c r="C2170" s="618">
        <v>45107</v>
      </c>
      <c r="D2170" s="231" t="s">
        <v>4880</v>
      </c>
      <c r="E2170" s="231" t="s">
        <v>5076</v>
      </c>
      <c r="F2170" s="619">
        <v>44</v>
      </c>
      <c r="G2170" s="231" t="s">
        <v>4851</v>
      </c>
      <c r="H2170" s="619"/>
      <c r="I2170" s="619"/>
      <c r="J2170" s="620">
        <v>18702645.98</v>
      </c>
      <c r="K2170" s="621" t="s">
        <v>1130</v>
      </c>
      <c r="L2170" s="621" t="s">
        <v>4852</v>
      </c>
      <c r="M2170" s="621" t="s">
        <v>4879</v>
      </c>
      <c r="N2170" s="621" t="s">
        <v>4866</v>
      </c>
      <c r="O2170" s="621"/>
      <c r="P2170" s="621"/>
    </row>
    <row r="2171" spans="1:16">
      <c r="A2171" s="232" t="s">
        <v>686</v>
      </c>
      <c r="B2171" s="232" t="s">
        <v>1864</v>
      </c>
      <c r="C2171" s="622">
        <v>45107</v>
      </c>
      <c r="D2171" s="232" t="s">
        <v>4880</v>
      </c>
      <c r="E2171" s="231" t="s">
        <v>5076</v>
      </c>
      <c r="F2171" s="233">
        <v>10</v>
      </c>
      <c r="G2171" s="232" t="s">
        <v>4851</v>
      </c>
      <c r="H2171" s="233"/>
      <c r="I2171" s="233"/>
      <c r="J2171" s="623">
        <v>4250601.3600000003</v>
      </c>
      <c r="K2171" s="624" t="s">
        <v>1130</v>
      </c>
      <c r="L2171" s="624" t="s">
        <v>4852</v>
      </c>
      <c r="M2171" s="624" t="s">
        <v>4879</v>
      </c>
      <c r="N2171" s="624" t="s">
        <v>4866</v>
      </c>
      <c r="O2171" s="624"/>
      <c r="P2171" s="624"/>
    </row>
    <row r="2172" spans="1:16">
      <c r="A2172" s="231" t="s">
        <v>686</v>
      </c>
      <c r="B2172" s="231" t="s">
        <v>1864</v>
      </c>
      <c r="C2172" s="618">
        <v>45107</v>
      </c>
      <c r="D2172" s="231" t="s">
        <v>4880</v>
      </c>
      <c r="E2172" s="231" t="s">
        <v>5076</v>
      </c>
      <c r="F2172" s="619">
        <v>44</v>
      </c>
      <c r="G2172" s="231" t="s">
        <v>4851</v>
      </c>
      <c r="H2172" s="619"/>
      <c r="I2172" s="619"/>
      <c r="J2172" s="620">
        <v>18702645.98</v>
      </c>
      <c r="K2172" s="621" t="s">
        <v>1130</v>
      </c>
      <c r="L2172" s="621" t="s">
        <v>4852</v>
      </c>
      <c r="M2172" s="621" t="s">
        <v>4879</v>
      </c>
      <c r="N2172" s="621" t="s">
        <v>4866</v>
      </c>
      <c r="O2172" s="621"/>
      <c r="P2172" s="621"/>
    </row>
    <row r="2173" spans="1:16">
      <c r="A2173" s="232" t="s">
        <v>686</v>
      </c>
      <c r="B2173" s="232" t="s">
        <v>1864</v>
      </c>
      <c r="C2173" s="622">
        <v>45107</v>
      </c>
      <c r="D2173" s="232" t="s">
        <v>4880</v>
      </c>
      <c r="E2173" s="231" t="s">
        <v>5076</v>
      </c>
      <c r="F2173" s="233">
        <v>44</v>
      </c>
      <c r="G2173" s="232" t="s">
        <v>4851</v>
      </c>
      <c r="H2173" s="233"/>
      <c r="I2173" s="233"/>
      <c r="J2173" s="623">
        <v>18702645.98</v>
      </c>
      <c r="K2173" s="624" t="s">
        <v>1130</v>
      </c>
      <c r="L2173" s="624" t="s">
        <v>4852</v>
      </c>
      <c r="M2173" s="624" t="s">
        <v>4879</v>
      </c>
      <c r="N2173" s="624" t="s">
        <v>4866</v>
      </c>
      <c r="O2173" s="624"/>
      <c r="P2173" s="624"/>
    </row>
    <row r="2174" spans="1:16">
      <c r="A2174" s="231" t="s">
        <v>686</v>
      </c>
      <c r="B2174" s="231" t="s">
        <v>1864</v>
      </c>
      <c r="C2174" s="618">
        <v>45107</v>
      </c>
      <c r="D2174" s="231" t="s">
        <v>4880</v>
      </c>
      <c r="E2174" s="231" t="s">
        <v>5076</v>
      </c>
      <c r="F2174" s="619">
        <v>1</v>
      </c>
      <c r="G2174" s="231" t="s">
        <v>4851</v>
      </c>
      <c r="H2174" s="619"/>
      <c r="I2174" s="619"/>
      <c r="J2174" s="620">
        <v>425060.14</v>
      </c>
      <c r="K2174" s="621" t="s">
        <v>1130</v>
      </c>
      <c r="L2174" s="621" t="s">
        <v>4852</v>
      </c>
      <c r="M2174" s="621" t="s">
        <v>4879</v>
      </c>
      <c r="N2174" s="621" t="s">
        <v>4866</v>
      </c>
      <c r="O2174" s="621"/>
      <c r="P2174" s="621"/>
    </row>
    <row r="2175" spans="1:16">
      <c r="A2175" s="232" t="s">
        <v>686</v>
      </c>
      <c r="B2175" s="232" t="s">
        <v>1864</v>
      </c>
      <c r="C2175" s="622">
        <v>45107</v>
      </c>
      <c r="D2175" s="232" t="s">
        <v>4880</v>
      </c>
      <c r="E2175" s="231" t="s">
        <v>5076</v>
      </c>
      <c r="F2175" s="233">
        <v>55</v>
      </c>
      <c r="G2175" s="232" t="s">
        <v>4851</v>
      </c>
      <c r="H2175" s="233"/>
      <c r="I2175" s="233"/>
      <c r="J2175" s="623">
        <v>23378307.48</v>
      </c>
      <c r="K2175" s="624" t="s">
        <v>1130</v>
      </c>
      <c r="L2175" s="624" t="s">
        <v>4852</v>
      </c>
      <c r="M2175" s="624" t="s">
        <v>4879</v>
      </c>
      <c r="N2175" s="624" t="s">
        <v>4866</v>
      </c>
      <c r="O2175" s="624"/>
      <c r="P2175" s="624"/>
    </row>
    <row r="2176" spans="1:16">
      <c r="A2176" s="231" t="s">
        <v>686</v>
      </c>
      <c r="B2176" s="231" t="s">
        <v>1864</v>
      </c>
      <c r="C2176" s="618">
        <v>45107</v>
      </c>
      <c r="D2176" s="231" t="s">
        <v>4880</v>
      </c>
      <c r="E2176" s="231" t="s">
        <v>5076</v>
      </c>
      <c r="F2176" s="619">
        <v>1</v>
      </c>
      <c r="G2176" s="231" t="s">
        <v>4851</v>
      </c>
      <c r="H2176" s="619"/>
      <c r="I2176" s="619"/>
      <c r="J2176" s="620">
        <v>425060.14</v>
      </c>
      <c r="K2176" s="621" t="s">
        <v>1130</v>
      </c>
      <c r="L2176" s="621" t="s">
        <v>4852</v>
      </c>
      <c r="M2176" s="621" t="s">
        <v>4879</v>
      </c>
      <c r="N2176" s="621" t="s">
        <v>4866</v>
      </c>
      <c r="O2176" s="621"/>
      <c r="P2176" s="621"/>
    </row>
    <row r="2177" spans="1:16">
      <c r="A2177" s="232" t="s">
        <v>686</v>
      </c>
      <c r="B2177" s="232" t="s">
        <v>1864</v>
      </c>
      <c r="C2177" s="622">
        <v>45107</v>
      </c>
      <c r="D2177" s="232" t="s">
        <v>4880</v>
      </c>
      <c r="E2177" s="231" t="s">
        <v>5076</v>
      </c>
      <c r="F2177" s="233">
        <v>10</v>
      </c>
      <c r="G2177" s="232" t="s">
        <v>4851</v>
      </c>
      <c r="H2177" s="233"/>
      <c r="I2177" s="233"/>
      <c r="J2177" s="623">
        <v>4250601.3600000003</v>
      </c>
      <c r="K2177" s="624" t="s">
        <v>1130</v>
      </c>
      <c r="L2177" s="624" t="s">
        <v>4852</v>
      </c>
      <c r="M2177" s="624" t="s">
        <v>4879</v>
      </c>
      <c r="N2177" s="624" t="s">
        <v>4866</v>
      </c>
      <c r="O2177" s="624"/>
      <c r="P2177" s="624"/>
    </row>
    <row r="2178" spans="1:16">
      <c r="A2178" s="231" t="s">
        <v>686</v>
      </c>
      <c r="B2178" s="231" t="s">
        <v>1864</v>
      </c>
      <c r="C2178" s="618">
        <v>45107</v>
      </c>
      <c r="D2178" s="231" t="s">
        <v>4880</v>
      </c>
      <c r="E2178" s="231" t="s">
        <v>5076</v>
      </c>
      <c r="F2178" s="619">
        <v>44</v>
      </c>
      <c r="G2178" s="231" t="s">
        <v>4851</v>
      </c>
      <c r="H2178" s="619"/>
      <c r="I2178" s="619"/>
      <c r="J2178" s="620">
        <v>18702645.98</v>
      </c>
      <c r="K2178" s="621" t="s">
        <v>1130</v>
      </c>
      <c r="L2178" s="621" t="s">
        <v>4852</v>
      </c>
      <c r="M2178" s="621" t="s">
        <v>4879</v>
      </c>
      <c r="N2178" s="621" t="s">
        <v>4866</v>
      </c>
      <c r="O2178" s="621"/>
      <c r="P2178" s="621"/>
    </row>
    <row r="2179" spans="1:16">
      <c r="A2179" s="232" t="s">
        <v>686</v>
      </c>
      <c r="B2179" s="232" t="s">
        <v>1864</v>
      </c>
      <c r="C2179" s="622">
        <v>45107</v>
      </c>
      <c r="D2179" s="232" t="s">
        <v>4880</v>
      </c>
      <c r="E2179" s="231" t="s">
        <v>5076</v>
      </c>
      <c r="F2179" s="233">
        <v>55</v>
      </c>
      <c r="G2179" s="232" t="s">
        <v>4851</v>
      </c>
      <c r="H2179" s="233"/>
      <c r="I2179" s="233"/>
      <c r="J2179" s="623">
        <v>23378307.48</v>
      </c>
      <c r="K2179" s="624" t="s">
        <v>1130</v>
      </c>
      <c r="L2179" s="624" t="s">
        <v>4852</v>
      </c>
      <c r="M2179" s="624" t="s">
        <v>4879</v>
      </c>
      <c r="N2179" s="624" t="s">
        <v>4866</v>
      </c>
      <c r="O2179" s="624"/>
      <c r="P2179" s="624"/>
    </row>
    <row r="2180" spans="1:16">
      <c r="A2180" s="231" t="s">
        <v>686</v>
      </c>
      <c r="B2180" s="231" t="s">
        <v>1864</v>
      </c>
      <c r="C2180" s="618">
        <v>45107</v>
      </c>
      <c r="D2180" s="231" t="s">
        <v>4880</v>
      </c>
      <c r="E2180" s="231" t="s">
        <v>5076</v>
      </c>
      <c r="F2180" s="619">
        <v>55</v>
      </c>
      <c r="G2180" s="231" t="s">
        <v>4851</v>
      </c>
      <c r="H2180" s="619"/>
      <c r="I2180" s="619"/>
      <c r="J2180" s="620">
        <v>23378307.48</v>
      </c>
      <c r="K2180" s="621" t="s">
        <v>1130</v>
      </c>
      <c r="L2180" s="621" t="s">
        <v>4852</v>
      </c>
      <c r="M2180" s="621" t="s">
        <v>4879</v>
      </c>
      <c r="N2180" s="621" t="s">
        <v>4866</v>
      </c>
      <c r="O2180" s="621"/>
      <c r="P2180" s="621"/>
    </row>
    <row r="2181" spans="1:16">
      <c r="A2181" s="232" t="s">
        <v>686</v>
      </c>
      <c r="B2181" s="232" t="s">
        <v>1864</v>
      </c>
      <c r="C2181" s="622">
        <v>45107</v>
      </c>
      <c r="D2181" s="232" t="s">
        <v>4880</v>
      </c>
      <c r="E2181" s="231" t="s">
        <v>5076</v>
      </c>
      <c r="F2181" s="233">
        <v>55</v>
      </c>
      <c r="G2181" s="232" t="s">
        <v>4851</v>
      </c>
      <c r="H2181" s="233"/>
      <c r="I2181" s="233"/>
      <c r="J2181" s="623">
        <v>23378307.48</v>
      </c>
      <c r="K2181" s="624" t="s">
        <v>1130</v>
      </c>
      <c r="L2181" s="624" t="s">
        <v>4852</v>
      </c>
      <c r="M2181" s="624" t="s">
        <v>4879</v>
      </c>
      <c r="N2181" s="624" t="s">
        <v>4866</v>
      </c>
      <c r="O2181" s="624"/>
      <c r="P2181" s="624"/>
    </row>
    <row r="2182" spans="1:16">
      <c r="A2182" s="231" t="s">
        <v>686</v>
      </c>
      <c r="B2182" s="231" t="s">
        <v>1864</v>
      </c>
      <c r="C2182" s="618">
        <v>45107</v>
      </c>
      <c r="D2182" s="231" t="s">
        <v>4880</v>
      </c>
      <c r="E2182" s="231" t="s">
        <v>5076</v>
      </c>
      <c r="F2182" s="619">
        <v>10</v>
      </c>
      <c r="G2182" s="231" t="s">
        <v>4851</v>
      </c>
      <c r="H2182" s="619"/>
      <c r="I2182" s="619"/>
      <c r="J2182" s="620">
        <v>4250601.3600000003</v>
      </c>
      <c r="K2182" s="621" t="s">
        <v>1130</v>
      </c>
      <c r="L2182" s="621" t="s">
        <v>4852</v>
      </c>
      <c r="M2182" s="621" t="s">
        <v>4879</v>
      </c>
      <c r="N2182" s="621" t="s">
        <v>4866</v>
      </c>
      <c r="O2182" s="621"/>
      <c r="P2182" s="621"/>
    </row>
    <row r="2183" spans="1:16">
      <c r="A2183" s="232" t="s">
        <v>686</v>
      </c>
      <c r="B2183" s="232" t="s">
        <v>1864</v>
      </c>
      <c r="C2183" s="622">
        <v>45107</v>
      </c>
      <c r="D2183" s="232" t="s">
        <v>4880</v>
      </c>
      <c r="E2183" s="231" t="s">
        <v>5076</v>
      </c>
      <c r="F2183" s="233">
        <v>1</v>
      </c>
      <c r="G2183" s="232" t="s">
        <v>4851</v>
      </c>
      <c r="H2183" s="233"/>
      <c r="I2183" s="233"/>
      <c r="J2183" s="623">
        <v>425060.14</v>
      </c>
      <c r="K2183" s="624" t="s">
        <v>1130</v>
      </c>
      <c r="L2183" s="624" t="s">
        <v>4852</v>
      </c>
      <c r="M2183" s="624" t="s">
        <v>4879</v>
      </c>
      <c r="N2183" s="624" t="s">
        <v>4866</v>
      </c>
      <c r="O2183" s="624"/>
      <c r="P2183" s="624"/>
    </row>
    <row r="2184" spans="1:16">
      <c r="A2184" s="231" t="s">
        <v>686</v>
      </c>
      <c r="B2184" s="231" t="s">
        <v>1864</v>
      </c>
      <c r="C2184" s="618">
        <v>45107</v>
      </c>
      <c r="D2184" s="231" t="s">
        <v>4880</v>
      </c>
      <c r="E2184" s="231" t="s">
        <v>5076</v>
      </c>
      <c r="F2184" s="619">
        <v>50</v>
      </c>
      <c r="G2184" s="231" t="s">
        <v>4851</v>
      </c>
      <c r="H2184" s="619"/>
      <c r="I2184" s="619"/>
      <c r="J2184" s="620">
        <v>21253006.800000001</v>
      </c>
      <c r="K2184" s="621" t="s">
        <v>1130</v>
      </c>
      <c r="L2184" s="621" t="s">
        <v>4852</v>
      </c>
      <c r="M2184" s="621" t="s">
        <v>4879</v>
      </c>
      <c r="N2184" s="621" t="s">
        <v>4866</v>
      </c>
      <c r="O2184" s="621"/>
      <c r="P2184" s="621"/>
    </row>
    <row r="2185" spans="1:16">
      <c r="A2185" s="232" t="s">
        <v>686</v>
      </c>
      <c r="B2185" s="232" t="s">
        <v>1864</v>
      </c>
      <c r="C2185" s="622">
        <v>45107</v>
      </c>
      <c r="D2185" s="232" t="s">
        <v>4880</v>
      </c>
      <c r="E2185" s="231" t="s">
        <v>5076</v>
      </c>
      <c r="F2185" s="233">
        <v>45</v>
      </c>
      <c r="G2185" s="232" t="s">
        <v>4851</v>
      </c>
      <c r="H2185" s="233"/>
      <c r="I2185" s="233"/>
      <c r="J2185" s="623">
        <v>19127706.120000001</v>
      </c>
      <c r="K2185" s="624" t="s">
        <v>1130</v>
      </c>
      <c r="L2185" s="624" t="s">
        <v>4852</v>
      </c>
      <c r="M2185" s="624" t="s">
        <v>4879</v>
      </c>
      <c r="N2185" s="624" t="s">
        <v>4866</v>
      </c>
      <c r="O2185" s="624"/>
      <c r="P2185" s="624"/>
    </row>
    <row r="2186" spans="1:16">
      <c r="A2186" s="231" t="s">
        <v>686</v>
      </c>
      <c r="B2186" s="231" t="s">
        <v>1864</v>
      </c>
      <c r="C2186" s="618">
        <v>45107</v>
      </c>
      <c r="D2186" s="231" t="s">
        <v>4880</v>
      </c>
      <c r="E2186" s="231" t="s">
        <v>5076</v>
      </c>
      <c r="F2186" s="619">
        <v>55</v>
      </c>
      <c r="G2186" s="231" t="s">
        <v>4851</v>
      </c>
      <c r="H2186" s="619"/>
      <c r="I2186" s="619"/>
      <c r="J2186" s="620">
        <v>23378307.48</v>
      </c>
      <c r="K2186" s="621" t="s">
        <v>1130</v>
      </c>
      <c r="L2186" s="621" t="s">
        <v>4852</v>
      </c>
      <c r="M2186" s="621" t="s">
        <v>4879</v>
      </c>
      <c r="N2186" s="621" t="s">
        <v>4866</v>
      </c>
      <c r="O2186" s="621"/>
      <c r="P2186" s="621"/>
    </row>
    <row r="2187" spans="1:16">
      <c r="A2187" s="232" t="s">
        <v>686</v>
      </c>
      <c r="B2187" s="232" t="s">
        <v>1864</v>
      </c>
      <c r="C2187" s="622">
        <v>45107</v>
      </c>
      <c r="D2187" s="232" t="s">
        <v>4880</v>
      </c>
      <c r="E2187" s="231" t="s">
        <v>5076</v>
      </c>
      <c r="F2187" s="233">
        <v>55</v>
      </c>
      <c r="G2187" s="232" t="s">
        <v>4851</v>
      </c>
      <c r="H2187" s="233"/>
      <c r="I2187" s="233"/>
      <c r="J2187" s="623">
        <v>23378307.48</v>
      </c>
      <c r="K2187" s="624" t="s">
        <v>1130</v>
      </c>
      <c r="L2187" s="624" t="s">
        <v>4852</v>
      </c>
      <c r="M2187" s="624" t="s">
        <v>4879</v>
      </c>
      <c r="N2187" s="624" t="s">
        <v>4866</v>
      </c>
      <c r="O2187" s="624"/>
      <c r="P2187" s="624"/>
    </row>
    <row r="2188" spans="1:16">
      <c r="A2188" s="231" t="s">
        <v>686</v>
      </c>
      <c r="B2188" s="231" t="s">
        <v>1864</v>
      </c>
      <c r="C2188" s="618">
        <v>45107</v>
      </c>
      <c r="D2188" s="231" t="s">
        <v>4880</v>
      </c>
      <c r="E2188" s="231" t="s">
        <v>5076</v>
      </c>
      <c r="F2188" s="619">
        <v>55</v>
      </c>
      <c r="G2188" s="231" t="s">
        <v>4851</v>
      </c>
      <c r="H2188" s="619"/>
      <c r="I2188" s="619"/>
      <c r="J2188" s="620">
        <v>23378307.48</v>
      </c>
      <c r="K2188" s="621" t="s">
        <v>1130</v>
      </c>
      <c r="L2188" s="621" t="s">
        <v>4852</v>
      </c>
      <c r="M2188" s="621" t="s">
        <v>4879</v>
      </c>
      <c r="N2188" s="621" t="s">
        <v>4866</v>
      </c>
      <c r="O2188" s="621"/>
      <c r="P2188" s="621"/>
    </row>
    <row r="2189" spans="1:16">
      <c r="A2189" s="232" t="s">
        <v>686</v>
      </c>
      <c r="B2189" s="232" t="s">
        <v>1864</v>
      </c>
      <c r="C2189" s="622">
        <v>45107</v>
      </c>
      <c r="D2189" s="232" t="s">
        <v>4880</v>
      </c>
      <c r="E2189" s="231" t="s">
        <v>5076</v>
      </c>
      <c r="F2189" s="233">
        <v>55</v>
      </c>
      <c r="G2189" s="232" t="s">
        <v>4851</v>
      </c>
      <c r="H2189" s="233"/>
      <c r="I2189" s="233"/>
      <c r="J2189" s="623">
        <v>23378307.48</v>
      </c>
      <c r="K2189" s="624" t="s">
        <v>1130</v>
      </c>
      <c r="L2189" s="624" t="s">
        <v>4852</v>
      </c>
      <c r="M2189" s="624" t="s">
        <v>4879</v>
      </c>
      <c r="N2189" s="624" t="s">
        <v>4866</v>
      </c>
      <c r="O2189" s="624"/>
      <c r="P2189" s="624"/>
    </row>
    <row r="2190" spans="1:16">
      <c r="A2190" s="231" t="s">
        <v>686</v>
      </c>
      <c r="B2190" s="231" t="s">
        <v>1864</v>
      </c>
      <c r="C2190" s="618">
        <v>45107</v>
      </c>
      <c r="D2190" s="231" t="s">
        <v>4880</v>
      </c>
      <c r="E2190" s="231" t="s">
        <v>5076</v>
      </c>
      <c r="F2190" s="619">
        <v>45</v>
      </c>
      <c r="G2190" s="231" t="s">
        <v>4851</v>
      </c>
      <c r="H2190" s="619"/>
      <c r="I2190" s="619"/>
      <c r="J2190" s="620">
        <v>19127706.120000001</v>
      </c>
      <c r="K2190" s="621" t="s">
        <v>1130</v>
      </c>
      <c r="L2190" s="621" t="s">
        <v>4852</v>
      </c>
      <c r="M2190" s="621" t="s">
        <v>4879</v>
      </c>
      <c r="N2190" s="621" t="s">
        <v>4866</v>
      </c>
      <c r="O2190" s="621"/>
      <c r="P2190" s="621"/>
    </row>
    <row r="2191" spans="1:16">
      <c r="A2191" s="232" t="s">
        <v>686</v>
      </c>
      <c r="B2191" s="232" t="s">
        <v>1864</v>
      </c>
      <c r="C2191" s="622">
        <v>45107</v>
      </c>
      <c r="D2191" s="232" t="s">
        <v>4880</v>
      </c>
      <c r="E2191" s="231" t="s">
        <v>5076</v>
      </c>
      <c r="F2191" s="233">
        <v>45</v>
      </c>
      <c r="G2191" s="232" t="s">
        <v>4851</v>
      </c>
      <c r="H2191" s="233"/>
      <c r="I2191" s="233"/>
      <c r="J2191" s="623">
        <v>19127706.120000001</v>
      </c>
      <c r="K2191" s="624" t="s">
        <v>1130</v>
      </c>
      <c r="L2191" s="624" t="s">
        <v>4852</v>
      </c>
      <c r="M2191" s="624" t="s">
        <v>4879</v>
      </c>
      <c r="N2191" s="624" t="s">
        <v>4866</v>
      </c>
      <c r="O2191" s="624"/>
      <c r="P2191" s="624"/>
    </row>
    <row r="2192" spans="1:16">
      <c r="A2192" s="231" t="s">
        <v>686</v>
      </c>
      <c r="B2192" s="231" t="s">
        <v>1864</v>
      </c>
      <c r="C2192" s="618">
        <v>45107</v>
      </c>
      <c r="D2192" s="231" t="s">
        <v>4880</v>
      </c>
      <c r="E2192" s="231" t="s">
        <v>5076</v>
      </c>
      <c r="F2192" s="619">
        <v>50</v>
      </c>
      <c r="G2192" s="231" t="s">
        <v>4851</v>
      </c>
      <c r="H2192" s="619"/>
      <c r="I2192" s="619"/>
      <c r="J2192" s="620">
        <v>21253006.800000001</v>
      </c>
      <c r="K2192" s="621" t="s">
        <v>1130</v>
      </c>
      <c r="L2192" s="621" t="s">
        <v>4852</v>
      </c>
      <c r="M2192" s="621" t="s">
        <v>4879</v>
      </c>
      <c r="N2192" s="621" t="s">
        <v>4866</v>
      </c>
      <c r="O2192" s="621"/>
      <c r="P2192" s="621"/>
    </row>
    <row r="2193" spans="1:16">
      <c r="A2193" s="232" t="s">
        <v>686</v>
      </c>
      <c r="B2193" s="232" t="s">
        <v>1864</v>
      </c>
      <c r="C2193" s="622">
        <v>45107</v>
      </c>
      <c r="D2193" s="232" t="s">
        <v>4880</v>
      </c>
      <c r="E2193" s="231" t="s">
        <v>5076</v>
      </c>
      <c r="F2193" s="233">
        <v>50</v>
      </c>
      <c r="G2193" s="232" t="s">
        <v>4851</v>
      </c>
      <c r="H2193" s="233"/>
      <c r="I2193" s="233"/>
      <c r="J2193" s="623">
        <v>21253006.800000001</v>
      </c>
      <c r="K2193" s="624" t="s">
        <v>1130</v>
      </c>
      <c r="L2193" s="624" t="s">
        <v>4852</v>
      </c>
      <c r="M2193" s="624" t="s">
        <v>4879</v>
      </c>
      <c r="N2193" s="624" t="s">
        <v>4866</v>
      </c>
      <c r="O2193" s="624"/>
      <c r="P2193" s="624"/>
    </row>
    <row r="2194" spans="1:16">
      <c r="A2194" s="231" t="s">
        <v>686</v>
      </c>
      <c r="B2194" s="231" t="s">
        <v>1864</v>
      </c>
      <c r="C2194" s="618">
        <v>45107</v>
      </c>
      <c r="D2194" s="231" t="s">
        <v>4880</v>
      </c>
      <c r="E2194" s="231" t="s">
        <v>5076</v>
      </c>
      <c r="F2194" s="619">
        <v>50</v>
      </c>
      <c r="G2194" s="231" t="s">
        <v>4851</v>
      </c>
      <c r="H2194" s="619"/>
      <c r="I2194" s="619"/>
      <c r="J2194" s="620">
        <v>21253006.800000001</v>
      </c>
      <c r="K2194" s="621" t="s">
        <v>1130</v>
      </c>
      <c r="L2194" s="621" t="s">
        <v>4852</v>
      </c>
      <c r="M2194" s="621" t="s">
        <v>4879</v>
      </c>
      <c r="N2194" s="621" t="s">
        <v>4866</v>
      </c>
      <c r="O2194" s="621"/>
      <c r="P2194" s="621"/>
    </row>
    <row r="2195" spans="1:16">
      <c r="A2195" s="232" t="s">
        <v>686</v>
      </c>
      <c r="B2195" s="232" t="s">
        <v>1864</v>
      </c>
      <c r="C2195" s="622">
        <v>45107</v>
      </c>
      <c r="D2195" s="232" t="s">
        <v>4880</v>
      </c>
      <c r="E2195" s="231" t="s">
        <v>5076</v>
      </c>
      <c r="F2195" s="233">
        <v>45</v>
      </c>
      <c r="G2195" s="232" t="s">
        <v>4851</v>
      </c>
      <c r="H2195" s="233"/>
      <c r="I2195" s="233"/>
      <c r="J2195" s="623">
        <v>19127706.120000001</v>
      </c>
      <c r="K2195" s="624" t="s">
        <v>1130</v>
      </c>
      <c r="L2195" s="624" t="s">
        <v>4852</v>
      </c>
      <c r="M2195" s="624" t="s">
        <v>4879</v>
      </c>
      <c r="N2195" s="624" t="s">
        <v>4866</v>
      </c>
      <c r="O2195" s="624"/>
      <c r="P2195" s="624"/>
    </row>
    <row r="2196" spans="1:16">
      <c r="A2196" s="231" t="s">
        <v>686</v>
      </c>
      <c r="B2196" s="231" t="s">
        <v>1864</v>
      </c>
      <c r="C2196" s="618">
        <v>45107</v>
      </c>
      <c r="D2196" s="231" t="s">
        <v>4880</v>
      </c>
      <c r="E2196" s="231" t="s">
        <v>5076</v>
      </c>
      <c r="F2196" s="619">
        <v>55</v>
      </c>
      <c r="G2196" s="231" t="s">
        <v>4851</v>
      </c>
      <c r="H2196" s="619"/>
      <c r="I2196" s="619"/>
      <c r="J2196" s="620">
        <v>23378307.48</v>
      </c>
      <c r="K2196" s="621" t="s">
        <v>1130</v>
      </c>
      <c r="L2196" s="621" t="s">
        <v>4852</v>
      </c>
      <c r="M2196" s="621" t="s">
        <v>4879</v>
      </c>
      <c r="N2196" s="621" t="s">
        <v>4866</v>
      </c>
      <c r="O2196" s="621"/>
      <c r="P2196" s="621"/>
    </row>
    <row r="2197" spans="1:16">
      <c r="A2197" s="232" t="s">
        <v>686</v>
      </c>
      <c r="B2197" s="232" t="s">
        <v>1864</v>
      </c>
      <c r="C2197" s="622">
        <v>45107</v>
      </c>
      <c r="D2197" s="232" t="s">
        <v>4880</v>
      </c>
      <c r="E2197" s="231" t="s">
        <v>5076</v>
      </c>
      <c r="F2197" s="233">
        <v>50</v>
      </c>
      <c r="G2197" s="232" t="s">
        <v>4851</v>
      </c>
      <c r="H2197" s="233"/>
      <c r="I2197" s="233"/>
      <c r="J2197" s="623">
        <v>21253006.800000001</v>
      </c>
      <c r="K2197" s="624" t="s">
        <v>1130</v>
      </c>
      <c r="L2197" s="624" t="s">
        <v>4852</v>
      </c>
      <c r="M2197" s="624" t="s">
        <v>4879</v>
      </c>
      <c r="N2197" s="624" t="s">
        <v>4866</v>
      </c>
      <c r="O2197" s="624"/>
      <c r="P2197" s="624"/>
    </row>
    <row r="2198" spans="1:16">
      <c r="A2198" s="231" t="s">
        <v>686</v>
      </c>
      <c r="B2198" s="231" t="s">
        <v>1864</v>
      </c>
      <c r="C2198" s="618">
        <v>45107</v>
      </c>
      <c r="D2198" s="231" t="s">
        <v>4880</v>
      </c>
      <c r="E2198" s="231" t="s">
        <v>5076</v>
      </c>
      <c r="F2198" s="619">
        <v>45</v>
      </c>
      <c r="G2198" s="231" t="s">
        <v>4851</v>
      </c>
      <c r="H2198" s="619"/>
      <c r="I2198" s="619"/>
      <c r="J2198" s="620">
        <v>19127706.120000001</v>
      </c>
      <c r="K2198" s="621" t="s">
        <v>1130</v>
      </c>
      <c r="L2198" s="621" t="s">
        <v>4852</v>
      </c>
      <c r="M2198" s="621" t="s">
        <v>4879</v>
      </c>
      <c r="N2198" s="621" t="s">
        <v>4866</v>
      </c>
      <c r="O2198" s="621"/>
      <c r="P2198" s="621"/>
    </row>
    <row r="2199" spans="1:16">
      <c r="A2199" s="232" t="s">
        <v>686</v>
      </c>
      <c r="B2199" s="232" t="s">
        <v>1864</v>
      </c>
      <c r="C2199" s="622">
        <v>45107</v>
      </c>
      <c r="D2199" s="232" t="s">
        <v>4880</v>
      </c>
      <c r="E2199" s="231" t="s">
        <v>5076</v>
      </c>
      <c r="F2199" s="233">
        <v>55</v>
      </c>
      <c r="G2199" s="232" t="s">
        <v>4851</v>
      </c>
      <c r="H2199" s="233"/>
      <c r="I2199" s="233"/>
      <c r="J2199" s="623">
        <v>23378307.48</v>
      </c>
      <c r="K2199" s="624" t="s">
        <v>1130</v>
      </c>
      <c r="L2199" s="624" t="s">
        <v>4852</v>
      </c>
      <c r="M2199" s="624" t="s">
        <v>4879</v>
      </c>
      <c r="N2199" s="624" t="s">
        <v>4866</v>
      </c>
      <c r="O2199" s="624"/>
      <c r="P2199" s="624"/>
    </row>
    <row r="2200" spans="1:16">
      <c r="A2200" s="231" t="s">
        <v>686</v>
      </c>
      <c r="B2200" s="231" t="s">
        <v>1864</v>
      </c>
      <c r="C2200" s="618">
        <v>45107</v>
      </c>
      <c r="D2200" s="231" t="s">
        <v>4880</v>
      </c>
      <c r="E2200" s="231" t="s">
        <v>5076</v>
      </c>
      <c r="F2200" s="619">
        <v>55</v>
      </c>
      <c r="G2200" s="231" t="s">
        <v>4851</v>
      </c>
      <c r="H2200" s="619"/>
      <c r="I2200" s="619"/>
      <c r="J2200" s="620">
        <v>23378307.48</v>
      </c>
      <c r="K2200" s="621" t="s">
        <v>1130</v>
      </c>
      <c r="L2200" s="621" t="s">
        <v>4852</v>
      </c>
      <c r="M2200" s="621" t="s">
        <v>4879</v>
      </c>
      <c r="N2200" s="621" t="s">
        <v>4866</v>
      </c>
      <c r="O2200" s="621"/>
      <c r="P2200" s="621"/>
    </row>
    <row r="2201" spans="1:16">
      <c r="A2201" s="232" t="s">
        <v>686</v>
      </c>
      <c r="B2201" s="232" t="s">
        <v>1864</v>
      </c>
      <c r="C2201" s="622">
        <v>45107</v>
      </c>
      <c r="D2201" s="232" t="s">
        <v>4880</v>
      </c>
      <c r="E2201" s="231" t="s">
        <v>5076</v>
      </c>
      <c r="F2201" s="233">
        <v>45</v>
      </c>
      <c r="G2201" s="232" t="s">
        <v>4851</v>
      </c>
      <c r="H2201" s="233"/>
      <c r="I2201" s="233"/>
      <c r="J2201" s="623">
        <v>19127706.120000001</v>
      </c>
      <c r="K2201" s="624" t="s">
        <v>1130</v>
      </c>
      <c r="L2201" s="624" t="s">
        <v>4852</v>
      </c>
      <c r="M2201" s="624" t="s">
        <v>4879</v>
      </c>
      <c r="N2201" s="624" t="s">
        <v>4866</v>
      </c>
      <c r="O2201" s="624"/>
      <c r="P2201" s="624"/>
    </row>
    <row r="2202" spans="1:16">
      <c r="A2202" s="231" t="s">
        <v>686</v>
      </c>
      <c r="B2202" s="231" t="s">
        <v>1864</v>
      </c>
      <c r="C2202" s="618">
        <v>45107</v>
      </c>
      <c r="D2202" s="231" t="s">
        <v>4880</v>
      </c>
      <c r="E2202" s="231" t="s">
        <v>5076</v>
      </c>
      <c r="F2202" s="619">
        <v>55</v>
      </c>
      <c r="G2202" s="231" t="s">
        <v>4851</v>
      </c>
      <c r="H2202" s="619"/>
      <c r="I2202" s="619"/>
      <c r="J2202" s="620">
        <v>23378307.48</v>
      </c>
      <c r="K2202" s="621" t="s">
        <v>1130</v>
      </c>
      <c r="L2202" s="621" t="s">
        <v>4852</v>
      </c>
      <c r="M2202" s="621" t="s">
        <v>4879</v>
      </c>
      <c r="N2202" s="621" t="s">
        <v>4866</v>
      </c>
      <c r="O2202" s="621"/>
      <c r="P2202" s="621"/>
    </row>
    <row r="2203" spans="1:16">
      <c r="A2203" s="232" t="s">
        <v>686</v>
      </c>
      <c r="B2203" s="232" t="s">
        <v>1864</v>
      </c>
      <c r="C2203" s="622">
        <v>45107</v>
      </c>
      <c r="D2203" s="232" t="s">
        <v>4880</v>
      </c>
      <c r="E2203" s="231" t="s">
        <v>5076</v>
      </c>
      <c r="F2203" s="233">
        <v>55</v>
      </c>
      <c r="G2203" s="232" t="s">
        <v>4851</v>
      </c>
      <c r="H2203" s="233"/>
      <c r="I2203" s="233"/>
      <c r="J2203" s="623">
        <v>23378307.48</v>
      </c>
      <c r="K2203" s="624" t="s">
        <v>1130</v>
      </c>
      <c r="L2203" s="624" t="s">
        <v>4852</v>
      </c>
      <c r="M2203" s="624" t="s">
        <v>4879</v>
      </c>
      <c r="N2203" s="624" t="s">
        <v>4866</v>
      </c>
      <c r="O2203" s="624"/>
      <c r="P2203" s="624"/>
    </row>
    <row r="2204" spans="1:16">
      <c r="A2204" s="231" t="s">
        <v>686</v>
      </c>
      <c r="B2204" s="231" t="s">
        <v>1864</v>
      </c>
      <c r="C2204" s="618">
        <v>45107</v>
      </c>
      <c r="D2204" s="231" t="s">
        <v>4880</v>
      </c>
      <c r="E2204" s="231" t="s">
        <v>5076</v>
      </c>
      <c r="F2204" s="619">
        <v>55</v>
      </c>
      <c r="G2204" s="231" t="s">
        <v>4851</v>
      </c>
      <c r="H2204" s="619"/>
      <c r="I2204" s="619"/>
      <c r="J2204" s="620">
        <v>23378307.48</v>
      </c>
      <c r="K2204" s="621" t="s">
        <v>1130</v>
      </c>
      <c r="L2204" s="621" t="s">
        <v>4852</v>
      </c>
      <c r="M2204" s="621" t="s">
        <v>4879</v>
      </c>
      <c r="N2204" s="621" t="s">
        <v>4866</v>
      </c>
      <c r="O2204" s="621"/>
      <c r="P2204" s="621"/>
    </row>
    <row r="2205" spans="1:16">
      <c r="A2205" s="232" t="s">
        <v>686</v>
      </c>
      <c r="B2205" s="232" t="s">
        <v>1864</v>
      </c>
      <c r="C2205" s="622">
        <v>45107</v>
      </c>
      <c r="D2205" s="232" t="s">
        <v>4880</v>
      </c>
      <c r="E2205" s="231" t="s">
        <v>5076</v>
      </c>
      <c r="F2205" s="233">
        <v>55</v>
      </c>
      <c r="G2205" s="232" t="s">
        <v>4851</v>
      </c>
      <c r="H2205" s="233"/>
      <c r="I2205" s="233"/>
      <c r="J2205" s="623">
        <v>23378307.48</v>
      </c>
      <c r="K2205" s="624" t="s">
        <v>1130</v>
      </c>
      <c r="L2205" s="624" t="s">
        <v>4852</v>
      </c>
      <c r="M2205" s="624" t="s">
        <v>4879</v>
      </c>
      <c r="N2205" s="624" t="s">
        <v>4866</v>
      </c>
      <c r="O2205" s="624"/>
      <c r="P2205" s="624"/>
    </row>
    <row r="2206" spans="1:16">
      <c r="A2206" s="231" t="s">
        <v>686</v>
      </c>
      <c r="B2206" s="231" t="s">
        <v>1864</v>
      </c>
      <c r="C2206" s="618">
        <v>45107</v>
      </c>
      <c r="D2206" s="231" t="s">
        <v>4880</v>
      </c>
      <c r="E2206" s="231" t="s">
        <v>5076</v>
      </c>
      <c r="F2206" s="619">
        <v>55</v>
      </c>
      <c r="G2206" s="231" t="s">
        <v>4851</v>
      </c>
      <c r="H2206" s="619"/>
      <c r="I2206" s="619"/>
      <c r="J2206" s="620">
        <v>23378307.48</v>
      </c>
      <c r="K2206" s="621" t="s">
        <v>1130</v>
      </c>
      <c r="L2206" s="621" t="s">
        <v>4852</v>
      </c>
      <c r="M2206" s="621" t="s">
        <v>4879</v>
      </c>
      <c r="N2206" s="621" t="s">
        <v>4866</v>
      </c>
      <c r="O2206" s="621"/>
      <c r="P2206" s="621"/>
    </row>
    <row r="2207" spans="1:16">
      <c r="A2207" s="232" t="s">
        <v>686</v>
      </c>
      <c r="B2207" s="232" t="s">
        <v>1864</v>
      </c>
      <c r="C2207" s="622">
        <v>45107</v>
      </c>
      <c r="D2207" s="232" t="s">
        <v>4880</v>
      </c>
      <c r="E2207" s="231" t="s">
        <v>5076</v>
      </c>
      <c r="F2207" s="233">
        <v>55</v>
      </c>
      <c r="G2207" s="232" t="s">
        <v>4851</v>
      </c>
      <c r="H2207" s="233"/>
      <c r="I2207" s="233"/>
      <c r="J2207" s="623">
        <v>23378307.48</v>
      </c>
      <c r="K2207" s="624" t="s">
        <v>1130</v>
      </c>
      <c r="L2207" s="624" t="s">
        <v>4852</v>
      </c>
      <c r="M2207" s="624" t="s">
        <v>4879</v>
      </c>
      <c r="N2207" s="624" t="s">
        <v>4866</v>
      </c>
      <c r="O2207" s="624"/>
      <c r="P2207" s="624"/>
    </row>
    <row r="2208" spans="1:16">
      <c r="A2208" s="231" t="s">
        <v>686</v>
      </c>
      <c r="B2208" s="231" t="s">
        <v>1864</v>
      </c>
      <c r="C2208" s="618">
        <v>45107</v>
      </c>
      <c r="D2208" s="231" t="s">
        <v>4880</v>
      </c>
      <c r="E2208" s="231" t="s">
        <v>5076</v>
      </c>
      <c r="F2208" s="619">
        <v>55</v>
      </c>
      <c r="G2208" s="231" t="s">
        <v>4851</v>
      </c>
      <c r="H2208" s="619"/>
      <c r="I2208" s="619"/>
      <c r="J2208" s="620">
        <v>23378307.48</v>
      </c>
      <c r="K2208" s="621" t="s">
        <v>1130</v>
      </c>
      <c r="L2208" s="621" t="s">
        <v>4852</v>
      </c>
      <c r="M2208" s="621" t="s">
        <v>4879</v>
      </c>
      <c r="N2208" s="621" t="s">
        <v>4866</v>
      </c>
      <c r="O2208" s="621"/>
      <c r="P2208" s="621"/>
    </row>
    <row r="2209" spans="1:16">
      <c r="A2209" s="232" t="s">
        <v>686</v>
      </c>
      <c r="B2209" s="232" t="s">
        <v>1864</v>
      </c>
      <c r="C2209" s="622">
        <v>45107</v>
      </c>
      <c r="D2209" s="232" t="s">
        <v>4870</v>
      </c>
      <c r="E2209" s="232"/>
      <c r="F2209" s="233">
        <v>5</v>
      </c>
      <c r="G2209" s="232" t="s">
        <v>4851</v>
      </c>
      <c r="H2209" s="233"/>
      <c r="I2209" s="233"/>
      <c r="J2209" s="623">
        <v>2150000</v>
      </c>
      <c r="K2209" s="624" t="s">
        <v>1130</v>
      </c>
      <c r="L2209" s="624" t="s">
        <v>4852</v>
      </c>
      <c r="M2209" s="624" t="s">
        <v>4871</v>
      </c>
      <c r="N2209" s="624" t="s">
        <v>4754</v>
      </c>
      <c r="O2209" s="624"/>
      <c r="P2209" s="624"/>
    </row>
    <row r="2210" spans="1:16">
      <c r="A2210" s="231" t="s">
        <v>686</v>
      </c>
      <c r="B2210" s="231" t="s">
        <v>1864</v>
      </c>
      <c r="C2210" s="618">
        <v>45107</v>
      </c>
      <c r="D2210" s="231" t="s">
        <v>4870</v>
      </c>
      <c r="E2210" s="231"/>
      <c r="F2210" s="619">
        <v>5</v>
      </c>
      <c r="G2210" s="231" t="s">
        <v>4851</v>
      </c>
      <c r="H2210" s="619"/>
      <c r="I2210" s="619"/>
      <c r="J2210" s="620">
        <v>2150000</v>
      </c>
      <c r="K2210" s="621" t="s">
        <v>1130</v>
      </c>
      <c r="L2210" s="621" t="s">
        <v>4852</v>
      </c>
      <c r="M2210" s="621" t="s">
        <v>4871</v>
      </c>
      <c r="N2210" s="621" t="s">
        <v>4754</v>
      </c>
      <c r="O2210" s="621"/>
      <c r="P2210" s="621"/>
    </row>
    <row r="2211" spans="1:16">
      <c r="A2211" s="232" t="s">
        <v>686</v>
      </c>
      <c r="B2211" s="232" t="s">
        <v>1864</v>
      </c>
      <c r="C2211" s="622">
        <v>45107</v>
      </c>
      <c r="D2211" s="232" t="s">
        <v>4870</v>
      </c>
      <c r="E2211" s="232"/>
      <c r="F2211" s="233">
        <v>41</v>
      </c>
      <c r="G2211" s="232" t="s">
        <v>4851</v>
      </c>
      <c r="H2211" s="233"/>
      <c r="I2211" s="233"/>
      <c r="J2211" s="623">
        <v>17630000</v>
      </c>
      <c r="K2211" s="624" t="s">
        <v>1130</v>
      </c>
      <c r="L2211" s="624" t="s">
        <v>4852</v>
      </c>
      <c r="M2211" s="624" t="s">
        <v>4871</v>
      </c>
      <c r="N2211" s="624" t="s">
        <v>4754</v>
      </c>
      <c r="O2211" s="624"/>
      <c r="P2211" s="624"/>
    </row>
    <row r="2212" spans="1:16">
      <c r="A2212" s="231" t="s">
        <v>686</v>
      </c>
      <c r="B2212" s="231" t="s">
        <v>1864</v>
      </c>
      <c r="C2212" s="618">
        <v>45107</v>
      </c>
      <c r="D2212" s="231" t="s">
        <v>4870</v>
      </c>
      <c r="E2212" s="231"/>
      <c r="F2212" s="619">
        <v>50</v>
      </c>
      <c r="G2212" s="231" t="s">
        <v>4851</v>
      </c>
      <c r="H2212" s="619"/>
      <c r="I2212" s="619"/>
      <c r="J2212" s="620">
        <v>21500000</v>
      </c>
      <c r="K2212" s="621" t="s">
        <v>1130</v>
      </c>
      <c r="L2212" s="621" t="s">
        <v>4852</v>
      </c>
      <c r="M2212" s="621" t="s">
        <v>4871</v>
      </c>
      <c r="N2212" s="621" t="s">
        <v>4754</v>
      </c>
      <c r="O2212" s="621"/>
      <c r="P2212" s="621"/>
    </row>
    <row r="2213" spans="1:16">
      <c r="A2213" s="232" t="s">
        <v>686</v>
      </c>
      <c r="B2213" s="232" t="s">
        <v>1864</v>
      </c>
      <c r="C2213" s="622">
        <v>45107</v>
      </c>
      <c r="D2213" s="232" t="s">
        <v>4870</v>
      </c>
      <c r="E2213" s="232"/>
      <c r="F2213" s="233">
        <v>50</v>
      </c>
      <c r="G2213" s="232" t="s">
        <v>4851</v>
      </c>
      <c r="H2213" s="233"/>
      <c r="I2213" s="233"/>
      <c r="J2213" s="623">
        <v>21500000</v>
      </c>
      <c r="K2213" s="624" t="s">
        <v>1130</v>
      </c>
      <c r="L2213" s="624" t="s">
        <v>4852</v>
      </c>
      <c r="M2213" s="624" t="s">
        <v>4871</v>
      </c>
      <c r="N2213" s="624" t="s">
        <v>4754</v>
      </c>
      <c r="O2213" s="624"/>
      <c r="P2213" s="624"/>
    </row>
    <row r="2214" spans="1:16">
      <c r="A2214" s="231" t="s">
        <v>686</v>
      </c>
      <c r="B2214" s="231" t="s">
        <v>1864</v>
      </c>
      <c r="C2214" s="618">
        <v>45107</v>
      </c>
      <c r="D2214" s="231" t="s">
        <v>4870</v>
      </c>
      <c r="E2214" s="231"/>
      <c r="F2214" s="619">
        <v>50</v>
      </c>
      <c r="G2214" s="231" t="s">
        <v>4851</v>
      </c>
      <c r="H2214" s="619"/>
      <c r="I2214" s="619"/>
      <c r="J2214" s="620">
        <v>21500000</v>
      </c>
      <c r="K2214" s="621" t="s">
        <v>1130</v>
      </c>
      <c r="L2214" s="621" t="s">
        <v>4852</v>
      </c>
      <c r="M2214" s="621" t="s">
        <v>4871</v>
      </c>
      <c r="N2214" s="621" t="s">
        <v>4754</v>
      </c>
      <c r="O2214" s="621"/>
      <c r="P2214" s="621"/>
    </row>
    <row r="2215" spans="1:16">
      <c r="A2215" s="232" t="s">
        <v>686</v>
      </c>
      <c r="B2215" s="232" t="s">
        <v>1864</v>
      </c>
      <c r="C2215" s="622">
        <v>45107</v>
      </c>
      <c r="D2215" s="232" t="s">
        <v>4870</v>
      </c>
      <c r="E2215" s="232"/>
      <c r="F2215" s="233">
        <v>46</v>
      </c>
      <c r="G2215" s="232" t="s">
        <v>4851</v>
      </c>
      <c r="H2215" s="233"/>
      <c r="I2215" s="233"/>
      <c r="J2215" s="623">
        <v>19780000</v>
      </c>
      <c r="K2215" s="624" t="s">
        <v>1130</v>
      </c>
      <c r="L2215" s="624" t="s">
        <v>4852</v>
      </c>
      <c r="M2215" s="624" t="s">
        <v>4871</v>
      </c>
      <c r="N2215" s="624" t="s">
        <v>4754</v>
      </c>
      <c r="O2215" s="624"/>
      <c r="P2215" s="624"/>
    </row>
    <row r="2216" spans="1:16">
      <c r="A2216" s="231" t="s">
        <v>686</v>
      </c>
      <c r="B2216" s="231" t="s">
        <v>1864</v>
      </c>
      <c r="C2216" s="618">
        <v>45107</v>
      </c>
      <c r="D2216" s="231" t="s">
        <v>4870</v>
      </c>
      <c r="E2216" s="231"/>
      <c r="F2216" s="619">
        <v>22</v>
      </c>
      <c r="G2216" s="231" t="s">
        <v>4851</v>
      </c>
      <c r="H2216" s="619"/>
      <c r="I2216" s="619"/>
      <c r="J2216" s="620">
        <v>9460000</v>
      </c>
      <c r="K2216" s="621" t="s">
        <v>1130</v>
      </c>
      <c r="L2216" s="621" t="s">
        <v>4852</v>
      </c>
      <c r="M2216" s="621" t="s">
        <v>4871</v>
      </c>
      <c r="N2216" s="621" t="s">
        <v>4754</v>
      </c>
      <c r="O2216" s="621"/>
      <c r="P2216" s="621"/>
    </row>
    <row r="2217" spans="1:16">
      <c r="A2217" s="232" t="s">
        <v>686</v>
      </c>
      <c r="B2217" s="232" t="s">
        <v>1864</v>
      </c>
      <c r="C2217" s="622">
        <v>45107</v>
      </c>
      <c r="D2217" s="232" t="s">
        <v>4870</v>
      </c>
      <c r="E2217" s="232"/>
      <c r="F2217" s="233">
        <v>5</v>
      </c>
      <c r="G2217" s="232" t="s">
        <v>4851</v>
      </c>
      <c r="H2217" s="233"/>
      <c r="I2217" s="233"/>
      <c r="J2217" s="623">
        <v>2150000</v>
      </c>
      <c r="K2217" s="624" t="s">
        <v>1130</v>
      </c>
      <c r="L2217" s="624" t="s">
        <v>4852</v>
      </c>
      <c r="M2217" s="624" t="s">
        <v>4871</v>
      </c>
      <c r="N2217" s="624" t="s">
        <v>4754</v>
      </c>
      <c r="O2217" s="624"/>
      <c r="P2217" s="624"/>
    </row>
    <row r="2218" spans="1:16">
      <c r="A2218" s="231" t="s">
        <v>686</v>
      </c>
      <c r="B2218" s="231" t="s">
        <v>1864</v>
      </c>
      <c r="C2218" s="618">
        <v>45107</v>
      </c>
      <c r="D2218" s="231" t="s">
        <v>4870</v>
      </c>
      <c r="E2218" s="231"/>
      <c r="F2218" s="619">
        <v>2</v>
      </c>
      <c r="G2218" s="231" t="s">
        <v>4851</v>
      </c>
      <c r="H2218" s="619"/>
      <c r="I2218" s="619"/>
      <c r="J2218" s="620">
        <v>860000</v>
      </c>
      <c r="K2218" s="621" t="s">
        <v>1130</v>
      </c>
      <c r="L2218" s="621" t="s">
        <v>4852</v>
      </c>
      <c r="M2218" s="621" t="s">
        <v>4871</v>
      </c>
      <c r="N2218" s="621" t="s">
        <v>4754</v>
      </c>
      <c r="O2218" s="621"/>
      <c r="P2218" s="621"/>
    </row>
    <row r="2219" spans="1:16">
      <c r="A2219" s="232" t="s">
        <v>686</v>
      </c>
      <c r="B2219" s="232" t="s">
        <v>1864</v>
      </c>
      <c r="C2219" s="622">
        <v>45107</v>
      </c>
      <c r="D2219" s="232" t="s">
        <v>4870</v>
      </c>
      <c r="E2219" s="232"/>
      <c r="F2219" s="233">
        <v>3</v>
      </c>
      <c r="G2219" s="232" t="s">
        <v>4851</v>
      </c>
      <c r="H2219" s="233"/>
      <c r="I2219" s="233"/>
      <c r="J2219" s="623">
        <v>1290000</v>
      </c>
      <c r="K2219" s="624" t="s">
        <v>1130</v>
      </c>
      <c r="L2219" s="624" t="s">
        <v>4852</v>
      </c>
      <c r="M2219" s="624" t="s">
        <v>4871</v>
      </c>
      <c r="N2219" s="624" t="s">
        <v>4754</v>
      </c>
      <c r="O2219" s="624"/>
      <c r="P2219" s="624"/>
    </row>
    <row r="2220" spans="1:16">
      <c r="A2220" s="231" t="s">
        <v>686</v>
      </c>
      <c r="B2220" s="231" t="s">
        <v>1864</v>
      </c>
      <c r="C2220" s="618">
        <v>45107</v>
      </c>
      <c r="D2220" s="231" t="s">
        <v>4870</v>
      </c>
      <c r="E2220" s="231"/>
      <c r="F2220" s="619">
        <v>5</v>
      </c>
      <c r="G2220" s="231" t="s">
        <v>4851</v>
      </c>
      <c r="H2220" s="619"/>
      <c r="I2220" s="619"/>
      <c r="J2220" s="620">
        <v>2150000</v>
      </c>
      <c r="K2220" s="621" t="s">
        <v>1130</v>
      </c>
      <c r="L2220" s="621" t="s">
        <v>4852</v>
      </c>
      <c r="M2220" s="621" t="s">
        <v>4871</v>
      </c>
      <c r="N2220" s="621" t="s">
        <v>4754</v>
      </c>
      <c r="O2220" s="621"/>
      <c r="P2220" s="621"/>
    </row>
    <row r="2221" spans="1:16">
      <c r="A2221" s="232" t="s">
        <v>686</v>
      </c>
      <c r="B2221" s="232" t="s">
        <v>1864</v>
      </c>
      <c r="C2221" s="622">
        <v>45107</v>
      </c>
      <c r="D2221" s="232" t="s">
        <v>4870</v>
      </c>
      <c r="E2221" s="232"/>
      <c r="F2221" s="233">
        <v>4</v>
      </c>
      <c r="G2221" s="232" t="s">
        <v>4851</v>
      </c>
      <c r="H2221" s="233"/>
      <c r="I2221" s="233"/>
      <c r="J2221" s="623">
        <v>1720000</v>
      </c>
      <c r="K2221" s="624" t="s">
        <v>1130</v>
      </c>
      <c r="L2221" s="624" t="s">
        <v>4852</v>
      </c>
      <c r="M2221" s="624" t="s">
        <v>4871</v>
      </c>
      <c r="N2221" s="624" t="s">
        <v>4754</v>
      </c>
      <c r="O2221" s="624"/>
      <c r="P2221" s="624"/>
    </row>
    <row r="2222" spans="1:16">
      <c r="A2222" s="231" t="s">
        <v>686</v>
      </c>
      <c r="B2222" s="231" t="s">
        <v>1864</v>
      </c>
      <c r="C2222" s="618">
        <v>45107</v>
      </c>
      <c r="D2222" s="231" t="s">
        <v>4870</v>
      </c>
      <c r="E2222" s="231"/>
      <c r="F2222" s="619">
        <v>50</v>
      </c>
      <c r="G2222" s="231" t="s">
        <v>4851</v>
      </c>
      <c r="H2222" s="619"/>
      <c r="I2222" s="619"/>
      <c r="J2222" s="620">
        <v>21500000</v>
      </c>
      <c r="K2222" s="621" t="s">
        <v>1130</v>
      </c>
      <c r="L2222" s="621" t="s">
        <v>4852</v>
      </c>
      <c r="M2222" s="621" t="s">
        <v>4871</v>
      </c>
      <c r="N2222" s="621" t="s">
        <v>4754</v>
      </c>
      <c r="O2222" s="621"/>
      <c r="P2222" s="621"/>
    </row>
    <row r="2223" spans="1:16">
      <c r="A2223" s="232" t="s">
        <v>686</v>
      </c>
      <c r="B2223" s="232" t="s">
        <v>1864</v>
      </c>
      <c r="C2223" s="622">
        <v>45107</v>
      </c>
      <c r="D2223" s="232" t="s">
        <v>4880</v>
      </c>
      <c r="E2223" s="231" t="s">
        <v>5076</v>
      </c>
      <c r="F2223" s="233">
        <v>55</v>
      </c>
      <c r="G2223" s="232" t="s">
        <v>4851</v>
      </c>
      <c r="H2223" s="233"/>
      <c r="I2223" s="233"/>
      <c r="J2223" s="623">
        <v>23378307.48</v>
      </c>
      <c r="K2223" s="624" t="s">
        <v>1130</v>
      </c>
      <c r="L2223" s="624" t="s">
        <v>4852</v>
      </c>
      <c r="M2223" s="624" t="s">
        <v>4879</v>
      </c>
      <c r="N2223" s="624" t="s">
        <v>4866</v>
      </c>
      <c r="O2223" s="624"/>
      <c r="P2223" s="624"/>
    </row>
    <row r="2224" spans="1:16">
      <c r="A2224" s="231" t="s">
        <v>686</v>
      </c>
      <c r="B2224" s="231" t="s">
        <v>1864</v>
      </c>
      <c r="C2224" s="618">
        <v>45107</v>
      </c>
      <c r="D2224" s="231" t="s">
        <v>4880</v>
      </c>
      <c r="E2224" s="231" t="s">
        <v>5076</v>
      </c>
      <c r="F2224" s="619">
        <v>55</v>
      </c>
      <c r="G2224" s="231" t="s">
        <v>4851</v>
      </c>
      <c r="H2224" s="619"/>
      <c r="I2224" s="619"/>
      <c r="J2224" s="620">
        <v>23378307.48</v>
      </c>
      <c r="K2224" s="621" t="s">
        <v>1130</v>
      </c>
      <c r="L2224" s="621" t="s">
        <v>4852</v>
      </c>
      <c r="M2224" s="621" t="s">
        <v>4879</v>
      </c>
      <c r="N2224" s="621" t="s">
        <v>4866</v>
      </c>
      <c r="O2224" s="621"/>
      <c r="P2224" s="621"/>
    </row>
    <row r="2225" spans="1:16">
      <c r="A2225" s="232" t="s">
        <v>686</v>
      </c>
      <c r="B2225" s="232" t="s">
        <v>1864</v>
      </c>
      <c r="C2225" s="622">
        <v>45107</v>
      </c>
      <c r="D2225" s="232" t="s">
        <v>4880</v>
      </c>
      <c r="E2225" s="231" t="s">
        <v>5076</v>
      </c>
      <c r="F2225" s="233">
        <v>55</v>
      </c>
      <c r="G2225" s="232" t="s">
        <v>4851</v>
      </c>
      <c r="H2225" s="233"/>
      <c r="I2225" s="233"/>
      <c r="J2225" s="623">
        <v>23378307.48</v>
      </c>
      <c r="K2225" s="624" t="s">
        <v>1130</v>
      </c>
      <c r="L2225" s="624" t="s">
        <v>4852</v>
      </c>
      <c r="M2225" s="624" t="s">
        <v>4879</v>
      </c>
      <c r="N2225" s="624" t="s">
        <v>4866</v>
      </c>
      <c r="O2225" s="624"/>
      <c r="P2225" s="624"/>
    </row>
    <row r="2226" spans="1:16">
      <c r="A2226" s="231" t="s">
        <v>686</v>
      </c>
      <c r="B2226" s="231" t="s">
        <v>1864</v>
      </c>
      <c r="C2226" s="618">
        <v>45107</v>
      </c>
      <c r="D2226" s="231" t="s">
        <v>4880</v>
      </c>
      <c r="E2226" s="231" t="s">
        <v>5076</v>
      </c>
      <c r="F2226" s="619">
        <v>55</v>
      </c>
      <c r="G2226" s="231" t="s">
        <v>4851</v>
      </c>
      <c r="H2226" s="619"/>
      <c r="I2226" s="619"/>
      <c r="J2226" s="620">
        <v>23378307.48</v>
      </c>
      <c r="K2226" s="621" t="s">
        <v>1130</v>
      </c>
      <c r="L2226" s="621" t="s">
        <v>4852</v>
      </c>
      <c r="M2226" s="621" t="s">
        <v>4879</v>
      </c>
      <c r="N2226" s="621" t="s">
        <v>4866</v>
      </c>
      <c r="O2226" s="621"/>
      <c r="P2226" s="621"/>
    </row>
    <row r="2227" spans="1:16">
      <c r="A2227" s="232" t="s">
        <v>686</v>
      </c>
      <c r="B2227" s="232" t="s">
        <v>1864</v>
      </c>
      <c r="C2227" s="622">
        <v>45107</v>
      </c>
      <c r="D2227" s="232" t="s">
        <v>4880</v>
      </c>
      <c r="E2227" s="231" t="s">
        <v>5076</v>
      </c>
      <c r="F2227" s="233">
        <v>44</v>
      </c>
      <c r="G2227" s="232" t="s">
        <v>4851</v>
      </c>
      <c r="H2227" s="233"/>
      <c r="I2227" s="233"/>
      <c r="J2227" s="623">
        <v>18702645.98</v>
      </c>
      <c r="K2227" s="624" t="s">
        <v>1130</v>
      </c>
      <c r="L2227" s="624" t="s">
        <v>4852</v>
      </c>
      <c r="M2227" s="624" t="s">
        <v>4879</v>
      </c>
      <c r="N2227" s="624" t="s">
        <v>4866</v>
      </c>
      <c r="O2227" s="624"/>
      <c r="P2227" s="624"/>
    </row>
    <row r="2228" spans="1:16">
      <c r="A2228" s="231" t="s">
        <v>686</v>
      </c>
      <c r="B2228" s="231" t="s">
        <v>1864</v>
      </c>
      <c r="C2228" s="618">
        <v>45107</v>
      </c>
      <c r="D2228" s="231" t="s">
        <v>4880</v>
      </c>
      <c r="E2228" s="231" t="s">
        <v>5076</v>
      </c>
      <c r="F2228" s="619">
        <v>1</v>
      </c>
      <c r="G2228" s="231" t="s">
        <v>4851</v>
      </c>
      <c r="H2228" s="619"/>
      <c r="I2228" s="619"/>
      <c r="J2228" s="620">
        <v>425060.14</v>
      </c>
      <c r="K2228" s="621" t="s">
        <v>1130</v>
      </c>
      <c r="L2228" s="621" t="s">
        <v>4852</v>
      </c>
      <c r="M2228" s="621" t="s">
        <v>4879</v>
      </c>
      <c r="N2228" s="621" t="s">
        <v>4866</v>
      </c>
      <c r="O2228" s="621"/>
      <c r="P2228" s="621"/>
    </row>
    <row r="2229" spans="1:16">
      <c r="A2229" s="232" t="s">
        <v>686</v>
      </c>
      <c r="B2229" s="232" t="s">
        <v>1864</v>
      </c>
      <c r="C2229" s="622">
        <v>45107</v>
      </c>
      <c r="D2229" s="232" t="s">
        <v>4880</v>
      </c>
      <c r="E2229" s="231" t="s">
        <v>5076</v>
      </c>
      <c r="F2229" s="233">
        <v>1</v>
      </c>
      <c r="G2229" s="232" t="s">
        <v>4851</v>
      </c>
      <c r="H2229" s="233"/>
      <c r="I2229" s="233"/>
      <c r="J2229" s="623">
        <v>425060.14</v>
      </c>
      <c r="K2229" s="624" t="s">
        <v>1130</v>
      </c>
      <c r="L2229" s="624" t="s">
        <v>4852</v>
      </c>
      <c r="M2229" s="624" t="s">
        <v>4879</v>
      </c>
      <c r="N2229" s="624" t="s">
        <v>4866</v>
      </c>
      <c r="O2229" s="624"/>
      <c r="P2229" s="624"/>
    </row>
    <row r="2230" spans="1:16">
      <c r="A2230" s="231" t="s">
        <v>686</v>
      </c>
      <c r="B2230" s="231" t="s">
        <v>1864</v>
      </c>
      <c r="C2230" s="618">
        <v>45107</v>
      </c>
      <c r="D2230" s="231" t="s">
        <v>4880</v>
      </c>
      <c r="E2230" s="231" t="s">
        <v>5076</v>
      </c>
      <c r="F2230" s="619">
        <v>44</v>
      </c>
      <c r="G2230" s="231" t="s">
        <v>4851</v>
      </c>
      <c r="H2230" s="619"/>
      <c r="I2230" s="619"/>
      <c r="J2230" s="620">
        <v>18702645.98</v>
      </c>
      <c r="K2230" s="621" t="s">
        <v>1130</v>
      </c>
      <c r="L2230" s="621" t="s">
        <v>4852</v>
      </c>
      <c r="M2230" s="621" t="s">
        <v>4879</v>
      </c>
      <c r="N2230" s="621" t="s">
        <v>4866</v>
      </c>
      <c r="O2230" s="621"/>
      <c r="P2230" s="621"/>
    </row>
    <row r="2231" spans="1:16">
      <c r="A2231" s="232" t="s">
        <v>686</v>
      </c>
      <c r="B2231" s="232" t="s">
        <v>1864</v>
      </c>
      <c r="C2231" s="622">
        <v>45107</v>
      </c>
      <c r="D2231" s="232" t="s">
        <v>4857</v>
      </c>
      <c r="E2231" s="232"/>
      <c r="F2231" s="233">
        <v>48</v>
      </c>
      <c r="G2231" s="232" t="s">
        <v>4851</v>
      </c>
      <c r="H2231" s="233"/>
      <c r="I2231" s="233"/>
      <c r="J2231" s="623">
        <v>4080000</v>
      </c>
      <c r="K2231" s="624" t="s">
        <v>1130</v>
      </c>
      <c r="L2231" s="624" t="s">
        <v>4852</v>
      </c>
      <c r="M2231" s="624" t="s">
        <v>4858</v>
      </c>
      <c r="N2231" s="624" t="s">
        <v>4754</v>
      </c>
      <c r="O2231" s="624"/>
      <c r="P2231" s="624"/>
    </row>
    <row r="2232" spans="1:16">
      <c r="A2232" s="231" t="s">
        <v>686</v>
      </c>
      <c r="B2232" s="231" t="s">
        <v>1864</v>
      </c>
      <c r="C2232" s="618">
        <v>45107</v>
      </c>
      <c r="D2232" s="231" t="s">
        <v>4857</v>
      </c>
      <c r="E2232" s="231"/>
      <c r="F2232" s="619">
        <v>50</v>
      </c>
      <c r="G2232" s="231" t="s">
        <v>4851</v>
      </c>
      <c r="H2232" s="619"/>
      <c r="I2232" s="619"/>
      <c r="J2232" s="620">
        <v>4250000</v>
      </c>
      <c r="K2232" s="621" t="s">
        <v>1130</v>
      </c>
      <c r="L2232" s="621" t="s">
        <v>4852</v>
      </c>
      <c r="M2232" s="621" t="s">
        <v>4858</v>
      </c>
      <c r="N2232" s="621" t="s">
        <v>4754</v>
      </c>
      <c r="O2232" s="621"/>
      <c r="P2232" s="621"/>
    </row>
    <row r="2233" spans="1:16">
      <c r="A2233" s="232" t="s">
        <v>686</v>
      </c>
      <c r="B2233" s="232" t="s">
        <v>1864</v>
      </c>
      <c r="C2233" s="622">
        <v>45107</v>
      </c>
      <c r="D2233" s="232" t="s">
        <v>4857</v>
      </c>
      <c r="E2233" s="232"/>
      <c r="F2233" s="233">
        <v>50</v>
      </c>
      <c r="G2233" s="232" t="s">
        <v>4851</v>
      </c>
      <c r="H2233" s="233"/>
      <c r="I2233" s="233"/>
      <c r="J2233" s="623">
        <v>4250000</v>
      </c>
      <c r="K2233" s="624" t="s">
        <v>1130</v>
      </c>
      <c r="L2233" s="624" t="s">
        <v>4852</v>
      </c>
      <c r="M2233" s="624" t="s">
        <v>4858</v>
      </c>
      <c r="N2233" s="624" t="s">
        <v>4754</v>
      </c>
      <c r="O2233" s="624"/>
      <c r="P2233" s="624"/>
    </row>
    <row r="2234" spans="1:16">
      <c r="A2234" s="231" t="s">
        <v>686</v>
      </c>
      <c r="B2234" s="231" t="s">
        <v>1864</v>
      </c>
      <c r="C2234" s="618">
        <v>45107</v>
      </c>
      <c r="D2234" s="231" t="s">
        <v>4857</v>
      </c>
      <c r="E2234" s="231"/>
      <c r="F2234" s="619">
        <v>50</v>
      </c>
      <c r="G2234" s="231" t="s">
        <v>4851</v>
      </c>
      <c r="H2234" s="619"/>
      <c r="I2234" s="619"/>
      <c r="J2234" s="620">
        <v>4250000</v>
      </c>
      <c r="K2234" s="621" t="s">
        <v>1130</v>
      </c>
      <c r="L2234" s="621" t="s">
        <v>4852</v>
      </c>
      <c r="M2234" s="621" t="s">
        <v>4858</v>
      </c>
      <c r="N2234" s="621" t="s">
        <v>4754</v>
      </c>
      <c r="O2234" s="621"/>
      <c r="P2234" s="621"/>
    </row>
    <row r="2235" spans="1:16">
      <c r="A2235" s="232" t="s">
        <v>686</v>
      </c>
      <c r="B2235" s="232" t="s">
        <v>1864</v>
      </c>
      <c r="C2235" s="622">
        <v>45107</v>
      </c>
      <c r="D2235" s="232" t="s">
        <v>4857</v>
      </c>
      <c r="E2235" s="232"/>
      <c r="F2235" s="233">
        <v>50</v>
      </c>
      <c r="G2235" s="232" t="s">
        <v>4851</v>
      </c>
      <c r="H2235" s="233"/>
      <c r="I2235" s="233"/>
      <c r="J2235" s="623">
        <v>4250000</v>
      </c>
      <c r="K2235" s="624" t="s">
        <v>1130</v>
      </c>
      <c r="L2235" s="624" t="s">
        <v>4852</v>
      </c>
      <c r="M2235" s="624" t="s">
        <v>4858</v>
      </c>
      <c r="N2235" s="624" t="s">
        <v>4754</v>
      </c>
      <c r="O2235" s="624"/>
      <c r="P2235" s="624"/>
    </row>
    <row r="2236" spans="1:16">
      <c r="A2236" s="231" t="s">
        <v>686</v>
      </c>
      <c r="B2236" s="231" t="s">
        <v>1864</v>
      </c>
      <c r="C2236" s="618">
        <v>45107</v>
      </c>
      <c r="D2236" s="231" t="s">
        <v>4857</v>
      </c>
      <c r="E2236" s="231"/>
      <c r="F2236" s="619">
        <v>48</v>
      </c>
      <c r="G2236" s="231" t="s">
        <v>4851</v>
      </c>
      <c r="H2236" s="619"/>
      <c r="I2236" s="619"/>
      <c r="J2236" s="620">
        <v>4080000</v>
      </c>
      <c r="K2236" s="621" t="s">
        <v>1130</v>
      </c>
      <c r="L2236" s="621" t="s">
        <v>4852</v>
      </c>
      <c r="M2236" s="621" t="s">
        <v>4858</v>
      </c>
      <c r="N2236" s="621" t="s">
        <v>4754</v>
      </c>
      <c r="O2236" s="621"/>
      <c r="P2236" s="621"/>
    </row>
    <row r="2237" spans="1:16">
      <c r="A2237" s="232" t="s">
        <v>686</v>
      </c>
      <c r="B2237" s="232" t="s">
        <v>1864</v>
      </c>
      <c r="C2237" s="622">
        <v>45107</v>
      </c>
      <c r="D2237" s="232" t="s">
        <v>4868</v>
      </c>
      <c r="E2237" s="231" t="s">
        <v>5076</v>
      </c>
      <c r="F2237" s="233">
        <v>50</v>
      </c>
      <c r="G2237" s="232" t="s">
        <v>4851</v>
      </c>
      <c r="H2237" s="233"/>
      <c r="I2237" s="233"/>
      <c r="J2237" s="623">
        <v>21750000</v>
      </c>
      <c r="K2237" s="624" t="s">
        <v>1130</v>
      </c>
      <c r="L2237" s="624" t="s">
        <v>4852</v>
      </c>
      <c r="M2237" s="624" t="s">
        <v>4863</v>
      </c>
      <c r="N2237" s="624" t="s">
        <v>4754</v>
      </c>
      <c r="O2237" s="624"/>
      <c r="P2237" s="624"/>
    </row>
    <row r="2238" spans="1:16">
      <c r="A2238" s="231" t="s">
        <v>686</v>
      </c>
      <c r="B2238" s="231" t="s">
        <v>1864</v>
      </c>
      <c r="C2238" s="618">
        <v>45107</v>
      </c>
      <c r="D2238" s="231" t="s">
        <v>4857</v>
      </c>
      <c r="E2238" s="231"/>
      <c r="F2238" s="619">
        <v>48</v>
      </c>
      <c r="G2238" s="231" t="s">
        <v>4851</v>
      </c>
      <c r="H2238" s="619"/>
      <c r="I2238" s="619"/>
      <c r="J2238" s="620">
        <v>4080000</v>
      </c>
      <c r="K2238" s="621" t="s">
        <v>1130</v>
      </c>
      <c r="L2238" s="621" t="s">
        <v>4852</v>
      </c>
      <c r="M2238" s="621" t="s">
        <v>4858</v>
      </c>
      <c r="N2238" s="621" t="s">
        <v>4754</v>
      </c>
      <c r="O2238" s="621"/>
      <c r="P2238" s="621"/>
    </row>
    <row r="2239" spans="1:16">
      <c r="A2239" s="232" t="s">
        <v>686</v>
      </c>
      <c r="B2239" s="232" t="s">
        <v>1864</v>
      </c>
      <c r="C2239" s="622">
        <v>45107</v>
      </c>
      <c r="D2239" s="232" t="s">
        <v>4857</v>
      </c>
      <c r="E2239" s="232"/>
      <c r="F2239" s="233">
        <v>48</v>
      </c>
      <c r="G2239" s="232" t="s">
        <v>4851</v>
      </c>
      <c r="H2239" s="233"/>
      <c r="I2239" s="233"/>
      <c r="J2239" s="623">
        <v>4080000</v>
      </c>
      <c r="K2239" s="624" t="s">
        <v>1130</v>
      </c>
      <c r="L2239" s="624" t="s">
        <v>4852</v>
      </c>
      <c r="M2239" s="624" t="s">
        <v>4858</v>
      </c>
      <c r="N2239" s="624" t="s">
        <v>4754</v>
      </c>
      <c r="O2239" s="624"/>
      <c r="P2239" s="624"/>
    </row>
    <row r="2240" spans="1:16">
      <c r="A2240" s="231" t="s">
        <v>686</v>
      </c>
      <c r="B2240" s="231" t="s">
        <v>1864</v>
      </c>
      <c r="C2240" s="618">
        <v>45107</v>
      </c>
      <c r="D2240" s="231" t="s">
        <v>4857</v>
      </c>
      <c r="E2240" s="231"/>
      <c r="F2240" s="619">
        <v>50</v>
      </c>
      <c r="G2240" s="231" t="s">
        <v>4851</v>
      </c>
      <c r="H2240" s="619"/>
      <c r="I2240" s="619"/>
      <c r="J2240" s="620">
        <v>4250000</v>
      </c>
      <c r="K2240" s="621" t="s">
        <v>1130</v>
      </c>
      <c r="L2240" s="621" t="s">
        <v>4852</v>
      </c>
      <c r="M2240" s="621" t="s">
        <v>4858</v>
      </c>
      <c r="N2240" s="621" t="s">
        <v>4754</v>
      </c>
      <c r="O2240" s="621"/>
      <c r="P2240" s="621"/>
    </row>
    <row r="2241" spans="1:16">
      <c r="A2241" s="232" t="s">
        <v>686</v>
      </c>
      <c r="B2241" s="232" t="s">
        <v>1864</v>
      </c>
      <c r="C2241" s="622">
        <v>45107</v>
      </c>
      <c r="D2241" s="232" t="s">
        <v>4868</v>
      </c>
      <c r="E2241" s="231" t="s">
        <v>5076</v>
      </c>
      <c r="F2241" s="233">
        <v>50</v>
      </c>
      <c r="G2241" s="232" t="s">
        <v>4851</v>
      </c>
      <c r="H2241" s="233"/>
      <c r="I2241" s="233"/>
      <c r="J2241" s="623">
        <v>21750000</v>
      </c>
      <c r="K2241" s="624" t="s">
        <v>1130</v>
      </c>
      <c r="L2241" s="624" t="s">
        <v>4852</v>
      </c>
      <c r="M2241" s="624" t="s">
        <v>4863</v>
      </c>
      <c r="N2241" s="624" t="s">
        <v>4754</v>
      </c>
      <c r="O2241" s="624"/>
      <c r="P2241" s="624"/>
    </row>
    <row r="2242" spans="1:16">
      <c r="A2242" s="231" t="s">
        <v>686</v>
      </c>
      <c r="B2242" s="231" t="s">
        <v>1864</v>
      </c>
      <c r="C2242" s="618">
        <v>45107</v>
      </c>
      <c r="D2242" s="231" t="s">
        <v>4880</v>
      </c>
      <c r="E2242" s="231" t="s">
        <v>5076</v>
      </c>
      <c r="F2242" s="619">
        <v>55</v>
      </c>
      <c r="G2242" s="231" t="s">
        <v>4851</v>
      </c>
      <c r="H2242" s="619"/>
      <c r="I2242" s="619"/>
      <c r="J2242" s="620">
        <v>23378307.48</v>
      </c>
      <c r="K2242" s="621" t="s">
        <v>1130</v>
      </c>
      <c r="L2242" s="621" t="s">
        <v>4852</v>
      </c>
      <c r="M2242" s="621" t="s">
        <v>4879</v>
      </c>
      <c r="N2242" s="621" t="s">
        <v>4866</v>
      </c>
      <c r="O2242" s="621"/>
      <c r="P2242" s="621"/>
    </row>
    <row r="2243" spans="1:16">
      <c r="A2243" s="232" t="s">
        <v>686</v>
      </c>
      <c r="B2243" s="232" t="s">
        <v>1864</v>
      </c>
      <c r="C2243" s="622">
        <v>45107</v>
      </c>
      <c r="D2243" s="232" t="s">
        <v>4880</v>
      </c>
      <c r="E2243" s="231" t="s">
        <v>5076</v>
      </c>
      <c r="F2243" s="233">
        <v>17</v>
      </c>
      <c r="G2243" s="232" t="s">
        <v>4851</v>
      </c>
      <c r="H2243" s="233"/>
      <c r="I2243" s="233"/>
      <c r="J2243" s="623">
        <v>7226022.3099999996</v>
      </c>
      <c r="K2243" s="624" t="s">
        <v>1130</v>
      </c>
      <c r="L2243" s="624" t="s">
        <v>4852</v>
      </c>
      <c r="M2243" s="624" t="s">
        <v>4879</v>
      </c>
      <c r="N2243" s="624" t="s">
        <v>4866</v>
      </c>
      <c r="O2243" s="624"/>
      <c r="P2243" s="624"/>
    </row>
    <row r="2244" spans="1:16">
      <c r="A2244" s="231" t="s">
        <v>686</v>
      </c>
      <c r="B2244" s="231" t="s">
        <v>1864</v>
      </c>
      <c r="C2244" s="618">
        <v>45107</v>
      </c>
      <c r="D2244" s="231" t="s">
        <v>4880</v>
      </c>
      <c r="E2244" s="231" t="s">
        <v>5076</v>
      </c>
      <c r="F2244" s="619">
        <v>38</v>
      </c>
      <c r="G2244" s="231" t="s">
        <v>4851</v>
      </c>
      <c r="H2244" s="619"/>
      <c r="I2244" s="619"/>
      <c r="J2244" s="620">
        <v>16152285.17</v>
      </c>
      <c r="K2244" s="621" t="s">
        <v>1130</v>
      </c>
      <c r="L2244" s="621" t="s">
        <v>4852</v>
      </c>
      <c r="M2244" s="621" t="s">
        <v>4879</v>
      </c>
      <c r="N2244" s="621" t="s">
        <v>4866</v>
      </c>
      <c r="O2244" s="621"/>
      <c r="P2244" s="621"/>
    </row>
    <row r="2245" spans="1:16">
      <c r="A2245" s="232" t="s">
        <v>686</v>
      </c>
      <c r="B2245" s="232" t="s">
        <v>1864</v>
      </c>
      <c r="C2245" s="622">
        <v>45107</v>
      </c>
      <c r="D2245" s="232" t="s">
        <v>4880</v>
      </c>
      <c r="E2245" s="231" t="s">
        <v>5076</v>
      </c>
      <c r="F2245" s="233">
        <v>45</v>
      </c>
      <c r="G2245" s="232" t="s">
        <v>4851</v>
      </c>
      <c r="H2245" s="233"/>
      <c r="I2245" s="233"/>
      <c r="J2245" s="623">
        <v>19127706.120000001</v>
      </c>
      <c r="K2245" s="624" t="s">
        <v>1130</v>
      </c>
      <c r="L2245" s="624" t="s">
        <v>4852</v>
      </c>
      <c r="M2245" s="624" t="s">
        <v>4879</v>
      </c>
      <c r="N2245" s="624" t="s">
        <v>4866</v>
      </c>
      <c r="O2245" s="624"/>
      <c r="P2245" s="624"/>
    </row>
    <row r="2246" spans="1:16">
      <c r="A2246" s="231" t="s">
        <v>686</v>
      </c>
      <c r="B2246" s="231" t="s">
        <v>1864</v>
      </c>
      <c r="C2246" s="618">
        <v>45107</v>
      </c>
      <c r="D2246" s="231" t="s">
        <v>4880</v>
      </c>
      <c r="E2246" s="231" t="s">
        <v>5076</v>
      </c>
      <c r="F2246" s="619">
        <v>45</v>
      </c>
      <c r="G2246" s="231" t="s">
        <v>4851</v>
      </c>
      <c r="H2246" s="619"/>
      <c r="I2246" s="619"/>
      <c r="J2246" s="620">
        <v>19127706.120000001</v>
      </c>
      <c r="K2246" s="621" t="s">
        <v>1130</v>
      </c>
      <c r="L2246" s="621" t="s">
        <v>4852</v>
      </c>
      <c r="M2246" s="621" t="s">
        <v>4879</v>
      </c>
      <c r="N2246" s="621" t="s">
        <v>4866</v>
      </c>
      <c r="O2246" s="621"/>
      <c r="P2246" s="621"/>
    </row>
    <row r="2247" spans="1:16">
      <c r="A2247" s="232" t="s">
        <v>686</v>
      </c>
      <c r="B2247" s="232" t="s">
        <v>1864</v>
      </c>
      <c r="C2247" s="622">
        <v>45107</v>
      </c>
      <c r="D2247" s="232" t="s">
        <v>4880</v>
      </c>
      <c r="E2247" s="231" t="s">
        <v>5076</v>
      </c>
      <c r="F2247" s="233">
        <v>45</v>
      </c>
      <c r="G2247" s="232" t="s">
        <v>4851</v>
      </c>
      <c r="H2247" s="233"/>
      <c r="I2247" s="233"/>
      <c r="J2247" s="623">
        <v>19127706.120000001</v>
      </c>
      <c r="K2247" s="624" t="s">
        <v>1130</v>
      </c>
      <c r="L2247" s="624" t="s">
        <v>4852</v>
      </c>
      <c r="M2247" s="624" t="s">
        <v>4879</v>
      </c>
      <c r="N2247" s="624" t="s">
        <v>4866</v>
      </c>
      <c r="O2247" s="624"/>
      <c r="P2247" s="624"/>
    </row>
    <row r="2248" spans="1:16">
      <c r="A2248" s="231" t="s">
        <v>686</v>
      </c>
      <c r="B2248" s="231" t="s">
        <v>1864</v>
      </c>
      <c r="C2248" s="618">
        <v>45107</v>
      </c>
      <c r="D2248" s="231" t="s">
        <v>4880</v>
      </c>
      <c r="E2248" s="231" t="s">
        <v>5076</v>
      </c>
      <c r="F2248" s="619">
        <v>50</v>
      </c>
      <c r="G2248" s="231" t="s">
        <v>4851</v>
      </c>
      <c r="H2248" s="619"/>
      <c r="I2248" s="619"/>
      <c r="J2248" s="620">
        <v>21253006.800000001</v>
      </c>
      <c r="K2248" s="621" t="s">
        <v>1130</v>
      </c>
      <c r="L2248" s="621" t="s">
        <v>4852</v>
      </c>
      <c r="M2248" s="621" t="s">
        <v>4879</v>
      </c>
      <c r="N2248" s="621" t="s">
        <v>4866</v>
      </c>
      <c r="O2248" s="621"/>
      <c r="P2248" s="621"/>
    </row>
    <row r="2249" spans="1:16">
      <c r="A2249" s="232" t="s">
        <v>686</v>
      </c>
      <c r="B2249" s="232" t="s">
        <v>1864</v>
      </c>
      <c r="C2249" s="622">
        <v>45107</v>
      </c>
      <c r="D2249" s="232" t="s">
        <v>4880</v>
      </c>
      <c r="E2249" s="231" t="s">
        <v>5076</v>
      </c>
      <c r="F2249" s="233">
        <v>55</v>
      </c>
      <c r="G2249" s="232" t="s">
        <v>4851</v>
      </c>
      <c r="H2249" s="233"/>
      <c r="I2249" s="233"/>
      <c r="J2249" s="623">
        <v>23378307.48</v>
      </c>
      <c r="K2249" s="624" t="s">
        <v>1130</v>
      </c>
      <c r="L2249" s="624" t="s">
        <v>4852</v>
      </c>
      <c r="M2249" s="624" t="s">
        <v>4879</v>
      </c>
      <c r="N2249" s="624" t="s">
        <v>4866</v>
      </c>
      <c r="O2249" s="624"/>
      <c r="P2249" s="624"/>
    </row>
    <row r="2250" spans="1:16">
      <c r="A2250" s="231" t="s">
        <v>686</v>
      </c>
      <c r="B2250" s="231" t="s">
        <v>1864</v>
      </c>
      <c r="C2250" s="618">
        <v>45107</v>
      </c>
      <c r="D2250" s="231" t="s">
        <v>4855</v>
      </c>
      <c r="E2250" s="231"/>
      <c r="F2250" s="619">
        <v>18351.171999999999</v>
      </c>
      <c r="G2250" s="231" t="s">
        <v>4851</v>
      </c>
      <c r="H2250" s="619"/>
      <c r="I2250" s="619">
        <v>17800636.84</v>
      </c>
      <c r="J2250" s="620">
        <v>10929929231.860001</v>
      </c>
      <c r="K2250" s="621" t="s">
        <v>991</v>
      </c>
      <c r="L2250" s="621" t="s">
        <v>4852</v>
      </c>
      <c r="M2250" s="621" t="s">
        <v>4853</v>
      </c>
      <c r="N2250" s="621" t="s">
        <v>4854</v>
      </c>
      <c r="O2250" s="621"/>
      <c r="P2250" s="621"/>
    </row>
    <row r="2251" spans="1:16">
      <c r="A2251" s="232" t="s">
        <v>686</v>
      </c>
      <c r="B2251" s="232" t="s">
        <v>1864</v>
      </c>
      <c r="C2251" s="622">
        <v>45107</v>
      </c>
      <c r="D2251" s="232" t="s">
        <v>4857</v>
      </c>
      <c r="E2251" s="232"/>
      <c r="F2251" s="233">
        <v>48</v>
      </c>
      <c r="G2251" s="232" t="s">
        <v>4851</v>
      </c>
      <c r="H2251" s="233"/>
      <c r="I2251" s="233"/>
      <c r="J2251" s="623">
        <v>4080000</v>
      </c>
      <c r="K2251" s="624" t="s">
        <v>1130</v>
      </c>
      <c r="L2251" s="624" t="s">
        <v>4852</v>
      </c>
      <c r="M2251" s="624" t="s">
        <v>4858</v>
      </c>
      <c r="N2251" s="624" t="s">
        <v>4754</v>
      </c>
      <c r="O2251" s="624"/>
      <c r="P2251" s="624"/>
    </row>
    <row r="2252" spans="1:16">
      <c r="A2252" s="231" t="s">
        <v>686</v>
      </c>
      <c r="B2252" s="231" t="s">
        <v>1864</v>
      </c>
      <c r="C2252" s="618">
        <v>45107</v>
      </c>
      <c r="D2252" s="231" t="s">
        <v>4880</v>
      </c>
      <c r="E2252" s="231" t="s">
        <v>5076</v>
      </c>
      <c r="F2252" s="619">
        <v>45</v>
      </c>
      <c r="G2252" s="231" t="s">
        <v>4851</v>
      </c>
      <c r="H2252" s="619"/>
      <c r="I2252" s="619"/>
      <c r="J2252" s="620">
        <v>19127706.120000001</v>
      </c>
      <c r="K2252" s="621" t="s">
        <v>1130</v>
      </c>
      <c r="L2252" s="621" t="s">
        <v>4852</v>
      </c>
      <c r="M2252" s="621" t="s">
        <v>4879</v>
      </c>
      <c r="N2252" s="621" t="s">
        <v>4866</v>
      </c>
      <c r="O2252" s="621"/>
      <c r="P2252" s="621"/>
    </row>
    <row r="2253" spans="1:16">
      <c r="A2253" s="232" t="s">
        <v>686</v>
      </c>
      <c r="B2253" s="232" t="s">
        <v>1864</v>
      </c>
      <c r="C2253" s="622">
        <v>45107</v>
      </c>
      <c r="D2253" s="232" t="s">
        <v>4880</v>
      </c>
      <c r="E2253" s="231" t="s">
        <v>5076</v>
      </c>
      <c r="F2253" s="233">
        <v>45</v>
      </c>
      <c r="G2253" s="232" t="s">
        <v>4851</v>
      </c>
      <c r="H2253" s="233"/>
      <c r="I2253" s="233"/>
      <c r="J2253" s="623">
        <v>19127706.120000001</v>
      </c>
      <c r="K2253" s="624" t="s">
        <v>1130</v>
      </c>
      <c r="L2253" s="624" t="s">
        <v>4852</v>
      </c>
      <c r="M2253" s="624" t="s">
        <v>4879</v>
      </c>
      <c r="N2253" s="624" t="s">
        <v>4866</v>
      </c>
      <c r="O2253" s="624"/>
      <c r="P2253" s="624"/>
    </row>
    <row r="2254" spans="1:16">
      <c r="A2254" s="231" t="s">
        <v>686</v>
      </c>
      <c r="B2254" s="231" t="s">
        <v>1864</v>
      </c>
      <c r="C2254" s="618">
        <v>45107</v>
      </c>
      <c r="D2254" s="231" t="s">
        <v>4880</v>
      </c>
      <c r="E2254" s="231" t="s">
        <v>5076</v>
      </c>
      <c r="F2254" s="619">
        <v>55</v>
      </c>
      <c r="G2254" s="231" t="s">
        <v>4851</v>
      </c>
      <c r="H2254" s="619"/>
      <c r="I2254" s="619"/>
      <c r="J2254" s="620">
        <v>23378307.48</v>
      </c>
      <c r="K2254" s="621" t="s">
        <v>1130</v>
      </c>
      <c r="L2254" s="621" t="s">
        <v>4852</v>
      </c>
      <c r="M2254" s="621" t="s">
        <v>4879</v>
      </c>
      <c r="N2254" s="621" t="s">
        <v>4866</v>
      </c>
      <c r="O2254" s="621"/>
      <c r="P2254" s="621"/>
    </row>
    <row r="2255" spans="1:16">
      <c r="A2255" s="232" t="s">
        <v>686</v>
      </c>
      <c r="B2255" s="232" t="s">
        <v>1864</v>
      </c>
      <c r="C2255" s="622">
        <v>45107</v>
      </c>
      <c r="D2255" s="232" t="s">
        <v>4880</v>
      </c>
      <c r="E2255" s="231" t="s">
        <v>5076</v>
      </c>
      <c r="F2255" s="233">
        <v>55</v>
      </c>
      <c r="G2255" s="232" t="s">
        <v>4851</v>
      </c>
      <c r="H2255" s="233"/>
      <c r="I2255" s="233"/>
      <c r="J2255" s="623">
        <v>23378307.48</v>
      </c>
      <c r="K2255" s="624" t="s">
        <v>1130</v>
      </c>
      <c r="L2255" s="624" t="s">
        <v>4852</v>
      </c>
      <c r="M2255" s="624" t="s">
        <v>4879</v>
      </c>
      <c r="N2255" s="624" t="s">
        <v>4866</v>
      </c>
      <c r="O2255" s="624"/>
      <c r="P2255" s="624"/>
    </row>
    <row r="2256" spans="1:16">
      <c r="A2256" s="231" t="s">
        <v>686</v>
      </c>
      <c r="B2256" s="231" t="s">
        <v>1864</v>
      </c>
      <c r="C2256" s="618">
        <v>45107</v>
      </c>
      <c r="D2256" s="231" t="s">
        <v>4880</v>
      </c>
      <c r="E2256" s="231" t="s">
        <v>5076</v>
      </c>
      <c r="F2256" s="619">
        <v>55</v>
      </c>
      <c r="G2256" s="231" t="s">
        <v>4851</v>
      </c>
      <c r="H2256" s="619"/>
      <c r="I2256" s="619"/>
      <c r="J2256" s="620">
        <v>23378307.48</v>
      </c>
      <c r="K2256" s="621" t="s">
        <v>1130</v>
      </c>
      <c r="L2256" s="621" t="s">
        <v>4852</v>
      </c>
      <c r="M2256" s="621" t="s">
        <v>4879</v>
      </c>
      <c r="N2256" s="621" t="s">
        <v>4866</v>
      </c>
      <c r="O2256" s="621"/>
      <c r="P2256" s="621"/>
    </row>
    <row r="2257" spans="1:16">
      <c r="A2257" s="232" t="s">
        <v>686</v>
      </c>
      <c r="B2257" s="232" t="s">
        <v>1864</v>
      </c>
      <c r="C2257" s="622">
        <v>45107</v>
      </c>
      <c r="D2257" s="232" t="s">
        <v>4880</v>
      </c>
      <c r="E2257" s="231" t="s">
        <v>5076</v>
      </c>
      <c r="F2257" s="233">
        <v>50</v>
      </c>
      <c r="G2257" s="232" t="s">
        <v>4851</v>
      </c>
      <c r="H2257" s="233"/>
      <c r="I2257" s="233"/>
      <c r="J2257" s="623">
        <v>21253006.800000001</v>
      </c>
      <c r="K2257" s="624" t="s">
        <v>1130</v>
      </c>
      <c r="L2257" s="624" t="s">
        <v>4852</v>
      </c>
      <c r="M2257" s="624" t="s">
        <v>4879</v>
      </c>
      <c r="N2257" s="624" t="s">
        <v>4866</v>
      </c>
      <c r="O2257" s="624"/>
      <c r="P2257" s="624"/>
    </row>
    <row r="2258" spans="1:16">
      <c r="A2258" s="231" t="s">
        <v>686</v>
      </c>
      <c r="B2258" s="231" t="s">
        <v>1864</v>
      </c>
      <c r="C2258" s="618">
        <v>45107</v>
      </c>
      <c r="D2258" s="231" t="s">
        <v>4880</v>
      </c>
      <c r="E2258" s="231" t="s">
        <v>5076</v>
      </c>
      <c r="F2258" s="619">
        <v>55</v>
      </c>
      <c r="G2258" s="231" t="s">
        <v>4851</v>
      </c>
      <c r="H2258" s="619"/>
      <c r="I2258" s="619"/>
      <c r="J2258" s="620">
        <v>23378307.48</v>
      </c>
      <c r="K2258" s="621" t="s">
        <v>1130</v>
      </c>
      <c r="L2258" s="621" t="s">
        <v>4852</v>
      </c>
      <c r="M2258" s="621" t="s">
        <v>4879</v>
      </c>
      <c r="N2258" s="621" t="s">
        <v>4866</v>
      </c>
      <c r="O2258" s="621"/>
      <c r="P2258" s="621"/>
    </row>
    <row r="2259" spans="1:16">
      <c r="A2259" s="232" t="s">
        <v>686</v>
      </c>
      <c r="B2259" s="232" t="s">
        <v>1864</v>
      </c>
      <c r="C2259" s="622">
        <v>45107</v>
      </c>
      <c r="D2259" s="232" t="s">
        <v>4880</v>
      </c>
      <c r="E2259" s="231" t="s">
        <v>5076</v>
      </c>
      <c r="F2259" s="233">
        <v>55</v>
      </c>
      <c r="G2259" s="232" t="s">
        <v>4851</v>
      </c>
      <c r="H2259" s="233"/>
      <c r="I2259" s="233"/>
      <c r="J2259" s="623">
        <v>23378307.48</v>
      </c>
      <c r="K2259" s="624" t="s">
        <v>1130</v>
      </c>
      <c r="L2259" s="624" t="s">
        <v>4852</v>
      </c>
      <c r="M2259" s="624" t="s">
        <v>4879</v>
      </c>
      <c r="N2259" s="624" t="s">
        <v>4866</v>
      </c>
      <c r="O2259" s="624"/>
      <c r="P2259" s="624"/>
    </row>
    <row r="2260" spans="1:16">
      <c r="A2260" s="231" t="s">
        <v>686</v>
      </c>
      <c r="B2260" s="231" t="s">
        <v>1864</v>
      </c>
      <c r="C2260" s="618">
        <v>45107</v>
      </c>
      <c r="D2260" s="231" t="s">
        <v>4880</v>
      </c>
      <c r="E2260" s="231" t="s">
        <v>5076</v>
      </c>
      <c r="F2260" s="619">
        <v>45</v>
      </c>
      <c r="G2260" s="231" t="s">
        <v>4851</v>
      </c>
      <c r="H2260" s="619"/>
      <c r="I2260" s="619"/>
      <c r="J2260" s="620">
        <v>19127706.120000001</v>
      </c>
      <c r="K2260" s="621" t="s">
        <v>1130</v>
      </c>
      <c r="L2260" s="621" t="s">
        <v>4852</v>
      </c>
      <c r="M2260" s="621" t="s">
        <v>4879</v>
      </c>
      <c r="N2260" s="621" t="s">
        <v>4866</v>
      </c>
      <c r="O2260" s="621"/>
      <c r="P2260" s="621"/>
    </row>
    <row r="2261" spans="1:16">
      <c r="A2261" s="232" t="s">
        <v>686</v>
      </c>
      <c r="B2261" s="232" t="s">
        <v>1864</v>
      </c>
      <c r="C2261" s="622">
        <v>45107</v>
      </c>
      <c r="D2261" s="232" t="s">
        <v>4880</v>
      </c>
      <c r="E2261" s="231" t="s">
        <v>5076</v>
      </c>
      <c r="F2261" s="233">
        <v>45</v>
      </c>
      <c r="G2261" s="232" t="s">
        <v>4851</v>
      </c>
      <c r="H2261" s="233"/>
      <c r="I2261" s="233"/>
      <c r="J2261" s="623">
        <v>19127706.120000001</v>
      </c>
      <c r="K2261" s="624" t="s">
        <v>1130</v>
      </c>
      <c r="L2261" s="624" t="s">
        <v>4852</v>
      </c>
      <c r="M2261" s="624" t="s">
        <v>4879</v>
      </c>
      <c r="N2261" s="624" t="s">
        <v>4866</v>
      </c>
      <c r="O2261" s="624"/>
      <c r="P2261" s="624"/>
    </row>
    <row r="2262" spans="1:16">
      <c r="A2262" s="231" t="s">
        <v>686</v>
      </c>
      <c r="B2262" s="231" t="s">
        <v>1864</v>
      </c>
      <c r="C2262" s="618">
        <v>45107</v>
      </c>
      <c r="D2262" s="231" t="s">
        <v>4880</v>
      </c>
      <c r="E2262" s="231" t="s">
        <v>5076</v>
      </c>
      <c r="F2262" s="619">
        <v>45</v>
      </c>
      <c r="G2262" s="231" t="s">
        <v>4851</v>
      </c>
      <c r="H2262" s="619"/>
      <c r="I2262" s="619"/>
      <c r="J2262" s="620">
        <v>19127706.120000001</v>
      </c>
      <c r="K2262" s="621" t="s">
        <v>1130</v>
      </c>
      <c r="L2262" s="621" t="s">
        <v>4852</v>
      </c>
      <c r="M2262" s="621" t="s">
        <v>4879</v>
      </c>
      <c r="N2262" s="621" t="s">
        <v>4866</v>
      </c>
      <c r="O2262" s="621"/>
      <c r="P2262" s="621"/>
    </row>
    <row r="2263" spans="1:16">
      <c r="A2263" s="232" t="s">
        <v>686</v>
      </c>
      <c r="B2263" s="232" t="s">
        <v>1864</v>
      </c>
      <c r="C2263" s="622">
        <v>45107</v>
      </c>
      <c r="D2263" s="232" t="s">
        <v>4880</v>
      </c>
      <c r="E2263" s="231" t="s">
        <v>5076</v>
      </c>
      <c r="F2263" s="233">
        <v>55</v>
      </c>
      <c r="G2263" s="232" t="s">
        <v>4851</v>
      </c>
      <c r="H2263" s="233"/>
      <c r="I2263" s="233"/>
      <c r="J2263" s="623">
        <v>23378307.48</v>
      </c>
      <c r="K2263" s="624" t="s">
        <v>1130</v>
      </c>
      <c r="L2263" s="624" t="s">
        <v>4852</v>
      </c>
      <c r="M2263" s="624" t="s">
        <v>4879</v>
      </c>
      <c r="N2263" s="624" t="s">
        <v>4866</v>
      </c>
      <c r="O2263" s="624"/>
      <c r="P2263" s="624"/>
    </row>
    <row r="2264" spans="1:16">
      <c r="A2264" s="231" t="s">
        <v>686</v>
      </c>
      <c r="B2264" s="231" t="s">
        <v>1864</v>
      </c>
      <c r="C2264" s="618">
        <v>45107</v>
      </c>
      <c r="D2264" s="231" t="s">
        <v>4880</v>
      </c>
      <c r="E2264" s="231" t="s">
        <v>5076</v>
      </c>
      <c r="F2264" s="619">
        <v>50</v>
      </c>
      <c r="G2264" s="231" t="s">
        <v>4851</v>
      </c>
      <c r="H2264" s="619"/>
      <c r="I2264" s="619"/>
      <c r="J2264" s="620">
        <v>21253006.800000001</v>
      </c>
      <c r="K2264" s="621" t="s">
        <v>1130</v>
      </c>
      <c r="L2264" s="621" t="s">
        <v>4852</v>
      </c>
      <c r="M2264" s="621" t="s">
        <v>4879</v>
      </c>
      <c r="N2264" s="621" t="s">
        <v>4866</v>
      </c>
      <c r="O2264" s="621"/>
      <c r="P2264" s="621"/>
    </row>
    <row r="2265" spans="1:16">
      <c r="A2265" s="232" t="s">
        <v>686</v>
      </c>
      <c r="B2265" s="232" t="s">
        <v>1864</v>
      </c>
      <c r="C2265" s="622">
        <v>45107</v>
      </c>
      <c r="D2265" s="232" t="s">
        <v>4880</v>
      </c>
      <c r="E2265" s="231" t="s">
        <v>5076</v>
      </c>
      <c r="F2265" s="233">
        <v>50</v>
      </c>
      <c r="G2265" s="232" t="s">
        <v>4851</v>
      </c>
      <c r="H2265" s="233"/>
      <c r="I2265" s="233"/>
      <c r="J2265" s="623">
        <v>21253006.800000001</v>
      </c>
      <c r="K2265" s="624" t="s">
        <v>1130</v>
      </c>
      <c r="L2265" s="624" t="s">
        <v>4852</v>
      </c>
      <c r="M2265" s="624" t="s">
        <v>4879</v>
      </c>
      <c r="N2265" s="624" t="s">
        <v>4866</v>
      </c>
      <c r="O2265" s="624"/>
      <c r="P2265" s="624"/>
    </row>
    <row r="2266" spans="1:16">
      <c r="A2266" s="231" t="s">
        <v>686</v>
      </c>
      <c r="B2266" s="231" t="s">
        <v>1864</v>
      </c>
      <c r="C2266" s="618">
        <v>45107</v>
      </c>
      <c r="D2266" s="231" t="s">
        <v>4880</v>
      </c>
      <c r="E2266" s="231" t="s">
        <v>5076</v>
      </c>
      <c r="F2266" s="619">
        <v>50</v>
      </c>
      <c r="G2266" s="231" t="s">
        <v>4851</v>
      </c>
      <c r="H2266" s="619"/>
      <c r="I2266" s="619"/>
      <c r="J2266" s="620">
        <v>21253006.800000001</v>
      </c>
      <c r="K2266" s="621" t="s">
        <v>1130</v>
      </c>
      <c r="L2266" s="621" t="s">
        <v>4852</v>
      </c>
      <c r="M2266" s="621" t="s">
        <v>4879</v>
      </c>
      <c r="N2266" s="621" t="s">
        <v>4866</v>
      </c>
      <c r="O2266" s="621"/>
      <c r="P2266" s="621"/>
    </row>
    <row r="2267" spans="1:16">
      <c r="A2267" s="232" t="s">
        <v>686</v>
      </c>
      <c r="B2267" s="232" t="s">
        <v>1864</v>
      </c>
      <c r="C2267" s="622">
        <v>45107</v>
      </c>
      <c r="D2267" s="232" t="s">
        <v>4880</v>
      </c>
      <c r="E2267" s="231" t="s">
        <v>5076</v>
      </c>
      <c r="F2267" s="233">
        <v>50</v>
      </c>
      <c r="G2267" s="232" t="s">
        <v>4851</v>
      </c>
      <c r="H2267" s="233"/>
      <c r="I2267" s="233"/>
      <c r="J2267" s="623">
        <v>21253006.800000001</v>
      </c>
      <c r="K2267" s="624" t="s">
        <v>1130</v>
      </c>
      <c r="L2267" s="624" t="s">
        <v>4852</v>
      </c>
      <c r="M2267" s="624" t="s">
        <v>4879</v>
      </c>
      <c r="N2267" s="624" t="s">
        <v>4866</v>
      </c>
      <c r="O2267" s="624"/>
      <c r="P2267" s="624"/>
    </row>
    <row r="2268" spans="1:16">
      <c r="A2268" s="231" t="s">
        <v>686</v>
      </c>
      <c r="B2268" s="231" t="s">
        <v>1864</v>
      </c>
      <c r="C2268" s="618">
        <v>45107</v>
      </c>
      <c r="D2268" s="231" t="s">
        <v>4880</v>
      </c>
      <c r="E2268" s="231" t="s">
        <v>5076</v>
      </c>
      <c r="F2268" s="619">
        <v>50</v>
      </c>
      <c r="G2268" s="231" t="s">
        <v>4851</v>
      </c>
      <c r="H2268" s="619"/>
      <c r="I2268" s="619"/>
      <c r="J2268" s="620">
        <v>21253006.800000001</v>
      </c>
      <c r="K2268" s="621" t="s">
        <v>1130</v>
      </c>
      <c r="L2268" s="621" t="s">
        <v>4852</v>
      </c>
      <c r="M2268" s="621" t="s">
        <v>4879</v>
      </c>
      <c r="N2268" s="621" t="s">
        <v>4866</v>
      </c>
      <c r="O2268" s="621"/>
      <c r="P2268" s="621"/>
    </row>
    <row r="2269" spans="1:16">
      <c r="A2269" s="232" t="s">
        <v>686</v>
      </c>
      <c r="B2269" s="232" t="s">
        <v>1864</v>
      </c>
      <c r="C2269" s="622">
        <v>45107</v>
      </c>
      <c r="D2269" s="232" t="s">
        <v>4880</v>
      </c>
      <c r="E2269" s="231" t="s">
        <v>5076</v>
      </c>
      <c r="F2269" s="233">
        <v>55</v>
      </c>
      <c r="G2269" s="232" t="s">
        <v>4851</v>
      </c>
      <c r="H2269" s="233"/>
      <c r="I2269" s="233"/>
      <c r="J2269" s="623">
        <v>23378307.48</v>
      </c>
      <c r="K2269" s="624" t="s">
        <v>1130</v>
      </c>
      <c r="L2269" s="624" t="s">
        <v>4852</v>
      </c>
      <c r="M2269" s="624" t="s">
        <v>4879</v>
      </c>
      <c r="N2269" s="624" t="s">
        <v>4866</v>
      </c>
      <c r="O2269" s="624"/>
      <c r="P2269" s="624"/>
    </row>
    <row r="2270" spans="1:16">
      <c r="A2270" s="231" t="s">
        <v>686</v>
      </c>
      <c r="B2270" s="231" t="s">
        <v>1864</v>
      </c>
      <c r="C2270" s="618">
        <v>45107</v>
      </c>
      <c r="D2270" s="231" t="s">
        <v>4855</v>
      </c>
      <c r="E2270" s="231"/>
      <c r="F2270" s="619">
        <v>16391.883000000002</v>
      </c>
      <c r="G2270" s="231" t="s">
        <v>4851</v>
      </c>
      <c r="H2270" s="619"/>
      <c r="I2270" s="619">
        <v>15900126.51</v>
      </c>
      <c r="J2270" s="620">
        <v>9762979779.5400009</v>
      </c>
      <c r="K2270" s="621" t="s">
        <v>991</v>
      </c>
      <c r="L2270" s="621" t="s">
        <v>4852</v>
      </c>
      <c r="M2270" s="621" t="s">
        <v>4853</v>
      </c>
      <c r="N2270" s="621" t="s">
        <v>4854</v>
      </c>
      <c r="O2270" s="621"/>
      <c r="P2270" s="621"/>
    </row>
    <row r="2271" spans="1:16">
      <c r="A2271" s="232" t="s">
        <v>686</v>
      </c>
      <c r="B2271" s="232" t="s">
        <v>1864</v>
      </c>
      <c r="C2271" s="622">
        <v>45107</v>
      </c>
      <c r="D2271" s="232" t="s">
        <v>4850</v>
      </c>
      <c r="E2271" s="232"/>
      <c r="F2271" s="233"/>
      <c r="G2271" s="232" t="s">
        <v>4851</v>
      </c>
      <c r="H2271" s="233"/>
      <c r="I2271" s="233">
        <v>-143101.14000000001</v>
      </c>
      <c r="J2271" s="623">
        <v>-87866818.879999995</v>
      </c>
      <c r="K2271" s="624" t="s">
        <v>991</v>
      </c>
      <c r="L2271" s="624" t="s">
        <v>4852</v>
      </c>
      <c r="M2271" s="624" t="s">
        <v>4853</v>
      </c>
      <c r="N2271" s="624" t="s">
        <v>4854</v>
      </c>
      <c r="O2271" s="624"/>
      <c r="P2271" s="624"/>
    </row>
    <row r="2272" spans="1:16">
      <c r="A2272" s="231" t="s">
        <v>686</v>
      </c>
      <c r="B2272" s="231" t="s">
        <v>1864</v>
      </c>
      <c r="C2272" s="618">
        <v>45107</v>
      </c>
      <c r="D2272" s="231" t="s">
        <v>4850</v>
      </c>
      <c r="E2272" s="231"/>
      <c r="F2272" s="619"/>
      <c r="G2272" s="231" t="s">
        <v>4851</v>
      </c>
      <c r="H2272" s="619"/>
      <c r="I2272" s="619">
        <v>-160572.76</v>
      </c>
      <c r="J2272" s="620">
        <v>-98594725.519999996</v>
      </c>
      <c r="K2272" s="621" t="s">
        <v>991</v>
      </c>
      <c r="L2272" s="621" t="s">
        <v>4852</v>
      </c>
      <c r="M2272" s="621" t="s">
        <v>4853</v>
      </c>
      <c r="N2272" s="621" t="s">
        <v>4854</v>
      </c>
      <c r="O2272" s="621"/>
      <c r="P2272" s="621"/>
    </row>
    <row r="2273" spans="1:16">
      <c r="A2273" s="232" t="s">
        <v>686</v>
      </c>
      <c r="B2273" s="232" t="s">
        <v>1864</v>
      </c>
      <c r="C2273" s="622">
        <v>45138</v>
      </c>
      <c r="D2273" s="232" t="s">
        <v>4857</v>
      </c>
      <c r="E2273" s="232"/>
      <c r="F2273" s="233">
        <v>48</v>
      </c>
      <c r="G2273" s="232" t="s">
        <v>4851</v>
      </c>
      <c r="H2273" s="233"/>
      <c r="I2273" s="233"/>
      <c r="J2273" s="623">
        <v>4080000</v>
      </c>
      <c r="K2273" s="624" t="s">
        <v>1130</v>
      </c>
      <c r="L2273" s="624" t="s">
        <v>4852</v>
      </c>
      <c r="M2273" s="624" t="s">
        <v>4858</v>
      </c>
      <c r="N2273" s="624" t="s">
        <v>4754</v>
      </c>
      <c r="O2273" s="624"/>
      <c r="P2273" s="624"/>
    </row>
    <row r="2274" spans="1:16">
      <c r="A2274" s="231" t="s">
        <v>686</v>
      </c>
      <c r="B2274" s="231" t="s">
        <v>1864</v>
      </c>
      <c r="C2274" s="618">
        <v>45138</v>
      </c>
      <c r="D2274" s="231" t="s">
        <v>4880</v>
      </c>
      <c r="E2274" s="231" t="s">
        <v>5076</v>
      </c>
      <c r="F2274" s="619">
        <v>45</v>
      </c>
      <c r="G2274" s="231" t="s">
        <v>4851</v>
      </c>
      <c r="H2274" s="619"/>
      <c r="I2274" s="619"/>
      <c r="J2274" s="620">
        <v>19127706.120000001</v>
      </c>
      <c r="K2274" s="621" t="s">
        <v>1130</v>
      </c>
      <c r="L2274" s="621" t="s">
        <v>4852</v>
      </c>
      <c r="M2274" s="621" t="s">
        <v>4879</v>
      </c>
      <c r="N2274" s="621" t="s">
        <v>4866</v>
      </c>
      <c r="O2274" s="621"/>
      <c r="P2274" s="621"/>
    </row>
    <row r="2275" spans="1:16">
      <c r="A2275" s="232" t="s">
        <v>686</v>
      </c>
      <c r="B2275" s="232" t="s">
        <v>1864</v>
      </c>
      <c r="C2275" s="622">
        <v>45138</v>
      </c>
      <c r="D2275" s="232" t="s">
        <v>4880</v>
      </c>
      <c r="E2275" s="231" t="s">
        <v>5076</v>
      </c>
      <c r="F2275" s="233">
        <v>50</v>
      </c>
      <c r="G2275" s="232" t="s">
        <v>4851</v>
      </c>
      <c r="H2275" s="233"/>
      <c r="I2275" s="233"/>
      <c r="J2275" s="623">
        <v>21253006.800000001</v>
      </c>
      <c r="K2275" s="624" t="s">
        <v>1130</v>
      </c>
      <c r="L2275" s="624" t="s">
        <v>4852</v>
      </c>
      <c r="M2275" s="624" t="s">
        <v>4879</v>
      </c>
      <c r="N2275" s="624" t="s">
        <v>4866</v>
      </c>
      <c r="O2275" s="624"/>
      <c r="P2275" s="624"/>
    </row>
    <row r="2276" spans="1:16">
      <c r="A2276" s="231" t="s">
        <v>686</v>
      </c>
      <c r="B2276" s="231" t="s">
        <v>1864</v>
      </c>
      <c r="C2276" s="618">
        <v>45138</v>
      </c>
      <c r="D2276" s="231" t="s">
        <v>4880</v>
      </c>
      <c r="E2276" s="231" t="s">
        <v>5076</v>
      </c>
      <c r="F2276" s="619">
        <v>55</v>
      </c>
      <c r="G2276" s="231" t="s">
        <v>4851</v>
      </c>
      <c r="H2276" s="619"/>
      <c r="I2276" s="619"/>
      <c r="J2276" s="620">
        <v>23378307.48</v>
      </c>
      <c r="K2276" s="621" t="s">
        <v>1130</v>
      </c>
      <c r="L2276" s="621" t="s">
        <v>4852</v>
      </c>
      <c r="M2276" s="621" t="s">
        <v>4879</v>
      </c>
      <c r="N2276" s="621" t="s">
        <v>4866</v>
      </c>
      <c r="O2276" s="621"/>
      <c r="P2276" s="621"/>
    </row>
    <row r="2277" spans="1:16">
      <c r="A2277" s="232" t="s">
        <v>686</v>
      </c>
      <c r="B2277" s="232" t="s">
        <v>1864</v>
      </c>
      <c r="C2277" s="622">
        <v>45138</v>
      </c>
      <c r="D2277" s="232" t="s">
        <v>4880</v>
      </c>
      <c r="E2277" s="231" t="s">
        <v>5076</v>
      </c>
      <c r="F2277" s="233">
        <v>50</v>
      </c>
      <c r="G2277" s="232" t="s">
        <v>4851</v>
      </c>
      <c r="H2277" s="233"/>
      <c r="I2277" s="233"/>
      <c r="J2277" s="623">
        <v>21253006.800000001</v>
      </c>
      <c r="K2277" s="624" t="s">
        <v>1130</v>
      </c>
      <c r="L2277" s="624" t="s">
        <v>4852</v>
      </c>
      <c r="M2277" s="624" t="s">
        <v>4879</v>
      </c>
      <c r="N2277" s="624" t="s">
        <v>4866</v>
      </c>
      <c r="O2277" s="624"/>
      <c r="P2277" s="624"/>
    </row>
    <row r="2278" spans="1:16">
      <c r="A2278" s="231" t="s">
        <v>686</v>
      </c>
      <c r="B2278" s="231" t="s">
        <v>1864</v>
      </c>
      <c r="C2278" s="618">
        <v>45138</v>
      </c>
      <c r="D2278" s="231" t="s">
        <v>4880</v>
      </c>
      <c r="E2278" s="231" t="s">
        <v>5076</v>
      </c>
      <c r="F2278" s="619">
        <v>50</v>
      </c>
      <c r="G2278" s="231" t="s">
        <v>4851</v>
      </c>
      <c r="H2278" s="619"/>
      <c r="I2278" s="619"/>
      <c r="J2278" s="620">
        <v>21253006.800000001</v>
      </c>
      <c r="K2278" s="621" t="s">
        <v>1130</v>
      </c>
      <c r="L2278" s="621" t="s">
        <v>4852</v>
      </c>
      <c r="M2278" s="621" t="s">
        <v>4879</v>
      </c>
      <c r="N2278" s="621" t="s">
        <v>4866</v>
      </c>
      <c r="O2278" s="621"/>
      <c r="P2278" s="621"/>
    </row>
    <row r="2279" spans="1:16">
      <c r="A2279" s="232" t="s">
        <v>686</v>
      </c>
      <c r="B2279" s="232" t="s">
        <v>1864</v>
      </c>
      <c r="C2279" s="622">
        <v>45138</v>
      </c>
      <c r="D2279" s="232" t="s">
        <v>4880</v>
      </c>
      <c r="E2279" s="231" t="s">
        <v>5076</v>
      </c>
      <c r="F2279" s="233">
        <v>50</v>
      </c>
      <c r="G2279" s="232" t="s">
        <v>4851</v>
      </c>
      <c r="H2279" s="233"/>
      <c r="I2279" s="233"/>
      <c r="J2279" s="623">
        <v>21253006.800000001</v>
      </c>
      <c r="K2279" s="624" t="s">
        <v>1130</v>
      </c>
      <c r="L2279" s="624" t="s">
        <v>4852</v>
      </c>
      <c r="M2279" s="624" t="s">
        <v>4879</v>
      </c>
      <c r="N2279" s="624" t="s">
        <v>4866</v>
      </c>
      <c r="O2279" s="624"/>
      <c r="P2279" s="624"/>
    </row>
    <row r="2280" spans="1:16">
      <c r="A2280" s="231" t="s">
        <v>686</v>
      </c>
      <c r="B2280" s="231" t="s">
        <v>1864</v>
      </c>
      <c r="C2280" s="618">
        <v>45138</v>
      </c>
      <c r="D2280" s="231" t="s">
        <v>4880</v>
      </c>
      <c r="E2280" s="231" t="s">
        <v>5076</v>
      </c>
      <c r="F2280" s="619">
        <v>45</v>
      </c>
      <c r="G2280" s="231" t="s">
        <v>4851</v>
      </c>
      <c r="H2280" s="619"/>
      <c r="I2280" s="619"/>
      <c r="J2280" s="620">
        <v>19127706.120000001</v>
      </c>
      <c r="K2280" s="621" t="s">
        <v>1130</v>
      </c>
      <c r="L2280" s="621" t="s">
        <v>4852</v>
      </c>
      <c r="M2280" s="621" t="s">
        <v>4879</v>
      </c>
      <c r="N2280" s="621" t="s">
        <v>4866</v>
      </c>
      <c r="O2280" s="621"/>
      <c r="P2280" s="621"/>
    </row>
    <row r="2281" spans="1:16">
      <c r="A2281" s="232" t="s">
        <v>686</v>
      </c>
      <c r="B2281" s="232" t="s">
        <v>1864</v>
      </c>
      <c r="C2281" s="622">
        <v>45138</v>
      </c>
      <c r="D2281" s="232" t="s">
        <v>4880</v>
      </c>
      <c r="E2281" s="231" t="s">
        <v>5076</v>
      </c>
      <c r="F2281" s="233">
        <v>50</v>
      </c>
      <c r="G2281" s="232" t="s">
        <v>4851</v>
      </c>
      <c r="H2281" s="233"/>
      <c r="I2281" s="233"/>
      <c r="J2281" s="623">
        <v>21253006.800000001</v>
      </c>
      <c r="K2281" s="624" t="s">
        <v>1130</v>
      </c>
      <c r="L2281" s="624" t="s">
        <v>4852</v>
      </c>
      <c r="M2281" s="624" t="s">
        <v>4879</v>
      </c>
      <c r="N2281" s="624" t="s">
        <v>4866</v>
      </c>
      <c r="O2281" s="624"/>
      <c r="P2281" s="624"/>
    </row>
    <row r="2282" spans="1:16">
      <c r="A2282" s="231" t="s">
        <v>686</v>
      </c>
      <c r="B2282" s="231" t="s">
        <v>1864</v>
      </c>
      <c r="C2282" s="618">
        <v>45138</v>
      </c>
      <c r="D2282" s="231" t="s">
        <v>4880</v>
      </c>
      <c r="E2282" s="231" t="s">
        <v>5076</v>
      </c>
      <c r="F2282" s="619">
        <v>55</v>
      </c>
      <c r="G2282" s="231" t="s">
        <v>4851</v>
      </c>
      <c r="H2282" s="619"/>
      <c r="I2282" s="619"/>
      <c r="J2282" s="620">
        <v>23378307.48</v>
      </c>
      <c r="K2282" s="621" t="s">
        <v>1130</v>
      </c>
      <c r="L2282" s="621" t="s">
        <v>4852</v>
      </c>
      <c r="M2282" s="621" t="s">
        <v>4879</v>
      </c>
      <c r="N2282" s="621" t="s">
        <v>4866</v>
      </c>
      <c r="O2282" s="621"/>
      <c r="P2282" s="621"/>
    </row>
    <row r="2283" spans="1:16">
      <c r="A2283" s="232" t="s">
        <v>686</v>
      </c>
      <c r="B2283" s="232" t="s">
        <v>1864</v>
      </c>
      <c r="C2283" s="622">
        <v>45138</v>
      </c>
      <c r="D2283" s="232" t="s">
        <v>4880</v>
      </c>
      <c r="E2283" s="231" t="s">
        <v>5076</v>
      </c>
      <c r="F2283" s="233">
        <v>55</v>
      </c>
      <c r="G2283" s="232" t="s">
        <v>4851</v>
      </c>
      <c r="H2283" s="233"/>
      <c r="I2283" s="233"/>
      <c r="J2283" s="623">
        <v>23378307.48</v>
      </c>
      <c r="K2283" s="624" t="s">
        <v>1130</v>
      </c>
      <c r="L2283" s="624" t="s">
        <v>4852</v>
      </c>
      <c r="M2283" s="624" t="s">
        <v>4879</v>
      </c>
      <c r="N2283" s="624" t="s">
        <v>4866</v>
      </c>
      <c r="O2283" s="624"/>
      <c r="P2283" s="624"/>
    </row>
    <row r="2284" spans="1:16">
      <c r="A2284" s="231" t="s">
        <v>686</v>
      </c>
      <c r="B2284" s="231" t="s">
        <v>1864</v>
      </c>
      <c r="C2284" s="618">
        <v>45138</v>
      </c>
      <c r="D2284" s="231" t="s">
        <v>4880</v>
      </c>
      <c r="E2284" s="231" t="s">
        <v>5076</v>
      </c>
      <c r="F2284" s="619">
        <v>55</v>
      </c>
      <c r="G2284" s="231" t="s">
        <v>4851</v>
      </c>
      <c r="H2284" s="619"/>
      <c r="I2284" s="619"/>
      <c r="J2284" s="620">
        <v>23378307.48</v>
      </c>
      <c r="K2284" s="621" t="s">
        <v>1130</v>
      </c>
      <c r="L2284" s="621" t="s">
        <v>4852</v>
      </c>
      <c r="M2284" s="621" t="s">
        <v>4879</v>
      </c>
      <c r="N2284" s="621" t="s">
        <v>4866</v>
      </c>
      <c r="O2284" s="621"/>
      <c r="P2284" s="621"/>
    </row>
    <row r="2285" spans="1:16">
      <c r="A2285" s="232" t="s">
        <v>686</v>
      </c>
      <c r="B2285" s="232" t="s">
        <v>1864</v>
      </c>
      <c r="C2285" s="622">
        <v>45138</v>
      </c>
      <c r="D2285" s="232" t="s">
        <v>4855</v>
      </c>
      <c r="E2285" s="232"/>
      <c r="F2285" s="233">
        <v>10413.646000000001</v>
      </c>
      <c r="G2285" s="232" t="s">
        <v>4851</v>
      </c>
      <c r="H2285" s="233"/>
      <c r="I2285" s="233">
        <v>10480085.060000001</v>
      </c>
      <c r="J2285" s="623">
        <v>6326596788.8500004</v>
      </c>
      <c r="K2285" s="624" t="s">
        <v>991</v>
      </c>
      <c r="L2285" s="624" t="s">
        <v>4852</v>
      </c>
      <c r="M2285" s="624" t="s">
        <v>4856</v>
      </c>
      <c r="N2285" s="624" t="s">
        <v>4854</v>
      </c>
      <c r="O2285" s="624"/>
      <c r="P2285" s="624"/>
    </row>
    <row r="2286" spans="1:16">
      <c r="A2286" s="231" t="s">
        <v>686</v>
      </c>
      <c r="B2286" s="231" t="s">
        <v>1864</v>
      </c>
      <c r="C2286" s="618">
        <v>45138</v>
      </c>
      <c r="D2286" s="231" t="s">
        <v>4880</v>
      </c>
      <c r="E2286" s="231" t="s">
        <v>5076</v>
      </c>
      <c r="F2286" s="619">
        <v>55</v>
      </c>
      <c r="G2286" s="231" t="s">
        <v>4851</v>
      </c>
      <c r="H2286" s="619"/>
      <c r="I2286" s="619"/>
      <c r="J2286" s="620">
        <v>23378307.48</v>
      </c>
      <c r="K2286" s="621" t="s">
        <v>1130</v>
      </c>
      <c r="L2286" s="621" t="s">
        <v>4852</v>
      </c>
      <c r="M2286" s="621" t="s">
        <v>4879</v>
      </c>
      <c r="N2286" s="621" t="s">
        <v>4866</v>
      </c>
      <c r="O2286" s="621"/>
      <c r="P2286" s="621"/>
    </row>
    <row r="2287" spans="1:16">
      <c r="A2287" s="232" t="s">
        <v>686</v>
      </c>
      <c r="B2287" s="232" t="s">
        <v>1864</v>
      </c>
      <c r="C2287" s="622">
        <v>45138</v>
      </c>
      <c r="D2287" s="232" t="s">
        <v>4880</v>
      </c>
      <c r="E2287" s="231" t="s">
        <v>5076</v>
      </c>
      <c r="F2287" s="233">
        <v>55</v>
      </c>
      <c r="G2287" s="232" t="s">
        <v>4851</v>
      </c>
      <c r="H2287" s="233"/>
      <c r="I2287" s="233"/>
      <c r="J2287" s="623">
        <v>23378307.48</v>
      </c>
      <c r="K2287" s="624" t="s">
        <v>1130</v>
      </c>
      <c r="L2287" s="624" t="s">
        <v>4852</v>
      </c>
      <c r="M2287" s="624" t="s">
        <v>4879</v>
      </c>
      <c r="N2287" s="624" t="s">
        <v>4866</v>
      </c>
      <c r="O2287" s="624"/>
      <c r="P2287" s="624"/>
    </row>
    <row r="2288" spans="1:16">
      <c r="A2288" s="231" t="s">
        <v>686</v>
      </c>
      <c r="B2288" s="231" t="s">
        <v>1864</v>
      </c>
      <c r="C2288" s="618">
        <v>45138</v>
      </c>
      <c r="D2288" s="231" t="s">
        <v>4855</v>
      </c>
      <c r="E2288" s="231"/>
      <c r="F2288" s="619">
        <v>17692.185000000001</v>
      </c>
      <c r="G2288" s="231" t="s">
        <v>4851</v>
      </c>
      <c r="H2288" s="619"/>
      <c r="I2288" s="619">
        <v>17161419.449999999</v>
      </c>
      <c r="J2288" s="620">
        <v>10359971370.74</v>
      </c>
      <c r="K2288" s="621" t="s">
        <v>991</v>
      </c>
      <c r="L2288" s="621" t="s">
        <v>4852</v>
      </c>
      <c r="M2288" s="621" t="s">
        <v>4853</v>
      </c>
      <c r="N2288" s="621" t="s">
        <v>4854</v>
      </c>
      <c r="O2288" s="621"/>
      <c r="P2288" s="621"/>
    </row>
    <row r="2289" spans="1:16">
      <c r="A2289" s="232" t="s">
        <v>686</v>
      </c>
      <c r="B2289" s="232" t="s">
        <v>1864</v>
      </c>
      <c r="C2289" s="622">
        <v>45138</v>
      </c>
      <c r="D2289" s="232" t="s">
        <v>4855</v>
      </c>
      <c r="E2289" s="232"/>
      <c r="F2289" s="233">
        <v>9504.2260000000006</v>
      </c>
      <c r="G2289" s="232" t="s">
        <v>4851</v>
      </c>
      <c r="H2289" s="233"/>
      <c r="I2289" s="233">
        <v>9694310.5199999996</v>
      </c>
      <c r="J2289" s="623">
        <v>5852241986.0900002</v>
      </c>
      <c r="K2289" s="624" t="s">
        <v>991</v>
      </c>
      <c r="L2289" s="624" t="s">
        <v>4852</v>
      </c>
      <c r="M2289" s="624" t="s">
        <v>4881</v>
      </c>
      <c r="N2289" s="624" t="s">
        <v>4882</v>
      </c>
      <c r="O2289" s="624"/>
      <c r="P2289" s="624"/>
    </row>
    <row r="2290" spans="1:16">
      <c r="A2290" s="231" t="s">
        <v>686</v>
      </c>
      <c r="B2290" s="231" t="s">
        <v>1864</v>
      </c>
      <c r="C2290" s="618">
        <v>45138</v>
      </c>
      <c r="D2290" s="231" t="s">
        <v>4880</v>
      </c>
      <c r="E2290" s="231" t="s">
        <v>5076</v>
      </c>
      <c r="F2290" s="619">
        <v>45</v>
      </c>
      <c r="G2290" s="231" t="s">
        <v>4851</v>
      </c>
      <c r="H2290" s="619"/>
      <c r="I2290" s="619"/>
      <c r="J2290" s="620">
        <v>19127706.120000001</v>
      </c>
      <c r="K2290" s="621" t="s">
        <v>1130</v>
      </c>
      <c r="L2290" s="621" t="s">
        <v>4852</v>
      </c>
      <c r="M2290" s="621" t="s">
        <v>4879</v>
      </c>
      <c r="N2290" s="621" t="s">
        <v>4866</v>
      </c>
      <c r="O2290" s="621"/>
      <c r="P2290" s="621"/>
    </row>
    <row r="2291" spans="1:16">
      <c r="A2291" s="232" t="s">
        <v>686</v>
      </c>
      <c r="B2291" s="232" t="s">
        <v>1864</v>
      </c>
      <c r="C2291" s="622">
        <v>45138</v>
      </c>
      <c r="D2291" s="232" t="s">
        <v>4880</v>
      </c>
      <c r="E2291" s="231" t="s">
        <v>5076</v>
      </c>
      <c r="F2291" s="233"/>
      <c r="G2291" s="232" t="s">
        <v>4851</v>
      </c>
      <c r="H2291" s="233"/>
      <c r="I2291" s="233"/>
      <c r="J2291" s="623">
        <v>-51748060.719999999</v>
      </c>
      <c r="K2291" s="624" t="s">
        <v>1130</v>
      </c>
      <c r="L2291" s="624" t="s">
        <v>4852</v>
      </c>
      <c r="M2291" s="624" t="s">
        <v>4879</v>
      </c>
      <c r="N2291" s="624" t="s">
        <v>4866</v>
      </c>
      <c r="O2291" s="624"/>
      <c r="P2291" s="624"/>
    </row>
    <row r="2292" spans="1:16">
      <c r="A2292" s="231" t="s">
        <v>686</v>
      </c>
      <c r="B2292" s="231" t="s">
        <v>1864</v>
      </c>
      <c r="C2292" s="618">
        <v>45138</v>
      </c>
      <c r="D2292" s="231" t="s">
        <v>4850</v>
      </c>
      <c r="E2292" s="231"/>
      <c r="F2292" s="619"/>
      <c r="G2292" s="231" t="s">
        <v>4851</v>
      </c>
      <c r="H2292" s="619"/>
      <c r="I2292" s="619">
        <v>-153745.09</v>
      </c>
      <c r="J2292" s="620">
        <v>-92812528.439999998</v>
      </c>
      <c r="K2292" s="621" t="s">
        <v>991</v>
      </c>
      <c r="L2292" s="621" t="s">
        <v>4852</v>
      </c>
      <c r="M2292" s="621" t="s">
        <v>4853</v>
      </c>
      <c r="N2292" s="621" t="s">
        <v>4854</v>
      </c>
      <c r="O2292" s="621"/>
      <c r="P2292" s="621"/>
    </row>
    <row r="2293" spans="1:16">
      <c r="A2293" s="232" t="s">
        <v>686</v>
      </c>
      <c r="B2293" s="232" t="s">
        <v>1864</v>
      </c>
      <c r="C2293" s="622">
        <v>45169</v>
      </c>
      <c r="D2293" s="232" t="s">
        <v>4880</v>
      </c>
      <c r="E2293" s="231" t="s">
        <v>5076</v>
      </c>
      <c r="F2293" s="233">
        <v>55</v>
      </c>
      <c r="G2293" s="232" t="s">
        <v>4851</v>
      </c>
      <c r="H2293" s="233"/>
      <c r="I2293" s="233"/>
      <c r="J2293" s="623">
        <v>23378307.48</v>
      </c>
      <c r="K2293" s="624" t="s">
        <v>1130</v>
      </c>
      <c r="L2293" s="624" t="s">
        <v>4852</v>
      </c>
      <c r="M2293" s="624" t="s">
        <v>4879</v>
      </c>
      <c r="N2293" s="624" t="s">
        <v>4866</v>
      </c>
      <c r="O2293" s="624"/>
      <c r="P2293" s="624"/>
    </row>
    <row r="2294" spans="1:16">
      <c r="A2294" s="231" t="s">
        <v>686</v>
      </c>
      <c r="B2294" s="231" t="s">
        <v>1864</v>
      </c>
      <c r="C2294" s="618">
        <v>45169</v>
      </c>
      <c r="D2294" s="231" t="s">
        <v>4880</v>
      </c>
      <c r="E2294" s="231" t="s">
        <v>5076</v>
      </c>
      <c r="F2294" s="619">
        <v>55</v>
      </c>
      <c r="G2294" s="231" t="s">
        <v>4851</v>
      </c>
      <c r="H2294" s="619"/>
      <c r="I2294" s="619"/>
      <c r="J2294" s="620">
        <v>23378307.48</v>
      </c>
      <c r="K2294" s="621" t="s">
        <v>1130</v>
      </c>
      <c r="L2294" s="621" t="s">
        <v>4852</v>
      </c>
      <c r="M2294" s="621" t="s">
        <v>4879</v>
      </c>
      <c r="N2294" s="621" t="s">
        <v>4866</v>
      </c>
      <c r="O2294" s="621"/>
      <c r="P2294" s="621"/>
    </row>
    <row r="2295" spans="1:16">
      <c r="A2295" s="232" t="s">
        <v>686</v>
      </c>
      <c r="B2295" s="232" t="s">
        <v>1864</v>
      </c>
      <c r="C2295" s="622">
        <v>45169</v>
      </c>
      <c r="D2295" s="232" t="s">
        <v>4880</v>
      </c>
      <c r="E2295" s="231" t="s">
        <v>5076</v>
      </c>
      <c r="F2295" s="233">
        <v>50</v>
      </c>
      <c r="G2295" s="232" t="s">
        <v>4851</v>
      </c>
      <c r="H2295" s="233"/>
      <c r="I2295" s="233"/>
      <c r="J2295" s="623">
        <v>21253006.800000001</v>
      </c>
      <c r="K2295" s="624" t="s">
        <v>1130</v>
      </c>
      <c r="L2295" s="624" t="s">
        <v>4852</v>
      </c>
      <c r="M2295" s="624" t="s">
        <v>4879</v>
      </c>
      <c r="N2295" s="624" t="s">
        <v>4866</v>
      </c>
      <c r="O2295" s="624"/>
      <c r="P2295" s="624"/>
    </row>
    <row r="2296" spans="1:16">
      <c r="A2296" s="231" t="s">
        <v>686</v>
      </c>
      <c r="B2296" s="231" t="s">
        <v>1864</v>
      </c>
      <c r="C2296" s="618">
        <v>45169</v>
      </c>
      <c r="D2296" s="231" t="s">
        <v>4880</v>
      </c>
      <c r="E2296" s="231" t="s">
        <v>5076</v>
      </c>
      <c r="F2296" s="619">
        <v>55</v>
      </c>
      <c r="G2296" s="231" t="s">
        <v>4851</v>
      </c>
      <c r="H2296" s="619"/>
      <c r="I2296" s="619"/>
      <c r="J2296" s="620">
        <v>23378307.48</v>
      </c>
      <c r="K2296" s="621" t="s">
        <v>1130</v>
      </c>
      <c r="L2296" s="621" t="s">
        <v>4852</v>
      </c>
      <c r="M2296" s="621" t="s">
        <v>4879</v>
      </c>
      <c r="N2296" s="621" t="s">
        <v>4866</v>
      </c>
      <c r="O2296" s="621"/>
      <c r="P2296" s="621"/>
    </row>
    <row r="2297" spans="1:16">
      <c r="A2297" s="232" t="s">
        <v>686</v>
      </c>
      <c r="B2297" s="232" t="s">
        <v>1864</v>
      </c>
      <c r="C2297" s="622">
        <v>45169</v>
      </c>
      <c r="D2297" s="232" t="s">
        <v>4880</v>
      </c>
      <c r="E2297" s="231" t="s">
        <v>5076</v>
      </c>
      <c r="F2297" s="233">
        <v>55</v>
      </c>
      <c r="G2297" s="232" t="s">
        <v>4851</v>
      </c>
      <c r="H2297" s="233"/>
      <c r="I2297" s="233"/>
      <c r="J2297" s="623">
        <v>23378307.48</v>
      </c>
      <c r="K2297" s="624" t="s">
        <v>1130</v>
      </c>
      <c r="L2297" s="624" t="s">
        <v>4852</v>
      </c>
      <c r="M2297" s="624" t="s">
        <v>4879</v>
      </c>
      <c r="N2297" s="624" t="s">
        <v>4866</v>
      </c>
      <c r="O2297" s="624"/>
      <c r="P2297" s="624"/>
    </row>
    <row r="2298" spans="1:16">
      <c r="A2298" s="231" t="s">
        <v>686</v>
      </c>
      <c r="B2298" s="231" t="s">
        <v>1864</v>
      </c>
      <c r="C2298" s="618">
        <v>45169</v>
      </c>
      <c r="D2298" s="231" t="s">
        <v>4880</v>
      </c>
      <c r="E2298" s="231" t="s">
        <v>5076</v>
      </c>
      <c r="F2298" s="619">
        <v>55</v>
      </c>
      <c r="G2298" s="231" t="s">
        <v>4851</v>
      </c>
      <c r="H2298" s="619"/>
      <c r="I2298" s="619"/>
      <c r="J2298" s="620">
        <v>23378307.48</v>
      </c>
      <c r="K2298" s="621" t="s">
        <v>1130</v>
      </c>
      <c r="L2298" s="621" t="s">
        <v>4852</v>
      </c>
      <c r="M2298" s="621" t="s">
        <v>4879</v>
      </c>
      <c r="N2298" s="621" t="s">
        <v>4866</v>
      </c>
      <c r="O2298" s="621"/>
      <c r="P2298" s="621"/>
    </row>
    <row r="2299" spans="1:16">
      <c r="A2299" s="232" t="s">
        <v>686</v>
      </c>
      <c r="B2299" s="232" t="s">
        <v>1864</v>
      </c>
      <c r="C2299" s="622">
        <v>45169</v>
      </c>
      <c r="D2299" s="232" t="s">
        <v>4880</v>
      </c>
      <c r="E2299" s="231" t="s">
        <v>5076</v>
      </c>
      <c r="F2299" s="233">
        <v>45</v>
      </c>
      <c r="G2299" s="232" t="s">
        <v>4851</v>
      </c>
      <c r="H2299" s="233"/>
      <c r="I2299" s="233"/>
      <c r="J2299" s="623">
        <v>19127706.120000001</v>
      </c>
      <c r="K2299" s="624" t="s">
        <v>1130</v>
      </c>
      <c r="L2299" s="624" t="s">
        <v>4852</v>
      </c>
      <c r="M2299" s="624" t="s">
        <v>4879</v>
      </c>
      <c r="N2299" s="624" t="s">
        <v>4866</v>
      </c>
      <c r="O2299" s="624"/>
      <c r="P2299" s="624"/>
    </row>
    <row r="2300" spans="1:16">
      <c r="A2300" s="231" t="s">
        <v>686</v>
      </c>
      <c r="B2300" s="231" t="s">
        <v>1864</v>
      </c>
      <c r="C2300" s="618">
        <v>45169</v>
      </c>
      <c r="D2300" s="231" t="s">
        <v>4880</v>
      </c>
      <c r="E2300" s="231" t="s">
        <v>5076</v>
      </c>
      <c r="F2300" s="619">
        <v>45</v>
      </c>
      <c r="G2300" s="231" t="s">
        <v>4851</v>
      </c>
      <c r="H2300" s="619"/>
      <c r="I2300" s="619"/>
      <c r="J2300" s="620">
        <v>19127706.120000001</v>
      </c>
      <c r="K2300" s="621" t="s">
        <v>1130</v>
      </c>
      <c r="L2300" s="621" t="s">
        <v>4852</v>
      </c>
      <c r="M2300" s="621" t="s">
        <v>4879</v>
      </c>
      <c r="N2300" s="621" t="s">
        <v>4866</v>
      </c>
      <c r="O2300" s="621"/>
      <c r="P2300" s="621"/>
    </row>
    <row r="2301" spans="1:16">
      <c r="A2301" s="232" t="s">
        <v>686</v>
      </c>
      <c r="B2301" s="232" t="s">
        <v>1864</v>
      </c>
      <c r="C2301" s="622">
        <v>45169</v>
      </c>
      <c r="D2301" s="232" t="s">
        <v>4880</v>
      </c>
      <c r="E2301" s="231" t="s">
        <v>5076</v>
      </c>
      <c r="F2301" s="233">
        <v>45</v>
      </c>
      <c r="G2301" s="232" t="s">
        <v>4851</v>
      </c>
      <c r="H2301" s="233"/>
      <c r="I2301" s="233"/>
      <c r="J2301" s="623">
        <v>19127706.120000001</v>
      </c>
      <c r="K2301" s="624" t="s">
        <v>1130</v>
      </c>
      <c r="L2301" s="624" t="s">
        <v>4852</v>
      </c>
      <c r="M2301" s="624" t="s">
        <v>4879</v>
      </c>
      <c r="N2301" s="624" t="s">
        <v>4866</v>
      </c>
      <c r="O2301" s="624"/>
      <c r="P2301" s="624"/>
    </row>
    <row r="2302" spans="1:16">
      <c r="A2302" s="231" t="s">
        <v>686</v>
      </c>
      <c r="B2302" s="231" t="s">
        <v>1864</v>
      </c>
      <c r="C2302" s="618">
        <v>45169</v>
      </c>
      <c r="D2302" s="231" t="s">
        <v>4880</v>
      </c>
      <c r="E2302" s="231" t="s">
        <v>5076</v>
      </c>
      <c r="F2302" s="619">
        <v>55</v>
      </c>
      <c r="G2302" s="231" t="s">
        <v>4851</v>
      </c>
      <c r="H2302" s="619"/>
      <c r="I2302" s="619"/>
      <c r="J2302" s="620">
        <v>23378307.48</v>
      </c>
      <c r="K2302" s="621" t="s">
        <v>1130</v>
      </c>
      <c r="L2302" s="621" t="s">
        <v>4852</v>
      </c>
      <c r="M2302" s="621" t="s">
        <v>4879</v>
      </c>
      <c r="N2302" s="621" t="s">
        <v>4866</v>
      </c>
      <c r="O2302" s="621"/>
      <c r="P2302" s="621"/>
    </row>
    <row r="2303" spans="1:16">
      <c r="A2303" s="232" t="s">
        <v>686</v>
      </c>
      <c r="B2303" s="232" t="s">
        <v>1864</v>
      </c>
      <c r="C2303" s="622">
        <v>45169</v>
      </c>
      <c r="D2303" s="232" t="s">
        <v>4880</v>
      </c>
      <c r="E2303" s="231" t="s">
        <v>5076</v>
      </c>
      <c r="F2303" s="233">
        <v>55</v>
      </c>
      <c r="G2303" s="232" t="s">
        <v>4851</v>
      </c>
      <c r="H2303" s="233"/>
      <c r="I2303" s="233"/>
      <c r="J2303" s="623">
        <v>23378307.48</v>
      </c>
      <c r="K2303" s="624" t="s">
        <v>1130</v>
      </c>
      <c r="L2303" s="624" t="s">
        <v>4852</v>
      </c>
      <c r="M2303" s="624" t="s">
        <v>4879</v>
      </c>
      <c r="N2303" s="624" t="s">
        <v>4866</v>
      </c>
      <c r="O2303" s="624"/>
      <c r="P2303" s="624"/>
    </row>
    <row r="2304" spans="1:16">
      <c r="A2304" s="231" t="s">
        <v>686</v>
      </c>
      <c r="B2304" s="231" t="s">
        <v>1864</v>
      </c>
      <c r="C2304" s="618">
        <v>45169</v>
      </c>
      <c r="D2304" s="231" t="s">
        <v>4880</v>
      </c>
      <c r="E2304" s="231" t="s">
        <v>5076</v>
      </c>
      <c r="F2304" s="619">
        <v>50</v>
      </c>
      <c r="G2304" s="231" t="s">
        <v>4851</v>
      </c>
      <c r="H2304" s="619"/>
      <c r="I2304" s="619"/>
      <c r="J2304" s="620">
        <v>21253006.800000001</v>
      </c>
      <c r="K2304" s="621" t="s">
        <v>1130</v>
      </c>
      <c r="L2304" s="621" t="s">
        <v>4852</v>
      </c>
      <c r="M2304" s="621" t="s">
        <v>4879</v>
      </c>
      <c r="N2304" s="621" t="s">
        <v>4866</v>
      </c>
      <c r="O2304" s="621"/>
      <c r="P2304" s="621"/>
    </row>
    <row r="2305" spans="1:16">
      <c r="A2305" s="232" t="s">
        <v>686</v>
      </c>
      <c r="B2305" s="232" t="s">
        <v>1864</v>
      </c>
      <c r="C2305" s="622">
        <v>45169</v>
      </c>
      <c r="D2305" s="232" t="s">
        <v>4880</v>
      </c>
      <c r="E2305" s="231" t="s">
        <v>5076</v>
      </c>
      <c r="F2305" s="233">
        <v>55</v>
      </c>
      <c r="G2305" s="232" t="s">
        <v>4851</v>
      </c>
      <c r="H2305" s="233"/>
      <c r="I2305" s="233"/>
      <c r="J2305" s="623">
        <v>23378307.48</v>
      </c>
      <c r="K2305" s="624" t="s">
        <v>1130</v>
      </c>
      <c r="L2305" s="624" t="s">
        <v>4852</v>
      </c>
      <c r="M2305" s="624" t="s">
        <v>4879</v>
      </c>
      <c r="N2305" s="624" t="s">
        <v>4866</v>
      </c>
      <c r="O2305" s="624"/>
      <c r="P2305" s="624"/>
    </row>
    <row r="2306" spans="1:16">
      <c r="A2306" s="231" t="s">
        <v>686</v>
      </c>
      <c r="B2306" s="231" t="s">
        <v>1864</v>
      </c>
      <c r="C2306" s="618">
        <v>45169</v>
      </c>
      <c r="D2306" s="231" t="s">
        <v>4880</v>
      </c>
      <c r="E2306" s="231" t="s">
        <v>5076</v>
      </c>
      <c r="F2306" s="619">
        <v>55</v>
      </c>
      <c r="G2306" s="231" t="s">
        <v>4851</v>
      </c>
      <c r="H2306" s="619"/>
      <c r="I2306" s="619"/>
      <c r="J2306" s="620">
        <v>23378307.48</v>
      </c>
      <c r="K2306" s="621" t="s">
        <v>1130</v>
      </c>
      <c r="L2306" s="621" t="s">
        <v>4852</v>
      </c>
      <c r="M2306" s="621" t="s">
        <v>4879</v>
      </c>
      <c r="N2306" s="621" t="s">
        <v>4866</v>
      </c>
      <c r="O2306" s="621"/>
      <c r="P2306" s="621"/>
    </row>
    <row r="2307" spans="1:16">
      <c r="A2307" s="232" t="s">
        <v>686</v>
      </c>
      <c r="B2307" s="232" t="s">
        <v>1864</v>
      </c>
      <c r="C2307" s="622">
        <v>45169</v>
      </c>
      <c r="D2307" s="232" t="s">
        <v>4880</v>
      </c>
      <c r="E2307" s="231" t="s">
        <v>5076</v>
      </c>
      <c r="F2307" s="233">
        <v>50</v>
      </c>
      <c r="G2307" s="232" t="s">
        <v>4851</v>
      </c>
      <c r="H2307" s="233"/>
      <c r="I2307" s="233"/>
      <c r="J2307" s="623">
        <v>21253006.800000001</v>
      </c>
      <c r="K2307" s="624" t="s">
        <v>1130</v>
      </c>
      <c r="L2307" s="624" t="s">
        <v>4852</v>
      </c>
      <c r="M2307" s="624" t="s">
        <v>4879</v>
      </c>
      <c r="N2307" s="624" t="s">
        <v>4866</v>
      </c>
      <c r="O2307" s="624"/>
      <c r="P2307" s="624"/>
    </row>
    <row r="2308" spans="1:16">
      <c r="A2308" s="231" t="s">
        <v>686</v>
      </c>
      <c r="B2308" s="231" t="s">
        <v>1864</v>
      </c>
      <c r="C2308" s="618">
        <v>45169</v>
      </c>
      <c r="D2308" s="231" t="s">
        <v>4880</v>
      </c>
      <c r="E2308" s="231" t="s">
        <v>5076</v>
      </c>
      <c r="F2308" s="619">
        <v>55</v>
      </c>
      <c r="G2308" s="231" t="s">
        <v>4851</v>
      </c>
      <c r="H2308" s="619"/>
      <c r="I2308" s="619"/>
      <c r="J2308" s="620">
        <v>23378307.48</v>
      </c>
      <c r="K2308" s="621" t="s">
        <v>1130</v>
      </c>
      <c r="L2308" s="621" t="s">
        <v>4852</v>
      </c>
      <c r="M2308" s="621" t="s">
        <v>4879</v>
      </c>
      <c r="N2308" s="621" t="s">
        <v>4866</v>
      </c>
      <c r="O2308" s="621"/>
      <c r="P2308" s="621"/>
    </row>
    <row r="2309" spans="1:16">
      <c r="A2309" s="232" t="s">
        <v>686</v>
      </c>
      <c r="B2309" s="232" t="s">
        <v>1864</v>
      </c>
      <c r="C2309" s="622">
        <v>45169</v>
      </c>
      <c r="D2309" s="232" t="s">
        <v>4880</v>
      </c>
      <c r="E2309" s="231" t="s">
        <v>5076</v>
      </c>
      <c r="F2309" s="233">
        <v>55</v>
      </c>
      <c r="G2309" s="232" t="s">
        <v>4851</v>
      </c>
      <c r="H2309" s="233"/>
      <c r="I2309" s="233"/>
      <c r="J2309" s="623">
        <v>23378307.48</v>
      </c>
      <c r="K2309" s="624" t="s">
        <v>1130</v>
      </c>
      <c r="L2309" s="624" t="s">
        <v>4852</v>
      </c>
      <c r="M2309" s="624" t="s">
        <v>4879</v>
      </c>
      <c r="N2309" s="624" t="s">
        <v>4866</v>
      </c>
      <c r="O2309" s="624"/>
      <c r="P2309" s="624"/>
    </row>
    <row r="2310" spans="1:16">
      <c r="A2310" s="231" t="s">
        <v>686</v>
      </c>
      <c r="B2310" s="231" t="s">
        <v>1864</v>
      </c>
      <c r="C2310" s="618">
        <v>45169</v>
      </c>
      <c r="D2310" s="231" t="s">
        <v>4880</v>
      </c>
      <c r="E2310" s="231" t="s">
        <v>5076</v>
      </c>
      <c r="F2310" s="619">
        <v>55</v>
      </c>
      <c r="G2310" s="231" t="s">
        <v>4851</v>
      </c>
      <c r="H2310" s="619"/>
      <c r="I2310" s="619"/>
      <c r="J2310" s="620">
        <v>23378307.48</v>
      </c>
      <c r="K2310" s="621" t="s">
        <v>1130</v>
      </c>
      <c r="L2310" s="621" t="s">
        <v>4852</v>
      </c>
      <c r="M2310" s="621" t="s">
        <v>4879</v>
      </c>
      <c r="N2310" s="621" t="s">
        <v>4866</v>
      </c>
      <c r="O2310" s="621"/>
      <c r="P2310" s="621"/>
    </row>
    <row r="2311" spans="1:16">
      <c r="A2311" s="232" t="s">
        <v>686</v>
      </c>
      <c r="B2311" s="232" t="s">
        <v>1864</v>
      </c>
      <c r="C2311" s="622">
        <v>45169</v>
      </c>
      <c r="D2311" s="232" t="s">
        <v>4880</v>
      </c>
      <c r="E2311" s="231" t="s">
        <v>5076</v>
      </c>
      <c r="F2311" s="233">
        <v>55</v>
      </c>
      <c r="G2311" s="232" t="s">
        <v>4851</v>
      </c>
      <c r="H2311" s="233"/>
      <c r="I2311" s="233"/>
      <c r="J2311" s="623">
        <v>23378307.48</v>
      </c>
      <c r="K2311" s="624" t="s">
        <v>1130</v>
      </c>
      <c r="L2311" s="624" t="s">
        <v>4852</v>
      </c>
      <c r="M2311" s="624" t="s">
        <v>4879</v>
      </c>
      <c r="N2311" s="624" t="s">
        <v>4866</v>
      </c>
      <c r="O2311" s="624"/>
      <c r="P2311" s="624"/>
    </row>
    <row r="2312" spans="1:16">
      <c r="A2312" s="231" t="s">
        <v>686</v>
      </c>
      <c r="B2312" s="231" t="s">
        <v>1864</v>
      </c>
      <c r="C2312" s="618">
        <v>45169</v>
      </c>
      <c r="D2312" s="231" t="s">
        <v>4880</v>
      </c>
      <c r="E2312" s="231" t="s">
        <v>5076</v>
      </c>
      <c r="F2312" s="619">
        <v>55</v>
      </c>
      <c r="G2312" s="231" t="s">
        <v>4851</v>
      </c>
      <c r="H2312" s="619"/>
      <c r="I2312" s="619"/>
      <c r="J2312" s="620">
        <v>23378307.48</v>
      </c>
      <c r="K2312" s="621" t="s">
        <v>1130</v>
      </c>
      <c r="L2312" s="621" t="s">
        <v>4852</v>
      </c>
      <c r="M2312" s="621" t="s">
        <v>4879</v>
      </c>
      <c r="N2312" s="621" t="s">
        <v>4866</v>
      </c>
      <c r="O2312" s="621"/>
      <c r="P2312" s="621"/>
    </row>
    <row r="2313" spans="1:16">
      <c r="A2313" s="232" t="s">
        <v>686</v>
      </c>
      <c r="B2313" s="232" t="s">
        <v>1864</v>
      </c>
      <c r="C2313" s="622">
        <v>45169</v>
      </c>
      <c r="D2313" s="232" t="s">
        <v>4880</v>
      </c>
      <c r="E2313" s="231" t="s">
        <v>5076</v>
      </c>
      <c r="F2313" s="233">
        <v>50</v>
      </c>
      <c r="G2313" s="232" t="s">
        <v>4851</v>
      </c>
      <c r="H2313" s="233"/>
      <c r="I2313" s="233"/>
      <c r="J2313" s="623">
        <v>21253006.800000001</v>
      </c>
      <c r="K2313" s="624" t="s">
        <v>1130</v>
      </c>
      <c r="L2313" s="624" t="s">
        <v>4852</v>
      </c>
      <c r="M2313" s="624" t="s">
        <v>4879</v>
      </c>
      <c r="N2313" s="624" t="s">
        <v>4866</v>
      </c>
      <c r="O2313" s="624"/>
      <c r="P2313" s="624"/>
    </row>
    <row r="2314" spans="1:16">
      <c r="A2314" s="231" t="s">
        <v>686</v>
      </c>
      <c r="B2314" s="231" t="s">
        <v>1864</v>
      </c>
      <c r="C2314" s="618">
        <v>45169</v>
      </c>
      <c r="D2314" s="231" t="s">
        <v>4880</v>
      </c>
      <c r="E2314" s="231" t="s">
        <v>5076</v>
      </c>
      <c r="F2314" s="619">
        <v>50</v>
      </c>
      <c r="G2314" s="231" t="s">
        <v>4851</v>
      </c>
      <c r="H2314" s="619"/>
      <c r="I2314" s="619"/>
      <c r="J2314" s="620">
        <v>21253006.800000001</v>
      </c>
      <c r="K2314" s="621" t="s">
        <v>1130</v>
      </c>
      <c r="L2314" s="621" t="s">
        <v>4852</v>
      </c>
      <c r="M2314" s="621" t="s">
        <v>4879</v>
      </c>
      <c r="N2314" s="621" t="s">
        <v>4866</v>
      </c>
      <c r="O2314" s="621"/>
      <c r="P2314" s="621"/>
    </row>
    <row r="2315" spans="1:16">
      <c r="A2315" s="232" t="s">
        <v>686</v>
      </c>
      <c r="B2315" s="232" t="s">
        <v>1864</v>
      </c>
      <c r="C2315" s="622">
        <v>45169</v>
      </c>
      <c r="D2315" s="232" t="s">
        <v>4880</v>
      </c>
      <c r="E2315" s="231" t="s">
        <v>5076</v>
      </c>
      <c r="F2315" s="233">
        <v>50</v>
      </c>
      <c r="G2315" s="232" t="s">
        <v>4851</v>
      </c>
      <c r="H2315" s="233"/>
      <c r="I2315" s="233"/>
      <c r="J2315" s="623">
        <v>21253006.800000001</v>
      </c>
      <c r="K2315" s="624" t="s">
        <v>1130</v>
      </c>
      <c r="L2315" s="624" t="s">
        <v>4852</v>
      </c>
      <c r="M2315" s="624" t="s">
        <v>4879</v>
      </c>
      <c r="N2315" s="624" t="s">
        <v>4866</v>
      </c>
      <c r="O2315" s="624"/>
      <c r="P2315" s="624"/>
    </row>
    <row r="2316" spans="1:16">
      <c r="A2316" s="231" t="s">
        <v>686</v>
      </c>
      <c r="B2316" s="231" t="s">
        <v>1864</v>
      </c>
      <c r="C2316" s="618">
        <v>45169</v>
      </c>
      <c r="D2316" s="231" t="s">
        <v>4880</v>
      </c>
      <c r="E2316" s="231" t="s">
        <v>5076</v>
      </c>
      <c r="F2316" s="619">
        <v>55</v>
      </c>
      <c r="G2316" s="231" t="s">
        <v>4851</v>
      </c>
      <c r="H2316" s="619"/>
      <c r="I2316" s="619"/>
      <c r="J2316" s="620">
        <v>23378307.48</v>
      </c>
      <c r="K2316" s="621" t="s">
        <v>1130</v>
      </c>
      <c r="L2316" s="621" t="s">
        <v>4852</v>
      </c>
      <c r="M2316" s="621" t="s">
        <v>4879</v>
      </c>
      <c r="N2316" s="621" t="s">
        <v>4866</v>
      </c>
      <c r="O2316" s="621"/>
      <c r="P2316" s="621"/>
    </row>
    <row r="2317" spans="1:16">
      <c r="A2317" s="232" t="s">
        <v>686</v>
      </c>
      <c r="B2317" s="232" t="s">
        <v>1864</v>
      </c>
      <c r="C2317" s="622">
        <v>45169</v>
      </c>
      <c r="D2317" s="232" t="s">
        <v>4880</v>
      </c>
      <c r="E2317" s="231" t="s">
        <v>5076</v>
      </c>
      <c r="F2317" s="233">
        <v>50</v>
      </c>
      <c r="G2317" s="232" t="s">
        <v>4851</v>
      </c>
      <c r="H2317" s="233"/>
      <c r="I2317" s="233"/>
      <c r="J2317" s="623">
        <v>21253006.800000001</v>
      </c>
      <c r="K2317" s="624" t="s">
        <v>1130</v>
      </c>
      <c r="L2317" s="624" t="s">
        <v>4852</v>
      </c>
      <c r="M2317" s="624" t="s">
        <v>4879</v>
      </c>
      <c r="N2317" s="624" t="s">
        <v>4866</v>
      </c>
      <c r="O2317" s="624"/>
      <c r="P2317" s="624"/>
    </row>
    <row r="2318" spans="1:16">
      <c r="A2318" s="231" t="s">
        <v>686</v>
      </c>
      <c r="B2318" s="231" t="s">
        <v>1864</v>
      </c>
      <c r="C2318" s="618">
        <v>45169</v>
      </c>
      <c r="D2318" s="231" t="s">
        <v>4880</v>
      </c>
      <c r="E2318" s="231" t="s">
        <v>5076</v>
      </c>
      <c r="F2318" s="619">
        <v>50</v>
      </c>
      <c r="G2318" s="231" t="s">
        <v>4851</v>
      </c>
      <c r="H2318" s="619"/>
      <c r="I2318" s="619"/>
      <c r="J2318" s="620">
        <v>21253006.800000001</v>
      </c>
      <c r="K2318" s="621" t="s">
        <v>1130</v>
      </c>
      <c r="L2318" s="621" t="s">
        <v>4852</v>
      </c>
      <c r="M2318" s="621" t="s">
        <v>4879</v>
      </c>
      <c r="N2318" s="621" t="s">
        <v>4866</v>
      </c>
      <c r="O2318" s="621"/>
      <c r="P2318" s="621"/>
    </row>
    <row r="2319" spans="1:16">
      <c r="A2319" s="232" t="s">
        <v>686</v>
      </c>
      <c r="B2319" s="232" t="s">
        <v>1864</v>
      </c>
      <c r="C2319" s="622">
        <v>45169</v>
      </c>
      <c r="D2319" s="232" t="s">
        <v>4880</v>
      </c>
      <c r="E2319" s="231" t="s">
        <v>5076</v>
      </c>
      <c r="F2319" s="233">
        <v>50</v>
      </c>
      <c r="G2319" s="232" t="s">
        <v>4851</v>
      </c>
      <c r="H2319" s="233"/>
      <c r="I2319" s="233"/>
      <c r="J2319" s="623">
        <v>21253006.800000001</v>
      </c>
      <c r="K2319" s="624" t="s">
        <v>1130</v>
      </c>
      <c r="L2319" s="624" t="s">
        <v>4852</v>
      </c>
      <c r="M2319" s="624" t="s">
        <v>4879</v>
      </c>
      <c r="N2319" s="624" t="s">
        <v>4866</v>
      </c>
      <c r="O2319" s="624"/>
      <c r="P2319" s="624"/>
    </row>
    <row r="2320" spans="1:16">
      <c r="A2320" s="231" t="s">
        <v>686</v>
      </c>
      <c r="B2320" s="231" t="s">
        <v>1864</v>
      </c>
      <c r="C2320" s="618">
        <v>45169</v>
      </c>
      <c r="D2320" s="231" t="s">
        <v>4857</v>
      </c>
      <c r="E2320" s="231"/>
      <c r="F2320" s="619">
        <v>50</v>
      </c>
      <c r="G2320" s="231" t="s">
        <v>4851</v>
      </c>
      <c r="H2320" s="619"/>
      <c r="I2320" s="619"/>
      <c r="J2320" s="620">
        <v>4250000</v>
      </c>
      <c r="K2320" s="621" t="s">
        <v>1130</v>
      </c>
      <c r="L2320" s="621" t="s">
        <v>4852</v>
      </c>
      <c r="M2320" s="621" t="s">
        <v>4858</v>
      </c>
      <c r="N2320" s="621" t="s">
        <v>4754</v>
      </c>
      <c r="O2320" s="621"/>
      <c r="P2320" s="621"/>
    </row>
    <row r="2321" spans="1:16">
      <c r="A2321" s="232" t="s">
        <v>686</v>
      </c>
      <c r="B2321" s="232" t="s">
        <v>1864</v>
      </c>
      <c r="C2321" s="622">
        <v>45169</v>
      </c>
      <c r="D2321" s="232" t="s">
        <v>4857</v>
      </c>
      <c r="E2321" s="232"/>
      <c r="F2321" s="233">
        <v>50</v>
      </c>
      <c r="G2321" s="232" t="s">
        <v>4851</v>
      </c>
      <c r="H2321" s="233"/>
      <c r="I2321" s="233"/>
      <c r="J2321" s="623">
        <v>4250000</v>
      </c>
      <c r="K2321" s="624" t="s">
        <v>1130</v>
      </c>
      <c r="L2321" s="624" t="s">
        <v>4852</v>
      </c>
      <c r="M2321" s="624" t="s">
        <v>4858</v>
      </c>
      <c r="N2321" s="624" t="s">
        <v>4754</v>
      </c>
      <c r="O2321" s="624"/>
      <c r="P2321" s="624"/>
    </row>
    <row r="2322" spans="1:16">
      <c r="A2322" s="231" t="s">
        <v>686</v>
      </c>
      <c r="B2322" s="231" t="s">
        <v>1864</v>
      </c>
      <c r="C2322" s="618">
        <v>45169</v>
      </c>
      <c r="D2322" s="231" t="s">
        <v>4857</v>
      </c>
      <c r="E2322" s="231"/>
      <c r="F2322" s="619">
        <v>48</v>
      </c>
      <c r="G2322" s="231" t="s">
        <v>4851</v>
      </c>
      <c r="H2322" s="619"/>
      <c r="I2322" s="619"/>
      <c r="J2322" s="620">
        <v>4080000</v>
      </c>
      <c r="K2322" s="621" t="s">
        <v>1130</v>
      </c>
      <c r="L2322" s="621" t="s">
        <v>4852</v>
      </c>
      <c r="M2322" s="621" t="s">
        <v>4858</v>
      </c>
      <c r="N2322" s="621" t="s">
        <v>4754</v>
      </c>
      <c r="O2322" s="621"/>
      <c r="P2322" s="621"/>
    </row>
    <row r="2323" spans="1:16">
      <c r="A2323" s="232" t="s">
        <v>686</v>
      </c>
      <c r="B2323" s="232" t="s">
        <v>1864</v>
      </c>
      <c r="C2323" s="622">
        <v>45169</v>
      </c>
      <c r="D2323" s="232" t="s">
        <v>4857</v>
      </c>
      <c r="E2323" s="232"/>
      <c r="F2323" s="233">
        <v>50</v>
      </c>
      <c r="G2323" s="232" t="s">
        <v>4851</v>
      </c>
      <c r="H2323" s="233"/>
      <c r="I2323" s="233"/>
      <c r="J2323" s="623">
        <v>4250000</v>
      </c>
      <c r="K2323" s="624" t="s">
        <v>1130</v>
      </c>
      <c r="L2323" s="624" t="s">
        <v>4852</v>
      </c>
      <c r="M2323" s="624" t="s">
        <v>4858</v>
      </c>
      <c r="N2323" s="624" t="s">
        <v>4754</v>
      </c>
      <c r="O2323" s="624"/>
      <c r="P2323" s="624"/>
    </row>
    <row r="2324" spans="1:16">
      <c r="A2324" s="231" t="s">
        <v>686</v>
      </c>
      <c r="B2324" s="231" t="s">
        <v>1864</v>
      </c>
      <c r="C2324" s="618">
        <v>45169</v>
      </c>
      <c r="D2324" s="231" t="s">
        <v>4880</v>
      </c>
      <c r="E2324" s="231" t="s">
        <v>5076</v>
      </c>
      <c r="F2324" s="619">
        <v>55</v>
      </c>
      <c r="G2324" s="231" t="s">
        <v>4851</v>
      </c>
      <c r="H2324" s="619"/>
      <c r="I2324" s="619"/>
      <c r="J2324" s="620">
        <v>23378307.48</v>
      </c>
      <c r="K2324" s="621" t="s">
        <v>1130</v>
      </c>
      <c r="L2324" s="621" t="s">
        <v>4852</v>
      </c>
      <c r="M2324" s="621" t="s">
        <v>4879</v>
      </c>
      <c r="N2324" s="621" t="s">
        <v>4866</v>
      </c>
      <c r="O2324" s="621"/>
      <c r="P2324" s="621"/>
    </row>
    <row r="2325" spans="1:16">
      <c r="A2325" s="232" t="s">
        <v>686</v>
      </c>
      <c r="B2325" s="232" t="s">
        <v>1864</v>
      </c>
      <c r="C2325" s="622">
        <v>45169</v>
      </c>
      <c r="D2325" s="232" t="s">
        <v>4880</v>
      </c>
      <c r="E2325" s="231" t="s">
        <v>5076</v>
      </c>
      <c r="F2325" s="233">
        <v>55</v>
      </c>
      <c r="G2325" s="232" t="s">
        <v>4851</v>
      </c>
      <c r="H2325" s="233"/>
      <c r="I2325" s="233"/>
      <c r="J2325" s="623">
        <v>23378307.48</v>
      </c>
      <c r="K2325" s="624" t="s">
        <v>1130</v>
      </c>
      <c r="L2325" s="624" t="s">
        <v>4852</v>
      </c>
      <c r="M2325" s="624" t="s">
        <v>4879</v>
      </c>
      <c r="N2325" s="624" t="s">
        <v>4866</v>
      </c>
      <c r="O2325" s="624"/>
      <c r="P2325" s="624"/>
    </row>
    <row r="2326" spans="1:16">
      <c r="A2326" s="231" t="s">
        <v>686</v>
      </c>
      <c r="B2326" s="231" t="s">
        <v>1864</v>
      </c>
      <c r="C2326" s="618">
        <v>45169</v>
      </c>
      <c r="D2326" s="231" t="s">
        <v>4880</v>
      </c>
      <c r="E2326" s="231" t="s">
        <v>5076</v>
      </c>
      <c r="F2326" s="619">
        <v>55</v>
      </c>
      <c r="G2326" s="231" t="s">
        <v>4851</v>
      </c>
      <c r="H2326" s="619"/>
      <c r="I2326" s="619"/>
      <c r="J2326" s="620">
        <v>23378307.48</v>
      </c>
      <c r="K2326" s="621" t="s">
        <v>1130</v>
      </c>
      <c r="L2326" s="621" t="s">
        <v>4852</v>
      </c>
      <c r="M2326" s="621" t="s">
        <v>4879</v>
      </c>
      <c r="N2326" s="621" t="s">
        <v>4866</v>
      </c>
      <c r="O2326" s="621"/>
      <c r="P2326" s="621"/>
    </row>
    <row r="2327" spans="1:16">
      <c r="A2327" s="232" t="s">
        <v>686</v>
      </c>
      <c r="B2327" s="232" t="s">
        <v>1864</v>
      </c>
      <c r="C2327" s="622">
        <v>45169</v>
      </c>
      <c r="D2327" s="232" t="s">
        <v>4880</v>
      </c>
      <c r="E2327" s="231" t="s">
        <v>5076</v>
      </c>
      <c r="F2327" s="233">
        <v>55</v>
      </c>
      <c r="G2327" s="232" t="s">
        <v>4851</v>
      </c>
      <c r="H2327" s="233"/>
      <c r="I2327" s="233"/>
      <c r="J2327" s="623">
        <v>23378307.48</v>
      </c>
      <c r="K2327" s="624" t="s">
        <v>1130</v>
      </c>
      <c r="L2327" s="624" t="s">
        <v>4852</v>
      </c>
      <c r="M2327" s="624" t="s">
        <v>4879</v>
      </c>
      <c r="N2327" s="624" t="s">
        <v>4866</v>
      </c>
      <c r="O2327" s="624"/>
      <c r="P2327" s="624"/>
    </row>
    <row r="2328" spans="1:16">
      <c r="A2328" s="231" t="s">
        <v>686</v>
      </c>
      <c r="B2328" s="231" t="s">
        <v>1864</v>
      </c>
      <c r="C2328" s="618">
        <v>45169</v>
      </c>
      <c r="D2328" s="231" t="s">
        <v>4880</v>
      </c>
      <c r="E2328" s="231" t="s">
        <v>5076</v>
      </c>
      <c r="F2328" s="619">
        <v>30</v>
      </c>
      <c r="G2328" s="231" t="s">
        <v>4851</v>
      </c>
      <c r="H2328" s="619"/>
      <c r="I2328" s="619"/>
      <c r="J2328" s="620">
        <v>12751804.08</v>
      </c>
      <c r="K2328" s="621" t="s">
        <v>1130</v>
      </c>
      <c r="L2328" s="621" t="s">
        <v>4852</v>
      </c>
      <c r="M2328" s="621" t="s">
        <v>4879</v>
      </c>
      <c r="N2328" s="621" t="s">
        <v>4866</v>
      </c>
      <c r="O2328" s="621"/>
      <c r="P2328" s="621"/>
    </row>
    <row r="2329" spans="1:16">
      <c r="A2329" s="232" t="s">
        <v>686</v>
      </c>
      <c r="B2329" s="232" t="s">
        <v>1864</v>
      </c>
      <c r="C2329" s="622">
        <v>45169</v>
      </c>
      <c r="D2329" s="232" t="s">
        <v>4880</v>
      </c>
      <c r="E2329" s="231" t="s">
        <v>5076</v>
      </c>
      <c r="F2329" s="233">
        <v>54</v>
      </c>
      <c r="G2329" s="232" t="s">
        <v>4851</v>
      </c>
      <c r="H2329" s="233"/>
      <c r="I2329" s="233"/>
      <c r="J2329" s="623">
        <v>22953247.34</v>
      </c>
      <c r="K2329" s="624" t="s">
        <v>1130</v>
      </c>
      <c r="L2329" s="624" t="s">
        <v>4852</v>
      </c>
      <c r="M2329" s="624" t="s">
        <v>4879</v>
      </c>
      <c r="N2329" s="624" t="s">
        <v>4866</v>
      </c>
      <c r="O2329" s="624"/>
      <c r="P2329" s="624"/>
    </row>
    <row r="2330" spans="1:16">
      <c r="A2330" s="231" t="s">
        <v>686</v>
      </c>
      <c r="B2330" s="231" t="s">
        <v>1864</v>
      </c>
      <c r="C2330" s="618">
        <v>45169</v>
      </c>
      <c r="D2330" s="231" t="s">
        <v>4880</v>
      </c>
      <c r="E2330" s="231" t="s">
        <v>5076</v>
      </c>
      <c r="F2330" s="619">
        <v>1</v>
      </c>
      <c r="G2330" s="231" t="s">
        <v>4851</v>
      </c>
      <c r="H2330" s="619"/>
      <c r="I2330" s="619"/>
      <c r="J2330" s="620">
        <v>425060.14</v>
      </c>
      <c r="K2330" s="621" t="s">
        <v>1130</v>
      </c>
      <c r="L2330" s="621" t="s">
        <v>4852</v>
      </c>
      <c r="M2330" s="621" t="s">
        <v>4879</v>
      </c>
      <c r="N2330" s="621" t="s">
        <v>4866</v>
      </c>
      <c r="O2330" s="621"/>
      <c r="P2330" s="621"/>
    </row>
    <row r="2331" spans="1:16">
      <c r="A2331" s="232" t="s">
        <v>686</v>
      </c>
      <c r="B2331" s="232" t="s">
        <v>1864</v>
      </c>
      <c r="C2331" s="622">
        <v>45169</v>
      </c>
      <c r="D2331" s="232" t="s">
        <v>4880</v>
      </c>
      <c r="E2331" s="231" t="s">
        <v>5076</v>
      </c>
      <c r="F2331" s="233">
        <v>1</v>
      </c>
      <c r="G2331" s="232" t="s">
        <v>4851</v>
      </c>
      <c r="H2331" s="233"/>
      <c r="I2331" s="233"/>
      <c r="J2331" s="623">
        <v>425060.14</v>
      </c>
      <c r="K2331" s="624" t="s">
        <v>1130</v>
      </c>
      <c r="L2331" s="624" t="s">
        <v>4852</v>
      </c>
      <c r="M2331" s="624" t="s">
        <v>4879</v>
      </c>
      <c r="N2331" s="624" t="s">
        <v>4866</v>
      </c>
      <c r="O2331" s="624"/>
      <c r="P2331" s="624"/>
    </row>
    <row r="2332" spans="1:16">
      <c r="A2332" s="231" t="s">
        <v>686</v>
      </c>
      <c r="B2332" s="231" t="s">
        <v>1864</v>
      </c>
      <c r="C2332" s="618">
        <v>45169</v>
      </c>
      <c r="D2332" s="231" t="s">
        <v>4880</v>
      </c>
      <c r="E2332" s="231" t="s">
        <v>5076</v>
      </c>
      <c r="F2332" s="619">
        <v>1</v>
      </c>
      <c r="G2332" s="231" t="s">
        <v>4851</v>
      </c>
      <c r="H2332" s="619"/>
      <c r="I2332" s="619"/>
      <c r="J2332" s="620">
        <v>425060.14</v>
      </c>
      <c r="K2332" s="621" t="s">
        <v>1130</v>
      </c>
      <c r="L2332" s="621" t="s">
        <v>4852</v>
      </c>
      <c r="M2332" s="621" t="s">
        <v>4879</v>
      </c>
      <c r="N2332" s="621" t="s">
        <v>4866</v>
      </c>
      <c r="O2332" s="621"/>
      <c r="P2332" s="621"/>
    </row>
    <row r="2333" spans="1:16">
      <c r="A2333" s="232" t="s">
        <v>686</v>
      </c>
      <c r="B2333" s="232" t="s">
        <v>1864</v>
      </c>
      <c r="C2333" s="622">
        <v>45169</v>
      </c>
      <c r="D2333" s="232" t="s">
        <v>4880</v>
      </c>
      <c r="E2333" s="231" t="s">
        <v>5076</v>
      </c>
      <c r="F2333" s="233">
        <v>55</v>
      </c>
      <c r="G2333" s="232" t="s">
        <v>4851</v>
      </c>
      <c r="H2333" s="233"/>
      <c r="I2333" s="233"/>
      <c r="J2333" s="623">
        <v>23378307.48</v>
      </c>
      <c r="K2333" s="624" t="s">
        <v>1130</v>
      </c>
      <c r="L2333" s="624" t="s">
        <v>4852</v>
      </c>
      <c r="M2333" s="624" t="s">
        <v>4879</v>
      </c>
      <c r="N2333" s="624" t="s">
        <v>4866</v>
      </c>
      <c r="O2333" s="624"/>
      <c r="P2333" s="624"/>
    </row>
    <row r="2334" spans="1:16">
      <c r="A2334" s="231" t="s">
        <v>686</v>
      </c>
      <c r="B2334" s="231" t="s">
        <v>1864</v>
      </c>
      <c r="C2334" s="618">
        <v>45169</v>
      </c>
      <c r="D2334" s="231" t="s">
        <v>4880</v>
      </c>
      <c r="E2334" s="231" t="s">
        <v>5076</v>
      </c>
      <c r="F2334" s="619">
        <v>1</v>
      </c>
      <c r="G2334" s="231" t="s">
        <v>4851</v>
      </c>
      <c r="H2334" s="619"/>
      <c r="I2334" s="619"/>
      <c r="J2334" s="620">
        <v>425060.14</v>
      </c>
      <c r="K2334" s="621" t="s">
        <v>1130</v>
      </c>
      <c r="L2334" s="621" t="s">
        <v>4852</v>
      </c>
      <c r="M2334" s="621" t="s">
        <v>4879</v>
      </c>
      <c r="N2334" s="621" t="s">
        <v>4866</v>
      </c>
      <c r="O2334" s="621"/>
      <c r="P2334" s="621"/>
    </row>
    <row r="2335" spans="1:16">
      <c r="A2335" s="232" t="s">
        <v>686</v>
      </c>
      <c r="B2335" s="232" t="s">
        <v>1864</v>
      </c>
      <c r="C2335" s="622">
        <v>45169</v>
      </c>
      <c r="D2335" s="232" t="s">
        <v>4860</v>
      </c>
      <c r="E2335" s="232" t="s">
        <v>5072</v>
      </c>
      <c r="F2335" s="233">
        <v>39.799999999999997</v>
      </c>
      <c r="G2335" s="232" t="s">
        <v>4851</v>
      </c>
      <c r="H2335" s="233"/>
      <c r="I2335" s="233"/>
      <c r="J2335" s="623">
        <v>238800</v>
      </c>
      <c r="K2335" s="624" t="s">
        <v>991</v>
      </c>
      <c r="L2335" s="624" t="s">
        <v>4852</v>
      </c>
      <c r="M2335" s="624" t="s">
        <v>4877</v>
      </c>
      <c r="N2335" s="624" t="s">
        <v>4878</v>
      </c>
      <c r="O2335" s="624"/>
      <c r="P2335" s="624"/>
    </row>
    <row r="2336" spans="1:16">
      <c r="A2336" s="231" t="s">
        <v>686</v>
      </c>
      <c r="B2336" s="231" t="s">
        <v>1864</v>
      </c>
      <c r="C2336" s="618">
        <v>45169</v>
      </c>
      <c r="D2336" s="231" t="s">
        <v>4860</v>
      </c>
      <c r="E2336" s="232" t="s">
        <v>5072</v>
      </c>
      <c r="F2336" s="619">
        <v>42</v>
      </c>
      <c r="G2336" s="231" t="s">
        <v>4851</v>
      </c>
      <c r="H2336" s="619"/>
      <c r="I2336" s="619"/>
      <c r="J2336" s="620">
        <v>252000</v>
      </c>
      <c r="K2336" s="621" t="s">
        <v>991</v>
      </c>
      <c r="L2336" s="621" t="s">
        <v>4852</v>
      </c>
      <c r="M2336" s="621" t="s">
        <v>4877</v>
      </c>
      <c r="N2336" s="621" t="s">
        <v>4878</v>
      </c>
      <c r="O2336" s="621"/>
      <c r="P2336" s="621"/>
    </row>
    <row r="2337" spans="1:16">
      <c r="A2337" s="232" t="s">
        <v>686</v>
      </c>
      <c r="B2337" s="232" t="s">
        <v>1864</v>
      </c>
      <c r="C2337" s="622">
        <v>45169</v>
      </c>
      <c r="D2337" s="232" t="s">
        <v>4855</v>
      </c>
      <c r="E2337" s="232"/>
      <c r="F2337" s="233">
        <v>10603.842000000001</v>
      </c>
      <c r="G2337" s="232" t="s">
        <v>4851</v>
      </c>
      <c r="H2337" s="233"/>
      <c r="I2337" s="233">
        <v>9351316.1799999997</v>
      </c>
      <c r="J2337" s="623">
        <v>5564781232.3900003</v>
      </c>
      <c r="K2337" s="624" t="s">
        <v>991</v>
      </c>
      <c r="L2337" s="624" t="s">
        <v>4852</v>
      </c>
      <c r="M2337" s="624" t="s">
        <v>4856</v>
      </c>
      <c r="N2337" s="624" t="s">
        <v>4854</v>
      </c>
      <c r="O2337" s="624"/>
      <c r="P2337" s="624"/>
    </row>
    <row r="2338" spans="1:16">
      <c r="A2338" s="231" t="s">
        <v>686</v>
      </c>
      <c r="B2338" s="231" t="s">
        <v>1864</v>
      </c>
      <c r="C2338" s="618">
        <v>45169</v>
      </c>
      <c r="D2338" s="231" t="s">
        <v>4855</v>
      </c>
      <c r="E2338" s="231"/>
      <c r="F2338" s="619">
        <v>9052.6299999999992</v>
      </c>
      <c r="G2338" s="231" t="s">
        <v>4851</v>
      </c>
      <c r="H2338" s="619"/>
      <c r="I2338" s="619">
        <v>7983333.3399999999</v>
      </c>
      <c r="J2338" s="620">
        <v>4750722003.9700003</v>
      </c>
      <c r="K2338" s="621" t="s">
        <v>991</v>
      </c>
      <c r="L2338" s="621" t="s">
        <v>4852</v>
      </c>
      <c r="M2338" s="621" t="s">
        <v>4856</v>
      </c>
      <c r="N2338" s="621" t="s">
        <v>4854</v>
      </c>
      <c r="O2338" s="621"/>
      <c r="P2338" s="621"/>
    </row>
    <row r="2339" spans="1:16">
      <c r="A2339" s="232" t="s">
        <v>686</v>
      </c>
      <c r="B2339" s="232" t="s">
        <v>1864</v>
      </c>
      <c r="C2339" s="622">
        <v>45169</v>
      </c>
      <c r="D2339" s="232" t="s">
        <v>4855</v>
      </c>
      <c r="E2339" s="232"/>
      <c r="F2339" s="233">
        <v>17803.13</v>
      </c>
      <c r="G2339" s="232" t="s">
        <v>4851</v>
      </c>
      <c r="H2339" s="233"/>
      <c r="I2339" s="233">
        <v>15132660.5</v>
      </c>
      <c r="J2339" s="623">
        <v>9005143610.3400002</v>
      </c>
      <c r="K2339" s="624" t="s">
        <v>991</v>
      </c>
      <c r="L2339" s="624" t="s">
        <v>4852</v>
      </c>
      <c r="M2339" s="624" t="s">
        <v>4853</v>
      </c>
      <c r="N2339" s="624" t="s">
        <v>4854</v>
      </c>
      <c r="O2339" s="624"/>
      <c r="P2339" s="624"/>
    </row>
    <row r="2340" spans="1:16">
      <c r="A2340" s="231" t="s">
        <v>686</v>
      </c>
      <c r="B2340" s="231" t="s">
        <v>1864</v>
      </c>
      <c r="C2340" s="618">
        <v>45169</v>
      </c>
      <c r="D2340" s="231" t="s">
        <v>4855</v>
      </c>
      <c r="E2340" s="231"/>
      <c r="F2340" s="619">
        <v>2661.3063099999999</v>
      </c>
      <c r="G2340" s="231" t="s">
        <v>4851</v>
      </c>
      <c r="H2340" s="619"/>
      <c r="I2340" s="619">
        <v>2262110.36</v>
      </c>
      <c r="J2340" s="620">
        <v>1346136633.03</v>
      </c>
      <c r="K2340" s="621" t="s">
        <v>991</v>
      </c>
      <c r="L2340" s="621" t="s">
        <v>4852</v>
      </c>
      <c r="M2340" s="621" t="s">
        <v>4853</v>
      </c>
      <c r="N2340" s="621" t="s">
        <v>4854</v>
      </c>
      <c r="O2340" s="621"/>
      <c r="P2340" s="621"/>
    </row>
    <row r="2341" spans="1:16">
      <c r="A2341" s="232" t="s">
        <v>686</v>
      </c>
      <c r="B2341" s="232" t="s">
        <v>1864</v>
      </c>
      <c r="C2341" s="622">
        <v>45169</v>
      </c>
      <c r="D2341" s="232" t="s">
        <v>4855</v>
      </c>
      <c r="E2341" s="232"/>
      <c r="F2341" s="233">
        <v>13973.74869</v>
      </c>
      <c r="G2341" s="232" t="s">
        <v>4851</v>
      </c>
      <c r="H2341" s="233"/>
      <c r="I2341" s="233">
        <v>11877686.390000001</v>
      </c>
      <c r="J2341" s="623">
        <v>7068173616.96</v>
      </c>
      <c r="K2341" s="624" t="s">
        <v>991</v>
      </c>
      <c r="L2341" s="624" t="s">
        <v>4852</v>
      </c>
      <c r="M2341" s="624" t="s">
        <v>4853</v>
      </c>
      <c r="N2341" s="624" t="s">
        <v>4854</v>
      </c>
      <c r="O2341" s="624"/>
      <c r="P2341" s="624"/>
    </row>
    <row r="2342" spans="1:16">
      <c r="A2342" s="231" t="s">
        <v>686</v>
      </c>
      <c r="B2342" s="231" t="s">
        <v>1864</v>
      </c>
      <c r="C2342" s="618">
        <v>45169</v>
      </c>
      <c r="D2342" s="231" t="s">
        <v>4855</v>
      </c>
      <c r="E2342" s="231"/>
      <c r="F2342" s="619">
        <v>862</v>
      </c>
      <c r="G2342" s="231" t="s">
        <v>4851</v>
      </c>
      <c r="H2342" s="619"/>
      <c r="I2342" s="619">
        <v>732700</v>
      </c>
      <c r="J2342" s="620">
        <v>436015116</v>
      </c>
      <c r="K2342" s="621" t="s">
        <v>991</v>
      </c>
      <c r="L2342" s="621" t="s">
        <v>4852</v>
      </c>
      <c r="M2342" s="621" t="s">
        <v>4853</v>
      </c>
      <c r="N2342" s="621" t="s">
        <v>4854</v>
      </c>
      <c r="O2342" s="621"/>
      <c r="P2342" s="621"/>
    </row>
    <row r="2343" spans="1:16">
      <c r="A2343" s="232" t="s">
        <v>686</v>
      </c>
      <c r="B2343" s="232" t="s">
        <v>1864</v>
      </c>
      <c r="C2343" s="622">
        <v>45169</v>
      </c>
      <c r="D2343" s="232" t="s">
        <v>4855</v>
      </c>
      <c r="E2343" s="232"/>
      <c r="F2343" s="233"/>
      <c r="G2343" s="232" t="s">
        <v>4851</v>
      </c>
      <c r="H2343" s="233"/>
      <c r="I2343" s="233">
        <v>-2101831.58</v>
      </c>
      <c r="J2343" s="623">
        <v>-1268829484.55</v>
      </c>
      <c r="K2343" s="624" t="s">
        <v>991</v>
      </c>
      <c r="L2343" s="624" t="s">
        <v>4852</v>
      </c>
      <c r="M2343" s="624" t="s">
        <v>4853</v>
      </c>
      <c r="N2343" s="624" t="s">
        <v>4854</v>
      </c>
      <c r="O2343" s="624"/>
      <c r="P2343" s="624"/>
    </row>
    <row r="2344" spans="1:16">
      <c r="A2344" s="231" t="s">
        <v>686</v>
      </c>
      <c r="B2344" s="231" t="s">
        <v>1864</v>
      </c>
      <c r="C2344" s="618">
        <v>45169</v>
      </c>
      <c r="D2344" s="231" t="s">
        <v>4850</v>
      </c>
      <c r="E2344" s="231"/>
      <c r="F2344" s="619"/>
      <c r="G2344" s="231" t="s">
        <v>4851</v>
      </c>
      <c r="H2344" s="619"/>
      <c r="I2344" s="619">
        <v>-132099.22</v>
      </c>
      <c r="J2344" s="620">
        <v>-78609603.840000004</v>
      </c>
      <c r="K2344" s="621" t="s">
        <v>991</v>
      </c>
      <c r="L2344" s="621" t="s">
        <v>4852</v>
      </c>
      <c r="M2344" s="621" t="s">
        <v>4853</v>
      </c>
      <c r="N2344" s="621" t="s">
        <v>4854</v>
      </c>
      <c r="O2344" s="621"/>
      <c r="P2344" s="621"/>
    </row>
    <row r="2345" spans="1:16">
      <c r="A2345" s="232" t="s">
        <v>686</v>
      </c>
      <c r="B2345" s="232" t="s">
        <v>1864</v>
      </c>
      <c r="C2345" s="622">
        <v>45169</v>
      </c>
      <c r="D2345" s="232" t="s">
        <v>4850</v>
      </c>
      <c r="E2345" s="232"/>
      <c r="F2345" s="233"/>
      <c r="G2345" s="232" t="s">
        <v>4851</v>
      </c>
      <c r="H2345" s="233"/>
      <c r="I2345" s="233">
        <v>-19560.599999999999</v>
      </c>
      <c r="J2345" s="623">
        <v>-11640121.85</v>
      </c>
      <c r="K2345" s="624" t="s">
        <v>991</v>
      </c>
      <c r="L2345" s="624" t="s">
        <v>4852</v>
      </c>
      <c r="M2345" s="624" t="s">
        <v>4853</v>
      </c>
      <c r="N2345" s="624" t="s">
        <v>4854</v>
      </c>
      <c r="O2345" s="624"/>
      <c r="P2345" s="624"/>
    </row>
    <row r="2346" spans="1:16">
      <c r="A2346" s="231" t="s">
        <v>686</v>
      </c>
      <c r="B2346" s="231" t="s">
        <v>1864</v>
      </c>
      <c r="C2346" s="618">
        <v>45169</v>
      </c>
      <c r="D2346" s="231" t="s">
        <v>4850</v>
      </c>
      <c r="E2346" s="231"/>
      <c r="F2346" s="619"/>
      <c r="G2346" s="231" t="s">
        <v>4851</v>
      </c>
      <c r="H2346" s="619"/>
      <c r="I2346" s="619">
        <v>-102707.05</v>
      </c>
      <c r="J2346" s="620">
        <v>-61118911.310000002</v>
      </c>
      <c r="K2346" s="621" t="s">
        <v>991</v>
      </c>
      <c r="L2346" s="621" t="s">
        <v>4852</v>
      </c>
      <c r="M2346" s="621" t="s">
        <v>4853</v>
      </c>
      <c r="N2346" s="621" t="s">
        <v>4854</v>
      </c>
      <c r="O2346" s="621"/>
      <c r="P2346" s="621"/>
    </row>
    <row r="2347" spans="1:16">
      <c r="A2347" s="232" t="s">
        <v>686</v>
      </c>
      <c r="B2347" s="232" t="s">
        <v>1864</v>
      </c>
      <c r="C2347" s="622">
        <v>45169</v>
      </c>
      <c r="D2347" s="232" t="s">
        <v>4850</v>
      </c>
      <c r="E2347" s="232"/>
      <c r="F2347" s="233"/>
      <c r="G2347" s="232" t="s">
        <v>4851</v>
      </c>
      <c r="H2347" s="233"/>
      <c r="I2347" s="233">
        <v>-6335.7</v>
      </c>
      <c r="J2347" s="623">
        <v>-3770248.36</v>
      </c>
      <c r="K2347" s="624" t="s">
        <v>991</v>
      </c>
      <c r="L2347" s="624" t="s">
        <v>4852</v>
      </c>
      <c r="M2347" s="624" t="s">
        <v>4853</v>
      </c>
      <c r="N2347" s="624" t="s">
        <v>4854</v>
      </c>
      <c r="O2347" s="624"/>
      <c r="P2347" s="624"/>
    </row>
    <row r="2348" spans="1:16">
      <c r="A2348" s="231" t="s">
        <v>686</v>
      </c>
      <c r="B2348" s="231" t="s">
        <v>1864</v>
      </c>
      <c r="C2348" s="618">
        <v>45169</v>
      </c>
      <c r="D2348" s="231" t="s">
        <v>4855</v>
      </c>
      <c r="E2348" s="231"/>
      <c r="F2348" s="619"/>
      <c r="G2348" s="231" t="s">
        <v>4851</v>
      </c>
      <c r="H2348" s="619"/>
      <c r="I2348" s="619">
        <v>-1296498.93</v>
      </c>
      <c r="J2348" s="620">
        <v>-771520583.25999999</v>
      </c>
      <c r="K2348" s="621" t="s">
        <v>991</v>
      </c>
      <c r="L2348" s="621" t="s">
        <v>4852</v>
      </c>
      <c r="M2348" s="621" t="s">
        <v>4856</v>
      </c>
      <c r="N2348" s="621" t="s">
        <v>4854</v>
      </c>
      <c r="O2348" s="621"/>
      <c r="P2348" s="621"/>
    </row>
    <row r="2349" spans="1:16">
      <c r="A2349" s="232" t="s">
        <v>686</v>
      </c>
      <c r="B2349" s="232" t="s">
        <v>1864</v>
      </c>
      <c r="C2349" s="622">
        <v>45199</v>
      </c>
      <c r="D2349" s="232" t="s">
        <v>4857</v>
      </c>
      <c r="E2349" s="232"/>
      <c r="F2349" s="233">
        <v>48</v>
      </c>
      <c r="G2349" s="232" t="s">
        <v>4851</v>
      </c>
      <c r="H2349" s="233"/>
      <c r="I2349" s="233"/>
      <c r="J2349" s="623">
        <v>4080000</v>
      </c>
      <c r="K2349" s="624" t="s">
        <v>1130</v>
      </c>
      <c r="L2349" s="624" t="s">
        <v>4852</v>
      </c>
      <c r="M2349" s="624" t="s">
        <v>4858</v>
      </c>
      <c r="N2349" s="624" t="s">
        <v>4754</v>
      </c>
      <c r="O2349" s="624"/>
      <c r="P2349" s="624"/>
    </row>
    <row r="2350" spans="1:16">
      <c r="A2350" s="231" t="s">
        <v>686</v>
      </c>
      <c r="B2350" s="231" t="s">
        <v>1864</v>
      </c>
      <c r="C2350" s="618">
        <v>45199</v>
      </c>
      <c r="D2350" s="231" t="s">
        <v>4857</v>
      </c>
      <c r="E2350" s="231"/>
      <c r="F2350" s="619">
        <v>48</v>
      </c>
      <c r="G2350" s="231" t="s">
        <v>4851</v>
      </c>
      <c r="H2350" s="619"/>
      <c r="I2350" s="619"/>
      <c r="J2350" s="620">
        <v>4080000</v>
      </c>
      <c r="K2350" s="621" t="s">
        <v>1130</v>
      </c>
      <c r="L2350" s="621" t="s">
        <v>4852</v>
      </c>
      <c r="M2350" s="621" t="s">
        <v>4858</v>
      </c>
      <c r="N2350" s="621" t="s">
        <v>4754</v>
      </c>
      <c r="O2350" s="621"/>
      <c r="P2350" s="621"/>
    </row>
    <row r="2351" spans="1:16">
      <c r="A2351" s="232" t="s">
        <v>686</v>
      </c>
      <c r="B2351" s="232" t="s">
        <v>1864</v>
      </c>
      <c r="C2351" s="622">
        <v>45199</v>
      </c>
      <c r="D2351" s="232" t="s">
        <v>4857</v>
      </c>
      <c r="E2351" s="232"/>
      <c r="F2351" s="233">
        <v>48</v>
      </c>
      <c r="G2351" s="232" t="s">
        <v>4851</v>
      </c>
      <c r="H2351" s="233"/>
      <c r="I2351" s="233"/>
      <c r="J2351" s="623">
        <v>4080000</v>
      </c>
      <c r="K2351" s="624" t="s">
        <v>1130</v>
      </c>
      <c r="L2351" s="624" t="s">
        <v>4852</v>
      </c>
      <c r="M2351" s="624" t="s">
        <v>4858</v>
      </c>
      <c r="N2351" s="624" t="s">
        <v>4754</v>
      </c>
      <c r="O2351" s="624"/>
      <c r="P2351" s="624"/>
    </row>
    <row r="2352" spans="1:16">
      <c r="A2352" s="231" t="s">
        <v>686</v>
      </c>
      <c r="B2352" s="231" t="s">
        <v>1864</v>
      </c>
      <c r="C2352" s="618">
        <v>45199</v>
      </c>
      <c r="D2352" s="231" t="s">
        <v>4857</v>
      </c>
      <c r="E2352" s="231"/>
      <c r="F2352" s="619">
        <v>28</v>
      </c>
      <c r="G2352" s="231" t="s">
        <v>4851</v>
      </c>
      <c r="H2352" s="619"/>
      <c r="I2352" s="619"/>
      <c r="J2352" s="620">
        <v>2380000</v>
      </c>
      <c r="K2352" s="621" t="s">
        <v>1130</v>
      </c>
      <c r="L2352" s="621" t="s">
        <v>4852</v>
      </c>
      <c r="M2352" s="621" t="s">
        <v>4858</v>
      </c>
      <c r="N2352" s="621" t="s">
        <v>4754</v>
      </c>
      <c r="O2352" s="621"/>
      <c r="P2352" s="621"/>
    </row>
    <row r="2353" spans="1:16">
      <c r="A2353" s="232" t="s">
        <v>686</v>
      </c>
      <c r="B2353" s="232" t="s">
        <v>1864</v>
      </c>
      <c r="C2353" s="622">
        <v>45199</v>
      </c>
      <c r="D2353" s="232" t="s">
        <v>4857</v>
      </c>
      <c r="E2353" s="232"/>
      <c r="F2353" s="233">
        <v>20</v>
      </c>
      <c r="G2353" s="232" t="s">
        <v>4851</v>
      </c>
      <c r="H2353" s="233"/>
      <c r="I2353" s="233"/>
      <c r="J2353" s="623">
        <v>1700000</v>
      </c>
      <c r="K2353" s="624" t="s">
        <v>1130</v>
      </c>
      <c r="L2353" s="624" t="s">
        <v>4852</v>
      </c>
      <c r="M2353" s="624" t="s">
        <v>4858</v>
      </c>
      <c r="N2353" s="624" t="s">
        <v>4754</v>
      </c>
      <c r="O2353" s="624"/>
      <c r="P2353" s="624"/>
    </row>
    <row r="2354" spans="1:16">
      <c r="A2354" s="231" t="s">
        <v>686</v>
      </c>
      <c r="B2354" s="231" t="s">
        <v>1864</v>
      </c>
      <c r="C2354" s="618">
        <v>45199</v>
      </c>
      <c r="D2354" s="231" t="s">
        <v>4857</v>
      </c>
      <c r="E2354" s="231"/>
      <c r="F2354" s="619">
        <v>50</v>
      </c>
      <c r="G2354" s="231" t="s">
        <v>4851</v>
      </c>
      <c r="H2354" s="619"/>
      <c r="I2354" s="619"/>
      <c r="J2354" s="620">
        <v>4250000</v>
      </c>
      <c r="K2354" s="621" t="s">
        <v>1130</v>
      </c>
      <c r="L2354" s="621" t="s">
        <v>4852</v>
      </c>
      <c r="M2354" s="621" t="s">
        <v>4858</v>
      </c>
      <c r="N2354" s="621" t="s">
        <v>4754</v>
      </c>
      <c r="O2354" s="621"/>
      <c r="P2354" s="621"/>
    </row>
    <row r="2355" spans="1:16">
      <c r="A2355" s="232" t="s">
        <v>686</v>
      </c>
      <c r="B2355" s="232" t="s">
        <v>1864</v>
      </c>
      <c r="C2355" s="622">
        <v>45199</v>
      </c>
      <c r="D2355" s="232" t="s">
        <v>4857</v>
      </c>
      <c r="E2355" s="232"/>
      <c r="F2355" s="233">
        <v>50</v>
      </c>
      <c r="G2355" s="232" t="s">
        <v>4851</v>
      </c>
      <c r="H2355" s="233"/>
      <c r="I2355" s="233"/>
      <c r="J2355" s="623">
        <v>4250000</v>
      </c>
      <c r="K2355" s="624" t="s">
        <v>1130</v>
      </c>
      <c r="L2355" s="624" t="s">
        <v>4852</v>
      </c>
      <c r="M2355" s="624" t="s">
        <v>4858</v>
      </c>
      <c r="N2355" s="624" t="s">
        <v>4754</v>
      </c>
      <c r="O2355" s="624"/>
      <c r="P2355" s="624"/>
    </row>
    <row r="2356" spans="1:16">
      <c r="A2356" s="231" t="s">
        <v>686</v>
      </c>
      <c r="B2356" s="231" t="s">
        <v>1864</v>
      </c>
      <c r="C2356" s="618">
        <v>45199</v>
      </c>
      <c r="D2356" s="231" t="s">
        <v>4855</v>
      </c>
      <c r="E2356" s="231"/>
      <c r="F2356" s="619">
        <v>14330.141</v>
      </c>
      <c r="G2356" s="231" t="s">
        <v>4851</v>
      </c>
      <c r="H2356" s="619"/>
      <c r="I2356" s="619">
        <v>12180619.85</v>
      </c>
      <c r="J2356" s="620">
        <v>7351820181</v>
      </c>
      <c r="K2356" s="621" t="s">
        <v>991</v>
      </c>
      <c r="L2356" s="621" t="s">
        <v>4852</v>
      </c>
      <c r="M2356" s="621" t="s">
        <v>4853</v>
      </c>
      <c r="N2356" s="621" t="s">
        <v>4854</v>
      </c>
      <c r="O2356" s="621"/>
      <c r="P2356" s="621"/>
    </row>
    <row r="2357" spans="1:16">
      <c r="A2357" s="232" t="s">
        <v>686</v>
      </c>
      <c r="B2357" s="232" t="s">
        <v>1864</v>
      </c>
      <c r="C2357" s="622">
        <v>45199</v>
      </c>
      <c r="D2357" s="232" t="s">
        <v>4855</v>
      </c>
      <c r="E2357" s="232"/>
      <c r="F2357" s="233">
        <v>9636.1540000000005</v>
      </c>
      <c r="G2357" s="232" t="s">
        <v>4851</v>
      </c>
      <c r="H2357" s="233"/>
      <c r="I2357" s="233">
        <v>8497931.4900000002</v>
      </c>
      <c r="J2357" s="623">
        <v>5129071015.6199999</v>
      </c>
      <c r="K2357" s="624" t="s">
        <v>991</v>
      </c>
      <c r="L2357" s="624" t="s">
        <v>4852</v>
      </c>
      <c r="M2357" s="624" t="s">
        <v>4856</v>
      </c>
      <c r="N2357" s="624" t="s">
        <v>4854</v>
      </c>
      <c r="O2357" s="624"/>
      <c r="P2357" s="624"/>
    </row>
    <row r="2358" spans="1:16">
      <c r="A2358" s="231" t="s">
        <v>686</v>
      </c>
      <c r="B2358" s="231" t="s">
        <v>1864</v>
      </c>
      <c r="C2358" s="618">
        <v>45199</v>
      </c>
      <c r="D2358" s="231" t="s">
        <v>4850</v>
      </c>
      <c r="E2358" s="231"/>
      <c r="F2358" s="619"/>
      <c r="G2358" s="231" t="s">
        <v>4851</v>
      </c>
      <c r="H2358" s="619"/>
      <c r="I2358" s="619">
        <v>-103893.52</v>
      </c>
      <c r="J2358" s="620">
        <v>-62706700.189999998</v>
      </c>
      <c r="K2358" s="621" t="s">
        <v>991</v>
      </c>
      <c r="L2358" s="621" t="s">
        <v>4852</v>
      </c>
      <c r="M2358" s="621" t="s">
        <v>4853</v>
      </c>
      <c r="N2358" s="621" t="s">
        <v>4854</v>
      </c>
      <c r="O2358" s="621"/>
      <c r="P2358" s="621"/>
    </row>
    <row r="2359" spans="1:16">
      <c r="A2359" s="232" t="s">
        <v>686</v>
      </c>
      <c r="B2359" s="232" t="s">
        <v>1864</v>
      </c>
      <c r="C2359" s="622">
        <v>45230</v>
      </c>
      <c r="D2359" s="232" t="s">
        <v>4883</v>
      </c>
      <c r="E2359" s="232" t="s">
        <v>5068</v>
      </c>
      <c r="F2359" s="233">
        <v>25</v>
      </c>
      <c r="G2359" s="232" t="s">
        <v>4851</v>
      </c>
      <c r="H2359" s="233"/>
      <c r="I2359" s="233">
        <v>5000</v>
      </c>
      <c r="J2359" s="623">
        <v>3095890</v>
      </c>
      <c r="K2359" s="624" t="s">
        <v>991</v>
      </c>
      <c r="L2359" s="624" t="s">
        <v>4852</v>
      </c>
      <c r="M2359" s="624" t="s">
        <v>4856</v>
      </c>
      <c r="N2359" s="624" t="s">
        <v>4854</v>
      </c>
      <c r="O2359" s="624"/>
      <c r="P2359" s="624"/>
    </row>
    <row r="2360" spans="1:16">
      <c r="A2360" s="231" t="s">
        <v>686</v>
      </c>
      <c r="B2360" s="231" t="s">
        <v>1864</v>
      </c>
      <c r="C2360" s="618">
        <v>45230</v>
      </c>
      <c r="D2360" s="231" t="s">
        <v>4883</v>
      </c>
      <c r="E2360" s="232" t="s">
        <v>5068</v>
      </c>
      <c r="F2360" s="619">
        <v>24.1</v>
      </c>
      <c r="G2360" s="231" t="s">
        <v>4851</v>
      </c>
      <c r="H2360" s="619"/>
      <c r="I2360" s="619">
        <v>4820</v>
      </c>
      <c r="J2360" s="620">
        <v>2984437.96</v>
      </c>
      <c r="K2360" s="621" t="s">
        <v>991</v>
      </c>
      <c r="L2360" s="621" t="s">
        <v>4852</v>
      </c>
      <c r="M2360" s="621" t="s">
        <v>4856</v>
      </c>
      <c r="N2360" s="621" t="s">
        <v>4854</v>
      </c>
      <c r="O2360" s="621"/>
      <c r="P2360" s="621"/>
    </row>
    <row r="2361" spans="1:16">
      <c r="A2361" s="232" t="s">
        <v>686</v>
      </c>
      <c r="B2361" s="232" t="s">
        <v>1864</v>
      </c>
      <c r="C2361" s="622">
        <v>45230</v>
      </c>
      <c r="D2361" s="232" t="s">
        <v>4883</v>
      </c>
      <c r="E2361" s="232" t="s">
        <v>5068</v>
      </c>
      <c r="F2361" s="233">
        <v>24.65</v>
      </c>
      <c r="G2361" s="232" t="s">
        <v>4851</v>
      </c>
      <c r="H2361" s="233"/>
      <c r="I2361" s="233">
        <v>4930</v>
      </c>
      <c r="J2361" s="623">
        <v>3052547.54</v>
      </c>
      <c r="K2361" s="624" t="s">
        <v>991</v>
      </c>
      <c r="L2361" s="624" t="s">
        <v>4852</v>
      </c>
      <c r="M2361" s="624" t="s">
        <v>4856</v>
      </c>
      <c r="N2361" s="624" t="s">
        <v>4854</v>
      </c>
      <c r="O2361" s="624"/>
      <c r="P2361" s="624"/>
    </row>
    <row r="2362" spans="1:16">
      <c r="A2362" s="231" t="s">
        <v>686</v>
      </c>
      <c r="B2362" s="231" t="s">
        <v>1864</v>
      </c>
      <c r="C2362" s="618">
        <v>45230</v>
      </c>
      <c r="D2362" s="231" t="s">
        <v>4883</v>
      </c>
      <c r="E2362" s="232" t="s">
        <v>5068</v>
      </c>
      <c r="F2362" s="619">
        <v>25.65</v>
      </c>
      <c r="G2362" s="231" t="s">
        <v>4851</v>
      </c>
      <c r="H2362" s="619"/>
      <c r="I2362" s="619">
        <v>5130</v>
      </c>
      <c r="J2362" s="620">
        <v>3176383.14</v>
      </c>
      <c r="K2362" s="621" t="s">
        <v>991</v>
      </c>
      <c r="L2362" s="621" t="s">
        <v>4852</v>
      </c>
      <c r="M2362" s="621" t="s">
        <v>4856</v>
      </c>
      <c r="N2362" s="621" t="s">
        <v>4854</v>
      </c>
      <c r="O2362" s="621"/>
      <c r="P2362" s="621"/>
    </row>
    <row r="2363" spans="1:16">
      <c r="A2363" s="232" t="s">
        <v>686</v>
      </c>
      <c r="B2363" s="232" t="s">
        <v>1864</v>
      </c>
      <c r="C2363" s="622">
        <v>45230</v>
      </c>
      <c r="D2363" s="232" t="s">
        <v>4855</v>
      </c>
      <c r="E2363" s="232"/>
      <c r="F2363" s="233">
        <v>10094.502</v>
      </c>
      <c r="G2363" s="232" t="s">
        <v>4851</v>
      </c>
      <c r="H2363" s="233"/>
      <c r="I2363" s="233">
        <v>10315975.369999999</v>
      </c>
      <c r="J2363" s="623">
        <v>6387424997.6499996</v>
      </c>
      <c r="K2363" s="624" t="s">
        <v>991</v>
      </c>
      <c r="L2363" s="624" t="s">
        <v>4852</v>
      </c>
      <c r="M2363" s="624" t="s">
        <v>4856</v>
      </c>
      <c r="N2363" s="624" t="s">
        <v>4854</v>
      </c>
      <c r="O2363" s="624"/>
      <c r="P2363" s="624"/>
    </row>
    <row r="2364" spans="1:16">
      <c r="A2364" s="231" t="s">
        <v>686</v>
      </c>
      <c r="B2364" s="231" t="s">
        <v>1864</v>
      </c>
      <c r="C2364" s="618">
        <v>45230</v>
      </c>
      <c r="D2364" s="231" t="s">
        <v>4855</v>
      </c>
      <c r="E2364" s="231"/>
      <c r="F2364" s="619">
        <v>17467.074000000001</v>
      </c>
      <c r="G2364" s="231" t="s">
        <v>4851</v>
      </c>
      <c r="H2364" s="619"/>
      <c r="I2364" s="619">
        <v>17205067.890000001</v>
      </c>
      <c r="J2364" s="620">
        <v>10652999525.99</v>
      </c>
      <c r="K2364" s="621" t="s">
        <v>991</v>
      </c>
      <c r="L2364" s="621" t="s">
        <v>4852</v>
      </c>
      <c r="M2364" s="621" t="s">
        <v>4853</v>
      </c>
      <c r="N2364" s="621" t="s">
        <v>4854</v>
      </c>
      <c r="O2364" s="621"/>
      <c r="P2364" s="621"/>
    </row>
    <row r="2365" spans="1:16">
      <c r="A2365" s="232" t="s">
        <v>686</v>
      </c>
      <c r="B2365" s="232" t="s">
        <v>1864</v>
      </c>
      <c r="C2365" s="622">
        <v>45230</v>
      </c>
      <c r="D2365" s="232" t="s">
        <v>4857</v>
      </c>
      <c r="E2365" s="232"/>
      <c r="F2365" s="233">
        <v>50</v>
      </c>
      <c r="G2365" s="232" t="s">
        <v>4851</v>
      </c>
      <c r="H2365" s="233"/>
      <c r="I2365" s="233"/>
      <c r="J2365" s="623">
        <v>4250000</v>
      </c>
      <c r="K2365" s="624" t="s">
        <v>1130</v>
      </c>
      <c r="L2365" s="624" t="s">
        <v>4852</v>
      </c>
      <c r="M2365" s="624" t="s">
        <v>4858</v>
      </c>
      <c r="N2365" s="624" t="s">
        <v>4754</v>
      </c>
      <c r="O2365" s="624"/>
      <c r="P2365" s="624"/>
    </row>
    <row r="2366" spans="1:16">
      <c r="A2366" s="231" t="s">
        <v>686</v>
      </c>
      <c r="B2366" s="231" t="s">
        <v>1864</v>
      </c>
      <c r="C2366" s="618">
        <v>45230</v>
      </c>
      <c r="D2366" s="231" t="s">
        <v>4857</v>
      </c>
      <c r="E2366" s="231"/>
      <c r="F2366" s="619">
        <v>50</v>
      </c>
      <c r="G2366" s="231" t="s">
        <v>4851</v>
      </c>
      <c r="H2366" s="619"/>
      <c r="I2366" s="619"/>
      <c r="J2366" s="620">
        <v>4250000</v>
      </c>
      <c r="K2366" s="621" t="s">
        <v>1130</v>
      </c>
      <c r="L2366" s="621" t="s">
        <v>4852</v>
      </c>
      <c r="M2366" s="621" t="s">
        <v>4858</v>
      </c>
      <c r="N2366" s="621" t="s">
        <v>4754</v>
      </c>
      <c r="O2366" s="621"/>
      <c r="P2366" s="621"/>
    </row>
    <row r="2367" spans="1:16">
      <c r="A2367" s="232" t="s">
        <v>686</v>
      </c>
      <c r="B2367" s="232" t="s">
        <v>1864</v>
      </c>
      <c r="C2367" s="622">
        <v>45230</v>
      </c>
      <c r="D2367" s="232" t="s">
        <v>4855</v>
      </c>
      <c r="E2367" s="232"/>
      <c r="F2367" s="233">
        <v>17215.715</v>
      </c>
      <c r="G2367" s="232" t="s">
        <v>4851</v>
      </c>
      <c r="H2367" s="233"/>
      <c r="I2367" s="233">
        <v>16957479.280000001</v>
      </c>
      <c r="J2367" s="623">
        <v>10499698105.629999</v>
      </c>
      <c r="K2367" s="624" t="s">
        <v>991</v>
      </c>
      <c r="L2367" s="624" t="s">
        <v>4852</v>
      </c>
      <c r="M2367" s="624" t="s">
        <v>4853</v>
      </c>
      <c r="N2367" s="624" t="s">
        <v>4854</v>
      </c>
      <c r="O2367" s="624"/>
      <c r="P2367" s="624"/>
    </row>
    <row r="2368" spans="1:16">
      <c r="A2368" s="231" t="s">
        <v>686</v>
      </c>
      <c r="B2368" s="231" t="s">
        <v>1864</v>
      </c>
      <c r="C2368" s="618">
        <v>45230</v>
      </c>
      <c r="D2368" s="231" t="s">
        <v>4855</v>
      </c>
      <c r="E2368" s="231"/>
      <c r="F2368" s="619">
        <v>17395.519</v>
      </c>
      <c r="G2368" s="231" t="s">
        <v>4851</v>
      </c>
      <c r="H2368" s="619"/>
      <c r="I2368" s="619">
        <v>17134586.219999999</v>
      </c>
      <c r="J2368" s="620">
        <v>10609358826.530001</v>
      </c>
      <c r="K2368" s="621" t="s">
        <v>991</v>
      </c>
      <c r="L2368" s="621" t="s">
        <v>4852</v>
      </c>
      <c r="M2368" s="621" t="s">
        <v>4853</v>
      </c>
      <c r="N2368" s="621" t="s">
        <v>4854</v>
      </c>
      <c r="O2368" s="621"/>
      <c r="P2368" s="621"/>
    </row>
    <row r="2369" spans="1:16">
      <c r="A2369" s="232" t="s">
        <v>686</v>
      </c>
      <c r="B2369" s="232" t="s">
        <v>1864</v>
      </c>
      <c r="C2369" s="622">
        <v>45230</v>
      </c>
      <c r="D2369" s="232" t="s">
        <v>4850</v>
      </c>
      <c r="E2369" s="232"/>
      <c r="F2369" s="233"/>
      <c r="G2369" s="232" t="s">
        <v>4851</v>
      </c>
      <c r="H2369" s="233"/>
      <c r="I2369" s="233">
        <v>-153287.63</v>
      </c>
      <c r="J2369" s="623">
        <v>-94912328.170000002</v>
      </c>
      <c r="K2369" s="624" t="s">
        <v>991</v>
      </c>
      <c r="L2369" s="624" t="s">
        <v>4852</v>
      </c>
      <c r="M2369" s="624" t="s">
        <v>4853</v>
      </c>
      <c r="N2369" s="624" t="s">
        <v>4854</v>
      </c>
      <c r="O2369" s="624"/>
      <c r="P2369" s="624"/>
    </row>
    <row r="2370" spans="1:16">
      <c r="A2370" s="231" t="s">
        <v>686</v>
      </c>
      <c r="B2370" s="231" t="s">
        <v>1864</v>
      </c>
      <c r="C2370" s="618">
        <v>45230</v>
      </c>
      <c r="D2370" s="231" t="s">
        <v>4850</v>
      </c>
      <c r="E2370" s="231"/>
      <c r="F2370" s="619"/>
      <c r="G2370" s="231" t="s">
        <v>4851</v>
      </c>
      <c r="H2370" s="619"/>
      <c r="I2370" s="619">
        <v>-172157.15</v>
      </c>
      <c r="J2370" s="620">
        <v>-106595919.81999999</v>
      </c>
      <c r="K2370" s="621" t="s">
        <v>991</v>
      </c>
      <c r="L2370" s="621" t="s">
        <v>4852</v>
      </c>
      <c r="M2370" s="621" t="s">
        <v>4853</v>
      </c>
      <c r="N2370" s="621" t="s">
        <v>4854</v>
      </c>
      <c r="O2370" s="621"/>
      <c r="P2370" s="621"/>
    </row>
    <row r="2371" spans="1:16">
      <c r="A2371" s="232" t="s">
        <v>686</v>
      </c>
      <c r="B2371" s="232" t="s">
        <v>1864</v>
      </c>
      <c r="C2371" s="622">
        <v>45230</v>
      </c>
      <c r="D2371" s="232" t="s">
        <v>4850</v>
      </c>
      <c r="E2371" s="232"/>
      <c r="F2371" s="233"/>
      <c r="G2371" s="232" t="s">
        <v>4851</v>
      </c>
      <c r="H2371" s="233"/>
      <c r="I2371" s="233">
        <v>-173955.19</v>
      </c>
      <c r="J2371" s="623">
        <v>-107709226.63</v>
      </c>
      <c r="K2371" s="624" t="s">
        <v>991</v>
      </c>
      <c r="L2371" s="624" t="s">
        <v>4852</v>
      </c>
      <c r="M2371" s="624" t="s">
        <v>4853</v>
      </c>
      <c r="N2371" s="624" t="s">
        <v>4854</v>
      </c>
      <c r="O2371" s="624"/>
      <c r="P2371" s="624"/>
    </row>
    <row r="2372" spans="1:16">
      <c r="A2372" s="231" t="s">
        <v>686</v>
      </c>
      <c r="B2372" s="231" t="s">
        <v>1864</v>
      </c>
      <c r="C2372" s="618">
        <v>45260</v>
      </c>
      <c r="D2372" s="231" t="s">
        <v>4855</v>
      </c>
      <c r="E2372" s="231"/>
      <c r="F2372" s="619">
        <v>10164.605</v>
      </c>
      <c r="G2372" s="231" t="s">
        <v>4851</v>
      </c>
      <c r="H2372" s="619"/>
      <c r="I2372" s="619">
        <v>10387616.439999999</v>
      </c>
      <c r="J2372" s="620">
        <v>6416638427.3199997</v>
      </c>
      <c r="K2372" s="621" t="s">
        <v>991</v>
      </c>
      <c r="L2372" s="621" t="s">
        <v>4852</v>
      </c>
      <c r="M2372" s="621" t="s">
        <v>4856</v>
      </c>
      <c r="N2372" s="621" t="s">
        <v>4854</v>
      </c>
      <c r="O2372" s="621"/>
      <c r="P2372" s="621"/>
    </row>
    <row r="2373" spans="1:16">
      <c r="A2373" s="232" t="s">
        <v>686</v>
      </c>
      <c r="B2373" s="232" t="s">
        <v>1864</v>
      </c>
      <c r="C2373" s="622">
        <v>45260</v>
      </c>
      <c r="D2373" s="232" t="s">
        <v>4884</v>
      </c>
      <c r="E2373" s="231" t="s">
        <v>5076</v>
      </c>
      <c r="F2373" s="233">
        <v>15</v>
      </c>
      <c r="G2373" s="232" t="s">
        <v>4851</v>
      </c>
      <c r="H2373" s="233"/>
      <c r="I2373" s="233"/>
      <c r="J2373" s="623">
        <v>4800000</v>
      </c>
      <c r="K2373" s="624" t="s">
        <v>1130</v>
      </c>
      <c r="L2373" s="624" t="s">
        <v>4852</v>
      </c>
      <c r="M2373" s="624" t="s">
        <v>4865</v>
      </c>
      <c r="N2373" s="624" t="s">
        <v>4866</v>
      </c>
      <c r="O2373" s="624"/>
      <c r="P2373" s="624"/>
    </row>
    <row r="2374" spans="1:16">
      <c r="A2374" s="231" t="s">
        <v>686</v>
      </c>
      <c r="B2374" s="231" t="s">
        <v>1864</v>
      </c>
      <c r="C2374" s="618">
        <v>45260</v>
      </c>
      <c r="D2374" s="231" t="s">
        <v>4855</v>
      </c>
      <c r="E2374" s="231"/>
      <c r="F2374" s="619">
        <v>14375.66</v>
      </c>
      <c r="G2374" s="231" t="s">
        <v>4851</v>
      </c>
      <c r="H2374" s="619"/>
      <c r="I2374" s="619">
        <v>14059395.48</v>
      </c>
      <c r="J2374" s="620">
        <v>8684769775.9099998</v>
      </c>
      <c r="K2374" s="621" t="s">
        <v>991</v>
      </c>
      <c r="L2374" s="621" t="s">
        <v>4852</v>
      </c>
      <c r="M2374" s="621" t="s">
        <v>4885</v>
      </c>
      <c r="N2374" s="621" t="s">
        <v>4886</v>
      </c>
      <c r="O2374" s="621"/>
      <c r="P2374" s="621"/>
    </row>
    <row r="2375" spans="1:16">
      <c r="A2375" s="232" t="s">
        <v>686</v>
      </c>
      <c r="B2375" s="232" t="s">
        <v>1864</v>
      </c>
      <c r="C2375" s="622">
        <v>45260</v>
      </c>
      <c r="D2375" s="232" t="s">
        <v>4864</v>
      </c>
      <c r="E2375" s="231" t="s">
        <v>5076</v>
      </c>
      <c r="F2375" s="233">
        <v>15</v>
      </c>
      <c r="G2375" s="232" t="s">
        <v>4851</v>
      </c>
      <c r="H2375" s="233"/>
      <c r="I2375" s="233"/>
      <c r="J2375" s="623">
        <v>3945000</v>
      </c>
      <c r="K2375" s="624" t="s">
        <v>1130</v>
      </c>
      <c r="L2375" s="624" t="s">
        <v>4852</v>
      </c>
      <c r="M2375" s="624" t="s">
        <v>4865</v>
      </c>
      <c r="N2375" s="624" t="s">
        <v>4866</v>
      </c>
      <c r="O2375" s="624"/>
      <c r="P2375" s="624"/>
    </row>
    <row r="2376" spans="1:16">
      <c r="A2376" s="231" t="s">
        <v>686</v>
      </c>
      <c r="B2376" s="231" t="s">
        <v>1864</v>
      </c>
      <c r="C2376" s="618">
        <v>45260</v>
      </c>
      <c r="D2376" s="231" t="s">
        <v>4855</v>
      </c>
      <c r="E2376" s="231"/>
      <c r="F2376" s="619">
        <v>13325.751</v>
      </c>
      <c r="G2376" s="231" t="s">
        <v>4851</v>
      </c>
      <c r="H2376" s="619"/>
      <c r="I2376" s="619">
        <v>13125864.74</v>
      </c>
      <c r="J2376" s="620">
        <v>8108109167.1899996</v>
      </c>
      <c r="K2376" s="621" t="s">
        <v>991</v>
      </c>
      <c r="L2376" s="621" t="s">
        <v>4852</v>
      </c>
      <c r="M2376" s="621" t="s">
        <v>4853</v>
      </c>
      <c r="N2376" s="621" t="s">
        <v>4854</v>
      </c>
      <c r="O2376" s="621"/>
      <c r="P2376" s="621"/>
    </row>
    <row r="2377" spans="1:16">
      <c r="A2377" s="232" t="s">
        <v>686</v>
      </c>
      <c r="B2377" s="232" t="s">
        <v>1864</v>
      </c>
      <c r="C2377" s="622">
        <v>45260</v>
      </c>
      <c r="D2377" s="232" t="s">
        <v>4850</v>
      </c>
      <c r="E2377" s="232"/>
      <c r="F2377" s="233"/>
      <c r="G2377" s="232" t="s">
        <v>4851</v>
      </c>
      <c r="H2377" s="233"/>
      <c r="I2377" s="233">
        <v>-133257.51</v>
      </c>
      <c r="J2377" s="623">
        <v>-82315829.079999998</v>
      </c>
      <c r="K2377" s="624" t="s">
        <v>991</v>
      </c>
      <c r="L2377" s="624" t="s">
        <v>4852</v>
      </c>
      <c r="M2377" s="624" t="s">
        <v>4853</v>
      </c>
      <c r="N2377" s="624" t="s">
        <v>4854</v>
      </c>
      <c r="O2377" s="624"/>
      <c r="P2377" s="624"/>
    </row>
    <row r="2378" spans="1:16">
      <c r="A2378" s="231" t="s">
        <v>686</v>
      </c>
      <c r="B2378" s="231" t="s">
        <v>1864</v>
      </c>
      <c r="C2378" s="618">
        <v>45291</v>
      </c>
      <c r="D2378" s="231" t="s">
        <v>4857</v>
      </c>
      <c r="E2378" s="231"/>
      <c r="F2378" s="619">
        <v>52</v>
      </c>
      <c r="G2378" s="231" t="s">
        <v>4851</v>
      </c>
      <c r="H2378" s="619"/>
      <c r="I2378" s="619"/>
      <c r="J2378" s="620">
        <v>4420000</v>
      </c>
      <c r="K2378" s="621" t="s">
        <v>1130</v>
      </c>
      <c r="L2378" s="621" t="s">
        <v>4852</v>
      </c>
      <c r="M2378" s="621" t="s">
        <v>4858</v>
      </c>
      <c r="N2378" s="621" t="s">
        <v>4754</v>
      </c>
      <c r="O2378" s="621"/>
      <c r="P2378" s="621"/>
    </row>
    <row r="2379" spans="1:16">
      <c r="A2379" s="232" t="s">
        <v>686</v>
      </c>
      <c r="B2379" s="232" t="s">
        <v>1864</v>
      </c>
      <c r="C2379" s="622">
        <v>45291</v>
      </c>
      <c r="D2379" s="232" t="s">
        <v>4857</v>
      </c>
      <c r="E2379" s="232"/>
      <c r="F2379" s="233">
        <v>50</v>
      </c>
      <c r="G2379" s="232" t="s">
        <v>4851</v>
      </c>
      <c r="H2379" s="233"/>
      <c r="I2379" s="233"/>
      <c r="J2379" s="623">
        <v>4250000</v>
      </c>
      <c r="K2379" s="624" t="s">
        <v>1130</v>
      </c>
      <c r="L2379" s="624" t="s">
        <v>4852</v>
      </c>
      <c r="M2379" s="624" t="s">
        <v>4858</v>
      </c>
      <c r="N2379" s="624" t="s">
        <v>4754</v>
      </c>
      <c r="O2379" s="624"/>
      <c r="P2379" s="624"/>
    </row>
    <row r="2380" spans="1:16">
      <c r="A2380" s="231" t="s">
        <v>686</v>
      </c>
      <c r="B2380" s="231" t="s">
        <v>1864</v>
      </c>
      <c r="C2380" s="618">
        <v>45291</v>
      </c>
      <c r="D2380" s="231" t="s">
        <v>4855</v>
      </c>
      <c r="E2380" s="231"/>
      <c r="F2380" s="619">
        <v>18100.731</v>
      </c>
      <c r="G2380" s="231" t="s">
        <v>4851</v>
      </c>
      <c r="H2380" s="619"/>
      <c r="I2380" s="619">
        <v>17829220.039999999</v>
      </c>
      <c r="J2380" s="620">
        <v>10739395032.65</v>
      </c>
      <c r="K2380" s="621" t="s">
        <v>991</v>
      </c>
      <c r="L2380" s="621" t="s">
        <v>4852</v>
      </c>
      <c r="M2380" s="621" t="s">
        <v>4853</v>
      </c>
      <c r="N2380" s="621" t="s">
        <v>4854</v>
      </c>
      <c r="O2380" s="621"/>
      <c r="P2380" s="621"/>
    </row>
    <row r="2381" spans="1:16">
      <c r="A2381" s="232" t="s">
        <v>686</v>
      </c>
      <c r="B2381" s="232" t="s">
        <v>1864</v>
      </c>
      <c r="C2381" s="622">
        <v>45291</v>
      </c>
      <c r="D2381" s="232" t="s">
        <v>4857</v>
      </c>
      <c r="E2381" s="232"/>
      <c r="F2381" s="233">
        <v>50</v>
      </c>
      <c r="G2381" s="232" t="s">
        <v>4851</v>
      </c>
      <c r="H2381" s="233"/>
      <c r="I2381" s="233"/>
      <c r="J2381" s="623">
        <v>4250000</v>
      </c>
      <c r="K2381" s="624" t="s">
        <v>1130</v>
      </c>
      <c r="L2381" s="624" t="s">
        <v>4852</v>
      </c>
      <c r="M2381" s="624" t="s">
        <v>4858</v>
      </c>
      <c r="N2381" s="624" t="s">
        <v>4754</v>
      </c>
      <c r="O2381" s="624"/>
      <c r="P2381" s="624"/>
    </row>
    <row r="2382" spans="1:16">
      <c r="A2382" s="231" t="s">
        <v>686</v>
      </c>
      <c r="B2382" s="231" t="s">
        <v>1864</v>
      </c>
      <c r="C2382" s="618">
        <v>45291</v>
      </c>
      <c r="D2382" s="231" t="s">
        <v>4857</v>
      </c>
      <c r="E2382" s="231"/>
      <c r="F2382" s="619">
        <v>52</v>
      </c>
      <c r="G2382" s="231" t="s">
        <v>4851</v>
      </c>
      <c r="H2382" s="619"/>
      <c r="I2382" s="619"/>
      <c r="J2382" s="620">
        <v>4420000</v>
      </c>
      <c r="K2382" s="621" t="s">
        <v>1130</v>
      </c>
      <c r="L2382" s="621" t="s">
        <v>4852</v>
      </c>
      <c r="M2382" s="621" t="s">
        <v>4858</v>
      </c>
      <c r="N2382" s="621" t="s">
        <v>4754</v>
      </c>
      <c r="O2382" s="621"/>
      <c r="P2382" s="621"/>
    </row>
    <row r="2383" spans="1:16">
      <c r="A2383" s="232" t="s">
        <v>686</v>
      </c>
      <c r="B2383" s="232" t="s">
        <v>1864</v>
      </c>
      <c r="C2383" s="622">
        <v>45291</v>
      </c>
      <c r="D2383" s="232" t="s">
        <v>4857</v>
      </c>
      <c r="E2383" s="232"/>
      <c r="F2383" s="233">
        <v>50</v>
      </c>
      <c r="G2383" s="232" t="s">
        <v>4851</v>
      </c>
      <c r="H2383" s="233"/>
      <c r="I2383" s="233"/>
      <c r="J2383" s="623">
        <v>4250000</v>
      </c>
      <c r="K2383" s="624" t="s">
        <v>1130</v>
      </c>
      <c r="L2383" s="624" t="s">
        <v>4852</v>
      </c>
      <c r="M2383" s="624" t="s">
        <v>4858</v>
      </c>
      <c r="N2383" s="624" t="s">
        <v>4754</v>
      </c>
      <c r="O2383" s="624"/>
      <c r="P2383" s="624"/>
    </row>
    <row r="2384" spans="1:16">
      <c r="A2384" s="231" t="s">
        <v>686</v>
      </c>
      <c r="B2384" s="231" t="s">
        <v>1864</v>
      </c>
      <c r="C2384" s="618">
        <v>45291</v>
      </c>
      <c r="D2384" s="231" t="s">
        <v>4857</v>
      </c>
      <c r="E2384" s="231"/>
      <c r="F2384" s="619">
        <v>50</v>
      </c>
      <c r="G2384" s="231" t="s">
        <v>4851</v>
      </c>
      <c r="H2384" s="619"/>
      <c r="I2384" s="619"/>
      <c r="J2384" s="620">
        <v>4250000</v>
      </c>
      <c r="K2384" s="621" t="s">
        <v>1130</v>
      </c>
      <c r="L2384" s="621" t="s">
        <v>4852</v>
      </c>
      <c r="M2384" s="621" t="s">
        <v>4858</v>
      </c>
      <c r="N2384" s="621" t="s">
        <v>4754</v>
      </c>
      <c r="O2384" s="621"/>
      <c r="P2384" s="621"/>
    </row>
    <row r="2385" spans="1:16">
      <c r="A2385" s="232" t="s">
        <v>686</v>
      </c>
      <c r="B2385" s="232" t="s">
        <v>1864</v>
      </c>
      <c r="C2385" s="622">
        <v>45291</v>
      </c>
      <c r="D2385" s="232" t="s">
        <v>4857</v>
      </c>
      <c r="E2385" s="232"/>
      <c r="F2385" s="233">
        <v>50</v>
      </c>
      <c r="G2385" s="232" t="s">
        <v>4851</v>
      </c>
      <c r="H2385" s="233"/>
      <c r="I2385" s="233"/>
      <c r="J2385" s="623">
        <v>4250000</v>
      </c>
      <c r="K2385" s="624" t="s">
        <v>1130</v>
      </c>
      <c r="L2385" s="624" t="s">
        <v>4852</v>
      </c>
      <c r="M2385" s="624" t="s">
        <v>4858</v>
      </c>
      <c r="N2385" s="624" t="s">
        <v>4754</v>
      </c>
      <c r="O2385" s="624"/>
      <c r="P2385" s="624"/>
    </row>
    <row r="2386" spans="1:16">
      <c r="A2386" s="231" t="s">
        <v>686</v>
      </c>
      <c r="B2386" s="231" t="s">
        <v>1864</v>
      </c>
      <c r="C2386" s="618">
        <v>45291</v>
      </c>
      <c r="D2386" s="231" t="s">
        <v>4857</v>
      </c>
      <c r="E2386" s="231"/>
      <c r="F2386" s="619">
        <v>50</v>
      </c>
      <c r="G2386" s="231" t="s">
        <v>4851</v>
      </c>
      <c r="H2386" s="619"/>
      <c r="I2386" s="619"/>
      <c r="J2386" s="620">
        <v>4250000</v>
      </c>
      <c r="K2386" s="621" t="s">
        <v>1130</v>
      </c>
      <c r="L2386" s="621" t="s">
        <v>4852</v>
      </c>
      <c r="M2386" s="621" t="s">
        <v>4858</v>
      </c>
      <c r="N2386" s="621" t="s">
        <v>4754</v>
      </c>
      <c r="O2386" s="621"/>
      <c r="P2386" s="621"/>
    </row>
    <row r="2387" spans="1:16">
      <c r="A2387" s="232" t="s">
        <v>686</v>
      </c>
      <c r="B2387" s="232" t="s">
        <v>1864</v>
      </c>
      <c r="C2387" s="622">
        <v>45291</v>
      </c>
      <c r="D2387" s="232" t="s">
        <v>4857</v>
      </c>
      <c r="E2387" s="232"/>
      <c r="F2387" s="233">
        <v>50</v>
      </c>
      <c r="G2387" s="232" t="s">
        <v>4851</v>
      </c>
      <c r="H2387" s="233"/>
      <c r="I2387" s="233"/>
      <c r="J2387" s="623">
        <v>4250000</v>
      </c>
      <c r="K2387" s="624" t="s">
        <v>1130</v>
      </c>
      <c r="L2387" s="624" t="s">
        <v>4852</v>
      </c>
      <c r="M2387" s="624" t="s">
        <v>4858</v>
      </c>
      <c r="N2387" s="624" t="s">
        <v>4754</v>
      </c>
      <c r="O2387" s="624"/>
      <c r="P2387" s="624"/>
    </row>
    <row r="2388" spans="1:16">
      <c r="A2388" s="231" t="s">
        <v>686</v>
      </c>
      <c r="B2388" s="231" t="s">
        <v>1864</v>
      </c>
      <c r="C2388" s="618">
        <v>45291</v>
      </c>
      <c r="D2388" s="231" t="s">
        <v>4857</v>
      </c>
      <c r="E2388" s="231"/>
      <c r="F2388" s="619">
        <v>50</v>
      </c>
      <c r="G2388" s="231" t="s">
        <v>4851</v>
      </c>
      <c r="H2388" s="619"/>
      <c r="I2388" s="619"/>
      <c r="J2388" s="620">
        <v>4250000</v>
      </c>
      <c r="K2388" s="621" t="s">
        <v>1130</v>
      </c>
      <c r="L2388" s="621" t="s">
        <v>4852</v>
      </c>
      <c r="M2388" s="621" t="s">
        <v>4858</v>
      </c>
      <c r="N2388" s="621" t="s">
        <v>4754</v>
      </c>
      <c r="O2388" s="621"/>
      <c r="P2388" s="621"/>
    </row>
    <row r="2389" spans="1:16">
      <c r="A2389" s="232" t="s">
        <v>686</v>
      </c>
      <c r="B2389" s="232" t="s">
        <v>1864</v>
      </c>
      <c r="C2389" s="622">
        <v>45291</v>
      </c>
      <c r="D2389" s="232" t="s">
        <v>4857</v>
      </c>
      <c r="E2389" s="232"/>
      <c r="F2389" s="233">
        <v>52</v>
      </c>
      <c r="G2389" s="232" t="s">
        <v>4851</v>
      </c>
      <c r="H2389" s="233"/>
      <c r="I2389" s="233"/>
      <c r="J2389" s="623">
        <v>4420000</v>
      </c>
      <c r="K2389" s="624" t="s">
        <v>1130</v>
      </c>
      <c r="L2389" s="624" t="s">
        <v>4852</v>
      </c>
      <c r="M2389" s="624" t="s">
        <v>4858</v>
      </c>
      <c r="N2389" s="624" t="s">
        <v>4754</v>
      </c>
      <c r="O2389" s="624"/>
      <c r="P2389" s="624"/>
    </row>
    <row r="2390" spans="1:16">
      <c r="A2390" s="231" t="s">
        <v>686</v>
      </c>
      <c r="B2390" s="231" t="s">
        <v>1864</v>
      </c>
      <c r="C2390" s="618">
        <v>45291</v>
      </c>
      <c r="D2390" s="231" t="s">
        <v>4857</v>
      </c>
      <c r="E2390" s="231"/>
      <c r="F2390" s="619">
        <v>50</v>
      </c>
      <c r="G2390" s="231" t="s">
        <v>4851</v>
      </c>
      <c r="H2390" s="619"/>
      <c r="I2390" s="619"/>
      <c r="J2390" s="620">
        <v>4250000</v>
      </c>
      <c r="K2390" s="621" t="s">
        <v>1130</v>
      </c>
      <c r="L2390" s="621" t="s">
        <v>4852</v>
      </c>
      <c r="M2390" s="621" t="s">
        <v>4858</v>
      </c>
      <c r="N2390" s="621" t="s">
        <v>4754</v>
      </c>
      <c r="O2390" s="621"/>
      <c r="P2390" s="621"/>
    </row>
    <row r="2391" spans="1:16">
      <c r="A2391" s="232" t="s">
        <v>686</v>
      </c>
      <c r="B2391" s="232" t="s">
        <v>1864</v>
      </c>
      <c r="C2391" s="622">
        <v>45291</v>
      </c>
      <c r="D2391" s="232" t="s">
        <v>4857</v>
      </c>
      <c r="E2391" s="232"/>
      <c r="F2391" s="233">
        <v>50</v>
      </c>
      <c r="G2391" s="232" t="s">
        <v>4851</v>
      </c>
      <c r="H2391" s="233"/>
      <c r="I2391" s="233"/>
      <c r="J2391" s="623">
        <v>4250000</v>
      </c>
      <c r="K2391" s="624" t="s">
        <v>1130</v>
      </c>
      <c r="L2391" s="624" t="s">
        <v>4852</v>
      </c>
      <c r="M2391" s="624" t="s">
        <v>4858</v>
      </c>
      <c r="N2391" s="624" t="s">
        <v>4754</v>
      </c>
      <c r="O2391" s="624"/>
      <c r="P2391" s="624"/>
    </row>
    <row r="2392" spans="1:16">
      <c r="A2392" s="231" t="s">
        <v>686</v>
      </c>
      <c r="B2392" s="231" t="s">
        <v>1864</v>
      </c>
      <c r="C2392" s="618">
        <v>45291</v>
      </c>
      <c r="D2392" s="231" t="s">
        <v>4857</v>
      </c>
      <c r="E2392" s="231"/>
      <c r="F2392" s="619">
        <v>50</v>
      </c>
      <c r="G2392" s="231" t="s">
        <v>4851</v>
      </c>
      <c r="H2392" s="619"/>
      <c r="I2392" s="619"/>
      <c r="J2392" s="620">
        <v>4250000</v>
      </c>
      <c r="K2392" s="621" t="s">
        <v>1130</v>
      </c>
      <c r="L2392" s="621" t="s">
        <v>4852</v>
      </c>
      <c r="M2392" s="621" t="s">
        <v>4858</v>
      </c>
      <c r="N2392" s="621" t="s">
        <v>4754</v>
      </c>
      <c r="O2392" s="621"/>
      <c r="P2392" s="621"/>
    </row>
    <row r="2393" spans="1:16">
      <c r="A2393" s="232" t="s">
        <v>686</v>
      </c>
      <c r="B2393" s="232" t="s">
        <v>1864</v>
      </c>
      <c r="C2393" s="622">
        <v>45291</v>
      </c>
      <c r="D2393" s="232" t="s">
        <v>4857</v>
      </c>
      <c r="E2393" s="232"/>
      <c r="F2393" s="233">
        <v>50</v>
      </c>
      <c r="G2393" s="232" t="s">
        <v>4851</v>
      </c>
      <c r="H2393" s="233"/>
      <c r="I2393" s="233"/>
      <c r="J2393" s="623">
        <v>4250000</v>
      </c>
      <c r="K2393" s="624" t="s">
        <v>1130</v>
      </c>
      <c r="L2393" s="624" t="s">
        <v>4852</v>
      </c>
      <c r="M2393" s="624" t="s">
        <v>4858</v>
      </c>
      <c r="N2393" s="624" t="s">
        <v>4754</v>
      </c>
      <c r="O2393" s="624"/>
      <c r="P2393" s="624"/>
    </row>
    <row r="2394" spans="1:16">
      <c r="A2394" s="231" t="s">
        <v>686</v>
      </c>
      <c r="B2394" s="231" t="s">
        <v>1864</v>
      </c>
      <c r="C2394" s="618">
        <v>45291</v>
      </c>
      <c r="D2394" s="231" t="s">
        <v>4857</v>
      </c>
      <c r="E2394" s="231"/>
      <c r="F2394" s="619">
        <v>50</v>
      </c>
      <c r="G2394" s="231" t="s">
        <v>4851</v>
      </c>
      <c r="H2394" s="619"/>
      <c r="I2394" s="619"/>
      <c r="J2394" s="620">
        <v>4250000</v>
      </c>
      <c r="K2394" s="621" t="s">
        <v>1130</v>
      </c>
      <c r="L2394" s="621" t="s">
        <v>4852</v>
      </c>
      <c r="M2394" s="621" t="s">
        <v>4858</v>
      </c>
      <c r="N2394" s="621" t="s">
        <v>4754</v>
      </c>
      <c r="O2394" s="621"/>
      <c r="P2394" s="621"/>
    </row>
    <row r="2395" spans="1:16">
      <c r="A2395" s="232" t="s">
        <v>686</v>
      </c>
      <c r="B2395" s="232" t="s">
        <v>1864</v>
      </c>
      <c r="C2395" s="622">
        <v>45291</v>
      </c>
      <c r="D2395" s="232" t="s">
        <v>4857</v>
      </c>
      <c r="E2395" s="232"/>
      <c r="F2395" s="233">
        <v>50</v>
      </c>
      <c r="G2395" s="232" t="s">
        <v>4851</v>
      </c>
      <c r="H2395" s="233"/>
      <c r="I2395" s="233"/>
      <c r="J2395" s="623">
        <v>4250000</v>
      </c>
      <c r="K2395" s="624" t="s">
        <v>1130</v>
      </c>
      <c r="L2395" s="624" t="s">
        <v>4852</v>
      </c>
      <c r="M2395" s="624" t="s">
        <v>4858</v>
      </c>
      <c r="N2395" s="624" t="s">
        <v>4754</v>
      </c>
      <c r="O2395" s="624"/>
      <c r="P2395" s="624"/>
    </row>
    <row r="2396" spans="1:16">
      <c r="A2396" s="231" t="s">
        <v>686</v>
      </c>
      <c r="B2396" s="231" t="s">
        <v>1864</v>
      </c>
      <c r="C2396" s="618">
        <v>45291</v>
      </c>
      <c r="D2396" s="231" t="s">
        <v>4857</v>
      </c>
      <c r="E2396" s="231"/>
      <c r="F2396" s="619">
        <v>50</v>
      </c>
      <c r="G2396" s="231" t="s">
        <v>4851</v>
      </c>
      <c r="H2396" s="619"/>
      <c r="I2396" s="619"/>
      <c r="J2396" s="620">
        <v>4250000</v>
      </c>
      <c r="K2396" s="621" t="s">
        <v>1130</v>
      </c>
      <c r="L2396" s="621" t="s">
        <v>4852</v>
      </c>
      <c r="M2396" s="621" t="s">
        <v>4858</v>
      </c>
      <c r="N2396" s="621" t="s">
        <v>4754</v>
      </c>
      <c r="O2396" s="621"/>
      <c r="P2396" s="621"/>
    </row>
    <row r="2397" spans="1:16">
      <c r="A2397" s="232" t="s">
        <v>686</v>
      </c>
      <c r="B2397" s="232" t="s">
        <v>1864</v>
      </c>
      <c r="C2397" s="622">
        <v>45291</v>
      </c>
      <c r="D2397" s="232" t="s">
        <v>4857</v>
      </c>
      <c r="E2397" s="232"/>
      <c r="F2397" s="233">
        <v>50</v>
      </c>
      <c r="G2397" s="232" t="s">
        <v>4851</v>
      </c>
      <c r="H2397" s="233"/>
      <c r="I2397" s="233"/>
      <c r="J2397" s="623">
        <v>4250000</v>
      </c>
      <c r="K2397" s="624" t="s">
        <v>1130</v>
      </c>
      <c r="L2397" s="624" t="s">
        <v>4852</v>
      </c>
      <c r="M2397" s="624" t="s">
        <v>4858</v>
      </c>
      <c r="N2397" s="624" t="s">
        <v>4754</v>
      </c>
      <c r="O2397" s="624"/>
      <c r="P2397" s="624"/>
    </row>
    <row r="2398" spans="1:16">
      <c r="A2398" s="231" t="s">
        <v>686</v>
      </c>
      <c r="B2398" s="231" t="s">
        <v>1864</v>
      </c>
      <c r="C2398" s="618">
        <v>45291</v>
      </c>
      <c r="D2398" s="231" t="s">
        <v>4857</v>
      </c>
      <c r="E2398" s="231"/>
      <c r="F2398" s="619">
        <v>50</v>
      </c>
      <c r="G2398" s="231" t="s">
        <v>4851</v>
      </c>
      <c r="H2398" s="619"/>
      <c r="I2398" s="619"/>
      <c r="J2398" s="620">
        <v>4250000</v>
      </c>
      <c r="K2398" s="621" t="s">
        <v>1130</v>
      </c>
      <c r="L2398" s="621" t="s">
        <v>4852</v>
      </c>
      <c r="M2398" s="621" t="s">
        <v>4858</v>
      </c>
      <c r="N2398" s="621" t="s">
        <v>4754</v>
      </c>
      <c r="O2398" s="621"/>
      <c r="P2398" s="621"/>
    </row>
    <row r="2399" spans="1:16">
      <c r="A2399" s="232" t="s">
        <v>686</v>
      </c>
      <c r="B2399" s="232" t="s">
        <v>1864</v>
      </c>
      <c r="C2399" s="622">
        <v>45291</v>
      </c>
      <c r="D2399" s="232" t="s">
        <v>4857</v>
      </c>
      <c r="E2399" s="232"/>
      <c r="F2399" s="233">
        <v>50</v>
      </c>
      <c r="G2399" s="232" t="s">
        <v>4851</v>
      </c>
      <c r="H2399" s="233"/>
      <c r="I2399" s="233"/>
      <c r="J2399" s="623">
        <v>4250000</v>
      </c>
      <c r="K2399" s="624" t="s">
        <v>1130</v>
      </c>
      <c r="L2399" s="624" t="s">
        <v>4852</v>
      </c>
      <c r="M2399" s="624" t="s">
        <v>4858</v>
      </c>
      <c r="N2399" s="624" t="s">
        <v>4754</v>
      </c>
      <c r="O2399" s="624"/>
      <c r="P2399" s="624"/>
    </row>
    <row r="2400" spans="1:16">
      <c r="A2400" s="231" t="s">
        <v>686</v>
      </c>
      <c r="B2400" s="231" t="s">
        <v>1864</v>
      </c>
      <c r="C2400" s="618">
        <v>45291</v>
      </c>
      <c r="D2400" s="231" t="s">
        <v>4857</v>
      </c>
      <c r="E2400" s="231"/>
      <c r="F2400" s="619">
        <v>16.899999999999999</v>
      </c>
      <c r="G2400" s="231" t="s">
        <v>4851</v>
      </c>
      <c r="H2400" s="619"/>
      <c r="I2400" s="619"/>
      <c r="J2400" s="620">
        <v>1436500</v>
      </c>
      <c r="K2400" s="621" t="s">
        <v>1130</v>
      </c>
      <c r="L2400" s="621" t="s">
        <v>4852</v>
      </c>
      <c r="M2400" s="621" t="s">
        <v>4858</v>
      </c>
      <c r="N2400" s="621" t="s">
        <v>4754</v>
      </c>
      <c r="O2400" s="621"/>
      <c r="P2400" s="621"/>
    </row>
    <row r="2401" spans="1:16">
      <c r="A2401" s="232" t="s">
        <v>686</v>
      </c>
      <c r="B2401" s="232" t="s">
        <v>1864</v>
      </c>
      <c r="C2401" s="622">
        <v>45291</v>
      </c>
      <c r="D2401" s="232" t="s">
        <v>4857</v>
      </c>
      <c r="E2401" s="232"/>
      <c r="F2401" s="233">
        <v>50</v>
      </c>
      <c r="G2401" s="232" t="s">
        <v>4851</v>
      </c>
      <c r="H2401" s="233"/>
      <c r="I2401" s="233"/>
      <c r="J2401" s="623">
        <v>4250000</v>
      </c>
      <c r="K2401" s="624" t="s">
        <v>1130</v>
      </c>
      <c r="L2401" s="624" t="s">
        <v>4852</v>
      </c>
      <c r="M2401" s="624" t="s">
        <v>4858</v>
      </c>
      <c r="N2401" s="624" t="s">
        <v>4754</v>
      </c>
      <c r="O2401" s="624"/>
      <c r="P2401" s="624"/>
    </row>
    <row r="2402" spans="1:16">
      <c r="A2402" s="231" t="s">
        <v>686</v>
      </c>
      <c r="B2402" s="231" t="s">
        <v>1864</v>
      </c>
      <c r="C2402" s="618">
        <v>45291</v>
      </c>
      <c r="D2402" s="231" t="s">
        <v>4857</v>
      </c>
      <c r="E2402" s="231"/>
      <c r="F2402" s="619">
        <v>50</v>
      </c>
      <c r="G2402" s="231" t="s">
        <v>4851</v>
      </c>
      <c r="H2402" s="619"/>
      <c r="I2402" s="619"/>
      <c r="J2402" s="620">
        <v>4250000</v>
      </c>
      <c r="K2402" s="621" t="s">
        <v>1130</v>
      </c>
      <c r="L2402" s="621" t="s">
        <v>4852</v>
      </c>
      <c r="M2402" s="621" t="s">
        <v>4858</v>
      </c>
      <c r="N2402" s="621" t="s">
        <v>4754</v>
      </c>
      <c r="O2402" s="621"/>
      <c r="P2402" s="621"/>
    </row>
    <row r="2403" spans="1:16">
      <c r="A2403" s="232" t="s">
        <v>686</v>
      </c>
      <c r="B2403" s="232" t="s">
        <v>1864</v>
      </c>
      <c r="C2403" s="622">
        <v>45291</v>
      </c>
      <c r="D2403" s="232" t="s">
        <v>4857</v>
      </c>
      <c r="E2403" s="232"/>
      <c r="F2403" s="233">
        <v>50</v>
      </c>
      <c r="G2403" s="232" t="s">
        <v>4851</v>
      </c>
      <c r="H2403" s="233"/>
      <c r="I2403" s="233"/>
      <c r="J2403" s="623">
        <v>4250000</v>
      </c>
      <c r="K2403" s="624" t="s">
        <v>1130</v>
      </c>
      <c r="L2403" s="624" t="s">
        <v>4852</v>
      </c>
      <c r="M2403" s="624" t="s">
        <v>4858</v>
      </c>
      <c r="N2403" s="624" t="s">
        <v>4754</v>
      </c>
      <c r="O2403" s="624"/>
      <c r="P2403" s="624"/>
    </row>
    <row r="2404" spans="1:16">
      <c r="A2404" s="231" t="s">
        <v>686</v>
      </c>
      <c r="B2404" s="231" t="s">
        <v>1864</v>
      </c>
      <c r="C2404" s="618">
        <v>45291</v>
      </c>
      <c r="D2404" s="231" t="s">
        <v>4857</v>
      </c>
      <c r="E2404" s="231"/>
      <c r="F2404" s="619">
        <v>50</v>
      </c>
      <c r="G2404" s="231" t="s">
        <v>4851</v>
      </c>
      <c r="H2404" s="619"/>
      <c r="I2404" s="619"/>
      <c r="J2404" s="620">
        <v>4250000</v>
      </c>
      <c r="K2404" s="621" t="s">
        <v>1130</v>
      </c>
      <c r="L2404" s="621" t="s">
        <v>4852</v>
      </c>
      <c r="M2404" s="621" t="s">
        <v>4858</v>
      </c>
      <c r="N2404" s="621" t="s">
        <v>4754</v>
      </c>
      <c r="O2404" s="621"/>
      <c r="P2404" s="621"/>
    </row>
    <row r="2405" spans="1:16">
      <c r="A2405" s="232" t="s">
        <v>686</v>
      </c>
      <c r="B2405" s="232" t="s">
        <v>1864</v>
      </c>
      <c r="C2405" s="622">
        <v>45291</v>
      </c>
      <c r="D2405" s="232" t="s">
        <v>4857</v>
      </c>
      <c r="E2405" s="232"/>
      <c r="F2405" s="233">
        <v>50</v>
      </c>
      <c r="G2405" s="232" t="s">
        <v>4851</v>
      </c>
      <c r="H2405" s="233"/>
      <c r="I2405" s="233"/>
      <c r="J2405" s="623">
        <v>4250000</v>
      </c>
      <c r="K2405" s="624" t="s">
        <v>1130</v>
      </c>
      <c r="L2405" s="624" t="s">
        <v>4852</v>
      </c>
      <c r="M2405" s="624" t="s">
        <v>4858</v>
      </c>
      <c r="N2405" s="624" t="s">
        <v>4754</v>
      </c>
      <c r="O2405" s="624"/>
      <c r="P2405" s="624"/>
    </row>
    <row r="2406" spans="1:16">
      <c r="A2406" s="231" t="s">
        <v>686</v>
      </c>
      <c r="B2406" s="231" t="s">
        <v>1864</v>
      </c>
      <c r="C2406" s="618">
        <v>45291</v>
      </c>
      <c r="D2406" s="231" t="s">
        <v>4857</v>
      </c>
      <c r="E2406" s="231"/>
      <c r="F2406" s="619">
        <v>50</v>
      </c>
      <c r="G2406" s="231" t="s">
        <v>4851</v>
      </c>
      <c r="H2406" s="619"/>
      <c r="I2406" s="619"/>
      <c r="J2406" s="620">
        <v>4250000</v>
      </c>
      <c r="K2406" s="621" t="s">
        <v>1130</v>
      </c>
      <c r="L2406" s="621" t="s">
        <v>4852</v>
      </c>
      <c r="M2406" s="621" t="s">
        <v>4858</v>
      </c>
      <c r="N2406" s="621" t="s">
        <v>4754</v>
      </c>
      <c r="O2406" s="621"/>
      <c r="P2406" s="621"/>
    </row>
    <row r="2407" spans="1:16">
      <c r="A2407" s="232" t="s">
        <v>686</v>
      </c>
      <c r="B2407" s="232" t="s">
        <v>1864</v>
      </c>
      <c r="C2407" s="622">
        <v>45291</v>
      </c>
      <c r="D2407" s="232" t="s">
        <v>4857</v>
      </c>
      <c r="E2407" s="232"/>
      <c r="F2407" s="233">
        <v>33.1</v>
      </c>
      <c r="G2407" s="232" t="s">
        <v>4851</v>
      </c>
      <c r="H2407" s="233"/>
      <c r="I2407" s="233"/>
      <c r="J2407" s="623">
        <v>2813500</v>
      </c>
      <c r="K2407" s="624" t="s">
        <v>1130</v>
      </c>
      <c r="L2407" s="624" t="s">
        <v>4852</v>
      </c>
      <c r="M2407" s="624" t="s">
        <v>4858</v>
      </c>
      <c r="N2407" s="624" t="s">
        <v>4754</v>
      </c>
      <c r="O2407" s="624"/>
      <c r="P2407" s="624"/>
    </row>
    <row r="2408" spans="1:16">
      <c r="A2408" s="231" t="s">
        <v>686</v>
      </c>
      <c r="B2408" s="231" t="s">
        <v>1864</v>
      </c>
      <c r="C2408" s="618">
        <v>45291</v>
      </c>
      <c r="D2408" s="231" t="s">
        <v>4857</v>
      </c>
      <c r="E2408" s="231"/>
      <c r="F2408" s="619">
        <v>50</v>
      </c>
      <c r="G2408" s="231" t="s">
        <v>4851</v>
      </c>
      <c r="H2408" s="619"/>
      <c r="I2408" s="619"/>
      <c r="J2408" s="620">
        <v>4250000</v>
      </c>
      <c r="K2408" s="621" t="s">
        <v>1130</v>
      </c>
      <c r="L2408" s="621" t="s">
        <v>4852</v>
      </c>
      <c r="M2408" s="621" t="s">
        <v>4858</v>
      </c>
      <c r="N2408" s="621" t="s">
        <v>4754</v>
      </c>
      <c r="O2408" s="621"/>
      <c r="P2408" s="621"/>
    </row>
    <row r="2409" spans="1:16">
      <c r="A2409" s="232" t="s">
        <v>686</v>
      </c>
      <c r="B2409" s="232" t="s">
        <v>1864</v>
      </c>
      <c r="C2409" s="622">
        <v>45291</v>
      </c>
      <c r="D2409" s="232" t="s">
        <v>4857</v>
      </c>
      <c r="E2409" s="232"/>
      <c r="F2409" s="233">
        <v>50</v>
      </c>
      <c r="G2409" s="232" t="s">
        <v>4851</v>
      </c>
      <c r="H2409" s="233"/>
      <c r="I2409" s="233"/>
      <c r="J2409" s="623">
        <v>4250000</v>
      </c>
      <c r="K2409" s="624" t="s">
        <v>1130</v>
      </c>
      <c r="L2409" s="624" t="s">
        <v>4852</v>
      </c>
      <c r="M2409" s="624" t="s">
        <v>4858</v>
      </c>
      <c r="N2409" s="624" t="s">
        <v>4754</v>
      </c>
      <c r="O2409" s="624"/>
      <c r="P2409" s="624"/>
    </row>
    <row r="2410" spans="1:16">
      <c r="A2410" s="231" t="s">
        <v>686</v>
      </c>
      <c r="B2410" s="231" t="s">
        <v>1864</v>
      </c>
      <c r="C2410" s="618">
        <v>45291</v>
      </c>
      <c r="D2410" s="231" t="s">
        <v>4857</v>
      </c>
      <c r="E2410" s="231"/>
      <c r="F2410" s="619">
        <v>50</v>
      </c>
      <c r="G2410" s="231" t="s">
        <v>4851</v>
      </c>
      <c r="H2410" s="619"/>
      <c r="I2410" s="619"/>
      <c r="J2410" s="620">
        <v>4250000</v>
      </c>
      <c r="K2410" s="621" t="s">
        <v>1130</v>
      </c>
      <c r="L2410" s="621" t="s">
        <v>4852</v>
      </c>
      <c r="M2410" s="621" t="s">
        <v>4858</v>
      </c>
      <c r="N2410" s="621" t="s">
        <v>4754</v>
      </c>
      <c r="O2410" s="621"/>
      <c r="P2410" s="621"/>
    </row>
    <row r="2411" spans="1:16">
      <c r="A2411" s="232" t="s">
        <v>686</v>
      </c>
      <c r="B2411" s="232" t="s">
        <v>1864</v>
      </c>
      <c r="C2411" s="622">
        <v>45291</v>
      </c>
      <c r="D2411" s="232" t="s">
        <v>4857</v>
      </c>
      <c r="E2411" s="232"/>
      <c r="F2411" s="233">
        <v>50</v>
      </c>
      <c r="G2411" s="232" t="s">
        <v>4851</v>
      </c>
      <c r="H2411" s="233"/>
      <c r="I2411" s="233"/>
      <c r="J2411" s="623">
        <v>4250000</v>
      </c>
      <c r="K2411" s="624" t="s">
        <v>1130</v>
      </c>
      <c r="L2411" s="624" t="s">
        <v>4852</v>
      </c>
      <c r="M2411" s="624" t="s">
        <v>4858</v>
      </c>
      <c r="N2411" s="624" t="s">
        <v>4754</v>
      </c>
      <c r="O2411" s="624"/>
      <c r="P2411" s="624"/>
    </row>
    <row r="2412" spans="1:16">
      <c r="A2412" s="231" t="s">
        <v>686</v>
      </c>
      <c r="B2412" s="231" t="s">
        <v>1864</v>
      </c>
      <c r="C2412" s="618">
        <v>45291</v>
      </c>
      <c r="D2412" s="231" t="s">
        <v>4857</v>
      </c>
      <c r="E2412" s="231"/>
      <c r="F2412" s="619">
        <v>50</v>
      </c>
      <c r="G2412" s="231" t="s">
        <v>4851</v>
      </c>
      <c r="H2412" s="619"/>
      <c r="I2412" s="619"/>
      <c r="J2412" s="620">
        <v>4250000</v>
      </c>
      <c r="K2412" s="621" t="s">
        <v>1130</v>
      </c>
      <c r="L2412" s="621" t="s">
        <v>4852</v>
      </c>
      <c r="M2412" s="621" t="s">
        <v>4858</v>
      </c>
      <c r="N2412" s="621" t="s">
        <v>4754</v>
      </c>
      <c r="O2412" s="621"/>
      <c r="P2412" s="621"/>
    </row>
    <row r="2413" spans="1:16">
      <c r="A2413" s="232" t="s">
        <v>686</v>
      </c>
      <c r="B2413" s="232" t="s">
        <v>1864</v>
      </c>
      <c r="C2413" s="622">
        <v>45291</v>
      </c>
      <c r="D2413" s="232" t="s">
        <v>4857</v>
      </c>
      <c r="E2413" s="232"/>
      <c r="F2413" s="233">
        <v>50</v>
      </c>
      <c r="G2413" s="232" t="s">
        <v>4851</v>
      </c>
      <c r="H2413" s="233"/>
      <c r="I2413" s="233"/>
      <c r="J2413" s="623">
        <v>4250000</v>
      </c>
      <c r="K2413" s="624" t="s">
        <v>1130</v>
      </c>
      <c r="L2413" s="624" t="s">
        <v>4852</v>
      </c>
      <c r="M2413" s="624" t="s">
        <v>4858</v>
      </c>
      <c r="N2413" s="624" t="s">
        <v>4754</v>
      </c>
      <c r="O2413" s="624"/>
      <c r="P2413" s="624"/>
    </row>
    <row r="2414" spans="1:16">
      <c r="A2414" s="231" t="s">
        <v>686</v>
      </c>
      <c r="B2414" s="231" t="s">
        <v>1864</v>
      </c>
      <c r="C2414" s="618">
        <v>45291</v>
      </c>
      <c r="D2414" s="231" t="s">
        <v>4857</v>
      </c>
      <c r="E2414" s="231"/>
      <c r="F2414" s="619">
        <v>50</v>
      </c>
      <c r="G2414" s="231" t="s">
        <v>4851</v>
      </c>
      <c r="H2414" s="619"/>
      <c r="I2414" s="619"/>
      <c r="J2414" s="620">
        <v>4250000</v>
      </c>
      <c r="K2414" s="621" t="s">
        <v>1130</v>
      </c>
      <c r="L2414" s="621" t="s">
        <v>4852</v>
      </c>
      <c r="M2414" s="621" t="s">
        <v>4858</v>
      </c>
      <c r="N2414" s="621" t="s">
        <v>4754</v>
      </c>
      <c r="O2414" s="621"/>
      <c r="P2414" s="621"/>
    </row>
    <row r="2415" spans="1:16">
      <c r="A2415" s="232" t="s">
        <v>686</v>
      </c>
      <c r="B2415" s="232" t="s">
        <v>1864</v>
      </c>
      <c r="C2415" s="622">
        <v>45291</v>
      </c>
      <c r="D2415" s="232" t="s">
        <v>4857</v>
      </c>
      <c r="E2415" s="232"/>
      <c r="F2415" s="233">
        <v>50</v>
      </c>
      <c r="G2415" s="232" t="s">
        <v>4851</v>
      </c>
      <c r="H2415" s="233"/>
      <c r="I2415" s="233"/>
      <c r="J2415" s="623">
        <v>4250000</v>
      </c>
      <c r="K2415" s="624" t="s">
        <v>1130</v>
      </c>
      <c r="L2415" s="624" t="s">
        <v>4852</v>
      </c>
      <c r="M2415" s="624" t="s">
        <v>4858</v>
      </c>
      <c r="N2415" s="624" t="s">
        <v>4754</v>
      </c>
      <c r="O2415" s="624"/>
      <c r="P2415" s="624"/>
    </row>
    <row r="2416" spans="1:16">
      <c r="A2416" s="231" t="s">
        <v>686</v>
      </c>
      <c r="B2416" s="231" t="s">
        <v>1864</v>
      </c>
      <c r="C2416" s="618">
        <v>45291</v>
      </c>
      <c r="D2416" s="231" t="s">
        <v>4857</v>
      </c>
      <c r="E2416" s="231"/>
      <c r="F2416" s="619">
        <v>50</v>
      </c>
      <c r="G2416" s="231" t="s">
        <v>4851</v>
      </c>
      <c r="H2416" s="619"/>
      <c r="I2416" s="619"/>
      <c r="J2416" s="620">
        <v>4250000</v>
      </c>
      <c r="K2416" s="621" t="s">
        <v>1130</v>
      </c>
      <c r="L2416" s="621" t="s">
        <v>4852</v>
      </c>
      <c r="M2416" s="621" t="s">
        <v>4858</v>
      </c>
      <c r="N2416" s="621" t="s">
        <v>4754</v>
      </c>
      <c r="O2416" s="621"/>
      <c r="P2416" s="621"/>
    </row>
    <row r="2417" spans="1:16">
      <c r="A2417" s="232" t="s">
        <v>686</v>
      </c>
      <c r="B2417" s="232" t="s">
        <v>1864</v>
      </c>
      <c r="C2417" s="622">
        <v>45291</v>
      </c>
      <c r="D2417" s="232" t="s">
        <v>4857</v>
      </c>
      <c r="E2417" s="232"/>
      <c r="F2417" s="233">
        <v>50</v>
      </c>
      <c r="G2417" s="232" t="s">
        <v>4851</v>
      </c>
      <c r="H2417" s="233"/>
      <c r="I2417" s="233"/>
      <c r="J2417" s="623">
        <v>4250000</v>
      </c>
      <c r="K2417" s="624" t="s">
        <v>1130</v>
      </c>
      <c r="L2417" s="624" t="s">
        <v>4852</v>
      </c>
      <c r="M2417" s="624" t="s">
        <v>4858</v>
      </c>
      <c r="N2417" s="624" t="s">
        <v>4754</v>
      </c>
      <c r="O2417" s="624"/>
      <c r="P2417" s="624"/>
    </row>
    <row r="2418" spans="1:16">
      <c r="A2418" s="231" t="s">
        <v>686</v>
      </c>
      <c r="B2418" s="231" t="s">
        <v>1864</v>
      </c>
      <c r="C2418" s="618">
        <v>45291</v>
      </c>
      <c r="D2418" s="231" t="s">
        <v>4857</v>
      </c>
      <c r="E2418" s="231"/>
      <c r="F2418" s="619">
        <v>50</v>
      </c>
      <c r="G2418" s="231" t="s">
        <v>4851</v>
      </c>
      <c r="H2418" s="619"/>
      <c r="I2418" s="619"/>
      <c r="J2418" s="620">
        <v>4250000</v>
      </c>
      <c r="K2418" s="621" t="s">
        <v>1130</v>
      </c>
      <c r="L2418" s="621" t="s">
        <v>4852</v>
      </c>
      <c r="M2418" s="621" t="s">
        <v>4858</v>
      </c>
      <c r="N2418" s="621" t="s">
        <v>4754</v>
      </c>
      <c r="O2418" s="621"/>
      <c r="P2418" s="621"/>
    </row>
    <row r="2419" spans="1:16">
      <c r="A2419" s="232" t="s">
        <v>686</v>
      </c>
      <c r="B2419" s="232" t="s">
        <v>1864</v>
      </c>
      <c r="C2419" s="622">
        <v>45291</v>
      </c>
      <c r="D2419" s="232" t="s">
        <v>4857</v>
      </c>
      <c r="E2419" s="232"/>
      <c r="F2419" s="233">
        <v>50</v>
      </c>
      <c r="G2419" s="232" t="s">
        <v>4851</v>
      </c>
      <c r="H2419" s="233"/>
      <c r="I2419" s="233"/>
      <c r="J2419" s="623">
        <v>4250000</v>
      </c>
      <c r="K2419" s="624" t="s">
        <v>1130</v>
      </c>
      <c r="L2419" s="624" t="s">
        <v>4852</v>
      </c>
      <c r="M2419" s="624" t="s">
        <v>4858</v>
      </c>
      <c r="N2419" s="624" t="s">
        <v>4754</v>
      </c>
      <c r="O2419" s="624"/>
      <c r="P2419" s="624"/>
    </row>
    <row r="2420" spans="1:16">
      <c r="A2420" s="231" t="s">
        <v>686</v>
      </c>
      <c r="B2420" s="231" t="s">
        <v>1864</v>
      </c>
      <c r="C2420" s="618">
        <v>45291</v>
      </c>
      <c r="D2420" s="231" t="s">
        <v>4857</v>
      </c>
      <c r="E2420" s="231"/>
      <c r="F2420" s="619">
        <v>50</v>
      </c>
      <c r="G2420" s="231" t="s">
        <v>4851</v>
      </c>
      <c r="H2420" s="619"/>
      <c r="I2420" s="619"/>
      <c r="J2420" s="620">
        <v>4250000</v>
      </c>
      <c r="K2420" s="621" t="s">
        <v>1130</v>
      </c>
      <c r="L2420" s="621" t="s">
        <v>4852</v>
      </c>
      <c r="M2420" s="621" t="s">
        <v>4858</v>
      </c>
      <c r="N2420" s="621" t="s">
        <v>4754</v>
      </c>
      <c r="O2420" s="621"/>
      <c r="P2420" s="621"/>
    </row>
    <row r="2421" spans="1:16">
      <c r="A2421" s="232" t="s">
        <v>686</v>
      </c>
      <c r="B2421" s="232" t="s">
        <v>1864</v>
      </c>
      <c r="C2421" s="622">
        <v>45291</v>
      </c>
      <c r="D2421" s="232" t="s">
        <v>4857</v>
      </c>
      <c r="E2421" s="232"/>
      <c r="F2421" s="233">
        <v>50</v>
      </c>
      <c r="G2421" s="232" t="s">
        <v>4851</v>
      </c>
      <c r="H2421" s="233"/>
      <c r="I2421" s="233"/>
      <c r="J2421" s="623">
        <v>4250000</v>
      </c>
      <c r="K2421" s="624" t="s">
        <v>1130</v>
      </c>
      <c r="L2421" s="624" t="s">
        <v>4852</v>
      </c>
      <c r="M2421" s="624" t="s">
        <v>4858</v>
      </c>
      <c r="N2421" s="624" t="s">
        <v>4754</v>
      </c>
      <c r="O2421" s="624"/>
      <c r="P2421" s="624"/>
    </row>
    <row r="2422" spans="1:16">
      <c r="A2422" s="231" t="s">
        <v>686</v>
      </c>
      <c r="B2422" s="231" t="s">
        <v>1864</v>
      </c>
      <c r="C2422" s="618">
        <v>45291</v>
      </c>
      <c r="D2422" s="231" t="s">
        <v>4857</v>
      </c>
      <c r="E2422" s="231"/>
      <c r="F2422" s="619">
        <v>50</v>
      </c>
      <c r="G2422" s="231" t="s">
        <v>4851</v>
      </c>
      <c r="H2422" s="619"/>
      <c r="I2422" s="619"/>
      <c r="J2422" s="620">
        <v>4250000</v>
      </c>
      <c r="K2422" s="621" t="s">
        <v>1130</v>
      </c>
      <c r="L2422" s="621" t="s">
        <v>4852</v>
      </c>
      <c r="M2422" s="621" t="s">
        <v>4858</v>
      </c>
      <c r="N2422" s="621" t="s">
        <v>4754</v>
      </c>
      <c r="O2422" s="621"/>
      <c r="P2422" s="621"/>
    </row>
    <row r="2423" spans="1:16">
      <c r="A2423" s="232" t="s">
        <v>686</v>
      </c>
      <c r="B2423" s="232" t="s">
        <v>1864</v>
      </c>
      <c r="C2423" s="622">
        <v>45291</v>
      </c>
      <c r="D2423" s="232" t="s">
        <v>4857</v>
      </c>
      <c r="E2423" s="232"/>
      <c r="F2423" s="233">
        <v>52</v>
      </c>
      <c r="G2423" s="232" t="s">
        <v>4851</v>
      </c>
      <c r="H2423" s="233"/>
      <c r="I2423" s="233"/>
      <c r="J2423" s="623">
        <v>4420000</v>
      </c>
      <c r="K2423" s="624" t="s">
        <v>1130</v>
      </c>
      <c r="L2423" s="624" t="s">
        <v>4852</v>
      </c>
      <c r="M2423" s="624" t="s">
        <v>4858</v>
      </c>
      <c r="N2423" s="624" t="s">
        <v>4754</v>
      </c>
      <c r="O2423" s="624"/>
      <c r="P2423" s="624"/>
    </row>
    <row r="2424" spans="1:16">
      <c r="A2424" s="231" t="s">
        <v>686</v>
      </c>
      <c r="B2424" s="231" t="s">
        <v>1864</v>
      </c>
      <c r="C2424" s="618">
        <v>45291</v>
      </c>
      <c r="D2424" s="231" t="s">
        <v>4857</v>
      </c>
      <c r="E2424" s="231"/>
      <c r="F2424" s="619">
        <v>50</v>
      </c>
      <c r="G2424" s="231" t="s">
        <v>4851</v>
      </c>
      <c r="H2424" s="619"/>
      <c r="I2424" s="619"/>
      <c r="J2424" s="620">
        <v>4250000</v>
      </c>
      <c r="K2424" s="621" t="s">
        <v>1130</v>
      </c>
      <c r="L2424" s="621" t="s">
        <v>4852</v>
      </c>
      <c r="M2424" s="621" t="s">
        <v>4858</v>
      </c>
      <c r="N2424" s="621" t="s">
        <v>4754</v>
      </c>
      <c r="O2424" s="621"/>
      <c r="P2424" s="621"/>
    </row>
    <row r="2425" spans="1:16">
      <c r="A2425" s="232" t="s">
        <v>686</v>
      </c>
      <c r="B2425" s="232" t="s">
        <v>1864</v>
      </c>
      <c r="C2425" s="622">
        <v>45291</v>
      </c>
      <c r="D2425" s="232" t="s">
        <v>4857</v>
      </c>
      <c r="E2425" s="232"/>
      <c r="F2425" s="233">
        <v>50</v>
      </c>
      <c r="G2425" s="232" t="s">
        <v>4851</v>
      </c>
      <c r="H2425" s="233"/>
      <c r="I2425" s="233"/>
      <c r="J2425" s="623">
        <v>4250000</v>
      </c>
      <c r="K2425" s="624" t="s">
        <v>1130</v>
      </c>
      <c r="L2425" s="624" t="s">
        <v>4852</v>
      </c>
      <c r="M2425" s="624" t="s">
        <v>4858</v>
      </c>
      <c r="N2425" s="624" t="s">
        <v>4754</v>
      </c>
      <c r="O2425" s="624"/>
      <c r="P2425" s="624"/>
    </row>
    <row r="2426" spans="1:16">
      <c r="A2426" s="231" t="s">
        <v>686</v>
      </c>
      <c r="B2426" s="231" t="s">
        <v>1864</v>
      </c>
      <c r="C2426" s="618">
        <v>45291</v>
      </c>
      <c r="D2426" s="231" t="s">
        <v>4855</v>
      </c>
      <c r="E2426" s="231"/>
      <c r="F2426" s="619">
        <v>15791.255999999999</v>
      </c>
      <c r="G2426" s="231" t="s">
        <v>4851</v>
      </c>
      <c r="H2426" s="619"/>
      <c r="I2426" s="619">
        <v>15554387.16</v>
      </c>
      <c r="J2426" s="620">
        <v>9369153997.0499992</v>
      </c>
      <c r="K2426" s="621" t="s">
        <v>991</v>
      </c>
      <c r="L2426" s="621" t="s">
        <v>4852</v>
      </c>
      <c r="M2426" s="621" t="s">
        <v>4853</v>
      </c>
      <c r="N2426" s="621" t="s">
        <v>4854</v>
      </c>
      <c r="O2426" s="621"/>
      <c r="P2426" s="621"/>
    </row>
    <row r="2427" spans="1:16">
      <c r="A2427" s="232" t="s">
        <v>686</v>
      </c>
      <c r="B2427" s="232" t="s">
        <v>1864</v>
      </c>
      <c r="C2427" s="622">
        <v>45291</v>
      </c>
      <c r="D2427" s="232" t="s">
        <v>4855</v>
      </c>
      <c r="E2427" s="232"/>
      <c r="F2427" s="233"/>
      <c r="G2427" s="232" t="s">
        <v>4851</v>
      </c>
      <c r="H2427" s="233"/>
      <c r="I2427" s="233"/>
      <c r="J2427" s="623">
        <v>-24246314.044</v>
      </c>
      <c r="K2427" s="624" t="s">
        <v>991</v>
      </c>
      <c r="L2427" s="624" t="s">
        <v>4852</v>
      </c>
      <c r="M2427" s="624" t="s">
        <v>4853</v>
      </c>
      <c r="N2427" s="624" t="s">
        <v>4854</v>
      </c>
      <c r="O2427" s="624"/>
      <c r="P2427" s="624"/>
    </row>
    <row r="2428" spans="1:16">
      <c r="A2428" s="231" t="s">
        <v>686</v>
      </c>
      <c r="B2428" s="231" t="s">
        <v>1864</v>
      </c>
      <c r="C2428" s="618">
        <v>45291</v>
      </c>
      <c r="D2428" s="231" t="s">
        <v>4855</v>
      </c>
      <c r="E2428" s="231"/>
      <c r="F2428" s="619"/>
      <c r="G2428" s="231" t="s">
        <v>4851</v>
      </c>
      <c r="H2428" s="619"/>
      <c r="I2428" s="619"/>
      <c r="J2428" s="620">
        <v>-116103179.34799999</v>
      </c>
      <c r="K2428" s="621" t="s">
        <v>991</v>
      </c>
      <c r="L2428" s="621" t="s">
        <v>4852</v>
      </c>
      <c r="M2428" s="621" t="s">
        <v>4853</v>
      </c>
      <c r="N2428" s="621" t="s">
        <v>4854</v>
      </c>
      <c r="O2428" s="621"/>
      <c r="P2428" s="621"/>
    </row>
    <row r="2429" spans="1:16">
      <c r="A2429" s="232" t="s">
        <v>686</v>
      </c>
      <c r="B2429" s="232" t="s">
        <v>1864</v>
      </c>
      <c r="C2429" s="622">
        <v>45291</v>
      </c>
      <c r="D2429" s="232" t="s">
        <v>4850</v>
      </c>
      <c r="E2429" s="232"/>
      <c r="F2429" s="233"/>
      <c r="G2429" s="232" t="s">
        <v>4851</v>
      </c>
      <c r="H2429" s="233"/>
      <c r="I2429" s="233">
        <v>-157912.56</v>
      </c>
      <c r="J2429" s="623">
        <v>-95118314.689999998</v>
      </c>
      <c r="K2429" s="624" t="s">
        <v>991</v>
      </c>
      <c r="L2429" s="624" t="s">
        <v>4852</v>
      </c>
      <c r="M2429" s="624" t="s">
        <v>4853</v>
      </c>
      <c r="N2429" s="624" t="s">
        <v>4854</v>
      </c>
      <c r="O2429" s="624"/>
      <c r="P2429" s="624"/>
    </row>
    <row r="2430" spans="1:16">
      <c r="A2430" s="231" t="s">
        <v>686</v>
      </c>
      <c r="B2430" s="231" t="s">
        <v>1864</v>
      </c>
      <c r="C2430" s="618">
        <v>45291</v>
      </c>
      <c r="D2430" s="231" t="s">
        <v>4850</v>
      </c>
      <c r="E2430" s="231"/>
      <c r="F2430" s="619"/>
      <c r="G2430" s="231" t="s">
        <v>4851</v>
      </c>
      <c r="H2430" s="619"/>
      <c r="I2430" s="619">
        <v>-181007.31</v>
      </c>
      <c r="J2430" s="620">
        <v>-109029391.16</v>
      </c>
      <c r="K2430" s="621" t="s">
        <v>991</v>
      </c>
      <c r="L2430" s="621" t="s">
        <v>4852</v>
      </c>
      <c r="M2430" s="621" t="s">
        <v>4853</v>
      </c>
      <c r="N2430" s="621" t="s">
        <v>4854</v>
      </c>
      <c r="O2430" s="621"/>
      <c r="P2430" s="621"/>
    </row>
    <row r="2431" spans="1:16">
      <c r="A2431" s="232" t="s">
        <v>1150</v>
      </c>
      <c r="B2431" s="232" t="s">
        <v>216</v>
      </c>
      <c r="C2431" s="622">
        <v>44951</v>
      </c>
      <c r="D2431" s="232" t="s">
        <v>4677</v>
      </c>
      <c r="E2431" s="231" t="s">
        <v>5066</v>
      </c>
      <c r="F2431" s="233">
        <v>22.19</v>
      </c>
      <c r="G2431" s="232" t="s">
        <v>4887</v>
      </c>
      <c r="H2431" s="233">
        <v>1910</v>
      </c>
      <c r="I2431" s="233">
        <v>42382.9</v>
      </c>
      <c r="J2431" s="623">
        <v>25940030.120000001</v>
      </c>
      <c r="K2431" s="624" t="s">
        <v>728</v>
      </c>
      <c r="L2431" s="624" t="s">
        <v>2116</v>
      </c>
      <c r="M2431" s="624" t="s">
        <v>4888</v>
      </c>
      <c r="N2431" s="624" t="s">
        <v>4149</v>
      </c>
      <c r="O2431" s="624"/>
      <c r="P2431" s="624"/>
    </row>
    <row r="2432" spans="1:16">
      <c r="A2432" s="231" t="s">
        <v>1150</v>
      </c>
      <c r="B2432" s="231" t="s">
        <v>216</v>
      </c>
      <c r="C2432" s="618">
        <v>44951</v>
      </c>
      <c r="D2432" s="231" t="s">
        <v>4677</v>
      </c>
      <c r="E2432" s="231" t="s">
        <v>5066</v>
      </c>
      <c r="F2432" s="619">
        <v>6877.81</v>
      </c>
      <c r="G2432" s="231" t="s">
        <v>4887</v>
      </c>
      <c r="H2432" s="619">
        <v>1910</v>
      </c>
      <c r="I2432" s="619">
        <v>13136617.100000001</v>
      </c>
      <c r="J2432" s="620">
        <v>7898307204.1999998</v>
      </c>
      <c r="K2432" s="621" t="s">
        <v>728</v>
      </c>
      <c r="L2432" s="621" t="s">
        <v>2116</v>
      </c>
      <c r="M2432" s="621" t="s">
        <v>4888</v>
      </c>
      <c r="N2432" s="621" t="s">
        <v>4149</v>
      </c>
      <c r="O2432" s="621"/>
      <c r="P2432" s="621"/>
    </row>
    <row r="2433" spans="1:16">
      <c r="A2433" s="232" t="s">
        <v>1150</v>
      </c>
      <c r="B2433" s="232" t="s">
        <v>216</v>
      </c>
      <c r="C2433" s="622">
        <v>44981</v>
      </c>
      <c r="D2433" s="232" t="s">
        <v>4677</v>
      </c>
      <c r="E2433" s="231" t="s">
        <v>5066</v>
      </c>
      <c r="F2433" s="233">
        <v>61.927999999999997</v>
      </c>
      <c r="G2433" s="232" t="s">
        <v>4887</v>
      </c>
      <c r="H2433" s="233">
        <v>1899.8</v>
      </c>
      <c r="I2433" s="233">
        <v>117650.81439999999</v>
      </c>
      <c r="J2433" s="623">
        <v>72661140</v>
      </c>
      <c r="K2433" s="624" t="s">
        <v>728</v>
      </c>
      <c r="L2433" s="624" t="s">
        <v>2116</v>
      </c>
      <c r="M2433" s="624" t="s">
        <v>4888</v>
      </c>
      <c r="N2433" s="624" t="s">
        <v>4149</v>
      </c>
      <c r="O2433" s="624"/>
      <c r="P2433" s="624"/>
    </row>
    <row r="2434" spans="1:16">
      <c r="A2434" s="231" t="s">
        <v>1150</v>
      </c>
      <c r="B2434" s="231" t="s">
        <v>216</v>
      </c>
      <c r="C2434" s="618">
        <v>44981</v>
      </c>
      <c r="D2434" s="231" t="s">
        <v>4677</v>
      </c>
      <c r="E2434" s="231" t="s">
        <v>5066</v>
      </c>
      <c r="F2434" s="619">
        <v>4938.0720000000001</v>
      </c>
      <c r="G2434" s="231" t="s">
        <v>4887</v>
      </c>
      <c r="H2434" s="619">
        <v>1899.8</v>
      </c>
      <c r="I2434" s="619">
        <v>9381349.1855999995</v>
      </c>
      <c r="J2434" s="620">
        <v>5649171234.3400002</v>
      </c>
      <c r="K2434" s="621" t="s">
        <v>728</v>
      </c>
      <c r="L2434" s="621" t="s">
        <v>2116</v>
      </c>
      <c r="M2434" s="621" t="s">
        <v>4888</v>
      </c>
      <c r="N2434" s="621" t="s">
        <v>4149</v>
      </c>
      <c r="O2434" s="621"/>
      <c r="P2434" s="621"/>
    </row>
    <row r="2435" spans="1:16">
      <c r="A2435" s="232" t="s">
        <v>1150</v>
      </c>
      <c r="B2435" s="232" t="s">
        <v>216</v>
      </c>
      <c r="C2435" s="622">
        <v>44981</v>
      </c>
      <c r="D2435" s="232" t="s">
        <v>4677</v>
      </c>
      <c r="E2435" s="231" t="s">
        <v>5066</v>
      </c>
      <c r="F2435" s="233">
        <v>5000</v>
      </c>
      <c r="G2435" s="232" t="s">
        <v>4887</v>
      </c>
      <c r="H2435" s="233">
        <v>1775.96</v>
      </c>
      <c r="I2435" s="233">
        <v>8879800</v>
      </c>
      <c r="J2435" s="623">
        <v>5418745816.0699997</v>
      </c>
      <c r="K2435" s="624" t="s">
        <v>728</v>
      </c>
      <c r="L2435" s="624" t="s">
        <v>2116</v>
      </c>
      <c r="M2435" s="624" t="s">
        <v>4888</v>
      </c>
      <c r="N2435" s="624" t="s">
        <v>4149</v>
      </c>
      <c r="O2435" s="624"/>
      <c r="P2435" s="624"/>
    </row>
    <row r="2436" spans="1:16">
      <c r="A2436" s="231" t="s">
        <v>1150</v>
      </c>
      <c r="B2436" s="231" t="s">
        <v>216</v>
      </c>
      <c r="C2436" s="618">
        <v>44988</v>
      </c>
      <c r="D2436" s="231" t="s">
        <v>4677</v>
      </c>
      <c r="E2436" s="231" t="s">
        <v>5066</v>
      </c>
      <c r="F2436" s="619">
        <v>3000</v>
      </c>
      <c r="G2436" s="231" t="s">
        <v>4887</v>
      </c>
      <c r="H2436" s="619">
        <v>1835</v>
      </c>
      <c r="I2436" s="619">
        <v>5505000</v>
      </c>
      <c r="J2436" s="620">
        <v>3296944500</v>
      </c>
      <c r="K2436" s="621" t="s">
        <v>728</v>
      </c>
      <c r="L2436" s="621" t="s">
        <v>2116</v>
      </c>
      <c r="M2436" s="621" t="s">
        <v>4888</v>
      </c>
      <c r="N2436" s="621" t="s">
        <v>4149</v>
      </c>
      <c r="O2436" s="621"/>
      <c r="P2436" s="621"/>
    </row>
    <row r="2437" spans="1:16">
      <c r="A2437" s="232" t="s">
        <v>1150</v>
      </c>
      <c r="B2437" s="232" t="s">
        <v>216</v>
      </c>
      <c r="C2437" s="622">
        <v>45000</v>
      </c>
      <c r="D2437" s="232" t="s">
        <v>4677</v>
      </c>
      <c r="E2437" s="231" t="s">
        <v>5066</v>
      </c>
      <c r="F2437" s="233">
        <v>99.24</v>
      </c>
      <c r="G2437" s="232" t="s">
        <v>4887</v>
      </c>
      <c r="H2437" s="233">
        <v>1886</v>
      </c>
      <c r="I2437" s="233">
        <v>187166.63999999998</v>
      </c>
      <c r="J2437" s="623">
        <v>112094100.7</v>
      </c>
      <c r="K2437" s="624" t="s">
        <v>728</v>
      </c>
      <c r="L2437" s="624" t="s">
        <v>2116</v>
      </c>
      <c r="M2437" s="624" t="s">
        <v>4888</v>
      </c>
      <c r="N2437" s="624" t="s">
        <v>4149</v>
      </c>
      <c r="O2437" s="624"/>
      <c r="P2437" s="624"/>
    </row>
    <row r="2438" spans="1:16">
      <c r="A2438" s="231" t="s">
        <v>1150</v>
      </c>
      <c r="B2438" s="231" t="s">
        <v>216</v>
      </c>
      <c r="C2438" s="618">
        <v>45000</v>
      </c>
      <c r="D2438" s="231" t="s">
        <v>4677</v>
      </c>
      <c r="E2438" s="231" t="s">
        <v>5066</v>
      </c>
      <c r="F2438" s="619">
        <v>4.6219999999999999</v>
      </c>
      <c r="G2438" s="231" t="s">
        <v>4887</v>
      </c>
      <c r="H2438" s="619">
        <v>1886</v>
      </c>
      <c r="I2438" s="619">
        <v>8717.0920000000006</v>
      </c>
      <c r="J2438" s="620">
        <v>5220665.2</v>
      </c>
      <c r="K2438" s="621" t="s">
        <v>728</v>
      </c>
      <c r="L2438" s="621" t="s">
        <v>2116</v>
      </c>
      <c r="M2438" s="621" t="s">
        <v>4888</v>
      </c>
      <c r="N2438" s="621" t="s">
        <v>4149</v>
      </c>
      <c r="O2438" s="621"/>
      <c r="P2438" s="621"/>
    </row>
    <row r="2439" spans="1:16">
      <c r="A2439" s="232" t="s">
        <v>1150</v>
      </c>
      <c r="B2439" s="232" t="s">
        <v>216</v>
      </c>
      <c r="C2439" s="622">
        <v>45013</v>
      </c>
      <c r="D2439" s="232" t="s">
        <v>4677</v>
      </c>
      <c r="E2439" s="231" t="s">
        <v>5066</v>
      </c>
      <c r="F2439" s="233">
        <v>467</v>
      </c>
      <c r="G2439" s="232" t="s">
        <v>4887</v>
      </c>
      <c r="H2439" s="233">
        <v>1992.3</v>
      </c>
      <c r="I2439" s="233">
        <v>930404.1</v>
      </c>
      <c r="J2439" s="623">
        <v>557219015.49000001</v>
      </c>
      <c r="K2439" s="624" t="s">
        <v>728</v>
      </c>
      <c r="L2439" s="624" t="s">
        <v>2116</v>
      </c>
      <c r="M2439" s="624" t="s">
        <v>4888</v>
      </c>
      <c r="N2439" s="624" t="s">
        <v>4149</v>
      </c>
      <c r="O2439" s="624"/>
      <c r="P2439" s="624"/>
    </row>
    <row r="2440" spans="1:16">
      <c r="A2440" s="231" t="s">
        <v>1150</v>
      </c>
      <c r="B2440" s="231" t="s">
        <v>216</v>
      </c>
      <c r="C2440" s="618">
        <v>45016</v>
      </c>
      <c r="D2440" s="231" t="s">
        <v>4677</v>
      </c>
      <c r="E2440" s="231" t="s">
        <v>5066</v>
      </c>
      <c r="F2440" s="619">
        <v>5000</v>
      </c>
      <c r="G2440" s="231" t="s">
        <v>4887</v>
      </c>
      <c r="H2440" s="619">
        <v>1908.14</v>
      </c>
      <c r="I2440" s="619">
        <v>9540700</v>
      </c>
      <c r="J2440" s="620">
        <v>5692458655</v>
      </c>
      <c r="K2440" s="621" t="s">
        <v>728</v>
      </c>
      <c r="L2440" s="621" t="s">
        <v>2116</v>
      </c>
      <c r="M2440" s="621" t="s">
        <v>4888</v>
      </c>
      <c r="N2440" s="621" t="s">
        <v>4149</v>
      </c>
      <c r="O2440" s="621"/>
      <c r="P2440" s="621"/>
    </row>
    <row r="2441" spans="1:16">
      <c r="A2441" s="232" t="s">
        <v>1150</v>
      </c>
      <c r="B2441" s="232" t="s">
        <v>216</v>
      </c>
      <c r="C2441" s="622">
        <v>45016</v>
      </c>
      <c r="D2441" s="232" t="s">
        <v>4677</v>
      </c>
      <c r="E2441" s="231" t="s">
        <v>5066</v>
      </c>
      <c r="F2441" s="233">
        <v>5000</v>
      </c>
      <c r="G2441" s="232" t="s">
        <v>4887</v>
      </c>
      <c r="H2441" s="233">
        <v>1913.15</v>
      </c>
      <c r="I2441" s="233">
        <v>9565750</v>
      </c>
      <c r="J2441" s="623">
        <v>5707404737.5</v>
      </c>
      <c r="K2441" s="624" t="s">
        <v>728</v>
      </c>
      <c r="L2441" s="624" t="s">
        <v>2116</v>
      </c>
      <c r="M2441" s="624" t="s">
        <v>4888</v>
      </c>
      <c r="N2441" s="624" t="s">
        <v>4149</v>
      </c>
      <c r="O2441" s="624"/>
      <c r="P2441" s="624"/>
    </row>
    <row r="2442" spans="1:16">
      <c r="A2442" s="231" t="s">
        <v>1150</v>
      </c>
      <c r="B2442" s="231" t="s">
        <v>216</v>
      </c>
      <c r="C2442" s="618">
        <v>45063</v>
      </c>
      <c r="D2442" s="231" t="s">
        <v>4677</v>
      </c>
      <c r="E2442" s="231" t="s">
        <v>5066</v>
      </c>
      <c r="F2442" s="619">
        <v>4500</v>
      </c>
      <c r="G2442" s="231" t="s">
        <v>4887</v>
      </c>
      <c r="H2442" s="619">
        <v>2014</v>
      </c>
      <c r="I2442" s="619">
        <v>9063000</v>
      </c>
      <c r="J2442" s="620">
        <v>5501422259.9099998</v>
      </c>
      <c r="K2442" s="621" t="s">
        <v>728</v>
      </c>
      <c r="L2442" s="621" t="s">
        <v>2116</v>
      </c>
      <c r="M2442" s="621" t="s">
        <v>4888</v>
      </c>
      <c r="N2442" s="621" t="s">
        <v>4149</v>
      </c>
      <c r="O2442" s="621"/>
      <c r="P2442" s="621"/>
    </row>
    <row r="2443" spans="1:16">
      <c r="A2443" s="232" t="s">
        <v>1150</v>
      </c>
      <c r="B2443" s="232" t="s">
        <v>216</v>
      </c>
      <c r="C2443" s="622">
        <v>45072</v>
      </c>
      <c r="D2443" s="232" t="s">
        <v>4677</v>
      </c>
      <c r="E2443" s="231" t="s">
        <v>5066</v>
      </c>
      <c r="F2443" s="233">
        <v>5000</v>
      </c>
      <c r="G2443" s="232" t="s">
        <v>4887</v>
      </c>
      <c r="H2443" s="233">
        <v>1975.8</v>
      </c>
      <c r="I2443" s="233">
        <v>9879000</v>
      </c>
      <c r="J2443" s="623">
        <v>6030921613.8699999</v>
      </c>
      <c r="K2443" s="624" t="s">
        <v>728</v>
      </c>
      <c r="L2443" s="624" t="s">
        <v>2116</v>
      </c>
      <c r="M2443" s="624" t="s">
        <v>4888</v>
      </c>
      <c r="N2443" s="624" t="s">
        <v>4149</v>
      </c>
      <c r="O2443" s="624"/>
      <c r="P2443" s="624"/>
    </row>
    <row r="2444" spans="1:16">
      <c r="A2444" s="231" t="s">
        <v>1150</v>
      </c>
      <c r="B2444" s="231" t="s">
        <v>216</v>
      </c>
      <c r="C2444" s="618">
        <v>45077</v>
      </c>
      <c r="D2444" s="231" t="s">
        <v>4677</v>
      </c>
      <c r="E2444" s="231" t="s">
        <v>5066</v>
      </c>
      <c r="F2444" s="619">
        <v>4595.0960000000014</v>
      </c>
      <c r="G2444" s="231" t="s">
        <v>4887</v>
      </c>
      <c r="H2444" s="619">
        <v>1961.68</v>
      </c>
      <c r="I2444" s="619">
        <v>9014107.9212800022</v>
      </c>
      <c r="J2444" s="620">
        <v>5384416741.6800003</v>
      </c>
      <c r="K2444" s="621" t="s">
        <v>728</v>
      </c>
      <c r="L2444" s="621" t="s">
        <v>2116</v>
      </c>
      <c r="M2444" s="621" t="s">
        <v>4888</v>
      </c>
      <c r="N2444" s="621" t="s">
        <v>4149</v>
      </c>
      <c r="O2444" s="621"/>
      <c r="P2444" s="621"/>
    </row>
    <row r="2445" spans="1:16">
      <c r="A2445" s="232" t="s">
        <v>1150</v>
      </c>
      <c r="B2445" s="232" t="s">
        <v>216</v>
      </c>
      <c r="C2445" s="622">
        <v>45077</v>
      </c>
      <c r="D2445" s="232" t="s">
        <v>4677</v>
      </c>
      <c r="E2445" s="231" t="s">
        <v>5066</v>
      </c>
      <c r="F2445" s="233">
        <v>404.90399999999863</v>
      </c>
      <c r="G2445" s="232" t="s">
        <v>4887</v>
      </c>
      <c r="H2445" s="233">
        <v>1961.68</v>
      </c>
      <c r="I2445" s="233">
        <v>794292.07871999731</v>
      </c>
      <c r="J2445" s="623">
        <v>474456219.49000001</v>
      </c>
      <c r="K2445" s="624" t="s">
        <v>728</v>
      </c>
      <c r="L2445" s="624" t="s">
        <v>2116</v>
      </c>
      <c r="M2445" s="624" t="s">
        <v>4888</v>
      </c>
      <c r="N2445" s="624" t="s">
        <v>4149</v>
      </c>
      <c r="O2445" s="624"/>
      <c r="P2445" s="624"/>
    </row>
    <row r="2446" spans="1:16">
      <c r="A2446" s="231" t="s">
        <v>1150</v>
      </c>
      <c r="B2446" s="231" t="s">
        <v>216</v>
      </c>
      <c r="C2446" s="618">
        <v>45077</v>
      </c>
      <c r="D2446" s="231" t="s">
        <v>4677</v>
      </c>
      <c r="E2446" s="231" t="s">
        <v>5066</v>
      </c>
      <c r="F2446" s="619">
        <v>5000</v>
      </c>
      <c r="G2446" s="231" t="s">
        <v>4887</v>
      </c>
      <c r="H2446" s="619">
        <v>1955.4190000000001</v>
      </c>
      <c r="I2446" s="619">
        <v>9777095</v>
      </c>
      <c r="J2446" s="620">
        <v>5840173477.2600002</v>
      </c>
      <c r="K2446" s="621" t="s">
        <v>728</v>
      </c>
      <c r="L2446" s="621" t="s">
        <v>2116</v>
      </c>
      <c r="M2446" s="621" t="s">
        <v>4888</v>
      </c>
      <c r="N2446" s="621" t="s">
        <v>4149</v>
      </c>
      <c r="O2446" s="621"/>
      <c r="P2446" s="621"/>
    </row>
    <row r="2447" spans="1:16">
      <c r="A2447" s="232" t="s">
        <v>1150</v>
      </c>
      <c r="B2447" s="232" t="s">
        <v>216</v>
      </c>
      <c r="C2447" s="622">
        <v>45097</v>
      </c>
      <c r="D2447" s="232" t="s">
        <v>4677</v>
      </c>
      <c r="E2447" s="231" t="s">
        <v>5066</v>
      </c>
      <c r="F2447" s="233">
        <v>2500</v>
      </c>
      <c r="G2447" s="232" t="s">
        <v>4887</v>
      </c>
      <c r="H2447" s="233">
        <v>1961</v>
      </c>
      <c r="I2447" s="233">
        <v>4902500</v>
      </c>
      <c r="J2447" s="623">
        <v>2928421015.8800001</v>
      </c>
      <c r="K2447" s="624" t="s">
        <v>728</v>
      </c>
      <c r="L2447" s="624" t="s">
        <v>2116</v>
      </c>
      <c r="M2447" s="624" t="s">
        <v>4888</v>
      </c>
      <c r="N2447" s="624" t="s">
        <v>4149</v>
      </c>
      <c r="O2447" s="624"/>
      <c r="P2447" s="624"/>
    </row>
    <row r="2448" spans="1:16">
      <c r="A2448" s="231" t="s">
        <v>1150</v>
      </c>
      <c r="B2448" s="231" t="s">
        <v>216</v>
      </c>
      <c r="C2448" s="618">
        <v>45107</v>
      </c>
      <c r="D2448" s="231" t="s">
        <v>4677</v>
      </c>
      <c r="E2448" s="231" t="s">
        <v>5066</v>
      </c>
      <c r="F2448" s="619">
        <v>5000</v>
      </c>
      <c r="G2448" s="231" t="s">
        <v>4887</v>
      </c>
      <c r="H2448" s="619">
        <v>1976.95</v>
      </c>
      <c r="I2448" s="619">
        <v>9884750</v>
      </c>
      <c r="J2448" s="620">
        <v>5769530880</v>
      </c>
      <c r="K2448" s="621" t="s">
        <v>728</v>
      </c>
      <c r="L2448" s="621" t="s">
        <v>2116</v>
      </c>
      <c r="M2448" s="621" t="s">
        <v>4888</v>
      </c>
      <c r="N2448" s="621" t="s">
        <v>4149</v>
      </c>
      <c r="O2448" s="621"/>
      <c r="P2448" s="621"/>
    </row>
    <row r="2449" spans="1:16">
      <c r="A2449" s="232" t="s">
        <v>1150</v>
      </c>
      <c r="B2449" s="232" t="s">
        <v>216</v>
      </c>
      <c r="C2449" s="622">
        <v>45106</v>
      </c>
      <c r="D2449" s="232" t="s">
        <v>4677</v>
      </c>
      <c r="E2449" s="231" t="s">
        <v>5066</v>
      </c>
      <c r="F2449" s="233">
        <v>695</v>
      </c>
      <c r="G2449" s="232" t="s">
        <v>4887</v>
      </c>
      <c r="H2449" s="233">
        <v>1927.05</v>
      </c>
      <c r="I2449" s="233">
        <v>1339299.75</v>
      </c>
      <c r="J2449" s="623">
        <v>788405789.72000003</v>
      </c>
      <c r="K2449" s="624" t="s">
        <v>728</v>
      </c>
      <c r="L2449" s="624" t="s">
        <v>2116</v>
      </c>
      <c r="M2449" s="624" t="s">
        <v>4888</v>
      </c>
      <c r="N2449" s="624" t="s">
        <v>4149</v>
      </c>
      <c r="O2449" s="624"/>
      <c r="P2449" s="624"/>
    </row>
    <row r="2450" spans="1:16">
      <c r="A2450" s="231" t="s">
        <v>1150</v>
      </c>
      <c r="B2450" s="231" t="s">
        <v>216</v>
      </c>
      <c r="C2450" s="618">
        <v>45107</v>
      </c>
      <c r="D2450" s="231" t="s">
        <v>4677</v>
      </c>
      <c r="E2450" s="231" t="s">
        <v>5066</v>
      </c>
      <c r="F2450" s="619">
        <v>5000</v>
      </c>
      <c r="G2450" s="231" t="s">
        <v>4887</v>
      </c>
      <c r="H2450" s="619">
        <v>1968.9</v>
      </c>
      <c r="I2450" s="619">
        <v>9844500</v>
      </c>
      <c r="J2450" s="620">
        <v>5799788730</v>
      </c>
      <c r="K2450" s="621" t="s">
        <v>728</v>
      </c>
      <c r="L2450" s="621" t="s">
        <v>2116</v>
      </c>
      <c r="M2450" s="621" t="s">
        <v>4888</v>
      </c>
      <c r="N2450" s="621" t="s">
        <v>4149</v>
      </c>
      <c r="O2450" s="621"/>
      <c r="P2450" s="621"/>
    </row>
    <row r="2451" spans="1:16">
      <c r="A2451" s="232" t="s">
        <v>1150</v>
      </c>
      <c r="B2451" s="232" t="s">
        <v>216</v>
      </c>
      <c r="C2451" s="622">
        <v>45135</v>
      </c>
      <c r="D2451" s="232" t="s">
        <v>4677</v>
      </c>
      <c r="E2451" s="231" t="s">
        <v>5066</v>
      </c>
      <c r="F2451" s="233">
        <v>1500</v>
      </c>
      <c r="G2451" s="232" t="s">
        <v>4887</v>
      </c>
      <c r="H2451" s="233">
        <v>1975</v>
      </c>
      <c r="I2451" s="233">
        <v>2962500</v>
      </c>
      <c r="J2451" s="623">
        <v>1779099750</v>
      </c>
      <c r="K2451" s="624" t="s">
        <v>728</v>
      </c>
      <c r="L2451" s="624" t="s">
        <v>2116</v>
      </c>
      <c r="M2451" s="624" t="s">
        <v>4888</v>
      </c>
      <c r="N2451" s="624" t="s">
        <v>4149</v>
      </c>
      <c r="O2451" s="624"/>
      <c r="P2451" s="624"/>
    </row>
    <row r="2452" spans="1:16">
      <c r="A2452" s="231" t="s">
        <v>1150</v>
      </c>
      <c r="B2452" s="231" t="s">
        <v>216</v>
      </c>
      <c r="C2452" s="618">
        <v>45138</v>
      </c>
      <c r="D2452" s="231" t="s">
        <v>4677</v>
      </c>
      <c r="E2452" s="231" t="s">
        <v>5066</v>
      </c>
      <c r="F2452" s="619">
        <v>5000</v>
      </c>
      <c r="G2452" s="231" t="s">
        <v>4887</v>
      </c>
      <c r="H2452" s="619">
        <v>1818.68</v>
      </c>
      <c r="I2452" s="619">
        <v>9093400</v>
      </c>
      <c r="J2452" s="620">
        <v>5460950436</v>
      </c>
      <c r="K2452" s="621" t="s">
        <v>728</v>
      </c>
      <c r="L2452" s="621" t="s">
        <v>2116</v>
      </c>
      <c r="M2452" s="621" t="s">
        <v>4888</v>
      </c>
      <c r="N2452" s="621" t="s">
        <v>4149</v>
      </c>
      <c r="O2452" s="621"/>
      <c r="P2452" s="621"/>
    </row>
    <row r="2453" spans="1:16">
      <c r="A2453" s="232" t="s">
        <v>1150</v>
      </c>
      <c r="B2453" s="232" t="s">
        <v>216</v>
      </c>
      <c r="C2453" s="622">
        <v>45138</v>
      </c>
      <c r="D2453" s="232" t="s">
        <v>4677</v>
      </c>
      <c r="E2453" s="231" t="s">
        <v>5066</v>
      </c>
      <c r="F2453" s="233">
        <v>1000</v>
      </c>
      <c r="G2453" s="232" t="s">
        <v>4887</v>
      </c>
      <c r="H2453" s="233">
        <v>1980</v>
      </c>
      <c r="I2453" s="233">
        <v>1980000</v>
      </c>
      <c r="J2453" s="623">
        <v>1189069200</v>
      </c>
      <c r="K2453" s="624" t="s">
        <v>728</v>
      </c>
      <c r="L2453" s="624" t="s">
        <v>2116</v>
      </c>
      <c r="M2453" s="624" t="s">
        <v>4888</v>
      </c>
      <c r="N2453" s="624" t="s">
        <v>4149</v>
      </c>
      <c r="O2453" s="624"/>
      <c r="P2453" s="624"/>
    </row>
    <row r="2454" spans="1:16">
      <c r="A2454" s="231" t="s">
        <v>1150</v>
      </c>
      <c r="B2454" s="231" t="s">
        <v>216</v>
      </c>
      <c r="C2454" s="618">
        <v>45138</v>
      </c>
      <c r="D2454" s="231" t="s">
        <v>4677</v>
      </c>
      <c r="E2454" s="231" t="s">
        <v>5066</v>
      </c>
      <c r="F2454" s="619">
        <v>115</v>
      </c>
      <c r="G2454" s="231" t="s">
        <v>4887</v>
      </c>
      <c r="H2454" s="619">
        <v>1955.1</v>
      </c>
      <c r="I2454" s="619">
        <v>224836.5</v>
      </c>
      <c r="J2454" s="620">
        <v>135023311.71000001</v>
      </c>
      <c r="K2454" s="621" t="s">
        <v>728</v>
      </c>
      <c r="L2454" s="621" t="s">
        <v>2116</v>
      </c>
      <c r="M2454" s="621" t="s">
        <v>4888</v>
      </c>
      <c r="N2454" s="621" t="s">
        <v>4149</v>
      </c>
      <c r="O2454" s="621"/>
      <c r="P2454" s="621"/>
    </row>
    <row r="2455" spans="1:16">
      <c r="A2455" s="232" t="s">
        <v>1150</v>
      </c>
      <c r="B2455" s="232" t="s">
        <v>216</v>
      </c>
      <c r="C2455" s="622">
        <v>45169</v>
      </c>
      <c r="D2455" s="232" t="s">
        <v>4677</v>
      </c>
      <c r="E2455" s="231" t="s">
        <v>5066</v>
      </c>
      <c r="F2455" s="233">
        <v>4700</v>
      </c>
      <c r="G2455" s="232" t="s">
        <v>4887</v>
      </c>
      <c r="H2455" s="233">
        <v>1825.15</v>
      </c>
      <c r="I2455" s="233">
        <v>8578205</v>
      </c>
      <c r="J2455" s="623">
        <v>5303450632.6599998</v>
      </c>
      <c r="K2455" s="624" t="s">
        <v>728</v>
      </c>
      <c r="L2455" s="624" t="s">
        <v>2116</v>
      </c>
      <c r="M2455" s="624" t="s">
        <v>4888</v>
      </c>
      <c r="N2455" s="624" t="s">
        <v>4149</v>
      </c>
      <c r="O2455" s="624"/>
      <c r="P2455" s="624"/>
    </row>
    <row r="2456" spans="1:16">
      <c r="A2456" s="231" t="s">
        <v>1150</v>
      </c>
      <c r="B2456" s="231" t="s">
        <v>216</v>
      </c>
      <c r="C2456" s="618">
        <v>45169</v>
      </c>
      <c r="D2456" s="231" t="s">
        <v>4677</v>
      </c>
      <c r="E2456" s="231" t="s">
        <v>5066</v>
      </c>
      <c r="F2456" s="619">
        <v>5000</v>
      </c>
      <c r="G2456" s="231" t="s">
        <v>4887</v>
      </c>
      <c r="H2456" s="619">
        <v>1900.79</v>
      </c>
      <c r="I2456" s="619">
        <v>9503950</v>
      </c>
      <c r="J2456" s="620">
        <v>5852152252.1199999</v>
      </c>
      <c r="K2456" s="621" t="s">
        <v>728</v>
      </c>
      <c r="L2456" s="621" t="s">
        <v>2116</v>
      </c>
      <c r="M2456" s="621" t="s">
        <v>4888</v>
      </c>
      <c r="N2456" s="621" t="s">
        <v>4149</v>
      </c>
      <c r="O2456" s="621"/>
      <c r="P2456" s="621"/>
    </row>
    <row r="2457" spans="1:16">
      <c r="A2457" s="232" t="s">
        <v>1150</v>
      </c>
      <c r="B2457" s="232" t="s">
        <v>216</v>
      </c>
      <c r="C2457" s="622">
        <v>45198</v>
      </c>
      <c r="D2457" s="232" t="s">
        <v>4677</v>
      </c>
      <c r="E2457" s="231" t="s">
        <v>5066</v>
      </c>
      <c r="F2457" s="233">
        <v>108.38</v>
      </c>
      <c r="G2457" s="232" t="s">
        <v>4887</v>
      </c>
      <c r="H2457" s="233">
        <v>1841.3</v>
      </c>
      <c r="I2457" s="233">
        <v>199560.09399999998</v>
      </c>
      <c r="J2457" s="623">
        <v>124122587</v>
      </c>
      <c r="K2457" s="624" t="s">
        <v>728</v>
      </c>
      <c r="L2457" s="624" t="s">
        <v>2116</v>
      </c>
      <c r="M2457" s="624" t="s">
        <v>4888</v>
      </c>
      <c r="N2457" s="624" t="s">
        <v>4149</v>
      </c>
      <c r="O2457" s="624"/>
      <c r="P2457" s="624"/>
    </row>
    <row r="2458" spans="1:16">
      <c r="A2458" s="231" t="s">
        <v>1150</v>
      </c>
      <c r="B2458" s="231" t="s">
        <v>216</v>
      </c>
      <c r="C2458" s="618">
        <v>45198</v>
      </c>
      <c r="D2458" s="231" t="s">
        <v>4677</v>
      </c>
      <c r="E2458" s="231" t="s">
        <v>5066</v>
      </c>
      <c r="F2458" s="619">
        <v>4891.62</v>
      </c>
      <c r="G2458" s="231" t="s">
        <v>4887</v>
      </c>
      <c r="H2458" s="619">
        <v>1841.3</v>
      </c>
      <c r="I2458" s="619">
        <v>9006939.9059999995</v>
      </c>
      <c r="J2458" s="620">
        <v>5469400182.3000002</v>
      </c>
      <c r="K2458" s="621" t="s">
        <v>728</v>
      </c>
      <c r="L2458" s="621" t="s">
        <v>2116</v>
      </c>
      <c r="M2458" s="621" t="s">
        <v>4888</v>
      </c>
      <c r="N2458" s="621" t="s">
        <v>4149</v>
      </c>
      <c r="O2458" s="621"/>
      <c r="P2458" s="621"/>
    </row>
    <row r="2459" spans="1:16">
      <c r="A2459" s="232" t="s">
        <v>1150</v>
      </c>
      <c r="B2459" s="232" t="s">
        <v>216</v>
      </c>
      <c r="C2459" s="622">
        <v>45198</v>
      </c>
      <c r="D2459" s="232" t="s">
        <v>4677</v>
      </c>
      <c r="E2459" s="231" t="s">
        <v>5066</v>
      </c>
      <c r="F2459" s="233">
        <v>5000</v>
      </c>
      <c r="G2459" s="232" t="s">
        <v>4887</v>
      </c>
      <c r="H2459" s="233">
        <v>1870.5</v>
      </c>
      <c r="I2459" s="233">
        <v>9352500</v>
      </c>
      <c r="J2459" s="623">
        <v>5817077303</v>
      </c>
      <c r="K2459" s="624" t="s">
        <v>728</v>
      </c>
      <c r="L2459" s="624" t="s">
        <v>2116</v>
      </c>
      <c r="M2459" s="624" t="s">
        <v>4888</v>
      </c>
      <c r="N2459" s="624" t="s">
        <v>4149</v>
      </c>
      <c r="O2459" s="624"/>
      <c r="P2459" s="624"/>
    </row>
    <row r="2460" spans="1:16">
      <c r="A2460" s="231" t="s">
        <v>1150</v>
      </c>
      <c r="B2460" s="231" t="s">
        <v>216</v>
      </c>
      <c r="C2460" s="618">
        <v>45198</v>
      </c>
      <c r="D2460" s="231" t="s">
        <v>4677</v>
      </c>
      <c r="E2460" s="231" t="s">
        <v>5066</v>
      </c>
      <c r="F2460" s="619">
        <v>1458.8910000000001</v>
      </c>
      <c r="G2460" s="231" t="s">
        <v>4887</v>
      </c>
      <c r="H2460" s="619">
        <v>1862.5</v>
      </c>
      <c r="I2460" s="619">
        <v>2717184.4875000003</v>
      </c>
      <c r="J2460" s="620">
        <v>1690037125</v>
      </c>
      <c r="K2460" s="621" t="s">
        <v>728</v>
      </c>
      <c r="L2460" s="621" t="s">
        <v>2116</v>
      </c>
      <c r="M2460" s="621" t="s">
        <v>4888</v>
      </c>
      <c r="N2460" s="621" t="s">
        <v>4149</v>
      </c>
      <c r="O2460" s="621"/>
      <c r="P2460" s="621"/>
    </row>
    <row r="2461" spans="1:16">
      <c r="A2461" s="232" t="s">
        <v>1150</v>
      </c>
      <c r="B2461" s="232" t="s">
        <v>216</v>
      </c>
      <c r="C2461" s="622">
        <v>45219</v>
      </c>
      <c r="D2461" s="232" t="s">
        <v>4677</v>
      </c>
      <c r="E2461" s="231" t="s">
        <v>5066</v>
      </c>
      <c r="F2461" s="233">
        <v>5000</v>
      </c>
      <c r="G2461" s="232" t="s">
        <v>4887</v>
      </c>
      <c r="H2461" s="233">
        <v>1844.92</v>
      </c>
      <c r="I2461" s="233">
        <v>9224600</v>
      </c>
      <c r="J2461" s="623">
        <v>5572673105.7700005</v>
      </c>
      <c r="K2461" s="624" t="s">
        <v>728</v>
      </c>
      <c r="L2461" s="624" t="s">
        <v>2116</v>
      </c>
      <c r="M2461" s="624" t="s">
        <v>4888</v>
      </c>
      <c r="N2461" s="624" t="s">
        <v>4149</v>
      </c>
      <c r="O2461" s="624"/>
      <c r="P2461" s="624"/>
    </row>
    <row r="2462" spans="1:16">
      <c r="A2462" s="231" t="s">
        <v>1150</v>
      </c>
      <c r="B2462" s="231" t="s">
        <v>216</v>
      </c>
      <c r="C2462" s="618">
        <v>45230</v>
      </c>
      <c r="D2462" s="231" t="s">
        <v>4677</v>
      </c>
      <c r="E2462" s="231" t="s">
        <v>5066</v>
      </c>
      <c r="F2462" s="619">
        <v>100</v>
      </c>
      <c r="G2462" s="231" t="s">
        <v>4887</v>
      </c>
      <c r="H2462" s="619">
        <v>1994.8</v>
      </c>
      <c r="I2462" s="619">
        <v>199480</v>
      </c>
      <c r="J2462" s="620">
        <v>120507862.8</v>
      </c>
      <c r="K2462" s="621" t="s">
        <v>728</v>
      </c>
      <c r="L2462" s="621" t="s">
        <v>2116</v>
      </c>
      <c r="M2462" s="621" t="s">
        <v>4888</v>
      </c>
      <c r="N2462" s="621" t="s">
        <v>4149</v>
      </c>
      <c r="O2462" s="621"/>
      <c r="P2462" s="621"/>
    </row>
    <row r="2463" spans="1:16">
      <c r="A2463" s="232" t="s">
        <v>1150</v>
      </c>
      <c r="B2463" s="232" t="s">
        <v>216</v>
      </c>
      <c r="C2463" s="622">
        <v>45230</v>
      </c>
      <c r="D2463" s="232" t="s">
        <v>4677</v>
      </c>
      <c r="E2463" s="231" t="s">
        <v>5066</v>
      </c>
      <c r="F2463" s="233">
        <v>2000</v>
      </c>
      <c r="G2463" s="232" t="s">
        <v>4887</v>
      </c>
      <c r="H2463" s="233">
        <v>1901.96</v>
      </c>
      <c r="I2463" s="233">
        <v>3803920</v>
      </c>
      <c r="J2463" s="623">
        <v>2297986111.1100001</v>
      </c>
      <c r="K2463" s="624" t="s">
        <v>728</v>
      </c>
      <c r="L2463" s="624" t="s">
        <v>2116</v>
      </c>
      <c r="M2463" s="624" t="s">
        <v>4888</v>
      </c>
      <c r="N2463" s="624" t="s">
        <v>4149</v>
      </c>
      <c r="O2463" s="624"/>
      <c r="P2463" s="624"/>
    </row>
    <row r="2464" spans="1:16">
      <c r="A2464" s="231" t="s">
        <v>1150</v>
      </c>
      <c r="B2464" s="231" t="s">
        <v>216</v>
      </c>
      <c r="C2464" s="618">
        <v>45254</v>
      </c>
      <c r="D2464" s="231" t="s">
        <v>4677</v>
      </c>
      <c r="E2464" s="231" t="s">
        <v>5066</v>
      </c>
      <c r="F2464" s="619">
        <v>35.69</v>
      </c>
      <c r="G2464" s="231" t="s">
        <v>4887</v>
      </c>
      <c r="H2464" s="619">
        <v>2005</v>
      </c>
      <c r="I2464" s="619">
        <v>71558.45</v>
      </c>
      <c r="J2464" s="620">
        <v>42801256</v>
      </c>
      <c r="K2464" s="621" t="s">
        <v>728</v>
      </c>
      <c r="L2464" s="621" t="s">
        <v>2116</v>
      </c>
      <c r="M2464" s="621" t="s">
        <v>4888</v>
      </c>
      <c r="N2464" s="621" t="s">
        <v>4149</v>
      </c>
      <c r="O2464" s="621"/>
      <c r="P2464" s="621"/>
    </row>
    <row r="2465" spans="1:16">
      <c r="A2465" s="232" t="s">
        <v>1150</v>
      </c>
      <c r="B2465" s="232" t="s">
        <v>216</v>
      </c>
      <c r="C2465" s="622">
        <v>45254</v>
      </c>
      <c r="D2465" s="232" t="s">
        <v>4677</v>
      </c>
      <c r="E2465" s="231" t="s">
        <v>5066</v>
      </c>
      <c r="F2465" s="233">
        <v>1964.31</v>
      </c>
      <c r="G2465" s="232" t="s">
        <v>4887</v>
      </c>
      <c r="H2465" s="233">
        <v>2005</v>
      </c>
      <c r="I2465" s="233">
        <v>3938441.55</v>
      </c>
      <c r="J2465" s="623">
        <v>2355700044.3600001</v>
      </c>
      <c r="K2465" s="624" t="s">
        <v>728</v>
      </c>
      <c r="L2465" s="624" t="s">
        <v>2116</v>
      </c>
      <c r="M2465" s="624" t="s">
        <v>4888</v>
      </c>
      <c r="N2465" s="624" t="s">
        <v>4149</v>
      </c>
      <c r="O2465" s="624"/>
      <c r="P2465" s="624"/>
    </row>
    <row r="2466" spans="1:16">
      <c r="A2466" s="231" t="s">
        <v>1150</v>
      </c>
      <c r="B2466" s="231" t="s">
        <v>216</v>
      </c>
      <c r="C2466" s="618">
        <v>45254</v>
      </c>
      <c r="D2466" s="231" t="s">
        <v>4677</v>
      </c>
      <c r="E2466" s="231" t="s">
        <v>5066</v>
      </c>
      <c r="F2466" s="619">
        <v>2000</v>
      </c>
      <c r="G2466" s="231" t="s">
        <v>4887</v>
      </c>
      <c r="H2466" s="619">
        <v>2000</v>
      </c>
      <c r="I2466" s="619">
        <v>4000000</v>
      </c>
      <c r="J2466" s="620">
        <v>2392520000.0599999</v>
      </c>
      <c r="K2466" s="621" t="s">
        <v>728</v>
      </c>
      <c r="L2466" s="621" t="s">
        <v>2116</v>
      </c>
      <c r="M2466" s="621" t="s">
        <v>4888</v>
      </c>
      <c r="N2466" s="621" t="s">
        <v>4149</v>
      </c>
      <c r="O2466" s="621"/>
      <c r="P2466" s="621"/>
    </row>
    <row r="2467" spans="1:16">
      <c r="A2467" s="232" t="s">
        <v>1150</v>
      </c>
      <c r="B2467" s="232" t="s">
        <v>216</v>
      </c>
      <c r="C2467" s="622">
        <v>45254</v>
      </c>
      <c r="D2467" s="232" t="s">
        <v>4677</v>
      </c>
      <c r="E2467" s="231" t="s">
        <v>5066</v>
      </c>
      <c r="F2467" s="233">
        <v>5000</v>
      </c>
      <c r="G2467" s="232" t="s">
        <v>4887</v>
      </c>
      <c r="H2467" s="233">
        <v>1877.8</v>
      </c>
      <c r="I2467" s="233">
        <v>9389000</v>
      </c>
      <c r="J2467" s="623">
        <v>5609358895.9200001</v>
      </c>
      <c r="K2467" s="624" t="s">
        <v>728</v>
      </c>
      <c r="L2467" s="624" t="s">
        <v>2116</v>
      </c>
      <c r="M2467" s="624" t="s">
        <v>4888</v>
      </c>
      <c r="N2467" s="624" t="s">
        <v>4149</v>
      </c>
      <c r="O2467" s="624"/>
      <c r="P2467" s="624"/>
    </row>
    <row r="2468" spans="1:16">
      <c r="A2468" s="231" t="s">
        <v>1150</v>
      </c>
      <c r="B2468" s="231" t="s">
        <v>216</v>
      </c>
      <c r="C2468" s="618">
        <v>45259</v>
      </c>
      <c r="D2468" s="231" t="s">
        <v>4677</v>
      </c>
      <c r="E2468" s="231" t="s">
        <v>5066</v>
      </c>
      <c r="F2468" s="619">
        <v>1000</v>
      </c>
      <c r="G2468" s="231" t="s">
        <v>4887</v>
      </c>
      <c r="H2468" s="619">
        <v>2010</v>
      </c>
      <c r="I2468" s="619">
        <v>2010000</v>
      </c>
      <c r="J2468" s="620">
        <v>1195668600.0599999</v>
      </c>
      <c r="K2468" s="621" t="s">
        <v>728</v>
      </c>
      <c r="L2468" s="621" t="s">
        <v>2116</v>
      </c>
      <c r="M2468" s="621" t="s">
        <v>4888</v>
      </c>
      <c r="N2468" s="621" t="s">
        <v>4149</v>
      </c>
      <c r="O2468" s="621"/>
      <c r="P2468" s="621"/>
    </row>
    <row r="2469" spans="1:16">
      <c r="A2469" s="232" t="s">
        <v>1150</v>
      </c>
      <c r="B2469" s="232" t="s">
        <v>216</v>
      </c>
      <c r="C2469" s="622">
        <v>45259</v>
      </c>
      <c r="D2469" s="232" t="s">
        <v>4677</v>
      </c>
      <c r="E2469" s="231" t="s">
        <v>5066</v>
      </c>
      <c r="F2469" s="233">
        <v>500</v>
      </c>
      <c r="G2469" s="232" t="s">
        <v>4887</v>
      </c>
      <c r="H2469" s="233">
        <v>2014.45</v>
      </c>
      <c r="I2469" s="233">
        <v>1007225</v>
      </c>
      <c r="J2469" s="623">
        <v>599157863</v>
      </c>
      <c r="K2469" s="624" t="s">
        <v>728</v>
      </c>
      <c r="L2469" s="624" t="s">
        <v>2116</v>
      </c>
      <c r="M2469" s="624" t="s">
        <v>4888</v>
      </c>
      <c r="N2469" s="624" t="s">
        <v>4149</v>
      </c>
      <c r="O2469" s="624"/>
      <c r="P2469" s="624"/>
    </row>
    <row r="2470" spans="1:16">
      <c r="A2470" s="231" t="s">
        <v>1150</v>
      </c>
      <c r="B2470" s="231" t="s">
        <v>216</v>
      </c>
      <c r="C2470" s="618">
        <v>45289</v>
      </c>
      <c r="D2470" s="231" t="s">
        <v>4677</v>
      </c>
      <c r="E2470" s="231" t="s">
        <v>5066</v>
      </c>
      <c r="F2470" s="619">
        <v>37.0020000000004</v>
      </c>
      <c r="G2470" s="231" t="s">
        <v>4887</v>
      </c>
      <c r="H2470" s="619">
        <v>1918.14</v>
      </c>
      <c r="I2470" s="619">
        <v>70975.016280000767</v>
      </c>
      <c r="J2470" s="620">
        <v>42594804.32</v>
      </c>
      <c r="K2470" s="621" t="s">
        <v>728</v>
      </c>
      <c r="L2470" s="621" t="s">
        <v>2116</v>
      </c>
      <c r="M2470" s="621" t="s">
        <v>4888</v>
      </c>
      <c r="N2470" s="621" t="s">
        <v>4149</v>
      </c>
      <c r="O2470" s="621"/>
      <c r="P2470" s="621"/>
    </row>
    <row r="2471" spans="1:16">
      <c r="A2471" s="232" t="s">
        <v>1150</v>
      </c>
      <c r="B2471" s="232" t="s">
        <v>216</v>
      </c>
      <c r="C2471" s="622">
        <v>45289</v>
      </c>
      <c r="D2471" s="232" t="s">
        <v>4677</v>
      </c>
      <c r="E2471" s="231" t="s">
        <v>5066</v>
      </c>
      <c r="F2471" s="233">
        <v>4962.9979999999996</v>
      </c>
      <c r="G2471" s="232" t="s">
        <v>4887</v>
      </c>
      <c r="H2471" s="233">
        <v>1918.14</v>
      </c>
      <c r="I2471" s="233">
        <v>9519724.983719999</v>
      </c>
      <c r="J2471" s="623">
        <v>5713148712.2799997</v>
      </c>
      <c r="K2471" s="624" t="s">
        <v>728</v>
      </c>
      <c r="L2471" s="624" t="s">
        <v>2116</v>
      </c>
      <c r="M2471" s="624" t="s">
        <v>4888</v>
      </c>
      <c r="N2471" s="624" t="s">
        <v>4149</v>
      </c>
      <c r="O2471" s="624"/>
      <c r="P2471" s="624"/>
    </row>
    <row r="2472" spans="1:16">
      <c r="A2472" s="231" t="s">
        <v>1150</v>
      </c>
      <c r="B2472" s="231" t="s">
        <v>216</v>
      </c>
      <c r="C2472" s="618">
        <v>45289</v>
      </c>
      <c r="D2472" s="231" t="s">
        <v>4677</v>
      </c>
      <c r="E2472" s="231" t="s">
        <v>5066</v>
      </c>
      <c r="F2472" s="619">
        <v>5000</v>
      </c>
      <c r="G2472" s="231" t="s">
        <v>4887</v>
      </c>
      <c r="H2472" s="619">
        <v>1960.5</v>
      </c>
      <c r="I2472" s="619">
        <v>9802500</v>
      </c>
      <c r="J2472" s="620">
        <v>5882852745</v>
      </c>
      <c r="K2472" s="621" t="s">
        <v>728</v>
      </c>
      <c r="L2472" s="621" t="s">
        <v>2116</v>
      </c>
      <c r="M2472" s="621" t="s">
        <v>4888</v>
      </c>
      <c r="N2472" s="621" t="s">
        <v>4149</v>
      </c>
      <c r="O2472" s="621"/>
      <c r="P2472" s="621"/>
    </row>
    <row r="2473" spans="1:16">
      <c r="A2473" s="232" t="s">
        <v>1150</v>
      </c>
      <c r="B2473" s="232" t="s">
        <v>216</v>
      </c>
      <c r="C2473" s="622">
        <v>45289</v>
      </c>
      <c r="D2473" s="232" t="s">
        <v>4677</v>
      </c>
      <c r="E2473" s="231" t="s">
        <v>5066</v>
      </c>
      <c r="F2473" s="233">
        <v>410</v>
      </c>
      <c r="G2473" s="232" t="s">
        <v>4887</v>
      </c>
      <c r="H2473" s="233">
        <v>2067</v>
      </c>
      <c r="I2473" s="233">
        <v>847470</v>
      </c>
      <c r="J2473" s="623">
        <v>508598950.86000001</v>
      </c>
      <c r="K2473" s="624" t="s">
        <v>728</v>
      </c>
      <c r="L2473" s="624" t="s">
        <v>2116</v>
      </c>
      <c r="M2473" s="624" t="s">
        <v>4888</v>
      </c>
      <c r="N2473" s="624" t="s">
        <v>4149</v>
      </c>
      <c r="O2473" s="624"/>
      <c r="P2473" s="624"/>
    </row>
    <row r="2474" spans="1:16">
      <c r="A2474" s="231" t="s">
        <v>1150</v>
      </c>
      <c r="B2474" s="231" t="s">
        <v>216</v>
      </c>
      <c r="C2474" s="618">
        <v>44932</v>
      </c>
      <c r="D2474" s="231" t="s">
        <v>4889</v>
      </c>
      <c r="E2474" s="231" t="s">
        <v>5071</v>
      </c>
      <c r="F2474" s="619">
        <v>356.76799999999997</v>
      </c>
      <c r="G2474" s="231" t="s">
        <v>4887</v>
      </c>
      <c r="H2474" s="619">
        <v>23.9</v>
      </c>
      <c r="I2474" s="619">
        <v>8526.7551999999996</v>
      </c>
      <c r="J2474" s="620">
        <v>5201320.67</v>
      </c>
      <c r="K2474" s="621" t="s">
        <v>728</v>
      </c>
      <c r="L2474" s="621" t="s">
        <v>2116</v>
      </c>
      <c r="M2474" s="621" t="s">
        <v>4888</v>
      </c>
      <c r="N2474" s="621" t="s">
        <v>4149</v>
      </c>
      <c r="O2474" s="621"/>
      <c r="P2474" s="621"/>
    </row>
    <row r="2475" spans="1:16">
      <c r="A2475" s="232" t="s">
        <v>1150</v>
      </c>
      <c r="B2475" s="232" t="s">
        <v>216</v>
      </c>
      <c r="C2475" s="622">
        <v>44960</v>
      </c>
      <c r="D2475" s="232" t="s">
        <v>4889</v>
      </c>
      <c r="E2475" s="231" t="s">
        <v>5071</v>
      </c>
      <c r="F2475" s="233">
        <v>297.23200000000003</v>
      </c>
      <c r="G2475" s="232" t="s">
        <v>4887</v>
      </c>
      <c r="H2475" s="233">
        <v>23.9</v>
      </c>
      <c r="I2475" s="233">
        <v>7103.8447999999999</v>
      </c>
      <c r="J2475" s="623">
        <v>4333345.33</v>
      </c>
      <c r="K2475" s="624" t="s">
        <v>728</v>
      </c>
      <c r="L2475" s="624" t="s">
        <v>2116</v>
      </c>
      <c r="M2475" s="624" t="s">
        <v>4888</v>
      </c>
      <c r="N2475" s="624" t="s">
        <v>4149</v>
      </c>
      <c r="O2475" s="624"/>
      <c r="P2475" s="624"/>
    </row>
    <row r="2476" spans="1:16">
      <c r="A2476" s="231" t="s">
        <v>1150</v>
      </c>
      <c r="B2476" s="231" t="s">
        <v>216</v>
      </c>
      <c r="C2476" s="618">
        <v>44988</v>
      </c>
      <c r="D2476" s="231" t="s">
        <v>4889</v>
      </c>
      <c r="E2476" s="231" t="s">
        <v>5071</v>
      </c>
      <c r="F2476" s="619">
        <v>758.673</v>
      </c>
      <c r="G2476" s="231" t="s">
        <v>4887</v>
      </c>
      <c r="H2476" s="619">
        <v>22.95</v>
      </c>
      <c r="I2476" s="619">
        <v>17418.620220000001</v>
      </c>
      <c r="J2476" s="620">
        <v>10152114.039999999</v>
      </c>
      <c r="K2476" s="621" t="s">
        <v>728</v>
      </c>
      <c r="L2476" s="621" t="s">
        <v>2116</v>
      </c>
      <c r="M2476" s="621" t="s">
        <v>4888</v>
      </c>
      <c r="N2476" s="621" t="s">
        <v>4149</v>
      </c>
      <c r="O2476" s="621"/>
      <c r="P2476" s="621"/>
    </row>
    <row r="2477" spans="1:16">
      <c r="A2477" s="232" t="s">
        <v>1150</v>
      </c>
      <c r="B2477" s="232" t="s">
        <v>216</v>
      </c>
      <c r="C2477" s="622">
        <v>45021</v>
      </c>
      <c r="D2477" s="232" t="s">
        <v>4889</v>
      </c>
      <c r="E2477" s="231" t="s">
        <v>5071</v>
      </c>
      <c r="F2477" s="233">
        <v>593.82600000000002</v>
      </c>
      <c r="G2477" s="232" t="s">
        <v>4887</v>
      </c>
      <c r="H2477" s="233">
        <v>20.48</v>
      </c>
      <c r="I2477" s="233">
        <v>12165.549779999999</v>
      </c>
      <c r="J2477" s="623">
        <v>7122933.8900000006</v>
      </c>
      <c r="K2477" s="624" t="s">
        <v>728</v>
      </c>
      <c r="L2477" s="624" t="s">
        <v>2116</v>
      </c>
      <c r="M2477" s="624" t="s">
        <v>4888</v>
      </c>
      <c r="N2477" s="624" t="s">
        <v>4149</v>
      </c>
      <c r="O2477" s="624"/>
      <c r="P2477" s="624"/>
    </row>
    <row r="2478" spans="1:16">
      <c r="A2478" s="231" t="s">
        <v>1150</v>
      </c>
      <c r="B2478" s="231" t="s">
        <v>216</v>
      </c>
      <c r="C2478" s="618">
        <v>45050</v>
      </c>
      <c r="D2478" s="231" t="s">
        <v>4889</v>
      </c>
      <c r="E2478" s="231" t="s">
        <v>5071</v>
      </c>
      <c r="F2478" s="619">
        <v>1154.4570000000001</v>
      </c>
      <c r="G2478" s="231" t="s">
        <v>4887</v>
      </c>
      <c r="H2478" s="619">
        <v>23.84</v>
      </c>
      <c r="I2478" s="619">
        <v>27535.199999999997</v>
      </c>
      <c r="J2478" s="620">
        <v>16049233.959999999</v>
      </c>
      <c r="K2478" s="621" t="s">
        <v>728</v>
      </c>
      <c r="L2478" s="621" t="s">
        <v>2116</v>
      </c>
      <c r="M2478" s="621" t="s">
        <v>4888</v>
      </c>
      <c r="N2478" s="621" t="s">
        <v>4149</v>
      </c>
      <c r="O2478" s="621"/>
      <c r="P2478" s="621"/>
    </row>
    <row r="2479" spans="1:16">
      <c r="A2479" s="232" t="s">
        <v>1150</v>
      </c>
      <c r="B2479" s="232" t="s">
        <v>216</v>
      </c>
      <c r="C2479" s="622">
        <v>45084</v>
      </c>
      <c r="D2479" s="232" t="s">
        <v>4889</v>
      </c>
      <c r="E2479" s="231" t="s">
        <v>5071</v>
      </c>
      <c r="F2479" s="233">
        <v>792</v>
      </c>
      <c r="G2479" s="232" t="s">
        <v>4887</v>
      </c>
      <c r="H2479" s="233">
        <v>24.72</v>
      </c>
      <c r="I2479" s="233">
        <v>19578.239999999998</v>
      </c>
      <c r="J2479" s="623">
        <v>11471251.140000001</v>
      </c>
      <c r="K2479" s="624" t="s">
        <v>728</v>
      </c>
      <c r="L2479" s="624" t="s">
        <v>2116</v>
      </c>
      <c r="M2479" s="624" t="s">
        <v>4888</v>
      </c>
      <c r="N2479" s="624" t="s">
        <v>4149</v>
      </c>
      <c r="O2479" s="624"/>
      <c r="P2479" s="624"/>
    </row>
    <row r="2480" spans="1:16">
      <c r="A2480" s="231" t="s">
        <v>1150</v>
      </c>
      <c r="B2480" s="231" t="s">
        <v>216</v>
      </c>
      <c r="C2480" s="618">
        <v>45112</v>
      </c>
      <c r="D2480" s="231" t="s">
        <v>4889</v>
      </c>
      <c r="E2480" s="231" t="s">
        <v>5071</v>
      </c>
      <c r="F2480" s="619">
        <v>1018</v>
      </c>
      <c r="G2480" s="231" t="s">
        <v>4887</v>
      </c>
      <c r="H2480" s="619">
        <v>23.21</v>
      </c>
      <c r="I2480" s="619">
        <v>23627.780000000002</v>
      </c>
      <c r="J2480" s="620">
        <v>13572019.209999999</v>
      </c>
      <c r="K2480" s="621" t="s">
        <v>728</v>
      </c>
      <c r="L2480" s="621" t="s">
        <v>2116</v>
      </c>
      <c r="M2480" s="621" t="s">
        <v>4888</v>
      </c>
      <c r="N2480" s="621" t="s">
        <v>4149</v>
      </c>
      <c r="O2480" s="621"/>
      <c r="P2480" s="621"/>
    </row>
    <row r="2481" spans="1:16">
      <c r="A2481" s="232" t="s">
        <v>1150</v>
      </c>
      <c r="B2481" s="232" t="s">
        <v>216</v>
      </c>
      <c r="C2481" s="622">
        <v>45142</v>
      </c>
      <c r="D2481" s="232" t="s">
        <v>4889</v>
      </c>
      <c r="E2481" s="231" t="s">
        <v>5071</v>
      </c>
      <c r="F2481" s="233">
        <v>706</v>
      </c>
      <c r="G2481" s="232" t="s">
        <v>4887</v>
      </c>
      <c r="H2481" s="233">
        <v>22.42</v>
      </c>
      <c r="I2481" s="233">
        <v>15828.52</v>
      </c>
      <c r="J2481" s="623">
        <v>9325214.2699999996</v>
      </c>
      <c r="K2481" s="624" t="s">
        <v>728</v>
      </c>
      <c r="L2481" s="624" t="s">
        <v>2116</v>
      </c>
      <c r="M2481" s="624" t="s">
        <v>4888</v>
      </c>
      <c r="N2481" s="624" t="s">
        <v>4149</v>
      </c>
      <c r="O2481" s="624"/>
      <c r="P2481" s="624"/>
    </row>
    <row r="2482" spans="1:16">
      <c r="A2482" s="231" t="s">
        <v>1150</v>
      </c>
      <c r="B2482" s="231" t="s">
        <v>216</v>
      </c>
      <c r="C2482" s="618">
        <v>45142</v>
      </c>
      <c r="D2482" s="231" t="s">
        <v>4889</v>
      </c>
      <c r="E2482" s="231" t="s">
        <v>5071</v>
      </c>
      <c r="F2482" s="619">
        <v>639</v>
      </c>
      <c r="G2482" s="231" t="s">
        <v>4887</v>
      </c>
      <c r="H2482" s="619">
        <v>24.31</v>
      </c>
      <c r="I2482" s="619">
        <v>15534.089999999998</v>
      </c>
      <c r="J2482" s="620">
        <v>9328842.4100000001</v>
      </c>
      <c r="K2482" s="621" t="s">
        <v>728</v>
      </c>
      <c r="L2482" s="621" t="s">
        <v>2116</v>
      </c>
      <c r="M2482" s="621" t="s">
        <v>4888</v>
      </c>
      <c r="N2482" s="621" t="s">
        <v>4149</v>
      </c>
      <c r="O2482" s="621"/>
      <c r="P2482" s="621"/>
    </row>
    <row r="2483" spans="1:16">
      <c r="A2483" s="232" t="s">
        <v>1150</v>
      </c>
      <c r="B2483" s="232" t="s">
        <v>216</v>
      </c>
      <c r="C2483" s="622">
        <v>45142</v>
      </c>
      <c r="D2483" s="232" t="s">
        <v>4889</v>
      </c>
      <c r="E2483" s="231" t="s">
        <v>5071</v>
      </c>
      <c r="F2483" s="233">
        <v>572</v>
      </c>
      <c r="G2483" s="232" t="s">
        <v>4887</v>
      </c>
      <c r="H2483" s="233">
        <v>24.49</v>
      </c>
      <c r="I2483" s="233">
        <v>14008.279999999999</v>
      </c>
      <c r="J2483" s="623">
        <v>8145694.9199999999</v>
      </c>
      <c r="K2483" s="624" t="s">
        <v>728</v>
      </c>
      <c r="L2483" s="624" t="s">
        <v>2116</v>
      </c>
      <c r="M2483" s="624" t="s">
        <v>4888</v>
      </c>
      <c r="N2483" s="624" t="s">
        <v>4149</v>
      </c>
      <c r="O2483" s="624"/>
      <c r="P2483" s="624"/>
    </row>
    <row r="2484" spans="1:16">
      <c r="A2484" s="231" t="s">
        <v>1150</v>
      </c>
      <c r="B2484" s="231" t="s">
        <v>216</v>
      </c>
      <c r="C2484" s="618">
        <v>45175</v>
      </c>
      <c r="D2484" s="231" t="s">
        <v>4889</v>
      </c>
      <c r="E2484" s="231" t="s">
        <v>5071</v>
      </c>
      <c r="F2484" s="619">
        <v>686</v>
      </c>
      <c r="G2484" s="231" t="s">
        <v>4887</v>
      </c>
      <c r="H2484" s="619">
        <v>23.03</v>
      </c>
      <c r="I2484" s="619">
        <v>15798.58</v>
      </c>
      <c r="J2484" s="620">
        <v>9521302.7899999991</v>
      </c>
      <c r="K2484" s="621" t="s">
        <v>728</v>
      </c>
      <c r="L2484" s="621" t="s">
        <v>2116</v>
      </c>
      <c r="M2484" s="621" t="s">
        <v>4888</v>
      </c>
      <c r="N2484" s="621" t="s">
        <v>4149</v>
      </c>
      <c r="O2484" s="621"/>
      <c r="P2484" s="621"/>
    </row>
    <row r="2485" spans="1:16">
      <c r="A2485" s="232" t="s">
        <v>1150</v>
      </c>
      <c r="B2485" s="232" t="s">
        <v>216</v>
      </c>
      <c r="C2485" s="622">
        <v>45175</v>
      </c>
      <c r="D2485" s="232" t="s">
        <v>4889</v>
      </c>
      <c r="E2485" s="231" t="s">
        <v>5071</v>
      </c>
      <c r="F2485" s="233">
        <v>1298</v>
      </c>
      <c r="G2485" s="232" t="s">
        <v>4887</v>
      </c>
      <c r="H2485" s="233">
        <v>23.15</v>
      </c>
      <c r="I2485" s="233">
        <v>30048.699999999997</v>
      </c>
      <c r="J2485" s="623">
        <v>18152720.16</v>
      </c>
      <c r="K2485" s="624" t="s">
        <v>728</v>
      </c>
      <c r="L2485" s="624" t="s">
        <v>2116</v>
      </c>
      <c r="M2485" s="624" t="s">
        <v>4888</v>
      </c>
      <c r="N2485" s="624" t="s">
        <v>4149</v>
      </c>
      <c r="O2485" s="624"/>
      <c r="P2485" s="624"/>
    </row>
    <row r="2486" spans="1:16">
      <c r="A2486" s="231" t="s">
        <v>627</v>
      </c>
      <c r="B2486" s="231">
        <v>4013041</v>
      </c>
      <c r="C2486" s="618">
        <v>44929</v>
      </c>
      <c r="D2486" s="231" t="s">
        <v>4890</v>
      </c>
      <c r="E2486" s="232" t="s">
        <v>5068</v>
      </c>
      <c r="F2486" s="619">
        <v>40</v>
      </c>
      <c r="G2486" s="231" t="s">
        <v>4691</v>
      </c>
      <c r="H2486" s="619"/>
      <c r="I2486" s="619"/>
      <c r="J2486" s="620">
        <v>2033899</v>
      </c>
      <c r="K2486" s="621" t="s">
        <v>991</v>
      </c>
      <c r="L2486" s="621" t="s">
        <v>4891</v>
      </c>
      <c r="M2486" s="621" t="s">
        <v>4892</v>
      </c>
      <c r="N2486" s="621" t="s">
        <v>3942</v>
      </c>
      <c r="O2486" s="621"/>
      <c r="P2486" s="621"/>
    </row>
    <row r="2487" spans="1:16">
      <c r="A2487" s="232" t="s">
        <v>627</v>
      </c>
      <c r="B2487" s="232">
        <v>4013041</v>
      </c>
      <c r="C2487" s="622">
        <v>44929</v>
      </c>
      <c r="D2487" s="232" t="s">
        <v>4890</v>
      </c>
      <c r="E2487" s="232" t="s">
        <v>5068</v>
      </c>
      <c r="F2487" s="233">
        <v>30</v>
      </c>
      <c r="G2487" s="232" t="s">
        <v>4691</v>
      </c>
      <c r="H2487" s="233"/>
      <c r="I2487" s="233"/>
      <c r="J2487" s="623">
        <v>1525424</v>
      </c>
      <c r="K2487" s="624" t="s">
        <v>991</v>
      </c>
      <c r="L2487" s="624" t="s">
        <v>4891</v>
      </c>
      <c r="M2487" s="624" t="s">
        <v>4893</v>
      </c>
      <c r="N2487" s="624" t="s">
        <v>3942</v>
      </c>
      <c r="O2487" s="624"/>
      <c r="P2487" s="624"/>
    </row>
    <row r="2488" spans="1:16">
      <c r="A2488" s="231" t="s">
        <v>627</v>
      </c>
      <c r="B2488" s="231">
        <v>4013041</v>
      </c>
      <c r="C2488" s="618">
        <v>44933</v>
      </c>
      <c r="D2488" s="231" t="s">
        <v>4890</v>
      </c>
      <c r="E2488" s="232" t="s">
        <v>5068</v>
      </c>
      <c r="F2488" s="619">
        <v>30</v>
      </c>
      <c r="G2488" s="231" t="s">
        <v>4691</v>
      </c>
      <c r="H2488" s="619"/>
      <c r="I2488" s="619"/>
      <c r="J2488" s="620">
        <v>1525424</v>
      </c>
      <c r="K2488" s="621" t="s">
        <v>991</v>
      </c>
      <c r="L2488" s="621" t="s">
        <v>4891</v>
      </c>
      <c r="M2488" s="621" t="s">
        <v>4893</v>
      </c>
      <c r="N2488" s="621" t="s">
        <v>3942</v>
      </c>
      <c r="O2488" s="621"/>
      <c r="P2488" s="621"/>
    </row>
    <row r="2489" spans="1:16">
      <c r="A2489" s="232" t="s">
        <v>627</v>
      </c>
      <c r="B2489" s="232">
        <v>4013041</v>
      </c>
      <c r="C2489" s="622">
        <v>44936</v>
      </c>
      <c r="D2489" s="232" t="s">
        <v>4890</v>
      </c>
      <c r="E2489" s="232" t="s">
        <v>5068</v>
      </c>
      <c r="F2489" s="233">
        <v>35</v>
      </c>
      <c r="G2489" s="232" t="s">
        <v>4691</v>
      </c>
      <c r="H2489" s="233"/>
      <c r="I2489" s="233"/>
      <c r="J2489" s="623">
        <v>1779662</v>
      </c>
      <c r="K2489" s="624" t="s">
        <v>991</v>
      </c>
      <c r="L2489" s="624" t="s">
        <v>4891</v>
      </c>
      <c r="M2489" s="624" t="s">
        <v>4894</v>
      </c>
      <c r="N2489" s="624" t="s">
        <v>3942</v>
      </c>
      <c r="O2489" s="624"/>
      <c r="P2489" s="624"/>
    </row>
    <row r="2490" spans="1:16">
      <c r="A2490" s="231" t="s">
        <v>627</v>
      </c>
      <c r="B2490" s="231">
        <v>4013041</v>
      </c>
      <c r="C2490" s="618">
        <v>44937</v>
      </c>
      <c r="D2490" s="231" t="s">
        <v>4890</v>
      </c>
      <c r="E2490" s="232" t="s">
        <v>5068</v>
      </c>
      <c r="F2490" s="619">
        <v>120</v>
      </c>
      <c r="G2490" s="231" t="s">
        <v>4691</v>
      </c>
      <c r="H2490" s="619"/>
      <c r="I2490" s="619"/>
      <c r="J2490" s="620">
        <v>6101696</v>
      </c>
      <c r="K2490" s="621" t="s">
        <v>991</v>
      </c>
      <c r="L2490" s="621" t="s">
        <v>4891</v>
      </c>
      <c r="M2490" s="621" t="s">
        <v>4895</v>
      </c>
      <c r="N2490" s="621" t="s">
        <v>3942</v>
      </c>
      <c r="O2490" s="621"/>
      <c r="P2490" s="621"/>
    </row>
    <row r="2491" spans="1:16">
      <c r="A2491" s="232" t="s">
        <v>627</v>
      </c>
      <c r="B2491" s="232">
        <v>4013041</v>
      </c>
      <c r="C2491" s="622">
        <v>44939</v>
      </c>
      <c r="D2491" s="232" t="s">
        <v>4890</v>
      </c>
      <c r="E2491" s="232" t="s">
        <v>5068</v>
      </c>
      <c r="F2491" s="233">
        <v>35</v>
      </c>
      <c r="G2491" s="232" t="s">
        <v>4691</v>
      </c>
      <c r="H2491" s="233"/>
      <c r="I2491" s="233"/>
      <c r="J2491" s="623">
        <v>1779662</v>
      </c>
      <c r="K2491" s="624" t="s">
        <v>991</v>
      </c>
      <c r="L2491" s="624" t="s">
        <v>4891</v>
      </c>
      <c r="M2491" s="624" t="s">
        <v>4894</v>
      </c>
      <c r="N2491" s="624" t="s">
        <v>3942</v>
      </c>
      <c r="O2491" s="624"/>
      <c r="P2491" s="624"/>
    </row>
    <row r="2492" spans="1:16">
      <c r="A2492" s="231" t="s">
        <v>627</v>
      </c>
      <c r="B2492" s="231">
        <v>4013041</v>
      </c>
      <c r="C2492" s="618">
        <v>44939</v>
      </c>
      <c r="D2492" s="231" t="s">
        <v>4890</v>
      </c>
      <c r="E2492" s="232" t="s">
        <v>5068</v>
      </c>
      <c r="F2492" s="619">
        <v>30</v>
      </c>
      <c r="G2492" s="231" t="s">
        <v>4691</v>
      </c>
      <c r="H2492" s="619"/>
      <c r="I2492" s="619"/>
      <c r="J2492" s="620">
        <v>1525424</v>
      </c>
      <c r="K2492" s="621" t="s">
        <v>991</v>
      </c>
      <c r="L2492" s="621" t="s">
        <v>4891</v>
      </c>
      <c r="M2492" s="621" t="s">
        <v>4893</v>
      </c>
      <c r="N2492" s="621" t="s">
        <v>3942</v>
      </c>
      <c r="O2492" s="621"/>
      <c r="P2492" s="621"/>
    </row>
    <row r="2493" spans="1:16">
      <c r="A2493" s="232" t="s">
        <v>627</v>
      </c>
      <c r="B2493" s="232">
        <v>4013041</v>
      </c>
      <c r="C2493" s="622">
        <v>44944</v>
      </c>
      <c r="D2493" s="232" t="s">
        <v>4890</v>
      </c>
      <c r="E2493" s="232" t="s">
        <v>5068</v>
      </c>
      <c r="F2493" s="233">
        <v>30</v>
      </c>
      <c r="G2493" s="232" t="s">
        <v>4691</v>
      </c>
      <c r="H2493" s="233"/>
      <c r="I2493" s="233"/>
      <c r="J2493" s="623">
        <v>1525424</v>
      </c>
      <c r="K2493" s="624" t="s">
        <v>991</v>
      </c>
      <c r="L2493" s="624" t="s">
        <v>4891</v>
      </c>
      <c r="M2493" s="624" t="s">
        <v>4893</v>
      </c>
      <c r="N2493" s="624" t="s">
        <v>3942</v>
      </c>
      <c r="O2493" s="624"/>
      <c r="P2493" s="624"/>
    </row>
    <row r="2494" spans="1:16">
      <c r="A2494" s="231" t="s">
        <v>627</v>
      </c>
      <c r="B2494" s="231">
        <v>4013041</v>
      </c>
      <c r="C2494" s="618">
        <v>44944</v>
      </c>
      <c r="D2494" s="231" t="s">
        <v>4890</v>
      </c>
      <c r="E2494" s="232" t="s">
        <v>5068</v>
      </c>
      <c r="F2494" s="619">
        <v>2</v>
      </c>
      <c r="G2494" s="231" t="s">
        <v>4691</v>
      </c>
      <c r="H2494" s="619"/>
      <c r="I2494" s="619"/>
      <c r="J2494" s="620">
        <v>101695</v>
      </c>
      <c r="K2494" s="621" t="s">
        <v>991</v>
      </c>
      <c r="L2494" s="621" t="s">
        <v>4891</v>
      </c>
      <c r="M2494" s="621" t="s">
        <v>4896</v>
      </c>
      <c r="N2494" s="621" t="s">
        <v>3942</v>
      </c>
      <c r="O2494" s="621"/>
      <c r="P2494" s="621"/>
    </row>
    <row r="2495" spans="1:16">
      <c r="A2495" s="232" t="s">
        <v>627</v>
      </c>
      <c r="B2495" s="232">
        <v>4013041</v>
      </c>
      <c r="C2495" s="622">
        <v>44951</v>
      </c>
      <c r="D2495" s="232" t="s">
        <v>4890</v>
      </c>
      <c r="E2495" s="232" t="s">
        <v>5068</v>
      </c>
      <c r="F2495" s="233">
        <v>40</v>
      </c>
      <c r="G2495" s="232" t="s">
        <v>4691</v>
      </c>
      <c r="H2495" s="233"/>
      <c r="I2495" s="233"/>
      <c r="J2495" s="623">
        <v>2033899</v>
      </c>
      <c r="K2495" s="624" t="s">
        <v>991</v>
      </c>
      <c r="L2495" s="624" t="s">
        <v>4891</v>
      </c>
      <c r="M2495" s="624" t="s">
        <v>4892</v>
      </c>
      <c r="N2495" s="624" t="s">
        <v>3942</v>
      </c>
      <c r="O2495" s="624"/>
      <c r="P2495" s="624"/>
    </row>
    <row r="2496" spans="1:16">
      <c r="A2496" s="231" t="s">
        <v>627</v>
      </c>
      <c r="B2496" s="231">
        <v>4013041</v>
      </c>
      <c r="C2496" s="618">
        <v>44957</v>
      </c>
      <c r="D2496" s="231" t="s">
        <v>4890</v>
      </c>
      <c r="E2496" s="232" t="s">
        <v>5068</v>
      </c>
      <c r="F2496" s="619">
        <v>15</v>
      </c>
      <c r="G2496" s="231" t="s">
        <v>4691</v>
      </c>
      <c r="H2496" s="619"/>
      <c r="I2496" s="619"/>
      <c r="J2496" s="620">
        <v>762712</v>
      </c>
      <c r="K2496" s="621" t="s">
        <v>991</v>
      </c>
      <c r="L2496" s="621" t="s">
        <v>4891</v>
      </c>
      <c r="M2496" s="621" t="s">
        <v>4893</v>
      </c>
      <c r="N2496" s="621" t="s">
        <v>3942</v>
      </c>
      <c r="O2496" s="621"/>
      <c r="P2496" s="621"/>
    </row>
    <row r="2497" spans="1:16">
      <c r="A2497" s="232" t="s">
        <v>627</v>
      </c>
      <c r="B2497" s="232">
        <v>4013041</v>
      </c>
      <c r="C2497" s="622">
        <v>44958</v>
      </c>
      <c r="D2497" s="232" t="s">
        <v>4890</v>
      </c>
      <c r="E2497" s="232" t="s">
        <v>5068</v>
      </c>
      <c r="F2497" s="233">
        <v>2</v>
      </c>
      <c r="G2497" s="232" t="s">
        <v>4691</v>
      </c>
      <c r="H2497" s="233"/>
      <c r="I2497" s="233"/>
      <c r="J2497" s="623">
        <v>101695</v>
      </c>
      <c r="K2497" s="624" t="s">
        <v>991</v>
      </c>
      <c r="L2497" s="624" t="s">
        <v>4891</v>
      </c>
      <c r="M2497" s="624" t="s">
        <v>4896</v>
      </c>
      <c r="N2497" s="624" t="s">
        <v>3942</v>
      </c>
      <c r="O2497" s="624"/>
      <c r="P2497" s="624"/>
    </row>
    <row r="2498" spans="1:16">
      <c r="A2498" s="231" t="s">
        <v>627</v>
      </c>
      <c r="B2498" s="231">
        <v>4013041</v>
      </c>
      <c r="C2498" s="618">
        <v>44964</v>
      </c>
      <c r="D2498" s="231" t="s">
        <v>4890</v>
      </c>
      <c r="E2498" s="232" t="s">
        <v>5068</v>
      </c>
      <c r="F2498" s="619">
        <v>35</v>
      </c>
      <c r="G2498" s="231" t="s">
        <v>4691</v>
      </c>
      <c r="H2498" s="619"/>
      <c r="I2498" s="619"/>
      <c r="J2498" s="620">
        <v>1779662</v>
      </c>
      <c r="K2498" s="621" t="s">
        <v>991</v>
      </c>
      <c r="L2498" s="621" t="s">
        <v>4891</v>
      </c>
      <c r="M2498" s="621" t="s">
        <v>4897</v>
      </c>
      <c r="N2498" s="621" t="s">
        <v>3942</v>
      </c>
      <c r="O2498" s="621"/>
      <c r="P2498" s="621"/>
    </row>
    <row r="2499" spans="1:16">
      <c r="A2499" s="232" t="s">
        <v>627</v>
      </c>
      <c r="B2499" s="232">
        <v>4013041</v>
      </c>
      <c r="C2499" s="622">
        <v>44966</v>
      </c>
      <c r="D2499" s="232" t="s">
        <v>4890</v>
      </c>
      <c r="E2499" s="232" t="s">
        <v>5068</v>
      </c>
      <c r="F2499" s="233">
        <v>40</v>
      </c>
      <c r="G2499" s="232" t="s">
        <v>4691</v>
      </c>
      <c r="H2499" s="233"/>
      <c r="I2499" s="233"/>
      <c r="J2499" s="623">
        <v>2033899</v>
      </c>
      <c r="K2499" s="624" t="s">
        <v>991</v>
      </c>
      <c r="L2499" s="624" t="s">
        <v>4891</v>
      </c>
      <c r="M2499" s="624" t="s">
        <v>4892</v>
      </c>
      <c r="N2499" s="624" t="s">
        <v>3942</v>
      </c>
      <c r="O2499" s="624"/>
      <c r="P2499" s="624"/>
    </row>
    <row r="2500" spans="1:16">
      <c r="A2500" s="231" t="s">
        <v>627</v>
      </c>
      <c r="B2500" s="231">
        <v>4013041</v>
      </c>
      <c r="C2500" s="618">
        <v>44972</v>
      </c>
      <c r="D2500" s="231" t="s">
        <v>4890</v>
      </c>
      <c r="E2500" s="232" t="s">
        <v>5068</v>
      </c>
      <c r="F2500" s="619">
        <v>30</v>
      </c>
      <c r="G2500" s="231" t="s">
        <v>4691</v>
      </c>
      <c r="H2500" s="619"/>
      <c r="I2500" s="619"/>
      <c r="J2500" s="620">
        <v>1525424</v>
      </c>
      <c r="K2500" s="621" t="s">
        <v>991</v>
      </c>
      <c r="L2500" s="621" t="s">
        <v>4891</v>
      </c>
      <c r="M2500" s="621" t="s">
        <v>4898</v>
      </c>
      <c r="N2500" s="621" t="s">
        <v>3942</v>
      </c>
      <c r="O2500" s="621"/>
      <c r="P2500" s="621"/>
    </row>
    <row r="2501" spans="1:16">
      <c r="A2501" s="232" t="s">
        <v>627</v>
      </c>
      <c r="B2501" s="232">
        <v>4013041</v>
      </c>
      <c r="C2501" s="622">
        <v>44974</v>
      </c>
      <c r="D2501" s="232" t="s">
        <v>4890</v>
      </c>
      <c r="E2501" s="232" t="s">
        <v>5068</v>
      </c>
      <c r="F2501" s="233">
        <v>35</v>
      </c>
      <c r="G2501" s="232" t="s">
        <v>4691</v>
      </c>
      <c r="H2501" s="233"/>
      <c r="I2501" s="233"/>
      <c r="J2501" s="623">
        <v>1779662</v>
      </c>
      <c r="K2501" s="624" t="s">
        <v>991</v>
      </c>
      <c r="L2501" s="624" t="s">
        <v>4891</v>
      </c>
      <c r="M2501" s="624" t="s">
        <v>4899</v>
      </c>
      <c r="N2501" s="624" t="s">
        <v>3942</v>
      </c>
      <c r="O2501" s="624"/>
      <c r="P2501" s="624"/>
    </row>
    <row r="2502" spans="1:16">
      <c r="A2502" s="231" t="s">
        <v>627</v>
      </c>
      <c r="B2502" s="231">
        <v>4013041</v>
      </c>
      <c r="C2502" s="618">
        <v>44977</v>
      </c>
      <c r="D2502" s="231" t="s">
        <v>4890</v>
      </c>
      <c r="E2502" s="232" t="s">
        <v>5068</v>
      </c>
      <c r="F2502" s="619">
        <v>40</v>
      </c>
      <c r="G2502" s="231" t="s">
        <v>4691</v>
      </c>
      <c r="H2502" s="619"/>
      <c r="I2502" s="619"/>
      <c r="J2502" s="620">
        <v>2033899</v>
      </c>
      <c r="K2502" s="621" t="s">
        <v>991</v>
      </c>
      <c r="L2502" s="621" t="s">
        <v>4891</v>
      </c>
      <c r="M2502" s="621" t="s">
        <v>4892</v>
      </c>
      <c r="N2502" s="621" t="s">
        <v>3942</v>
      </c>
      <c r="O2502" s="621"/>
      <c r="P2502" s="621"/>
    </row>
    <row r="2503" spans="1:16">
      <c r="A2503" s="232" t="s">
        <v>627</v>
      </c>
      <c r="B2503" s="232">
        <v>4013041</v>
      </c>
      <c r="C2503" s="622">
        <v>44978</v>
      </c>
      <c r="D2503" s="232" t="s">
        <v>4890</v>
      </c>
      <c r="E2503" s="232" t="s">
        <v>5068</v>
      </c>
      <c r="F2503" s="233">
        <v>30</v>
      </c>
      <c r="G2503" s="232" t="s">
        <v>4691</v>
      </c>
      <c r="H2503" s="233"/>
      <c r="I2503" s="233"/>
      <c r="J2503" s="623">
        <v>1525424</v>
      </c>
      <c r="K2503" s="624" t="s">
        <v>991</v>
      </c>
      <c r="L2503" s="624" t="s">
        <v>4891</v>
      </c>
      <c r="M2503" s="624" t="s">
        <v>4893</v>
      </c>
      <c r="N2503" s="624" t="s">
        <v>3942</v>
      </c>
      <c r="O2503" s="624"/>
      <c r="P2503" s="624"/>
    </row>
    <row r="2504" spans="1:16">
      <c r="A2504" s="231" t="s">
        <v>627</v>
      </c>
      <c r="B2504" s="231">
        <v>4013041</v>
      </c>
      <c r="C2504" s="618">
        <v>44980</v>
      </c>
      <c r="D2504" s="231" t="s">
        <v>4890</v>
      </c>
      <c r="E2504" s="232" t="s">
        <v>5068</v>
      </c>
      <c r="F2504" s="619">
        <v>10</v>
      </c>
      <c r="G2504" s="231" t="s">
        <v>4691</v>
      </c>
      <c r="H2504" s="619"/>
      <c r="I2504" s="619"/>
      <c r="J2504" s="620">
        <v>508475</v>
      </c>
      <c r="K2504" s="621" t="s">
        <v>991</v>
      </c>
      <c r="L2504" s="621" t="s">
        <v>4891</v>
      </c>
      <c r="M2504" s="621" t="s">
        <v>4897</v>
      </c>
      <c r="N2504" s="621" t="s">
        <v>3942</v>
      </c>
      <c r="O2504" s="621"/>
      <c r="P2504" s="621"/>
    </row>
    <row r="2505" spans="1:16">
      <c r="A2505" s="232" t="s">
        <v>627</v>
      </c>
      <c r="B2505" s="232">
        <v>4013041</v>
      </c>
      <c r="C2505" s="622">
        <v>44981</v>
      </c>
      <c r="D2505" s="232" t="s">
        <v>4890</v>
      </c>
      <c r="E2505" s="232" t="s">
        <v>5068</v>
      </c>
      <c r="F2505" s="233">
        <v>2</v>
      </c>
      <c r="G2505" s="232" t="s">
        <v>4691</v>
      </c>
      <c r="H2505" s="233"/>
      <c r="I2505" s="233"/>
      <c r="J2505" s="623">
        <v>101695</v>
      </c>
      <c r="K2505" s="624" t="s">
        <v>991</v>
      </c>
      <c r="L2505" s="624" t="s">
        <v>4891</v>
      </c>
      <c r="M2505" s="624" t="s">
        <v>4896</v>
      </c>
      <c r="N2505" s="624" t="s">
        <v>3942</v>
      </c>
      <c r="O2505" s="624"/>
      <c r="P2505" s="624"/>
    </row>
    <row r="2506" spans="1:16">
      <c r="A2506" s="231" t="s">
        <v>627</v>
      </c>
      <c r="B2506" s="231">
        <v>4013041</v>
      </c>
      <c r="C2506" s="618">
        <v>44982</v>
      </c>
      <c r="D2506" s="231" t="s">
        <v>4890</v>
      </c>
      <c r="E2506" s="232" t="s">
        <v>5068</v>
      </c>
      <c r="F2506" s="619">
        <v>35</v>
      </c>
      <c r="G2506" s="231" t="s">
        <v>4691</v>
      </c>
      <c r="H2506" s="619"/>
      <c r="I2506" s="619"/>
      <c r="J2506" s="620">
        <v>1779662</v>
      </c>
      <c r="K2506" s="621" t="s">
        <v>991</v>
      </c>
      <c r="L2506" s="621" t="s">
        <v>4891</v>
      </c>
      <c r="M2506" s="621" t="s">
        <v>4897</v>
      </c>
      <c r="N2506" s="621" t="s">
        <v>3942</v>
      </c>
      <c r="O2506" s="621"/>
      <c r="P2506" s="621"/>
    </row>
    <row r="2507" spans="1:16">
      <c r="A2507" s="232" t="s">
        <v>627</v>
      </c>
      <c r="B2507" s="232">
        <v>4013041</v>
      </c>
      <c r="C2507" s="622">
        <v>44984</v>
      </c>
      <c r="D2507" s="232" t="s">
        <v>4890</v>
      </c>
      <c r="E2507" s="232" t="s">
        <v>5068</v>
      </c>
      <c r="F2507" s="233">
        <v>30</v>
      </c>
      <c r="G2507" s="232" t="s">
        <v>4691</v>
      </c>
      <c r="H2507" s="233"/>
      <c r="I2507" s="233"/>
      <c r="J2507" s="623">
        <v>1525424</v>
      </c>
      <c r="K2507" s="624" t="s">
        <v>991</v>
      </c>
      <c r="L2507" s="624" t="s">
        <v>4891</v>
      </c>
      <c r="M2507" s="624" t="s">
        <v>4893</v>
      </c>
      <c r="N2507" s="624" t="s">
        <v>3942</v>
      </c>
      <c r="O2507" s="624"/>
      <c r="P2507" s="624"/>
    </row>
    <row r="2508" spans="1:16">
      <c r="A2508" s="231" t="s">
        <v>627</v>
      </c>
      <c r="B2508" s="231">
        <v>4013041</v>
      </c>
      <c r="C2508" s="618">
        <v>44994</v>
      </c>
      <c r="D2508" s="231" t="s">
        <v>4890</v>
      </c>
      <c r="E2508" s="232" t="s">
        <v>5068</v>
      </c>
      <c r="F2508" s="619">
        <v>3</v>
      </c>
      <c r="G2508" s="231" t="s">
        <v>4691</v>
      </c>
      <c r="H2508" s="619"/>
      <c r="I2508" s="619"/>
      <c r="J2508" s="620">
        <v>152542</v>
      </c>
      <c r="K2508" s="621" t="s">
        <v>991</v>
      </c>
      <c r="L2508" s="621" t="s">
        <v>4891</v>
      </c>
      <c r="M2508" s="621" t="s">
        <v>4900</v>
      </c>
      <c r="N2508" s="621" t="s">
        <v>3942</v>
      </c>
      <c r="O2508" s="621"/>
      <c r="P2508" s="621"/>
    </row>
    <row r="2509" spans="1:16">
      <c r="A2509" s="232" t="s">
        <v>627</v>
      </c>
      <c r="B2509" s="232">
        <v>4013041</v>
      </c>
      <c r="C2509" s="622">
        <v>44994</v>
      </c>
      <c r="D2509" s="232" t="s">
        <v>4890</v>
      </c>
      <c r="E2509" s="232" t="s">
        <v>5068</v>
      </c>
      <c r="F2509" s="233">
        <v>70</v>
      </c>
      <c r="G2509" s="232" t="s">
        <v>4691</v>
      </c>
      <c r="H2509" s="233"/>
      <c r="I2509" s="233"/>
      <c r="J2509" s="623">
        <v>4200000</v>
      </c>
      <c r="K2509" s="624" t="s">
        <v>991</v>
      </c>
      <c r="L2509" s="624" t="s">
        <v>4891</v>
      </c>
      <c r="M2509" s="624" t="s">
        <v>4901</v>
      </c>
      <c r="N2509" s="624" t="s">
        <v>3942</v>
      </c>
      <c r="O2509" s="624"/>
      <c r="P2509" s="624"/>
    </row>
    <row r="2510" spans="1:16">
      <c r="A2510" s="231" t="s">
        <v>627</v>
      </c>
      <c r="B2510" s="231">
        <v>4013041</v>
      </c>
      <c r="C2510" s="618">
        <v>44994</v>
      </c>
      <c r="D2510" s="231" t="s">
        <v>4890</v>
      </c>
      <c r="E2510" s="232" t="s">
        <v>5068</v>
      </c>
      <c r="F2510" s="619">
        <v>15</v>
      </c>
      <c r="G2510" s="231" t="s">
        <v>4691</v>
      </c>
      <c r="H2510" s="619"/>
      <c r="I2510" s="619"/>
      <c r="J2510" s="620">
        <v>762712</v>
      </c>
      <c r="K2510" s="621" t="s">
        <v>991</v>
      </c>
      <c r="L2510" s="621" t="s">
        <v>4891</v>
      </c>
      <c r="M2510" s="621" t="s">
        <v>4898</v>
      </c>
      <c r="N2510" s="621" t="s">
        <v>3942</v>
      </c>
      <c r="O2510" s="621"/>
      <c r="P2510" s="621"/>
    </row>
    <row r="2511" spans="1:16">
      <c r="A2511" s="232" t="s">
        <v>627</v>
      </c>
      <c r="B2511" s="232">
        <v>4013041</v>
      </c>
      <c r="C2511" s="622">
        <v>44995</v>
      </c>
      <c r="D2511" s="232" t="s">
        <v>4890</v>
      </c>
      <c r="E2511" s="232" t="s">
        <v>5068</v>
      </c>
      <c r="F2511" s="233">
        <v>30</v>
      </c>
      <c r="G2511" s="232" t="s">
        <v>4691</v>
      </c>
      <c r="H2511" s="233"/>
      <c r="I2511" s="233"/>
      <c r="J2511" s="623">
        <v>1525424</v>
      </c>
      <c r="K2511" s="624" t="s">
        <v>991</v>
      </c>
      <c r="L2511" s="624" t="s">
        <v>4891</v>
      </c>
      <c r="M2511" s="624" t="s">
        <v>4898</v>
      </c>
      <c r="N2511" s="624" t="s">
        <v>3942</v>
      </c>
      <c r="O2511" s="624"/>
      <c r="P2511" s="624"/>
    </row>
    <row r="2512" spans="1:16">
      <c r="A2512" s="231" t="s">
        <v>627</v>
      </c>
      <c r="B2512" s="231">
        <v>4013041</v>
      </c>
      <c r="C2512" s="618">
        <v>44995</v>
      </c>
      <c r="D2512" s="231" t="s">
        <v>4890</v>
      </c>
      <c r="E2512" s="232" t="s">
        <v>5068</v>
      </c>
      <c r="F2512" s="619">
        <v>1.5</v>
      </c>
      <c r="G2512" s="231" t="s">
        <v>4691</v>
      </c>
      <c r="H2512" s="619"/>
      <c r="I2512" s="619"/>
      <c r="J2512" s="620">
        <v>76271</v>
      </c>
      <c r="K2512" s="621" t="s">
        <v>991</v>
      </c>
      <c r="L2512" s="621" t="s">
        <v>4891</v>
      </c>
      <c r="M2512" s="621" t="s">
        <v>4902</v>
      </c>
      <c r="N2512" s="621" t="s">
        <v>3942</v>
      </c>
      <c r="O2512" s="621"/>
      <c r="P2512" s="621"/>
    </row>
    <row r="2513" spans="1:16">
      <c r="A2513" s="232" t="s">
        <v>627</v>
      </c>
      <c r="B2513" s="232">
        <v>4013041</v>
      </c>
      <c r="C2513" s="622">
        <v>45001</v>
      </c>
      <c r="D2513" s="232" t="s">
        <v>4890</v>
      </c>
      <c r="E2513" s="232" t="s">
        <v>5068</v>
      </c>
      <c r="F2513" s="233">
        <v>40</v>
      </c>
      <c r="G2513" s="232" t="s">
        <v>4691</v>
      </c>
      <c r="H2513" s="233"/>
      <c r="I2513" s="233"/>
      <c r="J2513" s="623">
        <v>2033899</v>
      </c>
      <c r="K2513" s="624" t="s">
        <v>991</v>
      </c>
      <c r="L2513" s="624" t="s">
        <v>4891</v>
      </c>
      <c r="M2513" s="624" t="s">
        <v>4903</v>
      </c>
      <c r="N2513" s="624" t="s">
        <v>3942</v>
      </c>
      <c r="O2513" s="624"/>
      <c r="P2513" s="624"/>
    </row>
    <row r="2514" spans="1:16">
      <c r="A2514" s="231" t="s">
        <v>627</v>
      </c>
      <c r="B2514" s="231">
        <v>4013041</v>
      </c>
      <c r="C2514" s="618">
        <v>45002</v>
      </c>
      <c r="D2514" s="231" t="s">
        <v>4890</v>
      </c>
      <c r="E2514" s="232" t="s">
        <v>5068</v>
      </c>
      <c r="F2514" s="619">
        <v>40</v>
      </c>
      <c r="G2514" s="231" t="s">
        <v>4691</v>
      </c>
      <c r="H2514" s="619"/>
      <c r="I2514" s="619"/>
      <c r="J2514" s="620">
        <v>2033899</v>
      </c>
      <c r="K2514" s="621" t="s">
        <v>991</v>
      </c>
      <c r="L2514" s="621" t="s">
        <v>4891</v>
      </c>
      <c r="M2514" s="621" t="s">
        <v>4894</v>
      </c>
      <c r="N2514" s="621" t="s">
        <v>3942</v>
      </c>
      <c r="O2514" s="621"/>
      <c r="P2514" s="621"/>
    </row>
    <row r="2515" spans="1:16">
      <c r="A2515" s="232" t="s">
        <v>627</v>
      </c>
      <c r="B2515" s="232">
        <v>4013041</v>
      </c>
      <c r="C2515" s="622">
        <v>45007</v>
      </c>
      <c r="D2515" s="232" t="s">
        <v>4890</v>
      </c>
      <c r="E2515" s="232" t="s">
        <v>5068</v>
      </c>
      <c r="F2515" s="233">
        <v>30</v>
      </c>
      <c r="G2515" s="232" t="s">
        <v>4691</v>
      </c>
      <c r="H2515" s="233"/>
      <c r="I2515" s="233"/>
      <c r="J2515" s="623">
        <v>1525424</v>
      </c>
      <c r="K2515" s="624" t="s">
        <v>991</v>
      </c>
      <c r="L2515" s="624" t="s">
        <v>4891</v>
      </c>
      <c r="M2515" s="624" t="s">
        <v>4898</v>
      </c>
      <c r="N2515" s="624" t="s">
        <v>3942</v>
      </c>
      <c r="O2515" s="624"/>
      <c r="P2515" s="624"/>
    </row>
    <row r="2516" spans="1:16">
      <c r="A2516" s="231" t="s">
        <v>627</v>
      </c>
      <c r="B2516" s="231">
        <v>4013041</v>
      </c>
      <c r="C2516" s="618">
        <v>45008</v>
      </c>
      <c r="D2516" s="231" t="s">
        <v>4890</v>
      </c>
      <c r="E2516" s="232" t="s">
        <v>5068</v>
      </c>
      <c r="F2516" s="619">
        <v>20</v>
      </c>
      <c r="G2516" s="231" t="s">
        <v>4691</v>
      </c>
      <c r="H2516" s="619"/>
      <c r="I2516" s="619"/>
      <c r="J2516" s="620">
        <v>1016949</v>
      </c>
      <c r="K2516" s="621" t="s">
        <v>991</v>
      </c>
      <c r="L2516" s="621" t="s">
        <v>4891</v>
      </c>
      <c r="M2516" s="621" t="s">
        <v>4904</v>
      </c>
      <c r="N2516" s="621" t="s">
        <v>3942</v>
      </c>
      <c r="O2516" s="621"/>
      <c r="P2516" s="621"/>
    </row>
    <row r="2517" spans="1:16">
      <c r="A2517" s="232" t="s">
        <v>627</v>
      </c>
      <c r="B2517" s="232">
        <v>4013041</v>
      </c>
      <c r="C2517" s="622">
        <v>45012</v>
      </c>
      <c r="D2517" s="232" t="s">
        <v>4890</v>
      </c>
      <c r="E2517" s="232" t="s">
        <v>5068</v>
      </c>
      <c r="F2517" s="233">
        <v>100</v>
      </c>
      <c r="G2517" s="232" t="s">
        <v>4691</v>
      </c>
      <c r="H2517" s="233"/>
      <c r="I2517" s="233"/>
      <c r="J2517" s="623">
        <v>5084747</v>
      </c>
      <c r="K2517" s="624" t="s">
        <v>991</v>
      </c>
      <c r="L2517" s="624" t="s">
        <v>4891</v>
      </c>
      <c r="M2517" s="624" t="s">
        <v>4905</v>
      </c>
      <c r="N2517" s="624" t="s">
        <v>3942</v>
      </c>
      <c r="O2517" s="624"/>
      <c r="P2517" s="624"/>
    </row>
    <row r="2518" spans="1:16">
      <c r="A2518" s="231" t="s">
        <v>627</v>
      </c>
      <c r="B2518" s="231">
        <v>4013041</v>
      </c>
      <c r="C2518" s="618">
        <v>45012</v>
      </c>
      <c r="D2518" s="231" t="s">
        <v>4890</v>
      </c>
      <c r="E2518" s="232" t="s">
        <v>5068</v>
      </c>
      <c r="F2518" s="619">
        <v>154.6</v>
      </c>
      <c r="G2518" s="231" t="s">
        <v>4691</v>
      </c>
      <c r="H2518" s="619"/>
      <c r="I2518" s="619"/>
      <c r="J2518" s="620">
        <v>9276000</v>
      </c>
      <c r="K2518" s="621" t="s">
        <v>991</v>
      </c>
      <c r="L2518" s="621" t="s">
        <v>4891</v>
      </c>
      <c r="M2518" s="621" t="s">
        <v>4906</v>
      </c>
      <c r="N2518" s="621" t="s">
        <v>3942</v>
      </c>
      <c r="O2518" s="621"/>
      <c r="P2518" s="621"/>
    </row>
    <row r="2519" spans="1:16">
      <c r="A2519" s="232" t="s">
        <v>627</v>
      </c>
      <c r="B2519" s="232">
        <v>4013041</v>
      </c>
      <c r="C2519" s="622">
        <v>45015</v>
      </c>
      <c r="D2519" s="232" t="s">
        <v>4890</v>
      </c>
      <c r="E2519" s="232" t="s">
        <v>5068</v>
      </c>
      <c r="F2519" s="233">
        <v>30</v>
      </c>
      <c r="G2519" s="232" t="s">
        <v>4691</v>
      </c>
      <c r="H2519" s="233"/>
      <c r="I2519" s="233"/>
      <c r="J2519" s="623">
        <v>1525424</v>
      </c>
      <c r="K2519" s="624" t="s">
        <v>991</v>
      </c>
      <c r="L2519" s="624" t="s">
        <v>4891</v>
      </c>
      <c r="M2519" s="624" t="s">
        <v>4898</v>
      </c>
      <c r="N2519" s="624" t="s">
        <v>3942</v>
      </c>
      <c r="O2519" s="624"/>
      <c r="P2519" s="624"/>
    </row>
    <row r="2520" spans="1:16">
      <c r="A2520" s="231" t="s">
        <v>627</v>
      </c>
      <c r="B2520" s="231">
        <v>4013041</v>
      </c>
      <c r="C2520" s="618">
        <v>45023</v>
      </c>
      <c r="D2520" s="231" t="s">
        <v>4890</v>
      </c>
      <c r="E2520" s="232" t="s">
        <v>5068</v>
      </c>
      <c r="F2520" s="619">
        <v>40</v>
      </c>
      <c r="G2520" s="231" t="s">
        <v>4691</v>
      </c>
      <c r="H2520" s="619"/>
      <c r="I2520" s="619"/>
      <c r="J2520" s="620">
        <v>2033899</v>
      </c>
      <c r="K2520" s="621" t="s">
        <v>991</v>
      </c>
      <c r="L2520" s="621" t="s">
        <v>4891</v>
      </c>
      <c r="M2520" s="621" t="s">
        <v>4904</v>
      </c>
      <c r="N2520" s="621" t="s">
        <v>3942</v>
      </c>
      <c r="O2520" s="621"/>
      <c r="P2520" s="621"/>
    </row>
    <row r="2521" spans="1:16">
      <c r="A2521" s="232" t="s">
        <v>627</v>
      </c>
      <c r="B2521" s="232">
        <v>4013041</v>
      </c>
      <c r="C2521" s="622">
        <v>45026</v>
      </c>
      <c r="D2521" s="232" t="s">
        <v>4890</v>
      </c>
      <c r="E2521" s="232" t="s">
        <v>5068</v>
      </c>
      <c r="F2521" s="233">
        <v>30</v>
      </c>
      <c r="G2521" s="232" t="s">
        <v>4691</v>
      </c>
      <c r="H2521" s="233"/>
      <c r="I2521" s="233"/>
      <c r="J2521" s="623">
        <v>1525424</v>
      </c>
      <c r="K2521" s="624" t="s">
        <v>991</v>
      </c>
      <c r="L2521" s="624" t="s">
        <v>4891</v>
      </c>
      <c r="M2521" s="624" t="s">
        <v>4898</v>
      </c>
      <c r="N2521" s="624" t="s">
        <v>3942</v>
      </c>
      <c r="O2521" s="624"/>
      <c r="P2521" s="624"/>
    </row>
    <row r="2522" spans="1:16">
      <c r="A2522" s="231" t="s">
        <v>627</v>
      </c>
      <c r="B2522" s="231">
        <v>4013041</v>
      </c>
      <c r="C2522" s="618">
        <v>45030</v>
      </c>
      <c r="D2522" s="231" t="s">
        <v>4890</v>
      </c>
      <c r="E2522" s="232" t="s">
        <v>5068</v>
      </c>
      <c r="F2522" s="619">
        <v>40</v>
      </c>
      <c r="G2522" s="231" t="s">
        <v>4691</v>
      </c>
      <c r="H2522" s="619"/>
      <c r="I2522" s="619"/>
      <c r="J2522" s="620">
        <v>2033899</v>
      </c>
      <c r="K2522" s="621" t="s">
        <v>991</v>
      </c>
      <c r="L2522" s="621" t="s">
        <v>4891</v>
      </c>
      <c r="M2522" s="621" t="s">
        <v>4899</v>
      </c>
      <c r="N2522" s="621" t="s">
        <v>3942</v>
      </c>
      <c r="O2522" s="621"/>
      <c r="P2522" s="621"/>
    </row>
    <row r="2523" spans="1:16">
      <c r="A2523" s="232" t="s">
        <v>627</v>
      </c>
      <c r="B2523" s="232">
        <v>4013041</v>
      </c>
      <c r="C2523" s="622">
        <v>45035</v>
      </c>
      <c r="D2523" s="232" t="s">
        <v>4890</v>
      </c>
      <c r="E2523" s="232" t="s">
        <v>5068</v>
      </c>
      <c r="F2523" s="233">
        <v>40</v>
      </c>
      <c r="G2523" s="232" t="s">
        <v>4691</v>
      </c>
      <c r="H2523" s="233"/>
      <c r="I2523" s="233"/>
      <c r="J2523" s="623">
        <v>2033899</v>
      </c>
      <c r="K2523" s="624" t="s">
        <v>991</v>
      </c>
      <c r="L2523" s="624" t="s">
        <v>4891</v>
      </c>
      <c r="M2523" s="624" t="s">
        <v>4899</v>
      </c>
      <c r="N2523" s="624" t="s">
        <v>3942</v>
      </c>
      <c r="O2523" s="624"/>
      <c r="P2523" s="624"/>
    </row>
    <row r="2524" spans="1:16">
      <c r="A2524" s="231" t="s">
        <v>627</v>
      </c>
      <c r="B2524" s="231">
        <v>4013041</v>
      </c>
      <c r="C2524" s="618">
        <v>45036</v>
      </c>
      <c r="D2524" s="231" t="s">
        <v>4890</v>
      </c>
      <c r="E2524" s="232" t="s">
        <v>5068</v>
      </c>
      <c r="F2524" s="619">
        <v>30</v>
      </c>
      <c r="G2524" s="231" t="s">
        <v>4691</v>
      </c>
      <c r="H2524" s="619"/>
      <c r="I2524" s="619"/>
      <c r="J2524" s="620">
        <v>1525424</v>
      </c>
      <c r="K2524" s="621" t="s">
        <v>991</v>
      </c>
      <c r="L2524" s="621" t="s">
        <v>4891</v>
      </c>
      <c r="M2524" s="621" t="s">
        <v>4898</v>
      </c>
      <c r="N2524" s="621" t="s">
        <v>3942</v>
      </c>
      <c r="O2524" s="621"/>
      <c r="P2524" s="621"/>
    </row>
    <row r="2525" spans="1:16">
      <c r="A2525" s="232" t="s">
        <v>627</v>
      </c>
      <c r="B2525" s="232">
        <v>4013041</v>
      </c>
      <c r="C2525" s="622">
        <v>45040</v>
      </c>
      <c r="D2525" s="232" t="s">
        <v>4890</v>
      </c>
      <c r="E2525" s="232" t="s">
        <v>5068</v>
      </c>
      <c r="F2525" s="233">
        <v>1</v>
      </c>
      <c r="G2525" s="232" t="s">
        <v>4691</v>
      </c>
      <c r="H2525" s="233"/>
      <c r="I2525" s="233"/>
      <c r="J2525" s="623">
        <v>50847</v>
      </c>
      <c r="K2525" s="624" t="s">
        <v>991</v>
      </c>
      <c r="L2525" s="624" t="s">
        <v>4891</v>
      </c>
      <c r="M2525" s="624" t="s">
        <v>4907</v>
      </c>
      <c r="N2525" s="624" t="s">
        <v>3942</v>
      </c>
      <c r="O2525" s="624"/>
      <c r="P2525" s="624"/>
    </row>
    <row r="2526" spans="1:16">
      <c r="A2526" s="231" t="s">
        <v>627</v>
      </c>
      <c r="B2526" s="231">
        <v>4013041</v>
      </c>
      <c r="C2526" s="618">
        <v>45044</v>
      </c>
      <c r="D2526" s="231" t="s">
        <v>4890</v>
      </c>
      <c r="E2526" s="232" t="s">
        <v>5068</v>
      </c>
      <c r="F2526" s="619">
        <v>1</v>
      </c>
      <c r="G2526" s="231" t="s">
        <v>4691</v>
      </c>
      <c r="H2526" s="619"/>
      <c r="I2526" s="619"/>
      <c r="J2526" s="620">
        <v>50847</v>
      </c>
      <c r="K2526" s="621" t="s">
        <v>991</v>
      </c>
      <c r="L2526" s="621" t="s">
        <v>4891</v>
      </c>
      <c r="M2526" s="621" t="s">
        <v>4908</v>
      </c>
      <c r="N2526" s="621" t="s">
        <v>3942</v>
      </c>
      <c r="O2526" s="621"/>
      <c r="P2526" s="621"/>
    </row>
    <row r="2527" spans="1:16">
      <c r="A2527" s="232" t="s">
        <v>627</v>
      </c>
      <c r="B2527" s="232">
        <v>4013041</v>
      </c>
      <c r="C2527" s="622">
        <v>45049</v>
      </c>
      <c r="D2527" s="232" t="s">
        <v>4890</v>
      </c>
      <c r="E2527" s="232" t="s">
        <v>5068</v>
      </c>
      <c r="F2527" s="233">
        <v>40</v>
      </c>
      <c r="G2527" s="232" t="s">
        <v>4691</v>
      </c>
      <c r="H2527" s="233"/>
      <c r="I2527" s="233"/>
      <c r="J2527" s="623">
        <v>2033899</v>
      </c>
      <c r="K2527" s="624" t="s">
        <v>991</v>
      </c>
      <c r="L2527" s="624" t="s">
        <v>4891</v>
      </c>
      <c r="M2527" s="624" t="s">
        <v>4903</v>
      </c>
      <c r="N2527" s="624" t="s">
        <v>3942</v>
      </c>
      <c r="O2527" s="624"/>
      <c r="P2527" s="624"/>
    </row>
    <row r="2528" spans="1:16">
      <c r="A2528" s="231" t="s">
        <v>627</v>
      </c>
      <c r="B2528" s="231">
        <v>4013041</v>
      </c>
      <c r="C2528" s="618">
        <v>45050</v>
      </c>
      <c r="D2528" s="231" t="s">
        <v>4890</v>
      </c>
      <c r="E2528" s="232" t="s">
        <v>5068</v>
      </c>
      <c r="F2528" s="619">
        <v>30</v>
      </c>
      <c r="G2528" s="231" t="s">
        <v>4691</v>
      </c>
      <c r="H2528" s="619"/>
      <c r="I2528" s="619"/>
      <c r="J2528" s="620">
        <v>1525424</v>
      </c>
      <c r="K2528" s="621" t="s">
        <v>991</v>
      </c>
      <c r="L2528" s="621" t="s">
        <v>4891</v>
      </c>
      <c r="M2528" s="621" t="s">
        <v>4898</v>
      </c>
      <c r="N2528" s="621" t="s">
        <v>3942</v>
      </c>
      <c r="O2528" s="621"/>
      <c r="P2528" s="621"/>
    </row>
    <row r="2529" spans="1:16">
      <c r="A2529" s="232" t="s">
        <v>627</v>
      </c>
      <c r="B2529" s="232">
        <v>4013041</v>
      </c>
      <c r="C2529" s="622">
        <v>45054</v>
      </c>
      <c r="D2529" s="232" t="s">
        <v>4890</v>
      </c>
      <c r="E2529" s="232" t="s">
        <v>5068</v>
      </c>
      <c r="F2529" s="233">
        <v>30</v>
      </c>
      <c r="G2529" s="232" t="s">
        <v>4691</v>
      </c>
      <c r="H2529" s="233"/>
      <c r="I2529" s="233"/>
      <c r="J2529" s="623">
        <v>1525424</v>
      </c>
      <c r="K2529" s="624" t="s">
        <v>991</v>
      </c>
      <c r="L2529" s="624" t="s">
        <v>4891</v>
      </c>
      <c r="M2529" s="624" t="s">
        <v>4898</v>
      </c>
      <c r="N2529" s="624" t="s">
        <v>3942</v>
      </c>
      <c r="O2529" s="624"/>
      <c r="P2529" s="624"/>
    </row>
    <row r="2530" spans="1:16">
      <c r="A2530" s="231" t="s">
        <v>627</v>
      </c>
      <c r="B2530" s="231">
        <v>4013041</v>
      </c>
      <c r="C2530" s="618">
        <v>45056</v>
      </c>
      <c r="D2530" s="231" t="s">
        <v>4890</v>
      </c>
      <c r="E2530" s="232" t="s">
        <v>5068</v>
      </c>
      <c r="F2530" s="619">
        <v>2</v>
      </c>
      <c r="G2530" s="231" t="s">
        <v>4691</v>
      </c>
      <c r="H2530" s="619"/>
      <c r="I2530" s="619"/>
      <c r="J2530" s="620">
        <v>101695</v>
      </c>
      <c r="K2530" s="621" t="s">
        <v>991</v>
      </c>
      <c r="L2530" s="621" t="s">
        <v>4891</v>
      </c>
      <c r="M2530" s="621" t="s">
        <v>4908</v>
      </c>
      <c r="N2530" s="621" t="s">
        <v>3942</v>
      </c>
      <c r="O2530" s="621"/>
      <c r="P2530" s="621"/>
    </row>
    <row r="2531" spans="1:16">
      <c r="A2531" s="232" t="s">
        <v>627</v>
      </c>
      <c r="B2531" s="232">
        <v>4013041</v>
      </c>
      <c r="C2531" s="622">
        <v>45057</v>
      </c>
      <c r="D2531" s="232" t="s">
        <v>4890</v>
      </c>
      <c r="E2531" s="232" t="s">
        <v>5068</v>
      </c>
      <c r="F2531" s="233">
        <v>100</v>
      </c>
      <c r="G2531" s="232" t="s">
        <v>4691</v>
      </c>
      <c r="H2531" s="233"/>
      <c r="I2531" s="233"/>
      <c r="J2531" s="623">
        <v>5084747</v>
      </c>
      <c r="K2531" s="624" t="s">
        <v>991</v>
      </c>
      <c r="L2531" s="624" t="s">
        <v>4891</v>
      </c>
      <c r="M2531" s="624" t="s">
        <v>4905</v>
      </c>
      <c r="N2531" s="624" t="s">
        <v>3942</v>
      </c>
      <c r="O2531" s="624"/>
      <c r="P2531" s="624"/>
    </row>
    <row r="2532" spans="1:16">
      <c r="A2532" s="231" t="s">
        <v>627</v>
      </c>
      <c r="B2532" s="231">
        <v>4013041</v>
      </c>
      <c r="C2532" s="618">
        <v>45058</v>
      </c>
      <c r="D2532" s="231" t="s">
        <v>4890</v>
      </c>
      <c r="E2532" s="232" t="s">
        <v>5068</v>
      </c>
      <c r="F2532" s="619">
        <v>40</v>
      </c>
      <c r="G2532" s="231" t="s">
        <v>4691</v>
      </c>
      <c r="H2532" s="619"/>
      <c r="I2532" s="619"/>
      <c r="J2532" s="620">
        <v>2033899</v>
      </c>
      <c r="K2532" s="621" t="s">
        <v>991</v>
      </c>
      <c r="L2532" s="621" t="s">
        <v>4891</v>
      </c>
      <c r="M2532" s="621" t="s">
        <v>4903</v>
      </c>
      <c r="N2532" s="621" t="s">
        <v>3942</v>
      </c>
      <c r="O2532" s="621"/>
      <c r="P2532" s="621"/>
    </row>
    <row r="2533" spans="1:16">
      <c r="A2533" s="232" t="s">
        <v>627</v>
      </c>
      <c r="B2533" s="232">
        <v>4013041</v>
      </c>
      <c r="C2533" s="622">
        <v>45059</v>
      </c>
      <c r="D2533" s="232" t="s">
        <v>4890</v>
      </c>
      <c r="E2533" s="232" t="s">
        <v>5068</v>
      </c>
      <c r="F2533" s="233">
        <v>20</v>
      </c>
      <c r="G2533" s="232" t="s">
        <v>4691</v>
      </c>
      <c r="H2533" s="233"/>
      <c r="I2533" s="233"/>
      <c r="J2533" s="623">
        <v>1016949</v>
      </c>
      <c r="K2533" s="624" t="s">
        <v>991</v>
      </c>
      <c r="L2533" s="624" t="s">
        <v>4891</v>
      </c>
      <c r="M2533" s="624" t="s">
        <v>4898</v>
      </c>
      <c r="N2533" s="624" t="s">
        <v>3942</v>
      </c>
      <c r="O2533" s="624"/>
      <c r="P2533" s="624"/>
    </row>
    <row r="2534" spans="1:16">
      <c r="A2534" s="231" t="s">
        <v>627</v>
      </c>
      <c r="B2534" s="231">
        <v>4013041</v>
      </c>
      <c r="C2534" s="618">
        <v>45061</v>
      </c>
      <c r="D2534" s="231" t="s">
        <v>4890</v>
      </c>
      <c r="E2534" s="232" t="s">
        <v>5068</v>
      </c>
      <c r="F2534" s="619">
        <v>40</v>
      </c>
      <c r="G2534" s="231" t="s">
        <v>4691</v>
      </c>
      <c r="H2534" s="619"/>
      <c r="I2534" s="619"/>
      <c r="J2534" s="620">
        <v>2033899</v>
      </c>
      <c r="K2534" s="621" t="s">
        <v>991</v>
      </c>
      <c r="L2534" s="621" t="s">
        <v>4891</v>
      </c>
      <c r="M2534" s="621" t="s">
        <v>4899</v>
      </c>
      <c r="N2534" s="621" t="s">
        <v>3942</v>
      </c>
      <c r="O2534" s="621"/>
      <c r="P2534" s="621"/>
    </row>
    <row r="2535" spans="1:16">
      <c r="A2535" s="232" t="s">
        <v>627</v>
      </c>
      <c r="B2535" s="232">
        <v>4013041</v>
      </c>
      <c r="C2535" s="622">
        <v>45063</v>
      </c>
      <c r="D2535" s="232" t="s">
        <v>4890</v>
      </c>
      <c r="E2535" s="232" t="s">
        <v>5068</v>
      </c>
      <c r="F2535" s="233">
        <v>30</v>
      </c>
      <c r="G2535" s="232" t="s">
        <v>4691</v>
      </c>
      <c r="H2535" s="233"/>
      <c r="I2535" s="233"/>
      <c r="J2535" s="623">
        <v>1525424</v>
      </c>
      <c r="K2535" s="624" t="s">
        <v>991</v>
      </c>
      <c r="L2535" s="624" t="s">
        <v>4891</v>
      </c>
      <c r="M2535" s="624" t="s">
        <v>4898</v>
      </c>
      <c r="N2535" s="624" t="s">
        <v>3942</v>
      </c>
      <c r="O2535" s="624"/>
      <c r="P2535" s="624"/>
    </row>
    <row r="2536" spans="1:16">
      <c r="A2536" s="231" t="s">
        <v>627</v>
      </c>
      <c r="B2536" s="231">
        <v>4013041</v>
      </c>
      <c r="C2536" s="618">
        <v>45063</v>
      </c>
      <c r="D2536" s="231" t="s">
        <v>4890</v>
      </c>
      <c r="E2536" s="232" t="s">
        <v>5068</v>
      </c>
      <c r="F2536" s="619">
        <v>2.5</v>
      </c>
      <c r="G2536" s="231" t="s">
        <v>4691</v>
      </c>
      <c r="H2536" s="619"/>
      <c r="I2536" s="619"/>
      <c r="J2536" s="620">
        <v>127119</v>
      </c>
      <c r="K2536" s="621" t="s">
        <v>991</v>
      </c>
      <c r="L2536" s="621" t="s">
        <v>4891</v>
      </c>
      <c r="M2536" s="621" t="s">
        <v>4908</v>
      </c>
      <c r="N2536" s="621" t="s">
        <v>3942</v>
      </c>
      <c r="O2536" s="621"/>
      <c r="P2536" s="621"/>
    </row>
    <row r="2537" spans="1:16">
      <c r="A2537" s="232" t="s">
        <v>627</v>
      </c>
      <c r="B2537" s="232">
        <v>4013041</v>
      </c>
      <c r="C2537" s="622">
        <v>45065</v>
      </c>
      <c r="D2537" s="232" t="s">
        <v>4890</v>
      </c>
      <c r="E2537" s="232" t="s">
        <v>5068</v>
      </c>
      <c r="F2537" s="233">
        <v>217.9</v>
      </c>
      <c r="G2537" s="232" t="s">
        <v>4691</v>
      </c>
      <c r="H2537" s="233"/>
      <c r="I2537" s="233"/>
      <c r="J2537" s="623">
        <v>13074000</v>
      </c>
      <c r="K2537" s="624" t="s">
        <v>991</v>
      </c>
      <c r="L2537" s="624" t="s">
        <v>4891</v>
      </c>
      <c r="M2537" s="624" t="s">
        <v>4901</v>
      </c>
      <c r="N2537" s="624" t="s">
        <v>3942</v>
      </c>
      <c r="O2537" s="624"/>
      <c r="P2537" s="624"/>
    </row>
    <row r="2538" spans="1:16">
      <c r="A2538" s="231" t="s">
        <v>627</v>
      </c>
      <c r="B2538" s="231">
        <v>4013041</v>
      </c>
      <c r="C2538" s="618">
        <v>45066</v>
      </c>
      <c r="D2538" s="231" t="s">
        <v>4890</v>
      </c>
      <c r="E2538" s="232" t="s">
        <v>5068</v>
      </c>
      <c r="F2538" s="619">
        <v>35</v>
      </c>
      <c r="G2538" s="231" t="s">
        <v>4691</v>
      </c>
      <c r="H2538" s="619"/>
      <c r="I2538" s="619"/>
      <c r="J2538" s="620">
        <v>1779661</v>
      </c>
      <c r="K2538" s="621" t="s">
        <v>991</v>
      </c>
      <c r="L2538" s="621" t="s">
        <v>4891</v>
      </c>
      <c r="M2538" s="621" t="s">
        <v>4898</v>
      </c>
      <c r="N2538" s="621" t="s">
        <v>3942</v>
      </c>
      <c r="O2538" s="621"/>
      <c r="P2538" s="621"/>
    </row>
    <row r="2539" spans="1:16">
      <c r="A2539" s="232" t="s">
        <v>627</v>
      </c>
      <c r="B2539" s="232">
        <v>4013041</v>
      </c>
      <c r="C2539" s="622">
        <v>45072</v>
      </c>
      <c r="D2539" s="232" t="s">
        <v>4890</v>
      </c>
      <c r="E2539" s="232" t="s">
        <v>5068</v>
      </c>
      <c r="F2539" s="233">
        <v>30</v>
      </c>
      <c r="G2539" s="232" t="s">
        <v>4691</v>
      </c>
      <c r="H2539" s="233"/>
      <c r="I2539" s="233"/>
      <c r="J2539" s="623">
        <v>1525424</v>
      </c>
      <c r="K2539" s="624" t="s">
        <v>991</v>
      </c>
      <c r="L2539" s="624" t="s">
        <v>4891</v>
      </c>
      <c r="M2539" s="624" t="s">
        <v>4898</v>
      </c>
      <c r="N2539" s="624" t="s">
        <v>3942</v>
      </c>
      <c r="O2539" s="624"/>
      <c r="P2539" s="624"/>
    </row>
    <row r="2540" spans="1:16">
      <c r="A2540" s="231" t="s">
        <v>627</v>
      </c>
      <c r="B2540" s="231">
        <v>4013041</v>
      </c>
      <c r="C2540" s="618">
        <v>45083</v>
      </c>
      <c r="D2540" s="231" t="s">
        <v>4890</v>
      </c>
      <c r="E2540" s="232" t="s">
        <v>5068</v>
      </c>
      <c r="F2540" s="619">
        <v>30</v>
      </c>
      <c r="G2540" s="231" t="s">
        <v>4691</v>
      </c>
      <c r="H2540" s="619"/>
      <c r="I2540" s="619"/>
      <c r="J2540" s="620">
        <v>1525424</v>
      </c>
      <c r="K2540" s="621" t="s">
        <v>991</v>
      </c>
      <c r="L2540" s="621" t="s">
        <v>4891</v>
      </c>
      <c r="M2540" s="621" t="s">
        <v>4898</v>
      </c>
      <c r="N2540" s="621" t="s">
        <v>3942</v>
      </c>
      <c r="O2540" s="621"/>
      <c r="P2540" s="621"/>
    </row>
    <row r="2541" spans="1:16">
      <c r="A2541" s="232" t="s">
        <v>627</v>
      </c>
      <c r="B2541" s="232">
        <v>4013041</v>
      </c>
      <c r="C2541" s="622">
        <v>45084</v>
      </c>
      <c r="D2541" s="232" t="s">
        <v>4890</v>
      </c>
      <c r="E2541" s="232" t="s">
        <v>5068</v>
      </c>
      <c r="F2541" s="233">
        <v>1.5</v>
      </c>
      <c r="G2541" s="232" t="s">
        <v>4691</v>
      </c>
      <c r="H2541" s="233"/>
      <c r="I2541" s="233"/>
      <c r="J2541" s="623">
        <v>76271</v>
      </c>
      <c r="K2541" s="624" t="s">
        <v>991</v>
      </c>
      <c r="L2541" s="624" t="s">
        <v>4891</v>
      </c>
      <c r="M2541" s="624" t="s">
        <v>4902</v>
      </c>
      <c r="N2541" s="624" t="s">
        <v>3942</v>
      </c>
      <c r="O2541" s="624"/>
      <c r="P2541" s="624"/>
    </row>
    <row r="2542" spans="1:16">
      <c r="A2542" s="231" t="s">
        <v>627</v>
      </c>
      <c r="B2542" s="231">
        <v>4013041</v>
      </c>
      <c r="C2542" s="618">
        <v>45084</v>
      </c>
      <c r="D2542" s="231" t="s">
        <v>4890</v>
      </c>
      <c r="E2542" s="232" t="s">
        <v>5068</v>
      </c>
      <c r="F2542" s="619">
        <v>2.5</v>
      </c>
      <c r="G2542" s="231" t="s">
        <v>4691</v>
      </c>
      <c r="H2542" s="619"/>
      <c r="I2542" s="619"/>
      <c r="J2542" s="620">
        <v>127119</v>
      </c>
      <c r="K2542" s="621" t="s">
        <v>991</v>
      </c>
      <c r="L2542" s="621" t="s">
        <v>4891</v>
      </c>
      <c r="M2542" s="621" t="s">
        <v>4908</v>
      </c>
      <c r="N2542" s="621" t="s">
        <v>3942</v>
      </c>
      <c r="O2542" s="621"/>
      <c r="P2542" s="621"/>
    </row>
    <row r="2543" spans="1:16">
      <c r="A2543" s="232" t="s">
        <v>627</v>
      </c>
      <c r="B2543" s="232">
        <v>4013041</v>
      </c>
      <c r="C2543" s="622">
        <v>45084</v>
      </c>
      <c r="D2543" s="232" t="s">
        <v>4890</v>
      </c>
      <c r="E2543" s="232" t="s">
        <v>5068</v>
      </c>
      <c r="F2543" s="233">
        <v>40</v>
      </c>
      <c r="G2543" s="232" t="s">
        <v>4691</v>
      </c>
      <c r="H2543" s="233"/>
      <c r="I2543" s="233"/>
      <c r="J2543" s="623">
        <v>2033899</v>
      </c>
      <c r="K2543" s="624" t="s">
        <v>991</v>
      </c>
      <c r="L2543" s="624" t="s">
        <v>4891</v>
      </c>
      <c r="M2543" s="624" t="s">
        <v>4899</v>
      </c>
      <c r="N2543" s="624" t="s">
        <v>3942</v>
      </c>
      <c r="O2543" s="624"/>
      <c r="P2543" s="624"/>
    </row>
    <row r="2544" spans="1:16">
      <c r="A2544" s="231" t="s">
        <v>627</v>
      </c>
      <c r="B2544" s="231">
        <v>4013041</v>
      </c>
      <c r="C2544" s="618">
        <v>45086</v>
      </c>
      <c r="D2544" s="231" t="s">
        <v>4890</v>
      </c>
      <c r="E2544" s="232" t="s">
        <v>5068</v>
      </c>
      <c r="F2544" s="619">
        <v>40</v>
      </c>
      <c r="G2544" s="231" t="s">
        <v>4691</v>
      </c>
      <c r="H2544" s="619"/>
      <c r="I2544" s="619"/>
      <c r="J2544" s="620">
        <v>2033899</v>
      </c>
      <c r="K2544" s="621" t="s">
        <v>991</v>
      </c>
      <c r="L2544" s="621" t="s">
        <v>4891</v>
      </c>
      <c r="M2544" s="621" t="s">
        <v>4903</v>
      </c>
      <c r="N2544" s="621" t="s">
        <v>3942</v>
      </c>
      <c r="O2544" s="621"/>
      <c r="P2544" s="621"/>
    </row>
    <row r="2545" spans="1:16">
      <c r="A2545" s="232" t="s">
        <v>627</v>
      </c>
      <c r="B2545" s="232">
        <v>4013041</v>
      </c>
      <c r="C2545" s="622">
        <v>45089</v>
      </c>
      <c r="D2545" s="232" t="s">
        <v>4890</v>
      </c>
      <c r="E2545" s="232" t="s">
        <v>5068</v>
      </c>
      <c r="F2545" s="233">
        <v>30</v>
      </c>
      <c r="G2545" s="232" t="s">
        <v>4691</v>
      </c>
      <c r="H2545" s="233"/>
      <c r="I2545" s="233"/>
      <c r="J2545" s="623">
        <v>1525424</v>
      </c>
      <c r="K2545" s="624" t="s">
        <v>991</v>
      </c>
      <c r="L2545" s="624" t="s">
        <v>4891</v>
      </c>
      <c r="M2545" s="624" t="s">
        <v>4898</v>
      </c>
      <c r="N2545" s="624" t="s">
        <v>3942</v>
      </c>
      <c r="O2545" s="624"/>
      <c r="P2545" s="624"/>
    </row>
    <row r="2546" spans="1:16">
      <c r="A2546" s="231" t="s">
        <v>627</v>
      </c>
      <c r="B2546" s="231">
        <v>4013041</v>
      </c>
      <c r="C2546" s="618">
        <v>45097</v>
      </c>
      <c r="D2546" s="231" t="s">
        <v>4890</v>
      </c>
      <c r="E2546" s="232" t="s">
        <v>5068</v>
      </c>
      <c r="F2546" s="619">
        <v>40</v>
      </c>
      <c r="G2546" s="231" t="s">
        <v>4691</v>
      </c>
      <c r="H2546" s="619"/>
      <c r="I2546" s="619"/>
      <c r="J2546" s="620">
        <v>2033899</v>
      </c>
      <c r="K2546" s="621" t="s">
        <v>991</v>
      </c>
      <c r="L2546" s="621" t="s">
        <v>4891</v>
      </c>
      <c r="M2546" s="621" t="s">
        <v>4899</v>
      </c>
      <c r="N2546" s="621" t="s">
        <v>3942</v>
      </c>
      <c r="O2546" s="621"/>
      <c r="P2546" s="621"/>
    </row>
    <row r="2547" spans="1:16">
      <c r="A2547" s="232" t="s">
        <v>627</v>
      </c>
      <c r="B2547" s="232">
        <v>4013041</v>
      </c>
      <c r="C2547" s="622">
        <v>45097</v>
      </c>
      <c r="D2547" s="232" t="s">
        <v>4890</v>
      </c>
      <c r="E2547" s="232" t="s">
        <v>5068</v>
      </c>
      <c r="F2547" s="233">
        <v>2</v>
      </c>
      <c r="G2547" s="232" t="s">
        <v>4691</v>
      </c>
      <c r="H2547" s="233"/>
      <c r="I2547" s="233"/>
      <c r="J2547" s="623">
        <v>101695</v>
      </c>
      <c r="K2547" s="624" t="s">
        <v>991</v>
      </c>
      <c r="L2547" s="624" t="s">
        <v>4891</v>
      </c>
      <c r="M2547" s="624" t="s">
        <v>4908</v>
      </c>
      <c r="N2547" s="624" t="s">
        <v>3942</v>
      </c>
      <c r="O2547" s="624"/>
      <c r="P2547" s="624"/>
    </row>
    <row r="2548" spans="1:16">
      <c r="A2548" s="231" t="s">
        <v>627</v>
      </c>
      <c r="B2548" s="231">
        <v>4013041</v>
      </c>
      <c r="C2548" s="618">
        <v>45099</v>
      </c>
      <c r="D2548" s="231" t="s">
        <v>4890</v>
      </c>
      <c r="E2548" s="232" t="s">
        <v>5068</v>
      </c>
      <c r="F2548" s="619">
        <v>40</v>
      </c>
      <c r="G2548" s="231" t="s">
        <v>4691</v>
      </c>
      <c r="H2548" s="619"/>
      <c r="I2548" s="619"/>
      <c r="J2548" s="620">
        <v>2033899</v>
      </c>
      <c r="K2548" s="621" t="s">
        <v>991</v>
      </c>
      <c r="L2548" s="621" t="s">
        <v>4891</v>
      </c>
      <c r="M2548" s="621" t="s">
        <v>4899</v>
      </c>
      <c r="N2548" s="621" t="s">
        <v>3942</v>
      </c>
      <c r="O2548" s="621"/>
      <c r="P2548" s="621"/>
    </row>
    <row r="2549" spans="1:16">
      <c r="A2549" s="232" t="s">
        <v>627</v>
      </c>
      <c r="B2549" s="232">
        <v>4013041</v>
      </c>
      <c r="C2549" s="622">
        <v>45101</v>
      </c>
      <c r="D2549" s="232" t="s">
        <v>4890</v>
      </c>
      <c r="E2549" s="232" t="s">
        <v>5068</v>
      </c>
      <c r="F2549" s="233">
        <v>30</v>
      </c>
      <c r="G2549" s="232" t="s">
        <v>4691</v>
      </c>
      <c r="H2549" s="233"/>
      <c r="I2549" s="233"/>
      <c r="J2549" s="623">
        <v>1525424</v>
      </c>
      <c r="K2549" s="624" t="s">
        <v>991</v>
      </c>
      <c r="L2549" s="624" t="s">
        <v>4891</v>
      </c>
      <c r="M2549" s="624" t="s">
        <v>4898</v>
      </c>
      <c r="N2549" s="624" t="s">
        <v>3942</v>
      </c>
      <c r="O2549" s="624"/>
      <c r="P2549" s="624"/>
    </row>
    <row r="2550" spans="1:16">
      <c r="A2550" s="231" t="s">
        <v>627</v>
      </c>
      <c r="B2550" s="231">
        <v>4013041</v>
      </c>
      <c r="C2550" s="618">
        <v>45101</v>
      </c>
      <c r="D2550" s="231" t="s">
        <v>4890</v>
      </c>
      <c r="E2550" s="232" t="s">
        <v>5068</v>
      </c>
      <c r="F2550" s="619">
        <v>245</v>
      </c>
      <c r="G2550" s="231" t="s">
        <v>4691</v>
      </c>
      <c r="H2550" s="619"/>
      <c r="I2550" s="619"/>
      <c r="J2550" s="620">
        <v>12457630</v>
      </c>
      <c r="K2550" s="621" t="s">
        <v>991</v>
      </c>
      <c r="L2550" s="621" t="s">
        <v>4891</v>
      </c>
      <c r="M2550" s="621" t="s">
        <v>4905</v>
      </c>
      <c r="N2550" s="621" t="s">
        <v>3942</v>
      </c>
      <c r="O2550" s="621"/>
      <c r="P2550" s="621"/>
    </row>
    <row r="2551" spans="1:16">
      <c r="A2551" s="232" t="s">
        <v>627</v>
      </c>
      <c r="B2551" s="232">
        <v>4013041</v>
      </c>
      <c r="C2551" s="622">
        <v>45110</v>
      </c>
      <c r="D2551" s="232" t="s">
        <v>4890</v>
      </c>
      <c r="E2551" s="232" t="s">
        <v>5068</v>
      </c>
      <c r="F2551" s="233">
        <v>40</v>
      </c>
      <c r="G2551" s="232" t="s">
        <v>4691</v>
      </c>
      <c r="H2551" s="233"/>
      <c r="I2551" s="233"/>
      <c r="J2551" s="623">
        <v>2033899</v>
      </c>
      <c r="K2551" s="624" t="s">
        <v>991</v>
      </c>
      <c r="L2551" s="624" t="s">
        <v>4891</v>
      </c>
      <c r="M2551" s="624" t="s">
        <v>4899</v>
      </c>
      <c r="N2551" s="624" t="s">
        <v>3942</v>
      </c>
      <c r="O2551" s="624"/>
      <c r="P2551" s="624"/>
    </row>
    <row r="2552" spans="1:16">
      <c r="A2552" s="231" t="s">
        <v>627</v>
      </c>
      <c r="B2552" s="231">
        <v>4013041</v>
      </c>
      <c r="C2552" s="618">
        <v>45113</v>
      </c>
      <c r="D2552" s="231" t="s">
        <v>4890</v>
      </c>
      <c r="E2552" s="232" t="s">
        <v>5068</v>
      </c>
      <c r="F2552" s="619">
        <v>30</v>
      </c>
      <c r="G2552" s="231" t="s">
        <v>4691</v>
      </c>
      <c r="H2552" s="619"/>
      <c r="I2552" s="619"/>
      <c r="J2552" s="620">
        <v>1525424</v>
      </c>
      <c r="K2552" s="621" t="s">
        <v>991</v>
      </c>
      <c r="L2552" s="621" t="s">
        <v>4891</v>
      </c>
      <c r="M2552" s="621" t="s">
        <v>4898</v>
      </c>
      <c r="N2552" s="621" t="s">
        <v>3942</v>
      </c>
      <c r="O2552" s="621"/>
      <c r="P2552" s="621"/>
    </row>
    <row r="2553" spans="1:16">
      <c r="A2553" s="232" t="s">
        <v>627</v>
      </c>
      <c r="B2553" s="232">
        <v>4013041</v>
      </c>
      <c r="C2553" s="622">
        <v>45117</v>
      </c>
      <c r="D2553" s="232" t="s">
        <v>4890</v>
      </c>
      <c r="E2553" s="232" t="s">
        <v>5068</v>
      </c>
      <c r="F2553" s="233">
        <v>10</v>
      </c>
      <c r="G2553" s="232" t="s">
        <v>4691</v>
      </c>
      <c r="H2553" s="233"/>
      <c r="I2553" s="233"/>
      <c r="J2553" s="623">
        <v>508475</v>
      </c>
      <c r="K2553" s="624" t="s">
        <v>991</v>
      </c>
      <c r="L2553" s="624" t="s">
        <v>4891</v>
      </c>
      <c r="M2553" s="624" t="s">
        <v>4899</v>
      </c>
      <c r="N2553" s="624" t="s">
        <v>3942</v>
      </c>
      <c r="O2553" s="624"/>
      <c r="P2553" s="624"/>
    </row>
    <row r="2554" spans="1:16">
      <c r="A2554" s="231" t="s">
        <v>627</v>
      </c>
      <c r="B2554" s="231">
        <v>4013041</v>
      </c>
      <c r="C2554" s="618">
        <v>45120</v>
      </c>
      <c r="D2554" s="231" t="s">
        <v>4890</v>
      </c>
      <c r="E2554" s="232" t="s">
        <v>5068</v>
      </c>
      <c r="F2554" s="619">
        <v>30</v>
      </c>
      <c r="G2554" s="231" t="s">
        <v>4691</v>
      </c>
      <c r="H2554" s="619"/>
      <c r="I2554" s="619"/>
      <c r="J2554" s="620">
        <v>1525424</v>
      </c>
      <c r="K2554" s="621" t="s">
        <v>991</v>
      </c>
      <c r="L2554" s="621" t="s">
        <v>4891</v>
      </c>
      <c r="M2554" s="621" t="s">
        <v>4898</v>
      </c>
      <c r="N2554" s="621" t="s">
        <v>3942</v>
      </c>
      <c r="O2554" s="621"/>
      <c r="P2554" s="621"/>
    </row>
    <row r="2555" spans="1:16">
      <c r="A2555" s="232" t="s">
        <v>627</v>
      </c>
      <c r="B2555" s="232">
        <v>4013041</v>
      </c>
      <c r="C2555" s="622">
        <v>45127</v>
      </c>
      <c r="D2555" s="232" t="s">
        <v>4890</v>
      </c>
      <c r="E2555" s="232" t="s">
        <v>5068</v>
      </c>
      <c r="F2555" s="233">
        <v>30</v>
      </c>
      <c r="G2555" s="232" t="s">
        <v>4691</v>
      </c>
      <c r="H2555" s="233"/>
      <c r="I2555" s="233"/>
      <c r="J2555" s="623">
        <v>1525424</v>
      </c>
      <c r="K2555" s="624" t="s">
        <v>991</v>
      </c>
      <c r="L2555" s="624" t="s">
        <v>4891</v>
      </c>
      <c r="M2555" s="624" t="s">
        <v>4898</v>
      </c>
      <c r="N2555" s="624" t="s">
        <v>3942</v>
      </c>
      <c r="O2555" s="624"/>
      <c r="P2555" s="624"/>
    </row>
    <row r="2556" spans="1:16">
      <c r="A2556" s="231" t="s">
        <v>627</v>
      </c>
      <c r="B2556" s="231">
        <v>4013041</v>
      </c>
      <c r="C2556" s="618">
        <v>45127</v>
      </c>
      <c r="D2556" s="231" t="s">
        <v>4890</v>
      </c>
      <c r="E2556" s="232" t="s">
        <v>5068</v>
      </c>
      <c r="F2556" s="619">
        <v>2</v>
      </c>
      <c r="G2556" s="231" t="s">
        <v>4691</v>
      </c>
      <c r="H2556" s="619"/>
      <c r="I2556" s="619"/>
      <c r="J2556" s="620">
        <v>101695</v>
      </c>
      <c r="K2556" s="621" t="s">
        <v>991</v>
      </c>
      <c r="L2556" s="621" t="s">
        <v>4891</v>
      </c>
      <c r="M2556" s="621" t="s">
        <v>4908</v>
      </c>
      <c r="N2556" s="621" t="s">
        <v>3942</v>
      </c>
      <c r="O2556" s="621"/>
      <c r="P2556" s="621"/>
    </row>
    <row r="2557" spans="1:16">
      <c r="A2557" s="232" t="s">
        <v>627</v>
      </c>
      <c r="B2557" s="232">
        <v>4013041</v>
      </c>
      <c r="C2557" s="622">
        <v>45129</v>
      </c>
      <c r="D2557" s="232" t="s">
        <v>4890</v>
      </c>
      <c r="E2557" s="232" t="s">
        <v>5068</v>
      </c>
      <c r="F2557" s="233">
        <v>40</v>
      </c>
      <c r="G2557" s="232" t="s">
        <v>4691</v>
      </c>
      <c r="H2557" s="233"/>
      <c r="I2557" s="233"/>
      <c r="J2557" s="623">
        <v>2033899</v>
      </c>
      <c r="K2557" s="624" t="s">
        <v>991</v>
      </c>
      <c r="L2557" s="624" t="s">
        <v>4891</v>
      </c>
      <c r="M2557" s="624" t="s">
        <v>4899</v>
      </c>
      <c r="N2557" s="624" t="s">
        <v>3942</v>
      </c>
      <c r="O2557" s="624"/>
      <c r="P2557" s="624"/>
    </row>
    <row r="2558" spans="1:16">
      <c r="A2558" s="231" t="s">
        <v>627</v>
      </c>
      <c r="B2558" s="231">
        <v>4013041</v>
      </c>
      <c r="C2558" s="618">
        <v>45131</v>
      </c>
      <c r="D2558" s="231" t="s">
        <v>4890</v>
      </c>
      <c r="E2558" s="232" t="s">
        <v>5068</v>
      </c>
      <c r="F2558" s="619">
        <v>40</v>
      </c>
      <c r="G2558" s="231" t="s">
        <v>4691</v>
      </c>
      <c r="H2558" s="619"/>
      <c r="I2558" s="619"/>
      <c r="J2558" s="620">
        <v>2033899</v>
      </c>
      <c r="K2558" s="621" t="s">
        <v>991</v>
      </c>
      <c r="L2558" s="621" t="s">
        <v>4891</v>
      </c>
      <c r="M2558" s="621" t="s">
        <v>4899</v>
      </c>
      <c r="N2558" s="621" t="s">
        <v>3942</v>
      </c>
      <c r="O2558" s="621"/>
      <c r="P2558" s="621"/>
    </row>
    <row r="2559" spans="1:16">
      <c r="A2559" s="232" t="s">
        <v>627</v>
      </c>
      <c r="B2559" s="232">
        <v>4013041</v>
      </c>
      <c r="C2559" s="622">
        <v>45131</v>
      </c>
      <c r="D2559" s="232" t="s">
        <v>4890</v>
      </c>
      <c r="E2559" s="232" t="s">
        <v>5068</v>
      </c>
      <c r="F2559" s="233">
        <v>2.5</v>
      </c>
      <c r="G2559" s="232" t="s">
        <v>4691</v>
      </c>
      <c r="H2559" s="233"/>
      <c r="I2559" s="233"/>
      <c r="J2559" s="623">
        <v>127119</v>
      </c>
      <c r="K2559" s="624" t="s">
        <v>991</v>
      </c>
      <c r="L2559" s="624" t="s">
        <v>4891</v>
      </c>
      <c r="M2559" s="624" t="s">
        <v>4908</v>
      </c>
      <c r="N2559" s="624" t="s">
        <v>3942</v>
      </c>
      <c r="O2559" s="624"/>
      <c r="P2559" s="624"/>
    </row>
    <row r="2560" spans="1:16">
      <c r="A2560" s="231" t="s">
        <v>627</v>
      </c>
      <c r="B2560" s="231">
        <v>4013041</v>
      </c>
      <c r="C2560" s="618">
        <v>45134</v>
      </c>
      <c r="D2560" s="231" t="s">
        <v>4890</v>
      </c>
      <c r="E2560" s="232" t="s">
        <v>5068</v>
      </c>
      <c r="F2560" s="619">
        <v>35</v>
      </c>
      <c r="G2560" s="231" t="s">
        <v>4691</v>
      </c>
      <c r="H2560" s="619"/>
      <c r="I2560" s="619"/>
      <c r="J2560" s="620">
        <v>1779661</v>
      </c>
      <c r="K2560" s="621" t="s">
        <v>991</v>
      </c>
      <c r="L2560" s="621" t="s">
        <v>4891</v>
      </c>
      <c r="M2560" s="621" t="s">
        <v>4904</v>
      </c>
      <c r="N2560" s="621" t="s">
        <v>3942</v>
      </c>
      <c r="O2560" s="621"/>
      <c r="P2560" s="621"/>
    </row>
    <row r="2561" spans="1:16">
      <c r="A2561" s="232" t="s">
        <v>627</v>
      </c>
      <c r="B2561" s="232">
        <v>4013041</v>
      </c>
      <c r="C2561" s="622">
        <v>45134</v>
      </c>
      <c r="D2561" s="232" t="s">
        <v>4890</v>
      </c>
      <c r="E2561" s="232" t="s">
        <v>5068</v>
      </c>
      <c r="F2561" s="233">
        <v>30</v>
      </c>
      <c r="G2561" s="232" t="s">
        <v>4691</v>
      </c>
      <c r="H2561" s="233"/>
      <c r="I2561" s="233"/>
      <c r="J2561" s="623">
        <v>1525424</v>
      </c>
      <c r="K2561" s="624" t="s">
        <v>991</v>
      </c>
      <c r="L2561" s="624" t="s">
        <v>4891</v>
      </c>
      <c r="M2561" s="624" t="s">
        <v>4898</v>
      </c>
      <c r="N2561" s="624" t="s">
        <v>3942</v>
      </c>
      <c r="O2561" s="624"/>
      <c r="P2561" s="624"/>
    </row>
    <row r="2562" spans="1:16">
      <c r="A2562" s="231" t="s">
        <v>627</v>
      </c>
      <c r="B2562" s="231">
        <v>4013041</v>
      </c>
      <c r="C2562" s="618">
        <v>45134</v>
      </c>
      <c r="D2562" s="231" t="s">
        <v>4890</v>
      </c>
      <c r="E2562" s="232" t="s">
        <v>5068</v>
      </c>
      <c r="F2562" s="619">
        <v>1</v>
      </c>
      <c r="G2562" s="231" t="s">
        <v>4691</v>
      </c>
      <c r="H2562" s="619"/>
      <c r="I2562" s="619"/>
      <c r="J2562" s="620">
        <v>35593</v>
      </c>
      <c r="K2562" s="621" t="s">
        <v>991</v>
      </c>
      <c r="L2562" s="621" t="s">
        <v>4891</v>
      </c>
      <c r="M2562" s="621" t="s">
        <v>4904</v>
      </c>
      <c r="N2562" s="621" t="s">
        <v>3942</v>
      </c>
      <c r="O2562" s="621"/>
      <c r="P2562" s="621"/>
    </row>
    <row r="2563" spans="1:16">
      <c r="A2563" s="232" t="s">
        <v>627</v>
      </c>
      <c r="B2563" s="232">
        <v>4013041</v>
      </c>
      <c r="C2563" s="622">
        <v>45139</v>
      </c>
      <c r="D2563" s="232" t="s">
        <v>4890</v>
      </c>
      <c r="E2563" s="232" t="s">
        <v>5068</v>
      </c>
      <c r="F2563" s="233">
        <v>40</v>
      </c>
      <c r="G2563" s="232" t="s">
        <v>4691</v>
      </c>
      <c r="H2563" s="233"/>
      <c r="I2563" s="233"/>
      <c r="J2563" s="623">
        <v>2033899</v>
      </c>
      <c r="K2563" s="624" t="s">
        <v>991</v>
      </c>
      <c r="L2563" s="624" t="s">
        <v>4891</v>
      </c>
      <c r="M2563" s="624" t="s">
        <v>4898</v>
      </c>
      <c r="N2563" s="624" t="s">
        <v>3942</v>
      </c>
      <c r="O2563" s="624"/>
      <c r="P2563" s="624"/>
    </row>
    <row r="2564" spans="1:16">
      <c r="A2564" s="231" t="s">
        <v>627</v>
      </c>
      <c r="B2564" s="231">
        <v>4013041</v>
      </c>
      <c r="C2564" s="618">
        <v>45148</v>
      </c>
      <c r="D2564" s="231" t="s">
        <v>4890</v>
      </c>
      <c r="E2564" s="232" t="s">
        <v>5068</v>
      </c>
      <c r="F2564" s="619">
        <v>36</v>
      </c>
      <c r="G2564" s="231" t="s">
        <v>4691</v>
      </c>
      <c r="H2564" s="619"/>
      <c r="I2564" s="619"/>
      <c r="J2564" s="620">
        <v>1830509</v>
      </c>
      <c r="K2564" s="621" t="s">
        <v>991</v>
      </c>
      <c r="L2564" s="621" t="s">
        <v>4891</v>
      </c>
      <c r="M2564" s="621" t="s">
        <v>4898</v>
      </c>
      <c r="N2564" s="621" t="s">
        <v>3942</v>
      </c>
      <c r="O2564" s="621"/>
      <c r="P2564" s="621"/>
    </row>
    <row r="2565" spans="1:16">
      <c r="A2565" s="232" t="s">
        <v>627</v>
      </c>
      <c r="B2565" s="232">
        <v>4013041</v>
      </c>
      <c r="C2565" s="622">
        <v>45152</v>
      </c>
      <c r="D2565" s="232" t="s">
        <v>4890</v>
      </c>
      <c r="E2565" s="232" t="s">
        <v>5068</v>
      </c>
      <c r="F2565" s="233">
        <v>40</v>
      </c>
      <c r="G2565" s="232" t="s">
        <v>4691</v>
      </c>
      <c r="H2565" s="233"/>
      <c r="I2565" s="233"/>
      <c r="J2565" s="623">
        <v>2033899</v>
      </c>
      <c r="K2565" s="624" t="s">
        <v>991</v>
      </c>
      <c r="L2565" s="624" t="s">
        <v>4891</v>
      </c>
      <c r="M2565" s="624" t="s">
        <v>4899</v>
      </c>
      <c r="N2565" s="624" t="s">
        <v>3942</v>
      </c>
      <c r="O2565" s="624"/>
      <c r="P2565" s="624"/>
    </row>
    <row r="2566" spans="1:16">
      <c r="A2566" s="231" t="s">
        <v>627</v>
      </c>
      <c r="B2566" s="231">
        <v>4013041</v>
      </c>
      <c r="C2566" s="618">
        <v>45156</v>
      </c>
      <c r="D2566" s="231" t="s">
        <v>4890</v>
      </c>
      <c r="E2566" s="232" t="s">
        <v>5068</v>
      </c>
      <c r="F2566" s="619">
        <v>40</v>
      </c>
      <c r="G2566" s="231" t="s">
        <v>4691</v>
      </c>
      <c r="H2566" s="619"/>
      <c r="I2566" s="619"/>
      <c r="J2566" s="620">
        <v>2033899</v>
      </c>
      <c r="K2566" s="621" t="s">
        <v>991</v>
      </c>
      <c r="L2566" s="621" t="s">
        <v>4891</v>
      </c>
      <c r="M2566" s="621" t="s">
        <v>4898</v>
      </c>
      <c r="N2566" s="621" t="s">
        <v>3942</v>
      </c>
      <c r="O2566" s="621"/>
      <c r="P2566" s="621"/>
    </row>
    <row r="2567" spans="1:16">
      <c r="A2567" s="232" t="s">
        <v>627</v>
      </c>
      <c r="B2567" s="232">
        <v>4013041</v>
      </c>
      <c r="C2567" s="622">
        <v>45161</v>
      </c>
      <c r="D2567" s="232" t="s">
        <v>4890</v>
      </c>
      <c r="E2567" s="232" t="s">
        <v>5068</v>
      </c>
      <c r="F2567" s="233">
        <v>1.5</v>
      </c>
      <c r="G2567" s="232" t="s">
        <v>4691</v>
      </c>
      <c r="H2567" s="233"/>
      <c r="I2567" s="233"/>
      <c r="J2567" s="623">
        <v>76271</v>
      </c>
      <c r="K2567" s="624" t="s">
        <v>991</v>
      </c>
      <c r="L2567" s="624" t="s">
        <v>4891</v>
      </c>
      <c r="M2567" s="624" t="s">
        <v>4902</v>
      </c>
      <c r="N2567" s="624" t="s">
        <v>3942</v>
      </c>
      <c r="O2567" s="624"/>
      <c r="P2567" s="624"/>
    </row>
    <row r="2568" spans="1:16">
      <c r="A2568" s="231" t="s">
        <v>627</v>
      </c>
      <c r="B2568" s="231">
        <v>4013041</v>
      </c>
      <c r="C2568" s="618">
        <v>45161</v>
      </c>
      <c r="D2568" s="231" t="s">
        <v>4890</v>
      </c>
      <c r="E2568" s="232" t="s">
        <v>5068</v>
      </c>
      <c r="F2568" s="619">
        <v>5</v>
      </c>
      <c r="G2568" s="231" t="s">
        <v>4691</v>
      </c>
      <c r="H2568" s="619"/>
      <c r="I2568" s="619"/>
      <c r="J2568" s="620">
        <v>254237</v>
      </c>
      <c r="K2568" s="621" t="s">
        <v>991</v>
      </c>
      <c r="L2568" s="621" t="s">
        <v>4891</v>
      </c>
      <c r="M2568" s="621" t="s">
        <v>4908</v>
      </c>
      <c r="N2568" s="621" t="s">
        <v>3942</v>
      </c>
      <c r="O2568" s="621"/>
      <c r="P2568" s="621"/>
    </row>
    <row r="2569" spans="1:16">
      <c r="A2569" s="232" t="s">
        <v>627</v>
      </c>
      <c r="B2569" s="232">
        <v>4013041</v>
      </c>
      <c r="C2569" s="622">
        <v>45162</v>
      </c>
      <c r="D2569" s="232" t="s">
        <v>4890</v>
      </c>
      <c r="E2569" s="232" t="s">
        <v>5068</v>
      </c>
      <c r="F2569" s="233">
        <v>40</v>
      </c>
      <c r="G2569" s="232" t="s">
        <v>4691</v>
      </c>
      <c r="H2569" s="233"/>
      <c r="I2569" s="233"/>
      <c r="J2569" s="623">
        <v>2033899</v>
      </c>
      <c r="K2569" s="624" t="s">
        <v>991</v>
      </c>
      <c r="L2569" s="624" t="s">
        <v>4891</v>
      </c>
      <c r="M2569" s="624" t="s">
        <v>4903</v>
      </c>
      <c r="N2569" s="624" t="s">
        <v>3942</v>
      </c>
      <c r="O2569" s="624"/>
      <c r="P2569" s="624"/>
    </row>
    <row r="2570" spans="1:16">
      <c r="A2570" s="231" t="s">
        <v>627</v>
      </c>
      <c r="B2570" s="231">
        <v>4013041</v>
      </c>
      <c r="C2570" s="618">
        <v>45163</v>
      </c>
      <c r="D2570" s="231" t="s">
        <v>4890</v>
      </c>
      <c r="E2570" s="232" t="s">
        <v>5068</v>
      </c>
      <c r="F2570" s="619">
        <v>40</v>
      </c>
      <c r="G2570" s="231" t="s">
        <v>4691</v>
      </c>
      <c r="H2570" s="619"/>
      <c r="I2570" s="619"/>
      <c r="J2570" s="620">
        <v>2033899</v>
      </c>
      <c r="K2570" s="621" t="s">
        <v>991</v>
      </c>
      <c r="L2570" s="621" t="s">
        <v>4891</v>
      </c>
      <c r="M2570" s="621" t="s">
        <v>4898</v>
      </c>
      <c r="N2570" s="621" t="s">
        <v>3942</v>
      </c>
      <c r="O2570" s="621"/>
      <c r="P2570" s="621"/>
    </row>
    <row r="2571" spans="1:16">
      <c r="A2571" s="232" t="s">
        <v>627</v>
      </c>
      <c r="B2571" s="232">
        <v>4013041</v>
      </c>
      <c r="C2571" s="622">
        <v>45168</v>
      </c>
      <c r="D2571" s="232" t="s">
        <v>4890</v>
      </c>
      <c r="E2571" s="232" t="s">
        <v>5068</v>
      </c>
      <c r="F2571" s="233">
        <v>40</v>
      </c>
      <c r="G2571" s="232" t="s">
        <v>4691</v>
      </c>
      <c r="H2571" s="233"/>
      <c r="I2571" s="233"/>
      <c r="J2571" s="623">
        <v>2033899</v>
      </c>
      <c r="K2571" s="624" t="s">
        <v>991</v>
      </c>
      <c r="L2571" s="624" t="s">
        <v>4891</v>
      </c>
      <c r="M2571" s="624" t="s">
        <v>4898</v>
      </c>
      <c r="N2571" s="624" t="s">
        <v>3942</v>
      </c>
      <c r="O2571" s="624"/>
      <c r="P2571" s="624"/>
    </row>
    <row r="2572" spans="1:16">
      <c r="A2572" s="231" t="s">
        <v>627</v>
      </c>
      <c r="B2572" s="231">
        <v>4013041</v>
      </c>
      <c r="C2572" s="618">
        <v>45169</v>
      </c>
      <c r="D2572" s="231" t="s">
        <v>4890</v>
      </c>
      <c r="E2572" s="232" t="s">
        <v>5068</v>
      </c>
      <c r="F2572" s="619">
        <v>40</v>
      </c>
      <c r="G2572" s="231" t="s">
        <v>4691</v>
      </c>
      <c r="H2572" s="619"/>
      <c r="I2572" s="619"/>
      <c r="J2572" s="620">
        <v>2033899</v>
      </c>
      <c r="K2572" s="621" t="s">
        <v>991</v>
      </c>
      <c r="L2572" s="621" t="s">
        <v>4891</v>
      </c>
      <c r="M2572" s="621" t="s">
        <v>4899</v>
      </c>
      <c r="N2572" s="621" t="s">
        <v>3942</v>
      </c>
      <c r="O2572" s="621"/>
      <c r="P2572" s="621"/>
    </row>
    <row r="2573" spans="1:16">
      <c r="A2573" s="232" t="s">
        <v>627</v>
      </c>
      <c r="B2573" s="232">
        <v>4013041</v>
      </c>
      <c r="C2573" s="622">
        <v>45176</v>
      </c>
      <c r="D2573" s="232" t="s">
        <v>4890</v>
      </c>
      <c r="E2573" s="232" t="s">
        <v>5068</v>
      </c>
      <c r="F2573" s="233">
        <v>40</v>
      </c>
      <c r="G2573" s="232" t="s">
        <v>4691</v>
      </c>
      <c r="H2573" s="233"/>
      <c r="I2573" s="233"/>
      <c r="J2573" s="623">
        <v>2033899</v>
      </c>
      <c r="K2573" s="624" t="s">
        <v>991</v>
      </c>
      <c r="L2573" s="624" t="s">
        <v>4891</v>
      </c>
      <c r="M2573" s="624" t="s">
        <v>4898</v>
      </c>
      <c r="N2573" s="624" t="s">
        <v>3942</v>
      </c>
      <c r="O2573" s="624"/>
      <c r="P2573" s="624"/>
    </row>
    <row r="2574" spans="1:16">
      <c r="A2574" s="231" t="s">
        <v>627</v>
      </c>
      <c r="B2574" s="231">
        <v>4013041</v>
      </c>
      <c r="C2574" s="618">
        <v>45178</v>
      </c>
      <c r="D2574" s="231" t="s">
        <v>4890</v>
      </c>
      <c r="E2574" s="232" t="s">
        <v>5068</v>
      </c>
      <c r="F2574" s="619">
        <v>40</v>
      </c>
      <c r="G2574" s="231" t="s">
        <v>4691</v>
      </c>
      <c r="H2574" s="619"/>
      <c r="I2574" s="619"/>
      <c r="J2574" s="620">
        <v>2033899</v>
      </c>
      <c r="K2574" s="621" t="s">
        <v>991</v>
      </c>
      <c r="L2574" s="621" t="s">
        <v>4891</v>
      </c>
      <c r="M2574" s="621" t="s">
        <v>4899</v>
      </c>
      <c r="N2574" s="621" t="s">
        <v>3942</v>
      </c>
      <c r="O2574" s="621"/>
      <c r="P2574" s="621"/>
    </row>
    <row r="2575" spans="1:16">
      <c r="A2575" s="232" t="s">
        <v>627</v>
      </c>
      <c r="B2575" s="232">
        <v>4013041</v>
      </c>
      <c r="C2575" s="622">
        <v>45183</v>
      </c>
      <c r="D2575" s="232" t="s">
        <v>4890</v>
      </c>
      <c r="E2575" s="232" t="s">
        <v>5068</v>
      </c>
      <c r="F2575" s="233">
        <v>40</v>
      </c>
      <c r="G2575" s="232" t="s">
        <v>4691</v>
      </c>
      <c r="H2575" s="233"/>
      <c r="I2575" s="233"/>
      <c r="J2575" s="623">
        <v>2033899</v>
      </c>
      <c r="K2575" s="624" t="s">
        <v>991</v>
      </c>
      <c r="L2575" s="624" t="s">
        <v>4891</v>
      </c>
      <c r="M2575" s="624" t="s">
        <v>4898</v>
      </c>
      <c r="N2575" s="624" t="s">
        <v>3942</v>
      </c>
      <c r="O2575" s="624"/>
      <c r="P2575" s="624"/>
    </row>
    <row r="2576" spans="1:16">
      <c r="A2576" s="231" t="s">
        <v>627</v>
      </c>
      <c r="B2576" s="231">
        <v>4013041</v>
      </c>
      <c r="C2576" s="618">
        <v>45190</v>
      </c>
      <c r="D2576" s="231" t="s">
        <v>4890</v>
      </c>
      <c r="E2576" s="232" t="s">
        <v>5068</v>
      </c>
      <c r="F2576" s="619">
        <v>40</v>
      </c>
      <c r="G2576" s="231" t="s">
        <v>4691</v>
      </c>
      <c r="H2576" s="619"/>
      <c r="I2576" s="619"/>
      <c r="J2576" s="620">
        <v>2033899</v>
      </c>
      <c r="K2576" s="621" t="s">
        <v>991</v>
      </c>
      <c r="L2576" s="621" t="s">
        <v>4891</v>
      </c>
      <c r="M2576" s="621" t="s">
        <v>4898</v>
      </c>
      <c r="N2576" s="621" t="s">
        <v>3942</v>
      </c>
      <c r="O2576" s="621"/>
      <c r="P2576" s="621"/>
    </row>
    <row r="2577" spans="1:16">
      <c r="A2577" s="232" t="s">
        <v>627</v>
      </c>
      <c r="B2577" s="232">
        <v>4013041</v>
      </c>
      <c r="C2577" s="622">
        <v>45192</v>
      </c>
      <c r="D2577" s="232" t="s">
        <v>4890</v>
      </c>
      <c r="E2577" s="232" t="s">
        <v>5068</v>
      </c>
      <c r="F2577" s="233">
        <v>40</v>
      </c>
      <c r="G2577" s="232" t="s">
        <v>4691</v>
      </c>
      <c r="H2577" s="233"/>
      <c r="I2577" s="233"/>
      <c r="J2577" s="623">
        <v>2033899</v>
      </c>
      <c r="K2577" s="624" t="s">
        <v>991</v>
      </c>
      <c r="L2577" s="624" t="s">
        <v>4891</v>
      </c>
      <c r="M2577" s="624" t="s">
        <v>4898</v>
      </c>
      <c r="N2577" s="624" t="s">
        <v>3942</v>
      </c>
      <c r="O2577" s="624"/>
      <c r="P2577" s="624"/>
    </row>
    <row r="2578" spans="1:16">
      <c r="A2578" s="231" t="s">
        <v>627</v>
      </c>
      <c r="B2578" s="231">
        <v>4013041</v>
      </c>
      <c r="C2578" s="618">
        <v>45195</v>
      </c>
      <c r="D2578" s="231" t="s">
        <v>4890</v>
      </c>
      <c r="E2578" s="232" t="s">
        <v>5068</v>
      </c>
      <c r="F2578" s="619">
        <v>40</v>
      </c>
      <c r="G2578" s="231" t="s">
        <v>4691</v>
      </c>
      <c r="H2578" s="619"/>
      <c r="I2578" s="619"/>
      <c r="J2578" s="620">
        <v>2033899</v>
      </c>
      <c r="K2578" s="621" t="s">
        <v>991</v>
      </c>
      <c r="L2578" s="621" t="s">
        <v>4891</v>
      </c>
      <c r="M2578" s="621" t="s">
        <v>4899</v>
      </c>
      <c r="N2578" s="621" t="s">
        <v>3942</v>
      </c>
      <c r="O2578" s="621"/>
      <c r="P2578" s="621"/>
    </row>
    <row r="2579" spans="1:16">
      <c r="A2579" s="232" t="s">
        <v>627</v>
      </c>
      <c r="B2579" s="232">
        <v>4013041</v>
      </c>
      <c r="C2579" s="622">
        <v>45195</v>
      </c>
      <c r="D2579" s="232" t="s">
        <v>4890</v>
      </c>
      <c r="E2579" s="232" t="s">
        <v>5068</v>
      </c>
      <c r="F2579" s="233">
        <v>40</v>
      </c>
      <c r="G2579" s="232" t="s">
        <v>4691</v>
      </c>
      <c r="H2579" s="233"/>
      <c r="I2579" s="233"/>
      <c r="J2579" s="623">
        <v>2033899</v>
      </c>
      <c r="K2579" s="624" t="s">
        <v>991</v>
      </c>
      <c r="L2579" s="624" t="s">
        <v>4891</v>
      </c>
      <c r="M2579" s="624" t="s">
        <v>4903</v>
      </c>
      <c r="N2579" s="624" t="s">
        <v>3942</v>
      </c>
      <c r="O2579" s="624"/>
      <c r="P2579" s="624"/>
    </row>
    <row r="2580" spans="1:16">
      <c r="A2580" s="231" t="s">
        <v>627</v>
      </c>
      <c r="B2580" s="231">
        <v>4013041</v>
      </c>
      <c r="C2580" s="618">
        <v>45202</v>
      </c>
      <c r="D2580" s="231" t="s">
        <v>4890</v>
      </c>
      <c r="E2580" s="232" t="s">
        <v>5068</v>
      </c>
      <c r="F2580" s="619">
        <v>40</v>
      </c>
      <c r="G2580" s="231" t="s">
        <v>4691</v>
      </c>
      <c r="H2580" s="619"/>
      <c r="I2580" s="619"/>
      <c r="J2580" s="620">
        <v>2033899</v>
      </c>
      <c r="K2580" s="621" t="s">
        <v>991</v>
      </c>
      <c r="L2580" s="621" t="s">
        <v>4891</v>
      </c>
      <c r="M2580" s="621" t="s">
        <v>4898</v>
      </c>
      <c r="N2580" s="621" t="s">
        <v>3942</v>
      </c>
      <c r="O2580" s="621"/>
      <c r="P2580" s="621"/>
    </row>
    <row r="2581" spans="1:16">
      <c r="A2581" s="232" t="s">
        <v>627</v>
      </c>
      <c r="B2581" s="232">
        <v>4013041</v>
      </c>
      <c r="C2581" s="622">
        <v>45208</v>
      </c>
      <c r="D2581" s="232" t="s">
        <v>4890</v>
      </c>
      <c r="E2581" s="232" t="s">
        <v>5068</v>
      </c>
      <c r="F2581" s="233">
        <v>40</v>
      </c>
      <c r="G2581" s="232" t="s">
        <v>4691</v>
      </c>
      <c r="H2581" s="233"/>
      <c r="I2581" s="233"/>
      <c r="J2581" s="623">
        <v>2033899</v>
      </c>
      <c r="K2581" s="624" t="s">
        <v>991</v>
      </c>
      <c r="L2581" s="624" t="s">
        <v>4891</v>
      </c>
      <c r="M2581" s="624" t="s">
        <v>4899</v>
      </c>
      <c r="N2581" s="624" t="s">
        <v>3942</v>
      </c>
      <c r="O2581" s="624"/>
      <c r="P2581" s="624"/>
    </row>
    <row r="2582" spans="1:16">
      <c r="A2582" s="231" t="s">
        <v>627</v>
      </c>
      <c r="B2582" s="231">
        <v>4013041</v>
      </c>
      <c r="C2582" s="618">
        <v>45209</v>
      </c>
      <c r="D2582" s="231" t="s">
        <v>4890</v>
      </c>
      <c r="E2582" s="232" t="s">
        <v>5068</v>
      </c>
      <c r="F2582" s="619">
        <v>35</v>
      </c>
      <c r="G2582" s="231" t="s">
        <v>4691</v>
      </c>
      <c r="H2582" s="619"/>
      <c r="I2582" s="619"/>
      <c r="J2582" s="620">
        <v>1779661</v>
      </c>
      <c r="K2582" s="621" t="s">
        <v>991</v>
      </c>
      <c r="L2582" s="621" t="s">
        <v>4891</v>
      </c>
      <c r="M2582" s="621" t="s">
        <v>4904</v>
      </c>
      <c r="N2582" s="621" t="s">
        <v>3942</v>
      </c>
      <c r="O2582" s="621"/>
      <c r="P2582" s="621"/>
    </row>
    <row r="2583" spans="1:16">
      <c r="A2583" s="232" t="s">
        <v>627</v>
      </c>
      <c r="B2583" s="232">
        <v>4013041</v>
      </c>
      <c r="C2583" s="622">
        <v>45210</v>
      </c>
      <c r="D2583" s="232" t="s">
        <v>4890</v>
      </c>
      <c r="E2583" s="232" t="s">
        <v>5068</v>
      </c>
      <c r="F2583" s="233">
        <v>40</v>
      </c>
      <c r="G2583" s="232" t="s">
        <v>4691</v>
      </c>
      <c r="H2583" s="233"/>
      <c r="I2583" s="233"/>
      <c r="J2583" s="623">
        <v>2033899</v>
      </c>
      <c r="K2583" s="624" t="s">
        <v>991</v>
      </c>
      <c r="L2583" s="624" t="s">
        <v>4891</v>
      </c>
      <c r="M2583" s="624" t="s">
        <v>4898</v>
      </c>
      <c r="N2583" s="624" t="s">
        <v>3942</v>
      </c>
      <c r="O2583" s="624"/>
      <c r="P2583" s="624"/>
    </row>
    <row r="2584" spans="1:16">
      <c r="A2584" s="231" t="s">
        <v>627</v>
      </c>
      <c r="B2584" s="231">
        <v>4013041</v>
      </c>
      <c r="C2584" s="618">
        <v>45213</v>
      </c>
      <c r="D2584" s="231" t="s">
        <v>4890</v>
      </c>
      <c r="E2584" s="232" t="s">
        <v>5068</v>
      </c>
      <c r="F2584" s="619">
        <v>40</v>
      </c>
      <c r="G2584" s="231" t="s">
        <v>4691</v>
      </c>
      <c r="H2584" s="619"/>
      <c r="I2584" s="619"/>
      <c r="J2584" s="620">
        <v>2033899</v>
      </c>
      <c r="K2584" s="621" t="s">
        <v>991</v>
      </c>
      <c r="L2584" s="621" t="s">
        <v>4891</v>
      </c>
      <c r="M2584" s="621" t="s">
        <v>4903</v>
      </c>
      <c r="N2584" s="621" t="s">
        <v>3942</v>
      </c>
      <c r="O2584" s="621"/>
      <c r="P2584" s="621"/>
    </row>
    <row r="2585" spans="1:16">
      <c r="A2585" s="232" t="s">
        <v>627</v>
      </c>
      <c r="B2585" s="232">
        <v>4013041</v>
      </c>
      <c r="C2585" s="622">
        <v>45215</v>
      </c>
      <c r="D2585" s="232" t="s">
        <v>4890</v>
      </c>
      <c r="E2585" s="232" t="s">
        <v>5068</v>
      </c>
      <c r="F2585" s="233">
        <v>2</v>
      </c>
      <c r="G2585" s="232" t="s">
        <v>4691</v>
      </c>
      <c r="H2585" s="233"/>
      <c r="I2585" s="233"/>
      <c r="J2585" s="623">
        <v>101695</v>
      </c>
      <c r="K2585" s="624" t="s">
        <v>991</v>
      </c>
      <c r="L2585" s="624" t="s">
        <v>4891</v>
      </c>
      <c r="M2585" s="624" t="s">
        <v>4908</v>
      </c>
      <c r="N2585" s="624" t="s">
        <v>3942</v>
      </c>
      <c r="O2585" s="624"/>
      <c r="P2585" s="624"/>
    </row>
    <row r="2586" spans="1:16">
      <c r="A2586" s="231" t="s">
        <v>627</v>
      </c>
      <c r="B2586" s="231">
        <v>4013041</v>
      </c>
      <c r="C2586" s="618">
        <v>45216</v>
      </c>
      <c r="D2586" s="231" t="s">
        <v>4890</v>
      </c>
      <c r="E2586" s="232" t="s">
        <v>5068</v>
      </c>
      <c r="F2586" s="619">
        <v>40</v>
      </c>
      <c r="G2586" s="231" t="s">
        <v>4691</v>
      </c>
      <c r="H2586" s="619"/>
      <c r="I2586" s="619"/>
      <c r="J2586" s="620">
        <v>2033899</v>
      </c>
      <c r="K2586" s="621" t="s">
        <v>991</v>
      </c>
      <c r="L2586" s="621" t="s">
        <v>4891</v>
      </c>
      <c r="M2586" s="621" t="s">
        <v>4898</v>
      </c>
      <c r="N2586" s="621" t="s">
        <v>3942</v>
      </c>
      <c r="O2586" s="621"/>
      <c r="P2586" s="621"/>
    </row>
    <row r="2587" spans="1:16">
      <c r="A2587" s="232" t="s">
        <v>627</v>
      </c>
      <c r="B2587" s="232">
        <v>4013041</v>
      </c>
      <c r="C2587" s="622">
        <v>45223</v>
      </c>
      <c r="D2587" s="232" t="s">
        <v>4890</v>
      </c>
      <c r="E2587" s="232" t="s">
        <v>5068</v>
      </c>
      <c r="F2587" s="233">
        <v>40</v>
      </c>
      <c r="G2587" s="232" t="s">
        <v>4691</v>
      </c>
      <c r="H2587" s="233"/>
      <c r="I2587" s="233"/>
      <c r="J2587" s="623">
        <v>2033899</v>
      </c>
      <c r="K2587" s="624" t="s">
        <v>991</v>
      </c>
      <c r="L2587" s="624" t="s">
        <v>4891</v>
      </c>
      <c r="M2587" s="624" t="s">
        <v>4898</v>
      </c>
      <c r="N2587" s="624" t="s">
        <v>3942</v>
      </c>
      <c r="O2587" s="624"/>
      <c r="P2587" s="624"/>
    </row>
    <row r="2588" spans="1:16">
      <c r="A2588" s="231" t="s">
        <v>627</v>
      </c>
      <c r="B2588" s="231">
        <v>4013041</v>
      </c>
      <c r="C2588" s="618">
        <v>45232</v>
      </c>
      <c r="D2588" s="231" t="s">
        <v>4890</v>
      </c>
      <c r="E2588" s="232" t="s">
        <v>5068</v>
      </c>
      <c r="F2588" s="619">
        <v>40</v>
      </c>
      <c r="G2588" s="231" t="s">
        <v>4691</v>
      </c>
      <c r="H2588" s="619"/>
      <c r="I2588" s="619"/>
      <c r="J2588" s="620">
        <v>2033899</v>
      </c>
      <c r="K2588" s="621" t="s">
        <v>991</v>
      </c>
      <c r="L2588" s="621" t="s">
        <v>4891</v>
      </c>
      <c r="M2588" s="621" t="s">
        <v>4899</v>
      </c>
      <c r="N2588" s="621" t="s">
        <v>3942</v>
      </c>
      <c r="O2588" s="621"/>
      <c r="P2588" s="621"/>
    </row>
    <row r="2589" spans="1:16">
      <c r="A2589" s="232" t="s">
        <v>627</v>
      </c>
      <c r="B2589" s="232">
        <v>4013041</v>
      </c>
      <c r="C2589" s="622">
        <v>45233</v>
      </c>
      <c r="D2589" s="232" t="s">
        <v>4890</v>
      </c>
      <c r="E2589" s="232" t="s">
        <v>5068</v>
      </c>
      <c r="F2589" s="233">
        <v>40</v>
      </c>
      <c r="G2589" s="232" t="s">
        <v>4691</v>
      </c>
      <c r="H2589" s="233"/>
      <c r="I2589" s="233"/>
      <c r="J2589" s="623">
        <v>2033899</v>
      </c>
      <c r="K2589" s="624" t="s">
        <v>991</v>
      </c>
      <c r="L2589" s="624" t="s">
        <v>4891</v>
      </c>
      <c r="M2589" s="624" t="s">
        <v>4898</v>
      </c>
      <c r="N2589" s="624" t="s">
        <v>3942</v>
      </c>
      <c r="O2589" s="624"/>
      <c r="P2589" s="624"/>
    </row>
    <row r="2590" spans="1:16">
      <c r="A2590" s="231" t="s">
        <v>627</v>
      </c>
      <c r="B2590" s="231">
        <v>4013041</v>
      </c>
      <c r="C2590" s="618">
        <v>45239</v>
      </c>
      <c r="D2590" s="231" t="s">
        <v>4890</v>
      </c>
      <c r="E2590" s="232" t="s">
        <v>5068</v>
      </c>
      <c r="F2590" s="619">
        <v>40</v>
      </c>
      <c r="G2590" s="231" t="s">
        <v>4691</v>
      </c>
      <c r="H2590" s="619"/>
      <c r="I2590" s="619"/>
      <c r="J2590" s="620">
        <v>2033899</v>
      </c>
      <c r="K2590" s="621" t="s">
        <v>991</v>
      </c>
      <c r="L2590" s="621" t="s">
        <v>4891</v>
      </c>
      <c r="M2590" s="621" t="s">
        <v>4898</v>
      </c>
      <c r="N2590" s="621" t="s">
        <v>3942</v>
      </c>
      <c r="O2590" s="621"/>
      <c r="P2590" s="621"/>
    </row>
    <row r="2591" spans="1:16">
      <c r="A2591" s="232" t="s">
        <v>627</v>
      </c>
      <c r="B2591" s="232">
        <v>4013041</v>
      </c>
      <c r="C2591" s="622">
        <v>45239</v>
      </c>
      <c r="D2591" s="232" t="s">
        <v>4890</v>
      </c>
      <c r="E2591" s="232" t="s">
        <v>5068</v>
      </c>
      <c r="F2591" s="233">
        <v>40</v>
      </c>
      <c r="G2591" s="232" t="s">
        <v>4691</v>
      </c>
      <c r="H2591" s="233"/>
      <c r="I2591" s="233"/>
      <c r="J2591" s="623">
        <v>2033899</v>
      </c>
      <c r="K2591" s="624" t="s">
        <v>991</v>
      </c>
      <c r="L2591" s="624" t="s">
        <v>4891</v>
      </c>
      <c r="M2591" s="624" t="s">
        <v>4899</v>
      </c>
      <c r="N2591" s="624" t="s">
        <v>3942</v>
      </c>
      <c r="O2591" s="624"/>
      <c r="P2591" s="624"/>
    </row>
    <row r="2592" spans="1:16">
      <c r="A2592" s="231" t="s">
        <v>627</v>
      </c>
      <c r="B2592" s="231">
        <v>4013041</v>
      </c>
      <c r="C2592" s="618">
        <v>45245</v>
      </c>
      <c r="D2592" s="231" t="s">
        <v>4890</v>
      </c>
      <c r="E2592" s="232" t="s">
        <v>5068</v>
      </c>
      <c r="F2592" s="619">
        <v>40</v>
      </c>
      <c r="G2592" s="231" t="s">
        <v>4691</v>
      </c>
      <c r="H2592" s="619"/>
      <c r="I2592" s="619"/>
      <c r="J2592" s="620">
        <v>2033899</v>
      </c>
      <c r="K2592" s="621" t="s">
        <v>991</v>
      </c>
      <c r="L2592" s="621" t="s">
        <v>4891</v>
      </c>
      <c r="M2592" s="621" t="s">
        <v>4898</v>
      </c>
      <c r="N2592" s="621" t="s">
        <v>3942</v>
      </c>
      <c r="O2592" s="621"/>
      <c r="P2592" s="621"/>
    </row>
    <row r="2593" spans="1:16">
      <c r="A2593" s="232" t="s">
        <v>627</v>
      </c>
      <c r="B2593" s="232">
        <v>4013041</v>
      </c>
      <c r="C2593" s="622">
        <v>45245</v>
      </c>
      <c r="D2593" s="232" t="s">
        <v>4890</v>
      </c>
      <c r="E2593" s="232" t="s">
        <v>5068</v>
      </c>
      <c r="F2593" s="233">
        <v>2.5</v>
      </c>
      <c r="G2593" s="232" t="s">
        <v>4691</v>
      </c>
      <c r="H2593" s="233"/>
      <c r="I2593" s="233"/>
      <c r="J2593" s="623">
        <v>127119</v>
      </c>
      <c r="K2593" s="624" t="s">
        <v>991</v>
      </c>
      <c r="L2593" s="624" t="s">
        <v>4891</v>
      </c>
      <c r="M2593" s="624" t="s">
        <v>4908</v>
      </c>
      <c r="N2593" s="624" t="s">
        <v>3942</v>
      </c>
      <c r="O2593" s="624"/>
      <c r="P2593" s="624"/>
    </row>
    <row r="2594" spans="1:16">
      <c r="A2594" s="231" t="s">
        <v>627</v>
      </c>
      <c r="B2594" s="231">
        <v>4013041</v>
      </c>
      <c r="C2594" s="618">
        <v>45247</v>
      </c>
      <c r="D2594" s="231" t="s">
        <v>4890</v>
      </c>
      <c r="E2594" s="232" t="s">
        <v>5068</v>
      </c>
      <c r="F2594" s="619">
        <v>40</v>
      </c>
      <c r="G2594" s="231" t="s">
        <v>4691</v>
      </c>
      <c r="H2594" s="619"/>
      <c r="I2594" s="619"/>
      <c r="J2594" s="620">
        <v>2033899</v>
      </c>
      <c r="K2594" s="621" t="s">
        <v>991</v>
      </c>
      <c r="L2594" s="621" t="s">
        <v>4891</v>
      </c>
      <c r="M2594" s="621" t="s">
        <v>4903</v>
      </c>
      <c r="N2594" s="621" t="s">
        <v>3942</v>
      </c>
      <c r="O2594" s="621"/>
      <c r="P2594" s="621"/>
    </row>
    <row r="2595" spans="1:16">
      <c r="A2595" s="232" t="s">
        <v>627</v>
      </c>
      <c r="B2595" s="232">
        <v>4013041</v>
      </c>
      <c r="C2595" s="622">
        <v>45250</v>
      </c>
      <c r="D2595" s="232" t="s">
        <v>4890</v>
      </c>
      <c r="E2595" s="232" t="s">
        <v>5068</v>
      </c>
      <c r="F2595" s="233">
        <v>35</v>
      </c>
      <c r="G2595" s="232" t="s">
        <v>4691</v>
      </c>
      <c r="H2595" s="233"/>
      <c r="I2595" s="233"/>
      <c r="J2595" s="623">
        <v>1779661</v>
      </c>
      <c r="K2595" s="624" t="s">
        <v>991</v>
      </c>
      <c r="L2595" s="624" t="s">
        <v>4891</v>
      </c>
      <c r="M2595" s="624" t="s">
        <v>4904</v>
      </c>
      <c r="N2595" s="624" t="s">
        <v>3942</v>
      </c>
      <c r="O2595" s="624"/>
      <c r="P2595" s="624"/>
    </row>
    <row r="2596" spans="1:16">
      <c r="A2596" s="231" t="s">
        <v>627</v>
      </c>
      <c r="B2596" s="231">
        <v>4013041</v>
      </c>
      <c r="C2596" s="618">
        <v>45251</v>
      </c>
      <c r="D2596" s="231" t="s">
        <v>4890</v>
      </c>
      <c r="E2596" s="232" t="s">
        <v>5068</v>
      </c>
      <c r="F2596" s="619">
        <v>1.5</v>
      </c>
      <c r="G2596" s="231" t="s">
        <v>4691</v>
      </c>
      <c r="H2596" s="619"/>
      <c r="I2596" s="619"/>
      <c r="J2596" s="620">
        <v>76271</v>
      </c>
      <c r="K2596" s="621" t="s">
        <v>991</v>
      </c>
      <c r="L2596" s="621" t="s">
        <v>4891</v>
      </c>
      <c r="M2596" s="621" t="s">
        <v>4902</v>
      </c>
      <c r="N2596" s="621" t="s">
        <v>3942</v>
      </c>
      <c r="O2596" s="621"/>
      <c r="P2596" s="621"/>
    </row>
    <row r="2597" spans="1:16">
      <c r="A2597" s="232" t="s">
        <v>627</v>
      </c>
      <c r="B2597" s="232">
        <v>4013041</v>
      </c>
      <c r="C2597" s="622">
        <v>45251</v>
      </c>
      <c r="D2597" s="232" t="s">
        <v>4890</v>
      </c>
      <c r="E2597" s="232" t="s">
        <v>5068</v>
      </c>
      <c r="F2597" s="233">
        <v>40</v>
      </c>
      <c r="G2597" s="232" t="s">
        <v>4691</v>
      </c>
      <c r="H2597" s="233"/>
      <c r="I2597" s="233"/>
      <c r="J2597" s="623">
        <v>2033899</v>
      </c>
      <c r="K2597" s="624" t="s">
        <v>991</v>
      </c>
      <c r="L2597" s="624" t="s">
        <v>4891</v>
      </c>
      <c r="M2597" s="624" t="s">
        <v>4898</v>
      </c>
      <c r="N2597" s="624" t="s">
        <v>3942</v>
      </c>
      <c r="O2597" s="624"/>
      <c r="P2597" s="624"/>
    </row>
    <row r="2598" spans="1:16">
      <c r="A2598" s="231" t="s">
        <v>627</v>
      </c>
      <c r="B2598" s="231">
        <v>4013041</v>
      </c>
      <c r="C2598" s="618">
        <v>45251</v>
      </c>
      <c r="D2598" s="231" t="s">
        <v>4890</v>
      </c>
      <c r="E2598" s="232" t="s">
        <v>5068</v>
      </c>
      <c r="F2598" s="619">
        <v>40</v>
      </c>
      <c r="G2598" s="231" t="s">
        <v>4691</v>
      </c>
      <c r="H2598" s="619"/>
      <c r="I2598" s="619"/>
      <c r="J2598" s="620">
        <v>2033899</v>
      </c>
      <c r="K2598" s="621" t="s">
        <v>991</v>
      </c>
      <c r="L2598" s="621" t="s">
        <v>4891</v>
      </c>
      <c r="M2598" s="621" t="s">
        <v>4899</v>
      </c>
      <c r="N2598" s="621" t="s">
        <v>3942</v>
      </c>
      <c r="O2598" s="621"/>
      <c r="P2598" s="621"/>
    </row>
    <row r="2599" spans="1:16">
      <c r="A2599" s="232" t="s">
        <v>627</v>
      </c>
      <c r="B2599" s="232">
        <v>4013041</v>
      </c>
      <c r="C2599" s="622">
        <v>45254</v>
      </c>
      <c r="D2599" s="232" t="s">
        <v>4890</v>
      </c>
      <c r="E2599" s="232" t="s">
        <v>5068</v>
      </c>
      <c r="F2599" s="233">
        <v>40</v>
      </c>
      <c r="G2599" s="232" t="s">
        <v>4691</v>
      </c>
      <c r="H2599" s="233"/>
      <c r="I2599" s="233"/>
      <c r="J2599" s="623">
        <v>2033899</v>
      </c>
      <c r="K2599" s="624" t="s">
        <v>991</v>
      </c>
      <c r="L2599" s="624" t="s">
        <v>4891</v>
      </c>
      <c r="M2599" s="624" t="s">
        <v>4898</v>
      </c>
      <c r="N2599" s="624" t="s">
        <v>3942</v>
      </c>
      <c r="O2599" s="624"/>
      <c r="P2599" s="624"/>
    </row>
    <row r="2600" spans="1:16">
      <c r="A2600" s="231" t="s">
        <v>627</v>
      </c>
      <c r="B2600" s="231">
        <v>4013041</v>
      </c>
      <c r="C2600" s="618">
        <v>45259</v>
      </c>
      <c r="D2600" s="231" t="s">
        <v>4890</v>
      </c>
      <c r="E2600" s="232" t="s">
        <v>5068</v>
      </c>
      <c r="F2600" s="619">
        <v>40</v>
      </c>
      <c r="G2600" s="231" t="s">
        <v>4691</v>
      </c>
      <c r="H2600" s="619"/>
      <c r="I2600" s="619"/>
      <c r="J2600" s="620">
        <v>2033899</v>
      </c>
      <c r="K2600" s="621" t="s">
        <v>991</v>
      </c>
      <c r="L2600" s="621" t="s">
        <v>4891</v>
      </c>
      <c r="M2600" s="621" t="s">
        <v>4898</v>
      </c>
      <c r="N2600" s="621" t="s">
        <v>3942</v>
      </c>
      <c r="O2600" s="621"/>
      <c r="P2600" s="621"/>
    </row>
    <row r="2601" spans="1:16">
      <c r="A2601" s="232" t="s">
        <v>627</v>
      </c>
      <c r="B2601" s="232">
        <v>4013041</v>
      </c>
      <c r="C2601" s="622">
        <v>45261</v>
      </c>
      <c r="D2601" s="232" t="s">
        <v>4890</v>
      </c>
      <c r="E2601" s="232" t="s">
        <v>5068</v>
      </c>
      <c r="F2601" s="233">
        <v>140</v>
      </c>
      <c r="G2601" s="232" t="s">
        <v>4691</v>
      </c>
      <c r="H2601" s="233"/>
      <c r="I2601" s="233"/>
      <c r="J2601" s="623">
        <v>7118644</v>
      </c>
      <c r="K2601" s="624" t="s">
        <v>991</v>
      </c>
      <c r="L2601" s="624" t="s">
        <v>4891</v>
      </c>
      <c r="M2601" s="624" t="s">
        <v>4905</v>
      </c>
      <c r="N2601" s="624" t="s">
        <v>3942</v>
      </c>
      <c r="O2601" s="624"/>
      <c r="P2601" s="624"/>
    </row>
    <row r="2602" spans="1:16">
      <c r="A2602" s="231" t="s">
        <v>627</v>
      </c>
      <c r="B2602" s="231">
        <v>4013041</v>
      </c>
      <c r="C2602" s="618">
        <v>45262</v>
      </c>
      <c r="D2602" s="231" t="s">
        <v>4890</v>
      </c>
      <c r="E2602" s="232" t="s">
        <v>5068</v>
      </c>
      <c r="F2602" s="619">
        <v>40</v>
      </c>
      <c r="G2602" s="231" t="s">
        <v>4691</v>
      </c>
      <c r="H2602" s="619"/>
      <c r="I2602" s="619"/>
      <c r="J2602" s="620">
        <v>2033899</v>
      </c>
      <c r="K2602" s="621" t="s">
        <v>991</v>
      </c>
      <c r="L2602" s="621" t="s">
        <v>4891</v>
      </c>
      <c r="M2602" s="621" t="s">
        <v>4898</v>
      </c>
      <c r="N2602" s="621" t="s">
        <v>3942</v>
      </c>
      <c r="O2602" s="621"/>
      <c r="P2602" s="621"/>
    </row>
    <row r="2603" spans="1:16">
      <c r="A2603" s="232" t="s">
        <v>627</v>
      </c>
      <c r="B2603" s="232">
        <v>4013041</v>
      </c>
      <c r="C2603" s="622">
        <v>45266</v>
      </c>
      <c r="D2603" s="232" t="s">
        <v>4890</v>
      </c>
      <c r="E2603" s="232" t="s">
        <v>5068</v>
      </c>
      <c r="F2603" s="233">
        <v>40</v>
      </c>
      <c r="G2603" s="232" t="s">
        <v>4691</v>
      </c>
      <c r="H2603" s="233"/>
      <c r="I2603" s="233"/>
      <c r="J2603" s="623">
        <v>2033899</v>
      </c>
      <c r="K2603" s="624" t="s">
        <v>991</v>
      </c>
      <c r="L2603" s="624" t="s">
        <v>4891</v>
      </c>
      <c r="M2603" s="624" t="s">
        <v>4899</v>
      </c>
      <c r="N2603" s="624" t="s">
        <v>3942</v>
      </c>
      <c r="O2603" s="624"/>
      <c r="P2603" s="624"/>
    </row>
    <row r="2604" spans="1:16">
      <c r="A2604" s="231" t="s">
        <v>627</v>
      </c>
      <c r="B2604" s="231">
        <v>4013041</v>
      </c>
      <c r="C2604" s="618">
        <v>45268</v>
      </c>
      <c r="D2604" s="231" t="s">
        <v>4890</v>
      </c>
      <c r="E2604" s="232" t="s">
        <v>5068</v>
      </c>
      <c r="F2604" s="619">
        <v>40</v>
      </c>
      <c r="G2604" s="231" t="s">
        <v>4691</v>
      </c>
      <c r="H2604" s="619"/>
      <c r="I2604" s="619"/>
      <c r="J2604" s="620">
        <v>2033899</v>
      </c>
      <c r="K2604" s="621" t="s">
        <v>991</v>
      </c>
      <c r="L2604" s="621" t="s">
        <v>4891</v>
      </c>
      <c r="M2604" s="621" t="s">
        <v>4898</v>
      </c>
      <c r="N2604" s="621" t="s">
        <v>3942</v>
      </c>
      <c r="O2604" s="621"/>
      <c r="P2604" s="621"/>
    </row>
    <row r="2605" spans="1:16">
      <c r="A2605" s="232" t="s">
        <v>627</v>
      </c>
      <c r="B2605" s="232">
        <v>4013041</v>
      </c>
      <c r="C2605" s="622">
        <v>45273</v>
      </c>
      <c r="D2605" s="232" t="s">
        <v>4890</v>
      </c>
      <c r="E2605" s="232" t="s">
        <v>5068</v>
      </c>
      <c r="F2605" s="233">
        <v>40</v>
      </c>
      <c r="G2605" s="232" t="s">
        <v>4691</v>
      </c>
      <c r="H2605" s="233"/>
      <c r="I2605" s="233"/>
      <c r="J2605" s="623">
        <v>2033899</v>
      </c>
      <c r="K2605" s="624" t="s">
        <v>991</v>
      </c>
      <c r="L2605" s="624" t="s">
        <v>4891</v>
      </c>
      <c r="M2605" s="624" t="s">
        <v>4898</v>
      </c>
      <c r="N2605" s="624" t="s">
        <v>3942</v>
      </c>
      <c r="O2605" s="624"/>
      <c r="P2605" s="624"/>
    </row>
    <row r="2606" spans="1:16">
      <c r="A2606" s="231" t="s">
        <v>627</v>
      </c>
      <c r="B2606" s="231">
        <v>4013041</v>
      </c>
      <c r="C2606" s="618">
        <v>45276</v>
      </c>
      <c r="D2606" s="231" t="s">
        <v>4890</v>
      </c>
      <c r="E2606" s="232" t="s">
        <v>5068</v>
      </c>
      <c r="F2606" s="619">
        <v>40</v>
      </c>
      <c r="G2606" s="231" t="s">
        <v>4691</v>
      </c>
      <c r="H2606" s="619"/>
      <c r="I2606" s="619"/>
      <c r="J2606" s="620">
        <v>2033899</v>
      </c>
      <c r="K2606" s="621" t="s">
        <v>991</v>
      </c>
      <c r="L2606" s="621" t="s">
        <v>4891</v>
      </c>
      <c r="M2606" s="621" t="s">
        <v>4899</v>
      </c>
      <c r="N2606" s="621" t="s">
        <v>3942</v>
      </c>
      <c r="O2606" s="621"/>
      <c r="P2606" s="621"/>
    </row>
    <row r="2607" spans="1:16">
      <c r="A2607" s="232" t="s">
        <v>627</v>
      </c>
      <c r="B2607" s="232">
        <v>4013041</v>
      </c>
      <c r="C2607" s="622">
        <v>45278</v>
      </c>
      <c r="D2607" s="232" t="s">
        <v>4890</v>
      </c>
      <c r="E2607" s="232" t="s">
        <v>5068</v>
      </c>
      <c r="F2607" s="233">
        <v>40</v>
      </c>
      <c r="G2607" s="232" t="s">
        <v>4691</v>
      </c>
      <c r="H2607" s="233"/>
      <c r="I2607" s="233"/>
      <c r="J2607" s="623">
        <v>2033899</v>
      </c>
      <c r="K2607" s="624" t="s">
        <v>991</v>
      </c>
      <c r="L2607" s="624" t="s">
        <v>4891</v>
      </c>
      <c r="M2607" s="624" t="s">
        <v>4898</v>
      </c>
      <c r="N2607" s="624" t="s">
        <v>3942</v>
      </c>
      <c r="O2607" s="624"/>
      <c r="P2607" s="624"/>
    </row>
    <row r="2608" spans="1:16">
      <c r="A2608" s="231" t="s">
        <v>627</v>
      </c>
      <c r="B2608" s="231">
        <v>4013041</v>
      </c>
      <c r="C2608" s="618">
        <v>45279</v>
      </c>
      <c r="D2608" s="231" t="s">
        <v>4890</v>
      </c>
      <c r="E2608" s="232" t="s">
        <v>5068</v>
      </c>
      <c r="F2608" s="619">
        <v>150</v>
      </c>
      <c r="G2608" s="231" t="s">
        <v>4691</v>
      </c>
      <c r="H2608" s="619"/>
      <c r="I2608" s="619"/>
      <c r="J2608" s="620">
        <v>9000000</v>
      </c>
      <c r="K2608" s="621" t="s">
        <v>991</v>
      </c>
      <c r="L2608" s="621" t="s">
        <v>4891</v>
      </c>
      <c r="M2608" s="621" t="s">
        <v>4901</v>
      </c>
      <c r="N2608" s="621" t="s">
        <v>3942</v>
      </c>
      <c r="O2608" s="621"/>
      <c r="P2608" s="621"/>
    </row>
    <row r="2609" spans="1:16">
      <c r="A2609" s="232" t="s">
        <v>627</v>
      </c>
      <c r="B2609" s="232">
        <v>4013041</v>
      </c>
      <c r="C2609" s="622">
        <v>45280</v>
      </c>
      <c r="D2609" s="232" t="s">
        <v>4890</v>
      </c>
      <c r="E2609" s="232" t="s">
        <v>5068</v>
      </c>
      <c r="F2609" s="233">
        <v>40</v>
      </c>
      <c r="G2609" s="232" t="s">
        <v>4691</v>
      </c>
      <c r="H2609" s="233"/>
      <c r="I2609" s="233"/>
      <c r="J2609" s="623">
        <v>2033899</v>
      </c>
      <c r="K2609" s="624" t="s">
        <v>991</v>
      </c>
      <c r="L2609" s="624" t="s">
        <v>4891</v>
      </c>
      <c r="M2609" s="624" t="s">
        <v>4899</v>
      </c>
      <c r="N2609" s="624" t="s">
        <v>3942</v>
      </c>
      <c r="O2609" s="624"/>
      <c r="P2609" s="624"/>
    </row>
    <row r="2610" spans="1:16">
      <c r="A2610" s="231" t="s">
        <v>627</v>
      </c>
      <c r="B2610" s="231">
        <v>4013041</v>
      </c>
      <c r="C2610" s="618">
        <v>45281</v>
      </c>
      <c r="D2610" s="231" t="s">
        <v>4890</v>
      </c>
      <c r="E2610" s="232" t="s">
        <v>5068</v>
      </c>
      <c r="F2610" s="619">
        <v>40</v>
      </c>
      <c r="G2610" s="231" t="s">
        <v>4691</v>
      </c>
      <c r="H2610" s="619"/>
      <c r="I2610" s="619"/>
      <c r="J2610" s="620">
        <v>2033899</v>
      </c>
      <c r="K2610" s="621" t="s">
        <v>991</v>
      </c>
      <c r="L2610" s="621" t="s">
        <v>4891</v>
      </c>
      <c r="M2610" s="621" t="s">
        <v>4898</v>
      </c>
      <c r="N2610" s="621" t="s">
        <v>3942</v>
      </c>
      <c r="O2610" s="621"/>
      <c r="P2610" s="621"/>
    </row>
    <row r="2611" spans="1:16">
      <c r="A2611" s="232" t="s">
        <v>627</v>
      </c>
      <c r="B2611" s="232">
        <v>4013041</v>
      </c>
      <c r="C2611" s="622">
        <v>45281</v>
      </c>
      <c r="D2611" s="232" t="s">
        <v>4890</v>
      </c>
      <c r="E2611" s="232" t="s">
        <v>5068</v>
      </c>
      <c r="F2611" s="233">
        <v>1.5</v>
      </c>
      <c r="G2611" s="232" t="s">
        <v>4691</v>
      </c>
      <c r="H2611" s="233"/>
      <c r="I2611" s="233"/>
      <c r="J2611" s="623">
        <v>76271</v>
      </c>
      <c r="K2611" s="624" t="s">
        <v>991</v>
      </c>
      <c r="L2611" s="624" t="s">
        <v>4891</v>
      </c>
      <c r="M2611" s="624" t="s">
        <v>4908</v>
      </c>
      <c r="N2611" s="624" t="s">
        <v>3942</v>
      </c>
      <c r="O2611" s="624"/>
      <c r="P2611" s="624"/>
    </row>
    <row r="2612" spans="1:16">
      <c r="A2612" s="231" t="s">
        <v>627</v>
      </c>
      <c r="B2612" s="231">
        <v>4013041</v>
      </c>
      <c r="C2612" s="618">
        <v>45288</v>
      </c>
      <c r="D2612" s="231" t="s">
        <v>4890</v>
      </c>
      <c r="E2612" s="232" t="s">
        <v>5068</v>
      </c>
      <c r="F2612" s="619">
        <v>2.5</v>
      </c>
      <c r="G2612" s="231" t="s">
        <v>4691</v>
      </c>
      <c r="H2612" s="619"/>
      <c r="I2612" s="619"/>
      <c r="J2612" s="620">
        <v>127119</v>
      </c>
      <c r="K2612" s="621" t="s">
        <v>991</v>
      </c>
      <c r="L2612" s="621" t="s">
        <v>4891</v>
      </c>
      <c r="M2612" s="621" t="s">
        <v>4908</v>
      </c>
      <c r="N2612" s="621" t="s">
        <v>3942</v>
      </c>
      <c r="O2612" s="621"/>
      <c r="P2612" s="621"/>
    </row>
    <row r="2613" spans="1:16">
      <c r="A2613" s="232" t="s">
        <v>627</v>
      </c>
      <c r="B2613" s="232">
        <v>4013041</v>
      </c>
      <c r="C2613" s="622">
        <v>45290</v>
      </c>
      <c r="D2613" s="232" t="s">
        <v>4890</v>
      </c>
      <c r="E2613" s="232" t="s">
        <v>5068</v>
      </c>
      <c r="F2613" s="233">
        <v>40</v>
      </c>
      <c r="G2613" s="232" t="s">
        <v>4691</v>
      </c>
      <c r="H2613" s="233"/>
      <c r="I2613" s="233"/>
      <c r="J2613" s="623">
        <v>2033899</v>
      </c>
      <c r="K2613" s="624" t="s">
        <v>991</v>
      </c>
      <c r="L2613" s="624" t="s">
        <v>4891</v>
      </c>
      <c r="M2613" s="624" t="s">
        <v>4898</v>
      </c>
      <c r="N2613" s="624" t="s">
        <v>3942</v>
      </c>
      <c r="O2613" s="624"/>
      <c r="P2613" s="624"/>
    </row>
    <row r="2614" spans="1:16">
      <c r="A2614" s="231" t="s">
        <v>627</v>
      </c>
      <c r="B2614" s="231">
        <v>4013041</v>
      </c>
      <c r="C2614" s="618">
        <v>45290</v>
      </c>
      <c r="D2614" s="231" t="s">
        <v>4890</v>
      </c>
      <c r="E2614" s="232" t="s">
        <v>5068</v>
      </c>
      <c r="F2614" s="619">
        <v>35</v>
      </c>
      <c r="G2614" s="231" t="s">
        <v>4691</v>
      </c>
      <c r="H2614" s="619"/>
      <c r="I2614" s="619"/>
      <c r="J2614" s="620">
        <v>1779661</v>
      </c>
      <c r="K2614" s="621" t="s">
        <v>991</v>
      </c>
      <c r="L2614" s="621" t="s">
        <v>4891</v>
      </c>
      <c r="M2614" s="621" t="s">
        <v>4904</v>
      </c>
      <c r="N2614" s="621" t="s">
        <v>3942</v>
      </c>
      <c r="O2614" s="621"/>
      <c r="P2614" s="621"/>
    </row>
    <row r="2615" spans="1:16">
      <c r="A2615" s="232" t="s">
        <v>627</v>
      </c>
      <c r="B2615" s="232">
        <v>4013041</v>
      </c>
      <c r="C2615" s="622">
        <v>44955</v>
      </c>
      <c r="D2615" s="232" t="s">
        <v>4890</v>
      </c>
      <c r="E2615" s="232" t="s">
        <v>5068</v>
      </c>
      <c r="F2615" s="233">
        <v>7000</v>
      </c>
      <c r="G2615" s="232" t="s">
        <v>4691</v>
      </c>
      <c r="H2615" s="233"/>
      <c r="I2615" s="233">
        <v>1099000</v>
      </c>
      <c r="J2615" s="623">
        <v>663235510</v>
      </c>
      <c r="K2615" s="624" t="s">
        <v>991</v>
      </c>
      <c r="L2615" s="624" t="s">
        <v>4891</v>
      </c>
      <c r="M2615" s="624" t="s">
        <v>4909</v>
      </c>
      <c r="N2615" s="624" t="s">
        <v>4206</v>
      </c>
      <c r="O2615" s="624"/>
      <c r="P2615" s="624"/>
    </row>
    <row r="2616" spans="1:16">
      <c r="A2616" s="231" t="s">
        <v>627</v>
      </c>
      <c r="B2616" s="231">
        <v>4013041</v>
      </c>
      <c r="C2616" s="618">
        <v>44955</v>
      </c>
      <c r="D2616" s="231" t="s">
        <v>4890</v>
      </c>
      <c r="E2616" s="232" t="s">
        <v>5068</v>
      </c>
      <c r="F2616" s="619">
        <v>9000</v>
      </c>
      <c r="G2616" s="231" t="s">
        <v>4691</v>
      </c>
      <c r="H2616" s="619"/>
      <c r="I2616" s="619">
        <v>1413000</v>
      </c>
      <c r="J2616" s="620">
        <v>852731370</v>
      </c>
      <c r="K2616" s="621" t="s">
        <v>991</v>
      </c>
      <c r="L2616" s="621" t="s">
        <v>4891</v>
      </c>
      <c r="M2616" s="621" t="s">
        <v>4909</v>
      </c>
      <c r="N2616" s="621" t="s">
        <v>4206</v>
      </c>
      <c r="O2616" s="621"/>
      <c r="P2616" s="621"/>
    </row>
    <row r="2617" spans="1:16">
      <c r="A2617" s="232" t="s">
        <v>627</v>
      </c>
      <c r="B2617" s="232">
        <v>4013041</v>
      </c>
      <c r="C2617" s="622">
        <v>44955</v>
      </c>
      <c r="D2617" s="232" t="s">
        <v>4890</v>
      </c>
      <c r="E2617" s="232" t="s">
        <v>5068</v>
      </c>
      <c r="F2617" s="233">
        <v>9500</v>
      </c>
      <c r="G2617" s="232" t="s">
        <v>4691</v>
      </c>
      <c r="H2617" s="233"/>
      <c r="I2617" s="233">
        <v>1491500</v>
      </c>
      <c r="J2617" s="623">
        <v>900105335</v>
      </c>
      <c r="K2617" s="624" t="s">
        <v>991</v>
      </c>
      <c r="L2617" s="624" t="s">
        <v>4891</v>
      </c>
      <c r="M2617" s="624" t="s">
        <v>4910</v>
      </c>
      <c r="N2617" s="624" t="s">
        <v>4206</v>
      </c>
      <c r="O2617" s="624"/>
      <c r="P2617" s="624"/>
    </row>
    <row r="2618" spans="1:16">
      <c r="A2618" s="231" t="s">
        <v>627</v>
      </c>
      <c r="B2618" s="231">
        <v>4013041</v>
      </c>
      <c r="C2618" s="618">
        <v>44955</v>
      </c>
      <c r="D2618" s="231" t="s">
        <v>4890</v>
      </c>
      <c r="E2618" s="232" t="s">
        <v>5068</v>
      </c>
      <c r="F2618" s="619">
        <v>7508.0410000000002</v>
      </c>
      <c r="G2618" s="231" t="s">
        <v>4691</v>
      </c>
      <c r="H2618" s="619"/>
      <c r="I2618" s="619">
        <v>1178762.3999999999</v>
      </c>
      <c r="J2618" s="620">
        <v>711371321</v>
      </c>
      <c r="K2618" s="621" t="s">
        <v>991</v>
      </c>
      <c r="L2618" s="621" t="s">
        <v>4891</v>
      </c>
      <c r="M2618" s="621" t="s">
        <v>4910</v>
      </c>
      <c r="N2618" s="621" t="s">
        <v>4206</v>
      </c>
      <c r="O2618" s="621"/>
      <c r="P2618" s="621"/>
    </row>
    <row r="2619" spans="1:16">
      <c r="A2619" s="232" t="s">
        <v>627</v>
      </c>
      <c r="B2619" s="232">
        <v>4013041</v>
      </c>
      <c r="C2619" s="622">
        <v>44994</v>
      </c>
      <c r="D2619" s="232" t="s">
        <v>4890</v>
      </c>
      <c r="E2619" s="232" t="s">
        <v>5068</v>
      </c>
      <c r="F2619" s="233">
        <v>250</v>
      </c>
      <c r="G2619" s="232" t="s">
        <v>4691</v>
      </c>
      <c r="H2619" s="233"/>
      <c r="I2619" s="233">
        <v>62750</v>
      </c>
      <c r="J2619" s="623">
        <v>41161302</v>
      </c>
      <c r="K2619" s="624" t="s">
        <v>991</v>
      </c>
      <c r="L2619" s="624" t="s">
        <v>4891</v>
      </c>
      <c r="M2619" s="624" t="s">
        <v>4911</v>
      </c>
      <c r="N2619" s="624" t="s">
        <v>4912</v>
      </c>
      <c r="O2619" s="624"/>
      <c r="P2619" s="624"/>
    </row>
    <row r="2620" spans="1:16">
      <c r="A2620" s="231" t="s">
        <v>627</v>
      </c>
      <c r="B2620" s="231">
        <v>4013041</v>
      </c>
      <c r="C2620" s="618">
        <v>44994</v>
      </c>
      <c r="D2620" s="231" t="s">
        <v>4890</v>
      </c>
      <c r="E2620" s="232" t="s">
        <v>5068</v>
      </c>
      <c r="F2620" s="619">
        <v>250</v>
      </c>
      <c r="G2620" s="231" t="s">
        <v>4691</v>
      </c>
      <c r="H2620" s="619"/>
      <c r="I2620" s="619">
        <v>62750</v>
      </c>
      <c r="J2620" s="620">
        <v>41161302</v>
      </c>
      <c r="K2620" s="621" t="s">
        <v>991</v>
      </c>
      <c r="L2620" s="621" t="s">
        <v>4891</v>
      </c>
      <c r="M2620" s="621" t="s">
        <v>4911</v>
      </c>
      <c r="N2620" s="621" t="s">
        <v>4912</v>
      </c>
      <c r="O2620" s="621"/>
      <c r="P2620" s="621"/>
    </row>
    <row r="2621" spans="1:16">
      <c r="A2621" s="232" t="s">
        <v>627</v>
      </c>
      <c r="B2621" s="232">
        <v>4013041</v>
      </c>
      <c r="C2621" s="622">
        <v>45052</v>
      </c>
      <c r="D2621" s="232" t="s">
        <v>4890</v>
      </c>
      <c r="E2621" s="232" t="s">
        <v>5068</v>
      </c>
      <c r="F2621" s="233">
        <v>32345.517</v>
      </c>
      <c r="G2621" s="232" t="s">
        <v>4691</v>
      </c>
      <c r="H2621" s="233"/>
      <c r="I2621" s="233">
        <v>4884173.0669999998</v>
      </c>
      <c r="J2621" s="623">
        <v>2906278342</v>
      </c>
      <c r="K2621" s="624" t="s">
        <v>991</v>
      </c>
      <c r="L2621" s="624" t="s">
        <v>4891</v>
      </c>
      <c r="M2621" s="624" t="s">
        <v>4913</v>
      </c>
      <c r="N2621" s="624" t="s">
        <v>4206</v>
      </c>
      <c r="O2621" s="624"/>
      <c r="P2621" s="624"/>
    </row>
    <row r="2622" spans="1:16">
      <c r="A2622" s="231" t="s">
        <v>627</v>
      </c>
      <c r="B2622" s="231">
        <v>4013041</v>
      </c>
      <c r="C2622" s="618">
        <v>45084</v>
      </c>
      <c r="D2622" s="231" t="s">
        <v>4890</v>
      </c>
      <c r="E2622" s="232" t="s">
        <v>5068</v>
      </c>
      <c r="F2622" s="619">
        <v>250</v>
      </c>
      <c r="G2622" s="231" t="s">
        <v>4691</v>
      </c>
      <c r="H2622" s="619"/>
      <c r="I2622" s="619">
        <v>53500</v>
      </c>
      <c r="J2622" s="620">
        <v>35093699.5</v>
      </c>
      <c r="K2622" s="621" t="s">
        <v>991</v>
      </c>
      <c r="L2622" s="621" t="s">
        <v>4891</v>
      </c>
      <c r="M2622" s="621" t="s">
        <v>4914</v>
      </c>
      <c r="N2622" s="621" t="s">
        <v>4915</v>
      </c>
      <c r="O2622" s="621"/>
      <c r="P2622" s="621"/>
    </row>
    <row r="2623" spans="1:16">
      <c r="A2623" s="232" t="s">
        <v>627</v>
      </c>
      <c r="B2623" s="232">
        <v>4013041</v>
      </c>
      <c r="C2623" s="622">
        <v>45101</v>
      </c>
      <c r="D2623" s="232" t="s">
        <v>4890</v>
      </c>
      <c r="E2623" s="232" t="s">
        <v>5068</v>
      </c>
      <c r="F2623" s="233">
        <v>36942.292000000001</v>
      </c>
      <c r="G2623" s="232" t="s">
        <v>4691</v>
      </c>
      <c r="H2623" s="233"/>
      <c r="I2623" s="233">
        <v>4285305.8720000004</v>
      </c>
      <c r="J2623" s="623">
        <v>2578524252</v>
      </c>
      <c r="K2623" s="624" t="s">
        <v>991</v>
      </c>
      <c r="L2623" s="624" t="s">
        <v>4891</v>
      </c>
      <c r="M2623" s="624" t="s">
        <v>4916</v>
      </c>
      <c r="N2623" s="624" t="s">
        <v>4206</v>
      </c>
      <c r="O2623" s="624"/>
      <c r="P2623" s="624"/>
    </row>
    <row r="2624" spans="1:16">
      <c r="A2624" s="231" t="s">
        <v>627</v>
      </c>
      <c r="B2624" s="231">
        <v>4013041</v>
      </c>
      <c r="C2624" s="618">
        <v>45103</v>
      </c>
      <c r="D2624" s="231" t="s">
        <v>4890</v>
      </c>
      <c r="E2624" s="232" t="s">
        <v>5068</v>
      </c>
      <c r="F2624" s="619">
        <v>750</v>
      </c>
      <c r="G2624" s="231" t="s">
        <v>4691</v>
      </c>
      <c r="H2624" s="619"/>
      <c r="I2624" s="619">
        <v>160500</v>
      </c>
      <c r="J2624" s="620">
        <v>105281098.5</v>
      </c>
      <c r="K2624" s="621" t="s">
        <v>991</v>
      </c>
      <c r="L2624" s="621" t="s">
        <v>4891</v>
      </c>
      <c r="M2624" s="621" t="s">
        <v>4914</v>
      </c>
      <c r="N2624" s="621" t="s">
        <v>4915</v>
      </c>
      <c r="O2624" s="621"/>
      <c r="P2624" s="621"/>
    </row>
    <row r="2625" spans="1:16">
      <c r="A2625" s="232" t="s">
        <v>627</v>
      </c>
      <c r="B2625" s="232">
        <v>4013041</v>
      </c>
      <c r="C2625" s="622">
        <v>45131</v>
      </c>
      <c r="D2625" s="232" t="s">
        <v>4890</v>
      </c>
      <c r="E2625" s="232" t="s">
        <v>5068</v>
      </c>
      <c r="F2625" s="233">
        <v>600</v>
      </c>
      <c r="G2625" s="232" t="s">
        <v>4691</v>
      </c>
      <c r="H2625" s="233"/>
      <c r="I2625" s="233">
        <v>128400</v>
      </c>
      <c r="J2625" s="623">
        <v>84224879</v>
      </c>
      <c r="K2625" s="624" t="s">
        <v>991</v>
      </c>
      <c r="L2625" s="624" t="s">
        <v>4891</v>
      </c>
      <c r="M2625" s="624" t="s">
        <v>4914</v>
      </c>
      <c r="N2625" s="624" t="s">
        <v>4915</v>
      </c>
      <c r="O2625" s="624"/>
      <c r="P2625" s="624"/>
    </row>
    <row r="2626" spans="1:16">
      <c r="A2626" s="231" t="s">
        <v>627</v>
      </c>
      <c r="B2626" s="231">
        <v>4013041</v>
      </c>
      <c r="C2626" s="618">
        <v>45164</v>
      </c>
      <c r="D2626" s="231" t="s">
        <v>4890</v>
      </c>
      <c r="E2626" s="232" t="s">
        <v>5068</v>
      </c>
      <c r="F2626" s="619">
        <v>5676.6540000000005</v>
      </c>
      <c r="G2626" s="231" t="s">
        <v>4691</v>
      </c>
      <c r="H2626" s="619"/>
      <c r="I2626" s="619">
        <v>624431.93999999994</v>
      </c>
      <c r="J2626" s="620">
        <v>379455426</v>
      </c>
      <c r="K2626" s="621" t="s">
        <v>991</v>
      </c>
      <c r="L2626" s="621" t="s">
        <v>4891</v>
      </c>
      <c r="M2626" s="621" t="s">
        <v>4916</v>
      </c>
      <c r="N2626" s="621" t="s">
        <v>4206</v>
      </c>
      <c r="O2626" s="621"/>
      <c r="P2626" s="621"/>
    </row>
    <row r="2627" spans="1:16">
      <c r="A2627" s="232" t="s">
        <v>4917</v>
      </c>
      <c r="B2627" s="232" t="s">
        <v>4918</v>
      </c>
      <c r="C2627" s="622"/>
      <c r="D2627" s="232" t="s">
        <v>4769</v>
      </c>
      <c r="E2627" s="232"/>
      <c r="F2627" s="233">
        <v>188</v>
      </c>
      <c r="G2627" s="232" t="s">
        <v>4691</v>
      </c>
      <c r="H2627" s="233"/>
      <c r="I2627" s="233"/>
      <c r="J2627" s="623">
        <v>9400000</v>
      </c>
      <c r="K2627" s="624" t="s">
        <v>1130</v>
      </c>
      <c r="L2627" s="624" t="s">
        <v>4919</v>
      </c>
      <c r="M2627" s="624" t="s">
        <v>4920</v>
      </c>
      <c r="N2627" s="624" t="s">
        <v>4754</v>
      </c>
      <c r="O2627" s="624"/>
      <c r="P2627" s="624"/>
    </row>
    <row r="2628" spans="1:16">
      <c r="A2628" s="231" t="s">
        <v>4917</v>
      </c>
      <c r="B2628" s="231" t="s">
        <v>4918</v>
      </c>
      <c r="C2628" s="618"/>
      <c r="D2628" s="231" t="s">
        <v>4769</v>
      </c>
      <c r="E2628" s="231"/>
      <c r="F2628" s="619">
        <v>20208.45</v>
      </c>
      <c r="G2628" s="231" t="s">
        <v>4691</v>
      </c>
      <c r="H2628" s="619"/>
      <c r="I2628" s="619"/>
      <c r="J2628" s="620">
        <v>1012842350</v>
      </c>
      <c r="K2628" s="621" t="s">
        <v>1130</v>
      </c>
      <c r="L2628" s="621" t="s">
        <v>4919</v>
      </c>
      <c r="M2628" s="621" t="s">
        <v>4921</v>
      </c>
      <c r="N2628" s="621" t="s">
        <v>4754</v>
      </c>
      <c r="O2628" s="621"/>
      <c r="P2628" s="621"/>
    </row>
    <row r="2629" spans="1:16">
      <c r="A2629" s="232" t="s">
        <v>4917</v>
      </c>
      <c r="B2629" s="232" t="s">
        <v>4918</v>
      </c>
      <c r="C2629" s="622"/>
      <c r="D2629" s="232" t="s">
        <v>4769</v>
      </c>
      <c r="E2629" s="232"/>
      <c r="F2629" s="233">
        <v>51</v>
      </c>
      <c r="G2629" s="232" t="s">
        <v>4691</v>
      </c>
      <c r="H2629" s="233"/>
      <c r="I2629" s="233"/>
      <c r="J2629" s="623">
        <v>2448000</v>
      </c>
      <c r="K2629" s="624" t="s">
        <v>1130</v>
      </c>
      <c r="L2629" s="624" t="s">
        <v>4919</v>
      </c>
      <c r="M2629" s="624" t="s">
        <v>4922</v>
      </c>
      <c r="N2629" s="624" t="s">
        <v>4754</v>
      </c>
      <c r="O2629" s="624"/>
      <c r="P2629" s="624"/>
    </row>
    <row r="2630" spans="1:16">
      <c r="A2630" s="231" t="s">
        <v>4917</v>
      </c>
      <c r="B2630" s="231" t="s">
        <v>4918</v>
      </c>
      <c r="C2630" s="618"/>
      <c r="D2630" s="231" t="s">
        <v>4769</v>
      </c>
      <c r="E2630" s="231"/>
      <c r="F2630" s="619">
        <v>1185</v>
      </c>
      <c r="G2630" s="231" t="s">
        <v>4691</v>
      </c>
      <c r="H2630" s="619"/>
      <c r="I2630" s="619"/>
      <c r="J2630" s="620">
        <v>59250000</v>
      </c>
      <c r="K2630" s="621" t="s">
        <v>1130</v>
      </c>
      <c r="L2630" s="621" t="s">
        <v>4919</v>
      </c>
      <c r="M2630" s="621" t="s">
        <v>4923</v>
      </c>
      <c r="N2630" s="621" t="s">
        <v>4754</v>
      </c>
      <c r="O2630" s="621"/>
      <c r="P2630" s="621"/>
    </row>
    <row r="2631" spans="1:16">
      <c r="A2631" s="232" t="s">
        <v>4917</v>
      </c>
      <c r="B2631" s="232" t="s">
        <v>4918</v>
      </c>
      <c r="C2631" s="622"/>
      <c r="D2631" s="232" t="s">
        <v>4769</v>
      </c>
      <c r="E2631" s="232"/>
      <c r="F2631" s="233">
        <v>11640</v>
      </c>
      <c r="G2631" s="232" t="s">
        <v>4691</v>
      </c>
      <c r="H2631" s="233"/>
      <c r="I2631" s="233"/>
      <c r="J2631" s="623">
        <v>582000000</v>
      </c>
      <c r="K2631" s="624" t="s">
        <v>1130</v>
      </c>
      <c r="L2631" s="624" t="s">
        <v>4919</v>
      </c>
      <c r="M2631" s="624" t="s">
        <v>4924</v>
      </c>
      <c r="N2631" s="624" t="s">
        <v>4754</v>
      </c>
      <c r="O2631" s="624"/>
      <c r="P2631" s="624"/>
    </row>
    <row r="2632" spans="1:16">
      <c r="A2632" s="231" t="s">
        <v>4917</v>
      </c>
      <c r="B2632" s="231" t="s">
        <v>4918</v>
      </c>
      <c r="C2632" s="618"/>
      <c r="D2632" s="231" t="s">
        <v>4769</v>
      </c>
      <c r="E2632" s="231"/>
      <c r="F2632" s="619">
        <v>823</v>
      </c>
      <c r="G2632" s="231" t="s">
        <v>4691</v>
      </c>
      <c r="H2632" s="619"/>
      <c r="I2632" s="619"/>
      <c r="J2632" s="620">
        <v>41150000</v>
      </c>
      <c r="K2632" s="621" t="s">
        <v>1130</v>
      </c>
      <c r="L2632" s="621" t="s">
        <v>4919</v>
      </c>
      <c r="M2632" s="621" t="s">
        <v>4816</v>
      </c>
      <c r="N2632" s="621" t="s">
        <v>4754</v>
      </c>
      <c r="O2632" s="621"/>
      <c r="P2632" s="621"/>
    </row>
    <row r="2633" spans="1:16">
      <c r="A2633" s="232" t="s">
        <v>4917</v>
      </c>
      <c r="B2633" s="232" t="s">
        <v>4918</v>
      </c>
      <c r="C2633" s="622"/>
      <c r="D2633" s="232" t="s">
        <v>4769</v>
      </c>
      <c r="E2633" s="232"/>
      <c r="F2633" s="233">
        <v>415</v>
      </c>
      <c r="G2633" s="232" t="s">
        <v>4691</v>
      </c>
      <c r="H2633" s="233"/>
      <c r="I2633" s="233"/>
      <c r="J2633" s="623">
        <v>20750000</v>
      </c>
      <c r="K2633" s="624" t="s">
        <v>1130</v>
      </c>
      <c r="L2633" s="624" t="s">
        <v>4919</v>
      </c>
      <c r="M2633" s="624" t="s">
        <v>4925</v>
      </c>
      <c r="N2633" s="624" t="s">
        <v>4754</v>
      </c>
      <c r="O2633" s="624"/>
      <c r="P2633" s="624"/>
    </row>
    <row r="2634" spans="1:16">
      <c r="A2634" s="231" t="s">
        <v>4917</v>
      </c>
      <c r="B2634" s="231" t="s">
        <v>4918</v>
      </c>
      <c r="C2634" s="618"/>
      <c r="D2634" s="231" t="s">
        <v>4769</v>
      </c>
      <c r="E2634" s="231"/>
      <c r="F2634" s="619">
        <v>640</v>
      </c>
      <c r="G2634" s="231" t="s">
        <v>4691</v>
      </c>
      <c r="H2634" s="619"/>
      <c r="I2634" s="619"/>
      <c r="J2634" s="620">
        <v>30720000</v>
      </c>
      <c r="K2634" s="621" t="s">
        <v>1130</v>
      </c>
      <c r="L2634" s="621" t="s">
        <v>4919</v>
      </c>
      <c r="M2634" s="621" t="s">
        <v>4926</v>
      </c>
      <c r="N2634" s="621" t="s">
        <v>4754</v>
      </c>
      <c r="O2634" s="621"/>
      <c r="P2634" s="621"/>
    </row>
    <row r="2635" spans="1:16">
      <c r="A2635" s="232" t="s">
        <v>4917</v>
      </c>
      <c r="B2635" s="232" t="s">
        <v>4918</v>
      </c>
      <c r="C2635" s="622"/>
      <c r="D2635" s="232" t="s">
        <v>4769</v>
      </c>
      <c r="E2635" s="232"/>
      <c r="F2635" s="233">
        <v>300</v>
      </c>
      <c r="G2635" s="232" t="s">
        <v>4691</v>
      </c>
      <c r="H2635" s="233"/>
      <c r="I2635" s="233"/>
      <c r="J2635" s="623">
        <v>15000000</v>
      </c>
      <c r="K2635" s="624" t="s">
        <v>1130</v>
      </c>
      <c r="L2635" s="624" t="s">
        <v>4919</v>
      </c>
      <c r="M2635" s="624" t="s">
        <v>4927</v>
      </c>
      <c r="N2635" s="624" t="s">
        <v>4754</v>
      </c>
      <c r="O2635" s="624"/>
      <c r="P2635" s="624"/>
    </row>
    <row r="2636" spans="1:16">
      <c r="A2636" s="231" t="s">
        <v>4917</v>
      </c>
      <c r="B2636" s="231" t="s">
        <v>4918</v>
      </c>
      <c r="C2636" s="618"/>
      <c r="D2636" s="231" t="s">
        <v>4769</v>
      </c>
      <c r="E2636" s="231"/>
      <c r="F2636" s="619">
        <v>49810.95</v>
      </c>
      <c r="G2636" s="231" t="s">
        <v>4691</v>
      </c>
      <c r="H2636" s="619"/>
      <c r="I2636" s="619"/>
      <c r="J2636" s="620">
        <v>2487833600</v>
      </c>
      <c r="K2636" s="621" t="s">
        <v>1130</v>
      </c>
      <c r="L2636" s="621" t="s">
        <v>4919</v>
      </c>
      <c r="M2636" s="621" t="s">
        <v>4928</v>
      </c>
      <c r="N2636" s="621" t="s">
        <v>4754</v>
      </c>
      <c r="O2636" s="621"/>
      <c r="P2636" s="621"/>
    </row>
    <row r="2637" spans="1:16">
      <c r="A2637" s="232" t="s">
        <v>4917</v>
      </c>
      <c r="B2637" s="232" t="s">
        <v>4918</v>
      </c>
      <c r="C2637" s="622"/>
      <c r="D2637" s="232" t="s">
        <v>4769</v>
      </c>
      <c r="E2637" s="232"/>
      <c r="F2637" s="233">
        <v>355</v>
      </c>
      <c r="G2637" s="232" t="s">
        <v>4691</v>
      </c>
      <c r="H2637" s="233"/>
      <c r="I2637" s="233"/>
      <c r="J2637" s="623">
        <v>17040000</v>
      </c>
      <c r="K2637" s="624" t="s">
        <v>1130</v>
      </c>
      <c r="L2637" s="624" t="s">
        <v>4919</v>
      </c>
      <c r="M2637" s="624" t="s">
        <v>4929</v>
      </c>
      <c r="N2637" s="624" t="s">
        <v>4930</v>
      </c>
      <c r="O2637" s="624"/>
      <c r="P2637" s="624"/>
    </row>
    <row r="2638" spans="1:16">
      <c r="A2638" s="231" t="s">
        <v>4917</v>
      </c>
      <c r="B2638" s="231" t="s">
        <v>4918</v>
      </c>
      <c r="C2638" s="618"/>
      <c r="D2638" s="231" t="s">
        <v>4769</v>
      </c>
      <c r="E2638" s="231"/>
      <c r="F2638" s="619">
        <v>160</v>
      </c>
      <c r="G2638" s="231" t="s">
        <v>4691</v>
      </c>
      <c r="H2638" s="619"/>
      <c r="I2638" s="619"/>
      <c r="J2638" s="620">
        <v>8000000</v>
      </c>
      <c r="K2638" s="621" t="s">
        <v>1130</v>
      </c>
      <c r="L2638" s="621" t="s">
        <v>4919</v>
      </c>
      <c r="M2638" s="621" t="s">
        <v>4931</v>
      </c>
      <c r="N2638" s="621" t="s">
        <v>4754</v>
      </c>
      <c r="O2638" s="621"/>
      <c r="P2638" s="621"/>
    </row>
    <row r="2639" spans="1:16">
      <c r="A2639" s="232" t="s">
        <v>4917</v>
      </c>
      <c r="B2639" s="232" t="s">
        <v>4918</v>
      </c>
      <c r="C2639" s="622"/>
      <c r="D2639" s="232" t="s">
        <v>4769</v>
      </c>
      <c r="E2639" s="232"/>
      <c r="F2639" s="233">
        <v>1273.0999999999999</v>
      </c>
      <c r="G2639" s="232" t="s">
        <v>4691</v>
      </c>
      <c r="H2639" s="233"/>
      <c r="I2639" s="233"/>
      <c r="J2639" s="623">
        <v>63655000</v>
      </c>
      <c r="K2639" s="624" t="s">
        <v>1130</v>
      </c>
      <c r="L2639" s="624" t="s">
        <v>4919</v>
      </c>
      <c r="M2639" s="624" t="s">
        <v>4932</v>
      </c>
      <c r="N2639" s="624" t="s">
        <v>4754</v>
      </c>
      <c r="O2639" s="624"/>
      <c r="P2639" s="624"/>
    </row>
    <row r="2640" spans="1:16">
      <c r="A2640" s="231" t="s">
        <v>4917</v>
      </c>
      <c r="B2640" s="231" t="s">
        <v>4918</v>
      </c>
      <c r="C2640" s="618"/>
      <c r="D2640" s="231" t="s">
        <v>4769</v>
      </c>
      <c r="E2640" s="231"/>
      <c r="F2640" s="619">
        <v>3380.12</v>
      </c>
      <c r="G2640" s="231" t="s">
        <v>4691</v>
      </c>
      <c r="H2640" s="619"/>
      <c r="I2640" s="619"/>
      <c r="J2640" s="620">
        <v>240833574</v>
      </c>
      <c r="K2640" s="621" t="s">
        <v>1130</v>
      </c>
      <c r="L2640" s="621" t="s">
        <v>4919</v>
      </c>
      <c r="M2640" s="621" t="s">
        <v>4933</v>
      </c>
      <c r="N2640" s="621" t="s">
        <v>4754</v>
      </c>
      <c r="O2640" s="621"/>
      <c r="P2640" s="621"/>
    </row>
    <row r="2641" spans="1:16">
      <c r="A2641" s="232" t="s">
        <v>4917</v>
      </c>
      <c r="B2641" s="232" t="s">
        <v>4918</v>
      </c>
      <c r="C2641" s="622"/>
      <c r="D2641" s="232" t="s">
        <v>4769</v>
      </c>
      <c r="E2641" s="232"/>
      <c r="F2641" s="233">
        <v>50</v>
      </c>
      <c r="G2641" s="232" t="s">
        <v>4691</v>
      </c>
      <c r="H2641" s="233"/>
      <c r="I2641" s="233"/>
      <c r="J2641" s="623">
        <v>2500000</v>
      </c>
      <c r="K2641" s="624" t="s">
        <v>1130</v>
      </c>
      <c r="L2641" s="624" t="s">
        <v>4919</v>
      </c>
      <c r="M2641" s="624" t="s">
        <v>4934</v>
      </c>
      <c r="N2641" s="624" t="s">
        <v>4754</v>
      </c>
      <c r="O2641" s="624"/>
      <c r="P2641" s="624"/>
    </row>
    <row r="2642" spans="1:16">
      <c r="A2642" s="231" t="s">
        <v>4917</v>
      </c>
      <c r="B2642" s="231" t="s">
        <v>4918</v>
      </c>
      <c r="C2642" s="618"/>
      <c r="D2642" s="231" t="s">
        <v>4769</v>
      </c>
      <c r="E2642" s="231"/>
      <c r="F2642" s="619">
        <v>24186</v>
      </c>
      <c r="G2642" s="231" t="s">
        <v>4691</v>
      </c>
      <c r="H2642" s="619"/>
      <c r="I2642" s="619"/>
      <c r="J2642" s="620">
        <v>1207328000</v>
      </c>
      <c r="K2642" s="621" t="s">
        <v>1130</v>
      </c>
      <c r="L2642" s="621" t="s">
        <v>4919</v>
      </c>
      <c r="M2642" s="621" t="s">
        <v>4935</v>
      </c>
      <c r="N2642" s="621" t="s">
        <v>4754</v>
      </c>
      <c r="O2642" s="621"/>
      <c r="P2642" s="621"/>
    </row>
    <row r="2643" spans="1:16">
      <c r="A2643" s="232" t="s">
        <v>4917</v>
      </c>
      <c r="B2643" s="232" t="s">
        <v>4918</v>
      </c>
      <c r="C2643" s="622"/>
      <c r="D2643" s="232" t="s">
        <v>4769</v>
      </c>
      <c r="E2643" s="232"/>
      <c r="F2643" s="233">
        <v>4147</v>
      </c>
      <c r="G2643" s="232" t="s">
        <v>4691</v>
      </c>
      <c r="H2643" s="233"/>
      <c r="I2643" s="233"/>
      <c r="J2643" s="623">
        <v>207350000</v>
      </c>
      <c r="K2643" s="624" t="s">
        <v>1130</v>
      </c>
      <c r="L2643" s="624" t="s">
        <v>4919</v>
      </c>
      <c r="M2643" s="624" t="s">
        <v>4936</v>
      </c>
      <c r="N2643" s="624" t="s">
        <v>4754</v>
      </c>
      <c r="O2643" s="624"/>
      <c r="P2643" s="624"/>
    </row>
    <row r="2644" spans="1:16">
      <c r="A2644" s="231" t="s">
        <v>4917</v>
      </c>
      <c r="B2644" s="231" t="s">
        <v>4918</v>
      </c>
      <c r="C2644" s="618"/>
      <c r="D2644" s="231" t="s">
        <v>4769</v>
      </c>
      <c r="E2644" s="231"/>
      <c r="F2644" s="619">
        <v>1980</v>
      </c>
      <c r="G2644" s="231" t="s">
        <v>4691</v>
      </c>
      <c r="H2644" s="619"/>
      <c r="I2644" s="619"/>
      <c r="J2644" s="620">
        <v>98999750</v>
      </c>
      <c r="K2644" s="621" t="s">
        <v>1130</v>
      </c>
      <c r="L2644" s="621" t="s">
        <v>4919</v>
      </c>
      <c r="M2644" s="621" t="s">
        <v>4937</v>
      </c>
      <c r="N2644" s="621" t="s">
        <v>4754</v>
      </c>
      <c r="O2644" s="621"/>
      <c r="P2644" s="621"/>
    </row>
    <row r="2645" spans="1:16">
      <c r="A2645" s="232" t="s">
        <v>4917</v>
      </c>
      <c r="B2645" s="232" t="s">
        <v>4918</v>
      </c>
      <c r="C2645" s="622"/>
      <c r="D2645" s="232" t="s">
        <v>4769</v>
      </c>
      <c r="E2645" s="232"/>
      <c r="F2645" s="233">
        <v>288.5</v>
      </c>
      <c r="G2645" s="232" t="s">
        <v>4691</v>
      </c>
      <c r="H2645" s="233"/>
      <c r="I2645" s="233"/>
      <c r="J2645" s="623">
        <v>14382000</v>
      </c>
      <c r="K2645" s="624" t="s">
        <v>1130</v>
      </c>
      <c r="L2645" s="624" t="s">
        <v>4919</v>
      </c>
      <c r="M2645" s="624" t="s">
        <v>4938</v>
      </c>
      <c r="N2645" s="624" t="s">
        <v>4754</v>
      </c>
      <c r="O2645" s="624"/>
      <c r="P2645" s="624"/>
    </row>
    <row r="2646" spans="1:16">
      <c r="A2646" s="231" t="s">
        <v>4917</v>
      </c>
      <c r="B2646" s="231" t="s">
        <v>4918</v>
      </c>
      <c r="C2646" s="618"/>
      <c r="D2646" s="231" t="s">
        <v>4769</v>
      </c>
      <c r="E2646" s="231"/>
      <c r="F2646" s="619">
        <v>1814.95</v>
      </c>
      <c r="G2646" s="231" t="s">
        <v>4691</v>
      </c>
      <c r="H2646" s="619"/>
      <c r="I2646" s="619"/>
      <c r="J2646" s="620">
        <v>90747500</v>
      </c>
      <c r="K2646" s="621" t="s">
        <v>1130</v>
      </c>
      <c r="L2646" s="621" t="s">
        <v>4919</v>
      </c>
      <c r="M2646" s="621" t="s">
        <v>4939</v>
      </c>
      <c r="N2646" s="621" t="s">
        <v>4754</v>
      </c>
      <c r="O2646" s="621"/>
      <c r="P2646" s="621"/>
    </row>
    <row r="2647" spans="1:16">
      <c r="A2647" s="232" t="s">
        <v>4917</v>
      </c>
      <c r="B2647" s="232" t="s">
        <v>4918</v>
      </c>
      <c r="C2647" s="622"/>
      <c r="D2647" s="232" t="s">
        <v>4769</v>
      </c>
      <c r="E2647" s="232"/>
      <c r="F2647" s="233">
        <v>210</v>
      </c>
      <c r="G2647" s="232" t="s">
        <v>4691</v>
      </c>
      <c r="H2647" s="233"/>
      <c r="I2647" s="233"/>
      <c r="J2647" s="623">
        <v>16327500</v>
      </c>
      <c r="K2647" s="624" t="s">
        <v>1130</v>
      </c>
      <c r="L2647" s="624" t="s">
        <v>4919</v>
      </c>
      <c r="M2647" s="624" t="s">
        <v>4940</v>
      </c>
      <c r="N2647" s="624" t="s">
        <v>4930</v>
      </c>
      <c r="O2647" s="624"/>
      <c r="P2647" s="624"/>
    </row>
    <row r="2648" spans="1:16">
      <c r="A2648" s="231" t="s">
        <v>4917</v>
      </c>
      <c r="B2648" s="231" t="s">
        <v>4918</v>
      </c>
      <c r="C2648" s="618"/>
      <c r="D2648" s="231" t="s">
        <v>4769</v>
      </c>
      <c r="E2648" s="231"/>
      <c r="F2648" s="619">
        <v>1864.9</v>
      </c>
      <c r="G2648" s="231" t="s">
        <v>4691</v>
      </c>
      <c r="H2648" s="619"/>
      <c r="I2648" s="619"/>
      <c r="J2648" s="620">
        <v>93227200</v>
      </c>
      <c r="K2648" s="621" t="s">
        <v>1130</v>
      </c>
      <c r="L2648" s="621" t="s">
        <v>4919</v>
      </c>
      <c r="M2648" s="621" t="s">
        <v>4941</v>
      </c>
      <c r="N2648" s="621" t="s">
        <v>4754</v>
      </c>
      <c r="O2648" s="621"/>
      <c r="P2648" s="621"/>
    </row>
    <row r="2649" spans="1:16">
      <c r="A2649" s="232" t="s">
        <v>4917</v>
      </c>
      <c r="B2649" s="232" t="s">
        <v>4918</v>
      </c>
      <c r="C2649" s="622"/>
      <c r="D2649" s="232" t="s">
        <v>4769</v>
      </c>
      <c r="E2649" s="232"/>
      <c r="F2649" s="233">
        <v>228</v>
      </c>
      <c r="G2649" s="232" t="s">
        <v>4691</v>
      </c>
      <c r="H2649" s="233"/>
      <c r="I2649" s="233"/>
      <c r="J2649" s="623">
        <v>11390000</v>
      </c>
      <c r="K2649" s="624" t="s">
        <v>1130</v>
      </c>
      <c r="L2649" s="624" t="s">
        <v>4919</v>
      </c>
      <c r="M2649" s="624" t="s">
        <v>4942</v>
      </c>
      <c r="N2649" s="624" t="s">
        <v>4754</v>
      </c>
      <c r="O2649" s="624"/>
      <c r="P2649" s="624"/>
    </row>
    <row r="2650" spans="1:16">
      <c r="A2650" s="231" t="s">
        <v>4917</v>
      </c>
      <c r="B2650" s="231" t="s">
        <v>4918</v>
      </c>
      <c r="C2650" s="618"/>
      <c r="D2650" s="231" t="s">
        <v>4769</v>
      </c>
      <c r="E2650" s="231"/>
      <c r="F2650" s="619">
        <v>481</v>
      </c>
      <c r="G2650" s="231" t="s">
        <v>4691</v>
      </c>
      <c r="H2650" s="619"/>
      <c r="I2650" s="619"/>
      <c r="J2650" s="620">
        <v>23088000</v>
      </c>
      <c r="K2650" s="621" t="s">
        <v>1130</v>
      </c>
      <c r="L2650" s="621" t="s">
        <v>4919</v>
      </c>
      <c r="M2650" s="621" t="s">
        <v>4943</v>
      </c>
      <c r="N2650" s="621" t="s">
        <v>4754</v>
      </c>
      <c r="O2650" s="621"/>
      <c r="P2650" s="621"/>
    </row>
    <row r="2651" spans="1:16">
      <c r="A2651" s="232" t="s">
        <v>4917</v>
      </c>
      <c r="B2651" s="232" t="s">
        <v>4918</v>
      </c>
      <c r="C2651" s="622"/>
      <c r="D2651" s="232" t="s">
        <v>4769</v>
      </c>
      <c r="E2651" s="232"/>
      <c r="F2651" s="233">
        <v>341</v>
      </c>
      <c r="G2651" s="232" t="s">
        <v>4691</v>
      </c>
      <c r="H2651" s="233"/>
      <c r="I2651" s="233"/>
      <c r="J2651" s="623">
        <v>17050000</v>
      </c>
      <c r="K2651" s="624" t="s">
        <v>1130</v>
      </c>
      <c r="L2651" s="624" t="s">
        <v>4919</v>
      </c>
      <c r="M2651" s="624" t="s">
        <v>4800</v>
      </c>
      <c r="N2651" s="624" t="s">
        <v>4754</v>
      </c>
      <c r="O2651" s="624"/>
      <c r="P2651" s="624"/>
    </row>
    <row r="2652" spans="1:16">
      <c r="A2652" s="231" t="s">
        <v>4917</v>
      </c>
      <c r="B2652" s="231" t="s">
        <v>4918</v>
      </c>
      <c r="C2652" s="618"/>
      <c r="D2652" s="231" t="s">
        <v>4769</v>
      </c>
      <c r="E2652" s="231"/>
      <c r="F2652" s="619">
        <v>5055</v>
      </c>
      <c r="G2652" s="231" t="s">
        <v>4691</v>
      </c>
      <c r="H2652" s="619"/>
      <c r="I2652" s="619"/>
      <c r="J2652" s="620">
        <v>252750000</v>
      </c>
      <c r="K2652" s="621" t="s">
        <v>1130</v>
      </c>
      <c r="L2652" s="621" t="s">
        <v>4919</v>
      </c>
      <c r="M2652" s="621" t="s">
        <v>4944</v>
      </c>
      <c r="N2652" s="621" t="s">
        <v>4754</v>
      </c>
      <c r="O2652" s="621"/>
      <c r="P2652" s="621"/>
    </row>
    <row r="2653" spans="1:16">
      <c r="A2653" s="232" t="s">
        <v>4917</v>
      </c>
      <c r="B2653" s="232" t="s">
        <v>4918</v>
      </c>
      <c r="C2653" s="622"/>
      <c r="D2653" s="232" t="s">
        <v>4769</v>
      </c>
      <c r="E2653" s="232"/>
      <c r="F2653" s="233">
        <v>799.6</v>
      </c>
      <c r="G2653" s="232" t="s">
        <v>4691</v>
      </c>
      <c r="H2653" s="233"/>
      <c r="I2653" s="233"/>
      <c r="J2653" s="623">
        <v>56971505</v>
      </c>
      <c r="K2653" s="624" t="s">
        <v>1130</v>
      </c>
      <c r="L2653" s="624" t="s">
        <v>4919</v>
      </c>
      <c r="M2653" s="624" t="s">
        <v>4945</v>
      </c>
      <c r="N2653" s="624" t="s">
        <v>4754</v>
      </c>
      <c r="O2653" s="624"/>
      <c r="P2653" s="624"/>
    </row>
    <row r="2654" spans="1:16">
      <c r="A2654" s="231" t="s">
        <v>4917</v>
      </c>
      <c r="B2654" s="231" t="s">
        <v>4918</v>
      </c>
      <c r="C2654" s="618"/>
      <c r="D2654" s="231" t="s">
        <v>4769</v>
      </c>
      <c r="E2654" s="231"/>
      <c r="F2654" s="619">
        <v>387</v>
      </c>
      <c r="G2654" s="231" t="s">
        <v>4691</v>
      </c>
      <c r="H2654" s="619"/>
      <c r="I2654" s="619"/>
      <c r="J2654" s="620">
        <v>19350000</v>
      </c>
      <c r="K2654" s="621" t="s">
        <v>1130</v>
      </c>
      <c r="L2654" s="621" t="s">
        <v>4919</v>
      </c>
      <c r="M2654" s="621" t="s">
        <v>4946</v>
      </c>
      <c r="N2654" s="621" t="s">
        <v>4754</v>
      </c>
      <c r="O2654" s="621"/>
      <c r="P2654" s="621"/>
    </row>
    <row r="2655" spans="1:16">
      <c r="A2655" s="232" t="s">
        <v>4917</v>
      </c>
      <c r="B2655" s="232" t="s">
        <v>4918</v>
      </c>
      <c r="C2655" s="622"/>
      <c r="D2655" s="232" t="s">
        <v>4769</v>
      </c>
      <c r="E2655" s="232"/>
      <c r="F2655" s="233">
        <v>50</v>
      </c>
      <c r="G2655" s="232" t="s">
        <v>4691</v>
      </c>
      <c r="H2655" s="233"/>
      <c r="I2655" s="233"/>
      <c r="J2655" s="623">
        <v>2837500</v>
      </c>
      <c r="K2655" s="624" t="s">
        <v>1130</v>
      </c>
      <c r="L2655" s="624" t="s">
        <v>4919</v>
      </c>
      <c r="M2655" s="624" t="s">
        <v>4947</v>
      </c>
      <c r="N2655" s="624" t="s">
        <v>4930</v>
      </c>
      <c r="O2655" s="624"/>
      <c r="P2655" s="624"/>
    </row>
    <row r="2656" spans="1:16">
      <c r="A2656" s="231" t="s">
        <v>4917</v>
      </c>
      <c r="B2656" s="231" t="s">
        <v>4918</v>
      </c>
      <c r="C2656" s="618"/>
      <c r="D2656" s="231" t="s">
        <v>4769</v>
      </c>
      <c r="E2656" s="231"/>
      <c r="F2656" s="619">
        <v>150</v>
      </c>
      <c r="G2656" s="231" t="s">
        <v>4691</v>
      </c>
      <c r="H2656" s="619"/>
      <c r="I2656" s="619"/>
      <c r="J2656" s="620">
        <v>7200000</v>
      </c>
      <c r="K2656" s="621" t="s">
        <v>1130</v>
      </c>
      <c r="L2656" s="621" t="s">
        <v>4919</v>
      </c>
      <c r="M2656" s="621" t="s">
        <v>4948</v>
      </c>
      <c r="N2656" s="621" t="s">
        <v>4752</v>
      </c>
      <c r="O2656" s="621"/>
      <c r="P2656" s="621"/>
    </row>
    <row r="2657" spans="1:16">
      <c r="A2657" s="232" t="s">
        <v>4917</v>
      </c>
      <c r="B2657" s="232" t="s">
        <v>4918</v>
      </c>
      <c r="C2657" s="622"/>
      <c r="D2657" s="232" t="s">
        <v>4769</v>
      </c>
      <c r="E2657" s="232"/>
      <c r="F2657" s="233">
        <v>190</v>
      </c>
      <c r="G2657" s="232" t="s">
        <v>4691</v>
      </c>
      <c r="H2657" s="233"/>
      <c r="I2657" s="233"/>
      <c r="J2657" s="623">
        <v>9120000</v>
      </c>
      <c r="K2657" s="624" t="s">
        <v>1130</v>
      </c>
      <c r="L2657" s="624" t="s">
        <v>4919</v>
      </c>
      <c r="M2657" s="624" t="s">
        <v>4949</v>
      </c>
      <c r="N2657" s="624" t="s">
        <v>4752</v>
      </c>
      <c r="O2657" s="624"/>
      <c r="P2657" s="624"/>
    </row>
    <row r="2658" spans="1:16">
      <c r="A2658" s="231" t="s">
        <v>4917</v>
      </c>
      <c r="B2658" s="231" t="s">
        <v>4918</v>
      </c>
      <c r="C2658" s="618"/>
      <c r="D2658" s="231" t="s">
        <v>4769</v>
      </c>
      <c r="E2658" s="231"/>
      <c r="F2658" s="619">
        <v>543.85</v>
      </c>
      <c r="G2658" s="231" t="s">
        <v>4691</v>
      </c>
      <c r="H2658" s="619"/>
      <c r="I2658" s="619"/>
      <c r="J2658" s="620">
        <v>26104800</v>
      </c>
      <c r="K2658" s="621" t="s">
        <v>1130</v>
      </c>
      <c r="L2658" s="621" t="s">
        <v>4919</v>
      </c>
      <c r="M2658" s="621" t="s">
        <v>4950</v>
      </c>
      <c r="N2658" s="621" t="s">
        <v>4752</v>
      </c>
      <c r="O2658" s="621"/>
      <c r="P2658" s="621"/>
    </row>
    <row r="2659" spans="1:16">
      <c r="A2659" s="232" t="s">
        <v>4917</v>
      </c>
      <c r="B2659" s="232" t="s">
        <v>4918</v>
      </c>
      <c r="C2659" s="622"/>
      <c r="D2659" s="232" t="s">
        <v>4769</v>
      </c>
      <c r="E2659" s="232"/>
      <c r="F2659" s="233">
        <v>2309.0500000000002</v>
      </c>
      <c r="G2659" s="232" t="s">
        <v>4691</v>
      </c>
      <c r="H2659" s="233"/>
      <c r="I2659" s="233"/>
      <c r="J2659" s="623">
        <v>110834400</v>
      </c>
      <c r="K2659" s="624" t="s">
        <v>1130</v>
      </c>
      <c r="L2659" s="624" t="s">
        <v>4919</v>
      </c>
      <c r="M2659" s="624" t="s">
        <v>4951</v>
      </c>
      <c r="N2659" s="624" t="s">
        <v>4752</v>
      </c>
      <c r="O2659" s="624"/>
      <c r="P2659" s="624"/>
    </row>
    <row r="2660" spans="1:16">
      <c r="A2660" s="231" t="s">
        <v>4917</v>
      </c>
      <c r="B2660" s="231" t="s">
        <v>4918</v>
      </c>
      <c r="C2660" s="618"/>
      <c r="D2660" s="231" t="s">
        <v>4769</v>
      </c>
      <c r="E2660" s="231"/>
      <c r="F2660" s="619">
        <v>1190</v>
      </c>
      <c r="G2660" s="231" t="s">
        <v>4691</v>
      </c>
      <c r="H2660" s="619"/>
      <c r="I2660" s="619"/>
      <c r="J2660" s="620">
        <v>57120000</v>
      </c>
      <c r="K2660" s="621" t="s">
        <v>1130</v>
      </c>
      <c r="L2660" s="621" t="s">
        <v>4919</v>
      </c>
      <c r="M2660" s="621" t="s">
        <v>4952</v>
      </c>
      <c r="N2660" s="621" t="s">
        <v>4752</v>
      </c>
      <c r="O2660" s="621"/>
      <c r="P2660" s="621"/>
    </row>
    <row r="2661" spans="1:16">
      <c r="A2661" s="232" t="s">
        <v>4917</v>
      </c>
      <c r="B2661" s="232" t="s">
        <v>4918</v>
      </c>
      <c r="C2661" s="622"/>
      <c r="D2661" s="232" t="s">
        <v>4769</v>
      </c>
      <c r="E2661" s="232"/>
      <c r="F2661" s="233">
        <v>4367.5</v>
      </c>
      <c r="G2661" s="232" t="s">
        <v>4691</v>
      </c>
      <c r="H2661" s="233"/>
      <c r="I2661" s="233"/>
      <c r="J2661" s="623">
        <v>209638200</v>
      </c>
      <c r="K2661" s="624" t="s">
        <v>1130</v>
      </c>
      <c r="L2661" s="624" t="s">
        <v>4919</v>
      </c>
      <c r="M2661" s="624" t="s">
        <v>4953</v>
      </c>
      <c r="N2661" s="624" t="s">
        <v>4752</v>
      </c>
      <c r="O2661" s="624"/>
      <c r="P2661" s="624"/>
    </row>
    <row r="2662" spans="1:16">
      <c r="A2662" s="231" t="s">
        <v>4917</v>
      </c>
      <c r="B2662" s="231" t="s">
        <v>4918</v>
      </c>
      <c r="C2662" s="618"/>
      <c r="D2662" s="231" t="s">
        <v>4769</v>
      </c>
      <c r="E2662" s="231"/>
      <c r="F2662" s="619">
        <v>4543.75</v>
      </c>
      <c r="G2662" s="231" t="s">
        <v>4691</v>
      </c>
      <c r="H2662" s="619"/>
      <c r="I2662" s="619"/>
      <c r="J2662" s="620">
        <v>219587500</v>
      </c>
      <c r="K2662" s="621" t="s">
        <v>1130</v>
      </c>
      <c r="L2662" s="621" t="s">
        <v>4919</v>
      </c>
      <c r="M2662" s="621" t="s">
        <v>4954</v>
      </c>
      <c r="N2662" s="621" t="s">
        <v>4752</v>
      </c>
      <c r="O2662" s="621"/>
      <c r="P2662" s="621"/>
    </row>
    <row r="2663" spans="1:16">
      <c r="A2663" s="232" t="s">
        <v>4917</v>
      </c>
      <c r="B2663" s="232" t="s">
        <v>4918</v>
      </c>
      <c r="C2663" s="622"/>
      <c r="D2663" s="232" t="s">
        <v>4769</v>
      </c>
      <c r="E2663" s="232"/>
      <c r="F2663" s="233">
        <v>500</v>
      </c>
      <c r="G2663" s="232" t="s">
        <v>4691</v>
      </c>
      <c r="H2663" s="233"/>
      <c r="I2663" s="233"/>
      <c r="J2663" s="623">
        <v>24000000</v>
      </c>
      <c r="K2663" s="624" t="s">
        <v>1130</v>
      </c>
      <c r="L2663" s="624" t="s">
        <v>4919</v>
      </c>
      <c r="M2663" s="624" t="s">
        <v>4955</v>
      </c>
      <c r="N2663" s="624" t="s">
        <v>4752</v>
      </c>
      <c r="O2663" s="624"/>
      <c r="P2663" s="624"/>
    </row>
    <row r="2664" spans="1:16">
      <c r="A2664" s="231" t="s">
        <v>4917</v>
      </c>
      <c r="B2664" s="231" t="s">
        <v>4918</v>
      </c>
      <c r="C2664" s="618"/>
      <c r="D2664" s="231" t="s">
        <v>4769</v>
      </c>
      <c r="E2664" s="231"/>
      <c r="F2664" s="619">
        <v>996.95</v>
      </c>
      <c r="G2664" s="231" t="s">
        <v>4691</v>
      </c>
      <c r="H2664" s="619"/>
      <c r="I2664" s="619"/>
      <c r="J2664" s="620">
        <v>47853600</v>
      </c>
      <c r="K2664" s="621" t="s">
        <v>1130</v>
      </c>
      <c r="L2664" s="621" t="s">
        <v>4919</v>
      </c>
      <c r="M2664" s="621" t="s">
        <v>4956</v>
      </c>
      <c r="N2664" s="621" t="s">
        <v>4957</v>
      </c>
      <c r="O2664" s="621"/>
      <c r="P2664" s="621"/>
    </row>
    <row r="2665" spans="1:16">
      <c r="A2665" s="232" t="s">
        <v>4917</v>
      </c>
      <c r="B2665" s="232" t="s">
        <v>4918</v>
      </c>
      <c r="C2665" s="622"/>
      <c r="D2665" s="232" t="s">
        <v>4769</v>
      </c>
      <c r="E2665" s="232"/>
      <c r="F2665" s="233">
        <v>1800</v>
      </c>
      <c r="G2665" s="232" t="s">
        <v>4691</v>
      </c>
      <c r="H2665" s="233"/>
      <c r="I2665" s="233"/>
      <c r="J2665" s="623">
        <v>86400000</v>
      </c>
      <c r="K2665" s="624" t="s">
        <v>1130</v>
      </c>
      <c r="L2665" s="624" t="s">
        <v>4919</v>
      </c>
      <c r="M2665" s="624" t="s">
        <v>4958</v>
      </c>
      <c r="N2665" s="624" t="s">
        <v>4753</v>
      </c>
      <c r="O2665" s="624"/>
      <c r="P2665" s="624"/>
    </row>
    <row r="2666" spans="1:16">
      <c r="A2666" s="231" t="s">
        <v>4917</v>
      </c>
      <c r="B2666" s="231" t="s">
        <v>4918</v>
      </c>
      <c r="C2666" s="618"/>
      <c r="D2666" s="231" t="s">
        <v>4769</v>
      </c>
      <c r="E2666" s="231"/>
      <c r="F2666" s="619">
        <v>200</v>
      </c>
      <c r="G2666" s="231" t="s">
        <v>4691</v>
      </c>
      <c r="H2666" s="619"/>
      <c r="I2666" s="619"/>
      <c r="J2666" s="620">
        <v>9600000</v>
      </c>
      <c r="K2666" s="621" t="s">
        <v>1130</v>
      </c>
      <c r="L2666" s="621" t="s">
        <v>4919</v>
      </c>
      <c r="M2666" s="621" t="s">
        <v>4959</v>
      </c>
      <c r="N2666" s="621" t="s">
        <v>4752</v>
      </c>
      <c r="O2666" s="621"/>
      <c r="P2666" s="621"/>
    </row>
    <row r="2667" spans="1:16">
      <c r="A2667" s="232" t="s">
        <v>4917</v>
      </c>
      <c r="B2667" s="232" t="s">
        <v>4918</v>
      </c>
      <c r="C2667" s="622"/>
      <c r="D2667" s="232" t="s">
        <v>4769</v>
      </c>
      <c r="E2667" s="232"/>
      <c r="F2667" s="233">
        <v>642.25</v>
      </c>
      <c r="G2667" s="232" t="s">
        <v>4691</v>
      </c>
      <c r="H2667" s="233"/>
      <c r="I2667" s="233"/>
      <c r="J2667" s="623">
        <v>30828000</v>
      </c>
      <c r="K2667" s="624" t="s">
        <v>1130</v>
      </c>
      <c r="L2667" s="624" t="s">
        <v>4919</v>
      </c>
      <c r="M2667" s="624" t="s">
        <v>4960</v>
      </c>
      <c r="N2667" s="624" t="s">
        <v>4752</v>
      </c>
      <c r="O2667" s="624"/>
      <c r="P2667" s="624"/>
    </row>
    <row r="2668" spans="1:16">
      <c r="A2668" s="231" t="s">
        <v>4917</v>
      </c>
      <c r="B2668" s="231" t="s">
        <v>4918</v>
      </c>
      <c r="C2668" s="618"/>
      <c r="D2668" s="231" t="s">
        <v>4769</v>
      </c>
      <c r="E2668" s="231"/>
      <c r="F2668" s="619">
        <v>5359.14</v>
      </c>
      <c r="G2668" s="231" t="s">
        <v>4691</v>
      </c>
      <c r="H2668" s="619"/>
      <c r="I2668" s="619"/>
      <c r="J2668" s="620">
        <v>275519408</v>
      </c>
      <c r="K2668" s="621" t="s">
        <v>1130</v>
      </c>
      <c r="L2668" s="621" t="s">
        <v>4919</v>
      </c>
      <c r="M2668" s="621" t="s">
        <v>4961</v>
      </c>
      <c r="N2668" s="621" t="s">
        <v>4752</v>
      </c>
      <c r="O2668" s="621"/>
      <c r="P2668" s="621"/>
    </row>
    <row r="2669" spans="1:16">
      <c r="A2669" s="232" t="s">
        <v>4917</v>
      </c>
      <c r="B2669" s="232" t="s">
        <v>4918</v>
      </c>
      <c r="C2669" s="622"/>
      <c r="D2669" s="232" t="s">
        <v>4769</v>
      </c>
      <c r="E2669" s="232"/>
      <c r="F2669" s="233">
        <v>8272.35</v>
      </c>
      <c r="G2669" s="232" t="s">
        <v>4691</v>
      </c>
      <c r="H2669" s="233"/>
      <c r="I2669" s="233"/>
      <c r="J2669" s="623">
        <v>397072800</v>
      </c>
      <c r="K2669" s="624" t="s">
        <v>1130</v>
      </c>
      <c r="L2669" s="624" t="s">
        <v>4919</v>
      </c>
      <c r="M2669" s="624" t="s">
        <v>4962</v>
      </c>
      <c r="N2669" s="624" t="s">
        <v>4752</v>
      </c>
      <c r="O2669" s="624"/>
      <c r="P2669" s="624"/>
    </row>
    <row r="2670" spans="1:16">
      <c r="A2670" s="231" t="s">
        <v>4917</v>
      </c>
      <c r="B2670" s="231" t="s">
        <v>4918</v>
      </c>
      <c r="C2670" s="618"/>
      <c r="D2670" s="231" t="s">
        <v>4769</v>
      </c>
      <c r="E2670" s="231"/>
      <c r="F2670" s="619">
        <v>450</v>
      </c>
      <c r="G2670" s="231" t="s">
        <v>4691</v>
      </c>
      <c r="H2670" s="619"/>
      <c r="I2670" s="619"/>
      <c r="J2670" s="620">
        <v>21600000</v>
      </c>
      <c r="K2670" s="621" t="s">
        <v>1130</v>
      </c>
      <c r="L2670" s="621" t="s">
        <v>4919</v>
      </c>
      <c r="M2670" s="621" t="s">
        <v>4963</v>
      </c>
      <c r="N2670" s="621" t="s">
        <v>4752</v>
      </c>
      <c r="O2670" s="621"/>
      <c r="P2670" s="621"/>
    </row>
    <row r="2671" spans="1:16">
      <c r="A2671" s="232" t="s">
        <v>4917</v>
      </c>
      <c r="B2671" s="232" t="s">
        <v>4918</v>
      </c>
      <c r="C2671" s="622"/>
      <c r="D2671" s="232" t="s">
        <v>4769</v>
      </c>
      <c r="E2671" s="232"/>
      <c r="F2671" s="233">
        <v>307.8</v>
      </c>
      <c r="G2671" s="232" t="s">
        <v>4691</v>
      </c>
      <c r="H2671" s="233"/>
      <c r="I2671" s="233"/>
      <c r="J2671" s="623">
        <v>14774400</v>
      </c>
      <c r="K2671" s="624" t="s">
        <v>1130</v>
      </c>
      <c r="L2671" s="624" t="s">
        <v>4919</v>
      </c>
      <c r="M2671" s="624" t="s">
        <v>4964</v>
      </c>
      <c r="N2671" s="624" t="s">
        <v>4752</v>
      </c>
      <c r="O2671" s="624"/>
      <c r="P2671" s="624"/>
    </row>
    <row r="2672" spans="1:16">
      <c r="A2672" s="231" t="s">
        <v>4917</v>
      </c>
      <c r="B2672" s="231" t="s">
        <v>4918</v>
      </c>
      <c r="C2672" s="618"/>
      <c r="D2672" s="231" t="s">
        <v>4769</v>
      </c>
      <c r="E2672" s="231"/>
      <c r="F2672" s="619">
        <v>419</v>
      </c>
      <c r="G2672" s="231" t="s">
        <v>4691</v>
      </c>
      <c r="H2672" s="619"/>
      <c r="I2672" s="619"/>
      <c r="J2672" s="620">
        <v>20112000</v>
      </c>
      <c r="K2672" s="621" t="s">
        <v>1130</v>
      </c>
      <c r="L2672" s="621" t="s">
        <v>4919</v>
      </c>
      <c r="M2672" s="621" t="s">
        <v>4965</v>
      </c>
      <c r="N2672" s="621" t="s">
        <v>4752</v>
      </c>
      <c r="O2672" s="621"/>
      <c r="P2672" s="621"/>
    </row>
    <row r="2673" spans="1:16">
      <c r="A2673" s="232" t="s">
        <v>4917</v>
      </c>
      <c r="B2673" s="232" t="s">
        <v>4918</v>
      </c>
      <c r="C2673" s="622"/>
      <c r="D2673" s="232" t="s">
        <v>4769</v>
      </c>
      <c r="E2673" s="232"/>
      <c r="F2673" s="233">
        <v>2835.25</v>
      </c>
      <c r="G2673" s="232" t="s">
        <v>4691</v>
      </c>
      <c r="H2673" s="233"/>
      <c r="I2673" s="233"/>
      <c r="J2673" s="623">
        <v>136092000</v>
      </c>
      <c r="K2673" s="624" t="s">
        <v>1130</v>
      </c>
      <c r="L2673" s="624" t="s">
        <v>4919</v>
      </c>
      <c r="M2673" s="624" t="s">
        <v>4966</v>
      </c>
      <c r="N2673" s="624" t="s">
        <v>4752</v>
      </c>
      <c r="O2673" s="624"/>
      <c r="P2673" s="624"/>
    </row>
    <row r="2674" spans="1:16">
      <c r="A2674" s="231" t="s">
        <v>4917</v>
      </c>
      <c r="B2674" s="231" t="s">
        <v>4918</v>
      </c>
      <c r="C2674" s="618"/>
      <c r="D2674" s="231" t="s">
        <v>4769</v>
      </c>
      <c r="E2674" s="231"/>
      <c r="F2674" s="619">
        <v>266</v>
      </c>
      <c r="G2674" s="231" t="s">
        <v>4691</v>
      </c>
      <c r="H2674" s="619"/>
      <c r="I2674" s="619"/>
      <c r="J2674" s="620">
        <v>12768000</v>
      </c>
      <c r="K2674" s="621" t="s">
        <v>1130</v>
      </c>
      <c r="L2674" s="621" t="s">
        <v>4919</v>
      </c>
      <c r="M2674" s="621" t="s">
        <v>4967</v>
      </c>
      <c r="N2674" s="621" t="s">
        <v>4752</v>
      </c>
      <c r="O2674" s="621"/>
      <c r="P2674" s="621"/>
    </row>
    <row r="2675" spans="1:16">
      <c r="A2675" s="232" t="s">
        <v>4917</v>
      </c>
      <c r="B2675" s="232" t="s">
        <v>4918</v>
      </c>
      <c r="C2675" s="622"/>
      <c r="D2675" s="232" t="s">
        <v>4769</v>
      </c>
      <c r="E2675" s="232"/>
      <c r="F2675" s="233">
        <v>756.6</v>
      </c>
      <c r="G2675" s="232" t="s">
        <v>4691</v>
      </c>
      <c r="H2675" s="233"/>
      <c r="I2675" s="233"/>
      <c r="J2675" s="623">
        <v>36316800</v>
      </c>
      <c r="K2675" s="624" t="s">
        <v>1130</v>
      </c>
      <c r="L2675" s="624" t="s">
        <v>4919</v>
      </c>
      <c r="M2675" s="624" t="s">
        <v>4968</v>
      </c>
      <c r="N2675" s="624" t="s">
        <v>4752</v>
      </c>
      <c r="O2675" s="624"/>
      <c r="P2675" s="624"/>
    </row>
    <row r="2676" spans="1:16">
      <c r="A2676" s="231" t="s">
        <v>4917</v>
      </c>
      <c r="B2676" s="231" t="s">
        <v>4918</v>
      </c>
      <c r="C2676" s="618"/>
      <c r="D2676" s="231" t="s">
        <v>4769</v>
      </c>
      <c r="E2676" s="231"/>
      <c r="F2676" s="619">
        <v>170</v>
      </c>
      <c r="G2676" s="231" t="s">
        <v>4691</v>
      </c>
      <c r="H2676" s="619"/>
      <c r="I2676" s="619"/>
      <c r="J2676" s="620">
        <v>8160000</v>
      </c>
      <c r="K2676" s="621" t="s">
        <v>1130</v>
      </c>
      <c r="L2676" s="621" t="s">
        <v>4919</v>
      </c>
      <c r="M2676" s="621" t="s">
        <v>4969</v>
      </c>
      <c r="N2676" s="621" t="s">
        <v>4752</v>
      </c>
      <c r="O2676" s="621"/>
      <c r="P2676" s="621"/>
    </row>
    <row r="2677" spans="1:16">
      <c r="A2677" s="232" t="s">
        <v>4917</v>
      </c>
      <c r="B2677" s="232" t="s">
        <v>4918</v>
      </c>
      <c r="C2677" s="622"/>
      <c r="D2677" s="232" t="s">
        <v>4769</v>
      </c>
      <c r="E2677" s="232"/>
      <c r="F2677" s="233">
        <v>548.54999999999995</v>
      </c>
      <c r="G2677" s="232" t="s">
        <v>4691</v>
      </c>
      <c r="H2677" s="233"/>
      <c r="I2677" s="233"/>
      <c r="J2677" s="623">
        <v>26330400</v>
      </c>
      <c r="K2677" s="624" t="s">
        <v>1130</v>
      </c>
      <c r="L2677" s="624" t="s">
        <v>4919</v>
      </c>
      <c r="M2677" s="624" t="s">
        <v>4970</v>
      </c>
      <c r="N2677" s="624" t="s">
        <v>4752</v>
      </c>
      <c r="O2677" s="624"/>
      <c r="P2677" s="624"/>
    </row>
    <row r="2678" spans="1:16">
      <c r="A2678" s="231" t="s">
        <v>4917</v>
      </c>
      <c r="B2678" s="231" t="s">
        <v>4918</v>
      </c>
      <c r="C2678" s="618"/>
      <c r="D2678" s="231" t="s">
        <v>4769</v>
      </c>
      <c r="E2678" s="231"/>
      <c r="F2678" s="619">
        <v>195</v>
      </c>
      <c r="G2678" s="231" t="s">
        <v>4691</v>
      </c>
      <c r="H2678" s="619"/>
      <c r="I2678" s="619"/>
      <c r="J2678" s="620">
        <v>9360000</v>
      </c>
      <c r="K2678" s="621" t="s">
        <v>1130</v>
      </c>
      <c r="L2678" s="621" t="s">
        <v>4919</v>
      </c>
      <c r="M2678" s="621" t="s">
        <v>4971</v>
      </c>
      <c r="N2678" s="621" t="s">
        <v>4752</v>
      </c>
      <c r="O2678" s="621"/>
      <c r="P2678" s="621"/>
    </row>
    <row r="2679" spans="1:16">
      <c r="A2679" s="232" t="s">
        <v>4917</v>
      </c>
      <c r="B2679" s="232" t="s">
        <v>4918</v>
      </c>
      <c r="C2679" s="622"/>
      <c r="D2679" s="232" t="s">
        <v>4769</v>
      </c>
      <c r="E2679" s="232"/>
      <c r="F2679" s="233">
        <v>235</v>
      </c>
      <c r="G2679" s="232" t="s">
        <v>4691</v>
      </c>
      <c r="H2679" s="233"/>
      <c r="I2679" s="233"/>
      <c r="J2679" s="623">
        <v>18271250</v>
      </c>
      <c r="K2679" s="624" t="s">
        <v>1130</v>
      </c>
      <c r="L2679" s="624" t="s">
        <v>4919</v>
      </c>
      <c r="M2679" s="624" t="s">
        <v>4972</v>
      </c>
      <c r="N2679" s="624" t="s">
        <v>4957</v>
      </c>
      <c r="O2679" s="624"/>
      <c r="P2679" s="624"/>
    </row>
    <row r="2680" spans="1:16">
      <c r="A2680" s="231" t="s">
        <v>4917</v>
      </c>
      <c r="B2680" s="231" t="s">
        <v>4918</v>
      </c>
      <c r="C2680" s="618"/>
      <c r="D2680" s="231" t="s">
        <v>4769</v>
      </c>
      <c r="E2680" s="231"/>
      <c r="F2680" s="619">
        <v>500</v>
      </c>
      <c r="G2680" s="231" t="s">
        <v>4691</v>
      </c>
      <c r="H2680" s="619"/>
      <c r="I2680" s="619"/>
      <c r="J2680" s="620">
        <v>28375000</v>
      </c>
      <c r="K2680" s="621" t="s">
        <v>1130</v>
      </c>
      <c r="L2680" s="621" t="s">
        <v>4919</v>
      </c>
      <c r="M2680" s="621" t="s">
        <v>4973</v>
      </c>
      <c r="N2680" s="621" t="s">
        <v>4752</v>
      </c>
      <c r="O2680" s="621"/>
      <c r="P2680" s="621"/>
    </row>
    <row r="2681" spans="1:16">
      <c r="A2681" s="232" t="s">
        <v>4917</v>
      </c>
      <c r="B2681" s="232" t="s">
        <v>4918</v>
      </c>
      <c r="C2681" s="622"/>
      <c r="D2681" s="232" t="s">
        <v>4769</v>
      </c>
      <c r="E2681" s="232"/>
      <c r="F2681" s="233">
        <v>1018.3</v>
      </c>
      <c r="G2681" s="232" t="s">
        <v>4691</v>
      </c>
      <c r="H2681" s="233"/>
      <c r="I2681" s="233"/>
      <c r="J2681" s="623">
        <v>77645385</v>
      </c>
      <c r="K2681" s="624" t="s">
        <v>1130</v>
      </c>
      <c r="L2681" s="624" t="s">
        <v>4919</v>
      </c>
      <c r="M2681" s="624" t="s">
        <v>4974</v>
      </c>
      <c r="N2681" s="624" t="s">
        <v>4753</v>
      </c>
      <c r="O2681" s="624"/>
      <c r="P2681" s="624"/>
    </row>
    <row r="2682" spans="1:16">
      <c r="A2682" s="231" t="s">
        <v>4917</v>
      </c>
      <c r="B2682" s="231" t="s">
        <v>4918</v>
      </c>
      <c r="C2682" s="618"/>
      <c r="D2682" s="231" t="s">
        <v>4769</v>
      </c>
      <c r="E2682" s="231"/>
      <c r="F2682" s="619">
        <v>45</v>
      </c>
      <c r="G2682" s="231" t="s">
        <v>4691</v>
      </c>
      <c r="H2682" s="619"/>
      <c r="I2682" s="619"/>
      <c r="J2682" s="620">
        <v>2160000</v>
      </c>
      <c r="K2682" s="621" t="s">
        <v>1130</v>
      </c>
      <c r="L2682" s="621" t="s">
        <v>4919</v>
      </c>
      <c r="M2682" s="621" t="s">
        <v>4975</v>
      </c>
      <c r="N2682" s="621" t="s">
        <v>4752</v>
      </c>
      <c r="O2682" s="621"/>
      <c r="P2682" s="621"/>
    </row>
    <row r="2683" spans="1:16">
      <c r="A2683" s="232" t="s">
        <v>4917</v>
      </c>
      <c r="B2683" s="232" t="s">
        <v>4918</v>
      </c>
      <c r="C2683" s="622"/>
      <c r="D2683" s="232" t="s">
        <v>4769</v>
      </c>
      <c r="E2683" s="232"/>
      <c r="F2683" s="233">
        <v>220</v>
      </c>
      <c r="G2683" s="232" t="s">
        <v>4691</v>
      </c>
      <c r="H2683" s="233"/>
      <c r="I2683" s="233"/>
      <c r="J2683" s="623">
        <v>10560000</v>
      </c>
      <c r="K2683" s="624" t="s">
        <v>1130</v>
      </c>
      <c r="L2683" s="624" t="s">
        <v>4919</v>
      </c>
      <c r="M2683" s="624" t="s">
        <v>4976</v>
      </c>
      <c r="N2683" s="624" t="s">
        <v>4752</v>
      </c>
      <c r="O2683" s="624"/>
      <c r="P2683" s="624"/>
    </row>
    <row r="2684" spans="1:16">
      <c r="A2684" s="231" t="s">
        <v>4917</v>
      </c>
      <c r="B2684" s="231" t="s">
        <v>4918</v>
      </c>
      <c r="C2684" s="618"/>
      <c r="D2684" s="231" t="s">
        <v>4769</v>
      </c>
      <c r="E2684" s="231"/>
      <c r="F2684" s="619">
        <v>1380.55</v>
      </c>
      <c r="G2684" s="231" t="s">
        <v>4691</v>
      </c>
      <c r="H2684" s="619"/>
      <c r="I2684" s="619"/>
      <c r="J2684" s="620">
        <v>66266400</v>
      </c>
      <c r="K2684" s="621" t="s">
        <v>1130</v>
      </c>
      <c r="L2684" s="621" t="s">
        <v>4919</v>
      </c>
      <c r="M2684" s="621" t="s">
        <v>4977</v>
      </c>
      <c r="N2684" s="621" t="s">
        <v>4752</v>
      </c>
      <c r="O2684" s="621"/>
      <c r="P2684" s="621"/>
    </row>
    <row r="2685" spans="1:16">
      <c r="A2685" s="232" t="s">
        <v>4917</v>
      </c>
      <c r="B2685" s="232" t="s">
        <v>4918</v>
      </c>
      <c r="C2685" s="622"/>
      <c r="D2685" s="232" t="s">
        <v>4978</v>
      </c>
      <c r="E2685" s="232" t="s">
        <v>5077</v>
      </c>
      <c r="F2685" s="233">
        <v>3599.3</v>
      </c>
      <c r="G2685" s="232" t="s">
        <v>4691</v>
      </c>
      <c r="H2685" s="233"/>
      <c r="I2685" s="233"/>
      <c r="J2685" s="623">
        <v>134973750</v>
      </c>
      <c r="K2685" s="624" t="s">
        <v>1130</v>
      </c>
      <c r="L2685" s="624" t="s">
        <v>4919</v>
      </c>
      <c r="M2685" s="624" t="s">
        <v>4979</v>
      </c>
      <c r="N2685" s="624" t="s">
        <v>4754</v>
      </c>
      <c r="O2685" s="624"/>
      <c r="P2685" s="624"/>
    </row>
    <row r="2686" spans="1:16">
      <c r="A2686" s="231" t="s">
        <v>689</v>
      </c>
      <c r="B2686" s="231" t="s">
        <v>2020</v>
      </c>
      <c r="C2686" s="618">
        <v>45181</v>
      </c>
      <c r="D2686" s="231" t="s">
        <v>4980</v>
      </c>
      <c r="E2686" s="231" t="s">
        <v>5068</v>
      </c>
      <c r="F2686" s="619">
        <v>35000</v>
      </c>
      <c r="G2686" s="231" t="s">
        <v>4981</v>
      </c>
      <c r="H2686" s="619" t="s">
        <v>4982</v>
      </c>
      <c r="I2686" s="619" t="s">
        <v>167</v>
      </c>
      <c r="J2686" s="620">
        <v>3362940000</v>
      </c>
      <c r="K2686" s="621" t="s">
        <v>4983</v>
      </c>
      <c r="L2686" s="621" t="s">
        <v>4984</v>
      </c>
      <c r="M2686" s="621" t="s">
        <v>416</v>
      </c>
      <c r="N2686" s="621" t="s">
        <v>3942</v>
      </c>
      <c r="O2686" s="621" t="s">
        <v>416</v>
      </c>
      <c r="P2686" s="621" t="s">
        <v>157</v>
      </c>
    </row>
    <row r="2687" spans="1:16">
      <c r="A2687" s="232" t="s">
        <v>689</v>
      </c>
      <c r="B2687" s="232" t="s">
        <v>2020</v>
      </c>
      <c r="C2687" s="622">
        <v>45264</v>
      </c>
      <c r="D2687" s="232" t="s">
        <v>4980</v>
      </c>
      <c r="E2687" s="231" t="s">
        <v>5068</v>
      </c>
      <c r="F2687" s="233">
        <v>15000</v>
      </c>
      <c r="G2687" s="232" t="s">
        <v>4981</v>
      </c>
      <c r="H2687" s="233" t="s">
        <v>4982</v>
      </c>
      <c r="I2687" s="233" t="s">
        <v>167</v>
      </c>
      <c r="J2687" s="623">
        <v>1457682150</v>
      </c>
      <c r="K2687" s="624" t="s">
        <v>4983</v>
      </c>
      <c r="L2687" s="624" t="s">
        <v>4984</v>
      </c>
      <c r="M2687" s="624" t="s">
        <v>416</v>
      </c>
      <c r="N2687" s="624" t="s">
        <v>3942</v>
      </c>
      <c r="O2687" s="624" t="s">
        <v>416</v>
      </c>
      <c r="P2687" s="624" t="s">
        <v>157</v>
      </c>
    </row>
    <row r="2688" spans="1:16">
      <c r="A2688" s="231" t="s">
        <v>689</v>
      </c>
      <c r="B2688" s="231" t="s">
        <v>2020</v>
      </c>
      <c r="C2688" s="618">
        <v>44985</v>
      </c>
      <c r="D2688" s="231" t="s">
        <v>4980</v>
      </c>
      <c r="E2688" s="231" t="s">
        <v>5068</v>
      </c>
      <c r="F2688" s="619">
        <v>1183</v>
      </c>
      <c r="G2688" s="231" t="s">
        <v>4981</v>
      </c>
      <c r="H2688" s="619" t="s">
        <v>4982</v>
      </c>
      <c r="I2688" s="619" t="s">
        <v>167</v>
      </c>
      <c r="J2688" s="620">
        <v>90499500</v>
      </c>
      <c r="K2688" s="621" t="s">
        <v>4983</v>
      </c>
      <c r="L2688" s="621" t="s">
        <v>4984</v>
      </c>
      <c r="M2688" s="621" t="s">
        <v>4985</v>
      </c>
      <c r="N2688" s="621" t="s">
        <v>4228</v>
      </c>
      <c r="O2688" s="621" t="s">
        <v>4985</v>
      </c>
      <c r="P2688" s="621" t="s">
        <v>157</v>
      </c>
    </row>
    <row r="2689" spans="1:16">
      <c r="A2689" s="232" t="s">
        <v>689</v>
      </c>
      <c r="B2689" s="232" t="s">
        <v>2020</v>
      </c>
      <c r="C2689" s="622">
        <v>45082</v>
      </c>
      <c r="D2689" s="232" t="s">
        <v>4980</v>
      </c>
      <c r="E2689" s="231" t="s">
        <v>5068</v>
      </c>
      <c r="F2689" s="233">
        <v>3000</v>
      </c>
      <c r="G2689" s="232" t="s">
        <v>4981</v>
      </c>
      <c r="H2689" s="233" t="s">
        <v>4982</v>
      </c>
      <c r="I2689" s="233" t="s">
        <v>167</v>
      </c>
      <c r="J2689" s="623">
        <v>195000000</v>
      </c>
      <c r="K2689" s="624" t="s">
        <v>4983</v>
      </c>
      <c r="L2689" s="624" t="s">
        <v>4984</v>
      </c>
      <c r="M2689" s="624" t="s">
        <v>4985</v>
      </c>
      <c r="N2689" s="624" t="s">
        <v>4228</v>
      </c>
      <c r="O2689" s="624" t="s">
        <v>4985</v>
      </c>
      <c r="P2689" s="624" t="s">
        <v>157</v>
      </c>
    </row>
    <row r="2690" spans="1:16">
      <c r="A2690" s="231" t="s">
        <v>689</v>
      </c>
      <c r="B2690" s="231" t="s">
        <v>2020</v>
      </c>
      <c r="C2690" s="618">
        <v>45138</v>
      </c>
      <c r="D2690" s="231" t="s">
        <v>4980</v>
      </c>
      <c r="E2690" s="231" t="s">
        <v>5068</v>
      </c>
      <c r="F2690" s="619">
        <v>7000</v>
      </c>
      <c r="G2690" s="231" t="s">
        <v>4981</v>
      </c>
      <c r="H2690" s="619" t="s">
        <v>4982</v>
      </c>
      <c r="I2690" s="619" t="s">
        <v>167</v>
      </c>
      <c r="J2690" s="620">
        <v>413000000</v>
      </c>
      <c r="K2690" s="621" t="s">
        <v>4983</v>
      </c>
      <c r="L2690" s="621" t="s">
        <v>4984</v>
      </c>
      <c r="M2690" s="621" t="s">
        <v>4985</v>
      </c>
      <c r="N2690" s="621" t="s">
        <v>4228</v>
      </c>
      <c r="O2690" s="621" t="s">
        <v>4985</v>
      </c>
      <c r="P2690" s="621" t="s">
        <v>157</v>
      </c>
    </row>
    <row r="2691" spans="1:16">
      <c r="A2691" s="232" t="s">
        <v>689</v>
      </c>
      <c r="B2691" s="232" t="s">
        <v>2020</v>
      </c>
      <c r="C2691" s="622">
        <v>45274</v>
      </c>
      <c r="D2691" s="232" t="s">
        <v>4980</v>
      </c>
      <c r="E2691" s="231" t="s">
        <v>5068</v>
      </c>
      <c r="F2691" s="233">
        <v>3817</v>
      </c>
      <c r="G2691" s="232" t="s">
        <v>4981</v>
      </c>
      <c r="H2691" s="233" t="s">
        <v>4982</v>
      </c>
      <c r="I2691" s="233" t="s">
        <v>167</v>
      </c>
      <c r="J2691" s="623">
        <v>202290400</v>
      </c>
      <c r="K2691" s="624" t="s">
        <v>4983</v>
      </c>
      <c r="L2691" s="624" t="s">
        <v>4984</v>
      </c>
      <c r="M2691" s="624" t="s">
        <v>4985</v>
      </c>
      <c r="N2691" s="624" t="s">
        <v>4228</v>
      </c>
      <c r="O2691" s="624" t="s">
        <v>4985</v>
      </c>
      <c r="P2691" s="624" t="s">
        <v>157</v>
      </c>
    </row>
    <row r="2692" spans="1:16">
      <c r="A2692" s="231" t="s">
        <v>689</v>
      </c>
      <c r="B2692" s="231" t="s">
        <v>2020</v>
      </c>
      <c r="C2692" s="618">
        <v>45046</v>
      </c>
      <c r="D2692" s="231" t="s">
        <v>4980</v>
      </c>
      <c r="E2692" s="231" t="s">
        <v>5068</v>
      </c>
      <c r="F2692" s="619">
        <v>32326.269</v>
      </c>
      <c r="G2692" s="231" t="s">
        <v>4981</v>
      </c>
      <c r="H2692" s="619" t="s">
        <v>4982</v>
      </c>
      <c r="I2692" s="619">
        <v>5822613.3600000003</v>
      </c>
      <c r="J2692" s="620">
        <v>3511734570</v>
      </c>
      <c r="K2692" s="621" t="s">
        <v>4983</v>
      </c>
      <c r="L2692" s="621" t="s">
        <v>4984</v>
      </c>
      <c r="M2692" s="621" t="s">
        <v>4986</v>
      </c>
      <c r="N2692" s="621" t="s">
        <v>4987</v>
      </c>
      <c r="O2692" s="621" t="s">
        <v>4986</v>
      </c>
      <c r="P2692" s="621" t="s">
        <v>157</v>
      </c>
    </row>
    <row r="2693" spans="1:16">
      <c r="A2693" s="232" t="s">
        <v>689</v>
      </c>
      <c r="B2693" s="232" t="s">
        <v>2020</v>
      </c>
      <c r="C2693" s="622">
        <v>45107</v>
      </c>
      <c r="D2693" s="232" t="s">
        <v>4980</v>
      </c>
      <c r="E2693" s="231" t="s">
        <v>5068</v>
      </c>
      <c r="F2693" s="233">
        <v>49449.582999999999</v>
      </c>
      <c r="G2693" s="232" t="s">
        <v>4981</v>
      </c>
      <c r="H2693" s="233" t="s">
        <v>4982</v>
      </c>
      <c r="I2693" s="233">
        <v>8034489.1500000004</v>
      </c>
      <c r="J2693" s="623">
        <v>4850260410</v>
      </c>
      <c r="K2693" s="624" t="s">
        <v>4983</v>
      </c>
      <c r="L2693" s="624" t="s">
        <v>4984</v>
      </c>
      <c r="M2693" s="624" t="s">
        <v>4986</v>
      </c>
      <c r="N2693" s="624" t="s">
        <v>4987</v>
      </c>
      <c r="O2693" s="624" t="s">
        <v>4986</v>
      </c>
      <c r="P2693" s="624" t="s">
        <v>157</v>
      </c>
    </row>
    <row r="2694" spans="1:16">
      <c r="A2694" s="231" t="s">
        <v>689</v>
      </c>
      <c r="B2694" s="231" t="s">
        <v>2020</v>
      </c>
      <c r="C2694" s="618">
        <v>45182</v>
      </c>
      <c r="D2694" s="231" t="s">
        <v>4980</v>
      </c>
      <c r="E2694" s="231" t="s">
        <v>5068</v>
      </c>
      <c r="F2694" s="619">
        <v>49422.493000000002</v>
      </c>
      <c r="G2694" s="231" t="s">
        <v>4981</v>
      </c>
      <c r="H2694" s="619" t="s">
        <v>4982</v>
      </c>
      <c r="I2694" s="619">
        <v>7265106.4699999997</v>
      </c>
      <c r="J2694" s="620">
        <v>4440142470</v>
      </c>
      <c r="K2694" s="621" t="s">
        <v>4983</v>
      </c>
      <c r="L2694" s="621" t="s">
        <v>4984</v>
      </c>
      <c r="M2694" s="621" t="s">
        <v>4986</v>
      </c>
      <c r="N2694" s="621" t="s">
        <v>4987</v>
      </c>
      <c r="O2694" s="621" t="s">
        <v>4986</v>
      </c>
      <c r="P2694" s="621" t="s">
        <v>157</v>
      </c>
    </row>
    <row r="2695" spans="1:16">
      <c r="A2695" s="232" t="s">
        <v>689</v>
      </c>
      <c r="B2695" s="232" t="s">
        <v>2020</v>
      </c>
      <c r="C2695" s="622">
        <v>45199</v>
      </c>
      <c r="D2695" s="232" t="s">
        <v>4980</v>
      </c>
      <c r="E2695" s="231" t="s">
        <v>5068</v>
      </c>
      <c r="F2695" s="233">
        <v>16725.45</v>
      </c>
      <c r="G2695" s="232" t="s">
        <v>4981</v>
      </c>
      <c r="H2695" s="233" t="s">
        <v>4982</v>
      </c>
      <c r="I2695" s="233">
        <v>2570425.2599999998</v>
      </c>
      <c r="J2695" s="623">
        <v>1577855515</v>
      </c>
      <c r="K2695" s="624" t="s">
        <v>4983</v>
      </c>
      <c r="L2695" s="624" t="s">
        <v>4984</v>
      </c>
      <c r="M2695" s="624" t="s">
        <v>4986</v>
      </c>
      <c r="N2695" s="624" t="s">
        <v>4987</v>
      </c>
      <c r="O2695" s="624" t="s">
        <v>4986</v>
      </c>
      <c r="P2695" s="624" t="s">
        <v>157</v>
      </c>
    </row>
    <row r="2696" spans="1:16">
      <c r="A2696" s="231" t="s">
        <v>689</v>
      </c>
      <c r="B2696" s="231" t="s">
        <v>2020</v>
      </c>
      <c r="C2696" s="618">
        <v>45046</v>
      </c>
      <c r="D2696" s="231" t="s">
        <v>4980</v>
      </c>
      <c r="E2696" s="231" t="s">
        <v>5068</v>
      </c>
      <c r="F2696" s="619">
        <v>27501.773000000001</v>
      </c>
      <c r="G2696" s="231" t="s">
        <v>4981</v>
      </c>
      <c r="H2696" s="619" t="s">
        <v>4982</v>
      </c>
      <c r="I2696" s="619">
        <v>5071676.21</v>
      </c>
      <c r="J2696" s="620">
        <v>3058829356</v>
      </c>
      <c r="K2696" s="621" t="s">
        <v>4983</v>
      </c>
      <c r="L2696" s="621" t="s">
        <v>4984</v>
      </c>
      <c r="M2696" s="621" t="s">
        <v>4223</v>
      </c>
      <c r="N2696" s="621" t="s">
        <v>4988</v>
      </c>
      <c r="O2696" s="621" t="s">
        <v>4223</v>
      </c>
      <c r="P2696" s="621" t="s">
        <v>157</v>
      </c>
    </row>
    <row r="2697" spans="1:16">
      <c r="A2697" s="232" t="s">
        <v>689</v>
      </c>
      <c r="B2697" s="232" t="s">
        <v>2020</v>
      </c>
      <c r="C2697" s="622">
        <v>45138</v>
      </c>
      <c r="D2697" s="232" t="s">
        <v>4980</v>
      </c>
      <c r="E2697" s="231" t="s">
        <v>5068</v>
      </c>
      <c r="F2697" s="233">
        <v>27521.342000000001</v>
      </c>
      <c r="G2697" s="232" t="s">
        <v>4981</v>
      </c>
      <c r="H2697" s="233" t="s">
        <v>4982</v>
      </c>
      <c r="I2697" s="233">
        <v>4637346.13</v>
      </c>
      <c r="J2697" s="623">
        <v>2759591935</v>
      </c>
      <c r="K2697" s="624" t="s">
        <v>4983</v>
      </c>
      <c r="L2697" s="624" t="s">
        <v>4984</v>
      </c>
      <c r="M2697" s="624" t="s">
        <v>4223</v>
      </c>
      <c r="N2697" s="624" t="s">
        <v>4988</v>
      </c>
      <c r="O2697" s="624" t="s">
        <v>4223</v>
      </c>
      <c r="P2697" s="624" t="s">
        <v>157</v>
      </c>
    </row>
    <row r="2698" spans="1:16">
      <c r="A2698" s="231" t="s">
        <v>689</v>
      </c>
      <c r="B2698" s="231" t="s">
        <v>2020</v>
      </c>
      <c r="C2698" s="618">
        <v>45169</v>
      </c>
      <c r="D2698" s="231" t="s">
        <v>4980</v>
      </c>
      <c r="E2698" s="231" t="s">
        <v>5068</v>
      </c>
      <c r="F2698" s="619">
        <v>27551.469000000001</v>
      </c>
      <c r="G2698" s="231" t="s">
        <v>4981</v>
      </c>
      <c r="H2698" s="619" t="s">
        <v>4982</v>
      </c>
      <c r="I2698" s="619">
        <v>4453741.75</v>
      </c>
      <c r="J2698" s="620">
        <v>2722705944</v>
      </c>
      <c r="K2698" s="621" t="s">
        <v>4983</v>
      </c>
      <c r="L2698" s="621" t="s">
        <v>4984</v>
      </c>
      <c r="M2698" s="621" t="s">
        <v>4223</v>
      </c>
      <c r="N2698" s="621" t="s">
        <v>4988</v>
      </c>
      <c r="O2698" s="621" t="s">
        <v>4223</v>
      </c>
      <c r="P2698" s="621" t="s">
        <v>157</v>
      </c>
    </row>
    <row r="2699" spans="1:16">
      <c r="A2699" s="232" t="s">
        <v>689</v>
      </c>
      <c r="B2699" s="232" t="s">
        <v>2020</v>
      </c>
      <c r="C2699" s="622">
        <v>45230</v>
      </c>
      <c r="D2699" s="232" t="s">
        <v>4980</v>
      </c>
      <c r="E2699" s="231" t="s">
        <v>5068</v>
      </c>
      <c r="F2699" s="233">
        <v>27513.627</v>
      </c>
      <c r="G2699" s="232" t="s">
        <v>4981</v>
      </c>
      <c r="H2699" s="233" t="s">
        <v>4982</v>
      </c>
      <c r="I2699" s="233">
        <v>4095265.8</v>
      </c>
      <c r="J2699" s="623">
        <v>2513878911</v>
      </c>
      <c r="K2699" s="624" t="s">
        <v>4983</v>
      </c>
      <c r="L2699" s="624" t="s">
        <v>4984</v>
      </c>
      <c r="M2699" s="624" t="s">
        <v>4223</v>
      </c>
      <c r="N2699" s="624" t="s">
        <v>4988</v>
      </c>
      <c r="O2699" s="624" t="s">
        <v>4223</v>
      </c>
      <c r="P2699" s="624" t="s">
        <v>157</v>
      </c>
    </row>
    <row r="2700" spans="1:16">
      <c r="A2700" s="231" t="s">
        <v>689</v>
      </c>
      <c r="B2700" s="231" t="s">
        <v>2020</v>
      </c>
      <c r="C2700" s="618">
        <v>45288</v>
      </c>
      <c r="D2700" s="231" t="s">
        <v>4980</v>
      </c>
      <c r="E2700" s="231" t="s">
        <v>5068</v>
      </c>
      <c r="F2700" s="619">
        <v>27564.699000000001</v>
      </c>
      <c r="G2700" s="231" t="s">
        <v>4981</v>
      </c>
      <c r="H2700" s="619" t="s">
        <v>4982</v>
      </c>
      <c r="I2700" s="619">
        <v>4108242.75</v>
      </c>
      <c r="J2700" s="620">
        <v>2424725953</v>
      </c>
      <c r="K2700" s="621" t="s">
        <v>4983</v>
      </c>
      <c r="L2700" s="621" t="s">
        <v>4984</v>
      </c>
      <c r="M2700" s="621" t="s">
        <v>4223</v>
      </c>
      <c r="N2700" s="621" t="s">
        <v>4988</v>
      </c>
      <c r="O2700" s="621" t="s">
        <v>4223</v>
      </c>
      <c r="P2700" s="621" t="s">
        <v>157</v>
      </c>
    </row>
    <row r="2701" spans="1:16">
      <c r="A2701" s="232" t="s">
        <v>689</v>
      </c>
      <c r="B2701" s="232" t="s">
        <v>2020</v>
      </c>
      <c r="C2701" s="622">
        <v>44963</v>
      </c>
      <c r="D2701" s="232" t="s">
        <v>4980</v>
      </c>
      <c r="E2701" s="231" t="s">
        <v>5068</v>
      </c>
      <c r="F2701" s="233">
        <v>19358.57</v>
      </c>
      <c r="G2701" s="232" t="s">
        <v>4981</v>
      </c>
      <c r="H2701" s="233" t="s">
        <v>4982</v>
      </c>
      <c r="I2701" s="233">
        <v>3656240.61</v>
      </c>
      <c r="J2701" s="623">
        <v>2288489144</v>
      </c>
      <c r="K2701" s="624" t="s">
        <v>4983</v>
      </c>
      <c r="L2701" s="624" t="s">
        <v>4984</v>
      </c>
      <c r="M2701" s="624" t="s">
        <v>4989</v>
      </c>
      <c r="N2701" s="624" t="s">
        <v>4990</v>
      </c>
      <c r="O2701" s="624" t="s">
        <v>4989</v>
      </c>
      <c r="P2701" s="624" t="s">
        <v>157</v>
      </c>
    </row>
    <row r="2702" spans="1:16">
      <c r="A2702" s="231" t="s">
        <v>685</v>
      </c>
      <c r="B2702" s="231">
        <v>28797</v>
      </c>
      <c r="C2702" s="618">
        <v>44927</v>
      </c>
      <c r="D2702" s="231" t="s">
        <v>4991</v>
      </c>
      <c r="E2702" s="231" t="s">
        <v>5078</v>
      </c>
      <c r="F2702" s="619">
        <v>4565.5</v>
      </c>
      <c r="G2702" s="231" t="s">
        <v>4836</v>
      </c>
      <c r="H2702" s="619"/>
      <c r="I2702" s="619"/>
      <c r="J2702" s="620">
        <v>107242771</v>
      </c>
      <c r="K2702" s="621" t="s">
        <v>4992</v>
      </c>
      <c r="L2702" s="621" t="s">
        <v>2182</v>
      </c>
      <c r="M2702" s="621" t="s">
        <v>4993</v>
      </c>
      <c r="N2702" s="621" t="s">
        <v>4092</v>
      </c>
      <c r="O2702" s="621"/>
      <c r="P2702" s="621"/>
    </row>
    <row r="2703" spans="1:16">
      <c r="A2703" s="232" t="s">
        <v>685</v>
      </c>
      <c r="B2703" s="232">
        <v>28797</v>
      </c>
      <c r="C2703" s="622">
        <v>44958</v>
      </c>
      <c r="D2703" s="232" t="s">
        <v>4991</v>
      </c>
      <c r="E2703" s="231" t="s">
        <v>5078</v>
      </c>
      <c r="F2703" s="233">
        <v>11945.146000000001</v>
      </c>
      <c r="G2703" s="232" t="s">
        <v>4836</v>
      </c>
      <c r="H2703" s="233"/>
      <c r="I2703" s="233"/>
      <c r="J2703" s="623">
        <v>303634426</v>
      </c>
      <c r="K2703" s="624" t="s">
        <v>4992</v>
      </c>
      <c r="L2703" s="624" t="s">
        <v>2182</v>
      </c>
      <c r="M2703" s="624" t="s">
        <v>4993</v>
      </c>
      <c r="N2703" s="624" t="s">
        <v>4092</v>
      </c>
      <c r="O2703" s="624"/>
      <c r="P2703" s="624"/>
    </row>
    <row r="2704" spans="1:16">
      <c r="A2704" s="231" t="s">
        <v>685</v>
      </c>
      <c r="B2704" s="231">
        <v>28797</v>
      </c>
      <c r="C2704" s="618">
        <v>44986</v>
      </c>
      <c r="D2704" s="231" t="s">
        <v>4991</v>
      </c>
      <c r="E2704" s="231" t="s">
        <v>5078</v>
      </c>
      <c r="F2704" s="619">
        <v>0</v>
      </c>
      <c r="G2704" s="231" t="s">
        <v>4836</v>
      </c>
      <c r="H2704" s="619"/>
      <c r="I2704" s="619"/>
      <c r="J2704" s="620">
        <v>-8151676</v>
      </c>
      <c r="K2704" s="621" t="s">
        <v>4992</v>
      </c>
      <c r="L2704" s="621" t="s">
        <v>2182</v>
      </c>
      <c r="M2704" s="621" t="s">
        <v>4993</v>
      </c>
      <c r="N2704" s="621" t="s">
        <v>4092</v>
      </c>
      <c r="O2704" s="621"/>
      <c r="P2704" s="621"/>
    </row>
    <row r="2705" spans="1:16">
      <c r="A2705" s="232" t="s">
        <v>685</v>
      </c>
      <c r="B2705" s="232">
        <v>28797</v>
      </c>
      <c r="C2705" s="622">
        <v>45017</v>
      </c>
      <c r="D2705" s="232" t="s">
        <v>4991</v>
      </c>
      <c r="E2705" s="231" t="s">
        <v>5078</v>
      </c>
      <c r="F2705" s="233">
        <v>5197.2380000000003</v>
      </c>
      <c r="G2705" s="232" t="s">
        <v>4836</v>
      </c>
      <c r="H2705" s="233"/>
      <c r="I2705" s="233"/>
      <c r="J2705" s="623">
        <v>139420446</v>
      </c>
      <c r="K2705" s="624" t="s">
        <v>4992</v>
      </c>
      <c r="L2705" s="624" t="s">
        <v>2182</v>
      </c>
      <c r="M2705" s="624" t="s">
        <v>4993</v>
      </c>
      <c r="N2705" s="624" t="s">
        <v>4092</v>
      </c>
      <c r="O2705" s="624"/>
      <c r="P2705" s="624"/>
    </row>
    <row r="2706" spans="1:16">
      <c r="A2706" s="231" t="s">
        <v>685</v>
      </c>
      <c r="B2706" s="231">
        <v>28797</v>
      </c>
      <c r="C2706" s="618">
        <v>45047</v>
      </c>
      <c r="D2706" s="231" t="s">
        <v>4991</v>
      </c>
      <c r="E2706" s="231" t="s">
        <v>5078</v>
      </c>
      <c r="F2706" s="619">
        <v>7827.2669999999889</v>
      </c>
      <c r="G2706" s="231" t="s">
        <v>4836</v>
      </c>
      <c r="H2706" s="619"/>
      <c r="I2706" s="619"/>
      <c r="J2706" s="620">
        <v>205149909</v>
      </c>
      <c r="K2706" s="621" t="s">
        <v>4992</v>
      </c>
      <c r="L2706" s="621" t="s">
        <v>2182</v>
      </c>
      <c r="M2706" s="621" t="s">
        <v>4993</v>
      </c>
      <c r="N2706" s="621" t="s">
        <v>4092</v>
      </c>
      <c r="O2706" s="621"/>
      <c r="P2706" s="621"/>
    </row>
    <row r="2707" spans="1:16">
      <c r="A2707" s="232" t="s">
        <v>685</v>
      </c>
      <c r="B2707" s="232">
        <v>28797</v>
      </c>
      <c r="C2707" s="622">
        <v>45078</v>
      </c>
      <c r="D2707" s="232" t="s">
        <v>4991</v>
      </c>
      <c r="E2707" s="231" t="s">
        <v>5078</v>
      </c>
      <c r="F2707" s="233">
        <v>9974.4050000000007</v>
      </c>
      <c r="G2707" s="232" t="s">
        <v>4836</v>
      </c>
      <c r="H2707" s="233"/>
      <c r="I2707" s="233"/>
      <c r="J2707" s="623">
        <v>273061951</v>
      </c>
      <c r="K2707" s="624" t="s">
        <v>4992</v>
      </c>
      <c r="L2707" s="624" t="s">
        <v>2182</v>
      </c>
      <c r="M2707" s="624" t="s">
        <v>4993</v>
      </c>
      <c r="N2707" s="624" t="s">
        <v>4092</v>
      </c>
      <c r="O2707" s="624"/>
      <c r="P2707" s="624"/>
    </row>
    <row r="2708" spans="1:16">
      <c r="A2708" s="231" t="s">
        <v>685</v>
      </c>
      <c r="B2708" s="231">
        <v>28797</v>
      </c>
      <c r="C2708" s="618">
        <v>45108</v>
      </c>
      <c r="D2708" s="231" t="s">
        <v>4991</v>
      </c>
      <c r="E2708" s="231" t="s">
        <v>5078</v>
      </c>
      <c r="F2708" s="619">
        <v>1986.9849999999899</v>
      </c>
      <c r="G2708" s="231" t="s">
        <v>4836</v>
      </c>
      <c r="H2708" s="619"/>
      <c r="I2708" s="619"/>
      <c r="J2708" s="620">
        <v>46673918</v>
      </c>
      <c r="K2708" s="621" t="s">
        <v>4992</v>
      </c>
      <c r="L2708" s="621" t="s">
        <v>2182</v>
      </c>
      <c r="M2708" s="621" t="s">
        <v>4993</v>
      </c>
      <c r="N2708" s="621" t="s">
        <v>4092</v>
      </c>
      <c r="O2708" s="621"/>
      <c r="P2708" s="621"/>
    </row>
    <row r="2709" spans="1:16">
      <c r="A2709" s="232" t="s">
        <v>685</v>
      </c>
      <c r="B2709" s="232">
        <v>28797</v>
      </c>
      <c r="C2709" s="622">
        <v>45139</v>
      </c>
      <c r="D2709" s="232" t="s">
        <v>4991</v>
      </c>
      <c r="E2709" s="231" t="s">
        <v>5078</v>
      </c>
      <c r="F2709" s="233">
        <v>1452.5</v>
      </c>
      <c r="G2709" s="232" t="s">
        <v>4836</v>
      </c>
      <c r="H2709" s="233"/>
      <c r="I2709" s="233"/>
      <c r="J2709" s="623">
        <v>73996955</v>
      </c>
      <c r="K2709" s="624" t="s">
        <v>4992</v>
      </c>
      <c r="L2709" s="624" t="s">
        <v>2182</v>
      </c>
      <c r="M2709" s="624" t="s">
        <v>4993</v>
      </c>
      <c r="N2709" s="624" t="s">
        <v>4092</v>
      </c>
      <c r="O2709" s="624"/>
      <c r="P2709" s="624"/>
    </row>
    <row r="2710" spans="1:16">
      <c r="A2710" s="231" t="s">
        <v>685</v>
      </c>
      <c r="B2710" s="231">
        <v>28797</v>
      </c>
      <c r="C2710" s="618">
        <v>45170</v>
      </c>
      <c r="D2710" s="231" t="s">
        <v>4991</v>
      </c>
      <c r="E2710" s="231" t="s">
        <v>5078</v>
      </c>
      <c r="F2710" s="619">
        <v>9188.8299999999908</v>
      </c>
      <c r="G2710" s="231" t="s">
        <v>4836</v>
      </c>
      <c r="H2710" s="619"/>
      <c r="I2710" s="619"/>
      <c r="J2710" s="620">
        <v>242710912</v>
      </c>
      <c r="K2710" s="621" t="s">
        <v>4992</v>
      </c>
      <c r="L2710" s="621" t="s">
        <v>2182</v>
      </c>
      <c r="M2710" s="621" t="s">
        <v>4993</v>
      </c>
      <c r="N2710" s="621" t="s">
        <v>4092</v>
      </c>
      <c r="O2710" s="621"/>
      <c r="P2710" s="621"/>
    </row>
    <row r="2711" spans="1:16">
      <c r="A2711" s="232" t="s">
        <v>685</v>
      </c>
      <c r="B2711" s="232">
        <v>28797</v>
      </c>
      <c r="C2711" s="622">
        <v>45200</v>
      </c>
      <c r="D2711" s="232" t="s">
        <v>4991</v>
      </c>
      <c r="E2711" s="231" t="s">
        <v>5078</v>
      </c>
      <c r="F2711" s="233">
        <v>2532</v>
      </c>
      <c r="G2711" s="232" t="s">
        <v>4836</v>
      </c>
      <c r="H2711" s="233"/>
      <c r="I2711" s="233"/>
      <c r="J2711" s="623">
        <v>72058568</v>
      </c>
      <c r="K2711" s="624" t="s">
        <v>4992</v>
      </c>
      <c r="L2711" s="624" t="s">
        <v>2182</v>
      </c>
      <c r="M2711" s="624" t="s">
        <v>4993</v>
      </c>
      <c r="N2711" s="624" t="s">
        <v>4092</v>
      </c>
      <c r="O2711" s="624"/>
      <c r="P2711" s="624"/>
    </row>
    <row r="2712" spans="1:16">
      <c r="A2712" s="231" t="s">
        <v>685</v>
      </c>
      <c r="B2712" s="231">
        <v>28797</v>
      </c>
      <c r="C2712" s="618">
        <v>45231</v>
      </c>
      <c r="D2712" s="231" t="s">
        <v>4991</v>
      </c>
      <c r="E2712" s="231" t="s">
        <v>5078</v>
      </c>
      <c r="F2712" s="619">
        <v>9045.4249999999793</v>
      </c>
      <c r="G2712" s="231" t="s">
        <v>4836</v>
      </c>
      <c r="H2712" s="619"/>
      <c r="I2712" s="619"/>
      <c r="J2712" s="620">
        <v>257642659</v>
      </c>
      <c r="K2712" s="621" t="s">
        <v>4992</v>
      </c>
      <c r="L2712" s="621" t="s">
        <v>2182</v>
      </c>
      <c r="M2712" s="621" t="s">
        <v>4993</v>
      </c>
      <c r="N2712" s="621" t="s">
        <v>4092</v>
      </c>
      <c r="O2712" s="621"/>
      <c r="P2712" s="621"/>
    </row>
    <row r="2713" spans="1:16">
      <c r="A2713" s="232" t="s">
        <v>685</v>
      </c>
      <c r="B2713" s="232">
        <v>28797</v>
      </c>
      <c r="C2713" s="622">
        <v>44927</v>
      </c>
      <c r="D2713" s="232" t="s">
        <v>4991</v>
      </c>
      <c r="E2713" s="231" t="s">
        <v>5078</v>
      </c>
      <c r="F2713" s="233">
        <v>2608.29</v>
      </c>
      <c r="G2713" s="232" t="s">
        <v>4836</v>
      </c>
      <c r="H2713" s="233"/>
      <c r="I2713" s="233"/>
      <c r="J2713" s="623">
        <v>61268260</v>
      </c>
      <c r="K2713" s="624" t="s">
        <v>4992</v>
      </c>
      <c r="L2713" s="624" t="s">
        <v>2182</v>
      </c>
      <c r="M2713" s="624" t="s">
        <v>4994</v>
      </c>
      <c r="N2713" s="624" t="s">
        <v>4995</v>
      </c>
      <c r="O2713" s="624"/>
      <c r="P2713" s="624"/>
    </row>
    <row r="2714" spans="1:16">
      <c r="A2714" s="231" t="s">
        <v>685</v>
      </c>
      <c r="B2714" s="231">
        <v>28797</v>
      </c>
      <c r="C2714" s="618">
        <v>44958</v>
      </c>
      <c r="D2714" s="231" t="s">
        <v>4991</v>
      </c>
      <c r="E2714" s="231" t="s">
        <v>5078</v>
      </c>
      <c r="F2714" s="619">
        <v>8167.2830000000004</v>
      </c>
      <c r="G2714" s="231" t="s">
        <v>4836</v>
      </c>
      <c r="H2714" s="619"/>
      <c r="I2714" s="619"/>
      <c r="J2714" s="620">
        <v>191848006</v>
      </c>
      <c r="K2714" s="621" t="s">
        <v>4992</v>
      </c>
      <c r="L2714" s="621" t="s">
        <v>2182</v>
      </c>
      <c r="M2714" s="621" t="s">
        <v>4994</v>
      </c>
      <c r="N2714" s="621" t="s">
        <v>4995</v>
      </c>
      <c r="O2714" s="621"/>
      <c r="P2714" s="621"/>
    </row>
    <row r="2715" spans="1:16">
      <c r="A2715" s="232" t="s">
        <v>685</v>
      </c>
      <c r="B2715" s="232">
        <v>28797</v>
      </c>
      <c r="C2715" s="622">
        <v>45017</v>
      </c>
      <c r="D2715" s="232" t="s">
        <v>4991</v>
      </c>
      <c r="E2715" s="231" t="s">
        <v>5078</v>
      </c>
      <c r="F2715" s="233">
        <v>10683.27</v>
      </c>
      <c r="G2715" s="232" t="s">
        <v>4836</v>
      </c>
      <c r="H2715" s="233"/>
      <c r="I2715" s="233"/>
      <c r="J2715" s="623">
        <v>250948092</v>
      </c>
      <c r="K2715" s="624" t="s">
        <v>4992</v>
      </c>
      <c r="L2715" s="624" t="s">
        <v>2182</v>
      </c>
      <c r="M2715" s="624" t="s">
        <v>4994</v>
      </c>
      <c r="N2715" s="624" t="s">
        <v>4995</v>
      </c>
      <c r="O2715" s="624"/>
      <c r="P2715" s="624"/>
    </row>
    <row r="2716" spans="1:16">
      <c r="A2716" s="231" t="s">
        <v>685</v>
      </c>
      <c r="B2716" s="231">
        <v>28797</v>
      </c>
      <c r="C2716" s="618">
        <v>45078</v>
      </c>
      <c r="D2716" s="231" t="s">
        <v>4991</v>
      </c>
      <c r="E2716" s="231" t="s">
        <v>5078</v>
      </c>
      <c r="F2716" s="619">
        <v>9224.2950000000001</v>
      </c>
      <c r="G2716" s="231" t="s">
        <v>4836</v>
      </c>
      <c r="H2716" s="619"/>
      <c r="I2716" s="619"/>
      <c r="J2716" s="620">
        <v>216677028</v>
      </c>
      <c r="K2716" s="621" t="s">
        <v>4992</v>
      </c>
      <c r="L2716" s="621" t="s">
        <v>2182</v>
      </c>
      <c r="M2716" s="621" t="s">
        <v>4994</v>
      </c>
      <c r="N2716" s="621" t="s">
        <v>4995</v>
      </c>
      <c r="O2716" s="621"/>
      <c r="P2716" s="621"/>
    </row>
    <row r="2717" spans="1:16">
      <c r="A2717" s="232" t="s">
        <v>685</v>
      </c>
      <c r="B2717" s="232">
        <v>28797</v>
      </c>
      <c r="C2717" s="622">
        <v>45108</v>
      </c>
      <c r="D2717" s="232" t="s">
        <v>4991</v>
      </c>
      <c r="E2717" s="231" t="s">
        <v>5078</v>
      </c>
      <c r="F2717" s="233">
        <v>4962.5</v>
      </c>
      <c r="G2717" s="232" t="s">
        <v>4836</v>
      </c>
      <c r="H2717" s="233"/>
      <c r="I2717" s="233"/>
      <c r="J2717" s="623">
        <v>116568236</v>
      </c>
      <c r="K2717" s="624" t="s">
        <v>4992</v>
      </c>
      <c r="L2717" s="624" t="s">
        <v>2182</v>
      </c>
      <c r="M2717" s="624" t="s">
        <v>4994</v>
      </c>
      <c r="N2717" s="624" t="s">
        <v>4995</v>
      </c>
      <c r="O2717" s="624"/>
      <c r="P2717" s="624"/>
    </row>
    <row r="2718" spans="1:16">
      <c r="A2718" s="231" t="s">
        <v>685</v>
      </c>
      <c r="B2718" s="231">
        <v>28797</v>
      </c>
      <c r="C2718" s="618">
        <v>45139</v>
      </c>
      <c r="D2718" s="231" t="s">
        <v>4991</v>
      </c>
      <c r="E2718" s="231" t="s">
        <v>5078</v>
      </c>
      <c r="F2718" s="619">
        <v>5274.1750000000002</v>
      </c>
      <c r="G2718" s="231" t="s">
        <v>4836</v>
      </c>
      <c r="H2718" s="619"/>
      <c r="I2718" s="619"/>
      <c r="J2718" s="620">
        <v>123889424</v>
      </c>
      <c r="K2718" s="621" t="s">
        <v>4992</v>
      </c>
      <c r="L2718" s="621" t="s">
        <v>2182</v>
      </c>
      <c r="M2718" s="621" t="s">
        <v>4994</v>
      </c>
      <c r="N2718" s="621" t="s">
        <v>4995</v>
      </c>
      <c r="O2718" s="621"/>
      <c r="P2718" s="621"/>
    </row>
    <row r="2719" spans="1:16">
      <c r="A2719" s="232" t="s">
        <v>685</v>
      </c>
      <c r="B2719" s="232">
        <v>28797</v>
      </c>
      <c r="C2719" s="622">
        <v>45170</v>
      </c>
      <c r="D2719" s="232" t="s">
        <v>4991</v>
      </c>
      <c r="E2719" s="231" t="s">
        <v>5078</v>
      </c>
      <c r="F2719" s="233">
        <v>3278.2280000000001</v>
      </c>
      <c r="G2719" s="232" t="s">
        <v>4836</v>
      </c>
      <c r="H2719" s="233"/>
      <c r="I2719" s="233"/>
      <c r="J2719" s="623">
        <v>77004983</v>
      </c>
      <c r="K2719" s="624" t="s">
        <v>4992</v>
      </c>
      <c r="L2719" s="624" t="s">
        <v>2182</v>
      </c>
      <c r="M2719" s="624" t="s">
        <v>4994</v>
      </c>
      <c r="N2719" s="624" t="s">
        <v>4995</v>
      </c>
      <c r="O2719" s="624"/>
      <c r="P2719" s="624"/>
    </row>
    <row r="2720" spans="1:16">
      <c r="A2720" s="231" t="s">
        <v>685</v>
      </c>
      <c r="B2720" s="231">
        <v>28797</v>
      </c>
      <c r="C2720" s="618">
        <v>45200</v>
      </c>
      <c r="D2720" s="231" t="s">
        <v>4991</v>
      </c>
      <c r="E2720" s="231" t="s">
        <v>5078</v>
      </c>
      <c r="F2720" s="619">
        <v>11249.972</v>
      </c>
      <c r="G2720" s="231" t="s">
        <v>4836</v>
      </c>
      <c r="H2720" s="619"/>
      <c r="I2720" s="619"/>
      <c r="J2720" s="620">
        <v>264259821</v>
      </c>
      <c r="K2720" s="621" t="s">
        <v>4992</v>
      </c>
      <c r="L2720" s="621" t="s">
        <v>2182</v>
      </c>
      <c r="M2720" s="621" t="s">
        <v>4994</v>
      </c>
      <c r="N2720" s="621" t="s">
        <v>4995</v>
      </c>
      <c r="O2720" s="621"/>
      <c r="P2720" s="621"/>
    </row>
    <row r="2721" spans="1:16">
      <c r="A2721" s="232" t="s">
        <v>685</v>
      </c>
      <c r="B2721" s="232">
        <v>28797</v>
      </c>
      <c r="C2721" s="622">
        <v>45231</v>
      </c>
      <c r="D2721" s="232" t="s">
        <v>4991</v>
      </c>
      <c r="E2721" s="231" t="s">
        <v>5078</v>
      </c>
      <c r="F2721" s="233">
        <v>5840.8630000000003</v>
      </c>
      <c r="G2721" s="232" t="s">
        <v>4836</v>
      </c>
      <c r="H2721" s="233"/>
      <c r="I2721" s="233"/>
      <c r="J2721" s="623">
        <v>137200819</v>
      </c>
      <c r="K2721" s="624" t="s">
        <v>4992</v>
      </c>
      <c r="L2721" s="624" t="s">
        <v>2182</v>
      </c>
      <c r="M2721" s="624" t="s">
        <v>4994</v>
      </c>
      <c r="N2721" s="624" t="s">
        <v>4995</v>
      </c>
      <c r="O2721" s="624"/>
      <c r="P2721" s="624"/>
    </row>
    <row r="2722" spans="1:16">
      <c r="A2722" s="231" t="s">
        <v>685</v>
      </c>
      <c r="B2722" s="231">
        <v>28797</v>
      </c>
      <c r="C2722" s="618">
        <v>45261</v>
      </c>
      <c r="D2722" s="231" t="s">
        <v>4991</v>
      </c>
      <c r="E2722" s="231" t="s">
        <v>5078</v>
      </c>
      <c r="F2722" s="619">
        <v>9685.8080000000009</v>
      </c>
      <c r="G2722" s="231" t="s">
        <v>4836</v>
      </c>
      <c r="H2722" s="619"/>
      <c r="I2722" s="619"/>
      <c r="J2722" s="620">
        <v>227517891</v>
      </c>
      <c r="K2722" s="621" t="s">
        <v>4992</v>
      </c>
      <c r="L2722" s="621" t="s">
        <v>2182</v>
      </c>
      <c r="M2722" s="621" t="s">
        <v>4994</v>
      </c>
      <c r="N2722" s="621" t="s">
        <v>4995</v>
      </c>
      <c r="O2722" s="621"/>
      <c r="P2722" s="621"/>
    </row>
    <row r="2723" spans="1:16">
      <c r="A2723" s="232" t="s">
        <v>685</v>
      </c>
      <c r="B2723" s="232">
        <v>28797</v>
      </c>
      <c r="C2723" s="622">
        <v>44927</v>
      </c>
      <c r="D2723" s="232" t="s">
        <v>4991</v>
      </c>
      <c r="E2723" s="231" t="s">
        <v>5078</v>
      </c>
      <c r="F2723" s="233">
        <v>5916.2929999999897</v>
      </c>
      <c r="G2723" s="232" t="s">
        <v>4836</v>
      </c>
      <c r="H2723" s="233"/>
      <c r="I2723" s="233"/>
      <c r="J2723" s="623">
        <v>138951345</v>
      </c>
      <c r="K2723" s="624" t="s">
        <v>4992</v>
      </c>
      <c r="L2723" s="624" t="s">
        <v>2182</v>
      </c>
      <c r="M2723" s="624" t="s">
        <v>4996</v>
      </c>
      <c r="N2723" s="624" t="s">
        <v>4997</v>
      </c>
      <c r="O2723" s="624"/>
      <c r="P2723" s="624"/>
    </row>
    <row r="2724" spans="1:16">
      <c r="A2724" s="231" t="s">
        <v>685</v>
      </c>
      <c r="B2724" s="231">
        <v>28797</v>
      </c>
      <c r="C2724" s="618">
        <v>44958</v>
      </c>
      <c r="D2724" s="231" t="s">
        <v>4991</v>
      </c>
      <c r="E2724" s="231" t="s">
        <v>5078</v>
      </c>
      <c r="F2724" s="619">
        <v>6554.4830000000002</v>
      </c>
      <c r="G2724" s="231" t="s">
        <v>4836</v>
      </c>
      <c r="H2724" s="619"/>
      <c r="I2724" s="619"/>
      <c r="J2724" s="620">
        <v>177843173</v>
      </c>
      <c r="K2724" s="621" t="s">
        <v>4992</v>
      </c>
      <c r="L2724" s="621" t="s">
        <v>2182</v>
      </c>
      <c r="M2724" s="621" t="s">
        <v>4996</v>
      </c>
      <c r="N2724" s="621" t="s">
        <v>4997</v>
      </c>
      <c r="O2724" s="621"/>
      <c r="P2724" s="621"/>
    </row>
    <row r="2725" spans="1:16">
      <c r="A2725" s="232" t="s">
        <v>685</v>
      </c>
      <c r="B2725" s="232">
        <v>28797</v>
      </c>
      <c r="C2725" s="622">
        <v>44986</v>
      </c>
      <c r="D2725" s="232" t="s">
        <v>4991</v>
      </c>
      <c r="E2725" s="231" t="s">
        <v>5078</v>
      </c>
      <c r="F2725" s="233">
        <v>3288.6610000000001</v>
      </c>
      <c r="G2725" s="232" t="s">
        <v>4836</v>
      </c>
      <c r="H2725" s="233"/>
      <c r="I2725" s="233"/>
      <c r="J2725" s="623">
        <v>85276739</v>
      </c>
      <c r="K2725" s="624" t="s">
        <v>4992</v>
      </c>
      <c r="L2725" s="624" t="s">
        <v>2182</v>
      </c>
      <c r="M2725" s="624" t="s">
        <v>4996</v>
      </c>
      <c r="N2725" s="624" t="s">
        <v>4997</v>
      </c>
      <c r="O2725" s="624"/>
      <c r="P2725" s="624"/>
    </row>
    <row r="2726" spans="1:16">
      <c r="A2726" s="231" t="s">
        <v>685</v>
      </c>
      <c r="B2726" s="231">
        <v>28797</v>
      </c>
      <c r="C2726" s="618">
        <v>45017</v>
      </c>
      <c r="D2726" s="231" t="s">
        <v>4991</v>
      </c>
      <c r="E2726" s="231" t="s">
        <v>5078</v>
      </c>
      <c r="F2726" s="619">
        <v>10484.71799999999</v>
      </c>
      <c r="G2726" s="231" t="s">
        <v>4836</v>
      </c>
      <c r="H2726" s="619"/>
      <c r="I2726" s="619"/>
      <c r="J2726" s="620">
        <v>282924376</v>
      </c>
      <c r="K2726" s="621" t="s">
        <v>4992</v>
      </c>
      <c r="L2726" s="621" t="s">
        <v>2182</v>
      </c>
      <c r="M2726" s="621" t="s">
        <v>4996</v>
      </c>
      <c r="N2726" s="621" t="s">
        <v>4997</v>
      </c>
      <c r="O2726" s="621"/>
      <c r="P2726" s="621"/>
    </row>
    <row r="2727" spans="1:16">
      <c r="A2727" s="232" t="s">
        <v>685</v>
      </c>
      <c r="B2727" s="232">
        <v>28797</v>
      </c>
      <c r="C2727" s="622">
        <v>45139</v>
      </c>
      <c r="D2727" s="232" t="s">
        <v>4991</v>
      </c>
      <c r="E2727" s="231" t="s">
        <v>5078</v>
      </c>
      <c r="F2727" s="233">
        <v>5462.5</v>
      </c>
      <c r="G2727" s="232" t="s">
        <v>4836</v>
      </c>
      <c r="H2727" s="233"/>
      <c r="I2727" s="233"/>
      <c r="J2727" s="623">
        <v>144905119</v>
      </c>
      <c r="K2727" s="624" t="s">
        <v>4992</v>
      </c>
      <c r="L2727" s="624" t="s">
        <v>2182</v>
      </c>
      <c r="M2727" s="624" t="s">
        <v>4996</v>
      </c>
      <c r="N2727" s="624" t="s">
        <v>4997</v>
      </c>
      <c r="O2727" s="624"/>
      <c r="P2727" s="624"/>
    </row>
    <row r="2728" spans="1:16">
      <c r="A2728" s="231" t="s">
        <v>685</v>
      </c>
      <c r="B2728" s="231">
        <v>28797</v>
      </c>
      <c r="C2728" s="618">
        <v>45200</v>
      </c>
      <c r="D2728" s="231" t="s">
        <v>4991</v>
      </c>
      <c r="E2728" s="231" t="s">
        <v>5078</v>
      </c>
      <c r="F2728" s="619">
        <v>5906.3899999999903</v>
      </c>
      <c r="G2728" s="231" t="s">
        <v>4836</v>
      </c>
      <c r="H2728" s="619"/>
      <c r="I2728" s="619"/>
      <c r="J2728" s="620">
        <v>163537492</v>
      </c>
      <c r="K2728" s="621" t="s">
        <v>4992</v>
      </c>
      <c r="L2728" s="621" t="s">
        <v>2182</v>
      </c>
      <c r="M2728" s="621" t="s">
        <v>4996</v>
      </c>
      <c r="N2728" s="621" t="s">
        <v>4997</v>
      </c>
      <c r="O2728" s="621"/>
      <c r="P2728" s="621"/>
    </row>
    <row r="2729" spans="1:16">
      <c r="A2729" s="232" t="s">
        <v>685</v>
      </c>
      <c r="B2729" s="232">
        <v>28797</v>
      </c>
      <c r="C2729" s="622">
        <v>45261</v>
      </c>
      <c r="D2729" s="232" t="s">
        <v>4991</v>
      </c>
      <c r="E2729" s="231" t="s">
        <v>5078</v>
      </c>
      <c r="F2729" s="233">
        <v>3872.25</v>
      </c>
      <c r="G2729" s="232" t="s">
        <v>4836</v>
      </c>
      <c r="H2729" s="233"/>
      <c r="I2729" s="233"/>
      <c r="J2729" s="623">
        <v>103185513</v>
      </c>
      <c r="K2729" s="624" t="s">
        <v>4992</v>
      </c>
      <c r="L2729" s="624" t="s">
        <v>2182</v>
      </c>
      <c r="M2729" s="624" t="s">
        <v>4996</v>
      </c>
      <c r="N2729" s="624" t="s">
        <v>4997</v>
      </c>
      <c r="O2729" s="624"/>
      <c r="P2729" s="624"/>
    </row>
    <row r="2730" spans="1:16">
      <c r="A2730" s="231" t="s">
        <v>685</v>
      </c>
      <c r="B2730" s="231">
        <v>28797</v>
      </c>
      <c r="C2730" s="618">
        <v>44927</v>
      </c>
      <c r="D2730" s="231" t="s">
        <v>4998</v>
      </c>
      <c r="E2730" s="231"/>
      <c r="F2730" s="619">
        <v>394.35</v>
      </c>
      <c r="G2730" s="231" t="s">
        <v>4836</v>
      </c>
      <c r="H2730" s="619"/>
      <c r="I2730" s="619"/>
      <c r="J2730" s="620">
        <v>22584169</v>
      </c>
      <c r="K2730" s="621" t="s">
        <v>4992</v>
      </c>
      <c r="L2730" s="621" t="s">
        <v>2602</v>
      </c>
      <c r="M2730" s="621" t="s">
        <v>4999</v>
      </c>
      <c r="N2730" s="621" t="s">
        <v>2608</v>
      </c>
      <c r="O2730" s="621"/>
      <c r="P2730" s="621"/>
    </row>
    <row r="2731" spans="1:16">
      <c r="A2731" s="232" t="s">
        <v>685</v>
      </c>
      <c r="B2731" s="232">
        <v>28797</v>
      </c>
      <c r="C2731" s="622">
        <v>44958</v>
      </c>
      <c r="D2731" s="232" t="s">
        <v>4998</v>
      </c>
      <c r="E2731" s="232"/>
      <c r="F2731" s="233">
        <v>305.54999999999995</v>
      </c>
      <c r="G2731" s="232" t="s">
        <v>4836</v>
      </c>
      <c r="H2731" s="233"/>
      <c r="I2731" s="233"/>
      <c r="J2731" s="623">
        <v>19932148</v>
      </c>
      <c r="K2731" s="624" t="s">
        <v>4992</v>
      </c>
      <c r="L2731" s="624" t="s">
        <v>2602</v>
      </c>
      <c r="M2731" s="624" t="s">
        <v>4999</v>
      </c>
      <c r="N2731" s="624" t="s">
        <v>2608</v>
      </c>
      <c r="O2731" s="624"/>
      <c r="P2731" s="624"/>
    </row>
    <row r="2732" spans="1:16">
      <c r="A2732" s="231" t="s">
        <v>685</v>
      </c>
      <c r="B2732" s="231">
        <v>28797</v>
      </c>
      <c r="C2732" s="618">
        <v>44986</v>
      </c>
      <c r="D2732" s="231" t="s">
        <v>4998</v>
      </c>
      <c r="E2732" s="231"/>
      <c r="F2732" s="619">
        <v>400.34999999999985</v>
      </c>
      <c r="G2732" s="231" t="s">
        <v>4836</v>
      </c>
      <c r="H2732" s="619"/>
      <c r="I2732" s="619"/>
      <c r="J2732" s="620">
        <v>25684122</v>
      </c>
      <c r="K2732" s="621" t="s">
        <v>4992</v>
      </c>
      <c r="L2732" s="621" t="s">
        <v>2602</v>
      </c>
      <c r="M2732" s="621" t="s">
        <v>4999</v>
      </c>
      <c r="N2732" s="621" t="s">
        <v>2608</v>
      </c>
      <c r="O2732" s="621"/>
      <c r="P2732" s="621"/>
    </row>
    <row r="2733" spans="1:16">
      <c r="A2733" s="232" t="s">
        <v>685</v>
      </c>
      <c r="B2733" s="232">
        <v>28797</v>
      </c>
      <c r="C2733" s="622">
        <v>45017</v>
      </c>
      <c r="D2733" s="232" t="s">
        <v>4998</v>
      </c>
      <c r="E2733" s="232"/>
      <c r="F2733" s="233">
        <v>436.84999999999974</v>
      </c>
      <c r="G2733" s="232" t="s">
        <v>4836</v>
      </c>
      <c r="H2733" s="233"/>
      <c r="I2733" s="233"/>
      <c r="J2733" s="623">
        <v>28656791</v>
      </c>
      <c r="K2733" s="624" t="s">
        <v>4992</v>
      </c>
      <c r="L2733" s="624" t="s">
        <v>2602</v>
      </c>
      <c r="M2733" s="624" t="s">
        <v>4999</v>
      </c>
      <c r="N2733" s="624" t="s">
        <v>2608</v>
      </c>
      <c r="O2733" s="624"/>
      <c r="P2733" s="624"/>
    </row>
    <row r="2734" spans="1:16">
      <c r="A2734" s="231" t="s">
        <v>685</v>
      </c>
      <c r="B2734" s="231">
        <v>28797</v>
      </c>
      <c r="C2734" s="618">
        <v>45047</v>
      </c>
      <c r="D2734" s="231" t="s">
        <v>4998</v>
      </c>
      <c r="E2734" s="231"/>
      <c r="F2734" s="619">
        <v>629.8299999999997</v>
      </c>
      <c r="G2734" s="231" t="s">
        <v>4836</v>
      </c>
      <c r="H2734" s="619"/>
      <c r="I2734" s="619"/>
      <c r="J2734" s="620">
        <v>28307170</v>
      </c>
      <c r="K2734" s="621" t="s">
        <v>4992</v>
      </c>
      <c r="L2734" s="621" t="s">
        <v>2602</v>
      </c>
      <c r="M2734" s="621" t="s">
        <v>4999</v>
      </c>
      <c r="N2734" s="621" t="s">
        <v>2608</v>
      </c>
      <c r="O2734" s="621"/>
      <c r="P2734" s="621"/>
    </row>
    <row r="2735" spans="1:16">
      <c r="A2735" s="232" t="s">
        <v>685</v>
      </c>
      <c r="B2735" s="232">
        <v>28797</v>
      </c>
      <c r="C2735" s="622">
        <v>45078</v>
      </c>
      <c r="D2735" s="232" t="s">
        <v>4998</v>
      </c>
      <c r="E2735" s="232"/>
      <c r="F2735" s="233">
        <v>385.79999999999984</v>
      </c>
      <c r="G2735" s="232" t="s">
        <v>4836</v>
      </c>
      <c r="H2735" s="233"/>
      <c r="I2735" s="233"/>
      <c r="J2735" s="623">
        <v>23079941</v>
      </c>
      <c r="K2735" s="624" t="s">
        <v>4992</v>
      </c>
      <c r="L2735" s="624" t="s">
        <v>2602</v>
      </c>
      <c r="M2735" s="624" t="s">
        <v>4999</v>
      </c>
      <c r="N2735" s="624" t="s">
        <v>2608</v>
      </c>
      <c r="O2735" s="624"/>
      <c r="P2735" s="624"/>
    </row>
    <row r="2736" spans="1:16">
      <c r="A2736" s="231" t="s">
        <v>685</v>
      </c>
      <c r="B2736" s="231">
        <v>28797</v>
      </c>
      <c r="C2736" s="618">
        <v>45108</v>
      </c>
      <c r="D2736" s="231" t="s">
        <v>4998</v>
      </c>
      <c r="E2736" s="231"/>
      <c r="F2736" s="619">
        <v>353.29999999999973</v>
      </c>
      <c r="G2736" s="231" t="s">
        <v>4836</v>
      </c>
      <c r="H2736" s="619"/>
      <c r="I2736" s="619"/>
      <c r="J2736" s="620">
        <v>20124058</v>
      </c>
      <c r="K2736" s="621" t="s">
        <v>4992</v>
      </c>
      <c r="L2736" s="621" t="s">
        <v>2602</v>
      </c>
      <c r="M2736" s="621" t="s">
        <v>4999</v>
      </c>
      <c r="N2736" s="621" t="s">
        <v>2608</v>
      </c>
      <c r="O2736" s="621"/>
      <c r="P2736" s="621"/>
    </row>
    <row r="2737" spans="1:16">
      <c r="A2737" s="232" t="s">
        <v>685</v>
      </c>
      <c r="B2737" s="232">
        <v>28797</v>
      </c>
      <c r="C2737" s="622">
        <v>45139</v>
      </c>
      <c r="D2737" s="232" t="s">
        <v>4998</v>
      </c>
      <c r="E2737" s="232"/>
      <c r="F2737" s="233">
        <v>281.19999999999987</v>
      </c>
      <c r="G2737" s="232" t="s">
        <v>4836</v>
      </c>
      <c r="H2737" s="233"/>
      <c r="I2737" s="233"/>
      <c r="J2737" s="623">
        <v>12753311</v>
      </c>
      <c r="K2737" s="624" t="s">
        <v>4992</v>
      </c>
      <c r="L2737" s="624" t="s">
        <v>2602</v>
      </c>
      <c r="M2737" s="624" t="s">
        <v>4999</v>
      </c>
      <c r="N2737" s="624" t="s">
        <v>2608</v>
      </c>
      <c r="O2737" s="624"/>
      <c r="P2737" s="624"/>
    </row>
    <row r="2738" spans="1:16">
      <c r="A2738" s="231" t="s">
        <v>685</v>
      </c>
      <c r="B2738" s="231">
        <v>28797</v>
      </c>
      <c r="C2738" s="618">
        <v>45170</v>
      </c>
      <c r="D2738" s="231" t="s">
        <v>4998</v>
      </c>
      <c r="E2738" s="231"/>
      <c r="F2738" s="619">
        <v>284.5999999999998</v>
      </c>
      <c r="G2738" s="231" t="s">
        <v>4836</v>
      </c>
      <c r="H2738" s="619"/>
      <c r="I2738" s="619"/>
      <c r="J2738" s="620">
        <v>13770432</v>
      </c>
      <c r="K2738" s="621" t="s">
        <v>4992</v>
      </c>
      <c r="L2738" s="621" t="s">
        <v>2602</v>
      </c>
      <c r="M2738" s="621" t="s">
        <v>4999</v>
      </c>
      <c r="N2738" s="621" t="s">
        <v>2608</v>
      </c>
      <c r="O2738" s="621"/>
      <c r="P2738" s="621"/>
    </row>
    <row r="2739" spans="1:16">
      <c r="A2739" s="232" t="s">
        <v>685</v>
      </c>
      <c r="B2739" s="232">
        <v>28797</v>
      </c>
      <c r="C2739" s="622">
        <v>45200</v>
      </c>
      <c r="D2739" s="232" t="s">
        <v>4998</v>
      </c>
      <c r="E2739" s="232"/>
      <c r="F2739" s="233">
        <v>427.2</v>
      </c>
      <c r="G2739" s="232" t="s">
        <v>4836</v>
      </c>
      <c r="H2739" s="233"/>
      <c r="I2739" s="233"/>
      <c r="J2739" s="623">
        <v>22433285</v>
      </c>
      <c r="K2739" s="624" t="s">
        <v>4992</v>
      </c>
      <c r="L2739" s="624" t="s">
        <v>2602</v>
      </c>
      <c r="M2739" s="624" t="s">
        <v>4999</v>
      </c>
      <c r="N2739" s="624" t="s">
        <v>2608</v>
      </c>
      <c r="O2739" s="624"/>
      <c r="P2739" s="624"/>
    </row>
    <row r="2740" spans="1:16">
      <c r="A2740" s="231" t="s">
        <v>685</v>
      </c>
      <c r="B2740" s="231">
        <v>28797</v>
      </c>
      <c r="C2740" s="618">
        <v>45231</v>
      </c>
      <c r="D2740" s="231" t="s">
        <v>4998</v>
      </c>
      <c r="E2740" s="231"/>
      <c r="F2740" s="619">
        <v>521.1</v>
      </c>
      <c r="G2740" s="231" t="s">
        <v>4836</v>
      </c>
      <c r="H2740" s="619"/>
      <c r="I2740" s="619"/>
      <c r="J2740" s="620">
        <v>24331145</v>
      </c>
      <c r="K2740" s="621" t="s">
        <v>4992</v>
      </c>
      <c r="L2740" s="621" t="s">
        <v>2602</v>
      </c>
      <c r="M2740" s="621" t="s">
        <v>4999</v>
      </c>
      <c r="N2740" s="621" t="s">
        <v>2608</v>
      </c>
      <c r="O2740" s="621"/>
      <c r="P2740" s="621"/>
    </row>
    <row r="2741" spans="1:16">
      <c r="A2741" s="232" t="s">
        <v>685</v>
      </c>
      <c r="B2741" s="232">
        <v>28797</v>
      </c>
      <c r="C2741" s="622">
        <v>45261</v>
      </c>
      <c r="D2741" s="232" t="s">
        <v>4998</v>
      </c>
      <c r="E2741" s="232"/>
      <c r="F2741" s="233">
        <v>164.85</v>
      </c>
      <c r="G2741" s="232" t="s">
        <v>4836</v>
      </c>
      <c r="H2741" s="233"/>
      <c r="I2741" s="233"/>
      <c r="J2741" s="623">
        <v>7950310</v>
      </c>
      <c r="K2741" s="624" t="s">
        <v>4992</v>
      </c>
      <c r="L2741" s="624" t="s">
        <v>2602</v>
      </c>
      <c r="M2741" s="624" t="s">
        <v>4999</v>
      </c>
      <c r="N2741" s="624" t="s">
        <v>2608</v>
      </c>
      <c r="O2741" s="624"/>
      <c r="P2741" s="624"/>
    </row>
  </sheetData>
  <autoFilter ref="A5:P2741" xr:uid="{00000000-0001-0000-4100-000000000000}"/>
  <hyperlinks>
    <hyperlink ref="A1" location="Sommaire!A1" display="Sommaire!A1" xr:uid="{00000000-0004-0000-4100-000000000000}"/>
  </hyperlinks>
  <pageMargins left="0.7" right="0.7" top="0.75" bottom="0.75" header="0.3" footer="0.3"/>
  <pageSetup paperSize="9" orientation="portrait" horizontalDpi="300" verticalDpi="300"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K8"/>
  <sheetViews>
    <sheetView workbookViewId="0"/>
  </sheetViews>
  <sheetFormatPr baseColWidth="10" defaultColWidth="11.33203125" defaultRowHeight="12"/>
  <cols>
    <col min="1" max="1" width="9.5" style="215" bestFit="1" customWidth="1"/>
    <col min="2" max="2" width="9.33203125" style="215" bestFit="1" customWidth="1"/>
    <col min="3" max="3" width="16.33203125" style="215" bestFit="1" customWidth="1"/>
    <col min="4" max="4" width="12.6640625" style="215" customWidth="1"/>
    <col min="5" max="5" width="18" style="215" bestFit="1" customWidth="1"/>
    <col min="6" max="6" width="11.33203125" style="215"/>
    <col min="7" max="7" width="24.5" style="215" bestFit="1" customWidth="1"/>
    <col min="8" max="8" width="45.6640625" style="215" bestFit="1" customWidth="1"/>
    <col min="9" max="9" width="11.5" style="215" bestFit="1" customWidth="1"/>
    <col min="10" max="10" width="19" style="215" bestFit="1" customWidth="1"/>
    <col min="11" max="11" width="20.5" style="215" bestFit="1" customWidth="1"/>
    <col min="12" max="16384" width="11.33203125" style="215"/>
  </cols>
  <sheetData>
    <row r="1" spans="1:11" ht="14.5">
      <c r="A1" s="560" t="s">
        <v>140</v>
      </c>
    </row>
    <row r="3" spans="1:11" ht="19">
      <c r="A3" s="216" t="s">
        <v>5000</v>
      </c>
    </row>
    <row r="5" spans="1:11" ht="29.5" thickBot="1">
      <c r="B5" s="631" t="s">
        <v>5001</v>
      </c>
      <c r="C5" s="631" t="s">
        <v>5002</v>
      </c>
      <c r="D5" s="631" t="s">
        <v>5003</v>
      </c>
      <c r="E5" s="631" t="s">
        <v>5004</v>
      </c>
      <c r="F5" s="631" t="s">
        <v>5005</v>
      </c>
      <c r="G5" s="631" t="s">
        <v>5006</v>
      </c>
      <c r="H5" s="631" t="s">
        <v>5007</v>
      </c>
      <c r="I5" s="631" t="s">
        <v>5008</v>
      </c>
      <c r="J5" s="631" t="s">
        <v>5009</v>
      </c>
      <c r="K5" s="631" t="s">
        <v>5010</v>
      </c>
    </row>
    <row r="6" spans="1:11" ht="58">
      <c r="B6" s="629" t="s">
        <v>5011</v>
      </c>
      <c r="C6" s="629" t="s">
        <v>5012</v>
      </c>
      <c r="D6" s="629" t="s">
        <v>5013</v>
      </c>
      <c r="E6" s="629" t="s">
        <v>5014</v>
      </c>
      <c r="F6" s="629" t="s">
        <v>5015</v>
      </c>
      <c r="G6" s="629" t="s">
        <v>5016</v>
      </c>
      <c r="H6" s="630" t="s">
        <v>5017</v>
      </c>
      <c r="I6" s="629" t="s">
        <v>5018</v>
      </c>
      <c r="J6" s="629" t="s">
        <v>5019</v>
      </c>
      <c r="K6" s="629" t="s">
        <v>5020</v>
      </c>
    </row>
    <row r="7" spans="1:11" ht="58">
      <c r="B7" s="625" t="s">
        <v>5021</v>
      </c>
      <c r="C7" s="625" t="s">
        <v>5012</v>
      </c>
      <c r="D7" s="625" t="s">
        <v>5013</v>
      </c>
      <c r="E7" s="625" t="s">
        <v>5022</v>
      </c>
      <c r="F7" s="625" t="s">
        <v>5023</v>
      </c>
      <c r="G7" s="625" t="s">
        <v>5016</v>
      </c>
      <c r="H7" s="626" t="s">
        <v>5017</v>
      </c>
      <c r="I7" s="625" t="s">
        <v>5018</v>
      </c>
      <c r="J7" s="625" t="s">
        <v>5019</v>
      </c>
      <c r="K7" s="625" t="s">
        <v>5020</v>
      </c>
    </row>
    <row r="8" spans="1:11" ht="72.5">
      <c r="B8" s="627" t="s">
        <v>5024</v>
      </c>
      <c r="C8" s="627" t="s">
        <v>5025</v>
      </c>
      <c r="D8" s="627" t="s">
        <v>5013</v>
      </c>
      <c r="E8" s="627" t="s">
        <v>5026</v>
      </c>
      <c r="F8" s="627" t="s">
        <v>5027</v>
      </c>
      <c r="G8" s="627" t="s">
        <v>5028</v>
      </c>
      <c r="H8" s="628" t="s">
        <v>5029</v>
      </c>
      <c r="I8" s="627" t="s">
        <v>5018</v>
      </c>
      <c r="J8" s="627" t="s">
        <v>5030</v>
      </c>
      <c r="K8" s="627" t="s">
        <v>5031</v>
      </c>
    </row>
  </sheetData>
  <hyperlinks>
    <hyperlink ref="A1" location="Sommaire!A1" display="Sommaire!A1" xr:uid="{00000000-0004-0000-4200-000000000000}"/>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L13"/>
  <sheetViews>
    <sheetView workbookViewId="0"/>
  </sheetViews>
  <sheetFormatPr baseColWidth="10" defaultColWidth="11.33203125" defaultRowHeight="12"/>
  <cols>
    <col min="1" max="1" width="9.5" style="215" bestFit="1" customWidth="1"/>
    <col min="2" max="2" width="5.6640625" style="215" bestFit="1" customWidth="1"/>
    <col min="3" max="4" width="13.6640625" style="215" bestFit="1" customWidth="1"/>
    <col min="5" max="5" width="12" style="215" bestFit="1" customWidth="1"/>
    <col min="6" max="6" width="61.1640625" style="215" customWidth="1"/>
    <col min="7" max="7" width="13.6640625" style="215" bestFit="1" customWidth="1"/>
    <col min="8" max="8" width="12" style="215" bestFit="1" customWidth="1"/>
    <col min="9" max="9" width="67.6640625" style="215" customWidth="1"/>
    <col min="10" max="10" width="13.6640625" style="215" bestFit="1" customWidth="1"/>
    <col min="11" max="11" width="13" style="215" bestFit="1" customWidth="1"/>
    <col min="12" max="12" width="85.5" style="215" customWidth="1"/>
    <col min="13" max="16384" width="11.33203125" style="215"/>
  </cols>
  <sheetData>
    <row r="1" spans="1:12" ht="14.5">
      <c r="A1" s="560" t="s">
        <v>140</v>
      </c>
    </row>
    <row r="3" spans="1:12" ht="19">
      <c r="A3" s="216" t="s">
        <v>5032</v>
      </c>
    </row>
    <row r="5" spans="1:12">
      <c r="B5" s="796" t="s">
        <v>5033</v>
      </c>
      <c r="C5" s="796"/>
      <c r="D5" s="796"/>
      <c r="E5" s="796"/>
      <c r="F5" s="796"/>
      <c r="G5" s="795" t="s">
        <v>5034</v>
      </c>
      <c r="H5" s="795" t="s">
        <v>5035</v>
      </c>
      <c r="I5" s="795" t="s">
        <v>5036</v>
      </c>
      <c r="J5" s="795" t="s">
        <v>5037</v>
      </c>
      <c r="K5" s="795" t="s">
        <v>5038</v>
      </c>
      <c r="L5" s="795" t="s">
        <v>5039</v>
      </c>
    </row>
    <row r="6" spans="1:12" ht="48">
      <c r="B6" s="644" t="s">
        <v>3415</v>
      </c>
      <c r="C6" s="643" t="s">
        <v>5040</v>
      </c>
      <c r="D6" s="643" t="s">
        <v>5041</v>
      </c>
      <c r="E6" s="643" t="s">
        <v>5042</v>
      </c>
      <c r="F6" s="643" t="s">
        <v>5043</v>
      </c>
      <c r="G6" s="795"/>
      <c r="H6" s="795"/>
      <c r="I6" s="795"/>
      <c r="J6" s="795"/>
      <c r="K6" s="795"/>
      <c r="L6" s="795"/>
    </row>
    <row r="7" spans="1:12" ht="300">
      <c r="B7" s="645" t="s">
        <v>3276</v>
      </c>
      <c r="C7" s="646">
        <v>178784597175</v>
      </c>
      <c r="D7" s="646">
        <v>178676796412</v>
      </c>
      <c r="E7" s="646">
        <f>+C7-D7</f>
        <v>107800763</v>
      </c>
      <c r="F7" s="647" t="s">
        <v>5044</v>
      </c>
      <c r="G7" s="646">
        <v>182631580760</v>
      </c>
      <c r="H7" s="646">
        <f>+C7-G7</f>
        <v>-3846983585</v>
      </c>
      <c r="I7" s="647" t="s">
        <v>5045</v>
      </c>
      <c r="J7" s="646">
        <v>232101485921</v>
      </c>
      <c r="K7" s="648">
        <f>+G7-J7</f>
        <v>-49469905161</v>
      </c>
      <c r="L7" s="647" t="s">
        <v>5046</v>
      </c>
    </row>
    <row r="8" spans="1:12" ht="240">
      <c r="B8" s="649" t="s">
        <v>3417</v>
      </c>
      <c r="C8" s="650">
        <v>48544940674</v>
      </c>
      <c r="D8" s="650">
        <v>33947769083</v>
      </c>
      <c r="E8" s="650">
        <f t="shared" ref="E8:E12" si="0">+C8-D8</f>
        <v>14597171591</v>
      </c>
      <c r="F8" s="649" t="s">
        <v>5047</v>
      </c>
      <c r="G8" s="650">
        <v>37917426133</v>
      </c>
      <c r="H8" s="650">
        <f t="shared" ref="H8:H12" si="1">+C8-G8</f>
        <v>10627514541</v>
      </c>
      <c r="I8" s="649" t="s">
        <v>5048</v>
      </c>
      <c r="J8" s="651">
        <v>49325668312.209999</v>
      </c>
      <c r="K8" s="652">
        <f t="shared" ref="K8:K12" si="2">+G8-J8</f>
        <v>-11408242179.209999</v>
      </c>
      <c r="L8" s="649" t="s">
        <v>5049</v>
      </c>
    </row>
    <row r="9" spans="1:12" ht="120">
      <c r="B9" s="645" t="s">
        <v>3281</v>
      </c>
      <c r="C9" s="646">
        <v>24402454257</v>
      </c>
      <c r="D9" s="646">
        <v>24464954257</v>
      </c>
      <c r="E9" s="646">
        <f t="shared" si="0"/>
        <v>-62500000</v>
      </c>
      <c r="F9" s="647" t="s">
        <v>5050</v>
      </c>
      <c r="G9" s="646">
        <v>40086284247</v>
      </c>
      <c r="H9" s="646">
        <f t="shared" si="1"/>
        <v>-15683829990</v>
      </c>
      <c r="I9" s="647" t="s">
        <v>5051</v>
      </c>
      <c r="J9" s="646">
        <v>42567156448</v>
      </c>
      <c r="K9" s="648">
        <f t="shared" si="2"/>
        <v>-2480872201</v>
      </c>
      <c r="L9" s="647" t="s">
        <v>5052</v>
      </c>
    </row>
    <row r="10" spans="1:12" ht="144">
      <c r="B10" s="649" t="s">
        <v>3269</v>
      </c>
      <c r="C10" s="650">
        <v>1940772032</v>
      </c>
      <c r="D10" s="650">
        <v>15729168050</v>
      </c>
      <c r="E10" s="650">
        <f t="shared" si="0"/>
        <v>-13788396018</v>
      </c>
      <c r="F10" s="649" t="s">
        <v>5053</v>
      </c>
      <c r="G10" s="650">
        <v>1870593153</v>
      </c>
      <c r="H10" s="650">
        <f t="shared" si="1"/>
        <v>70178879</v>
      </c>
      <c r="I10" s="649" t="s">
        <v>5054</v>
      </c>
      <c r="J10" s="651">
        <v>32437641662</v>
      </c>
      <c r="K10" s="652">
        <f t="shared" si="2"/>
        <v>-30567048509</v>
      </c>
      <c r="L10" s="649" t="s">
        <v>5055</v>
      </c>
    </row>
    <row r="11" spans="1:12" ht="96">
      <c r="B11" s="645" t="s">
        <v>5056</v>
      </c>
      <c r="C11" s="646">
        <v>1242198825</v>
      </c>
      <c r="D11" s="646">
        <v>33041198</v>
      </c>
      <c r="E11" s="646">
        <f t="shared" si="0"/>
        <v>1209157627</v>
      </c>
      <c r="F11" s="647" t="s">
        <v>5057</v>
      </c>
      <c r="G11" s="646">
        <v>1293659432</v>
      </c>
      <c r="H11" s="646">
        <f t="shared" si="1"/>
        <v>-51460607</v>
      </c>
      <c r="I11" s="647" t="s">
        <v>5058</v>
      </c>
      <c r="J11" s="646">
        <v>1481488789</v>
      </c>
      <c r="K11" s="648">
        <f t="shared" si="2"/>
        <v>-187829357</v>
      </c>
      <c r="L11" s="647" t="s">
        <v>5059</v>
      </c>
    </row>
    <row r="12" spans="1:12" ht="96">
      <c r="B12" s="649" t="s">
        <v>3292</v>
      </c>
      <c r="C12" s="650">
        <v>524462510</v>
      </c>
      <c r="D12" s="650">
        <v>0</v>
      </c>
      <c r="E12" s="650">
        <f t="shared" si="0"/>
        <v>524462510</v>
      </c>
      <c r="F12" s="649" t="s">
        <v>5060</v>
      </c>
      <c r="G12" s="650">
        <v>380759335</v>
      </c>
      <c r="H12" s="650">
        <f t="shared" si="1"/>
        <v>143703175</v>
      </c>
      <c r="I12" s="649" t="s">
        <v>5061</v>
      </c>
      <c r="J12" s="651">
        <v>425687335</v>
      </c>
      <c r="K12" s="652">
        <f t="shared" si="2"/>
        <v>-44928000</v>
      </c>
      <c r="L12" s="649" t="s">
        <v>5062</v>
      </c>
    </row>
    <row r="13" spans="1:12">
      <c r="B13" s="653"/>
      <c r="C13" s="654">
        <f>SUM(C7:C12)</f>
        <v>255439425473</v>
      </c>
      <c r="D13" s="654">
        <f t="shared" ref="D13:E13" si="3">SUM(D7:D12)</f>
        <v>252851729000</v>
      </c>
      <c r="E13" s="654">
        <f t="shared" si="3"/>
        <v>2587696473</v>
      </c>
      <c r="F13" s="653"/>
      <c r="G13" s="654">
        <f t="shared" ref="G13:H13" si="4">SUM(G7:G12)</f>
        <v>264180303060</v>
      </c>
      <c r="H13" s="654">
        <f t="shared" si="4"/>
        <v>-8740877587</v>
      </c>
      <c r="I13" s="653"/>
      <c r="J13" s="654">
        <f t="shared" ref="J13:K13" si="5">SUM(J7:J12)</f>
        <v>358339128467.21002</v>
      </c>
      <c r="K13" s="654">
        <f t="shared" si="5"/>
        <v>-94158825407.209991</v>
      </c>
      <c r="L13" s="653"/>
    </row>
  </sheetData>
  <mergeCells count="7">
    <mergeCell ref="K5:K6"/>
    <mergeCell ref="L5:L6"/>
    <mergeCell ref="B5:F5"/>
    <mergeCell ref="G5:G6"/>
    <mergeCell ref="H5:H6"/>
    <mergeCell ref="I5:I6"/>
    <mergeCell ref="J5:J6"/>
  </mergeCells>
  <hyperlinks>
    <hyperlink ref="A1" location="Sommaire!A1" display="Sommaire!A1" xr:uid="{00000000-0004-0000-4300-000000000000}"/>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J82"/>
  <sheetViews>
    <sheetView zoomScaleNormal="100" workbookViewId="0"/>
  </sheetViews>
  <sheetFormatPr baseColWidth="10" defaultColWidth="11.33203125" defaultRowHeight="12"/>
  <cols>
    <col min="1" max="1" width="10.6640625" style="674" customWidth="1"/>
    <col min="2" max="2" width="6.33203125" style="674" bestFit="1" customWidth="1"/>
    <col min="3" max="3" width="22.5" style="674" bestFit="1" customWidth="1"/>
    <col min="4" max="4" width="67.6640625" style="674" bestFit="1" customWidth="1"/>
    <col min="5" max="5" width="8.5" style="674" bestFit="1" customWidth="1"/>
    <col min="6" max="7" width="20.5" style="674" bestFit="1" customWidth="1"/>
    <col min="8" max="8" width="15" style="674" bestFit="1" customWidth="1"/>
    <col min="9" max="9" width="14" style="674" bestFit="1" customWidth="1"/>
    <col min="10" max="10" width="51" style="674" bestFit="1" customWidth="1"/>
    <col min="11" max="16384" width="11.33203125" style="674"/>
  </cols>
  <sheetData>
    <row r="1" spans="1:10" ht="14.5">
      <c r="A1" s="560" t="s">
        <v>140</v>
      </c>
    </row>
    <row r="3" spans="1:10" ht="19">
      <c r="A3" s="675" t="s">
        <v>5063</v>
      </c>
    </row>
    <row r="5" spans="1:10" s="676" customFormat="1" ht="24">
      <c r="B5" s="677" t="s">
        <v>2124</v>
      </c>
      <c r="C5" s="677" t="s">
        <v>2125</v>
      </c>
      <c r="D5" s="677" t="s">
        <v>2084</v>
      </c>
      <c r="E5" s="677" t="s">
        <v>2126</v>
      </c>
      <c r="F5" s="677" t="s">
        <v>2127</v>
      </c>
      <c r="G5" s="677" t="s">
        <v>2128</v>
      </c>
      <c r="H5" s="677" t="s">
        <v>2130</v>
      </c>
      <c r="I5" s="678" t="s">
        <v>2131</v>
      </c>
      <c r="J5" s="677" t="s">
        <v>2132</v>
      </c>
    </row>
    <row r="6" spans="1:10" s="676" customFormat="1">
      <c r="B6" s="679">
        <v>1</v>
      </c>
      <c r="C6" s="679" t="s">
        <v>2133</v>
      </c>
      <c r="D6" s="680" t="s">
        <v>2134</v>
      </c>
      <c r="E6" s="679" t="s">
        <v>2135</v>
      </c>
      <c r="F6" s="679" t="s">
        <v>2136</v>
      </c>
      <c r="G6" s="679" t="s">
        <v>2137</v>
      </c>
      <c r="H6" s="681">
        <v>40864</v>
      </c>
      <c r="I6" s="681">
        <v>42690</v>
      </c>
      <c r="J6" s="680" t="s">
        <v>2138</v>
      </c>
    </row>
    <row r="7" spans="1:10" s="676" customFormat="1">
      <c r="B7" s="682">
        <v>2</v>
      </c>
      <c r="C7" s="682" t="s">
        <v>2139</v>
      </c>
      <c r="D7" s="683" t="s">
        <v>2140</v>
      </c>
      <c r="E7" s="682" t="s">
        <v>2135</v>
      </c>
      <c r="F7" s="682" t="s">
        <v>2141</v>
      </c>
      <c r="G7" s="682" t="s">
        <v>2137</v>
      </c>
      <c r="H7" s="684">
        <v>41143</v>
      </c>
      <c r="I7" s="684">
        <v>42968</v>
      </c>
      <c r="J7" s="683" t="s">
        <v>2142</v>
      </c>
    </row>
    <row r="8" spans="1:10" s="676" customFormat="1">
      <c r="B8" s="679">
        <v>3</v>
      </c>
      <c r="C8" s="679" t="s">
        <v>2143</v>
      </c>
      <c r="D8" s="680" t="s">
        <v>2144</v>
      </c>
      <c r="E8" s="679" t="s">
        <v>2135</v>
      </c>
      <c r="F8" s="679" t="s">
        <v>2136</v>
      </c>
      <c r="G8" s="679" t="s">
        <v>2137</v>
      </c>
      <c r="H8" s="681">
        <v>42054</v>
      </c>
      <c r="I8" s="681">
        <v>43879</v>
      </c>
      <c r="J8" s="680" t="s">
        <v>2142</v>
      </c>
    </row>
    <row r="9" spans="1:10" s="676" customFormat="1">
      <c r="B9" s="682">
        <v>4</v>
      </c>
      <c r="C9" s="682" t="s">
        <v>2133</v>
      </c>
      <c r="D9" s="683" t="s">
        <v>2145</v>
      </c>
      <c r="E9" s="682" t="s">
        <v>2135</v>
      </c>
      <c r="F9" s="682" t="s">
        <v>2136</v>
      </c>
      <c r="G9" s="682" t="s">
        <v>2137</v>
      </c>
      <c r="H9" s="684">
        <v>42054</v>
      </c>
      <c r="I9" s="684">
        <v>43879</v>
      </c>
      <c r="J9" s="683" t="s">
        <v>2146</v>
      </c>
    </row>
    <row r="10" spans="1:10" s="676" customFormat="1">
      <c r="B10" s="679">
        <v>5</v>
      </c>
      <c r="C10" s="679" t="s">
        <v>2143</v>
      </c>
      <c r="D10" s="680" t="s">
        <v>2147</v>
      </c>
      <c r="E10" s="679" t="s">
        <v>2135</v>
      </c>
      <c r="F10" s="679" t="s">
        <v>2136</v>
      </c>
      <c r="G10" s="679" t="s">
        <v>2137</v>
      </c>
      <c r="H10" s="681">
        <v>42054</v>
      </c>
      <c r="I10" s="681">
        <v>43879</v>
      </c>
      <c r="J10" s="680" t="s">
        <v>2142</v>
      </c>
    </row>
    <row r="11" spans="1:10" s="676" customFormat="1">
      <c r="B11" s="682">
        <v>6</v>
      </c>
      <c r="C11" s="682" t="s">
        <v>2148</v>
      </c>
      <c r="D11" s="683" t="s">
        <v>2149</v>
      </c>
      <c r="E11" s="682" t="s">
        <v>2135</v>
      </c>
      <c r="F11" s="682" t="s">
        <v>2136</v>
      </c>
      <c r="G11" s="682" t="s">
        <v>2137</v>
      </c>
      <c r="H11" s="684">
        <v>40575</v>
      </c>
      <c r="I11" s="684">
        <v>44255</v>
      </c>
      <c r="J11" s="683" t="s">
        <v>2150</v>
      </c>
    </row>
    <row r="12" spans="1:10" s="676" customFormat="1">
      <c r="B12" s="679">
        <v>7</v>
      </c>
      <c r="C12" s="679" t="s">
        <v>2151</v>
      </c>
      <c r="D12" s="680" t="s">
        <v>2152</v>
      </c>
      <c r="E12" s="679" t="s">
        <v>2135</v>
      </c>
      <c r="F12" s="679" t="s">
        <v>2153</v>
      </c>
      <c r="G12" s="679" t="s">
        <v>2137</v>
      </c>
      <c r="H12" s="681">
        <v>39024</v>
      </c>
      <c r="I12" s="681">
        <v>44296</v>
      </c>
      <c r="J12" s="680" t="s">
        <v>2150</v>
      </c>
    </row>
    <row r="13" spans="1:10" s="676" customFormat="1">
      <c r="B13" s="682">
        <v>8</v>
      </c>
      <c r="C13" s="682" t="s">
        <v>2133</v>
      </c>
      <c r="D13" s="683" t="s">
        <v>2154</v>
      </c>
      <c r="E13" s="682" t="s">
        <v>2135</v>
      </c>
      <c r="F13" s="682" t="s">
        <v>2136</v>
      </c>
      <c r="G13" s="682" t="s">
        <v>2155</v>
      </c>
      <c r="H13" s="684">
        <v>42551</v>
      </c>
      <c r="I13" s="684">
        <v>44376</v>
      </c>
      <c r="J13" s="683" t="s">
        <v>2142</v>
      </c>
    </row>
    <row r="14" spans="1:10" s="676" customFormat="1">
      <c r="B14" s="679">
        <v>9</v>
      </c>
      <c r="C14" s="679" t="s">
        <v>2156</v>
      </c>
      <c r="D14" s="680" t="s">
        <v>2157</v>
      </c>
      <c r="E14" s="679" t="s">
        <v>2135</v>
      </c>
      <c r="F14" s="679" t="s">
        <v>2136</v>
      </c>
      <c r="G14" s="679" t="s">
        <v>2155</v>
      </c>
      <c r="H14" s="681">
        <v>40128</v>
      </c>
      <c r="I14" s="681">
        <v>44438</v>
      </c>
      <c r="J14" s="680" t="s">
        <v>2158</v>
      </c>
    </row>
    <row r="15" spans="1:10" s="676" customFormat="1">
      <c r="B15" s="682">
        <v>10</v>
      </c>
      <c r="C15" s="682" t="s">
        <v>2159</v>
      </c>
      <c r="D15" s="683" t="s">
        <v>2160</v>
      </c>
      <c r="E15" s="682" t="s">
        <v>2135</v>
      </c>
      <c r="F15" s="682" t="s">
        <v>2153</v>
      </c>
      <c r="G15" s="682" t="s">
        <v>2155</v>
      </c>
      <c r="H15" s="684">
        <v>40430</v>
      </c>
      <c r="I15" s="684">
        <v>44474</v>
      </c>
      <c r="J15" s="683" t="s">
        <v>2142</v>
      </c>
    </row>
    <row r="16" spans="1:10" s="676" customFormat="1">
      <c r="B16" s="679">
        <v>11</v>
      </c>
      <c r="C16" s="679" t="s">
        <v>2161</v>
      </c>
      <c r="D16" s="680" t="s">
        <v>2162</v>
      </c>
      <c r="E16" s="679" t="s">
        <v>2135</v>
      </c>
      <c r="F16" s="679" t="s">
        <v>2136</v>
      </c>
      <c r="G16" s="679" t="s">
        <v>2155</v>
      </c>
      <c r="H16" s="681">
        <v>42667</v>
      </c>
      <c r="I16" s="681">
        <v>44492</v>
      </c>
      <c r="J16" s="680" t="s">
        <v>2150</v>
      </c>
    </row>
    <row r="17" spans="2:10" s="676" customFormat="1">
      <c r="B17" s="682">
        <v>12</v>
      </c>
      <c r="C17" s="682" t="s">
        <v>2143</v>
      </c>
      <c r="D17" s="683" t="s">
        <v>2163</v>
      </c>
      <c r="E17" s="682" t="s">
        <v>2135</v>
      </c>
      <c r="F17" s="682" t="s">
        <v>2136</v>
      </c>
      <c r="G17" s="682" t="s">
        <v>2155</v>
      </c>
      <c r="H17" s="684">
        <v>38525</v>
      </c>
      <c r="I17" s="684">
        <v>44651</v>
      </c>
      <c r="J17" s="683" t="s">
        <v>2146</v>
      </c>
    </row>
    <row r="18" spans="2:10" s="676" customFormat="1">
      <c r="B18" s="679">
        <v>13</v>
      </c>
      <c r="C18" s="679" t="s">
        <v>2143</v>
      </c>
      <c r="D18" s="680" t="s">
        <v>2164</v>
      </c>
      <c r="E18" s="679" t="s">
        <v>2135</v>
      </c>
      <c r="F18" s="679" t="s">
        <v>2136</v>
      </c>
      <c r="G18" s="679" t="s">
        <v>2155</v>
      </c>
      <c r="H18" s="681">
        <v>42886</v>
      </c>
      <c r="I18" s="681">
        <v>44711</v>
      </c>
      <c r="J18" s="680" t="s">
        <v>2142</v>
      </c>
    </row>
    <row r="19" spans="2:10" s="676" customFormat="1">
      <c r="B19" s="682">
        <v>14</v>
      </c>
      <c r="C19" s="682" t="s">
        <v>2165</v>
      </c>
      <c r="D19" s="683" t="s">
        <v>2166</v>
      </c>
      <c r="E19" s="682" t="s">
        <v>2135</v>
      </c>
      <c r="F19" s="682" t="s">
        <v>2141</v>
      </c>
      <c r="G19" s="682" t="s">
        <v>2137</v>
      </c>
      <c r="H19" s="684">
        <v>41597</v>
      </c>
      <c r="I19" s="684">
        <v>44781</v>
      </c>
      <c r="J19" s="683" t="s">
        <v>2142</v>
      </c>
    </row>
    <row r="20" spans="2:10" s="676" customFormat="1">
      <c r="B20" s="679">
        <v>15</v>
      </c>
      <c r="C20" s="679" t="s">
        <v>2167</v>
      </c>
      <c r="D20" s="680" t="s">
        <v>2168</v>
      </c>
      <c r="E20" s="679" t="s">
        <v>2135</v>
      </c>
      <c r="F20" s="679" t="s">
        <v>2169</v>
      </c>
      <c r="G20" s="679" t="s">
        <v>2155</v>
      </c>
      <c r="H20" s="681">
        <v>42977</v>
      </c>
      <c r="I20" s="681">
        <v>44802</v>
      </c>
      <c r="J20" s="680" t="s">
        <v>2170</v>
      </c>
    </row>
    <row r="21" spans="2:10" s="676" customFormat="1">
      <c r="B21" s="682">
        <v>16</v>
      </c>
      <c r="C21" s="682" t="s">
        <v>2171</v>
      </c>
      <c r="D21" s="683" t="s">
        <v>2160</v>
      </c>
      <c r="E21" s="682" t="s">
        <v>2135</v>
      </c>
      <c r="F21" s="682" t="s">
        <v>2153</v>
      </c>
      <c r="G21" s="682" t="s">
        <v>2155</v>
      </c>
      <c r="H21" s="684">
        <v>41219</v>
      </c>
      <c r="I21" s="684">
        <v>44870</v>
      </c>
      <c r="J21" s="683" t="s">
        <v>2158</v>
      </c>
    </row>
    <row r="22" spans="2:10" s="676" customFormat="1">
      <c r="B22" s="679">
        <v>129</v>
      </c>
      <c r="C22" s="679" t="s">
        <v>2313</v>
      </c>
      <c r="D22" s="680" t="s">
        <v>2314</v>
      </c>
      <c r="E22" s="679" t="s">
        <v>2315</v>
      </c>
      <c r="F22" s="679" t="s">
        <v>2216</v>
      </c>
      <c r="G22" s="679" t="s">
        <v>2137</v>
      </c>
      <c r="H22" s="681">
        <v>42937</v>
      </c>
      <c r="I22" s="681">
        <v>44076</v>
      </c>
      <c r="J22" s="680" t="s">
        <v>2142</v>
      </c>
    </row>
    <row r="23" spans="2:10" s="676" customFormat="1">
      <c r="B23" s="682">
        <v>130</v>
      </c>
      <c r="C23" s="682" t="s">
        <v>2316</v>
      </c>
      <c r="D23" s="683" t="s">
        <v>2317</v>
      </c>
      <c r="E23" s="682" t="s">
        <v>2315</v>
      </c>
      <c r="F23" s="682" t="s">
        <v>2249</v>
      </c>
      <c r="G23" s="682" t="s">
        <v>2137</v>
      </c>
      <c r="H23" s="684">
        <v>43826</v>
      </c>
      <c r="I23" s="684">
        <v>44191</v>
      </c>
      <c r="J23" s="683" t="s">
        <v>2235</v>
      </c>
    </row>
    <row r="24" spans="2:10" s="676" customFormat="1">
      <c r="B24" s="679">
        <v>131</v>
      </c>
      <c r="C24" s="679" t="s">
        <v>2318</v>
      </c>
      <c r="D24" s="680" t="s">
        <v>2319</v>
      </c>
      <c r="E24" s="679" t="s">
        <v>2315</v>
      </c>
      <c r="F24" s="679" t="s">
        <v>2216</v>
      </c>
      <c r="G24" s="679" t="s">
        <v>2137</v>
      </c>
      <c r="H24" s="681">
        <v>43859</v>
      </c>
      <c r="I24" s="681">
        <v>44224</v>
      </c>
      <c r="J24" s="680" t="s">
        <v>2150</v>
      </c>
    </row>
    <row r="25" spans="2:10" s="676" customFormat="1">
      <c r="B25" s="682">
        <v>132</v>
      </c>
      <c r="C25" s="682" t="s">
        <v>2320</v>
      </c>
      <c r="D25" s="683" t="s">
        <v>2321</v>
      </c>
      <c r="E25" s="682" t="s">
        <v>2315</v>
      </c>
      <c r="F25" s="682" t="s">
        <v>2216</v>
      </c>
      <c r="G25" s="682" t="s">
        <v>2137</v>
      </c>
      <c r="H25" s="684">
        <v>43861</v>
      </c>
      <c r="I25" s="684">
        <v>44226</v>
      </c>
      <c r="J25" s="683" t="s">
        <v>2150</v>
      </c>
    </row>
    <row r="26" spans="2:10" s="676" customFormat="1">
      <c r="B26" s="679">
        <v>133</v>
      </c>
      <c r="C26" s="679" t="s">
        <v>2322</v>
      </c>
      <c r="D26" s="680" t="s">
        <v>2323</v>
      </c>
      <c r="E26" s="679" t="s">
        <v>2315</v>
      </c>
      <c r="F26" s="679" t="s">
        <v>2324</v>
      </c>
      <c r="G26" s="679" t="s">
        <v>2137</v>
      </c>
      <c r="H26" s="681">
        <v>42934</v>
      </c>
      <c r="I26" s="681">
        <v>44233</v>
      </c>
      <c r="J26" s="680" t="s">
        <v>2325</v>
      </c>
    </row>
    <row r="27" spans="2:10" s="676" customFormat="1">
      <c r="B27" s="682">
        <v>134</v>
      </c>
      <c r="C27" s="682" t="s">
        <v>2326</v>
      </c>
      <c r="D27" s="683" t="s">
        <v>2327</v>
      </c>
      <c r="E27" s="682" t="s">
        <v>2315</v>
      </c>
      <c r="F27" s="682" t="s">
        <v>2216</v>
      </c>
      <c r="G27" s="682" t="s">
        <v>2137</v>
      </c>
      <c r="H27" s="684">
        <v>43881</v>
      </c>
      <c r="I27" s="684">
        <v>44246</v>
      </c>
      <c r="J27" s="683" t="s">
        <v>2142</v>
      </c>
    </row>
    <row r="28" spans="2:10" s="676" customFormat="1">
      <c r="B28" s="679">
        <v>135</v>
      </c>
      <c r="C28" s="679" t="s">
        <v>2148</v>
      </c>
      <c r="D28" s="680" t="s">
        <v>2328</v>
      </c>
      <c r="E28" s="679" t="s">
        <v>2315</v>
      </c>
      <c r="F28" s="679" t="s">
        <v>2216</v>
      </c>
      <c r="G28" s="679" t="s">
        <v>2137</v>
      </c>
      <c r="H28" s="681">
        <v>44062</v>
      </c>
      <c r="I28" s="681">
        <v>44426</v>
      </c>
      <c r="J28" s="680" t="s">
        <v>2142</v>
      </c>
    </row>
    <row r="29" spans="2:10" s="676" customFormat="1">
      <c r="B29" s="682">
        <v>136</v>
      </c>
      <c r="C29" s="682" t="s">
        <v>2329</v>
      </c>
      <c r="D29" s="683" t="s">
        <v>2330</v>
      </c>
      <c r="E29" s="682" t="s">
        <v>2315</v>
      </c>
      <c r="F29" s="682" t="s">
        <v>2324</v>
      </c>
      <c r="G29" s="682" t="s">
        <v>2155</v>
      </c>
      <c r="H29" s="684">
        <v>44256</v>
      </c>
      <c r="I29" s="684">
        <v>44441</v>
      </c>
      <c r="J29" s="683" t="s">
        <v>2325</v>
      </c>
    </row>
    <row r="30" spans="2:10" s="676" customFormat="1">
      <c r="B30" s="679">
        <v>137</v>
      </c>
      <c r="C30" s="679" t="s">
        <v>2331</v>
      </c>
      <c r="D30" s="680" t="s">
        <v>2332</v>
      </c>
      <c r="E30" s="679" t="s">
        <v>2315</v>
      </c>
      <c r="F30" s="679" t="s">
        <v>2250</v>
      </c>
      <c r="G30" s="679" t="s">
        <v>2137</v>
      </c>
      <c r="H30" s="681">
        <v>44185</v>
      </c>
      <c r="I30" s="681">
        <v>44549</v>
      </c>
      <c r="J30" s="680" t="s">
        <v>2148</v>
      </c>
    </row>
    <row r="31" spans="2:10" s="676" customFormat="1">
      <c r="B31" s="682">
        <v>138</v>
      </c>
      <c r="C31" s="682" t="s">
        <v>2148</v>
      </c>
      <c r="D31" s="683" t="s">
        <v>2333</v>
      </c>
      <c r="E31" s="682" t="s">
        <v>2315</v>
      </c>
      <c r="F31" s="682" t="s">
        <v>2324</v>
      </c>
      <c r="G31" s="682" t="s">
        <v>2155</v>
      </c>
      <c r="H31" s="684">
        <v>43913</v>
      </c>
      <c r="I31" s="684">
        <v>44642</v>
      </c>
      <c r="J31" s="683" t="s">
        <v>2325</v>
      </c>
    </row>
    <row r="32" spans="2:10" s="676" customFormat="1">
      <c r="B32" s="679">
        <v>139</v>
      </c>
      <c r="C32" s="679" t="s">
        <v>2148</v>
      </c>
      <c r="D32" s="680" t="s">
        <v>2334</v>
      </c>
      <c r="E32" s="679" t="s">
        <v>2315</v>
      </c>
      <c r="F32" s="679" t="s">
        <v>2324</v>
      </c>
      <c r="G32" s="679" t="s">
        <v>2137</v>
      </c>
      <c r="H32" s="681">
        <v>44280</v>
      </c>
      <c r="I32" s="681">
        <v>44644</v>
      </c>
      <c r="J32" s="680" t="s">
        <v>2325</v>
      </c>
    </row>
    <row r="33" spans="2:10" s="676" customFormat="1">
      <c r="B33" s="682">
        <v>140</v>
      </c>
      <c r="C33" s="682" t="s">
        <v>2335</v>
      </c>
      <c r="D33" s="683" t="s">
        <v>2336</v>
      </c>
      <c r="E33" s="682" t="s">
        <v>2315</v>
      </c>
      <c r="F33" s="682" t="s">
        <v>2324</v>
      </c>
      <c r="G33" s="682" t="s">
        <v>2137</v>
      </c>
      <c r="H33" s="684">
        <v>44300</v>
      </c>
      <c r="I33" s="684">
        <v>44664</v>
      </c>
      <c r="J33" s="683" t="s">
        <v>2337</v>
      </c>
    </row>
    <row r="34" spans="2:10" s="676" customFormat="1">
      <c r="B34" s="679">
        <v>141</v>
      </c>
      <c r="C34" s="679" t="s">
        <v>2338</v>
      </c>
      <c r="D34" s="680" t="s">
        <v>2339</v>
      </c>
      <c r="E34" s="679" t="s">
        <v>2315</v>
      </c>
      <c r="F34" s="679" t="s">
        <v>2324</v>
      </c>
      <c r="G34" s="679" t="s">
        <v>2155</v>
      </c>
      <c r="H34" s="681">
        <v>43948</v>
      </c>
      <c r="I34" s="681">
        <v>44678</v>
      </c>
      <c r="J34" s="680" t="s">
        <v>2325</v>
      </c>
    </row>
    <row r="35" spans="2:10" s="676" customFormat="1">
      <c r="B35" s="682">
        <v>142</v>
      </c>
      <c r="C35" s="682" t="s">
        <v>2148</v>
      </c>
      <c r="D35" s="683" t="s">
        <v>2340</v>
      </c>
      <c r="E35" s="682" t="s">
        <v>2315</v>
      </c>
      <c r="F35" s="682" t="s">
        <v>2324</v>
      </c>
      <c r="G35" s="682" t="s">
        <v>2137</v>
      </c>
      <c r="H35" s="684">
        <v>44316</v>
      </c>
      <c r="I35" s="684">
        <v>44680</v>
      </c>
      <c r="J35" s="683" t="s">
        <v>2325</v>
      </c>
    </row>
    <row r="36" spans="2:10" s="676" customFormat="1">
      <c r="B36" s="679">
        <v>143</v>
      </c>
      <c r="C36" s="679" t="s">
        <v>2148</v>
      </c>
      <c r="D36" s="680" t="s">
        <v>2341</v>
      </c>
      <c r="E36" s="679" t="s">
        <v>2315</v>
      </c>
      <c r="F36" s="679" t="s">
        <v>2324</v>
      </c>
      <c r="G36" s="679" t="s">
        <v>2155</v>
      </c>
      <c r="H36" s="681">
        <v>44337</v>
      </c>
      <c r="I36" s="681">
        <v>44701</v>
      </c>
      <c r="J36" s="680" t="s">
        <v>2342</v>
      </c>
    </row>
    <row r="37" spans="2:10" s="676" customFormat="1">
      <c r="B37" s="682">
        <v>144</v>
      </c>
      <c r="C37" s="682" t="s">
        <v>2343</v>
      </c>
      <c r="D37" s="683" t="s">
        <v>2344</v>
      </c>
      <c r="E37" s="682" t="s">
        <v>2315</v>
      </c>
      <c r="F37" s="682" t="s">
        <v>2324</v>
      </c>
      <c r="G37" s="682" t="s">
        <v>2137</v>
      </c>
      <c r="H37" s="684">
        <v>44417</v>
      </c>
      <c r="I37" s="684">
        <v>44781</v>
      </c>
      <c r="J37" s="683" t="s">
        <v>2325</v>
      </c>
    </row>
    <row r="38" spans="2:10" s="676" customFormat="1">
      <c r="B38" s="679">
        <v>145</v>
      </c>
      <c r="C38" s="679" t="s">
        <v>2345</v>
      </c>
      <c r="D38" s="680" t="s">
        <v>2346</v>
      </c>
      <c r="E38" s="679" t="s">
        <v>2315</v>
      </c>
      <c r="F38" s="679" t="s">
        <v>2216</v>
      </c>
      <c r="G38" s="679" t="s">
        <v>2137</v>
      </c>
      <c r="H38" s="681">
        <v>44419</v>
      </c>
      <c r="I38" s="681">
        <v>44783</v>
      </c>
      <c r="J38" s="680" t="s">
        <v>2142</v>
      </c>
    </row>
    <row r="39" spans="2:10" s="676" customFormat="1">
      <c r="B39" s="682">
        <v>146</v>
      </c>
      <c r="C39" s="682" t="s">
        <v>2313</v>
      </c>
      <c r="D39" s="683" t="s">
        <v>2347</v>
      </c>
      <c r="E39" s="682" t="s">
        <v>2315</v>
      </c>
      <c r="F39" s="682" t="s">
        <v>2141</v>
      </c>
      <c r="G39" s="682" t="s">
        <v>2137</v>
      </c>
      <c r="H39" s="684">
        <v>44441</v>
      </c>
      <c r="I39" s="684">
        <v>44805</v>
      </c>
      <c r="J39" s="683" t="s">
        <v>2142</v>
      </c>
    </row>
    <row r="40" spans="2:10" s="676" customFormat="1">
      <c r="B40" s="679">
        <v>147</v>
      </c>
      <c r="C40" s="679" t="s">
        <v>2348</v>
      </c>
      <c r="D40" s="680" t="s">
        <v>2349</v>
      </c>
      <c r="E40" s="679" t="s">
        <v>2315</v>
      </c>
      <c r="F40" s="679" t="s">
        <v>2324</v>
      </c>
      <c r="G40" s="679" t="s">
        <v>2137</v>
      </c>
      <c r="H40" s="681">
        <v>44498</v>
      </c>
      <c r="I40" s="681">
        <v>44862</v>
      </c>
      <c r="J40" s="680" t="s">
        <v>2325</v>
      </c>
    </row>
    <row r="41" spans="2:10" s="676" customFormat="1">
      <c r="B41" s="682">
        <v>233</v>
      </c>
      <c r="C41" s="682" t="s">
        <v>2490</v>
      </c>
      <c r="D41" s="683" t="s">
        <v>2491</v>
      </c>
      <c r="E41" s="682" t="s">
        <v>2492</v>
      </c>
      <c r="F41" s="682" t="s">
        <v>2324</v>
      </c>
      <c r="G41" s="682" t="s">
        <v>2155</v>
      </c>
      <c r="H41" s="684">
        <v>44211</v>
      </c>
      <c r="I41" s="684">
        <v>44576</v>
      </c>
      <c r="J41" s="683" t="s">
        <v>2493</v>
      </c>
    </row>
    <row r="42" spans="2:10" s="676" customFormat="1">
      <c r="B42" s="679">
        <v>237</v>
      </c>
      <c r="C42" s="679" t="s">
        <v>2502</v>
      </c>
      <c r="D42" s="680" t="s">
        <v>2503</v>
      </c>
      <c r="E42" s="679" t="s">
        <v>2504</v>
      </c>
      <c r="F42" s="679" t="s">
        <v>2324</v>
      </c>
      <c r="G42" s="679" t="s">
        <v>2155</v>
      </c>
      <c r="H42" s="681">
        <v>44217</v>
      </c>
      <c r="I42" s="681">
        <v>44581</v>
      </c>
      <c r="J42" s="680" t="s">
        <v>2505</v>
      </c>
    </row>
    <row r="43" spans="2:10" s="676" customFormat="1">
      <c r="B43" s="682">
        <v>238</v>
      </c>
      <c r="C43" s="682" t="s">
        <v>2506</v>
      </c>
      <c r="D43" s="683" t="s">
        <v>2507</v>
      </c>
      <c r="E43" s="682" t="s">
        <v>2504</v>
      </c>
      <c r="F43" s="682" t="s">
        <v>2324</v>
      </c>
      <c r="G43" s="682" t="s">
        <v>2155</v>
      </c>
      <c r="H43" s="684">
        <v>44417</v>
      </c>
      <c r="I43" s="684">
        <v>44781</v>
      </c>
      <c r="J43" s="683" t="s">
        <v>2508</v>
      </c>
    </row>
    <row r="44" spans="2:10" s="676" customFormat="1">
      <c r="B44" s="679">
        <v>242</v>
      </c>
      <c r="C44" s="679" t="s">
        <v>2517</v>
      </c>
      <c r="D44" s="680" t="s">
        <v>2359</v>
      </c>
      <c r="E44" s="679" t="s">
        <v>2518</v>
      </c>
      <c r="F44" s="679" t="s">
        <v>2519</v>
      </c>
      <c r="G44" s="679" t="s">
        <v>2137</v>
      </c>
      <c r="H44" s="681">
        <v>42415</v>
      </c>
      <c r="I44" s="681">
        <v>44241</v>
      </c>
      <c r="J44" s="680" t="s">
        <v>2148</v>
      </c>
    </row>
    <row r="45" spans="2:10" s="676" customFormat="1">
      <c r="B45" s="682">
        <v>243</v>
      </c>
      <c r="C45" s="682" t="s">
        <v>2520</v>
      </c>
      <c r="D45" s="683" t="s">
        <v>2521</v>
      </c>
      <c r="E45" s="682" t="s">
        <v>2518</v>
      </c>
      <c r="F45" s="682" t="s">
        <v>2519</v>
      </c>
      <c r="G45" s="682" t="s">
        <v>2155</v>
      </c>
      <c r="H45" s="684">
        <v>42466</v>
      </c>
      <c r="I45" s="684">
        <v>44291</v>
      </c>
      <c r="J45" s="683" t="s">
        <v>2148</v>
      </c>
    </row>
    <row r="46" spans="2:10" s="676" customFormat="1">
      <c r="B46" s="679">
        <v>244</v>
      </c>
      <c r="C46" s="679" t="s">
        <v>2522</v>
      </c>
      <c r="D46" s="680" t="s">
        <v>2523</v>
      </c>
      <c r="E46" s="679" t="s">
        <v>2518</v>
      </c>
      <c r="F46" s="679" t="s">
        <v>2519</v>
      </c>
      <c r="G46" s="679" t="s">
        <v>2155</v>
      </c>
      <c r="H46" s="681">
        <v>42877</v>
      </c>
      <c r="I46" s="681">
        <v>44702</v>
      </c>
      <c r="J46" s="680" t="s">
        <v>2148</v>
      </c>
    </row>
    <row r="47" spans="2:10" s="676" customFormat="1">
      <c r="B47" s="682">
        <v>245</v>
      </c>
      <c r="C47" s="682" t="s">
        <v>2520</v>
      </c>
      <c r="D47" s="683" t="s">
        <v>2524</v>
      </c>
      <c r="E47" s="682" t="s">
        <v>2518</v>
      </c>
      <c r="F47" s="682" t="s">
        <v>2519</v>
      </c>
      <c r="G47" s="682" t="s">
        <v>2155</v>
      </c>
      <c r="H47" s="684">
        <v>42955</v>
      </c>
      <c r="I47" s="684">
        <v>44780</v>
      </c>
      <c r="J47" s="683" t="s">
        <v>2420</v>
      </c>
    </row>
    <row r="48" spans="2:10" s="676" customFormat="1">
      <c r="B48" s="679">
        <v>246</v>
      </c>
      <c r="C48" s="679" t="s">
        <v>2522</v>
      </c>
      <c r="D48" s="680" t="s">
        <v>2525</v>
      </c>
      <c r="E48" s="679" t="s">
        <v>2518</v>
      </c>
      <c r="F48" s="679" t="s">
        <v>2519</v>
      </c>
      <c r="G48" s="679" t="s">
        <v>2155</v>
      </c>
      <c r="H48" s="681">
        <v>42956</v>
      </c>
      <c r="I48" s="681">
        <v>44781</v>
      </c>
      <c r="J48" s="680" t="s">
        <v>2148</v>
      </c>
    </row>
    <row r="49" spans="2:10" s="676" customFormat="1">
      <c r="B49" s="682">
        <v>247</v>
      </c>
      <c r="C49" s="682" t="s">
        <v>2526</v>
      </c>
      <c r="D49" s="683" t="s">
        <v>2527</v>
      </c>
      <c r="E49" s="682" t="s">
        <v>2518</v>
      </c>
      <c r="F49" s="682" t="s">
        <v>2324</v>
      </c>
      <c r="G49" s="682" t="s">
        <v>2155</v>
      </c>
      <c r="H49" s="684">
        <v>43096</v>
      </c>
      <c r="I49" s="684">
        <v>44921</v>
      </c>
      <c r="J49" s="683" t="s">
        <v>2148</v>
      </c>
    </row>
    <row r="50" spans="2:10" s="676" customFormat="1">
      <c r="B50" s="679">
        <v>363</v>
      </c>
      <c r="C50" s="679" t="s">
        <v>2197</v>
      </c>
      <c r="D50" s="680" t="s">
        <v>2632</v>
      </c>
      <c r="E50" s="679" t="s">
        <v>2633</v>
      </c>
      <c r="F50" s="679" t="s">
        <v>2634</v>
      </c>
      <c r="G50" s="679" t="s">
        <v>2137</v>
      </c>
      <c r="H50" s="681">
        <v>40190</v>
      </c>
      <c r="I50" s="681">
        <v>40920</v>
      </c>
      <c r="J50" s="680" t="s">
        <v>5064</v>
      </c>
    </row>
    <row r="51" spans="2:10" s="676" customFormat="1">
      <c r="B51" s="682">
        <v>364</v>
      </c>
      <c r="C51" s="682" t="s">
        <v>2635</v>
      </c>
      <c r="D51" s="683" t="s">
        <v>2636</v>
      </c>
      <c r="E51" s="682" t="s">
        <v>2633</v>
      </c>
      <c r="F51" s="682" t="s">
        <v>2634</v>
      </c>
      <c r="G51" s="682" t="s">
        <v>2137</v>
      </c>
      <c r="H51" s="684">
        <v>40582</v>
      </c>
      <c r="I51" s="684">
        <v>41312</v>
      </c>
      <c r="J51" s="683" t="s">
        <v>2637</v>
      </c>
    </row>
    <row r="52" spans="2:10" s="676" customFormat="1">
      <c r="B52" s="679">
        <v>365</v>
      </c>
      <c r="C52" s="679" t="s">
        <v>2638</v>
      </c>
      <c r="D52" s="680" t="s">
        <v>2639</v>
      </c>
      <c r="E52" s="679" t="s">
        <v>2633</v>
      </c>
      <c r="F52" s="679" t="s">
        <v>2634</v>
      </c>
      <c r="G52" s="679" t="s">
        <v>2137</v>
      </c>
      <c r="H52" s="681">
        <v>40667</v>
      </c>
      <c r="I52" s="681">
        <v>41397</v>
      </c>
      <c r="J52" s="680" t="s">
        <v>2178</v>
      </c>
    </row>
    <row r="53" spans="2:10" s="676" customFormat="1">
      <c r="B53" s="682">
        <v>366</v>
      </c>
      <c r="C53" s="682" t="s">
        <v>2640</v>
      </c>
      <c r="D53" s="683" t="s">
        <v>2641</v>
      </c>
      <c r="E53" s="682" t="s">
        <v>2633</v>
      </c>
      <c r="F53" s="682" t="s">
        <v>2634</v>
      </c>
      <c r="G53" s="682" t="s">
        <v>2137</v>
      </c>
      <c r="H53" s="684">
        <v>40252</v>
      </c>
      <c r="I53" s="684">
        <v>41712</v>
      </c>
      <c r="J53" s="683" t="s">
        <v>2170</v>
      </c>
    </row>
    <row r="54" spans="2:10" s="676" customFormat="1">
      <c r="B54" s="679">
        <v>367</v>
      </c>
      <c r="C54" s="679" t="s">
        <v>2642</v>
      </c>
      <c r="D54" s="680" t="s">
        <v>2643</v>
      </c>
      <c r="E54" s="679" t="s">
        <v>2633</v>
      </c>
      <c r="F54" s="679" t="s">
        <v>2634</v>
      </c>
      <c r="G54" s="679" t="s">
        <v>2137</v>
      </c>
      <c r="H54" s="681">
        <v>39044</v>
      </c>
      <c r="I54" s="681">
        <v>42753</v>
      </c>
      <c r="J54" s="680" t="s">
        <v>2251</v>
      </c>
    </row>
    <row r="55" spans="2:10" s="676" customFormat="1">
      <c r="B55" s="682">
        <v>368</v>
      </c>
      <c r="C55" s="682" t="s">
        <v>2644</v>
      </c>
      <c r="D55" s="683" t="s">
        <v>2645</v>
      </c>
      <c r="E55" s="682" t="s">
        <v>2633</v>
      </c>
      <c r="F55" s="682" t="s">
        <v>2634</v>
      </c>
      <c r="G55" s="682" t="s">
        <v>2137</v>
      </c>
      <c r="H55" s="684">
        <v>41089</v>
      </c>
      <c r="I55" s="684">
        <v>42771</v>
      </c>
      <c r="J55" s="683" t="s">
        <v>2251</v>
      </c>
    </row>
    <row r="56" spans="2:10" s="676" customFormat="1">
      <c r="B56" s="679">
        <v>369</v>
      </c>
      <c r="C56" s="679" t="s">
        <v>2646</v>
      </c>
      <c r="D56" s="680" t="s">
        <v>2647</v>
      </c>
      <c r="E56" s="679" t="s">
        <v>2633</v>
      </c>
      <c r="F56" s="679" t="s">
        <v>2634</v>
      </c>
      <c r="G56" s="679" t="s">
        <v>2137</v>
      </c>
      <c r="H56" s="681">
        <v>41555</v>
      </c>
      <c r="I56" s="681">
        <v>43021</v>
      </c>
      <c r="J56" s="680" t="s">
        <v>2648</v>
      </c>
    </row>
    <row r="57" spans="2:10" s="676" customFormat="1">
      <c r="B57" s="682">
        <v>370</v>
      </c>
      <c r="C57" s="682" t="s">
        <v>2649</v>
      </c>
      <c r="D57" s="683" t="s">
        <v>2650</v>
      </c>
      <c r="E57" s="682" t="s">
        <v>2633</v>
      </c>
      <c r="F57" s="682" t="s">
        <v>2634</v>
      </c>
      <c r="G57" s="682" t="s">
        <v>2137</v>
      </c>
      <c r="H57" s="684">
        <v>41808</v>
      </c>
      <c r="I57" s="684">
        <v>43269</v>
      </c>
      <c r="J57" s="683" t="s">
        <v>2251</v>
      </c>
    </row>
    <row r="58" spans="2:10" s="676" customFormat="1">
      <c r="B58" s="679">
        <v>371</v>
      </c>
      <c r="C58" s="679" t="s">
        <v>2651</v>
      </c>
      <c r="D58" s="680" t="s">
        <v>2652</v>
      </c>
      <c r="E58" s="679" t="s">
        <v>2633</v>
      </c>
      <c r="F58" s="679" t="s">
        <v>2634</v>
      </c>
      <c r="G58" s="679" t="s">
        <v>2137</v>
      </c>
      <c r="H58" s="681">
        <v>42537</v>
      </c>
      <c r="I58" s="681">
        <v>43633</v>
      </c>
      <c r="J58" s="680" t="s">
        <v>2170</v>
      </c>
    </row>
    <row r="59" spans="2:10" s="676" customFormat="1">
      <c r="B59" s="682">
        <v>372</v>
      </c>
      <c r="C59" s="682" t="s">
        <v>2653</v>
      </c>
      <c r="D59" s="683" t="s">
        <v>2654</v>
      </c>
      <c r="E59" s="682" t="s">
        <v>2633</v>
      </c>
      <c r="F59" s="682" t="s">
        <v>2634</v>
      </c>
      <c r="G59" s="682" t="s">
        <v>2137</v>
      </c>
      <c r="H59" s="684">
        <v>41079</v>
      </c>
      <c r="I59" s="684">
        <v>43634</v>
      </c>
      <c r="J59" s="683" t="s">
        <v>2170</v>
      </c>
    </row>
    <row r="60" spans="2:10" s="676" customFormat="1">
      <c r="B60" s="679">
        <v>373</v>
      </c>
      <c r="C60" s="679" t="s">
        <v>2655</v>
      </c>
      <c r="D60" s="680" t="s">
        <v>2656</v>
      </c>
      <c r="E60" s="679" t="s">
        <v>2633</v>
      </c>
      <c r="F60" s="679" t="s">
        <v>2634</v>
      </c>
      <c r="G60" s="679" t="s">
        <v>2137</v>
      </c>
      <c r="H60" s="681">
        <v>42955</v>
      </c>
      <c r="I60" s="681">
        <v>44051</v>
      </c>
      <c r="J60" s="680" t="s">
        <v>2170</v>
      </c>
    </row>
    <row r="61" spans="2:10" s="676" customFormat="1">
      <c r="B61" s="682">
        <v>374</v>
      </c>
      <c r="C61" s="682" t="s">
        <v>2657</v>
      </c>
      <c r="D61" s="683" t="s">
        <v>2658</v>
      </c>
      <c r="E61" s="682" t="s">
        <v>2633</v>
      </c>
      <c r="F61" s="682" t="s">
        <v>2634</v>
      </c>
      <c r="G61" s="682" t="s">
        <v>2137</v>
      </c>
      <c r="H61" s="684">
        <v>42662</v>
      </c>
      <c r="I61" s="684">
        <v>44066</v>
      </c>
      <c r="J61" s="683" t="s">
        <v>2170</v>
      </c>
    </row>
    <row r="62" spans="2:10" s="676" customFormat="1">
      <c r="B62" s="679">
        <v>375</v>
      </c>
      <c r="C62" s="679" t="s">
        <v>2659</v>
      </c>
      <c r="D62" s="680" t="s">
        <v>2660</v>
      </c>
      <c r="E62" s="679" t="s">
        <v>2633</v>
      </c>
      <c r="F62" s="679" t="s">
        <v>2634</v>
      </c>
      <c r="G62" s="679" t="s">
        <v>2137</v>
      </c>
      <c r="H62" s="681">
        <v>40119</v>
      </c>
      <c r="I62" s="681">
        <v>44136</v>
      </c>
      <c r="J62" s="680" t="s">
        <v>2170</v>
      </c>
    </row>
    <row r="63" spans="2:10" s="676" customFormat="1">
      <c r="B63" s="682">
        <v>376</v>
      </c>
      <c r="C63" s="682" t="s">
        <v>2661</v>
      </c>
      <c r="D63" s="683" t="s">
        <v>2662</v>
      </c>
      <c r="E63" s="682" t="s">
        <v>2633</v>
      </c>
      <c r="F63" s="682" t="s">
        <v>2634</v>
      </c>
      <c r="G63" s="682" t="s">
        <v>2137</v>
      </c>
      <c r="H63" s="684">
        <v>43179</v>
      </c>
      <c r="I63" s="684">
        <v>44274</v>
      </c>
      <c r="J63" s="683" t="s">
        <v>2251</v>
      </c>
    </row>
    <row r="64" spans="2:10" s="676" customFormat="1">
      <c r="B64" s="679">
        <v>377</v>
      </c>
      <c r="C64" s="679" t="s">
        <v>2663</v>
      </c>
      <c r="D64" s="680" t="s">
        <v>2664</v>
      </c>
      <c r="E64" s="679" t="s">
        <v>2633</v>
      </c>
      <c r="F64" s="679" t="s">
        <v>2634</v>
      </c>
      <c r="G64" s="679" t="s">
        <v>2137</v>
      </c>
      <c r="H64" s="681">
        <v>41439</v>
      </c>
      <c r="I64" s="681">
        <v>44379</v>
      </c>
      <c r="J64" s="680" t="s">
        <v>2648</v>
      </c>
    </row>
    <row r="65" spans="2:10" s="676" customFormat="1">
      <c r="B65" s="682">
        <v>378</v>
      </c>
      <c r="C65" s="682" t="s">
        <v>2665</v>
      </c>
      <c r="D65" s="683" t="s">
        <v>2666</v>
      </c>
      <c r="E65" s="682" t="s">
        <v>2633</v>
      </c>
      <c r="F65" s="682" t="s">
        <v>2634</v>
      </c>
      <c r="G65" s="682" t="s">
        <v>2137</v>
      </c>
      <c r="H65" s="684">
        <v>41606</v>
      </c>
      <c r="I65" s="684">
        <v>44379</v>
      </c>
      <c r="J65" s="683" t="s">
        <v>2170</v>
      </c>
    </row>
    <row r="66" spans="2:10" s="676" customFormat="1">
      <c r="B66" s="679">
        <v>379</v>
      </c>
      <c r="C66" s="679" t="s">
        <v>2667</v>
      </c>
      <c r="D66" s="680" t="s">
        <v>2668</v>
      </c>
      <c r="E66" s="679" t="s">
        <v>2633</v>
      </c>
      <c r="F66" s="679" t="s">
        <v>2634</v>
      </c>
      <c r="G66" s="679" t="s">
        <v>2137</v>
      </c>
      <c r="H66" s="681">
        <v>40190</v>
      </c>
      <c r="I66" s="681">
        <v>44424</v>
      </c>
      <c r="J66" s="680" t="s">
        <v>2178</v>
      </c>
    </row>
    <row r="67" spans="2:10" s="676" customFormat="1">
      <c r="B67" s="682">
        <v>380</v>
      </c>
      <c r="C67" s="682" t="s">
        <v>2669</v>
      </c>
      <c r="D67" s="683" t="s">
        <v>2670</v>
      </c>
      <c r="E67" s="682" t="s">
        <v>2633</v>
      </c>
      <c r="F67" s="682" t="s">
        <v>2634</v>
      </c>
      <c r="G67" s="682" t="s">
        <v>2155</v>
      </c>
      <c r="H67" s="684">
        <v>42153</v>
      </c>
      <c r="I67" s="684">
        <v>44569</v>
      </c>
      <c r="J67" s="683" t="s">
        <v>2648</v>
      </c>
    </row>
    <row r="68" spans="2:10" s="676" customFormat="1">
      <c r="B68" s="679">
        <v>381</v>
      </c>
      <c r="C68" s="679" t="s">
        <v>2671</v>
      </c>
      <c r="D68" s="680" t="s">
        <v>2292</v>
      </c>
      <c r="E68" s="679" t="s">
        <v>2633</v>
      </c>
      <c r="F68" s="679" t="s">
        <v>2634</v>
      </c>
      <c r="G68" s="679" t="s">
        <v>2155</v>
      </c>
      <c r="H68" s="681">
        <v>43474</v>
      </c>
      <c r="I68" s="681">
        <v>44570</v>
      </c>
      <c r="J68" s="680" t="s">
        <v>2672</v>
      </c>
    </row>
    <row r="69" spans="2:10" s="676" customFormat="1">
      <c r="B69" s="682">
        <v>382</v>
      </c>
      <c r="C69" s="682" t="s">
        <v>2673</v>
      </c>
      <c r="D69" s="683" t="s">
        <v>2674</v>
      </c>
      <c r="E69" s="682" t="s">
        <v>2633</v>
      </c>
      <c r="F69" s="682" t="s">
        <v>2634</v>
      </c>
      <c r="G69" s="682" t="s">
        <v>2155</v>
      </c>
      <c r="H69" s="684">
        <v>43488</v>
      </c>
      <c r="I69" s="684">
        <v>44584</v>
      </c>
      <c r="J69" s="683" t="s">
        <v>2675</v>
      </c>
    </row>
    <row r="70" spans="2:10" s="676" customFormat="1">
      <c r="B70" s="679">
        <v>541</v>
      </c>
      <c r="C70" s="679" t="s">
        <v>2924</v>
      </c>
      <c r="D70" s="680" t="s">
        <v>2925</v>
      </c>
      <c r="E70" s="679" t="s">
        <v>2926</v>
      </c>
      <c r="F70" s="679" t="s">
        <v>2634</v>
      </c>
      <c r="G70" s="679" t="s">
        <v>2927</v>
      </c>
      <c r="H70" s="681">
        <v>40319</v>
      </c>
      <c r="I70" s="681">
        <v>43605</v>
      </c>
      <c r="J70" s="680" t="s">
        <v>2928</v>
      </c>
    </row>
    <row r="71" spans="2:10" s="676" customFormat="1">
      <c r="B71" s="682">
        <v>542</v>
      </c>
      <c r="C71" s="682" t="s">
        <v>2929</v>
      </c>
      <c r="D71" s="683" t="s">
        <v>2930</v>
      </c>
      <c r="E71" s="682" t="s">
        <v>2926</v>
      </c>
      <c r="F71" s="682" t="s">
        <v>2931</v>
      </c>
      <c r="G71" s="682" t="s">
        <v>2137</v>
      </c>
      <c r="H71" s="684">
        <v>41516</v>
      </c>
      <c r="I71" s="684">
        <v>43705</v>
      </c>
      <c r="J71" s="683" t="s">
        <v>2932</v>
      </c>
    </row>
    <row r="72" spans="2:10" s="676" customFormat="1" ht="48">
      <c r="B72" s="679">
        <v>543</v>
      </c>
      <c r="C72" s="679" t="s">
        <v>2933</v>
      </c>
      <c r="D72" s="680" t="s">
        <v>2915</v>
      </c>
      <c r="E72" s="679" t="s">
        <v>2926</v>
      </c>
      <c r="F72" s="679" t="s">
        <v>2812</v>
      </c>
      <c r="G72" s="679" t="s">
        <v>2927</v>
      </c>
      <c r="H72" s="681">
        <v>40752</v>
      </c>
      <c r="I72" s="681">
        <v>44038</v>
      </c>
      <c r="J72" s="680" t="s">
        <v>2934</v>
      </c>
    </row>
    <row r="73" spans="2:10" s="676" customFormat="1">
      <c r="B73" s="682">
        <v>544</v>
      </c>
      <c r="C73" s="682" t="s">
        <v>2935</v>
      </c>
      <c r="D73" s="683" t="s">
        <v>2791</v>
      </c>
      <c r="E73" s="682" t="s">
        <v>2926</v>
      </c>
      <c r="F73" s="682" t="s">
        <v>2793</v>
      </c>
      <c r="G73" s="682" t="s">
        <v>2936</v>
      </c>
      <c r="H73" s="684">
        <v>40918</v>
      </c>
      <c r="I73" s="684">
        <v>44223</v>
      </c>
      <c r="J73" s="683" t="s">
        <v>2770</v>
      </c>
    </row>
    <row r="74" spans="2:10" s="676" customFormat="1" ht="36">
      <c r="B74" s="679">
        <v>545</v>
      </c>
      <c r="C74" s="679" t="s">
        <v>2937</v>
      </c>
      <c r="D74" s="680" t="s">
        <v>2922</v>
      </c>
      <c r="E74" s="679" t="s">
        <v>2926</v>
      </c>
      <c r="F74" s="679" t="s">
        <v>2812</v>
      </c>
      <c r="G74" s="679" t="s">
        <v>2938</v>
      </c>
      <c r="H74" s="681">
        <v>42179</v>
      </c>
      <c r="I74" s="681">
        <v>44370</v>
      </c>
      <c r="J74" s="680" t="s">
        <v>2939</v>
      </c>
    </row>
    <row r="75" spans="2:10" s="676" customFormat="1">
      <c r="B75" s="682">
        <v>546</v>
      </c>
      <c r="C75" s="682" t="s">
        <v>2940</v>
      </c>
      <c r="D75" s="683" t="s">
        <v>2941</v>
      </c>
      <c r="E75" s="682" t="s">
        <v>2926</v>
      </c>
      <c r="F75" s="682" t="s">
        <v>2634</v>
      </c>
      <c r="G75" s="682" t="s">
        <v>2938</v>
      </c>
      <c r="H75" s="684">
        <v>40940</v>
      </c>
      <c r="I75" s="684">
        <v>44502</v>
      </c>
      <c r="J75" s="683" t="s">
        <v>2928</v>
      </c>
    </row>
    <row r="76" spans="2:10" s="676" customFormat="1">
      <c r="B76" s="679">
        <v>547</v>
      </c>
      <c r="C76" s="679" t="s">
        <v>2942</v>
      </c>
      <c r="D76" s="680" t="s">
        <v>2941</v>
      </c>
      <c r="E76" s="679" t="s">
        <v>2926</v>
      </c>
      <c r="F76" s="679" t="s">
        <v>2634</v>
      </c>
      <c r="G76" s="679" t="s">
        <v>2137</v>
      </c>
      <c r="H76" s="681">
        <v>41051</v>
      </c>
      <c r="I76" s="681">
        <v>44502</v>
      </c>
      <c r="J76" s="680" t="s">
        <v>2170</v>
      </c>
    </row>
    <row r="77" spans="2:10" s="676" customFormat="1">
      <c r="B77" s="682">
        <v>548</v>
      </c>
      <c r="C77" s="682" t="s">
        <v>2943</v>
      </c>
      <c r="D77" s="683" t="s">
        <v>2173</v>
      </c>
      <c r="E77" s="682" t="s">
        <v>2926</v>
      </c>
      <c r="F77" s="682" t="s">
        <v>2634</v>
      </c>
      <c r="G77" s="682" t="s">
        <v>2938</v>
      </c>
      <c r="H77" s="684">
        <v>41446</v>
      </c>
      <c r="I77" s="684">
        <v>44506</v>
      </c>
      <c r="J77" s="683" t="s">
        <v>2716</v>
      </c>
    </row>
    <row r="78" spans="2:10" s="676" customFormat="1">
      <c r="B78" s="679">
        <v>549</v>
      </c>
      <c r="C78" s="679" t="s">
        <v>2944</v>
      </c>
      <c r="D78" s="680" t="s">
        <v>2945</v>
      </c>
      <c r="E78" s="679" t="s">
        <v>2926</v>
      </c>
      <c r="F78" s="679" t="s">
        <v>2946</v>
      </c>
      <c r="G78" s="679" t="s">
        <v>2137</v>
      </c>
      <c r="H78" s="681">
        <v>43115</v>
      </c>
      <c r="I78" s="681">
        <v>44575</v>
      </c>
      <c r="J78" s="680" t="s">
        <v>2947</v>
      </c>
    </row>
    <row r="79" spans="2:10" s="676" customFormat="1">
      <c r="B79" s="682">
        <v>550</v>
      </c>
      <c r="C79" s="682" t="s">
        <v>2948</v>
      </c>
      <c r="D79" s="683" t="s">
        <v>2220</v>
      </c>
      <c r="E79" s="682" t="s">
        <v>2926</v>
      </c>
      <c r="F79" s="682" t="s">
        <v>2634</v>
      </c>
      <c r="G79" s="682" t="s">
        <v>2137</v>
      </c>
      <c r="H79" s="684">
        <v>43179</v>
      </c>
      <c r="I79" s="684">
        <v>44640</v>
      </c>
      <c r="J79" s="683" t="s">
        <v>2913</v>
      </c>
    </row>
    <row r="80" spans="2:10" s="676" customFormat="1">
      <c r="B80" s="679">
        <v>551</v>
      </c>
      <c r="C80" s="679" t="s">
        <v>2949</v>
      </c>
      <c r="D80" s="680" t="s">
        <v>2950</v>
      </c>
      <c r="E80" s="679" t="s">
        <v>2926</v>
      </c>
      <c r="F80" s="679" t="s">
        <v>2951</v>
      </c>
      <c r="G80" s="679" t="s">
        <v>2137</v>
      </c>
      <c r="H80" s="681">
        <v>43210</v>
      </c>
      <c r="I80" s="681">
        <v>44671</v>
      </c>
      <c r="J80" s="680" t="s">
        <v>2952</v>
      </c>
    </row>
    <row r="81" spans="2:10" s="676" customFormat="1">
      <c r="B81" s="682">
        <v>552</v>
      </c>
      <c r="C81" s="682" t="s">
        <v>2953</v>
      </c>
      <c r="D81" s="683" t="s">
        <v>2954</v>
      </c>
      <c r="E81" s="682" t="s">
        <v>2926</v>
      </c>
      <c r="F81" s="682" t="s">
        <v>2955</v>
      </c>
      <c r="G81" s="682" t="s">
        <v>2137</v>
      </c>
      <c r="H81" s="684">
        <v>43256</v>
      </c>
      <c r="I81" s="684">
        <v>44717</v>
      </c>
      <c r="J81" s="683" t="s">
        <v>2637</v>
      </c>
    </row>
    <row r="82" spans="2:10" s="676" customFormat="1"/>
  </sheetData>
  <autoFilter ref="B5:J81" xr:uid="{00000000-0009-0000-0000-000044000000}"/>
  <hyperlinks>
    <hyperlink ref="A1" location="Sommaire!A1" display="Sommaire!A1" xr:uid="{00000000-0004-0000-4400-000000000000}"/>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J100"/>
  <sheetViews>
    <sheetView workbookViewId="0"/>
  </sheetViews>
  <sheetFormatPr baseColWidth="10" defaultColWidth="11.33203125" defaultRowHeight="12"/>
  <cols>
    <col min="1" max="1" width="10.6640625" style="674" customWidth="1"/>
    <col min="2" max="2" width="3.5" style="674" bestFit="1" customWidth="1"/>
    <col min="3" max="3" width="24" style="674" bestFit="1" customWidth="1"/>
    <col min="4" max="4" width="67.6640625" style="674" bestFit="1" customWidth="1"/>
    <col min="5" max="5" width="6.33203125" style="674" bestFit="1" customWidth="1"/>
    <col min="6" max="6" width="31.6640625" style="674" bestFit="1" customWidth="1"/>
    <col min="7" max="7" width="20.5" style="674" bestFit="1" customWidth="1"/>
    <col min="8" max="8" width="11.33203125" style="674" bestFit="1"/>
    <col min="9" max="9" width="19.5" style="674" bestFit="1" customWidth="1"/>
    <col min="10" max="10" width="51" style="674" bestFit="1" customWidth="1"/>
    <col min="11" max="16384" width="11.33203125" style="674"/>
  </cols>
  <sheetData>
    <row r="1" spans="1:10" ht="14.5">
      <c r="A1" s="560" t="s">
        <v>140</v>
      </c>
    </row>
    <row r="3" spans="1:10" ht="19">
      <c r="A3" s="675" t="s">
        <v>5065</v>
      </c>
    </row>
    <row r="5" spans="1:10" s="676" customFormat="1">
      <c r="B5" s="677" t="s">
        <v>2124</v>
      </c>
      <c r="C5" s="677" t="s">
        <v>2125</v>
      </c>
      <c r="D5" s="677" t="s">
        <v>2084</v>
      </c>
      <c r="E5" s="677" t="s">
        <v>2126</v>
      </c>
      <c r="F5" s="677" t="s">
        <v>2127</v>
      </c>
      <c r="G5" s="677" t="s">
        <v>2128</v>
      </c>
      <c r="H5" s="677" t="s">
        <v>2130</v>
      </c>
      <c r="I5" s="678" t="s">
        <v>3460</v>
      </c>
      <c r="J5" s="677" t="s">
        <v>2132</v>
      </c>
    </row>
    <row r="6" spans="1:10">
      <c r="B6" s="679">
        <v>1</v>
      </c>
      <c r="C6" s="679" t="s">
        <v>2133</v>
      </c>
      <c r="D6" s="680" t="s">
        <v>2134</v>
      </c>
      <c r="E6" s="679" t="s">
        <v>2135</v>
      </c>
      <c r="F6" s="679" t="s">
        <v>2136</v>
      </c>
      <c r="G6" s="679" t="s">
        <v>2137</v>
      </c>
      <c r="H6" s="681">
        <v>40864</v>
      </c>
      <c r="I6" s="681">
        <v>42690</v>
      </c>
      <c r="J6" s="680" t="s">
        <v>2138</v>
      </c>
    </row>
    <row r="7" spans="1:10">
      <c r="B7" s="682">
        <v>2</v>
      </c>
      <c r="C7" s="682" t="s">
        <v>2139</v>
      </c>
      <c r="D7" s="683" t="s">
        <v>2140</v>
      </c>
      <c r="E7" s="682" t="s">
        <v>2135</v>
      </c>
      <c r="F7" s="682" t="s">
        <v>2141</v>
      </c>
      <c r="G7" s="682" t="s">
        <v>2137</v>
      </c>
      <c r="H7" s="684">
        <v>41143</v>
      </c>
      <c r="I7" s="684">
        <v>42968</v>
      </c>
      <c r="J7" s="683" t="s">
        <v>2142</v>
      </c>
    </row>
    <row r="8" spans="1:10">
      <c r="B8" s="679">
        <v>3</v>
      </c>
      <c r="C8" s="679" t="s">
        <v>2143</v>
      </c>
      <c r="D8" s="680" t="s">
        <v>2144</v>
      </c>
      <c r="E8" s="679" t="s">
        <v>2135</v>
      </c>
      <c r="F8" s="679" t="s">
        <v>2136</v>
      </c>
      <c r="G8" s="679" t="s">
        <v>2137</v>
      </c>
      <c r="H8" s="681">
        <v>42054</v>
      </c>
      <c r="I8" s="681">
        <v>43879</v>
      </c>
      <c r="J8" s="680" t="s">
        <v>2142</v>
      </c>
    </row>
    <row r="9" spans="1:10">
      <c r="B9" s="682">
        <v>4</v>
      </c>
      <c r="C9" s="682" t="s">
        <v>2133</v>
      </c>
      <c r="D9" s="683" t="s">
        <v>2145</v>
      </c>
      <c r="E9" s="682" t="s">
        <v>2135</v>
      </c>
      <c r="F9" s="682" t="s">
        <v>2136</v>
      </c>
      <c r="G9" s="682" t="s">
        <v>2137</v>
      </c>
      <c r="H9" s="684">
        <v>42054</v>
      </c>
      <c r="I9" s="684">
        <v>43879</v>
      </c>
      <c r="J9" s="683" t="s">
        <v>2146</v>
      </c>
    </row>
    <row r="10" spans="1:10">
      <c r="B10" s="679">
        <v>5</v>
      </c>
      <c r="C10" s="679" t="s">
        <v>2143</v>
      </c>
      <c r="D10" s="680" t="s">
        <v>2147</v>
      </c>
      <c r="E10" s="679" t="s">
        <v>2135</v>
      </c>
      <c r="F10" s="679" t="s">
        <v>2136</v>
      </c>
      <c r="G10" s="679" t="s">
        <v>2137</v>
      </c>
      <c r="H10" s="681">
        <v>42054</v>
      </c>
      <c r="I10" s="681">
        <v>43879</v>
      </c>
      <c r="J10" s="680" t="s">
        <v>2142</v>
      </c>
    </row>
    <row r="11" spans="1:10">
      <c r="B11" s="682">
        <v>6</v>
      </c>
      <c r="C11" s="682" t="s">
        <v>2148</v>
      </c>
      <c r="D11" s="683" t="s">
        <v>2149</v>
      </c>
      <c r="E11" s="682" t="s">
        <v>2135</v>
      </c>
      <c r="F11" s="682" t="s">
        <v>2136</v>
      </c>
      <c r="G11" s="682" t="s">
        <v>2137</v>
      </c>
      <c r="H11" s="684">
        <v>40575</v>
      </c>
      <c r="I11" s="684">
        <v>44255</v>
      </c>
      <c r="J11" s="683" t="s">
        <v>2150</v>
      </c>
    </row>
    <row r="12" spans="1:10">
      <c r="B12" s="679">
        <v>7</v>
      </c>
      <c r="C12" s="679" t="s">
        <v>2151</v>
      </c>
      <c r="D12" s="680" t="s">
        <v>2152</v>
      </c>
      <c r="E12" s="679" t="s">
        <v>2135</v>
      </c>
      <c r="F12" s="679" t="s">
        <v>2153</v>
      </c>
      <c r="G12" s="679" t="s">
        <v>2137</v>
      </c>
      <c r="H12" s="681">
        <v>39024</v>
      </c>
      <c r="I12" s="681">
        <v>44296</v>
      </c>
      <c r="J12" s="680" t="s">
        <v>2150</v>
      </c>
    </row>
    <row r="13" spans="1:10">
      <c r="B13" s="682">
        <v>14</v>
      </c>
      <c r="C13" s="682" t="s">
        <v>2165</v>
      </c>
      <c r="D13" s="683" t="s">
        <v>2166</v>
      </c>
      <c r="E13" s="682" t="s">
        <v>2135</v>
      </c>
      <c r="F13" s="682" t="s">
        <v>2141</v>
      </c>
      <c r="G13" s="682" t="s">
        <v>2137</v>
      </c>
      <c r="H13" s="684">
        <v>41597</v>
      </c>
      <c r="I13" s="684">
        <v>44781</v>
      </c>
      <c r="J13" s="683" t="s">
        <v>2142</v>
      </c>
    </row>
    <row r="14" spans="1:10">
      <c r="B14" s="679">
        <v>17</v>
      </c>
      <c r="C14" s="679" t="s">
        <v>2172</v>
      </c>
      <c r="D14" s="680" t="s">
        <v>2173</v>
      </c>
      <c r="E14" s="679" t="s">
        <v>2135</v>
      </c>
      <c r="F14" s="679" t="s">
        <v>2136</v>
      </c>
      <c r="G14" s="679" t="s">
        <v>2137</v>
      </c>
      <c r="H14" s="681">
        <v>43139</v>
      </c>
      <c r="I14" s="681">
        <v>44964</v>
      </c>
      <c r="J14" s="680" t="s">
        <v>2174</v>
      </c>
    </row>
    <row r="15" spans="1:10">
      <c r="B15" s="682">
        <v>19</v>
      </c>
      <c r="C15" s="682" t="s">
        <v>2179</v>
      </c>
      <c r="D15" s="683" t="s">
        <v>491</v>
      </c>
      <c r="E15" s="682" t="s">
        <v>2135</v>
      </c>
      <c r="F15" s="682" t="s">
        <v>2177</v>
      </c>
      <c r="G15" s="682" t="s">
        <v>2137</v>
      </c>
      <c r="H15" s="684">
        <v>43139</v>
      </c>
      <c r="I15" s="684">
        <v>44964</v>
      </c>
      <c r="J15" s="683" t="s">
        <v>2178</v>
      </c>
    </row>
    <row r="16" spans="1:10">
      <c r="B16" s="679">
        <v>42</v>
      </c>
      <c r="C16" s="679" t="s">
        <v>2133</v>
      </c>
      <c r="D16" s="680" t="s">
        <v>2217</v>
      </c>
      <c r="E16" s="679" t="s">
        <v>2135</v>
      </c>
      <c r="F16" s="679" t="s">
        <v>2136</v>
      </c>
      <c r="G16" s="679" t="s">
        <v>2137</v>
      </c>
      <c r="H16" s="681">
        <v>43515</v>
      </c>
      <c r="I16" s="681">
        <v>45492</v>
      </c>
      <c r="J16" s="680" t="s">
        <v>2138</v>
      </c>
    </row>
    <row r="17" spans="2:10">
      <c r="B17" s="682">
        <v>51</v>
      </c>
      <c r="C17" s="682" t="s">
        <v>2143</v>
      </c>
      <c r="D17" s="683" t="s">
        <v>2226</v>
      </c>
      <c r="E17" s="682" t="s">
        <v>2135</v>
      </c>
      <c r="F17" s="682" t="s">
        <v>2136</v>
      </c>
      <c r="G17" s="682" t="s">
        <v>2137</v>
      </c>
      <c r="H17" s="684">
        <v>42054</v>
      </c>
      <c r="I17" s="684">
        <v>45706</v>
      </c>
      <c r="J17" s="683" t="s">
        <v>2142</v>
      </c>
    </row>
    <row r="18" spans="2:10">
      <c r="B18" s="679">
        <v>129</v>
      </c>
      <c r="C18" s="679" t="s">
        <v>2313</v>
      </c>
      <c r="D18" s="680" t="s">
        <v>2314</v>
      </c>
      <c r="E18" s="679" t="s">
        <v>2315</v>
      </c>
      <c r="F18" s="679" t="s">
        <v>2216</v>
      </c>
      <c r="G18" s="679" t="s">
        <v>2137</v>
      </c>
      <c r="H18" s="681">
        <v>42937</v>
      </c>
      <c r="I18" s="681">
        <v>44076</v>
      </c>
      <c r="J18" s="680" t="s">
        <v>2142</v>
      </c>
    </row>
    <row r="19" spans="2:10">
      <c r="B19" s="682">
        <v>130</v>
      </c>
      <c r="C19" s="682" t="s">
        <v>2316</v>
      </c>
      <c r="D19" s="683" t="s">
        <v>2317</v>
      </c>
      <c r="E19" s="682" t="s">
        <v>2315</v>
      </c>
      <c r="F19" s="682" t="s">
        <v>2249</v>
      </c>
      <c r="G19" s="682" t="s">
        <v>2137</v>
      </c>
      <c r="H19" s="684">
        <v>43826</v>
      </c>
      <c r="I19" s="684">
        <v>44191</v>
      </c>
      <c r="J19" s="683" t="s">
        <v>2235</v>
      </c>
    </row>
    <row r="20" spans="2:10">
      <c r="B20" s="679">
        <v>131</v>
      </c>
      <c r="C20" s="679" t="s">
        <v>2318</v>
      </c>
      <c r="D20" s="680" t="s">
        <v>2319</v>
      </c>
      <c r="E20" s="679" t="s">
        <v>2315</v>
      </c>
      <c r="F20" s="679" t="s">
        <v>2216</v>
      </c>
      <c r="G20" s="679" t="s">
        <v>2137</v>
      </c>
      <c r="H20" s="681">
        <v>43859</v>
      </c>
      <c r="I20" s="681">
        <v>44224</v>
      </c>
      <c r="J20" s="680" t="s">
        <v>2150</v>
      </c>
    </row>
    <row r="21" spans="2:10">
      <c r="B21" s="682">
        <v>132</v>
      </c>
      <c r="C21" s="682" t="s">
        <v>2320</v>
      </c>
      <c r="D21" s="683" t="s">
        <v>2321</v>
      </c>
      <c r="E21" s="682" t="s">
        <v>2315</v>
      </c>
      <c r="F21" s="682" t="s">
        <v>2216</v>
      </c>
      <c r="G21" s="682" t="s">
        <v>2137</v>
      </c>
      <c r="H21" s="684">
        <v>43861</v>
      </c>
      <c r="I21" s="684">
        <v>44226</v>
      </c>
      <c r="J21" s="683" t="s">
        <v>2150</v>
      </c>
    </row>
    <row r="22" spans="2:10">
      <c r="B22" s="679">
        <v>133</v>
      </c>
      <c r="C22" s="679" t="s">
        <v>2322</v>
      </c>
      <c r="D22" s="680" t="s">
        <v>2323</v>
      </c>
      <c r="E22" s="679" t="s">
        <v>2315</v>
      </c>
      <c r="F22" s="679" t="s">
        <v>2324</v>
      </c>
      <c r="G22" s="679" t="s">
        <v>2137</v>
      </c>
      <c r="H22" s="681">
        <v>42934</v>
      </c>
      <c r="I22" s="681">
        <v>44233</v>
      </c>
      <c r="J22" s="680" t="s">
        <v>2325</v>
      </c>
    </row>
    <row r="23" spans="2:10">
      <c r="B23" s="682">
        <v>134</v>
      </c>
      <c r="C23" s="682" t="s">
        <v>2326</v>
      </c>
      <c r="D23" s="683" t="s">
        <v>2327</v>
      </c>
      <c r="E23" s="682" t="s">
        <v>2315</v>
      </c>
      <c r="F23" s="682" t="s">
        <v>2216</v>
      </c>
      <c r="G23" s="682" t="s">
        <v>2137</v>
      </c>
      <c r="H23" s="684">
        <v>43881</v>
      </c>
      <c r="I23" s="684">
        <v>44246</v>
      </c>
      <c r="J23" s="683" t="s">
        <v>2142</v>
      </c>
    </row>
    <row r="24" spans="2:10">
      <c r="B24" s="679">
        <v>135</v>
      </c>
      <c r="C24" s="679" t="s">
        <v>2148</v>
      </c>
      <c r="D24" s="680" t="s">
        <v>2328</v>
      </c>
      <c r="E24" s="679" t="s">
        <v>2315</v>
      </c>
      <c r="F24" s="679" t="s">
        <v>2216</v>
      </c>
      <c r="G24" s="679" t="s">
        <v>2137</v>
      </c>
      <c r="H24" s="681">
        <v>44062</v>
      </c>
      <c r="I24" s="681">
        <v>44426</v>
      </c>
      <c r="J24" s="680" t="s">
        <v>2142</v>
      </c>
    </row>
    <row r="25" spans="2:10">
      <c r="B25" s="682">
        <v>137</v>
      </c>
      <c r="C25" s="682" t="s">
        <v>2331</v>
      </c>
      <c r="D25" s="683" t="s">
        <v>2332</v>
      </c>
      <c r="E25" s="682" t="s">
        <v>2315</v>
      </c>
      <c r="F25" s="682" t="s">
        <v>2250</v>
      </c>
      <c r="G25" s="682" t="s">
        <v>2137</v>
      </c>
      <c r="H25" s="684">
        <v>44185</v>
      </c>
      <c r="I25" s="684">
        <v>44549</v>
      </c>
      <c r="J25" s="683" t="s">
        <v>2148</v>
      </c>
    </row>
    <row r="26" spans="2:10">
      <c r="B26" s="679">
        <v>139</v>
      </c>
      <c r="C26" s="679" t="s">
        <v>2148</v>
      </c>
      <c r="D26" s="680" t="s">
        <v>2334</v>
      </c>
      <c r="E26" s="679" t="s">
        <v>2315</v>
      </c>
      <c r="F26" s="679" t="s">
        <v>2324</v>
      </c>
      <c r="G26" s="679" t="s">
        <v>2137</v>
      </c>
      <c r="H26" s="681">
        <v>44280</v>
      </c>
      <c r="I26" s="681">
        <v>44644</v>
      </c>
      <c r="J26" s="680" t="s">
        <v>2325</v>
      </c>
    </row>
    <row r="27" spans="2:10">
      <c r="B27" s="682">
        <v>140</v>
      </c>
      <c r="C27" s="682" t="s">
        <v>2335</v>
      </c>
      <c r="D27" s="683" t="s">
        <v>2336</v>
      </c>
      <c r="E27" s="682" t="s">
        <v>2315</v>
      </c>
      <c r="F27" s="682" t="s">
        <v>2324</v>
      </c>
      <c r="G27" s="682" t="s">
        <v>2137</v>
      </c>
      <c r="H27" s="684">
        <v>44300</v>
      </c>
      <c r="I27" s="684">
        <v>44664</v>
      </c>
      <c r="J27" s="683" t="s">
        <v>2337</v>
      </c>
    </row>
    <row r="28" spans="2:10">
      <c r="B28" s="679">
        <v>142</v>
      </c>
      <c r="C28" s="679" t="s">
        <v>2148</v>
      </c>
      <c r="D28" s="680" t="s">
        <v>2340</v>
      </c>
      <c r="E28" s="679" t="s">
        <v>2315</v>
      </c>
      <c r="F28" s="679" t="s">
        <v>2324</v>
      </c>
      <c r="G28" s="679" t="s">
        <v>2137</v>
      </c>
      <c r="H28" s="681">
        <v>44316</v>
      </c>
      <c r="I28" s="681">
        <v>44680</v>
      </c>
      <c r="J28" s="680" t="s">
        <v>2325</v>
      </c>
    </row>
    <row r="29" spans="2:10">
      <c r="B29" s="682">
        <v>144</v>
      </c>
      <c r="C29" s="682" t="s">
        <v>2343</v>
      </c>
      <c r="D29" s="683" t="s">
        <v>2344</v>
      </c>
      <c r="E29" s="682" t="s">
        <v>2315</v>
      </c>
      <c r="F29" s="682" t="s">
        <v>2324</v>
      </c>
      <c r="G29" s="682" t="s">
        <v>2137</v>
      </c>
      <c r="H29" s="684">
        <v>44417</v>
      </c>
      <c r="I29" s="684">
        <v>44781</v>
      </c>
      <c r="J29" s="683" t="s">
        <v>2325</v>
      </c>
    </row>
    <row r="30" spans="2:10">
      <c r="B30" s="679">
        <v>145</v>
      </c>
      <c r="C30" s="679" t="s">
        <v>2345</v>
      </c>
      <c r="D30" s="680" t="s">
        <v>2346</v>
      </c>
      <c r="E30" s="679" t="s">
        <v>2315</v>
      </c>
      <c r="F30" s="679" t="s">
        <v>2216</v>
      </c>
      <c r="G30" s="679" t="s">
        <v>2137</v>
      </c>
      <c r="H30" s="681">
        <v>44419</v>
      </c>
      <c r="I30" s="681">
        <v>44783</v>
      </c>
      <c r="J30" s="680" t="s">
        <v>2142</v>
      </c>
    </row>
    <row r="31" spans="2:10">
      <c r="B31" s="682">
        <v>146</v>
      </c>
      <c r="C31" s="682" t="s">
        <v>2313</v>
      </c>
      <c r="D31" s="683" t="s">
        <v>2347</v>
      </c>
      <c r="E31" s="682" t="s">
        <v>2315</v>
      </c>
      <c r="F31" s="682" t="s">
        <v>2141</v>
      </c>
      <c r="G31" s="682" t="s">
        <v>2137</v>
      </c>
      <c r="H31" s="684">
        <v>44441</v>
      </c>
      <c r="I31" s="684">
        <v>44805</v>
      </c>
      <c r="J31" s="683" t="s">
        <v>2142</v>
      </c>
    </row>
    <row r="32" spans="2:10">
      <c r="B32" s="679">
        <v>147</v>
      </c>
      <c r="C32" s="679" t="s">
        <v>2348</v>
      </c>
      <c r="D32" s="680" t="s">
        <v>2349</v>
      </c>
      <c r="E32" s="679" t="s">
        <v>2315</v>
      </c>
      <c r="F32" s="679" t="s">
        <v>2324</v>
      </c>
      <c r="G32" s="679" t="s">
        <v>2137</v>
      </c>
      <c r="H32" s="681">
        <v>44498</v>
      </c>
      <c r="I32" s="681">
        <v>44862</v>
      </c>
      <c r="J32" s="680" t="s">
        <v>2325</v>
      </c>
    </row>
    <row r="33" spans="2:10">
      <c r="B33" s="682">
        <v>148</v>
      </c>
      <c r="C33" s="682" t="s">
        <v>2350</v>
      </c>
      <c r="D33" s="683" t="s">
        <v>2163</v>
      </c>
      <c r="E33" s="682" t="s">
        <v>2315</v>
      </c>
      <c r="F33" s="682" t="s">
        <v>2324</v>
      </c>
      <c r="G33" s="682" t="s">
        <v>2137</v>
      </c>
      <c r="H33" s="684">
        <v>44615</v>
      </c>
      <c r="I33" s="684">
        <v>44979</v>
      </c>
      <c r="J33" s="683" t="s">
        <v>2325</v>
      </c>
    </row>
    <row r="34" spans="2:10">
      <c r="B34" s="679">
        <v>149</v>
      </c>
      <c r="C34" s="679" t="s">
        <v>2148</v>
      </c>
      <c r="D34" s="680" t="s">
        <v>2351</v>
      </c>
      <c r="E34" s="679" t="s">
        <v>2315</v>
      </c>
      <c r="F34" s="679" t="s">
        <v>2141</v>
      </c>
      <c r="G34" s="679" t="s">
        <v>2137</v>
      </c>
      <c r="H34" s="681">
        <v>44628</v>
      </c>
      <c r="I34" s="681">
        <v>44992</v>
      </c>
      <c r="J34" s="680" t="s">
        <v>2352</v>
      </c>
    </row>
    <row r="35" spans="2:10">
      <c r="B35" s="682">
        <v>150</v>
      </c>
      <c r="C35" s="682" t="s">
        <v>2353</v>
      </c>
      <c r="D35" s="683" t="s">
        <v>2354</v>
      </c>
      <c r="E35" s="682" t="s">
        <v>2315</v>
      </c>
      <c r="F35" s="682" t="s">
        <v>2324</v>
      </c>
      <c r="G35" s="682" t="s">
        <v>2137</v>
      </c>
      <c r="H35" s="684">
        <v>44678</v>
      </c>
      <c r="I35" s="684">
        <v>45042</v>
      </c>
      <c r="J35" s="683" t="s">
        <v>2325</v>
      </c>
    </row>
    <row r="36" spans="2:10">
      <c r="B36" s="679">
        <v>151</v>
      </c>
      <c r="C36" s="679" t="s">
        <v>2355</v>
      </c>
      <c r="D36" s="680" t="s">
        <v>2356</v>
      </c>
      <c r="E36" s="679" t="s">
        <v>2315</v>
      </c>
      <c r="F36" s="679" t="s">
        <v>2216</v>
      </c>
      <c r="G36" s="679" t="s">
        <v>2137</v>
      </c>
      <c r="H36" s="681">
        <v>44693</v>
      </c>
      <c r="I36" s="681">
        <v>45057</v>
      </c>
      <c r="J36" s="680" t="s">
        <v>2150</v>
      </c>
    </row>
    <row r="37" spans="2:10">
      <c r="B37" s="682">
        <v>152</v>
      </c>
      <c r="C37" s="682" t="s">
        <v>2322</v>
      </c>
      <c r="D37" s="683" t="s">
        <v>2357</v>
      </c>
      <c r="E37" s="682" t="s">
        <v>2315</v>
      </c>
      <c r="F37" s="682" t="s">
        <v>2324</v>
      </c>
      <c r="G37" s="682" t="s">
        <v>2137</v>
      </c>
      <c r="H37" s="684">
        <v>44729</v>
      </c>
      <c r="I37" s="684">
        <v>45093</v>
      </c>
      <c r="J37" s="683" t="s">
        <v>2325</v>
      </c>
    </row>
    <row r="38" spans="2:10">
      <c r="B38" s="679">
        <v>154</v>
      </c>
      <c r="C38" s="679" t="s">
        <v>2148</v>
      </c>
      <c r="D38" s="680" t="s">
        <v>2340</v>
      </c>
      <c r="E38" s="679" t="s">
        <v>2315</v>
      </c>
      <c r="F38" s="679" t="s">
        <v>2324</v>
      </c>
      <c r="G38" s="679" t="s">
        <v>2137</v>
      </c>
      <c r="H38" s="681">
        <v>44746</v>
      </c>
      <c r="I38" s="681">
        <v>45110</v>
      </c>
      <c r="J38" s="680" t="s">
        <v>2325</v>
      </c>
    </row>
    <row r="39" spans="2:10">
      <c r="B39" s="682">
        <v>155</v>
      </c>
      <c r="C39" s="682" t="s">
        <v>2360</v>
      </c>
      <c r="D39" s="683" t="s">
        <v>2361</v>
      </c>
      <c r="E39" s="682" t="s">
        <v>2315</v>
      </c>
      <c r="F39" s="682" t="s">
        <v>2324</v>
      </c>
      <c r="G39" s="682" t="s">
        <v>2137</v>
      </c>
      <c r="H39" s="684">
        <v>44750</v>
      </c>
      <c r="I39" s="684">
        <v>45114</v>
      </c>
      <c r="J39" s="683" t="s">
        <v>2192</v>
      </c>
    </row>
    <row r="40" spans="2:10">
      <c r="B40" s="679">
        <v>157</v>
      </c>
      <c r="C40" s="679" t="s">
        <v>2364</v>
      </c>
      <c r="D40" s="680" t="s">
        <v>2365</v>
      </c>
      <c r="E40" s="679" t="s">
        <v>2315</v>
      </c>
      <c r="F40" s="679" t="s">
        <v>2324</v>
      </c>
      <c r="G40" s="679" t="s">
        <v>2137</v>
      </c>
      <c r="H40" s="681">
        <v>44848</v>
      </c>
      <c r="I40" s="681">
        <v>45212</v>
      </c>
      <c r="J40" s="680" t="s">
        <v>2366</v>
      </c>
    </row>
    <row r="41" spans="2:10">
      <c r="B41" s="682">
        <v>158</v>
      </c>
      <c r="C41" s="682" t="s">
        <v>2148</v>
      </c>
      <c r="D41" s="683" t="s">
        <v>2367</v>
      </c>
      <c r="E41" s="682" t="s">
        <v>2315</v>
      </c>
      <c r="F41" s="682" t="s">
        <v>2250</v>
      </c>
      <c r="G41" s="682" t="s">
        <v>2137</v>
      </c>
      <c r="H41" s="684">
        <v>44861</v>
      </c>
      <c r="I41" s="684">
        <v>45225</v>
      </c>
      <c r="J41" s="683" t="s">
        <v>2170</v>
      </c>
    </row>
    <row r="42" spans="2:10">
      <c r="B42" s="679">
        <v>160</v>
      </c>
      <c r="C42" s="679" t="s">
        <v>2313</v>
      </c>
      <c r="D42" s="680" t="s">
        <v>2369</v>
      </c>
      <c r="E42" s="679" t="s">
        <v>2315</v>
      </c>
      <c r="F42" s="679" t="s">
        <v>2216</v>
      </c>
      <c r="G42" s="679" t="s">
        <v>2137</v>
      </c>
      <c r="H42" s="681">
        <v>44925</v>
      </c>
      <c r="I42" s="681">
        <v>45289</v>
      </c>
      <c r="J42" s="680" t="s">
        <v>2142</v>
      </c>
    </row>
    <row r="43" spans="2:10">
      <c r="B43" s="682">
        <v>165</v>
      </c>
      <c r="C43" s="682" t="s">
        <v>2284</v>
      </c>
      <c r="D43" s="683" t="s">
        <v>2377</v>
      </c>
      <c r="E43" s="682" t="s">
        <v>2315</v>
      </c>
      <c r="F43" s="682" t="s">
        <v>2324</v>
      </c>
      <c r="G43" s="682" t="s">
        <v>2137</v>
      </c>
      <c r="H43" s="684">
        <v>44971</v>
      </c>
      <c r="I43" s="684">
        <v>45335</v>
      </c>
      <c r="J43" s="683" t="s">
        <v>2192</v>
      </c>
    </row>
    <row r="44" spans="2:10">
      <c r="B44" s="679">
        <v>169</v>
      </c>
      <c r="C44" s="679" t="s">
        <v>2326</v>
      </c>
      <c r="D44" s="680" t="s">
        <v>2382</v>
      </c>
      <c r="E44" s="679" t="s">
        <v>2315</v>
      </c>
      <c r="F44" s="679" t="s">
        <v>2324</v>
      </c>
      <c r="G44" s="679" t="s">
        <v>2137</v>
      </c>
      <c r="H44" s="681">
        <v>44992</v>
      </c>
      <c r="I44" s="681">
        <v>45357</v>
      </c>
      <c r="J44" s="680" t="s">
        <v>2142</v>
      </c>
    </row>
    <row r="45" spans="2:10">
      <c r="B45" s="682">
        <v>177</v>
      </c>
      <c r="C45" s="682" t="s">
        <v>2397</v>
      </c>
      <c r="D45" s="683" t="s">
        <v>2398</v>
      </c>
      <c r="E45" s="682" t="s">
        <v>2315</v>
      </c>
      <c r="F45" s="682" t="s">
        <v>2141</v>
      </c>
      <c r="G45" s="682" t="s">
        <v>2137</v>
      </c>
      <c r="H45" s="684">
        <v>45019</v>
      </c>
      <c r="I45" s="684">
        <v>45384</v>
      </c>
      <c r="J45" s="683" t="s">
        <v>2399</v>
      </c>
    </row>
    <row r="46" spans="2:10">
      <c r="B46" s="679">
        <v>179</v>
      </c>
      <c r="C46" s="679" t="s">
        <v>2401</v>
      </c>
      <c r="D46" s="680" t="s">
        <v>2238</v>
      </c>
      <c r="E46" s="679" t="s">
        <v>2315</v>
      </c>
      <c r="F46" s="679" t="s">
        <v>2324</v>
      </c>
      <c r="G46" s="679" t="s">
        <v>2137</v>
      </c>
      <c r="H46" s="681">
        <v>45030</v>
      </c>
      <c r="I46" s="681">
        <v>45395</v>
      </c>
      <c r="J46" s="680" t="s">
        <v>2325</v>
      </c>
    </row>
    <row r="47" spans="2:10">
      <c r="B47" s="682">
        <v>180</v>
      </c>
      <c r="C47" s="682" t="s">
        <v>2348</v>
      </c>
      <c r="D47" s="683" t="s">
        <v>2402</v>
      </c>
      <c r="E47" s="682" t="s">
        <v>2315</v>
      </c>
      <c r="F47" s="682" t="s">
        <v>2324</v>
      </c>
      <c r="G47" s="682" t="s">
        <v>2137</v>
      </c>
      <c r="H47" s="684">
        <v>45041</v>
      </c>
      <c r="I47" s="684">
        <v>45406</v>
      </c>
      <c r="J47" s="683" t="s">
        <v>2325</v>
      </c>
    </row>
    <row r="48" spans="2:10">
      <c r="B48" s="679">
        <v>181</v>
      </c>
      <c r="C48" s="679" t="s">
        <v>2403</v>
      </c>
      <c r="D48" s="680" t="s">
        <v>2404</v>
      </c>
      <c r="E48" s="679" t="s">
        <v>2315</v>
      </c>
      <c r="F48" s="679" t="s">
        <v>2324</v>
      </c>
      <c r="G48" s="679" t="s">
        <v>2137</v>
      </c>
      <c r="H48" s="681">
        <v>45044</v>
      </c>
      <c r="I48" s="681">
        <v>45409</v>
      </c>
      <c r="J48" s="680" t="s">
        <v>2194</v>
      </c>
    </row>
    <row r="49" spans="2:10">
      <c r="B49" s="682">
        <v>184</v>
      </c>
      <c r="C49" s="682" t="s">
        <v>2378</v>
      </c>
      <c r="D49" s="683" t="s">
        <v>2409</v>
      </c>
      <c r="E49" s="682" t="s">
        <v>2315</v>
      </c>
      <c r="F49" s="682" t="s">
        <v>2324</v>
      </c>
      <c r="G49" s="682" t="s">
        <v>2137</v>
      </c>
      <c r="H49" s="684">
        <v>45063</v>
      </c>
      <c r="I49" s="684">
        <v>45428</v>
      </c>
      <c r="J49" s="683" t="s">
        <v>2325</v>
      </c>
    </row>
    <row r="50" spans="2:10">
      <c r="B50" s="679">
        <v>185</v>
      </c>
      <c r="C50" s="679" t="s">
        <v>2410</v>
      </c>
      <c r="D50" s="680" t="s">
        <v>2411</v>
      </c>
      <c r="E50" s="679" t="s">
        <v>2315</v>
      </c>
      <c r="F50" s="679" t="s">
        <v>2141</v>
      </c>
      <c r="G50" s="679" t="s">
        <v>2137</v>
      </c>
      <c r="H50" s="681">
        <v>45065</v>
      </c>
      <c r="I50" s="681">
        <v>45430</v>
      </c>
      <c r="J50" s="680" t="s">
        <v>2412</v>
      </c>
    </row>
    <row r="51" spans="2:10">
      <c r="B51" s="682">
        <v>211</v>
      </c>
      <c r="C51" s="682" t="s">
        <v>2453</v>
      </c>
      <c r="D51" s="683" t="s">
        <v>2400</v>
      </c>
      <c r="E51" s="682" t="s">
        <v>2315</v>
      </c>
      <c r="F51" s="682" t="s">
        <v>2216</v>
      </c>
      <c r="G51" s="682" t="s">
        <v>2137</v>
      </c>
      <c r="H51" s="684">
        <v>45217</v>
      </c>
      <c r="I51" s="684">
        <v>45582</v>
      </c>
      <c r="J51" s="683" t="s">
        <v>2142</v>
      </c>
    </row>
    <row r="52" spans="2:10">
      <c r="B52" s="679">
        <v>242</v>
      </c>
      <c r="C52" s="679" t="s">
        <v>2517</v>
      </c>
      <c r="D52" s="680" t="s">
        <v>2359</v>
      </c>
      <c r="E52" s="679" t="s">
        <v>2518</v>
      </c>
      <c r="F52" s="679" t="s">
        <v>2519</v>
      </c>
      <c r="G52" s="679" t="s">
        <v>2137</v>
      </c>
      <c r="H52" s="681">
        <v>42415</v>
      </c>
      <c r="I52" s="681">
        <v>44241</v>
      </c>
      <c r="J52" s="680" t="s">
        <v>2148</v>
      </c>
    </row>
    <row r="53" spans="2:10">
      <c r="B53" s="682">
        <v>248</v>
      </c>
      <c r="C53" s="682" t="s">
        <v>2517</v>
      </c>
      <c r="D53" s="683" t="s">
        <v>2528</v>
      </c>
      <c r="E53" s="682" t="s">
        <v>2518</v>
      </c>
      <c r="F53" s="682" t="s">
        <v>2519</v>
      </c>
      <c r="G53" s="682" t="s">
        <v>2137</v>
      </c>
      <c r="H53" s="684">
        <v>43115</v>
      </c>
      <c r="I53" s="684">
        <v>44940</v>
      </c>
      <c r="J53" s="683" t="s">
        <v>2529</v>
      </c>
    </row>
    <row r="54" spans="2:10">
      <c r="B54" s="679">
        <v>253</v>
      </c>
      <c r="C54" s="679" t="s">
        <v>2517</v>
      </c>
      <c r="D54" s="680" t="s">
        <v>2533</v>
      </c>
      <c r="E54" s="679" t="s">
        <v>2518</v>
      </c>
      <c r="F54" s="679" t="s">
        <v>2519</v>
      </c>
      <c r="G54" s="679" t="s">
        <v>2137</v>
      </c>
      <c r="H54" s="681">
        <v>43210</v>
      </c>
      <c r="I54" s="681">
        <v>45035</v>
      </c>
      <c r="J54" s="680" t="s">
        <v>2148</v>
      </c>
    </row>
    <row r="55" spans="2:10">
      <c r="B55" s="682">
        <v>254</v>
      </c>
      <c r="C55" s="682" t="s">
        <v>2526</v>
      </c>
      <c r="D55" s="683" t="s">
        <v>2533</v>
      </c>
      <c r="E55" s="682" t="s">
        <v>2518</v>
      </c>
      <c r="F55" s="682" t="s">
        <v>2324</v>
      </c>
      <c r="G55" s="682" t="s">
        <v>2137</v>
      </c>
      <c r="H55" s="684">
        <v>43210</v>
      </c>
      <c r="I55" s="684">
        <v>45035</v>
      </c>
      <c r="J55" s="683" t="s">
        <v>2148</v>
      </c>
    </row>
    <row r="56" spans="2:10">
      <c r="B56" s="679">
        <v>255</v>
      </c>
      <c r="C56" s="679" t="s">
        <v>2526</v>
      </c>
      <c r="D56" s="680" t="s">
        <v>2534</v>
      </c>
      <c r="E56" s="679" t="s">
        <v>2518</v>
      </c>
      <c r="F56" s="679" t="s">
        <v>2324</v>
      </c>
      <c r="G56" s="679" t="s">
        <v>2137</v>
      </c>
      <c r="H56" s="681">
        <v>43210</v>
      </c>
      <c r="I56" s="681">
        <v>45035</v>
      </c>
      <c r="J56" s="680" t="s">
        <v>2148</v>
      </c>
    </row>
    <row r="57" spans="2:10">
      <c r="B57" s="682">
        <v>259</v>
      </c>
      <c r="C57" s="682" t="s">
        <v>2517</v>
      </c>
      <c r="D57" s="683" t="s">
        <v>2292</v>
      </c>
      <c r="E57" s="682" t="s">
        <v>2518</v>
      </c>
      <c r="F57" s="682" t="s">
        <v>2519</v>
      </c>
      <c r="G57" s="682" t="s">
        <v>2137</v>
      </c>
      <c r="H57" s="684">
        <v>43229</v>
      </c>
      <c r="I57" s="684">
        <v>45054</v>
      </c>
      <c r="J57" s="683" t="s">
        <v>2148</v>
      </c>
    </row>
    <row r="58" spans="2:10">
      <c r="B58" s="679">
        <v>266</v>
      </c>
      <c r="C58" s="679" t="s">
        <v>2148</v>
      </c>
      <c r="D58" s="680" t="s">
        <v>2541</v>
      </c>
      <c r="E58" s="679" t="s">
        <v>2518</v>
      </c>
      <c r="F58" s="679" t="s">
        <v>2519</v>
      </c>
      <c r="G58" s="679" t="s">
        <v>2137</v>
      </c>
      <c r="H58" s="681">
        <v>43304</v>
      </c>
      <c r="I58" s="681">
        <v>45129</v>
      </c>
      <c r="J58" s="680" t="s">
        <v>2148</v>
      </c>
    </row>
    <row r="59" spans="2:10">
      <c r="B59" s="682">
        <v>267</v>
      </c>
      <c r="C59" s="682" t="s">
        <v>2517</v>
      </c>
      <c r="D59" s="683" t="s">
        <v>2542</v>
      </c>
      <c r="E59" s="682" t="s">
        <v>2518</v>
      </c>
      <c r="F59" s="682" t="s">
        <v>2519</v>
      </c>
      <c r="G59" s="682" t="s">
        <v>2137</v>
      </c>
      <c r="H59" s="684">
        <v>43307</v>
      </c>
      <c r="I59" s="684">
        <v>45132</v>
      </c>
      <c r="J59" s="683" t="s">
        <v>2148</v>
      </c>
    </row>
    <row r="60" spans="2:10">
      <c r="B60" s="679">
        <v>363</v>
      </c>
      <c r="C60" s="679" t="s">
        <v>2197</v>
      </c>
      <c r="D60" s="680" t="s">
        <v>2632</v>
      </c>
      <c r="E60" s="679" t="s">
        <v>2633</v>
      </c>
      <c r="F60" s="679" t="s">
        <v>2634</v>
      </c>
      <c r="G60" s="679" t="s">
        <v>2137</v>
      </c>
      <c r="H60" s="681">
        <v>40190</v>
      </c>
      <c r="I60" s="681">
        <v>40920</v>
      </c>
      <c r="J60" s="680" t="s">
        <v>5064</v>
      </c>
    </row>
    <row r="61" spans="2:10">
      <c r="B61" s="682">
        <v>364</v>
      </c>
      <c r="C61" s="682" t="s">
        <v>2635</v>
      </c>
      <c r="D61" s="683" t="s">
        <v>2636</v>
      </c>
      <c r="E61" s="682" t="s">
        <v>2633</v>
      </c>
      <c r="F61" s="682" t="s">
        <v>2634</v>
      </c>
      <c r="G61" s="682" t="s">
        <v>2137</v>
      </c>
      <c r="H61" s="684">
        <v>40582</v>
      </c>
      <c r="I61" s="684">
        <v>41312</v>
      </c>
      <c r="J61" s="683" t="s">
        <v>2637</v>
      </c>
    </row>
    <row r="62" spans="2:10">
      <c r="B62" s="679">
        <v>365</v>
      </c>
      <c r="C62" s="679" t="s">
        <v>2638</v>
      </c>
      <c r="D62" s="680" t="s">
        <v>2639</v>
      </c>
      <c r="E62" s="679" t="s">
        <v>2633</v>
      </c>
      <c r="F62" s="679" t="s">
        <v>2634</v>
      </c>
      <c r="G62" s="679" t="s">
        <v>2137</v>
      </c>
      <c r="H62" s="681">
        <v>40667</v>
      </c>
      <c r="I62" s="681">
        <v>41397</v>
      </c>
      <c r="J62" s="680" t="s">
        <v>2178</v>
      </c>
    </row>
    <row r="63" spans="2:10">
      <c r="B63" s="682">
        <v>366</v>
      </c>
      <c r="C63" s="682" t="s">
        <v>2640</v>
      </c>
      <c r="D63" s="683" t="s">
        <v>2641</v>
      </c>
      <c r="E63" s="682" t="s">
        <v>2633</v>
      </c>
      <c r="F63" s="682" t="s">
        <v>2634</v>
      </c>
      <c r="G63" s="682" t="s">
        <v>2137</v>
      </c>
      <c r="H63" s="684">
        <v>40252</v>
      </c>
      <c r="I63" s="684">
        <v>41712</v>
      </c>
      <c r="J63" s="683" t="s">
        <v>2170</v>
      </c>
    </row>
    <row r="64" spans="2:10">
      <c r="B64" s="679">
        <v>367</v>
      </c>
      <c r="C64" s="679" t="s">
        <v>2642</v>
      </c>
      <c r="D64" s="680" t="s">
        <v>2643</v>
      </c>
      <c r="E64" s="679" t="s">
        <v>2633</v>
      </c>
      <c r="F64" s="679" t="s">
        <v>2634</v>
      </c>
      <c r="G64" s="679" t="s">
        <v>2137</v>
      </c>
      <c r="H64" s="681">
        <v>39044</v>
      </c>
      <c r="I64" s="681">
        <v>42753</v>
      </c>
      <c r="J64" s="680" t="s">
        <v>2251</v>
      </c>
    </row>
    <row r="65" spans="2:10">
      <c r="B65" s="682">
        <v>368</v>
      </c>
      <c r="C65" s="682" t="s">
        <v>2644</v>
      </c>
      <c r="D65" s="683" t="s">
        <v>2645</v>
      </c>
      <c r="E65" s="682" t="s">
        <v>2633</v>
      </c>
      <c r="F65" s="682" t="s">
        <v>2634</v>
      </c>
      <c r="G65" s="682" t="s">
        <v>2137</v>
      </c>
      <c r="H65" s="684">
        <v>41089</v>
      </c>
      <c r="I65" s="684">
        <v>42771</v>
      </c>
      <c r="J65" s="683" t="s">
        <v>2251</v>
      </c>
    </row>
    <row r="66" spans="2:10">
      <c r="B66" s="679">
        <v>369</v>
      </c>
      <c r="C66" s="679" t="s">
        <v>2646</v>
      </c>
      <c r="D66" s="680" t="s">
        <v>2647</v>
      </c>
      <c r="E66" s="679" t="s">
        <v>2633</v>
      </c>
      <c r="F66" s="679" t="s">
        <v>2634</v>
      </c>
      <c r="G66" s="679" t="s">
        <v>2137</v>
      </c>
      <c r="H66" s="681">
        <v>41555</v>
      </c>
      <c r="I66" s="681">
        <v>43021</v>
      </c>
      <c r="J66" s="680" t="s">
        <v>2648</v>
      </c>
    </row>
    <row r="67" spans="2:10">
      <c r="B67" s="682">
        <v>370</v>
      </c>
      <c r="C67" s="682" t="s">
        <v>2649</v>
      </c>
      <c r="D67" s="683" t="s">
        <v>2650</v>
      </c>
      <c r="E67" s="682" t="s">
        <v>2633</v>
      </c>
      <c r="F67" s="682" t="s">
        <v>2634</v>
      </c>
      <c r="G67" s="682" t="s">
        <v>2137</v>
      </c>
      <c r="H67" s="684">
        <v>41808</v>
      </c>
      <c r="I67" s="684">
        <v>43269</v>
      </c>
      <c r="J67" s="683" t="s">
        <v>2251</v>
      </c>
    </row>
    <row r="68" spans="2:10">
      <c r="B68" s="679">
        <v>371</v>
      </c>
      <c r="C68" s="679" t="s">
        <v>2651</v>
      </c>
      <c r="D68" s="680" t="s">
        <v>2652</v>
      </c>
      <c r="E68" s="679" t="s">
        <v>2633</v>
      </c>
      <c r="F68" s="679" t="s">
        <v>2634</v>
      </c>
      <c r="G68" s="679" t="s">
        <v>2137</v>
      </c>
      <c r="H68" s="681">
        <v>42537</v>
      </c>
      <c r="I68" s="681">
        <v>43633</v>
      </c>
      <c r="J68" s="680" t="s">
        <v>2170</v>
      </c>
    </row>
    <row r="69" spans="2:10">
      <c r="B69" s="682">
        <v>372</v>
      </c>
      <c r="C69" s="682" t="s">
        <v>2653</v>
      </c>
      <c r="D69" s="683" t="s">
        <v>2654</v>
      </c>
      <c r="E69" s="682" t="s">
        <v>2633</v>
      </c>
      <c r="F69" s="682" t="s">
        <v>2634</v>
      </c>
      <c r="G69" s="682" t="s">
        <v>2137</v>
      </c>
      <c r="H69" s="684">
        <v>41079</v>
      </c>
      <c r="I69" s="684">
        <v>43634</v>
      </c>
      <c r="J69" s="683" t="s">
        <v>2170</v>
      </c>
    </row>
    <row r="70" spans="2:10">
      <c r="B70" s="679">
        <v>373</v>
      </c>
      <c r="C70" s="679" t="s">
        <v>2655</v>
      </c>
      <c r="D70" s="680" t="s">
        <v>2656</v>
      </c>
      <c r="E70" s="679" t="s">
        <v>2633</v>
      </c>
      <c r="F70" s="679" t="s">
        <v>2634</v>
      </c>
      <c r="G70" s="679" t="s">
        <v>2137</v>
      </c>
      <c r="H70" s="681">
        <v>42955</v>
      </c>
      <c r="I70" s="681">
        <v>44051</v>
      </c>
      <c r="J70" s="680" t="s">
        <v>2170</v>
      </c>
    </row>
    <row r="71" spans="2:10">
      <c r="B71" s="682">
        <v>374</v>
      </c>
      <c r="C71" s="682" t="s">
        <v>2657</v>
      </c>
      <c r="D71" s="683" t="s">
        <v>2658</v>
      </c>
      <c r="E71" s="682" t="s">
        <v>2633</v>
      </c>
      <c r="F71" s="682" t="s">
        <v>2634</v>
      </c>
      <c r="G71" s="682" t="s">
        <v>2137</v>
      </c>
      <c r="H71" s="684">
        <v>42662</v>
      </c>
      <c r="I71" s="684">
        <v>44066</v>
      </c>
      <c r="J71" s="683" t="s">
        <v>2170</v>
      </c>
    </row>
    <row r="72" spans="2:10">
      <c r="B72" s="679">
        <v>375</v>
      </c>
      <c r="C72" s="679" t="s">
        <v>2659</v>
      </c>
      <c r="D72" s="680" t="s">
        <v>2660</v>
      </c>
      <c r="E72" s="679" t="s">
        <v>2633</v>
      </c>
      <c r="F72" s="679" t="s">
        <v>2634</v>
      </c>
      <c r="G72" s="679" t="s">
        <v>2137</v>
      </c>
      <c r="H72" s="681">
        <v>40119</v>
      </c>
      <c r="I72" s="681">
        <v>44136</v>
      </c>
      <c r="J72" s="680" t="s">
        <v>2170</v>
      </c>
    </row>
    <row r="73" spans="2:10">
      <c r="B73" s="682">
        <v>376</v>
      </c>
      <c r="C73" s="682" t="s">
        <v>2661</v>
      </c>
      <c r="D73" s="683" t="s">
        <v>2662</v>
      </c>
      <c r="E73" s="682" t="s">
        <v>2633</v>
      </c>
      <c r="F73" s="682" t="s">
        <v>2634</v>
      </c>
      <c r="G73" s="682" t="s">
        <v>2137</v>
      </c>
      <c r="H73" s="684">
        <v>43179</v>
      </c>
      <c r="I73" s="684">
        <v>44274</v>
      </c>
      <c r="J73" s="683" t="s">
        <v>2251</v>
      </c>
    </row>
    <row r="74" spans="2:10">
      <c r="B74" s="679">
        <v>377</v>
      </c>
      <c r="C74" s="679" t="s">
        <v>2663</v>
      </c>
      <c r="D74" s="680" t="s">
        <v>2664</v>
      </c>
      <c r="E74" s="679" t="s">
        <v>2633</v>
      </c>
      <c r="F74" s="679" t="s">
        <v>2634</v>
      </c>
      <c r="G74" s="679" t="s">
        <v>2137</v>
      </c>
      <c r="H74" s="681">
        <v>41439</v>
      </c>
      <c r="I74" s="681">
        <v>44379</v>
      </c>
      <c r="J74" s="680" t="s">
        <v>2648</v>
      </c>
    </row>
    <row r="75" spans="2:10">
      <c r="B75" s="682">
        <v>378</v>
      </c>
      <c r="C75" s="682" t="s">
        <v>2665</v>
      </c>
      <c r="D75" s="683" t="s">
        <v>2666</v>
      </c>
      <c r="E75" s="682" t="s">
        <v>2633</v>
      </c>
      <c r="F75" s="682" t="s">
        <v>2634</v>
      </c>
      <c r="G75" s="682" t="s">
        <v>2137</v>
      </c>
      <c r="H75" s="684">
        <v>41606</v>
      </c>
      <c r="I75" s="684">
        <v>44379</v>
      </c>
      <c r="J75" s="683" t="s">
        <v>2170</v>
      </c>
    </row>
    <row r="76" spans="2:10">
      <c r="B76" s="679">
        <v>379</v>
      </c>
      <c r="C76" s="679" t="s">
        <v>2667</v>
      </c>
      <c r="D76" s="680" t="s">
        <v>2668</v>
      </c>
      <c r="E76" s="679" t="s">
        <v>2633</v>
      </c>
      <c r="F76" s="679" t="s">
        <v>2634</v>
      </c>
      <c r="G76" s="679" t="s">
        <v>2137</v>
      </c>
      <c r="H76" s="681">
        <v>40190</v>
      </c>
      <c r="I76" s="681">
        <v>44424</v>
      </c>
      <c r="J76" s="680" t="s">
        <v>2178</v>
      </c>
    </row>
    <row r="77" spans="2:10">
      <c r="B77" s="682">
        <v>383</v>
      </c>
      <c r="C77" s="682" t="s">
        <v>2676</v>
      </c>
      <c r="D77" s="683" t="s">
        <v>397</v>
      </c>
      <c r="E77" s="682" t="s">
        <v>2633</v>
      </c>
      <c r="F77" s="682" t="s">
        <v>2634</v>
      </c>
      <c r="G77" s="682" t="s">
        <v>2137</v>
      </c>
      <c r="H77" s="684">
        <v>43878</v>
      </c>
      <c r="I77" s="684">
        <v>44953</v>
      </c>
      <c r="J77" s="683" t="s">
        <v>2251</v>
      </c>
    </row>
    <row r="78" spans="2:10">
      <c r="B78" s="679">
        <v>384</v>
      </c>
      <c r="C78" s="679" t="s">
        <v>2677</v>
      </c>
      <c r="D78" s="680" t="s">
        <v>2678</v>
      </c>
      <c r="E78" s="679" t="s">
        <v>2633</v>
      </c>
      <c r="F78" s="679" t="s">
        <v>2634</v>
      </c>
      <c r="G78" s="679" t="s">
        <v>2137</v>
      </c>
      <c r="H78" s="681">
        <v>43878</v>
      </c>
      <c r="I78" s="681">
        <v>44974</v>
      </c>
      <c r="J78" s="680" t="s">
        <v>2170</v>
      </c>
    </row>
    <row r="79" spans="2:10">
      <c r="B79" s="682">
        <v>386</v>
      </c>
      <c r="C79" s="682" t="s">
        <v>2680</v>
      </c>
      <c r="D79" s="683" t="s">
        <v>396</v>
      </c>
      <c r="E79" s="682" t="s">
        <v>2633</v>
      </c>
      <c r="F79" s="682" t="s">
        <v>2634</v>
      </c>
      <c r="G79" s="682" t="s">
        <v>2137</v>
      </c>
      <c r="H79" s="684">
        <v>44249</v>
      </c>
      <c r="I79" s="684">
        <v>45306</v>
      </c>
      <c r="J79" s="683" t="s">
        <v>2251</v>
      </c>
    </row>
    <row r="80" spans="2:10">
      <c r="B80" s="679">
        <v>391</v>
      </c>
      <c r="C80" s="679" t="s">
        <v>2686</v>
      </c>
      <c r="D80" s="680" t="s">
        <v>2687</v>
      </c>
      <c r="E80" s="679" t="s">
        <v>2633</v>
      </c>
      <c r="F80" s="679" t="s">
        <v>2634</v>
      </c>
      <c r="G80" s="679" t="s">
        <v>2137</v>
      </c>
      <c r="H80" s="681">
        <v>44258</v>
      </c>
      <c r="I80" s="681">
        <v>45353</v>
      </c>
      <c r="J80" s="680" t="s">
        <v>2170</v>
      </c>
    </row>
    <row r="81" spans="2:10">
      <c r="B81" s="682">
        <v>403</v>
      </c>
      <c r="C81" s="682" t="s">
        <v>2148</v>
      </c>
      <c r="D81" s="683" t="s">
        <v>2706</v>
      </c>
      <c r="E81" s="682" t="s">
        <v>2633</v>
      </c>
      <c r="F81" s="682" t="s">
        <v>2634</v>
      </c>
      <c r="G81" s="682" t="s">
        <v>2137</v>
      </c>
      <c r="H81" s="684">
        <v>44404</v>
      </c>
      <c r="I81" s="684">
        <v>45499</v>
      </c>
      <c r="J81" s="683" t="s">
        <v>2170</v>
      </c>
    </row>
    <row r="82" spans="2:10">
      <c r="B82" s="679">
        <v>465</v>
      </c>
      <c r="C82" s="679" t="s">
        <v>2788</v>
      </c>
      <c r="D82" s="680" t="s">
        <v>2789</v>
      </c>
      <c r="E82" s="679" t="s">
        <v>2633</v>
      </c>
      <c r="F82" s="679" t="s">
        <v>2634</v>
      </c>
      <c r="G82" s="679" t="s">
        <v>2137</v>
      </c>
      <c r="H82" s="681">
        <v>42705</v>
      </c>
      <c r="I82" s="681">
        <v>46390</v>
      </c>
      <c r="J82" s="680" t="s">
        <v>2170</v>
      </c>
    </row>
    <row r="83" spans="2:10">
      <c r="B83" s="682">
        <v>466</v>
      </c>
      <c r="C83" s="682" t="s">
        <v>2790</v>
      </c>
      <c r="D83" s="683" t="s">
        <v>2791</v>
      </c>
      <c r="E83" s="682" t="s">
        <v>2792</v>
      </c>
      <c r="F83" s="682" t="s">
        <v>2793</v>
      </c>
      <c r="G83" s="682" t="s">
        <v>2137</v>
      </c>
      <c r="H83" s="684">
        <v>40940</v>
      </c>
      <c r="I83" s="684">
        <v>44957</v>
      </c>
      <c r="J83" s="683" t="s">
        <v>2770</v>
      </c>
    </row>
    <row r="84" spans="2:10">
      <c r="B84" s="679">
        <v>467</v>
      </c>
      <c r="C84" s="679" t="s">
        <v>2520</v>
      </c>
      <c r="D84" s="680" t="s">
        <v>2217</v>
      </c>
      <c r="E84" s="679" t="s">
        <v>2792</v>
      </c>
      <c r="F84" s="679" t="s">
        <v>2519</v>
      </c>
      <c r="G84" s="679" t="s">
        <v>2137</v>
      </c>
      <c r="H84" s="681">
        <v>43283</v>
      </c>
      <c r="I84" s="681">
        <v>45108</v>
      </c>
      <c r="J84" s="680" t="s">
        <v>2420</v>
      </c>
    </row>
    <row r="85" spans="2:10">
      <c r="B85" s="682">
        <v>468</v>
      </c>
      <c r="C85" s="682" t="s">
        <v>2794</v>
      </c>
      <c r="D85" s="683" t="s">
        <v>2795</v>
      </c>
      <c r="E85" s="682" t="s">
        <v>2792</v>
      </c>
      <c r="F85" s="682" t="s">
        <v>2796</v>
      </c>
      <c r="G85" s="682" t="s">
        <v>2137</v>
      </c>
      <c r="H85" s="684">
        <v>43474</v>
      </c>
      <c r="I85" s="684">
        <v>45300</v>
      </c>
      <c r="J85" s="683" t="s">
        <v>2797</v>
      </c>
    </row>
    <row r="86" spans="2:10">
      <c r="B86" s="679">
        <v>495</v>
      </c>
      <c r="C86" s="679" t="s">
        <v>2839</v>
      </c>
      <c r="D86" s="680" t="s">
        <v>2840</v>
      </c>
      <c r="E86" s="679" t="s">
        <v>2841</v>
      </c>
      <c r="F86" s="679" t="s">
        <v>2842</v>
      </c>
      <c r="G86" s="679" t="s">
        <v>2137</v>
      </c>
      <c r="H86" s="681">
        <v>35807</v>
      </c>
      <c r="I86" s="681">
        <v>44937</v>
      </c>
      <c r="J86" s="680" t="s">
        <v>2242</v>
      </c>
    </row>
    <row r="87" spans="2:10">
      <c r="B87" s="682">
        <v>496</v>
      </c>
      <c r="C87" s="682" t="s">
        <v>2843</v>
      </c>
      <c r="D87" s="683" t="s">
        <v>496</v>
      </c>
      <c r="E87" s="682" t="s">
        <v>2841</v>
      </c>
      <c r="F87" s="682" t="s">
        <v>2844</v>
      </c>
      <c r="G87" s="682" t="s">
        <v>2137</v>
      </c>
      <c r="H87" s="684">
        <v>32289</v>
      </c>
      <c r="I87" s="684">
        <v>45072</v>
      </c>
      <c r="J87" s="683" t="s">
        <v>2845</v>
      </c>
    </row>
    <row r="88" spans="2:10">
      <c r="B88" s="679">
        <v>542</v>
      </c>
      <c r="C88" s="679" t="s">
        <v>2929</v>
      </c>
      <c r="D88" s="680" t="s">
        <v>2930</v>
      </c>
      <c r="E88" s="679" t="s">
        <v>2926</v>
      </c>
      <c r="F88" s="679" t="s">
        <v>2931</v>
      </c>
      <c r="G88" s="679" t="s">
        <v>2137</v>
      </c>
      <c r="H88" s="681">
        <v>41516</v>
      </c>
      <c r="I88" s="681">
        <v>43705</v>
      </c>
      <c r="J88" s="680" t="s">
        <v>2932</v>
      </c>
    </row>
    <row r="89" spans="2:10">
      <c r="B89" s="682">
        <v>547</v>
      </c>
      <c r="C89" s="682" t="s">
        <v>2942</v>
      </c>
      <c r="D89" s="683" t="s">
        <v>2941</v>
      </c>
      <c r="E89" s="682" t="s">
        <v>2926</v>
      </c>
      <c r="F89" s="682" t="s">
        <v>2634</v>
      </c>
      <c r="G89" s="682" t="s">
        <v>2137</v>
      </c>
      <c r="H89" s="684">
        <v>41051</v>
      </c>
      <c r="I89" s="684">
        <v>44502</v>
      </c>
      <c r="J89" s="683" t="s">
        <v>2170</v>
      </c>
    </row>
    <row r="90" spans="2:10">
      <c r="B90" s="679">
        <v>549</v>
      </c>
      <c r="C90" s="679" t="s">
        <v>2944</v>
      </c>
      <c r="D90" s="680" t="s">
        <v>2945</v>
      </c>
      <c r="E90" s="679" t="s">
        <v>2926</v>
      </c>
      <c r="F90" s="679" t="s">
        <v>2946</v>
      </c>
      <c r="G90" s="679" t="s">
        <v>2137</v>
      </c>
      <c r="H90" s="681">
        <v>43115</v>
      </c>
      <c r="I90" s="681">
        <v>44575</v>
      </c>
      <c r="J90" s="680" t="s">
        <v>2947</v>
      </c>
    </row>
    <row r="91" spans="2:10">
      <c r="B91" s="682">
        <v>550</v>
      </c>
      <c r="C91" s="682" t="s">
        <v>2948</v>
      </c>
      <c r="D91" s="683" t="s">
        <v>2220</v>
      </c>
      <c r="E91" s="682" t="s">
        <v>2926</v>
      </c>
      <c r="F91" s="682" t="s">
        <v>2634</v>
      </c>
      <c r="G91" s="682" t="s">
        <v>2137</v>
      </c>
      <c r="H91" s="684">
        <v>43179</v>
      </c>
      <c r="I91" s="684">
        <v>44640</v>
      </c>
      <c r="J91" s="683" t="s">
        <v>2913</v>
      </c>
    </row>
    <row r="92" spans="2:10">
      <c r="B92" s="679">
        <v>551</v>
      </c>
      <c r="C92" s="679" t="s">
        <v>2949</v>
      </c>
      <c r="D92" s="680" t="s">
        <v>2950</v>
      </c>
      <c r="E92" s="679" t="s">
        <v>2926</v>
      </c>
      <c r="F92" s="679" t="s">
        <v>2951</v>
      </c>
      <c r="G92" s="679" t="s">
        <v>2137</v>
      </c>
      <c r="H92" s="681">
        <v>43210</v>
      </c>
      <c r="I92" s="681">
        <v>44671</v>
      </c>
      <c r="J92" s="680" t="s">
        <v>2952</v>
      </c>
    </row>
    <row r="93" spans="2:10">
      <c r="B93" s="682">
        <v>552</v>
      </c>
      <c r="C93" s="682" t="s">
        <v>2953</v>
      </c>
      <c r="D93" s="683" t="s">
        <v>2954</v>
      </c>
      <c r="E93" s="682" t="s">
        <v>2926</v>
      </c>
      <c r="F93" s="682" t="s">
        <v>2955</v>
      </c>
      <c r="G93" s="682" t="s">
        <v>2137</v>
      </c>
      <c r="H93" s="684">
        <v>43256</v>
      </c>
      <c r="I93" s="684">
        <v>44717</v>
      </c>
      <c r="J93" s="683" t="s">
        <v>2637</v>
      </c>
    </row>
    <row r="94" spans="2:10">
      <c r="B94" s="679">
        <v>553</v>
      </c>
      <c r="C94" s="679" t="s">
        <v>2956</v>
      </c>
      <c r="D94" s="680" t="s">
        <v>2957</v>
      </c>
      <c r="E94" s="679" t="s">
        <v>2926</v>
      </c>
      <c r="F94" s="679" t="s">
        <v>2634</v>
      </c>
      <c r="G94" s="679" t="s">
        <v>2137</v>
      </c>
      <c r="H94" s="681">
        <v>43500</v>
      </c>
      <c r="I94" s="681">
        <v>44960</v>
      </c>
      <c r="J94" s="680" t="s">
        <v>2748</v>
      </c>
    </row>
    <row r="95" spans="2:10">
      <c r="B95" s="682">
        <v>554</v>
      </c>
      <c r="C95" s="682" t="s">
        <v>2958</v>
      </c>
      <c r="D95" s="683" t="s">
        <v>2816</v>
      </c>
      <c r="E95" s="682" t="s">
        <v>2926</v>
      </c>
      <c r="F95" s="682" t="s">
        <v>2634</v>
      </c>
      <c r="G95" s="682" t="s">
        <v>2137</v>
      </c>
      <c r="H95" s="684">
        <v>43501</v>
      </c>
      <c r="I95" s="684">
        <v>44962</v>
      </c>
      <c r="J95" s="683" t="s">
        <v>2648</v>
      </c>
    </row>
    <row r="96" spans="2:10">
      <c r="B96" s="679">
        <v>555</v>
      </c>
      <c r="C96" s="679" t="s">
        <v>2959</v>
      </c>
      <c r="D96" s="680" t="s">
        <v>2960</v>
      </c>
      <c r="E96" s="679" t="s">
        <v>2926</v>
      </c>
      <c r="F96" s="679" t="s">
        <v>2634</v>
      </c>
      <c r="G96" s="679" t="s">
        <v>2137</v>
      </c>
      <c r="H96" s="681">
        <v>43623</v>
      </c>
      <c r="I96" s="681">
        <v>45084</v>
      </c>
      <c r="J96" s="680" t="s">
        <v>2961</v>
      </c>
    </row>
    <row r="97" spans="2:10">
      <c r="B97" s="682">
        <v>556</v>
      </c>
      <c r="C97" s="682" t="s">
        <v>2924</v>
      </c>
      <c r="D97" s="683" t="s">
        <v>2962</v>
      </c>
      <c r="E97" s="682" t="s">
        <v>2926</v>
      </c>
      <c r="F97" s="682" t="s">
        <v>2634</v>
      </c>
      <c r="G97" s="682" t="s">
        <v>2137</v>
      </c>
      <c r="H97" s="684">
        <v>43886</v>
      </c>
      <c r="I97" s="684">
        <v>45346</v>
      </c>
      <c r="J97" s="683" t="s">
        <v>2928</v>
      </c>
    </row>
    <row r="98" spans="2:10">
      <c r="B98" s="679">
        <v>557</v>
      </c>
      <c r="C98" s="679" t="s">
        <v>2963</v>
      </c>
      <c r="D98" s="680" t="s">
        <v>2964</v>
      </c>
      <c r="E98" s="679" t="s">
        <v>2926</v>
      </c>
      <c r="F98" s="679" t="s">
        <v>2793</v>
      </c>
      <c r="G98" s="679" t="s">
        <v>2137</v>
      </c>
      <c r="H98" s="681">
        <v>43978</v>
      </c>
      <c r="I98" s="681">
        <v>45438</v>
      </c>
      <c r="J98" s="680" t="s">
        <v>2782</v>
      </c>
    </row>
    <row r="99" spans="2:10">
      <c r="B99" s="682">
        <v>559</v>
      </c>
      <c r="C99" s="682" t="s">
        <v>2968</v>
      </c>
      <c r="D99" s="683" t="s">
        <v>2737</v>
      </c>
      <c r="E99" s="682" t="s">
        <v>2926</v>
      </c>
      <c r="F99" s="682" t="s">
        <v>2634</v>
      </c>
      <c r="G99" s="682" t="s">
        <v>2137</v>
      </c>
      <c r="H99" s="684">
        <v>44028</v>
      </c>
      <c r="I99" s="684">
        <v>45488</v>
      </c>
      <c r="J99" s="683" t="s">
        <v>2648</v>
      </c>
    </row>
    <row r="100" spans="2:10">
      <c r="B100" s="679">
        <v>586</v>
      </c>
      <c r="C100" s="679" t="s">
        <v>3023</v>
      </c>
      <c r="D100" s="680" t="s">
        <v>2217</v>
      </c>
      <c r="E100" s="679" t="s">
        <v>2926</v>
      </c>
      <c r="F100" s="679" t="s">
        <v>2153</v>
      </c>
      <c r="G100" s="679" t="s">
        <v>2137</v>
      </c>
      <c r="H100" s="681">
        <v>42635</v>
      </c>
      <c r="I100" s="681">
        <v>46072</v>
      </c>
      <c r="J100" s="680" t="s">
        <v>3024</v>
      </c>
    </row>
  </sheetData>
  <hyperlinks>
    <hyperlink ref="A1" location="Sommaire!A1" display="Sommaire!A1" xr:uid="{00000000-0004-0000-45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70</vt:i4>
      </vt:variant>
      <vt:variant>
        <vt:lpstr>Plages nommées</vt:lpstr>
      </vt:variant>
      <vt:variant>
        <vt:i4>36</vt:i4>
      </vt:variant>
    </vt:vector>
  </HeadingPairs>
  <TitlesOfParts>
    <vt:vector size="106" baseType="lpstr">
      <vt:lpstr>Sommaire</vt:lpstr>
      <vt:lpstr>1</vt:lpstr>
      <vt:lpstr>2</vt:lpstr>
      <vt:lpstr>3</vt:lpstr>
      <vt:lpstr>4</vt:lpstr>
      <vt:lpstr>5</vt:lpstr>
      <vt:lpstr>6</vt:lpstr>
      <vt:lpstr>7</vt:lpstr>
      <vt:lpstr>8</vt:lpstr>
      <vt:lpstr>9</vt:lpstr>
      <vt:lpstr>10</vt:lpstr>
      <vt:lpstr>11</vt:lpstr>
      <vt:lpstr>11-1</vt:lpstr>
      <vt:lpstr>11-2</vt:lpstr>
      <vt:lpstr>11-3</vt:lpstr>
      <vt:lpstr>11-4</vt:lpstr>
      <vt:lpstr>11-5</vt:lpstr>
      <vt:lpstr>11-6</vt:lpstr>
      <vt:lpstr>11-7</vt:lpstr>
      <vt:lpstr>11-8</vt:lpstr>
      <vt:lpstr>11-9</vt:lpstr>
      <vt:lpstr>11-10</vt:lpstr>
      <vt:lpstr>11-11</vt:lpstr>
      <vt:lpstr>11-12</vt:lpstr>
      <vt:lpstr>11-13</vt:lpstr>
      <vt:lpstr>11-14</vt:lpstr>
      <vt:lpstr>11-15</vt:lpstr>
      <vt:lpstr>11-16</vt:lpstr>
      <vt:lpstr>11-17</vt:lpstr>
      <vt:lpstr>11-18</vt:lpstr>
      <vt:lpstr>11-19</vt:lpstr>
      <vt:lpstr>11-20</vt:lpstr>
      <vt:lpstr>11-21</vt:lpstr>
      <vt:lpstr>11-22</vt:lpstr>
      <vt:lpstr>11-23</vt:lpstr>
      <vt:lpstr>11-24</vt:lpstr>
      <vt:lpstr>11-25</vt:lpstr>
      <vt:lpstr>11-26</vt:lpstr>
      <vt:lpstr>11-27</vt:lpstr>
      <vt:lpstr>11-28</vt:lpstr>
      <vt:lpstr>11-29</vt:lpstr>
      <vt:lpstr>12</vt:lpstr>
      <vt:lpstr>13</vt:lpstr>
      <vt:lpstr>14</vt:lpstr>
      <vt:lpstr>15</vt:lpstr>
      <vt:lpstr>16</vt:lpstr>
      <vt:lpstr>17</vt:lpstr>
      <vt:lpstr>18-1</vt:lpstr>
      <vt:lpstr>18-2</vt:lpstr>
      <vt:lpstr>18-3</vt:lpstr>
      <vt:lpstr>19</vt:lpstr>
      <vt:lpstr>20</vt:lpstr>
      <vt:lpstr>21</vt:lpstr>
      <vt:lpstr>22</vt:lpstr>
      <vt:lpstr>23</vt:lpstr>
      <vt:lpstr>24</vt:lpstr>
      <vt:lpstr>25</vt:lpstr>
      <vt:lpstr>26</vt:lpstr>
      <vt:lpstr>27</vt:lpstr>
      <vt:lpstr>28</vt:lpstr>
      <vt:lpstr>29</vt:lpstr>
      <vt:lpstr>30</vt:lpstr>
      <vt:lpstr>31</vt:lpstr>
      <vt:lpstr>32</vt:lpstr>
      <vt:lpstr>33</vt:lpstr>
      <vt:lpstr>34</vt:lpstr>
      <vt:lpstr>35</vt:lpstr>
      <vt:lpstr>36</vt:lpstr>
      <vt:lpstr>37</vt:lpstr>
      <vt:lpstr>38</vt:lpstr>
      <vt:lpstr>'22'!_ftn1</vt:lpstr>
      <vt:lpstr>'28'!_ftn10</vt:lpstr>
      <vt:lpstr>'28'!_ftn11</vt:lpstr>
      <vt:lpstr>'28'!_ftn12</vt:lpstr>
      <vt:lpstr>'28'!_ftn13</vt:lpstr>
      <vt:lpstr>'28'!_ftn14</vt:lpstr>
      <vt:lpstr>'28'!_ftn15</vt:lpstr>
      <vt:lpstr>'29'!_ftn16</vt:lpstr>
      <vt:lpstr>'32'!_ftn17</vt:lpstr>
      <vt:lpstr>'22'!_ftn2</vt:lpstr>
      <vt:lpstr>'22'!_ftn3</vt:lpstr>
      <vt:lpstr>'22'!_ftn4</vt:lpstr>
      <vt:lpstr>'22'!_ftn5</vt:lpstr>
      <vt:lpstr>'28'!_ftn8</vt:lpstr>
      <vt:lpstr>'28'!_ftn9</vt:lpstr>
      <vt:lpstr>'22'!_ftnref1</vt:lpstr>
      <vt:lpstr>'28'!_ftnref10</vt:lpstr>
      <vt:lpstr>'28'!_ftnref11</vt:lpstr>
      <vt:lpstr>'28'!_ftnref12</vt:lpstr>
      <vt:lpstr>'28'!_ftnref13</vt:lpstr>
      <vt:lpstr>'28'!_ftnref14</vt:lpstr>
      <vt:lpstr>'28'!_ftnref15</vt:lpstr>
      <vt:lpstr>'29'!_ftnref16</vt:lpstr>
      <vt:lpstr>'32'!_ftnref17</vt:lpstr>
      <vt:lpstr>'22'!_ftnref2</vt:lpstr>
      <vt:lpstr>'22'!_ftnref3</vt:lpstr>
      <vt:lpstr>'22'!_ftnref4</vt:lpstr>
      <vt:lpstr>'22'!_ftnref5</vt:lpstr>
      <vt:lpstr>'25'!_ftnref6</vt:lpstr>
      <vt:lpstr>'25'!_ftnref7</vt:lpstr>
      <vt:lpstr>'28'!_ftnref8</vt:lpstr>
      <vt:lpstr>'28'!_ftnref9</vt:lpstr>
      <vt:lpstr>'22'!_Hlk43823825</vt:lpstr>
      <vt:lpstr>'30'!_Hlk53563649</vt:lpstr>
      <vt:lpstr>'30'!_Hlk53563656</vt:lpstr>
      <vt:lpstr>'28'!_Hlk53743023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Fathi Mabrouk</dc:creator>
  <cp:keywords/>
  <dc:description/>
  <cp:lastModifiedBy>sie rachid traore</cp:lastModifiedBy>
  <cp:revision/>
  <dcterms:created xsi:type="dcterms:W3CDTF">2020-10-24T07:48:50Z</dcterms:created>
  <dcterms:modified xsi:type="dcterms:W3CDTF">2026-07-06T10:34:50Z</dcterms:modified>
  <cp:category/>
  <cp:contentStatus/>
</cp:coreProperties>
</file>