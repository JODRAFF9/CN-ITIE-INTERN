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 aurifères\"/>
    </mc:Choice>
  </mc:AlternateContent>
  <xr:revisionPtr revIDLastSave="0" documentId="13_ncr:1_{7EED97A3-AA6D-47F7-819D-AA111C304389}" xr6:coauthVersionLast="47" xr6:coauthVersionMax="47" xr10:uidLastSave="{00000000-0000-0000-0000-000000000000}"/>
  <bookViews>
    <workbookView xWindow="-110" yWindow="-110" windowWidth="19420" windowHeight="11500" xr2:uid="{C2BA2C43-A192-4457-9A25-E342BC99F674}"/>
  </bookViews>
  <sheets>
    <sheet name="Feuil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" i="1" l="1"/>
  <c r="BE6" i="1"/>
  <c r="BE7" i="1"/>
  <c r="BE8" i="1"/>
  <c r="BE9" i="1"/>
  <c r="BE10" i="1"/>
  <c r="BE11" i="1"/>
  <c r="BE12" i="1"/>
  <c r="BE13" i="1"/>
  <c r="BE14" i="1"/>
  <c r="BE15" i="1"/>
  <c r="BG15" i="1" s="1"/>
  <c r="BH15" i="1" s="1"/>
  <c r="BE16" i="1"/>
  <c r="BE17" i="1"/>
  <c r="BE18" i="1"/>
  <c r="BE4" i="1"/>
  <c r="E19" i="1"/>
  <c r="H18" i="1"/>
  <c r="F18" i="1"/>
  <c r="F17" i="1"/>
  <c r="F16" i="1"/>
  <c r="F15" i="1"/>
  <c r="BG14" i="1"/>
  <c r="BH14" i="1" s="1"/>
  <c r="F14" i="1"/>
  <c r="F13" i="1"/>
  <c r="I12" i="1"/>
  <c r="F12" i="1"/>
  <c r="H11" i="1"/>
  <c r="F11" i="1"/>
  <c r="F10" i="1"/>
  <c r="F9" i="1"/>
  <c r="F8" i="1"/>
  <c r="F7" i="1"/>
  <c r="F6" i="1"/>
  <c r="F5" i="1"/>
  <c r="F4" i="1"/>
  <c r="BG16" i="1" l="1"/>
  <c r="BH16" i="1" s="1"/>
  <c r="BG17" i="1"/>
  <c r="BH17" i="1" s="1"/>
  <c r="BE19" i="1"/>
  <c r="BG12" i="1"/>
  <c r="BG13" i="1"/>
  <c r="BH13" i="1" s="1"/>
  <c r="BG18" i="1"/>
  <c r="BH18" i="1" s="1"/>
</calcChain>
</file>

<file path=xl/sharedStrings.xml><?xml version="1.0" encoding="utf-8"?>
<sst xmlns="http://schemas.openxmlformats.org/spreadsheetml/2006/main" count="110" uniqueCount="77">
  <si>
    <t>Société</t>
  </si>
  <si>
    <t>Exercice</t>
  </si>
  <si>
    <t>Production vendue (Tonne)</t>
  </si>
  <si>
    <t>Valeur marchande (FCFA)</t>
  </si>
  <si>
    <t>Pu/T</t>
  </si>
  <si>
    <t>Charges supportées (FCFA)</t>
  </si>
  <si>
    <t>Redevance minière (FCFA)</t>
  </si>
  <si>
    <t>Frais supportés (FCFA) (Frais de traitement et transport)</t>
  </si>
  <si>
    <t xml:space="preserve">Redevance minière </t>
  </si>
  <si>
    <t>Appui institutionnel/DGMG</t>
  </si>
  <si>
    <t>Droits d'entrée fixes</t>
  </si>
  <si>
    <t>Bonus (DMG)</t>
  </si>
  <si>
    <t>Redevance superficiaire/DGMG</t>
  </si>
  <si>
    <t>DGCPT</t>
  </si>
  <si>
    <t xml:space="preserve">Revenus issus de la commercialisation de la Part de la production de l'État </t>
  </si>
  <si>
    <t>Patente (DGCPT)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</si>
  <si>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</si>
  <si>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</si>
  <si>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</si>
  <si>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</si>
  <si>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>Dividendes versés à l'Etat (DGCPT)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</si>
  <si>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</si>
  <si>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</si>
  <si>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</si>
  <si>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</si>
  <si>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</si>
  <si>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</si>
  <si>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</si>
  <si>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 (DGID)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</si>
  <si>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</si>
  <si>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</si>
  <si>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</si>
  <si>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</si>
  <si>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</si>
  <si>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</si>
  <si>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</si>
  <si>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</si>
  <si>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</si>
  <si>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 xml:space="preserve">Frais d'inscription d'une concession minière ou d'un permis d'exploitation </t>
  </si>
  <si>
    <t>DGD</t>
  </si>
  <si>
    <t>Taxe sur la valeur ajoutée (DGD)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</si>
  <si>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</si>
  <si>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</si>
  <si>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</si>
  <si>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</si>
  <si>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</si>
  <si>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</si>
  <si>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</si>
  <si>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</si>
  <si>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Taxe superficiaire (DEEC)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</si>
  <si>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</si>
  <si>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</si>
  <si>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</si>
  <si>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</si>
  <si>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</si>
  <si>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</si>
  <si>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</si>
  <si>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</si>
  <si>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</si>
  <si>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CDC</t>
  </si>
  <si>
    <t xml:space="preserve">Garanties données par les entreprises extractives </t>
  </si>
  <si>
    <t>Autres</t>
  </si>
  <si>
    <t>Autres flux de paiements significatifs (&gt; 25 millions de  FCFA) (reconciliables)</t>
  </si>
  <si>
    <t>Total</t>
  </si>
  <si>
    <t>Paiments totaux  annuels du secteur extractif</t>
  </si>
  <si>
    <t>Total Revenues auriféres</t>
  </si>
  <si>
    <t>%Revenues auriféres</t>
  </si>
  <si>
    <t>SGO</t>
  </si>
  <si>
    <t>NA</t>
  </si>
  <si>
    <t>PMC</t>
  </si>
  <si>
    <t>DGMG</t>
  </si>
  <si>
    <t>DIREC</t>
  </si>
  <si>
    <t>Régies financières</t>
  </si>
  <si>
    <t>Étiquettes de lignes</t>
  </si>
  <si>
    <t>Total général</t>
  </si>
  <si>
    <t>Somme de Production vendue (Tonne)</t>
  </si>
  <si>
    <t>Non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</si>
</sst>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_-* #,##0.00\ _C_F_A_-;\-* #,##0.00\ _C_F_A_-;_-* &quot;-&quot;\ _C_F_A_-;_-@_-"/>
    <numFmt numFmtId="167" formatCode="_-* #,##0\ _C_F_A_-;\-* #,##0\ _C_F_A_-;_-* &quot;-&quot;\ _C_F_A_-;_-@_-"/>
    <numFmt numFmtId="168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name val="Arial"/>
      <family val="2"/>
    </font>
    <font>
      <sz val="8"/>
      <name val="Trebuchet MS"/>
      <family val="2"/>
    </font>
    <font>
      <sz val="8"/>
      <name val="Calibri Light"/>
      <family val="2"/>
      <scheme val="maj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1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A9EC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165" fontId="5" fillId="2" borderId="0" xfId="4" applyNumberFormat="1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6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3" fontId="6" fillId="0" borderId="1" xfId="1" applyFont="1" applyBorder="1" applyAlignment="1">
      <alignment vertical="center"/>
    </xf>
    <xf numFmtId="43" fontId="6" fillId="0" borderId="2" xfId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3" borderId="1" xfId="0" applyNumberFormat="1" applyFont="1" applyFill="1" applyBorder="1" applyAlignment="1">
      <alignment vertical="center"/>
    </xf>
    <xf numFmtId="9" fontId="9" fillId="0" borderId="1" xfId="3" applyFont="1" applyBorder="1" applyAlignment="1">
      <alignment horizontal="center" vertical="center"/>
    </xf>
    <xf numFmtId="168" fontId="6" fillId="4" borderId="1" xfId="0" applyNumberFormat="1" applyFont="1" applyFill="1" applyBorder="1" applyAlignment="1">
      <alignment vertical="center"/>
    </xf>
    <xf numFmtId="41" fontId="6" fillId="0" borderId="0" xfId="2" applyFont="1" applyAlignment="1">
      <alignment vertical="center"/>
    </xf>
    <xf numFmtId="168" fontId="6" fillId="0" borderId="4" xfId="0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43" fontId="6" fillId="0" borderId="0" xfId="1" applyFont="1" applyAlignment="1">
      <alignment vertical="center"/>
    </xf>
    <xf numFmtId="164" fontId="6" fillId="0" borderId="0" xfId="1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2" borderId="5" xfId="4" applyFont="1" applyFill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4" fillId="2" borderId="3" xfId="4" applyFont="1" applyFill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5">
    <cellStyle name="Milliers" xfId="1" builtinId="3"/>
    <cellStyle name="Milliers [0]" xfId="2" builtinId="6"/>
    <cellStyle name="Normal" xfId="0" builtinId="0"/>
    <cellStyle name="Normal 2 5" xfId="4" xr:uid="{7E630383-168D-4ABE-9452-47AE1E877128}"/>
    <cellStyle name="Pourcentage" xfId="3" builtinId="5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8.798363541668" createdVersion="8" refreshedVersion="8" minRefreshableVersion="3" recordCount="15" xr:uid="{EACA2C64-81D3-4BA9-961E-C352A312345C}">
  <cacheSource type="worksheet">
    <worksheetSource ref="B3:H18" sheet="Feuil1"/>
  </cacheSource>
  <cacheFields count="7">
    <cacheField name="Société" numFmtId="166">
      <sharedItems/>
    </cacheField>
    <cacheField name="Exercice" numFmtId="0">
      <sharedItems containsSemiMixedTypes="0" containsString="0" containsNumber="1" containsInteger="1" minValue="2017" maxValue="2024" count="8">
        <n v="2017"/>
        <n v="2018"/>
        <n v="2019"/>
        <n v="2020"/>
        <n v="2021"/>
        <n v="2022"/>
        <n v="2023"/>
        <n v="2024"/>
      </sharedItems>
    </cacheField>
    <cacheField name="Production vendue (Tonne)" numFmtId="166">
      <sharedItems containsSemiMixedTypes="0" containsString="0" containsNumber="1" minValue="3.7307999999999999" maxValue="12.16"/>
    </cacheField>
    <cacheField name="Valeur marchande (FCFA)" numFmtId="167">
      <sharedItems containsSemiMixedTypes="0" containsString="0" containsNumber="1" minValue="100183726000" maxValue="392586705000"/>
    </cacheField>
    <cacheField name="Pu/T" numFmtId="167">
      <sharedItems containsSemiMixedTypes="0" containsString="0" containsNumber="1" minValue="22503083108.715183" maxValue="46991258896.551727"/>
    </cacheField>
    <cacheField name="Charges supportées (FCFA)" numFmtId="167">
      <sharedItems containsNonDate="0" containsString="0" containsBlank="1"/>
    </cacheField>
    <cacheField name="Redevance minière (FCFA)" numFmtId="167">
      <sharedItems containsSemiMixedTypes="0" containsString="0" containsNumber="1" minValue="5008589699" maxValue="19583213628.882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GO"/>
    <x v="0"/>
    <n v="7.1873198399999998"/>
    <n v="168626111466.75"/>
    <n v="23461612286.722725"/>
    <m/>
    <n v="8410964582.4034996"/>
  </r>
  <r>
    <s v="SGO"/>
    <x v="1"/>
    <n v="6.968"/>
    <n v="173717982000"/>
    <n v="24930824052.812859"/>
    <m/>
    <n v="8662737321.3855"/>
  </r>
  <r>
    <s v="SGO"/>
    <x v="2"/>
    <n v="6.61"/>
    <n v="187153240000"/>
    <n v="28313652042.360058"/>
    <m/>
    <n v="9328166761.8085003"/>
  </r>
  <r>
    <s v="SGO"/>
    <x v="3"/>
    <n v="7.04"/>
    <n v="231645211062.66"/>
    <n v="32904149298.673294"/>
    <m/>
    <n v="11517025517"/>
  </r>
  <r>
    <s v="SGO"/>
    <x v="4"/>
    <n v="12.16"/>
    <n v="390739103000"/>
    <n v="32133149917.763157"/>
    <m/>
    <n v="19491926231.734631"/>
  </r>
  <r>
    <s v="SGO"/>
    <x v="5"/>
    <n v="10.89"/>
    <n v="392586705000"/>
    <n v="36050202479.338844"/>
    <m/>
    <n v="19583213628.882149"/>
  </r>
  <r>
    <s v="SGO"/>
    <x v="6"/>
    <n v="9.14"/>
    <n v="350506489000"/>
    <n v="38348631181.619255"/>
    <m/>
    <n v="17483287112.941906"/>
  </r>
  <r>
    <s v="SGO"/>
    <x v="7"/>
    <n v="7.25"/>
    <n v="340686627000"/>
    <n v="46991258896.551727"/>
    <m/>
    <n v="17034331350"/>
  </r>
  <r>
    <s v="PMC"/>
    <x v="1"/>
    <n v="4.452"/>
    <n v="100183726000"/>
    <n v="22503083108.715183"/>
    <m/>
    <n v="5008589699"/>
  </r>
  <r>
    <s v="PMC"/>
    <x v="2"/>
    <n v="5.7919"/>
    <n v="151790543701.83826"/>
    <n v="26207383363.28981"/>
    <m/>
    <n v="7576735998"/>
  </r>
  <r>
    <s v="PMC"/>
    <x v="3"/>
    <n v="5.3128000000000002"/>
    <n v="156789785059.60001"/>
    <n v="29511704762.008732"/>
    <m/>
    <n v="8679348430"/>
  </r>
  <r>
    <s v="PMC"/>
    <x v="4"/>
    <n v="3.9935"/>
    <n v="123373492000"/>
    <n v="30893575059.471642"/>
    <m/>
    <n v="6168674600"/>
  </r>
  <r>
    <s v="PMC"/>
    <x v="5"/>
    <n v="4.0319337419999997"/>
    <n v="147862816000"/>
    <n v="36672928044.361702"/>
    <m/>
    <n v="7393140800"/>
  </r>
  <r>
    <s v="PMC"/>
    <x v="6"/>
    <n v="3.7307999999999999"/>
    <n v="141473181133.46954"/>
    <n v="37920333744.363014"/>
    <m/>
    <n v="7073659453"/>
  </r>
  <r>
    <s v="PMC"/>
    <x v="7"/>
    <n v="3.7669999999999999"/>
    <n v="174778072792"/>
    <n v="46397152320.679588"/>
    <m/>
    <n v="8738903639.6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A14B0-D9CB-4055-AD8F-EC7C20FF3F08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23:J32" firstHeaderRow="1" firstDataRow="1" firstDataCol="1"/>
  <pivotFields count="7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6" showAll="0"/>
    <pivotField numFmtId="167" showAll="0"/>
    <pivotField numFmtId="167" showAll="0"/>
    <pivotField showAll="0"/>
    <pivotField numFmtId="167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Production vendue (Tonne)" fld="2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D078-F173-423F-930E-B63F0D58F0BB}">
  <dimension ref="B2:BL40"/>
  <sheetViews>
    <sheetView tabSelected="1" zoomScale="74" workbookViewId="0">
      <pane xSplit="3" ySplit="3" topLeftCell="BA4" activePane="bottomRight" state="frozen"/>
      <selection pane="topRight" activeCell="D1" sqref="D1"/>
      <selection pane="bottomLeft" activeCell="A4" sqref="A4"/>
      <selection pane="bottomRight" activeCell="BE19" sqref="BE19"/>
    </sheetView>
  </sheetViews>
  <sheetFormatPr baseColWidth="10" defaultColWidth="10.81640625" defaultRowHeight="14" x14ac:dyDescent="0.35"/>
  <cols>
    <col min="1" max="2" width="10.81640625" style="13"/>
    <col min="3" max="3" width="10.453125" style="13" bestFit="1" customWidth="1"/>
    <col min="4" max="4" width="15.54296875" style="13" customWidth="1"/>
    <col min="5" max="7" width="23.81640625" style="13" customWidth="1"/>
    <col min="8" max="8" width="21.453125" style="23" customWidth="1"/>
    <col min="9" max="9" width="20.54296875" style="23" bestFit="1" customWidth="1"/>
    <col min="10" max="10" width="34.90625" style="22" bestFit="1" customWidth="1"/>
    <col min="11" max="11" width="18.26953125" style="22" bestFit="1" customWidth="1"/>
    <col min="12" max="12" width="19.453125" style="13" bestFit="1" customWidth="1"/>
    <col min="13" max="13" width="18.26953125" style="13" bestFit="1" customWidth="1"/>
    <col min="14" max="14" width="21" style="13" customWidth="1"/>
    <col min="15" max="15" width="24.36328125" style="13" customWidth="1"/>
    <col min="16" max="16" width="22" style="13" bestFit="1" customWidth="1"/>
    <col min="17" max="20" width="10.81640625" style="13"/>
    <col min="21" max="21" width="22" style="13" bestFit="1" customWidth="1"/>
    <col min="22" max="22" width="19" style="13" customWidth="1"/>
    <col min="23" max="23" width="17.90625" style="13" bestFit="1" customWidth="1"/>
    <col min="24" max="24" width="19.1796875" style="13" customWidth="1"/>
    <col min="25" max="26" width="20.7265625" style="13" bestFit="1" customWidth="1"/>
    <col min="27" max="28" width="22" style="13" bestFit="1" customWidth="1"/>
    <col min="29" max="30" width="20.7265625" style="13" bestFit="1" customWidth="1"/>
    <col min="31" max="31" width="14.7265625" style="13" customWidth="1"/>
    <col min="32" max="32" width="17.81640625" style="13" customWidth="1"/>
    <col min="33" max="33" width="18.7265625" style="13" bestFit="1" customWidth="1"/>
    <col min="34" max="36" width="10.81640625" style="13"/>
    <col min="37" max="37" width="22" style="13" bestFit="1" customWidth="1"/>
    <col min="38" max="38" width="16.453125" style="13" bestFit="1" customWidth="1"/>
    <col min="39" max="39" width="19.08984375" style="13" bestFit="1" customWidth="1"/>
    <col min="40" max="41" width="16.453125" style="13" bestFit="1" customWidth="1"/>
    <col min="42" max="42" width="19.08984375" style="13" bestFit="1" customWidth="1"/>
    <col min="43" max="43" width="16.453125" style="13" bestFit="1" customWidth="1"/>
    <col min="44" max="45" width="15.1796875" style="13" bestFit="1" customWidth="1"/>
    <col min="46" max="46" width="16.453125" style="13" bestFit="1" customWidth="1"/>
    <col min="47" max="48" width="17.90625" style="13" bestFit="1" customWidth="1"/>
    <col min="49" max="49" width="10.81640625" style="13"/>
    <col min="50" max="50" width="16.453125" style="13" bestFit="1" customWidth="1"/>
    <col min="51" max="51" width="14.26953125" style="13" bestFit="1" customWidth="1"/>
    <col min="52" max="53" width="16.54296875" style="13" bestFit="1" customWidth="1"/>
    <col min="54" max="54" width="18.26953125" style="13" bestFit="1" customWidth="1"/>
    <col min="55" max="55" width="10.81640625" style="13"/>
    <col min="56" max="56" width="28.81640625" style="13" bestFit="1" customWidth="1"/>
    <col min="57" max="57" width="21.453125" style="13" bestFit="1" customWidth="1"/>
    <col min="58" max="58" width="27.1796875" style="13" bestFit="1" customWidth="1"/>
    <col min="59" max="59" width="22" style="13" bestFit="1" customWidth="1"/>
    <col min="60" max="60" width="14.26953125" style="13" bestFit="1" customWidth="1"/>
    <col min="61" max="63" width="10.81640625" style="13"/>
    <col min="64" max="64" width="23.453125" style="13" bestFit="1" customWidth="1"/>
    <col min="65" max="16384" width="10.81640625" style="13"/>
  </cols>
  <sheetData>
    <row r="2" spans="2:64" x14ac:dyDescent="0.35">
      <c r="B2" s="13" t="s">
        <v>72</v>
      </c>
      <c r="J2" s="33" t="s">
        <v>70</v>
      </c>
      <c r="K2" s="33"/>
      <c r="L2" s="33"/>
      <c r="M2" s="33"/>
      <c r="N2" s="33"/>
      <c r="O2" s="34" t="s">
        <v>13</v>
      </c>
      <c r="P2" s="34"/>
      <c r="Q2" s="34"/>
      <c r="R2" s="34"/>
      <c r="S2" s="34"/>
      <c r="T2" s="34"/>
      <c r="U2" s="34"/>
      <c r="V2" s="34"/>
      <c r="W2" s="34"/>
      <c r="X2" s="34"/>
      <c r="Y2" s="34" t="s">
        <v>24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 t="s">
        <v>39</v>
      </c>
      <c r="AN2" s="34"/>
      <c r="AO2" s="34"/>
      <c r="AP2" s="34"/>
      <c r="AQ2" s="34"/>
      <c r="AR2" s="34"/>
      <c r="AS2" s="34"/>
      <c r="AT2" s="34"/>
      <c r="AU2" s="34"/>
      <c r="AV2" s="34" t="s">
        <v>71</v>
      </c>
      <c r="AW2" s="34"/>
      <c r="AX2" s="34"/>
      <c r="AY2" s="34" t="s">
        <v>52</v>
      </c>
      <c r="AZ2" s="34"/>
      <c r="BA2" s="9" t="s">
        <v>55</v>
      </c>
      <c r="BB2" s="9" t="s">
        <v>57</v>
      </c>
      <c r="BC2" s="9" t="s">
        <v>59</v>
      </c>
      <c r="BD2" s="9" t="s">
        <v>61</v>
      </c>
    </row>
    <row r="3" spans="2:64" s="5" customFormat="1" ht="60" x14ac:dyDescent="0.35">
      <c r="B3" s="2" t="s">
        <v>0</v>
      </c>
      <c r="C3" s="3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30" t="s">
        <v>8</v>
      </c>
      <c r="K3" s="31" t="s">
        <v>9</v>
      </c>
      <c r="L3" s="30" t="s">
        <v>10</v>
      </c>
      <c r="M3" s="31" t="s">
        <v>11</v>
      </c>
      <c r="N3" s="30" t="s">
        <v>12</v>
      </c>
      <c r="O3" s="30" t="s">
        <v>14</v>
      </c>
      <c r="P3" s="31" t="s">
        <v>15</v>
      </c>
      <c r="Q3" s="30" t="s">
        <v>16</v>
      </c>
      <c r="R3" s="31" t="s">
        <v>17</v>
      </c>
      <c r="S3" s="30" t="s">
        <v>18</v>
      </c>
      <c r="T3" s="31" t="s">
        <v>19</v>
      </c>
      <c r="U3" s="30" t="s">
        <v>20</v>
      </c>
      <c r="V3" s="31" t="s">
        <v>21</v>
      </c>
      <c r="W3" s="30" t="s">
        <v>22</v>
      </c>
      <c r="X3" s="31" t="s">
        <v>23</v>
      </c>
      <c r="Y3" s="30" t="s">
        <v>25</v>
      </c>
      <c r="Z3" s="31" t="s">
        <v>26</v>
      </c>
      <c r="AA3" s="30" t="s">
        <v>27</v>
      </c>
      <c r="AB3" s="31" t="s">
        <v>28</v>
      </c>
      <c r="AC3" s="30" t="s">
        <v>29</v>
      </c>
      <c r="AD3" s="31" t="s">
        <v>30</v>
      </c>
      <c r="AE3" s="30" t="s">
        <v>31</v>
      </c>
      <c r="AF3" s="31" t="s">
        <v>32</v>
      </c>
      <c r="AG3" s="30" t="s">
        <v>33</v>
      </c>
      <c r="AH3" s="31" t="s">
        <v>34</v>
      </c>
      <c r="AI3" s="30" t="s">
        <v>35</v>
      </c>
      <c r="AJ3" s="31" t="s">
        <v>36</v>
      </c>
      <c r="AK3" s="30" t="s">
        <v>37</v>
      </c>
      <c r="AL3" s="4" t="s">
        <v>38</v>
      </c>
      <c r="AM3" s="30" t="s">
        <v>40</v>
      </c>
      <c r="AN3" s="31" t="s">
        <v>41</v>
      </c>
      <c r="AO3" s="30" t="s">
        <v>42</v>
      </c>
      <c r="AP3" s="31" t="s">
        <v>43</v>
      </c>
      <c r="AQ3" s="30" t="s">
        <v>44</v>
      </c>
      <c r="AR3" s="31" t="s">
        <v>45</v>
      </c>
      <c r="AS3" s="30" t="s">
        <v>46</v>
      </c>
      <c r="AT3" s="31" t="s">
        <v>47</v>
      </c>
      <c r="AU3" s="30" t="s">
        <v>48</v>
      </c>
      <c r="AV3" s="31" t="s">
        <v>49</v>
      </c>
      <c r="AW3" s="30" t="s">
        <v>50</v>
      </c>
      <c r="AX3" s="31" t="s">
        <v>51</v>
      </c>
      <c r="AY3" s="30" t="s">
        <v>53</v>
      </c>
      <c r="AZ3" s="31" t="s">
        <v>54</v>
      </c>
      <c r="BA3" s="30" t="s">
        <v>56</v>
      </c>
      <c r="BB3" s="31" t="s">
        <v>58</v>
      </c>
      <c r="BC3" s="31" t="s">
        <v>60</v>
      </c>
      <c r="BD3" s="32" t="s">
        <v>62</v>
      </c>
      <c r="BE3" s="1" t="s">
        <v>63</v>
      </c>
      <c r="BF3" s="1" t="s">
        <v>64</v>
      </c>
      <c r="BG3" s="1" t="s">
        <v>65</v>
      </c>
      <c r="BH3" s="1" t="s">
        <v>66</v>
      </c>
    </row>
    <row r="4" spans="2:64" ht="21.5" customHeight="1" x14ac:dyDescent="0.35">
      <c r="B4" s="6" t="s">
        <v>67</v>
      </c>
      <c r="C4" s="7">
        <v>2017</v>
      </c>
      <c r="D4" s="6">
        <v>7.1873198399999998</v>
      </c>
      <c r="E4" s="8">
        <v>168626111466.75</v>
      </c>
      <c r="F4" s="8">
        <f>+E4/D4</f>
        <v>23461612286.722725</v>
      </c>
      <c r="G4" s="8"/>
      <c r="H4" s="8">
        <v>8410964582.4034996</v>
      </c>
      <c r="I4" s="8">
        <v>406819818.68000001</v>
      </c>
      <c r="J4" s="8">
        <v>2479808997</v>
      </c>
      <c r="K4" s="8">
        <v>9100000</v>
      </c>
      <c r="L4" s="8"/>
      <c r="M4" s="8"/>
      <c r="N4" s="8"/>
      <c r="O4" s="8"/>
      <c r="P4" s="8"/>
      <c r="Q4" s="8"/>
      <c r="R4" s="9"/>
      <c r="S4" s="9"/>
      <c r="T4" s="9"/>
      <c r="U4" s="10"/>
      <c r="V4" s="10"/>
      <c r="W4" s="10"/>
      <c r="X4" s="10"/>
      <c r="Y4" s="10">
        <v>782693</v>
      </c>
      <c r="Z4" s="10">
        <v>2137933345</v>
      </c>
      <c r="AA4" s="10"/>
      <c r="AB4" s="10"/>
      <c r="AC4" s="10"/>
      <c r="AD4" s="10">
        <v>139425849</v>
      </c>
      <c r="AE4" s="10"/>
      <c r="AF4" s="10">
        <v>5783535</v>
      </c>
      <c r="AG4" s="10"/>
      <c r="AH4" s="10"/>
      <c r="AI4" s="10"/>
      <c r="AJ4" s="10"/>
      <c r="AK4" s="10">
        <v>7557669</v>
      </c>
      <c r="AL4" s="10"/>
      <c r="AM4" s="10"/>
      <c r="AN4" s="10"/>
      <c r="AO4" s="10"/>
      <c r="AP4" s="10">
        <v>331647642</v>
      </c>
      <c r="AQ4" s="10"/>
      <c r="AR4" s="10"/>
      <c r="AS4" s="10"/>
      <c r="AT4" s="10"/>
      <c r="AU4" s="10"/>
      <c r="AV4" s="10">
        <v>9736200</v>
      </c>
      <c r="AW4" s="10"/>
      <c r="AX4" s="10"/>
      <c r="AY4" s="10"/>
      <c r="AZ4" s="10"/>
      <c r="BA4" s="10">
        <v>62695166</v>
      </c>
      <c r="BB4" s="10">
        <v>448178395</v>
      </c>
      <c r="BC4" s="10"/>
      <c r="BD4" s="11"/>
      <c r="BE4" s="12">
        <f>+SUM(J4:BD4)</f>
        <v>5632649491</v>
      </c>
      <c r="BF4" s="18" t="s">
        <v>76</v>
      </c>
      <c r="BG4" s="18" t="s">
        <v>76</v>
      </c>
      <c r="BH4" s="18"/>
    </row>
    <row r="5" spans="2:64" ht="21.5" customHeight="1" x14ac:dyDescent="0.35">
      <c r="B5" s="6" t="s">
        <v>67</v>
      </c>
      <c r="C5" s="14">
        <v>2018</v>
      </c>
      <c r="D5" s="6">
        <v>6.968</v>
      </c>
      <c r="E5" s="8">
        <v>173717982000</v>
      </c>
      <c r="F5" s="8">
        <f t="shared" ref="F5:F18" si="0">+E5/D5</f>
        <v>24930824052.812859</v>
      </c>
      <c r="G5" s="8"/>
      <c r="H5" s="8">
        <v>8662737321.3855</v>
      </c>
      <c r="I5" s="8">
        <v>463235572.28999996</v>
      </c>
      <c r="J5" s="8">
        <v>8910427032</v>
      </c>
      <c r="K5" s="8">
        <v>362016085.72000003</v>
      </c>
      <c r="L5" s="8"/>
      <c r="M5" s="8"/>
      <c r="N5" s="8"/>
      <c r="O5" s="8"/>
      <c r="P5" s="8"/>
      <c r="Q5" s="8"/>
      <c r="R5" s="9"/>
      <c r="S5" s="9"/>
      <c r="T5" s="9"/>
      <c r="U5" s="10"/>
      <c r="V5" s="10"/>
      <c r="W5" s="10"/>
      <c r="X5" s="10"/>
      <c r="Y5" s="10">
        <v>1224083825</v>
      </c>
      <c r="Z5" s="10">
        <v>2076603631</v>
      </c>
      <c r="AA5" s="10"/>
      <c r="AB5" s="10">
        <v>4054035730</v>
      </c>
      <c r="AC5" s="10"/>
      <c r="AD5" s="10">
        <v>357095620</v>
      </c>
      <c r="AE5" s="10"/>
      <c r="AF5" s="10">
        <v>15512539</v>
      </c>
      <c r="AG5" s="10"/>
      <c r="AH5" s="10"/>
      <c r="AI5" s="10"/>
      <c r="AJ5" s="10"/>
      <c r="AK5" s="10">
        <v>64477064</v>
      </c>
      <c r="AL5" s="10"/>
      <c r="AM5" s="10"/>
      <c r="AN5" s="10"/>
      <c r="AO5" s="10"/>
      <c r="AP5" s="10">
        <v>1436326081</v>
      </c>
      <c r="AQ5" s="10"/>
      <c r="AR5" s="10"/>
      <c r="AS5" s="10"/>
      <c r="AT5" s="10"/>
      <c r="AU5" s="10"/>
      <c r="AV5" s="10">
        <v>101670000</v>
      </c>
      <c r="AW5" s="10"/>
      <c r="AX5" s="10"/>
      <c r="AY5" s="10"/>
      <c r="AZ5" s="10">
        <v>88454020</v>
      </c>
      <c r="BA5" s="10">
        <v>22846320</v>
      </c>
      <c r="BB5" s="10">
        <v>216583245</v>
      </c>
      <c r="BC5" s="10"/>
      <c r="BD5" s="11"/>
      <c r="BE5" s="12">
        <f t="shared" ref="BE5:BE18" si="1">+SUM(J5:BD5)</f>
        <v>18930131192.720001</v>
      </c>
      <c r="BF5" s="18" t="s">
        <v>76</v>
      </c>
      <c r="BG5" s="18" t="s">
        <v>76</v>
      </c>
      <c r="BH5" s="18"/>
    </row>
    <row r="6" spans="2:64" ht="21.5" customHeight="1" x14ac:dyDescent="0.35">
      <c r="B6" s="6" t="s">
        <v>67</v>
      </c>
      <c r="C6" s="7">
        <v>2019</v>
      </c>
      <c r="D6" s="6">
        <v>6.61</v>
      </c>
      <c r="E6" s="8">
        <v>187153240000</v>
      </c>
      <c r="F6" s="8">
        <f t="shared" si="0"/>
        <v>28313652042.360058</v>
      </c>
      <c r="G6" s="8"/>
      <c r="H6" s="8">
        <v>9328166761.8085003</v>
      </c>
      <c r="I6" s="8">
        <v>589904763.83000004</v>
      </c>
      <c r="J6" s="8">
        <v>9509162069</v>
      </c>
      <c r="K6" s="8">
        <v>322273120</v>
      </c>
      <c r="L6" s="8">
        <v>1000000</v>
      </c>
      <c r="M6" s="8"/>
      <c r="N6" s="8"/>
      <c r="O6" s="8"/>
      <c r="P6" s="8">
        <v>700210162</v>
      </c>
      <c r="Q6" s="8"/>
      <c r="R6" s="9"/>
      <c r="S6" s="9"/>
      <c r="T6" s="9"/>
      <c r="U6" s="10"/>
      <c r="V6" s="10"/>
      <c r="W6" s="10"/>
      <c r="X6" s="10"/>
      <c r="Y6" s="10">
        <v>832010864</v>
      </c>
      <c r="Z6" s="10">
        <v>2484239231</v>
      </c>
      <c r="AA6" s="10">
        <v>5000070562</v>
      </c>
      <c r="AB6" s="10"/>
      <c r="AC6" s="10">
        <v>7298587337</v>
      </c>
      <c r="AD6" s="10">
        <v>393361415</v>
      </c>
      <c r="AE6" s="10"/>
      <c r="AF6" s="10">
        <v>19995187</v>
      </c>
      <c r="AG6" s="10"/>
      <c r="AH6" s="10"/>
      <c r="AI6" s="10"/>
      <c r="AJ6" s="10"/>
      <c r="AK6" s="10">
        <v>47637296</v>
      </c>
      <c r="AL6" s="10"/>
      <c r="AM6" s="10">
        <v>197063568</v>
      </c>
      <c r="AN6" s="10">
        <v>128405812</v>
      </c>
      <c r="AO6" s="10">
        <v>160501755</v>
      </c>
      <c r="AP6" s="10">
        <v>1073636380</v>
      </c>
      <c r="AQ6" s="10">
        <v>80203586</v>
      </c>
      <c r="AR6" s="10">
        <v>60533931</v>
      </c>
      <c r="AS6" s="10">
        <v>4053977</v>
      </c>
      <c r="AT6" s="10"/>
      <c r="AU6" s="10">
        <v>352157</v>
      </c>
      <c r="AV6" s="10">
        <v>101670000</v>
      </c>
      <c r="AW6" s="10"/>
      <c r="AX6" s="10"/>
      <c r="AY6" s="10"/>
      <c r="AZ6" s="10">
        <v>176714059</v>
      </c>
      <c r="BA6" s="10">
        <v>27760320</v>
      </c>
      <c r="BB6" s="10">
        <v>267853395</v>
      </c>
      <c r="BC6" s="10"/>
      <c r="BD6" s="11">
        <v>88369155</v>
      </c>
      <c r="BE6" s="12">
        <f t="shared" si="1"/>
        <v>28975665338</v>
      </c>
      <c r="BF6" s="18" t="s">
        <v>76</v>
      </c>
      <c r="BG6" s="18" t="s">
        <v>76</v>
      </c>
      <c r="BH6" s="18"/>
    </row>
    <row r="7" spans="2:64" ht="21.5" customHeight="1" x14ac:dyDescent="0.35">
      <c r="B7" s="6" t="s">
        <v>67</v>
      </c>
      <c r="C7" s="7">
        <v>2020</v>
      </c>
      <c r="D7" s="6">
        <v>7.04</v>
      </c>
      <c r="E7" s="8">
        <v>231645211062.66</v>
      </c>
      <c r="F7" s="8">
        <f t="shared" si="0"/>
        <v>32904149298.673294</v>
      </c>
      <c r="G7" s="8"/>
      <c r="H7" s="8">
        <v>11517025517</v>
      </c>
      <c r="I7" s="8">
        <v>1304700722.6600001</v>
      </c>
      <c r="J7" s="8">
        <v>9540850131</v>
      </c>
      <c r="K7" s="8">
        <v>186233247</v>
      </c>
      <c r="L7" s="8"/>
      <c r="M7" s="8"/>
      <c r="N7" s="8"/>
      <c r="O7" s="8"/>
      <c r="P7" s="8">
        <v>700212162</v>
      </c>
      <c r="Q7" s="8"/>
      <c r="R7" s="9"/>
      <c r="S7" s="9"/>
      <c r="T7" s="9"/>
      <c r="U7" s="10"/>
      <c r="V7" s="10"/>
      <c r="W7" s="10">
        <v>8943645000</v>
      </c>
      <c r="X7" s="10"/>
      <c r="Y7" s="10">
        <v>246192713</v>
      </c>
      <c r="Z7" s="10">
        <v>3409680254</v>
      </c>
      <c r="AA7" s="10">
        <v>50000000</v>
      </c>
      <c r="AB7" s="10">
        <v>9388018145</v>
      </c>
      <c r="AC7" s="10"/>
      <c r="AD7" s="10">
        <v>387349761</v>
      </c>
      <c r="AE7" s="10"/>
      <c r="AF7" s="10">
        <v>30370439</v>
      </c>
      <c r="AG7" s="10"/>
      <c r="AH7" s="10"/>
      <c r="AI7" s="10"/>
      <c r="AJ7" s="10"/>
      <c r="AK7" s="10">
        <v>96697263</v>
      </c>
      <c r="AL7" s="10">
        <v>342009500</v>
      </c>
      <c r="AM7" s="10"/>
      <c r="AN7" s="10"/>
      <c r="AO7" s="10"/>
      <c r="AP7" s="10">
        <v>1027439597</v>
      </c>
      <c r="AQ7" s="10"/>
      <c r="AR7" s="10"/>
      <c r="AS7" s="10"/>
      <c r="AT7" s="10"/>
      <c r="AU7" s="10"/>
      <c r="AV7" s="10">
        <v>101670000</v>
      </c>
      <c r="AW7" s="10"/>
      <c r="AX7" s="10"/>
      <c r="AY7" s="10"/>
      <c r="AZ7" s="10">
        <v>91247209</v>
      </c>
      <c r="BA7" s="10">
        <v>36915282</v>
      </c>
      <c r="BB7" s="10">
        <v>349602388</v>
      </c>
      <c r="BC7" s="10"/>
      <c r="BD7" s="11">
        <v>13981000</v>
      </c>
      <c r="BE7" s="12">
        <f t="shared" si="1"/>
        <v>34942114091</v>
      </c>
      <c r="BF7" s="18" t="s">
        <v>76</v>
      </c>
      <c r="BG7" s="18" t="s">
        <v>76</v>
      </c>
      <c r="BH7" s="18"/>
    </row>
    <row r="8" spans="2:64" ht="21.5" customHeight="1" x14ac:dyDescent="0.35">
      <c r="B8" s="6" t="s">
        <v>67</v>
      </c>
      <c r="C8" s="7">
        <v>2021</v>
      </c>
      <c r="D8" s="6">
        <v>12.16</v>
      </c>
      <c r="E8" s="8">
        <v>390739103000</v>
      </c>
      <c r="F8" s="8">
        <f t="shared" si="0"/>
        <v>32133149917.763157</v>
      </c>
      <c r="G8" s="8"/>
      <c r="H8" s="8">
        <v>19491926231.734631</v>
      </c>
      <c r="I8" s="8">
        <v>900578365</v>
      </c>
      <c r="J8" s="8">
        <v>18095052888</v>
      </c>
      <c r="K8" s="8">
        <v>381674925</v>
      </c>
      <c r="L8" s="8">
        <v>2000000</v>
      </c>
      <c r="M8" s="8"/>
      <c r="N8" s="8">
        <v>99930000</v>
      </c>
      <c r="O8" s="8"/>
      <c r="P8" s="8">
        <v>700210162</v>
      </c>
      <c r="Q8" s="8"/>
      <c r="R8" s="9"/>
      <c r="S8" s="9"/>
      <c r="T8" s="9"/>
      <c r="U8" s="10">
        <v>930240585</v>
      </c>
      <c r="V8" s="10"/>
      <c r="W8" s="10"/>
      <c r="X8" s="10"/>
      <c r="Y8" s="10">
        <v>101736910</v>
      </c>
      <c r="Z8" s="10">
        <v>5623462277</v>
      </c>
      <c r="AA8" s="10"/>
      <c r="AB8" s="10">
        <v>10470001250</v>
      </c>
      <c r="AC8" s="10"/>
      <c r="AD8" s="10">
        <v>739979589</v>
      </c>
      <c r="AE8" s="10"/>
      <c r="AF8" s="10">
        <v>184824593</v>
      </c>
      <c r="AG8" s="10"/>
      <c r="AH8" s="10"/>
      <c r="AI8" s="10"/>
      <c r="AJ8" s="10"/>
      <c r="AK8" s="10">
        <v>1074843449</v>
      </c>
      <c r="AL8" s="10"/>
      <c r="AM8" s="10"/>
      <c r="AN8" s="10"/>
      <c r="AO8" s="10"/>
      <c r="AP8" s="10">
        <v>601569229</v>
      </c>
      <c r="AQ8" s="10"/>
      <c r="AR8" s="10"/>
      <c r="AS8" s="10"/>
      <c r="AT8" s="10"/>
      <c r="AU8" s="10"/>
      <c r="AV8" s="10">
        <v>102506250</v>
      </c>
      <c r="AW8" s="10"/>
      <c r="AX8" s="10"/>
      <c r="AY8" s="10"/>
      <c r="AZ8" s="10">
        <v>244113282</v>
      </c>
      <c r="BA8" s="10">
        <v>91733040</v>
      </c>
      <c r="BB8" s="10">
        <v>739969819</v>
      </c>
      <c r="BC8" s="10"/>
      <c r="BD8" s="11">
        <v>12875000</v>
      </c>
      <c r="BE8" s="12">
        <f t="shared" si="1"/>
        <v>40196723248</v>
      </c>
      <c r="BF8" s="18" t="s">
        <v>76</v>
      </c>
      <c r="BG8" s="18" t="s">
        <v>76</v>
      </c>
      <c r="BH8" s="18"/>
    </row>
    <row r="9" spans="2:64" ht="21.5" customHeight="1" x14ac:dyDescent="0.35">
      <c r="B9" s="6" t="s">
        <v>67</v>
      </c>
      <c r="C9" s="7">
        <v>2022</v>
      </c>
      <c r="D9" s="6">
        <v>10.89</v>
      </c>
      <c r="E9" s="8">
        <v>392586705000</v>
      </c>
      <c r="F9" s="8">
        <f t="shared" si="0"/>
        <v>36050202479.338844</v>
      </c>
      <c r="G9" s="8"/>
      <c r="H9" s="8">
        <v>19583213628.882149</v>
      </c>
      <c r="I9" s="8">
        <v>922432422</v>
      </c>
      <c r="J9" s="8">
        <v>19563971740</v>
      </c>
      <c r="K9" s="8">
        <v>344657753</v>
      </c>
      <c r="L9" s="8"/>
      <c r="M9" s="8"/>
      <c r="N9" s="8">
        <v>81430000</v>
      </c>
      <c r="O9" s="8"/>
      <c r="P9" s="8">
        <v>700210162</v>
      </c>
      <c r="Q9" s="8"/>
      <c r="R9" s="9"/>
      <c r="S9" s="9"/>
      <c r="T9" s="9"/>
      <c r="U9" s="10">
        <v>13745906089</v>
      </c>
      <c r="V9" s="10"/>
      <c r="W9" s="10"/>
      <c r="X9" s="10"/>
      <c r="Y9" s="10">
        <v>1159716473</v>
      </c>
      <c r="Z9" s="10">
        <v>5214687204</v>
      </c>
      <c r="AA9" s="10">
        <v>300000</v>
      </c>
      <c r="AB9" s="10">
        <v>10209148561</v>
      </c>
      <c r="AC9" s="10"/>
      <c r="AD9" s="10">
        <v>1272817806</v>
      </c>
      <c r="AE9" s="10"/>
      <c r="AF9" s="10">
        <v>23197229</v>
      </c>
      <c r="AG9" s="10"/>
      <c r="AH9" s="10"/>
      <c r="AI9" s="10"/>
      <c r="AJ9" s="10"/>
      <c r="AK9" s="10">
        <v>19512723643</v>
      </c>
      <c r="AL9" s="10"/>
      <c r="AM9" s="10">
        <v>5060698358</v>
      </c>
      <c r="AN9" s="10">
        <v>82821682</v>
      </c>
      <c r="AO9" s="10">
        <v>103417232</v>
      </c>
      <c r="AP9" s="10">
        <v>432572906</v>
      </c>
      <c r="AQ9" s="10">
        <v>51435059</v>
      </c>
      <c r="AR9" s="10">
        <v>33147645</v>
      </c>
      <c r="AS9" s="10">
        <v>28354930</v>
      </c>
      <c r="AT9" s="10">
        <v>197604113</v>
      </c>
      <c r="AU9" s="10">
        <v>71300044</v>
      </c>
      <c r="AV9" s="10">
        <v>102506250</v>
      </c>
      <c r="AW9" s="10"/>
      <c r="AX9" s="10"/>
      <c r="AY9" s="10">
        <v>2539000</v>
      </c>
      <c r="AZ9" s="10">
        <v>273526547</v>
      </c>
      <c r="BA9" s="10">
        <v>92413440</v>
      </c>
      <c r="BB9" s="10">
        <v>824145628</v>
      </c>
      <c r="BC9" s="10"/>
      <c r="BD9" s="11">
        <v>177051978</v>
      </c>
      <c r="BE9" s="12">
        <f t="shared" si="1"/>
        <v>79362301472</v>
      </c>
      <c r="BF9" s="18" t="s">
        <v>76</v>
      </c>
      <c r="BG9" s="18" t="s">
        <v>76</v>
      </c>
      <c r="BH9" s="18"/>
    </row>
    <row r="10" spans="2:64" ht="21.5" customHeight="1" x14ac:dyDescent="0.35">
      <c r="B10" s="6" t="s">
        <v>67</v>
      </c>
      <c r="C10" s="7">
        <v>2023</v>
      </c>
      <c r="D10" s="6">
        <v>9.14</v>
      </c>
      <c r="E10" s="8">
        <v>350506489000</v>
      </c>
      <c r="F10" s="8">
        <f t="shared" si="0"/>
        <v>38348631181.619255</v>
      </c>
      <c r="G10" s="8"/>
      <c r="H10" s="8">
        <v>17483287112.941906</v>
      </c>
      <c r="I10" s="8">
        <v>840746741</v>
      </c>
      <c r="J10" s="8">
        <v>17983379589</v>
      </c>
      <c r="K10" s="8">
        <v>394603655.20999998</v>
      </c>
      <c r="L10" s="8">
        <v>2000000</v>
      </c>
      <c r="M10" s="8"/>
      <c r="N10" s="8">
        <v>339510000</v>
      </c>
      <c r="O10" s="8"/>
      <c r="P10" s="8">
        <v>700210162</v>
      </c>
      <c r="Q10" s="8"/>
      <c r="R10" s="9"/>
      <c r="S10" s="9"/>
      <c r="T10" s="9"/>
      <c r="U10" s="10">
        <v>3780409704</v>
      </c>
      <c r="V10" s="10"/>
      <c r="W10" s="10"/>
      <c r="X10" s="10"/>
      <c r="Y10" s="10">
        <v>3552753938</v>
      </c>
      <c r="Z10" s="10">
        <v>6547939856</v>
      </c>
      <c r="AA10" s="10">
        <v>14165870891</v>
      </c>
      <c r="AB10" s="10">
        <v>56031664385</v>
      </c>
      <c r="AC10" s="10"/>
      <c r="AD10" s="10">
        <v>2416973413</v>
      </c>
      <c r="AE10" s="10"/>
      <c r="AF10" s="10">
        <v>355809766</v>
      </c>
      <c r="AG10" s="10"/>
      <c r="AH10" s="10"/>
      <c r="AI10" s="10"/>
      <c r="AJ10" s="10"/>
      <c r="AK10" s="10">
        <v>598684575</v>
      </c>
      <c r="AL10" s="10"/>
      <c r="AM10" s="10"/>
      <c r="AN10" s="10"/>
      <c r="AO10" s="10"/>
      <c r="AP10" s="10">
        <v>14790586394</v>
      </c>
      <c r="AQ10" s="10"/>
      <c r="AR10" s="10"/>
      <c r="AS10" s="10"/>
      <c r="AT10" s="10"/>
      <c r="AU10" s="10">
        <v>1356080521</v>
      </c>
      <c r="AV10" s="10">
        <v>1200349100</v>
      </c>
      <c r="AW10" s="10"/>
      <c r="AX10" s="10"/>
      <c r="AY10" s="10"/>
      <c r="AZ10" s="10">
        <v>278981251</v>
      </c>
      <c r="BA10" s="10">
        <v>101160360</v>
      </c>
      <c r="BB10" s="10">
        <v>982516892</v>
      </c>
      <c r="BC10" s="10"/>
      <c r="BD10" s="10">
        <v>20996063</v>
      </c>
      <c r="BE10" s="12">
        <f t="shared" si="1"/>
        <v>125600480515.20999</v>
      </c>
      <c r="BF10" s="18" t="s">
        <v>76</v>
      </c>
      <c r="BG10" s="18" t="s">
        <v>76</v>
      </c>
      <c r="BH10" s="18"/>
    </row>
    <row r="11" spans="2:64" ht="21.5" customHeight="1" x14ac:dyDescent="0.35">
      <c r="B11" s="6" t="s">
        <v>67</v>
      </c>
      <c r="C11" s="7">
        <v>2024</v>
      </c>
      <c r="D11" s="6">
        <v>7.25</v>
      </c>
      <c r="E11" s="8">
        <v>340686627000</v>
      </c>
      <c r="F11" s="8">
        <f t="shared" si="0"/>
        <v>46991258896.551727</v>
      </c>
      <c r="G11" s="8"/>
      <c r="H11" s="8">
        <f>E11*0.05</f>
        <v>17034331350</v>
      </c>
      <c r="I11" s="15" t="s">
        <v>68</v>
      </c>
      <c r="J11" s="8">
        <v>12982245458</v>
      </c>
      <c r="K11" s="8">
        <v>0</v>
      </c>
      <c r="L11" s="8">
        <v>10000000</v>
      </c>
      <c r="M11" s="8"/>
      <c r="N11" s="8">
        <v>165308750</v>
      </c>
      <c r="O11" s="8"/>
      <c r="P11" s="8">
        <v>5156057429</v>
      </c>
      <c r="Q11" s="8"/>
      <c r="R11" s="9"/>
      <c r="S11" s="9"/>
      <c r="T11" s="9"/>
      <c r="U11" s="10">
        <v>8550085532</v>
      </c>
      <c r="V11" s="10"/>
      <c r="W11" s="10"/>
      <c r="X11" s="10"/>
      <c r="Y11" s="10">
        <v>2961595410</v>
      </c>
      <c r="Z11" s="10">
        <v>7765358367</v>
      </c>
      <c r="AA11" s="10"/>
      <c r="AB11" s="10">
        <v>37354442924</v>
      </c>
      <c r="AC11" s="10">
        <v>8753036627</v>
      </c>
      <c r="AD11" s="10">
        <v>2798450495</v>
      </c>
      <c r="AE11" s="10"/>
      <c r="AF11" s="10">
        <v>17817365</v>
      </c>
      <c r="AG11" s="10">
        <v>189710162</v>
      </c>
      <c r="AH11" s="10"/>
      <c r="AI11" s="10"/>
      <c r="AJ11" s="10"/>
      <c r="AK11" s="10">
        <v>9719760854</v>
      </c>
      <c r="AL11" s="10"/>
      <c r="AM11" s="10">
        <v>12479862303</v>
      </c>
      <c r="AN11" s="10">
        <v>47512057</v>
      </c>
      <c r="AO11" s="10">
        <v>59390072</v>
      </c>
      <c r="AP11" s="10">
        <v>360813765</v>
      </c>
      <c r="AQ11" s="10">
        <v>29695037</v>
      </c>
      <c r="AR11" s="10">
        <v>51467044</v>
      </c>
      <c r="AS11" s="10">
        <v>39601445</v>
      </c>
      <c r="AT11" s="10">
        <v>118255043</v>
      </c>
      <c r="AU11" s="10">
        <v>8101133842</v>
      </c>
      <c r="AV11" s="10">
        <v>645548107</v>
      </c>
      <c r="AW11" s="10"/>
      <c r="AX11" s="10">
        <v>272585030</v>
      </c>
      <c r="AY11" s="10"/>
      <c r="AZ11" s="10"/>
      <c r="BA11" s="10">
        <v>109702542</v>
      </c>
      <c r="BB11" s="10">
        <v>1054051350</v>
      </c>
      <c r="BC11" s="10"/>
      <c r="BD11" s="11"/>
      <c r="BE11" s="12">
        <f t="shared" si="1"/>
        <v>119793487010</v>
      </c>
      <c r="BF11" s="18" t="s">
        <v>76</v>
      </c>
      <c r="BG11" s="18" t="s">
        <v>76</v>
      </c>
      <c r="BH11" s="18"/>
    </row>
    <row r="12" spans="2:64" ht="21.5" customHeight="1" x14ac:dyDescent="0.35">
      <c r="B12" s="6" t="s">
        <v>69</v>
      </c>
      <c r="C12" s="14">
        <v>2018</v>
      </c>
      <c r="D12" s="6">
        <v>4.452</v>
      </c>
      <c r="E12" s="8">
        <v>100183726000</v>
      </c>
      <c r="F12" s="8">
        <f t="shared" si="0"/>
        <v>22503083108.715183</v>
      </c>
      <c r="G12" s="8"/>
      <c r="H12" s="8">
        <v>5008589699</v>
      </c>
      <c r="I12" s="16">
        <f>E12-H12/0.05</f>
        <v>11932020</v>
      </c>
      <c r="J12" s="8">
        <v>3248958243</v>
      </c>
      <c r="K12" s="8">
        <v>99386000</v>
      </c>
      <c r="L12" s="8"/>
      <c r="M12" s="8"/>
      <c r="N12" s="8"/>
      <c r="O12" s="8"/>
      <c r="P12" s="8"/>
      <c r="Q12" s="8"/>
      <c r="R12" s="9"/>
      <c r="S12" s="9"/>
      <c r="T12" s="9"/>
      <c r="U12" s="10"/>
      <c r="V12" s="10"/>
      <c r="W12" s="10"/>
      <c r="X12" s="10"/>
      <c r="Y12" s="10"/>
      <c r="Z12" s="10">
        <v>1017412247</v>
      </c>
      <c r="AA12" s="10"/>
      <c r="AB12" s="10"/>
      <c r="AC12" s="10"/>
      <c r="AD12" s="10">
        <v>362594359</v>
      </c>
      <c r="AE12" s="10"/>
      <c r="AF12" s="10">
        <v>9074720</v>
      </c>
      <c r="AG12" s="10"/>
      <c r="AH12" s="10"/>
      <c r="AI12" s="10"/>
      <c r="AJ12" s="10"/>
      <c r="AK12" s="10">
        <v>44148316</v>
      </c>
      <c r="AL12" s="10"/>
      <c r="AM12" s="10"/>
      <c r="AN12" s="10"/>
      <c r="AO12" s="10"/>
      <c r="AP12" s="10">
        <v>225016261</v>
      </c>
      <c r="AQ12" s="10"/>
      <c r="AR12" s="10"/>
      <c r="AS12" s="10"/>
      <c r="AT12" s="10"/>
      <c r="AU12" s="10"/>
      <c r="AV12" s="10">
        <v>123768300</v>
      </c>
      <c r="AW12" s="10"/>
      <c r="AX12" s="10"/>
      <c r="AY12" s="10"/>
      <c r="AZ12" s="10"/>
      <c r="BA12" s="10">
        <v>24151176</v>
      </c>
      <c r="BB12" s="10">
        <v>202387738</v>
      </c>
      <c r="BC12" s="10"/>
      <c r="BD12" s="11"/>
      <c r="BE12" s="12">
        <f t="shared" si="1"/>
        <v>5356897360</v>
      </c>
      <c r="BF12" s="18" t="s">
        <v>76</v>
      </c>
      <c r="BG12" s="12">
        <f>+BE12+BE5</f>
        <v>24287028552.720001</v>
      </c>
      <c r="BH12" s="17"/>
    </row>
    <row r="13" spans="2:64" ht="21.5" customHeight="1" x14ac:dyDescent="0.35">
      <c r="B13" s="6" t="s">
        <v>69</v>
      </c>
      <c r="C13" s="7">
        <v>2019</v>
      </c>
      <c r="D13" s="6">
        <v>5.7919</v>
      </c>
      <c r="E13" s="8">
        <v>151790543701.83826</v>
      </c>
      <c r="F13" s="8">
        <f t="shared" si="0"/>
        <v>26207383363.28981</v>
      </c>
      <c r="G13" s="8"/>
      <c r="H13" s="8">
        <v>7576735998</v>
      </c>
      <c r="I13" s="8">
        <v>255823739.503295</v>
      </c>
      <c r="J13" s="8">
        <v>7491544126</v>
      </c>
      <c r="K13" s="8">
        <v>113941440</v>
      </c>
      <c r="L13" s="8"/>
      <c r="M13" s="8"/>
      <c r="N13" s="8"/>
      <c r="O13" s="8"/>
      <c r="P13" s="8"/>
      <c r="Q13" s="8"/>
      <c r="R13" s="9"/>
      <c r="S13" s="9"/>
      <c r="T13" s="9"/>
      <c r="U13" s="10"/>
      <c r="V13" s="10"/>
      <c r="W13" s="10"/>
      <c r="X13" s="10"/>
      <c r="Y13" s="10"/>
      <c r="Z13" s="10">
        <v>3891381765</v>
      </c>
      <c r="AA13" s="10"/>
      <c r="AB13" s="10"/>
      <c r="AC13" s="10"/>
      <c r="AD13" s="10">
        <v>682759738</v>
      </c>
      <c r="AE13" s="10"/>
      <c r="AF13" s="10">
        <v>5797753</v>
      </c>
      <c r="AG13" s="10"/>
      <c r="AH13" s="10"/>
      <c r="AI13" s="10"/>
      <c r="AJ13" s="10"/>
      <c r="AK13" s="10">
        <v>39774221</v>
      </c>
      <c r="AL13" s="10"/>
      <c r="AM13" s="10">
        <v>5811395</v>
      </c>
      <c r="AN13" s="10">
        <v>90404467</v>
      </c>
      <c r="AO13" s="10">
        <v>112863713</v>
      </c>
      <c r="AP13" s="10">
        <v>3788630</v>
      </c>
      <c r="AQ13" s="10">
        <v>56408654</v>
      </c>
      <c r="AR13" s="10">
        <v>573846</v>
      </c>
      <c r="AS13" s="10"/>
      <c r="AT13" s="10"/>
      <c r="AU13" s="10"/>
      <c r="AV13" s="10"/>
      <c r="AW13" s="10"/>
      <c r="AX13" s="10"/>
      <c r="AY13" s="10"/>
      <c r="AZ13" s="10"/>
      <c r="BA13" s="10">
        <v>22099694</v>
      </c>
      <c r="BB13" s="10">
        <v>171008028</v>
      </c>
      <c r="BC13" s="10"/>
      <c r="BD13" s="11">
        <v>96210</v>
      </c>
      <c r="BE13" s="12">
        <f t="shared" si="1"/>
        <v>12688253680</v>
      </c>
      <c r="BF13" s="18">
        <v>147576129768</v>
      </c>
      <c r="BG13" s="12">
        <f t="shared" ref="BG13:BG18" si="2">+BE13+BE6</f>
        <v>41663919018</v>
      </c>
      <c r="BH13" s="17">
        <f>+BG13/BF13</f>
        <v>0.2823215318324081</v>
      </c>
    </row>
    <row r="14" spans="2:64" ht="21.5" customHeight="1" x14ac:dyDescent="0.35">
      <c r="B14" s="6" t="s">
        <v>69</v>
      </c>
      <c r="C14" s="7">
        <v>2020</v>
      </c>
      <c r="D14" s="6">
        <v>5.3128000000000002</v>
      </c>
      <c r="E14" s="8">
        <v>156789785059.60001</v>
      </c>
      <c r="F14" s="8">
        <f t="shared" si="0"/>
        <v>29511704762.008732</v>
      </c>
      <c r="G14" s="8"/>
      <c r="H14" s="8">
        <v>8679348430</v>
      </c>
      <c r="I14" s="8">
        <v>488750421.1055975</v>
      </c>
      <c r="J14" s="8">
        <v>8306948342</v>
      </c>
      <c r="K14" s="8">
        <v>137579025</v>
      </c>
      <c r="L14" s="8"/>
      <c r="M14" s="8"/>
      <c r="N14" s="8"/>
      <c r="O14" s="8"/>
      <c r="P14" s="8"/>
      <c r="Q14" s="8"/>
      <c r="R14" s="9"/>
      <c r="S14" s="9"/>
      <c r="T14" s="9"/>
      <c r="U14" s="10">
        <v>3780000000</v>
      </c>
      <c r="V14" s="10"/>
      <c r="W14" s="10"/>
      <c r="X14" s="10"/>
      <c r="Y14" s="10"/>
      <c r="Z14" s="10">
        <v>3169904533</v>
      </c>
      <c r="AA14" s="10"/>
      <c r="AB14" s="10"/>
      <c r="AC14" s="10"/>
      <c r="AD14" s="10">
        <v>683472246</v>
      </c>
      <c r="AE14" s="10"/>
      <c r="AF14" s="10">
        <v>6996835</v>
      </c>
      <c r="AG14" s="10"/>
      <c r="AH14" s="10"/>
      <c r="AI14" s="10"/>
      <c r="AJ14" s="10"/>
      <c r="AK14" s="10">
        <v>5250761904</v>
      </c>
      <c r="AL14" s="10"/>
      <c r="AM14" s="10"/>
      <c r="AN14" s="10"/>
      <c r="AO14" s="10"/>
      <c r="AP14" s="10"/>
      <c r="AQ14" s="10">
        <v>304667880</v>
      </c>
      <c r="AR14" s="10"/>
      <c r="AS14" s="10"/>
      <c r="AT14" s="10"/>
      <c r="AU14" s="10"/>
      <c r="AV14" s="10"/>
      <c r="AW14" s="10"/>
      <c r="AX14" s="10"/>
      <c r="AY14" s="10"/>
      <c r="AZ14" s="10"/>
      <c r="BA14" s="10">
        <v>22819482</v>
      </c>
      <c r="BB14" s="10">
        <v>59159110</v>
      </c>
      <c r="BC14" s="10"/>
      <c r="BD14" s="11"/>
      <c r="BE14" s="12">
        <f t="shared" si="1"/>
        <v>21722309357</v>
      </c>
      <c r="BF14" s="18">
        <v>167753230229</v>
      </c>
      <c r="BG14" s="12">
        <f t="shared" si="2"/>
        <v>56664423448</v>
      </c>
      <c r="BH14" s="17">
        <f t="shared" ref="BH14:BH19" si="3">+BG14/BF14</f>
        <v>0.33778439539225191</v>
      </c>
      <c r="BL14" s="19"/>
    </row>
    <row r="15" spans="2:64" ht="21.5" customHeight="1" x14ac:dyDescent="0.35">
      <c r="B15" s="6" t="s">
        <v>69</v>
      </c>
      <c r="C15" s="7">
        <v>2021</v>
      </c>
      <c r="D15" s="6">
        <v>3.9935</v>
      </c>
      <c r="E15" s="8">
        <v>123373492000</v>
      </c>
      <c r="F15" s="8">
        <f t="shared" si="0"/>
        <v>30893575059.471642</v>
      </c>
      <c r="G15" s="8"/>
      <c r="H15" s="8">
        <v>6168674600</v>
      </c>
      <c r="I15" s="15" t="s">
        <v>68</v>
      </c>
      <c r="J15" s="8">
        <v>6906222357</v>
      </c>
      <c r="K15" s="8">
        <v>166923900</v>
      </c>
      <c r="L15" s="8"/>
      <c r="M15" s="8"/>
      <c r="N15" s="8"/>
      <c r="O15" s="8"/>
      <c r="P15" s="8"/>
      <c r="Q15" s="8"/>
      <c r="R15" s="9"/>
      <c r="S15" s="9"/>
      <c r="T15" s="9"/>
      <c r="U15" s="10">
        <v>2889000000</v>
      </c>
      <c r="V15" s="10"/>
      <c r="W15" s="10"/>
      <c r="X15" s="10"/>
      <c r="Y15" s="10"/>
      <c r="Z15" s="10">
        <v>2947069880</v>
      </c>
      <c r="AA15" s="10">
        <v>5011458749</v>
      </c>
      <c r="AB15" s="10"/>
      <c r="AC15" s="10"/>
      <c r="AD15" s="10">
        <v>313859540</v>
      </c>
      <c r="AE15" s="10"/>
      <c r="AF15" s="10">
        <v>2289333</v>
      </c>
      <c r="AG15" s="10"/>
      <c r="AH15" s="10"/>
      <c r="AI15" s="10"/>
      <c r="AJ15" s="10"/>
      <c r="AK15" s="10">
        <v>3601523810</v>
      </c>
      <c r="AL15" s="10"/>
      <c r="AM15" s="10"/>
      <c r="AN15" s="10"/>
      <c r="AO15" s="10"/>
      <c r="AP15" s="10">
        <v>237349568</v>
      </c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>
        <v>23344848</v>
      </c>
      <c r="BB15" s="10">
        <v>63131627</v>
      </c>
      <c r="BC15" s="10"/>
      <c r="BD15" s="11"/>
      <c r="BE15" s="12">
        <f t="shared" si="1"/>
        <v>22162173612</v>
      </c>
      <c r="BF15" s="18">
        <v>206035594541</v>
      </c>
      <c r="BG15" s="12">
        <f t="shared" si="2"/>
        <v>62358896860</v>
      </c>
      <c r="BH15" s="17">
        <f t="shared" si="3"/>
        <v>0.30266079508699117</v>
      </c>
    </row>
    <row r="16" spans="2:64" ht="21.5" customHeight="1" x14ac:dyDescent="0.35">
      <c r="B16" s="6" t="s">
        <v>69</v>
      </c>
      <c r="C16" s="7">
        <v>2022</v>
      </c>
      <c r="D16" s="6">
        <v>4.0319337419999997</v>
      </c>
      <c r="E16" s="8">
        <v>147862816000</v>
      </c>
      <c r="F16" s="8">
        <f t="shared" si="0"/>
        <v>36672928044.361702</v>
      </c>
      <c r="G16" s="8"/>
      <c r="H16" s="8">
        <v>7393140800</v>
      </c>
      <c r="I16" s="15" t="s">
        <v>68</v>
      </c>
      <c r="J16" s="8">
        <v>7519284055</v>
      </c>
      <c r="K16" s="8">
        <v>67395700</v>
      </c>
      <c r="L16" s="8"/>
      <c r="M16" s="8"/>
      <c r="N16" s="8"/>
      <c r="O16" s="8"/>
      <c r="P16" s="8"/>
      <c r="Q16" s="8"/>
      <c r="R16" s="9"/>
      <c r="S16" s="9"/>
      <c r="T16" s="9"/>
      <c r="U16" s="10">
        <v>2854000000</v>
      </c>
      <c r="V16" s="10"/>
      <c r="W16" s="10"/>
      <c r="X16" s="10"/>
      <c r="Y16" s="10"/>
      <c r="Z16" s="10">
        <v>4017092953</v>
      </c>
      <c r="AA16" s="10"/>
      <c r="AB16" s="10"/>
      <c r="AC16" s="10"/>
      <c r="AD16" s="10">
        <v>366124044</v>
      </c>
      <c r="AE16" s="10"/>
      <c r="AF16" s="10">
        <v>2452751</v>
      </c>
      <c r="AG16" s="10"/>
      <c r="AH16" s="10"/>
      <c r="AI16" s="10"/>
      <c r="AJ16" s="10"/>
      <c r="AK16" s="10">
        <v>2700640000</v>
      </c>
      <c r="AL16" s="10"/>
      <c r="AM16" s="10">
        <v>46982080</v>
      </c>
      <c r="AN16" s="10">
        <v>92565977</v>
      </c>
      <c r="AO16" s="10">
        <v>115733943</v>
      </c>
      <c r="AP16" s="10">
        <v>29117848</v>
      </c>
      <c r="AQ16" s="10">
        <v>57671634</v>
      </c>
      <c r="AR16" s="10">
        <v>1406632</v>
      </c>
      <c r="AS16" s="10">
        <v>162957</v>
      </c>
      <c r="AT16" s="10">
        <v>5331137</v>
      </c>
      <c r="AU16" s="10">
        <v>329737</v>
      </c>
      <c r="AV16" s="10"/>
      <c r="AW16" s="10"/>
      <c r="AX16" s="10"/>
      <c r="AY16" s="10"/>
      <c r="AZ16" s="10"/>
      <c r="BA16" s="10">
        <v>23806442</v>
      </c>
      <c r="BB16" s="10">
        <v>208157611</v>
      </c>
      <c r="BC16" s="10"/>
      <c r="BD16" s="11">
        <v>3051789</v>
      </c>
      <c r="BE16" s="12">
        <f t="shared" si="1"/>
        <v>18111307290</v>
      </c>
      <c r="BF16" s="18">
        <v>242300744937</v>
      </c>
      <c r="BG16" s="12">
        <f t="shared" si="2"/>
        <v>97473608762</v>
      </c>
      <c r="BH16" s="17">
        <f t="shared" si="3"/>
        <v>0.40228357030988027</v>
      </c>
    </row>
    <row r="17" spans="2:60" ht="21.5" customHeight="1" x14ac:dyDescent="0.35">
      <c r="B17" s="6" t="s">
        <v>69</v>
      </c>
      <c r="C17" s="7">
        <v>2023</v>
      </c>
      <c r="D17" s="6">
        <v>3.7307999999999999</v>
      </c>
      <c r="E17" s="8">
        <v>141473181133.46954</v>
      </c>
      <c r="F17" s="8">
        <f t="shared" si="0"/>
        <v>37920333744.363014</v>
      </c>
      <c r="G17" s="8"/>
      <c r="H17" s="8">
        <v>7073659453</v>
      </c>
      <c r="I17" s="15" t="s">
        <v>68</v>
      </c>
      <c r="J17" s="8">
        <v>7008278087</v>
      </c>
      <c r="K17" s="8">
        <v>760258440</v>
      </c>
      <c r="L17" s="8"/>
      <c r="M17" s="8"/>
      <c r="N17" s="8"/>
      <c r="O17" s="8"/>
      <c r="P17" s="8"/>
      <c r="Q17" s="8"/>
      <c r="R17" s="9"/>
      <c r="S17" s="9"/>
      <c r="T17" s="9"/>
      <c r="U17" s="10">
        <v>872000000</v>
      </c>
      <c r="V17" s="10"/>
      <c r="W17" s="10"/>
      <c r="X17" s="10"/>
      <c r="Y17" s="10"/>
      <c r="Z17" s="10">
        <v>2855678236</v>
      </c>
      <c r="AA17" s="10"/>
      <c r="AB17" s="10">
        <v>2417260000</v>
      </c>
      <c r="AC17" s="10"/>
      <c r="AD17" s="10">
        <v>207284343</v>
      </c>
      <c r="AE17" s="10"/>
      <c r="AF17" s="10">
        <v>5898351</v>
      </c>
      <c r="AG17" s="10"/>
      <c r="AH17" s="10"/>
      <c r="AI17" s="10"/>
      <c r="AJ17" s="10"/>
      <c r="AK17" s="10">
        <v>2492341</v>
      </c>
      <c r="AL17" s="10"/>
      <c r="AM17" s="10">
        <v>26926197</v>
      </c>
      <c r="AN17" s="10">
        <v>46802333</v>
      </c>
      <c r="AO17" s="10">
        <v>58501550</v>
      </c>
      <c r="AP17" s="10">
        <v>14114945</v>
      </c>
      <c r="AQ17" s="10">
        <v>29242348</v>
      </c>
      <c r="AR17" s="10">
        <v>237106</v>
      </c>
      <c r="AS17" s="10">
        <v>124975</v>
      </c>
      <c r="AT17" s="10">
        <v>3131508</v>
      </c>
      <c r="AU17" s="10">
        <v>306905</v>
      </c>
      <c r="AV17" s="10"/>
      <c r="AW17" s="10"/>
      <c r="AX17" s="10"/>
      <c r="AY17" s="10"/>
      <c r="AZ17" s="10"/>
      <c r="BA17" s="10">
        <v>25200924</v>
      </c>
      <c r="BB17" s="10">
        <v>246360435</v>
      </c>
      <c r="BC17" s="10"/>
      <c r="BD17" s="10">
        <v>809852</v>
      </c>
      <c r="BE17" s="12">
        <f t="shared" si="1"/>
        <v>14580908876</v>
      </c>
      <c r="BF17" s="18">
        <v>380028721353.51093</v>
      </c>
      <c r="BG17" s="12">
        <f>+BE17+BE10</f>
        <v>140181389391.20999</v>
      </c>
      <c r="BH17" s="17">
        <f t="shared" si="3"/>
        <v>0.36887051297580803</v>
      </c>
    </row>
    <row r="18" spans="2:60" ht="21.5" customHeight="1" x14ac:dyDescent="0.35">
      <c r="B18" s="6" t="s">
        <v>69</v>
      </c>
      <c r="C18" s="7">
        <v>2024</v>
      </c>
      <c r="D18" s="6">
        <v>3.7669999999999999</v>
      </c>
      <c r="E18" s="8">
        <v>174778072792</v>
      </c>
      <c r="F18" s="8">
        <f t="shared" si="0"/>
        <v>46397152320.679588</v>
      </c>
      <c r="G18" s="8"/>
      <c r="H18" s="8">
        <f>+E18*0.05</f>
        <v>8738903639.6000004</v>
      </c>
      <c r="I18" s="15" t="s">
        <v>68</v>
      </c>
      <c r="J18" s="8">
        <v>8454646351</v>
      </c>
      <c r="K18" s="8"/>
      <c r="L18" s="8"/>
      <c r="M18" s="8"/>
      <c r="N18" s="8"/>
      <c r="O18" s="8"/>
      <c r="P18" s="8">
        <v>756332380</v>
      </c>
      <c r="Q18" s="8"/>
      <c r="R18" s="9"/>
      <c r="S18" s="9"/>
      <c r="T18" s="9"/>
      <c r="U18" s="10">
        <v>3368856498</v>
      </c>
      <c r="V18" s="10"/>
      <c r="W18" s="10"/>
      <c r="X18" s="10"/>
      <c r="Y18" s="10">
        <v>209733459</v>
      </c>
      <c r="Z18" s="10">
        <v>2377240218</v>
      </c>
      <c r="AA18" s="10">
        <v>3000000000</v>
      </c>
      <c r="AB18" s="10">
        <v>10226889219</v>
      </c>
      <c r="AC18" s="10"/>
      <c r="AD18" s="10">
        <v>223062855</v>
      </c>
      <c r="AE18" s="10"/>
      <c r="AF18" s="10">
        <v>1358135</v>
      </c>
      <c r="AG18" s="10"/>
      <c r="AH18" s="10"/>
      <c r="AI18" s="10"/>
      <c r="AJ18" s="10"/>
      <c r="AK18" s="10">
        <v>8299828097</v>
      </c>
      <c r="AL18" s="10"/>
      <c r="AM18" s="10">
        <v>758414389</v>
      </c>
      <c r="AN18" s="10">
        <v>63440364</v>
      </c>
      <c r="AO18" s="10">
        <v>79300466</v>
      </c>
      <c r="AP18" s="10">
        <v>292634038</v>
      </c>
      <c r="AQ18" s="10">
        <v>39424980</v>
      </c>
      <c r="AR18" s="10">
        <v>11585412</v>
      </c>
      <c r="AS18" s="10">
        <v>7911392</v>
      </c>
      <c r="AT18" s="10">
        <v>79642143</v>
      </c>
      <c r="AU18" s="10">
        <v>7818637552</v>
      </c>
      <c r="AV18" s="10">
        <v>433189050</v>
      </c>
      <c r="AW18" s="10"/>
      <c r="AX18" s="10"/>
      <c r="AY18" s="10"/>
      <c r="AZ18" s="10"/>
      <c r="BA18" s="10">
        <v>22716501</v>
      </c>
      <c r="BB18" s="10">
        <v>240972402</v>
      </c>
      <c r="BC18" s="10"/>
      <c r="BD18" s="11"/>
      <c r="BE18" s="12">
        <f t="shared" si="1"/>
        <v>46765815901</v>
      </c>
      <c r="BF18" s="18">
        <v>225488878262</v>
      </c>
      <c r="BG18" s="20">
        <f t="shared" si="2"/>
        <v>166559302911</v>
      </c>
      <c r="BH18" s="17">
        <f t="shared" si="3"/>
        <v>0.73865861675657207</v>
      </c>
    </row>
    <row r="19" spans="2:60" ht="23" customHeight="1" x14ac:dyDescent="0.35">
      <c r="E19" s="21">
        <f>SUM(E4:E18)</f>
        <v>3231913085216.3184</v>
      </c>
      <c r="F19" s="21"/>
      <c r="G19" s="21"/>
      <c r="H19" s="22"/>
      <c r="BD19" s="24"/>
      <c r="BE19" s="12">
        <f>SUM(BE4:BE18)</f>
        <v>594821218433.92993</v>
      </c>
    </row>
    <row r="21" spans="2:60" x14ac:dyDescent="0.35">
      <c r="E21" s="25"/>
      <c r="F21" s="25"/>
      <c r="G21" s="25"/>
    </row>
    <row r="23" spans="2:60" ht="14.5" x14ac:dyDescent="0.35">
      <c r="I23" s="27" t="s">
        <v>73</v>
      </c>
      <c r="J23" t="s">
        <v>75</v>
      </c>
      <c r="K23"/>
    </row>
    <row r="24" spans="2:60" ht="14.5" x14ac:dyDescent="0.35">
      <c r="I24" s="28">
        <v>2017</v>
      </c>
      <c r="J24" s="29">
        <v>7.1873198399999998</v>
      </c>
      <c r="K24"/>
    </row>
    <row r="25" spans="2:60" ht="14.5" x14ac:dyDescent="0.35">
      <c r="I25" s="28">
        <v>2018</v>
      </c>
      <c r="J25" s="29">
        <v>11.42</v>
      </c>
      <c r="K25"/>
    </row>
    <row r="26" spans="2:60" ht="14.5" x14ac:dyDescent="0.35">
      <c r="I26" s="28">
        <v>2019</v>
      </c>
      <c r="J26" s="29">
        <v>12.401900000000001</v>
      </c>
      <c r="K26"/>
    </row>
    <row r="27" spans="2:60" ht="14.5" x14ac:dyDescent="0.35">
      <c r="I27" s="28">
        <v>2020</v>
      </c>
      <c r="J27" s="29">
        <v>12.3528</v>
      </c>
      <c r="K27"/>
    </row>
    <row r="28" spans="2:60" ht="14.5" x14ac:dyDescent="0.35">
      <c r="I28" s="28">
        <v>2021</v>
      </c>
      <c r="J28" s="29">
        <v>16.153500000000001</v>
      </c>
      <c r="K28"/>
    </row>
    <row r="29" spans="2:60" ht="14.5" x14ac:dyDescent="0.35">
      <c r="I29" s="28">
        <v>2022</v>
      </c>
      <c r="J29" s="29">
        <v>14.921933742</v>
      </c>
      <c r="K29"/>
    </row>
    <row r="30" spans="2:60" ht="14.5" x14ac:dyDescent="0.35">
      <c r="I30" s="28">
        <v>2023</v>
      </c>
      <c r="J30" s="29">
        <v>12.870800000000001</v>
      </c>
      <c r="K30"/>
    </row>
    <row r="31" spans="2:60" ht="14.5" x14ac:dyDescent="0.35">
      <c r="I31" s="28">
        <v>2024</v>
      </c>
      <c r="J31" s="29">
        <v>11.016999999999999</v>
      </c>
      <c r="K31"/>
    </row>
    <row r="32" spans="2:60" ht="14.5" x14ac:dyDescent="0.35">
      <c r="I32" s="28" t="s">
        <v>74</v>
      </c>
      <c r="J32" s="26">
        <v>98.325253582000002</v>
      </c>
      <c r="K32"/>
    </row>
    <row r="33" spans="9:11" ht="14.5" x14ac:dyDescent="0.35">
      <c r="I33"/>
      <c r="J33"/>
      <c r="K33"/>
    </row>
    <row r="34" spans="9:11" ht="14.5" x14ac:dyDescent="0.35">
      <c r="I34"/>
      <c r="J34"/>
      <c r="K34"/>
    </row>
    <row r="35" spans="9:11" ht="14.5" x14ac:dyDescent="0.35">
      <c r="I35"/>
      <c r="J35"/>
      <c r="K35"/>
    </row>
    <row r="36" spans="9:11" ht="14.5" x14ac:dyDescent="0.35">
      <c r="I36"/>
      <c r="J36"/>
      <c r="K36"/>
    </row>
    <row r="37" spans="9:11" ht="14.5" x14ac:dyDescent="0.35">
      <c r="I37"/>
      <c r="J37"/>
      <c r="K37"/>
    </row>
    <row r="38" spans="9:11" ht="14.5" x14ac:dyDescent="0.35">
      <c r="I38"/>
      <c r="J38"/>
      <c r="K38"/>
    </row>
    <row r="39" spans="9:11" ht="14.5" x14ac:dyDescent="0.35">
      <c r="I39"/>
      <c r="J39"/>
      <c r="K39"/>
    </row>
    <row r="40" spans="9:11" ht="14.5" x14ac:dyDescent="0.35">
      <c r="I40"/>
      <c r="J40"/>
      <c r="K40"/>
    </row>
  </sheetData>
  <mergeCells count="6">
    <mergeCell ref="J2:N2"/>
    <mergeCell ref="O2:X2"/>
    <mergeCell ref="Y2:AL2"/>
    <mergeCell ref="AM2:AU2"/>
    <mergeCell ref="AV2:AX2"/>
    <mergeCell ref="AY2:AZ2"/>
  </mergeCells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5:K5 Y5:Z5 AB5 AD5 AF5 AK5 AP5 AV5 AZ5:BB5 J12:K12 Z12 AD12 AF12 AK12 AP12 AV12 BA12:BB12" xr:uid="{4C46E8F3-4E10-4696-A37E-E763490DE91A}">
      <formula1>0.1</formula1>
      <formula2>0.2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2026-06-25T19:00:24Z</dcterms:created>
  <dcterms:modified xsi:type="dcterms:W3CDTF">2026-06-25T19:13:40Z</dcterms:modified>
</cp:coreProperties>
</file>