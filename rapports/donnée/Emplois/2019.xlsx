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D429EEBD-A102-428E-8FA1-2639BCC8D954}" xr6:coauthVersionLast="47" xr6:coauthVersionMax="47" xr10:uidLastSave="{00000000-0000-0000-0000-000000000000}"/>
  <bookViews>
    <workbookView xWindow="-110" yWindow="-110" windowWidth="19420" windowHeight="10660" xr2:uid="{1578BA5D-24F4-4DF5-9A93-FBBCD30E1483}"/>
  </bookViews>
  <sheets>
    <sheet name="Annexe 5" sheetId="1" r:id="rId1"/>
  </sheets>
  <externalReferences>
    <externalReference r:id="rId2"/>
  </externalReferences>
  <definedNames>
    <definedName name="_xlnm._FilterDatabase" localSheetId="0" hidden="1">'Annexe 5'!$B$68:$L$195</definedName>
    <definedName name="Compadjust">[1]Lists!$A$71:$A$79</definedName>
    <definedName name="Taxes">[1]Lists!$A$7:$A$49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7" i="1" l="1"/>
  <c r="K157" i="1"/>
  <c r="J157" i="1"/>
  <c r="I157" i="1"/>
  <c r="H157" i="1"/>
  <c r="G157" i="1"/>
  <c r="F157" i="1"/>
  <c r="E157" i="1"/>
  <c r="L94" i="1"/>
  <c r="K94" i="1"/>
  <c r="J94" i="1"/>
  <c r="I94" i="1"/>
  <c r="H94" i="1"/>
  <c r="G94" i="1"/>
  <c r="F94" i="1"/>
  <c r="E94" i="1"/>
  <c r="J73" i="1"/>
  <c r="I73" i="1"/>
  <c r="K60" i="1"/>
  <c r="J60" i="1"/>
  <c r="I60" i="1"/>
  <c r="H60" i="1"/>
  <c r="G60" i="1"/>
  <c r="F60" i="1"/>
  <c r="E60" i="1"/>
  <c r="L53" i="1"/>
  <c r="K53" i="1"/>
  <c r="J53" i="1"/>
  <c r="I53" i="1"/>
  <c r="H53" i="1"/>
  <c r="G53" i="1"/>
  <c r="F53" i="1"/>
  <c r="E53" i="1"/>
  <c r="L46" i="1"/>
  <c r="K46" i="1"/>
  <c r="J46" i="1"/>
  <c r="I46" i="1"/>
  <c r="H46" i="1"/>
  <c r="G46" i="1"/>
  <c r="F46" i="1"/>
  <c r="E46" i="1"/>
  <c r="L39" i="1"/>
  <c r="K39" i="1"/>
  <c r="J39" i="1"/>
  <c r="I39" i="1"/>
  <c r="H39" i="1"/>
  <c r="G39" i="1"/>
  <c r="F39" i="1"/>
  <c r="E39" i="1"/>
  <c r="L32" i="1"/>
  <c r="K32" i="1"/>
  <c r="J32" i="1"/>
  <c r="I32" i="1"/>
  <c r="H32" i="1"/>
  <c r="G32" i="1"/>
  <c r="F32" i="1"/>
  <c r="E32" i="1"/>
  <c r="L25" i="1"/>
  <c r="K25" i="1"/>
  <c r="J25" i="1"/>
  <c r="I25" i="1"/>
  <c r="H25" i="1"/>
  <c r="G25" i="1"/>
  <c r="F25" i="1"/>
  <c r="E25" i="1"/>
  <c r="L18" i="1"/>
  <c r="K18" i="1"/>
  <c r="J18" i="1"/>
  <c r="I18" i="1"/>
  <c r="H18" i="1"/>
  <c r="G18" i="1"/>
  <c r="F18" i="1"/>
  <c r="E18" i="1"/>
</calcChain>
</file>

<file path=xl/sharedStrings.xml><?xml version="1.0" encoding="utf-8"?>
<sst xmlns="http://schemas.openxmlformats.org/spreadsheetml/2006/main" count="632" uniqueCount="56">
  <si>
    <t>Annexe 5 – Effectif des employés</t>
  </si>
  <si>
    <t>Secteur des hydrocarbures :</t>
  </si>
  <si>
    <t xml:space="preserve">Effectifs des Nationaux </t>
  </si>
  <si>
    <t>Effectifs des Non nationaux</t>
  </si>
  <si>
    <t xml:space="preserve"> Masse salariale des Nationaux (en FCFA) </t>
  </si>
  <si>
    <t xml:space="preserve"> Masse salariale des Non Nationaux (en FCFA) </t>
  </si>
  <si>
    <t>N°</t>
  </si>
  <si>
    <t>Société</t>
  </si>
  <si>
    <t>Qualifications</t>
  </si>
  <si>
    <t>Hommes</t>
  </si>
  <si>
    <t>Femmes</t>
  </si>
  <si>
    <t xml:space="preserve"> Hommes </t>
  </si>
  <si>
    <t xml:space="preserve"> Femmes </t>
  </si>
  <si>
    <t xml:space="preserve"> PETROSEN </t>
  </si>
  <si>
    <t>Cadres supérieurs</t>
  </si>
  <si>
    <t>Nc</t>
  </si>
  <si>
    <t>Techniciens supérieurs et cadres moyens</t>
  </si>
  <si>
    <t>Techniciens, Agents de maitrise et ouvriers qualifiés</t>
  </si>
  <si>
    <t>Employés, manœuvres, ouvriers, apprentis</t>
  </si>
  <si>
    <t>Total</t>
  </si>
  <si>
    <t>-</t>
  </si>
  <si>
    <t>Permanent</t>
  </si>
  <si>
    <t>Contractuel</t>
  </si>
  <si>
    <t>Fortesa</t>
  </si>
  <si>
    <t xml:space="preserve"> Capricorn </t>
  </si>
  <si>
    <t xml:space="preserve"> Kosmos </t>
  </si>
  <si>
    <t xml:space="preserve"> Oranto </t>
  </si>
  <si>
    <t xml:space="preserve">TOTAL E&amp;P </t>
  </si>
  <si>
    <t xml:space="preserve"> BP SENEGAL </t>
  </si>
  <si>
    <t xml:space="preserve"> Woodside </t>
  </si>
  <si>
    <t>Nc :  Non communiquée</t>
  </si>
  <si>
    <t>Secteur minier :</t>
  </si>
  <si>
    <t xml:space="preserve"> MIFERSO </t>
  </si>
  <si>
    <t xml:space="preserve"> SOCOCIM </t>
  </si>
  <si>
    <t xml:space="preserve"> SGO </t>
  </si>
  <si>
    <t xml:space="preserve">  </t>
  </si>
  <si>
    <t xml:space="preserve"> CDS </t>
  </si>
  <si>
    <t xml:space="preserve"> GCO </t>
  </si>
  <si>
    <t xml:space="preserve">                             -   </t>
  </si>
  <si>
    <t xml:space="preserve">                              -   </t>
  </si>
  <si>
    <t xml:space="preserve"> Nc </t>
  </si>
  <si>
    <t xml:space="preserve"> SSPT </t>
  </si>
  <si>
    <t xml:space="preserve"> ICS </t>
  </si>
  <si>
    <t xml:space="preserve">                            -   </t>
  </si>
  <si>
    <t xml:space="preserve"> Dangote </t>
  </si>
  <si>
    <t xml:space="preserve"> PMC </t>
  </si>
  <si>
    <t xml:space="preserve"> SOMIVA </t>
  </si>
  <si>
    <t xml:space="preserve"> AGEM </t>
  </si>
  <si>
    <t xml:space="preserve"> SMC </t>
  </si>
  <si>
    <t xml:space="preserve"> SEPHOS </t>
  </si>
  <si>
    <t xml:space="preserve"> G-PHOS SA </t>
  </si>
  <si>
    <t>N/a</t>
  </si>
  <si>
    <t xml:space="preserve"> AIG </t>
  </si>
  <si>
    <t xml:space="preserve"> COGEGA </t>
  </si>
  <si>
    <t xml:space="preserve"> Gécamines  </t>
  </si>
  <si>
    <t xml:space="preserve"> SODEVIT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</si>
</sst>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9"/>
      <color theme="1"/>
      <name val="Trebuchet MS"/>
      <family val="2"/>
    </font>
    <font>
      <b/>
      <sz val="10"/>
      <color rgb="FF2A9E9B"/>
      <name val="Trebuchet MS"/>
      <family val="2"/>
    </font>
    <font>
      <sz val="12"/>
      <color theme="1"/>
      <name val="Calibri"/>
      <family val="2"/>
      <scheme val="minor"/>
    </font>
    <font>
      <b/>
      <sz val="8.5"/>
      <color rgb="FFFFFFFF"/>
      <name val="Trebuchet MS"/>
      <family val="2"/>
    </font>
    <font>
      <sz val="8.5"/>
      <color rgb="FF3B3838"/>
      <name val="Trebuchet MS"/>
      <family val="2"/>
    </font>
    <font>
      <b/>
      <sz val="8.5"/>
      <color rgb="FF3B3838"/>
      <name val="Trebuchet MS"/>
      <family val="2"/>
    </font>
    <font>
      <i/>
      <sz val="8"/>
      <color theme="2" tint="-0.74999237037263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687C91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165" fontId="8" fillId="0" borderId="4" xfId="1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right" vertical="center"/>
    </xf>
    <xf numFmtId="3" fontId="8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3" fontId="7" fillId="4" borderId="4" xfId="0" applyNumberFormat="1" applyFont="1" applyFill="1" applyBorder="1" applyAlignment="1">
      <alignment horizontal="right" vertical="center" wrapText="1"/>
    </xf>
    <xf numFmtId="3" fontId="7" fillId="4" borderId="4" xfId="0" applyNumberFormat="1" applyFont="1" applyFill="1" applyBorder="1" applyAlignment="1">
      <alignment horizontal="right" vertical="center"/>
    </xf>
    <xf numFmtId="3" fontId="8" fillId="4" borderId="4" xfId="0" applyNumberFormat="1" applyFont="1" applyFill="1" applyBorder="1" applyAlignment="1">
      <alignment horizontal="right" vertical="center" wrapText="1"/>
    </xf>
    <xf numFmtId="0" fontId="5" fillId="4" borderId="4" xfId="0" applyFont="1" applyFill="1" applyBorder="1" applyAlignment="1">
      <alignment vertical="center"/>
    </xf>
    <xf numFmtId="0" fontId="9" fillId="0" borderId="0" xfId="0" applyFont="1"/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right" vertical="center"/>
    </xf>
    <xf numFmtId="165" fontId="7" fillId="0" borderId="4" xfId="1" applyNumberFormat="1" applyFont="1" applyBorder="1" applyAlignment="1">
      <alignment horizontal="right" vertical="center"/>
    </xf>
    <xf numFmtId="165" fontId="8" fillId="0" borderId="4" xfId="1" applyNumberFormat="1" applyFont="1" applyBorder="1" applyAlignment="1">
      <alignment horizontal="center" vertical="center"/>
    </xf>
    <xf numFmtId="165" fontId="7" fillId="4" borderId="4" xfId="1" applyNumberFormat="1" applyFont="1" applyFill="1" applyBorder="1" applyAlignment="1">
      <alignment horizontal="right" vertical="center" wrapText="1"/>
    </xf>
    <xf numFmtId="165" fontId="8" fillId="4" borderId="4" xfId="1" applyNumberFormat="1" applyFont="1" applyFill="1" applyBorder="1" applyAlignment="1">
      <alignment horizontal="center" vertical="center" wrapText="1"/>
    </xf>
    <xf numFmtId="164" fontId="7" fillId="4" borderId="4" xfId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mabrouk/Desktop/R&#233;pertoire/BDO%20Consulting/Work/9.%20EITI%20Senegal/03.%20Reporting/05.Pr&#233;final%20rapport/Database_ITIE%20S&#233;n&#233;gal_2019_%20(Pr&#233;-fina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Follow-up"/>
      <sheetName val="Taxes"/>
      <sheetName val="Govt Ag"/>
      <sheetName val="Lists"/>
      <sheetName val="Cours"/>
      <sheetName val="C (1)"/>
      <sheetName val="Minerals &amp; Products"/>
      <sheetName val="Companies info"/>
      <sheetName val="Profil des société"/>
      <sheetName val="Paiements Sociaux"/>
      <sheetName val="Tableau des effectifs"/>
      <sheetName val="Audit "/>
      <sheetName val="Production"/>
      <sheetName val="Exportation"/>
      <sheetName val="Mail"/>
      <sheetName val="Titre Minier"/>
      <sheetName val="C (2)"/>
      <sheetName val="Sheet1"/>
      <sheetName val="C (3)"/>
      <sheetName val="C (4)"/>
      <sheetName val="C (5)"/>
      <sheetName val="C (6)"/>
      <sheetName val="C (7)"/>
      <sheetName val="C (8)"/>
      <sheetName val="C (9)"/>
      <sheetName val="C (10)"/>
      <sheetName val="c"/>
      <sheetName val="cv"/>
      <sheetName val="C (11)"/>
      <sheetName val="C (12)"/>
      <sheetName val="C (13)"/>
      <sheetName val="ccc"/>
      <sheetName val="C (14)"/>
      <sheetName val="C (15)"/>
      <sheetName val="C (16)"/>
      <sheetName val="C (17)"/>
      <sheetName val="C (18)"/>
      <sheetName val="C (19)"/>
      <sheetName val="C (20) nat"/>
      <sheetName val="C (20)"/>
      <sheetName val="C (21)"/>
      <sheetName val="C (22)"/>
      <sheetName val="C (23)"/>
      <sheetName val="C (24)"/>
      <sheetName val="C (25)"/>
      <sheetName val="C (26)"/>
      <sheetName val="Section 1-1"/>
      <sheetName val="Paiement Sociaux"/>
      <sheetName val="Tableau 4"/>
      <sheetName val="Annex 9 2018 (2)"/>
      <sheetName val="5.3"/>
      <sheetName val="5.4"/>
      <sheetName val="Section 1"/>
      <sheetName val="6.1.1"/>
      <sheetName val="6.1.2 Pétrolier"/>
      <sheetName val="6.1.2 minier"/>
      <sheetName val="6.2"/>
      <sheetName val="6.1.3"/>
      <sheetName val="6.4"/>
      <sheetName val="Results All (In cash)"/>
      <sheetName val="Results All (In Kind)"/>
      <sheetName val="difference end breakdown all"/>
      <sheetName val="Reporting by tax All (Cash)"/>
      <sheetName val="Reporting by Comp All (Cash)"/>
      <sheetName val="Reporting by tax kind (Pétrole)"/>
      <sheetName val="Feuil2"/>
      <sheetName val="Reporting byComp kind (Pétrole)"/>
      <sheetName val="Reporting by Comp cash(Pétrole)"/>
      <sheetName val="Reporting by tax cash (Pétrole)"/>
      <sheetName val="Reporting by Comp (Mines)"/>
      <sheetName val="Reporting by tax (Mines)"/>
      <sheetName val="Total Ajust (2)"/>
      <sheetName val="Total Ajust"/>
      <sheetName val="Ajust par Comp (C)"/>
      <sheetName val="Ajust par Taxe (C)"/>
      <sheetName val="Ajust par Comp (Gov)"/>
      <sheetName val="Ajust par Taxe (Gov)"/>
      <sheetName val="Results Pétrole"/>
      <sheetName val="Results Mine"/>
      <sheetName val="Secteur Extractif"/>
      <sheetName val="Paiement 2012"/>
      <sheetName val="Secteur Extractif en Million"/>
      <sheetName val="Reporting by Comp Mandat"/>
      <sheetName val="COTCO"/>
      <sheetName val="Contextuel"/>
      <sheetName val="Production Rapport"/>
      <sheetName val="Paiement Sociaux (Rapp)"/>
      <sheetName val="Transferts Infra"/>
      <sheetName val="Contextual"/>
      <sheetName val="Etat permis d'exploitation"/>
      <sheetName val="Etat permis de recherche"/>
      <sheetName val="Unrec diff Tax vs Comp"/>
      <sheetName val="Unrec diff Comp"/>
      <sheetName val="Unrec diff Tax"/>
      <sheetName val="Annexes 1-2"/>
      <sheetName val="Annexes 3-4"/>
      <sheetName val="Annexes 5-6"/>
      <sheetName val="Annexes Fsseurs"/>
      <sheetName val="Annexes 7-8"/>
      <sheetName val="Feuil1"/>
      <sheetName val="Annexe 9 2017"/>
      <sheetName val="Déclaration unilatérale"/>
      <sheetName val="Annexe 10"/>
      <sheetName val="Section 1,1"/>
      <sheetName val="Budget de l'ETAT "/>
      <sheetName val="Annexe 10 (2)"/>
      <sheetName val="Annexes 11-12"/>
      <sheetName val="Annexe 14"/>
      <sheetName val="Annexe 15"/>
      <sheetName val="Annexe 17"/>
      <sheetName val="Annexe 18"/>
      <sheetName val="Octroi"/>
      <sheetName val="Annexes parties 6"/>
      <sheetName val="Unrec diff Comp vs Tax"/>
      <sheetName val="Nbr Comp per activity"/>
      <sheetName val="Recommendations"/>
      <sheetName val="Recomm"/>
      <sheetName val="News"/>
    </sheetNames>
    <sheetDataSet>
      <sheetData sheetId="0"/>
      <sheetData sheetId="1"/>
      <sheetData sheetId="2"/>
      <sheetData sheetId="3"/>
      <sheetData sheetId="4">
        <row r="7">
          <cell r="A7" t="str">
            <v xml:space="preserve">1- Part de la production de l'État (Profit Oil État) </v>
          </cell>
        </row>
        <row r="8">
          <cell r="A8" t="str">
            <v xml:space="preserve">2- Part de la production de PETROSEN (Profit Oil - Cost Oil PETROSEN) </v>
          </cell>
        </row>
        <row r="9">
          <cell r="A9" t="str">
            <v xml:space="preserve">3- Redevance minière </v>
          </cell>
        </row>
        <row r="10">
          <cell r="A10" t="str">
            <v>4- Appui institutionnel</v>
          </cell>
        </row>
        <row r="11">
          <cell r="A11" t="str">
            <v>5- Droits d'entrée fixes</v>
          </cell>
        </row>
        <row r="12">
          <cell r="A12" t="str">
            <v>6- Bonus (DMG)</v>
          </cell>
        </row>
        <row r="13">
          <cell r="A13" t="str">
            <v>7- Redevance superficiaire</v>
          </cell>
        </row>
        <row r="14">
          <cell r="A14" t="str">
            <v>8- Bonus (PETROSEN)</v>
          </cell>
        </row>
        <row r="15">
          <cell r="A15" t="str">
            <v xml:space="preserve">9- Appui à la formation </v>
          </cell>
        </row>
        <row r="16">
          <cell r="A16" t="str">
            <v>10- Appui à l'équipement</v>
          </cell>
        </row>
        <row r="17">
          <cell r="A17" t="str">
            <v xml:space="preserve">11- Revenus issus de la commercialisation de la Part de la production de l'État </v>
          </cell>
        </row>
        <row r="18">
          <cell r="A18" t="str">
            <v xml:space="preserve">12- Loyer superficiaire </v>
          </cell>
        </row>
        <row r="19">
          <cell r="A19" t="str">
            <v>13- Pénalités versées à PETROSEN</v>
          </cell>
        </row>
        <row r="20">
          <cell r="A20" t="str">
            <v>14- Redevance</v>
          </cell>
        </row>
        <row r="21">
          <cell r="A21" t="str">
            <v>15- Achat de données sismiques</v>
          </cell>
        </row>
        <row r="22">
          <cell r="A22" t="str">
            <v xml:space="preserve">16- Revenus issus de la commercialisation de la Part de la production de l'État </v>
          </cell>
        </row>
        <row r="23">
          <cell r="A23" t="str">
            <v>17- Patente</v>
          </cell>
        </row>
        <row r="24">
          <cell r="A24" t="str">
            <v>18- Contribution foncière des propriétés bâties (CFPB)</v>
          </cell>
        </row>
        <row r="25">
          <cell r="A25" t="str">
            <v>19- Contribution foncière des propriétés non bâties (CFPNB)</v>
          </cell>
        </row>
        <row r="26">
          <cell r="A26" t="str">
            <v xml:space="preserve">20- Appui institutionnel aux collectivités locales </v>
          </cell>
        </row>
        <row r="27">
          <cell r="A27" t="str">
            <v xml:space="preserve">21- Impôt du minimum fiscal </v>
          </cell>
        </row>
        <row r="28">
          <cell r="A28" t="str">
            <v xml:space="preserve">22- Dividendes versés à l'Etat </v>
          </cell>
        </row>
        <row r="29">
          <cell r="A29" t="str">
            <v>23- Frais d'inscription d'une concession minière ou d'un permis d'exploitation</v>
          </cell>
        </row>
        <row r="30">
          <cell r="A30" t="str">
            <v>24- Bonus (DGCPT)</v>
          </cell>
        </row>
        <row r="31">
          <cell r="A31" t="str">
            <v xml:space="preserve">25- Contribution économique locale (CEL VA et CEL VL) </v>
          </cell>
        </row>
        <row r="32">
          <cell r="A32" t="str">
            <v>26- Taxe sur la valeur ajoutée reversée</v>
          </cell>
        </row>
        <row r="33">
          <cell r="A33" t="str">
            <v>27- Retenues à la source sur salaires (IR, TRIMF et CFCE)</v>
          </cell>
        </row>
        <row r="34">
          <cell r="A34" t="str">
            <v>28- Redressements fiscaux</v>
          </cell>
        </row>
        <row r="35">
          <cell r="A35" t="str">
            <v>29 - (a)- Impôt sur les sociétés</v>
          </cell>
        </row>
        <row r="36">
          <cell r="A36" t="str">
            <v>29 - (b)- Impôt sur les sociétés (bénéfices non pétroliers/miniers )</v>
          </cell>
        </row>
        <row r="37">
          <cell r="A37" t="str">
            <v>30- Retenues à la source sur bénéfice non commercial</v>
          </cell>
        </row>
        <row r="38">
          <cell r="A38" t="str">
            <v>31- Contribution spéciale sur les produits des mines et des carrières (CSMC)</v>
          </cell>
        </row>
        <row r="39">
          <cell r="A39" t="str">
            <v>32- Retenue à la source sur sommes versées à des tiers</v>
          </cell>
        </row>
        <row r="40">
          <cell r="A40" t="str">
            <v>33- Taxe sur la valeur ajoutée précomptée</v>
          </cell>
        </row>
        <row r="41">
          <cell r="A41" t="str">
            <v>34- Impôt minimum forfaitaire</v>
          </cell>
        </row>
        <row r="42">
          <cell r="A42" t="str">
            <v>35- Bonus (DGID)</v>
          </cell>
        </row>
        <row r="43">
          <cell r="A43" t="str">
            <v xml:space="preserve">36- Surtaxe foncière </v>
          </cell>
        </row>
        <row r="44">
          <cell r="A44" t="str">
            <v>37- Impôt sur le revenu des valeurs mobilières</v>
          </cell>
        </row>
        <row r="45">
          <cell r="A45" t="str">
            <v>38- Taxe spéciale sur le ciment</v>
          </cell>
        </row>
        <row r="46">
          <cell r="A46" t="str">
            <v xml:space="preserve">39- Frais d'inscription d'une concession minière ou d'un permis d'exploitation </v>
          </cell>
        </row>
        <row r="47">
          <cell r="A47" t="str">
            <v xml:space="preserve">40- Taxe sur la valeur ajoutée </v>
          </cell>
        </row>
        <row r="48">
          <cell r="A48" t="str">
            <v xml:space="preserve">41- Prélèvement communautaire solidaire UEMOA </v>
          </cell>
        </row>
        <row r="49">
          <cell r="A49" t="str">
            <v>42- Redevance statistique UEMOA</v>
          </cell>
        </row>
        <row r="71">
          <cell r="A71" t="str">
            <v>Taxes payées non reportées</v>
          </cell>
        </row>
        <row r="72">
          <cell r="A72" t="str">
            <v>Taxes payées hors période de réconciliation</v>
          </cell>
        </row>
        <row r="73">
          <cell r="A73" t="str">
            <v>Taxes hors périmètre de réconciliation</v>
          </cell>
        </row>
        <row r="74">
          <cell r="A74" t="str">
            <v>Erreur de reporting (montant et détail)</v>
          </cell>
        </row>
        <row r="75">
          <cell r="A75" t="str">
            <v>Taxes reportées non payées</v>
          </cell>
        </row>
        <row r="76">
          <cell r="A76" t="str">
            <v>Montant doublement déclaré</v>
          </cell>
        </row>
        <row r="77">
          <cell r="A77" t="str">
            <v>Erreur de classification</v>
          </cell>
        </row>
        <row r="78">
          <cell r="A78" t="str">
            <v>Taxes payées sous un autre UFI</v>
          </cell>
        </row>
        <row r="79">
          <cell r="A79" t="str">
            <v>Différence de change</v>
          </cell>
        </row>
      </sheetData>
      <sheetData sheetId="5">
        <row r="4">
          <cell r="E4">
            <v>585.96749999999997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4F95-6F79-447A-8926-A30764209E0A}">
  <dimension ref="B2:L195"/>
  <sheetViews>
    <sheetView showGridLines="0" tabSelected="1" topLeftCell="A5" zoomScale="76" zoomScaleNormal="80" workbookViewId="0">
      <selection activeCell="G20" sqref="G20"/>
    </sheetView>
  </sheetViews>
  <sheetFormatPr baseColWidth="10" defaultColWidth="11.453125" defaultRowHeight="12" x14ac:dyDescent="0.3"/>
  <cols>
    <col min="1" max="1" width="4.6328125" style="3" customWidth="1"/>
    <col min="2" max="2" width="11.453125" style="63"/>
    <col min="3" max="3" width="11.453125" style="2"/>
    <col min="4" max="4" width="45.54296875" style="3" customWidth="1"/>
    <col min="5" max="5" width="11.453125" style="3" customWidth="1"/>
    <col min="6" max="6" width="12.6328125" style="3" customWidth="1"/>
    <col min="7" max="7" width="13" style="3" customWidth="1"/>
    <col min="8" max="8" width="14.08984375" style="3" customWidth="1"/>
    <col min="9" max="10" width="19.08984375" style="3" bestFit="1" customWidth="1"/>
    <col min="11" max="11" width="19.54296875" style="3" bestFit="1" customWidth="1"/>
    <col min="12" max="12" width="20.08984375" style="3" bestFit="1" customWidth="1"/>
    <col min="13" max="16384" width="11.453125" style="3"/>
  </cols>
  <sheetData>
    <row r="2" spans="2:12" ht="19" x14ac:dyDescent="0.3">
      <c r="B2" s="1" t="s">
        <v>0</v>
      </c>
    </row>
    <row r="4" spans="2:12" ht="13.5" x14ac:dyDescent="0.35">
      <c r="B4" s="4" t="s">
        <v>1</v>
      </c>
    </row>
    <row r="5" spans="2:12" ht="29.25" customHeight="1" x14ac:dyDescent="0.35">
      <c r="B5" s="5"/>
      <c r="C5" s="6"/>
      <c r="D5" s="7"/>
      <c r="E5" s="8" t="s">
        <v>2</v>
      </c>
      <c r="F5" s="8"/>
      <c r="G5" s="8" t="s">
        <v>3</v>
      </c>
      <c r="H5" s="8"/>
      <c r="I5" s="9" t="s">
        <v>4</v>
      </c>
      <c r="J5" s="9"/>
      <c r="K5" s="9" t="s">
        <v>5</v>
      </c>
      <c r="L5" s="9"/>
    </row>
    <row r="6" spans="2:12" ht="12.5" x14ac:dyDescent="0.35">
      <c r="B6" s="10" t="s">
        <v>6</v>
      </c>
      <c r="C6" s="11" t="s">
        <v>7</v>
      </c>
      <c r="D6" s="12" t="s">
        <v>8</v>
      </c>
      <c r="E6" s="10" t="s">
        <v>9</v>
      </c>
      <c r="F6" s="10" t="s">
        <v>10</v>
      </c>
      <c r="G6" s="10" t="s">
        <v>9</v>
      </c>
      <c r="H6" s="10" t="s">
        <v>10</v>
      </c>
      <c r="I6" s="12" t="s">
        <v>11</v>
      </c>
      <c r="J6" s="12" t="s">
        <v>12</v>
      </c>
      <c r="K6" s="12" t="s">
        <v>11</v>
      </c>
      <c r="L6" s="12" t="s">
        <v>12</v>
      </c>
    </row>
    <row r="7" spans="2:12" x14ac:dyDescent="0.3">
      <c r="B7" s="13">
        <v>1</v>
      </c>
      <c r="C7" s="13" t="s">
        <v>13</v>
      </c>
      <c r="D7" s="14" t="s">
        <v>14</v>
      </c>
      <c r="E7" s="15" t="s">
        <v>15</v>
      </c>
      <c r="F7" s="15" t="s">
        <v>15</v>
      </c>
      <c r="G7" s="15" t="s">
        <v>15</v>
      </c>
      <c r="H7" s="15" t="s">
        <v>15</v>
      </c>
      <c r="I7" s="16" t="s">
        <v>15</v>
      </c>
      <c r="J7" s="16" t="s">
        <v>15</v>
      </c>
      <c r="K7" s="16" t="s">
        <v>15</v>
      </c>
      <c r="L7" s="16" t="s">
        <v>15</v>
      </c>
    </row>
    <row r="8" spans="2:12" x14ac:dyDescent="0.3">
      <c r="B8" s="17"/>
      <c r="C8" s="17"/>
      <c r="D8" s="18" t="s">
        <v>16</v>
      </c>
      <c r="E8" s="19" t="s">
        <v>15</v>
      </c>
      <c r="F8" s="19" t="s">
        <v>15</v>
      </c>
      <c r="G8" s="19" t="s">
        <v>15</v>
      </c>
      <c r="H8" s="19" t="s">
        <v>15</v>
      </c>
      <c r="I8" s="20" t="s">
        <v>15</v>
      </c>
      <c r="J8" s="20" t="s">
        <v>15</v>
      </c>
      <c r="K8" s="20" t="s">
        <v>15</v>
      </c>
      <c r="L8" s="20" t="s">
        <v>15</v>
      </c>
    </row>
    <row r="9" spans="2:12" x14ac:dyDescent="0.3">
      <c r="B9" s="17"/>
      <c r="C9" s="17"/>
      <c r="D9" s="18" t="s">
        <v>17</v>
      </c>
      <c r="E9" s="19">
        <v>72</v>
      </c>
      <c r="F9" s="19" t="s">
        <v>15</v>
      </c>
      <c r="G9" s="19" t="s">
        <v>15</v>
      </c>
      <c r="H9" s="19" t="s">
        <v>15</v>
      </c>
      <c r="I9" s="20">
        <v>1165906092</v>
      </c>
      <c r="J9" s="20" t="s">
        <v>15</v>
      </c>
      <c r="K9" s="20" t="s">
        <v>15</v>
      </c>
      <c r="L9" s="20" t="s">
        <v>15</v>
      </c>
    </row>
    <row r="10" spans="2:12" x14ac:dyDescent="0.3">
      <c r="B10" s="17"/>
      <c r="C10" s="17"/>
      <c r="D10" s="18" t="s">
        <v>18</v>
      </c>
      <c r="E10" s="19" t="s">
        <v>15</v>
      </c>
      <c r="F10" s="19" t="s">
        <v>15</v>
      </c>
      <c r="G10" s="19" t="s">
        <v>15</v>
      </c>
      <c r="H10" s="19" t="s">
        <v>15</v>
      </c>
      <c r="I10" s="20" t="s">
        <v>15</v>
      </c>
      <c r="J10" s="20" t="s">
        <v>15</v>
      </c>
      <c r="K10" s="20" t="s">
        <v>15</v>
      </c>
      <c r="L10" s="20" t="s">
        <v>15</v>
      </c>
    </row>
    <row r="11" spans="2:12" ht="16.5" customHeight="1" x14ac:dyDescent="0.3">
      <c r="B11" s="17"/>
      <c r="C11" s="17"/>
      <c r="D11" s="21" t="s">
        <v>19</v>
      </c>
      <c r="E11" s="22">
        <v>72</v>
      </c>
      <c r="F11" s="22">
        <v>0</v>
      </c>
      <c r="G11" s="22">
        <v>0</v>
      </c>
      <c r="H11" s="22">
        <v>0</v>
      </c>
      <c r="I11" s="23">
        <v>1165906092</v>
      </c>
      <c r="J11" s="23" t="s">
        <v>20</v>
      </c>
      <c r="K11" s="23" t="s">
        <v>20</v>
      </c>
      <c r="L11" s="23" t="s">
        <v>20</v>
      </c>
    </row>
    <row r="12" spans="2:12" ht="16.5" customHeight="1" x14ac:dyDescent="0.3">
      <c r="B12" s="17"/>
      <c r="C12" s="17"/>
      <c r="D12" s="24" t="s">
        <v>21</v>
      </c>
      <c r="E12" s="19" t="s">
        <v>15</v>
      </c>
      <c r="F12" s="19" t="s">
        <v>15</v>
      </c>
      <c r="G12" s="19" t="s">
        <v>15</v>
      </c>
      <c r="H12" s="19" t="s">
        <v>15</v>
      </c>
      <c r="I12" s="20" t="s">
        <v>15</v>
      </c>
      <c r="J12" s="20" t="s">
        <v>15</v>
      </c>
      <c r="K12" s="20" t="s">
        <v>15</v>
      </c>
      <c r="L12" s="20" t="s">
        <v>15</v>
      </c>
    </row>
    <row r="13" spans="2:12" ht="17.25" customHeight="1" x14ac:dyDescent="0.3">
      <c r="B13" s="17"/>
      <c r="C13" s="17"/>
      <c r="D13" s="24" t="s">
        <v>22</v>
      </c>
      <c r="E13" s="19" t="s">
        <v>15</v>
      </c>
      <c r="F13" s="19" t="s">
        <v>15</v>
      </c>
      <c r="G13" s="19" t="s">
        <v>15</v>
      </c>
      <c r="H13" s="19" t="s">
        <v>15</v>
      </c>
      <c r="I13" s="20" t="s">
        <v>15</v>
      </c>
      <c r="J13" s="20" t="s">
        <v>15</v>
      </c>
      <c r="K13" s="20" t="s">
        <v>15</v>
      </c>
      <c r="L13" s="20" t="s">
        <v>15</v>
      </c>
    </row>
    <row r="14" spans="2:12" x14ac:dyDescent="0.3">
      <c r="B14" s="25">
        <v>2</v>
      </c>
      <c r="C14" s="26" t="s">
        <v>23</v>
      </c>
      <c r="D14" s="27" t="s">
        <v>14</v>
      </c>
      <c r="E14" s="28">
        <v>16</v>
      </c>
      <c r="F14" s="29">
        <v>0</v>
      </c>
      <c r="G14" s="29">
        <v>0</v>
      </c>
      <c r="H14" s="29">
        <v>0</v>
      </c>
      <c r="I14" s="30">
        <v>277868057</v>
      </c>
      <c r="J14" s="31" t="s">
        <v>20</v>
      </c>
      <c r="K14" s="32">
        <v>93274824</v>
      </c>
      <c r="L14" s="33" t="s">
        <v>20</v>
      </c>
    </row>
    <row r="15" spans="2:12" x14ac:dyDescent="0.3">
      <c r="B15" s="25"/>
      <c r="C15" s="26"/>
      <c r="D15" s="27" t="s">
        <v>16</v>
      </c>
      <c r="E15" s="29">
        <v>0</v>
      </c>
      <c r="F15" s="29">
        <v>0</v>
      </c>
      <c r="G15" s="29">
        <v>0</v>
      </c>
      <c r="H15" s="29">
        <v>0</v>
      </c>
      <c r="I15" s="33" t="s">
        <v>20</v>
      </c>
      <c r="J15" s="33" t="s">
        <v>20</v>
      </c>
      <c r="K15" s="33" t="s">
        <v>20</v>
      </c>
      <c r="L15" s="33" t="s">
        <v>20</v>
      </c>
    </row>
    <row r="16" spans="2:12" x14ac:dyDescent="0.3">
      <c r="B16" s="25"/>
      <c r="C16" s="26"/>
      <c r="D16" s="27" t="s">
        <v>17</v>
      </c>
      <c r="E16" s="28">
        <v>10</v>
      </c>
      <c r="F16" s="29">
        <v>3</v>
      </c>
      <c r="G16" s="29">
        <v>2</v>
      </c>
      <c r="H16" s="29">
        <v>0</v>
      </c>
      <c r="I16" s="30">
        <v>85304247</v>
      </c>
      <c r="J16" s="32">
        <v>13880308</v>
      </c>
      <c r="K16" s="31" t="s">
        <v>20</v>
      </c>
      <c r="L16" s="31" t="s">
        <v>20</v>
      </c>
    </row>
    <row r="17" spans="2:12" ht="15.5" x14ac:dyDescent="0.3">
      <c r="B17" s="25"/>
      <c r="C17" s="26"/>
      <c r="D17" s="27" t="s">
        <v>18</v>
      </c>
      <c r="E17" s="28">
        <v>49</v>
      </c>
      <c r="F17" s="29">
        <v>6</v>
      </c>
      <c r="G17" s="29">
        <v>0</v>
      </c>
      <c r="H17" s="29">
        <v>0</v>
      </c>
      <c r="I17" s="30">
        <v>220016395</v>
      </c>
      <c r="J17" s="32">
        <v>21904905</v>
      </c>
      <c r="K17" s="31" t="s">
        <v>20</v>
      </c>
      <c r="L17" s="34"/>
    </row>
    <row r="18" spans="2:12" x14ac:dyDescent="0.3">
      <c r="B18" s="25"/>
      <c r="C18" s="26"/>
      <c r="D18" s="35" t="s">
        <v>19</v>
      </c>
      <c r="E18" s="36">
        <f t="shared" ref="E18:L18" si="0">SUM(E14:E17)</f>
        <v>75</v>
      </c>
      <c r="F18" s="36">
        <f t="shared" si="0"/>
        <v>9</v>
      </c>
      <c r="G18" s="36">
        <f t="shared" si="0"/>
        <v>2</v>
      </c>
      <c r="H18" s="36">
        <f t="shared" si="0"/>
        <v>0</v>
      </c>
      <c r="I18" s="37">
        <f t="shared" si="0"/>
        <v>583188699</v>
      </c>
      <c r="J18" s="37">
        <f t="shared" si="0"/>
        <v>35785213</v>
      </c>
      <c r="K18" s="37">
        <f t="shared" si="0"/>
        <v>93274824</v>
      </c>
      <c r="L18" s="37">
        <f t="shared" si="0"/>
        <v>0</v>
      </c>
    </row>
    <row r="19" spans="2:12" ht="15.5" x14ac:dyDescent="0.3">
      <c r="B19" s="25"/>
      <c r="C19" s="26"/>
      <c r="D19" s="38" t="s">
        <v>21</v>
      </c>
      <c r="E19" s="28">
        <v>75</v>
      </c>
      <c r="F19" s="29">
        <v>9</v>
      </c>
      <c r="G19" s="29">
        <v>0</v>
      </c>
      <c r="H19" s="29">
        <v>0</v>
      </c>
      <c r="I19" s="30">
        <v>583188699</v>
      </c>
      <c r="J19" s="30">
        <v>35785213</v>
      </c>
      <c r="K19" s="30">
        <v>93274824</v>
      </c>
      <c r="L19" s="34"/>
    </row>
    <row r="20" spans="2:12" x14ac:dyDescent="0.3">
      <c r="B20" s="25"/>
      <c r="C20" s="26"/>
      <c r="D20" s="38" t="s">
        <v>22</v>
      </c>
      <c r="E20" s="29">
        <v>0</v>
      </c>
      <c r="F20" s="29">
        <v>0</v>
      </c>
      <c r="G20" s="29">
        <v>2</v>
      </c>
      <c r="H20" s="29">
        <v>0</v>
      </c>
      <c r="I20" s="33">
        <v>0</v>
      </c>
      <c r="J20" s="33" t="s">
        <v>20</v>
      </c>
      <c r="K20" s="33" t="s">
        <v>20</v>
      </c>
      <c r="L20" s="33" t="s">
        <v>20</v>
      </c>
    </row>
    <row r="21" spans="2:12" x14ac:dyDescent="0.3">
      <c r="B21" s="17">
        <v>3</v>
      </c>
      <c r="C21" s="39" t="s">
        <v>24</v>
      </c>
      <c r="D21" s="18" t="s">
        <v>14</v>
      </c>
      <c r="E21" s="19">
        <v>0</v>
      </c>
      <c r="F21" s="40">
        <v>1</v>
      </c>
      <c r="G21" s="40">
        <v>1</v>
      </c>
      <c r="H21" s="40">
        <v>0</v>
      </c>
      <c r="I21" s="41" t="s">
        <v>15</v>
      </c>
      <c r="J21" s="41" t="s">
        <v>15</v>
      </c>
      <c r="K21" s="41" t="s">
        <v>15</v>
      </c>
      <c r="L21" s="41" t="s">
        <v>15</v>
      </c>
    </row>
    <row r="22" spans="2:12" x14ac:dyDescent="0.3">
      <c r="B22" s="17"/>
      <c r="C22" s="39"/>
      <c r="D22" s="18" t="s">
        <v>16</v>
      </c>
      <c r="E22" s="19">
        <v>1</v>
      </c>
      <c r="F22" s="40">
        <v>0</v>
      </c>
      <c r="G22" s="40">
        <v>0</v>
      </c>
      <c r="H22" s="40">
        <v>0</v>
      </c>
      <c r="I22" s="41" t="s">
        <v>15</v>
      </c>
      <c r="J22" s="41" t="s">
        <v>15</v>
      </c>
      <c r="K22" s="41" t="s">
        <v>15</v>
      </c>
      <c r="L22" s="41" t="s">
        <v>15</v>
      </c>
    </row>
    <row r="23" spans="2:12" x14ac:dyDescent="0.3">
      <c r="B23" s="17"/>
      <c r="C23" s="39"/>
      <c r="D23" s="18" t="s">
        <v>17</v>
      </c>
      <c r="E23" s="19">
        <v>0</v>
      </c>
      <c r="F23" s="40">
        <v>0</v>
      </c>
      <c r="G23" s="40">
        <v>0</v>
      </c>
      <c r="H23" s="40">
        <v>0</v>
      </c>
      <c r="I23" s="41" t="s">
        <v>15</v>
      </c>
      <c r="J23" s="41" t="s">
        <v>15</v>
      </c>
      <c r="K23" s="41" t="s">
        <v>15</v>
      </c>
      <c r="L23" s="41" t="s">
        <v>15</v>
      </c>
    </row>
    <row r="24" spans="2:12" x14ac:dyDescent="0.3">
      <c r="B24" s="17"/>
      <c r="C24" s="39"/>
      <c r="D24" s="18" t="s">
        <v>18</v>
      </c>
      <c r="E24" s="19">
        <v>0</v>
      </c>
      <c r="F24" s="40">
        <v>0</v>
      </c>
      <c r="G24" s="40">
        <v>0</v>
      </c>
      <c r="H24" s="40">
        <v>0</v>
      </c>
      <c r="I24" s="41" t="s">
        <v>15</v>
      </c>
      <c r="J24" s="41" t="s">
        <v>15</v>
      </c>
      <c r="K24" s="41" t="s">
        <v>15</v>
      </c>
      <c r="L24" s="41" t="s">
        <v>15</v>
      </c>
    </row>
    <row r="25" spans="2:12" x14ac:dyDescent="0.3">
      <c r="B25" s="17"/>
      <c r="C25" s="39"/>
      <c r="D25" s="21" t="s">
        <v>19</v>
      </c>
      <c r="E25" s="22">
        <f t="shared" ref="E25:L25" si="1">SUM(E21:E24)</f>
        <v>1</v>
      </c>
      <c r="F25" s="22">
        <f t="shared" si="1"/>
        <v>1</v>
      </c>
      <c r="G25" s="22">
        <f t="shared" si="1"/>
        <v>1</v>
      </c>
      <c r="H25" s="22">
        <f t="shared" si="1"/>
        <v>0</v>
      </c>
      <c r="I25" s="23">
        <f t="shared" si="1"/>
        <v>0</v>
      </c>
      <c r="J25" s="23">
        <f t="shared" si="1"/>
        <v>0</v>
      </c>
      <c r="K25" s="23">
        <f t="shared" si="1"/>
        <v>0</v>
      </c>
      <c r="L25" s="23">
        <f t="shared" si="1"/>
        <v>0</v>
      </c>
    </row>
    <row r="26" spans="2:12" x14ac:dyDescent="0.3">
      <c r="B26" s="17"/>
      <c r="C26" s="39"/>
      <c r="D26" s="24" t="s">
        <v>21</v>
      </c>
      <c r="E26" s="19" t="s">
        <v>15</v>
      </c>
      <c r="F26" s="19" t="s">
        <v>15</v>
      </c>
      <c r="G26" s="19" t="s">
        <v>15</v>
      </c>
      <c r="H26" s="19">
        <v>0</v>
      </c>
      <c r="I26" s="41" t="s">
        <v>15</v>
      </c>
      <c r="J26" s="41" t="s">
        <v>15</v>
      </c>
      <c r="K26" s="41" t="s">
        <v>15</v>
      </c>
      <c r="L26" s="41" t="s">
        <v>15</v>
      </c>
    </row>
    <row r="27" spans="2:12" x14ac:dyDescent="0.3">
      <c r="B27" s="17"/>
      <c r="C27" s="39"/>
      <c r="D27" s="24" t="s">
        <v>22</v>
      </c>
      <c r="E27" s="19" t="s">
        <v>15</v>
      </c>
      <c r="F27" s="19" t="s">
        <v>15</v>
      </c>
      <c r="G27" s="19" t="s">
        <v>15</v>
      </c>
      <c r="H27" s="19">
        <v>0</v>
      </c>
      <c r="I27" s="41" t="s">
        <v>15</v>
      </c>
      <c r="J27" s="41" t="s">
        <v>15</v>
      </c>
      <c r="K27" s="41" t="s">
        <v>15</v>
      </c>
      <c r="L27" s="41" t="s">
        <v>15</v>
      </c>
    </row>
    <row r="28" spans="2:12" x14ac:dyDescent="0.3">
      <c r="B28" s="25">
        <v>4</v>
      </c>
      <c r="C28" s="26" t="s">
        <v>25</v>
      </c>
      <c r="D28" s="27" t="s">
        <v>14</v>
      </c>
      <c r="E28" s="28">
        <v>2</v>
      </c>
      <c r="F28" s="29">
        <v>1</v>
      </c>
      <c r="G28" s="29">
        <v>0</v>
      </c>
      <c r="H28" s="29">
        <v>0</v>
      </c>
      <c r="I28" s="30">
        <v>196822153</v>
      </c>
      <c r="J28" s="32">
        <v>75283357</v>
      </c>
      <c r="K28" s="31" t="s">
        <v>20</v>
      </c>
      <c r="L28" s="33" t="s">
        <v>20</v>
      </c>
    </row>
    <row r="29" spans="2:12" x14ac:dyDescent="0.3">
      <c r="B29" s="25"/>
      <c r="C29" s="26"/>
      <c r="D29" s="27" t="s">
        <v>16</v>
      </c>
      <c r="E29" s="28">
        <v>0</v>
      </c>
      <c r="F29" s="28">
        <v>0</v>
      </c>
      <c r="G29" s="28">
        <v>0</v>
      </c>
      <c r="H29" s="28">
        <v>0</v>
      </c>
      <c r="I29" s="31" t="s">
        <v>20</v>
      </c>
      <c r="J29" s="31" t="s">
        <v>20</v>
      </c>
      <c r="K29" s="31" t="s">
        <v>20</v>
      </c>
      <c r="L29" s="31" t="s">
        <v>20</v>
      </c>
    </row>
    <row r="30" spans="2:12" x14ac:dyDescent="0.3">
      <c r="B30" s="25"/>
      <c r="C30" s="26"/>
      <c r="D30" s="27" t="s">
        <v>17</v>
      </c>
      <c r="E30" s="28">
        <v>0</v>
      </c>
      <c r="F30" s="28">
        <v>0</v>
      </c>
      <c r="G30" s="28">
        <v>0</v>
      </c>
      <c r="H30" s="28">
        <v>0</v>
      </c>
      <c r="I30" s="31" t="s">
        <v>20</v>
      </c>
      <c r="J30" s="31" t="s">
        <v>20</v>
      </c>
      <c r="K30" s="31" t="s">
        <v>20</v>
      </c>
      <c r="L30" s="31" t="s">
        <v>20</v>
      </c>
    </row>
    <row r="31" spans="2:12" x14ac:dyDescent="0.3">
      <c r="B31" s="25"/>
      <c r="C31" s="26"/>
      <c r="D31" s="27" t="s">
        <v>18</v>
      </c>
      <c r="E31" s="28">
        <v>0</v>
      </c>
      <c r="F31" s="28">
        <v>0</v>
      </c>
      <c r="G31" s="28">
        <v>0</v>
      </c>
      <c r="H31" s="28">
        <v>0</v>
      </c>
      <c r="I31" s="31" t="s">
        <v>20</v>
      </c>
      <c r="J31" s="31" t="s">
        <v>20</v>
      </c>
      <c r="K31" s="31" t="s">
        <v>20</v>
      </c>
      <c r="L31" s="31" t="s">
        <v>20</v>
      </c>
    </row>
    <row r="32" spans="2:12" x14ac:dyDescent="0.3">
      <c r="B32" s="25"/>
      <c r="C32" s="26"/>
      <c r="D32" s="35" t="s">
        <v>19</v>
      </c>
      <c r="E32" s="36">
        <f t="shared" ref="E32:L32" si="2">SUM(E28:E31)</f>
        <v>2</v>
      </c>
      <c r="F32" s="36">
        <f t="shared" si="2"/>
        <v>1</v>
      </c>
      <c r="G32" s="36">
        <f t="shared" si="2"/>
        <v>0</v>
      </c>
      <c r="H32" s="36">
        <f t="shared" si="2"/>
        <v>0</v>
      </c>
      <c r="I32" s="42">
        <f t="shared" si="2"/>
        <v>196822153</v>
      </c>
      <c r="J32" s="42">
        <f t="shared" si="2"/>
        <v>75283357</v>
      </c>
      <c r="K32" s="43">
        <f t="shared" si="2"/>
        <v>0</v>
      </c>
      <c r="L32" s="43">
        <f t="shared" si="2"/>
        <v>0</v>
      </c>
    </row>
    <row r="33" spans="2:12" x14ac:dyDescent="0.3">
      <c r="B33" s="25"/>
      <c r="C33" s="26"/>
      <c r="D33" s="38" t="s">
        <v>21</v>
      </c>
      <c r="E33" s="28" t="s">
        <v>15</v>
      </c>
      <c r="F33" s="28" t="s">
        <v>15</v>
      </c>
      <c r="G33" s="28" t="s">
        <v>15</v>
      </c>
      <c r="H33" s="28" t="s">
        <v>15</v>
      </c>
      <c r="I33" s="31" t="s">
        <v>15</v>
      </c>
      <c r="J33" s="31" t="s">
        <v>15</v>
      </c>
      <c r="K33" s="31" t="s">
        <v>15</v>
      </c>
      <c r="L33" s="31" t="s">
        <v>15</v>
      </c>
    </row>
    <row r="34" spans="2:12" x14ac:dyDescent="0.3">
      <c r="B34" s="25"/>
      <c r="C34" s="26"/>
      <c r="D34" s="38" t="s">
        <v>22</v>
      </c>
      <c r="E34" s="28" t="s">
        <v>15</v>
      </c>
      <c r="F34" s="28" t="s">
        <v>15</v>
      </c>
      <c r="G34" s="28" t="s">
        <v>15</v>
      </c>
      <c r="H34" s="28" t="s">
        <v>15</v>
      </c>
      <c r="I34" s="31" t="s">
        <v>15</v>
      </c>
      <c r="J34" s="31" t="s">
        <v>15</v>
      </c>
      <c r="K34" s="31" t="s">
        <v>15</v>
      </c>
      <c r="L34" s="31" t="s">
        <v>15</v>
      </c>
    </row>
    <row r="35" spans="2:12" x14ac:dyDescent="0.3">
      <c r="B35" s="17">
        <v>5</v>
      </c>
      <c r="C35" s="39" t="s">
        <v>26</v>
      </c>
      <c r="D35" s="18" t="s">
        <v>14</v>
      </c>
      <c r="E35" s="19" t="s">
        <v>15</v>
      </c>
      <c r="F35" s="19" t="s">
        <v>15</v>
      </c>
      <c r="G35" s="19" t="s">
        <v>15</v>
      </c>
      <c r="H35" s="19" t="s">
        <v>15</v>
      </c>
      <c r="I35" s="20" t="s">
        <v>15</v>
      </c>
      <c r="J35" s="20" t="s">
        <v>15</v>
      </c>
      <c r="K35" s="20" t="s">
        <v>15</v>
      </c>
      <c r="L35" s="20" t="s">
        <v>15</v>
      </c>
    </row>
    <row r="36" spans="2:12" x14ac:dyDescent="0.3">
      <c r="B36" s="17"/>
      <c r="C36" s="39"/>
      <c r="D36" s="18" t="s">
        <v>16</v>
      </c>
      <c r="E36" s="19" t="s">
        <v>15</v>
      </c>
      <c r="F36" s="19" t="s">
        <v>15</v>
      </c>
      <c r="G36" s="19" t="s">
        <v>15</v>
      </c>
      <c r="H36" s="19" t="s">
        <v>15</v>
      </c>
      <c r="I36" s="20" t="s">
        <v>15</v>
      </c>
      <c r="J36" s="20" t="s">
        <v>15</v>
      </c>
      <c r="K36" s="20" t="s">
        <v>15</v>
      </c>
      <c r="L36" s="20" t="s">
        <v>15</v>
      </c>
    </row>
    <row r="37" spans="2:12" x14ac:dyDescent="0.3">
      <c r="B37" s="17"/>
      <c r="C37" s="39"/>
      <c r="D37" s="18" t="s">
        <v>17</v>
      </c>
      <c r="E37" s="19" t="s">
        <v>15</v>
      </c>
      <c r="F37" s="19" t="s">
        <v>15</v>
      </c>
      <c r="G37" s="19" t="s">
        <v>15</v>
      </c>
      <c r="H37" s="19" t="s">
        <v>15</v>
      </c>
      <c r="I37" s="20" t="s">
        <v>15</v>
      </c>
      <c r="J37" s="20" t="s">
        <v>15</v>
      </c>
      <c r="K37" s="20" t="s">
        <v>15</v>
      </c>
      <c r="L37" s="20" t="s">
        <v>15</v>
      </c>
    </row>
    <row r="38" spans="2:12" x14ac:dyDescent="0.3">
      <c r="B38" s="17"/>
      <c r="C38" s="39"/>
      <c r="D38" s="18" t="s">
        <v>18</v>
      </c>
      <c r="E38" s="19" t="s">
        <v>15</v>
      </c>
      <c r="F38" s="19" t="s">
        <v>15</v>
      </c>
      <c r="G38" s="19" t="s">
        <v>15</v>
      </c>
      <c r="H38" s="19" t="s">
        <v>15</v>
      </c>
      <c r="I38" s="20" t="s">
        <v>15</v>
      </c>
      <c r="J38" s="20" t="s">
        <v>15</v>
      </c>
      <c r="K38" s="20" t="s">
        <v>15</v>
      </c>
      <c r="L38" s="20" t="s">
        <v>15</v>
      </c>
    </row>
    <row r="39" spans="2:12" x14ac:dyDescent="0.3">
      <c r="B39" s="17"/>
      <c r="C39" s="39"/>
      <c r="D39" s="21" t="s">
        <v>19</v>
      </c>
      <c r="E39" s="22">
        <f t="shared" ref="E39:L39" si="3">SUM(E35:E38)</f>
        <v>0</v>
      </c>
      <c r="F39" s="22">
        <f t="shared" si="3"/>
        <v>0</v>
      </c>
      <c r="G39" s="22">
        <f t="shared" si="3"/>
        <v>0</v>
      </c>
      <c r="H39" s="22">
        <f t="shared" si="3"/>
        <v>0</v>
      </c>
      <c r="I39" s="23">
        <f t="shared" si="3"/>
        <v>0</v>
      </c>
      <c r="J39" s="23">
        <f t="shared" si="3"/>
        <v>0</v>
      </c>
      <c r="K39" s="23">
        <f t="shared" si="3"/>
        <v>0</v>
      </c>
      <c r="L39" s="23">
        <f t="shared" si="3"/>
        <v>0</v>
      </c>
    </row>
    <row r="40" spans="2:12" ht="16.5" customHeight="1" x14ac:dyDescent="0.3">
      <c r="B40" s="17"/>
      <c r="C40" s="39"/>
      <c r="D40" s="24" t="s">
        <v>21</v>
      </c>
      <c r="E40" s="19" t="s">
        <v>15</v>
      </c>
      <c r="F40" s="19" t="s">
        <v>15</v>
      </c>
      <c r="G40" s="19" t="s">
        <v>15</v>
      </c>
      <c r="H40" s="19" t="s">
        <v>15</v>
      </c>
      <c r="I40" s="20" t="s">
        <v>15</v>
      </c>
      <c r="J40" s="20" t="s">
        <v>15</v>
      </c>
      <c r="K40" s="20" t="s">
        <v>15</v>
      </c>
      <c r="L40" s="20" t="s">
        <v>15</v>
      </c>
    </row>
    <row r="41" spans="2:12" ht="16.5" customHeight="1" x14ac:dyDescent="0.3">
      <c r="B41" s="17"/>
      <c r="C41" s="39"/>
      <c r="D41" s="24" t="s">
        <v>22</v>
      </c>
      <c r="E41" s="19" t="s">
        <v>15</v>
      </c>
      <c r="F41" s="19" t="s">
        <v>15</v>
      </c>
      <c r="G41" s="19" t="s">
        <v>15</v>
      </c>
      <c r="H41" s="19" t="s">
        <v>15</v>
      </c>
      <c r="I41" s="20" t="s">
        <v>15</v>
      </c>
      <c r="J41" s="20" t="s">
        <v>15</v>
      </c>
      <c r="K41" s="20" t="s">
        <v>15</v>
      </c>
      <c r="L41" s="20" t="s">
        <v>15</v>
      </c>
    </row>
    <row r="42" spans="2:12" ht="17.25" customHeight="1" x14ac:dyDescent="0.3">
      <c r="B42" s="25">
        <v>6</v>
      </c>
      <c r="C42" s="26" t="s">
        <v>27</v>
      </c>
      <c r="D42" s="27" t="s">
        <v>14</v>
      </c>
      <c r="E42" s="28">
        <v>0</v>
      </c>
      <c r="F42" s="28">
        <v>0</v>
      </c>
      <c r="G42" s="29">
        <v>7</v>
      </c>
      <c r="H42" s="29">
        <v>1</v>
      </c>
      <c r="I42" s="33" t="s">
        <v>20</v>
      </c>
      <c r="J42" s="33" t="s">
        <v>20</v>
      </c>
      <c r="K42" s="32">
        <v>469110133</v>
      </c>
      <c r="L42" s="30">
        <v>75994278</v>
      </c>
    </row>
    <row r="43" spans="2:12" x14ac:dyDescent="0.3">
      <c r="B43" s="25"/>
      <c r="C43" s="26"/>
      <c r="D43" s="27" t="s">
        <v>16</v>
      </c>
      <c r="E43" s="28">
        <v>0</v>
      </c>
      <c r="F43" s="28">
        <v>0</v>
      </c>
      <c r="G43" s="29">
        <v>14</v>
      </c>
      <c r="H43" s="29">
        <v>2</v>
      </c>
      <c r="I43" s="33" t="s">
        <v>20</v>
      </c>
      <c r="J43" s="33" t="s">
        <v>20</v>
      </c>
      <c r="K43" s="32">
        <v>362453716</v>
      </c>
      <c r="L43" s="30">
        <v>25242852</v>
      </c>
    </row>
    <row r="44" spans="2:12" x14ac:dyDescent="0.3">
      <c r="B44" s="25"/>
      <c r="C44" s="26"/>
      <c r="D44" s="27" t="s">
        <v>17</v>
      </c>
      <c r="E44" s="28">
        <v>0</v>
      </c>
      <c r="F44" s="28">
        <v>0</v>
      </c>
      <c r="G44" s="29">
        <v>0</v>
      </c>
      <c r="H44" s="29">
        <v>0</v>
      </c>
      <c r="I44" s="33" t="s">
        <v>20</v>
      </c>
      <c r="J44" s="33" t="s">
        <v>20</v>
      </c>
      <c r="K44" s="31" t="s">
        <v>20</v>
      </c>
      <c r="L44" s="31" t="s">
        <v>20</v>
      </c>
    </row>
    <row r="45" spans="2:12" x14ac:dyDescent="0.3">
      <c r="B45" s="25"/>
      <c r="C45" s="26"/>
      <c r="D45" s="27" t="s">
        <v>18</v>
      </c>
      <c r="E45" s="28">
        <v>0</v>
      </c>
      <c r="F45" s="28">
        <v>0</v>
      </c>
      <c r="G45" s="29">
        <v>0</v>
      </c>
      <c r="H45" s="29">
        <v>0</v>
      </c>
      <c r="I45" s="33" t="s">
        <v>20</v>
      </c>
      <c r="J45" s="33" t="s">
        <v>20</v>
      </c>
      <c r="K45" s="31" t="s">
        <v>20</v>
      </c>
      <c r="L45" s="31" t="s">
        <v>20</v>
      </c>
    </row>
    <row r="46" spans="2:12" x14ac:dyDescent="0.3">
      <c r="B46" s="25"/>
      <c r="C46" s="26"/>
      <c r="D46" s="35" t="s">
        <v>19</v>
      </c>
      <c r="E46" s="36">
        <f t="shared" ref="E46:L46" si="4">SUM(E42:E45)</f>
        <v>0</v>
      </c>
      <c r="F46" s="36">
        <f t="shared" si="4"/>
        <v>0</v>
      </c>
      <c r="G46" s="36">
        <f t="shared" si="4"/>
        <v>21</v>
      </c>
      <c r="H46" s="36">
        <f t="shared" si="4"/>
        <v>3</v>
      </c>
      <c r="I46" s="43">
        <f t="shared" si="4"/>
        <v>0</v>
      </c>
      <c r="J46" s="43">
        <f t="shared" si="4"/>
        <v>0</v>
      </c>
      <c r="K46" s="42">
        <f t="shared" si="4"/>
        <v>831563849</v>
      </c>
      <c r="L46" s="42">
        <f t="shared" si="4"/>
        <v>101237130</v>
      </c>
    </row>
    <row r="47" spans="2:12" x14ac:dyDescent="0.3">
      <c r="B47" s="25"/>
      <c r="C47" s="26"/>
      <c r="D47" s="38" t="s">
        <v>21</v>
      </c>
      <c r="E47" s="28">
        <v>0</v>
      </c>
      <c r="F47" s="28">
        <v>0</v>
      </c>
      <c r="G47" s="29" t="s">
        <v>15</v>
      </c>
      <c r="H47" s="29" t="s">
        <v>15</v>
      </c>
      <c r="I47" s="31">
        <v>0</v>
      </c>
      <c r="J47" s="31">
        <v>0</v>
      </c>
      <c r="K47" s="33" t="s">
        <v>15</v>
      </c>
      <c r="L47" s="33" t="s">
        <v>15</v>
      </c>
    </row>
    <row r="48" spans="2:12" x14ac:dyDescent="0.3">
      <c r="B48" s="25"/>
      <c r="C48" s="26"/>
      <c r="D48" s="38" t="s">
        <v>22</v>
      </c>
      <c r="E48" s="28">
        <v>0</v>
      </c>
      <c r="F48" s="28">
        <v>0</v>
      </c>
      <c r="G48" s="29" t="s">
        <v>15</v>
      </c>
      <c r="H48" s="29" t="s">
        <v>15</v>
      </c>
      <c r="I48" s="31">
        <v>0</v>
      </c>
      <c r="J48" s="31">
        <v>0</v>
      </c>
      <c r="K48" s="33" t="s">
        <v>15</v>
      </c>
      <c r="L48" s="33" t="s">
        <v>15</v>
      </c>
    </row>
    <row r="49" spans="2:12" x14ac:dyDescent="0.3">
      <c r="B49" s="17">
        <v>7</v>
      </c>
      <c r="C49" s="39" t="s">
        <v>28</v>
      </c>
      <c r="D49" s="18" t="s">
        <v>14</v>
      </c>
      <c r="E49" s="19">
        <v>0</v>
      </c>
      <c r="F49" s="19">
        <v>0</v>
      </c>
      <c r="G49" s="40">
        <v>15</v>
      </c>
      <c r="H49" s="40">
        <v>3</v>
      </c>
      <c r="I49" s="20" t="s">
        <v>20</v>
      </c>
      <c r="J49" s="20" t="s">
        <v>20</v>
      </c>
      <c r="K49" s="44">
        <v>2596776462</v>
      </c>
      <c r="L49" s="45">
        <v>432966638</v>
      </c>
    </row>
    <row r="50" spans="2:12" x14ac:dyDescent="0.3">
      <c r="B50" s="17"/>
      <c r="C50" s="39"/>
      <c r="D50" s="18" t="s">
        <v>16</v>
      </c>
      <c r="E50" s="19">
        <v>0</v>
      </c>
      <c r="F50" s="19">
        <v>0</v>
      </c>
      <c r="G50" s="19">
        <v>0</v>
      </c>
      <c r="H50" s="19">
        <v>0</v>
      </c>
      <c r="I50" s="20" t="s">
        <v>20</v>
      </c>
      <c r="J50" s="20" t="s">
        <v>20</v>
      </c>
      <c r="K50" s="20" t="s">
        <v>20</v>
      </c>
      <c r="L50" s="20" t="s">
        <v>20</v>
      </c>
    </row>
    <row r="51" spans="2:12" x14ac:dyDescent="0.3">
      <c r="B51" s="17"/>
      <c r="C51" s="39"/>
      <c r="D51" s="18" t="s">
        <v>17</v>
      </c>
      <c r="E51" s="19">
        <v>8</v>
      </c>
      <c r="F51" s="40">
        <v>9</v>
      </c>
      <c r="G51" s="19">
        <v>0</v>
      </c>
      <c r="H51" s="19">
        <v>0</v>
      </c>
      <c r="I51" s="45">
        <v>328184352</v>
      </c>
      <c r="J51" s="44">
        <v>257840297</v>
      </c>
      <c r="K51" s="20" t="s">
        <v>20</v>
      </c>
      <c r="L51" s="20" t="s">
        <v>20</v>
      </c>
    </row>
    <row r="52" spans="2:12" x14ac:dyDescent="0.3">
      <c r="B52" s="17"/>
      <c r="C52" s="39"/>
      <c r="D52" s="18" t="s">
        <v>18</v>
      </c>
      <c r="E52" s="19">
        <v>2</v>
      </c>
      <c r="F52" s="40">
        <v>0</v>
      </c>
      <c r="G52" s="19">
        <v>0</v>
      </c>
      <c r="H52" s="19">
        <v>0</v>
      </c>
      <c r="I52" s="45">
        <v>26415449</v>
      </c>
      <c r="J52" s="20" t="s">
        <v>20</v>
      </c>
      <c r="K52" s="20" t="s">
        <v>20</v>
      </c>
      <c r="L52" s="20" t="s">
        <v>20</v>
      </c>
    </row>
    <row r="53" spans="2:12" x14ac:dyDescent="0.3">
      <c r="B53" s="17"/>
      <c r="C53" s="39"/>
      <c r="D53" s="21" t="s">
        <v>19</v>
      </c>
      <c r="E53" s="22">
        <f t="shared" ref="E53:L53" si="5">SUM(E49:E52)</f>
        <v>10</v>
      </c>
      <c r="F53" s="22">
        <f t="shared" si="5"/>
        <v>9</v>
      </c>
      <c r="G53" s="22">
        <f t="shared" si="5"/>
        <v>15</v>
      </c>
      <c r="H53" s="22">
        <f t="shared" si="5"/>
        <v>3</v>
      </c>
      <c r="I53" s="46">
        <f t="shared" si="5"/>
        <v>354599801</v>
      </c>
      <c r="J53" s="46">
        <f t="shared" si="5"/>
        <v>257840297</v>
      </c>
      <c r="K53" s="46">
        <f t="shared" si="5"/>
        <v>2596776462</v>
      </c>
      <c r="L53" s="46">
        <f t="shared" si="5"/>
        <v>432966638</v>
      </c>
    </row>
    <row r="54" spans="2:12" x14ac:dyDescent="0.3">
      <c r="B54" s="17"/>
      <c r="C54" s="39"/>
      <c r="D54" s="24" t="s">
        <v>21</v>
      </c>
      <c r="E54" s="19">
        <v>5</v>
      </c>
      <c r="F54" s="40">
        <v>6</v>
      </c>
      <c r="G54" s="40">
        <v>11</v>
      </c>
      <c r="H54" s="40">
        <v>3</v>
      </c>
      <c r="I54" s="45">
        <v>235323057</v>
      </c>
      <c r="J54" s="44">
        <v>215837935</v>
      </c>
      <c r="K54" s="44">
        <v>2112544443</v>
      </c>
      <c r="L54" s="45">
        <v>432966638</v>
      </c>
    </row>
    <row r="55" spans="2:12" ht="15.5" x14ac:dyDescent="0.3">
      <c r="B55" s="17"/>
      <c r="C55" s="39"/>
      <c r="D55" s="24" t="s">
        <v>22</v>
      </c>
      <c r="E55" s="19">
        <v>5</v>
      </c>
      <c r="F55" s="40">
        <v>3</v>
      </c>
      <c r="G55" s="40">
        <v>4</v>
      </c>
      <c r="H55" s="40"/>
      <c r="I55" s="45">
        <v>119276744</v>
      </c>
      <c r="J55" s="44">
        <v>42002362</v>
      </c>
      <c r="K55" s="44">
        <v>484232019</v>
      </c>
      <c r="L55" s="47"/>
    </row>
    <row r="56" spans="2:12" x14ac:dyDescent="0.3">
      <c r="B56" s="25">
        <v>8</v>
      </c>
      <c r="C56" s="26" t="s">
        <v>29</v>
      </c>
      <c r="D56" s="27" t="s">
        <v>14</v>
      </c>
      <c r="E56" s="28">
        <v>2</v>
      </c>
      <c r="F56" s="29">
        <v>0</v>
      </c>
      <c r="G56" s="29">
        <v>1</v>
      </c>
      <c r="H56" s="29">
        <v>1</v>
      </c>
      <c r="I56" s="33" t="s">
        <v>20</v>
      </c>
      <c r="J56" s="33" t="s">
        <v>20</v>
      </c>
      <c r="K56" s="33" t="s">
        <v>15</v>
      </c>
      <c r="L56" s="33" t="s">
        <v>15</v>
      </c>
    </row>
    <row r="57" spans="2:12" x14ac:dyDescent="0.3">
      <c r="B57" s="25"/>
      <c r="C57" s="26"/>
      <c r="D57" s="27" t="s">
        <v>16</v>
      </c>
      <c r="E57" s="28">
        <v>0</v>
      </c>
      <c r="F57" s="29">
        <v>3</v>
      </c>
      <c r="G57" s="29">
        <v>0</v>
      </c>
      <c r="H57" s="29">
        <v>0</v>
      </c>
      <c r="I57" s="33" t="s">
        <v>20</v>
      </c>
      <c r="J57" s="33" t="s">
        <v>15</v>
      </c>
      <c r="K57" s="33" t="s">
        <v>20</v>
      </c>
      <c r="L57" s="33" t="s">
        <v>20</v>
      </c>
    </row>
    <row r="58" spans="2:12" x14ac:dyDescent="0.3">
      <c r="B58" s="25"/>
      <c r="C58" s="26"/>
      <c r="D58" s="27" t="s">
        <v>17</v>
      </c>
      <c r="E58" s="28">
        <v>0</v>
      </c>
      <c r="F58" s="28">
        <v>0</v>
      </c>
      <c r="G58" s="28">
        <v>0</v>
      </c>
      <c r="H58" s="28">
        <v>0</v>
      </c>
      <c r="I58" s="33" t="s">
        <v>20</v>
      </c>
      <c r="J58" s="33" t="s">
        <v>20</v>
      </c>
      <c r="K58" s="33" t="s">
        <v>20</v>
      </c>
      <c r="L58" s="33" t="s">
        <v>20</v>
      </c>
    </row>
    <row r="59" spans="2:12" x14ac:dyDescent="0.3">
      <c r="B59" s="25"/>
      <c r="C59" s="26"/>
      <c r="D59" s="27" t="s">
        <v>18</v>
      </c>
      <c r="E59" s="28">
        <v>0</v>
      </c>
      <c r="F59" s="28">
        <v>0</v>
      </c>
      <c r="G59" s="28">
        <v>0</v>
      </c>
      <c r="H59" s="28">
        <v>0</v>
      </c>
      <c r="I59" s="33" t="s">
        <v>20</v>
      </c>
      <c r="J59" s="33" t="s">
        <v>20</v>
      </c>
      <c r="K59" s="33" t="s">
        <v>20</v>
      </c>
      <c r="L59" s="33" t="s">
        <v>20</v>
      </c>
    </row>
    <row r="60" spans="2:12" x14ac:dyDescent="0.3">
      <c r="B60" s="25"/>
      <c r="C60" s="26"/>
      <c r="D60" s="35" t="s">
        <v>19</v>
      </c>
      <c r="E60" s="36">
        <f t="shared" ref="E60:K60" si="6">SUM(E56:E59)</f>
        <v>2</v>
      </c>
      <c r="F60" s="36">
        <f t="shared" si="6"/>
        <v>3</v>
      </c>
      <c r="G60" s="36">
        <f t="shared" si="6"/>
        <v>1</v>
      </c>
      <c r="H60" s="36">
        <f t="shared" si="6"/>
        <v>1</v>
      </c>
      <c r="I60" s="43">
        <f t="shared" si="6"/>
        <v>0</v>
      </c>
      <c r="J60" s="43">
        <f t="shared" si="6"/>
        <v>0</v>
      </c>
      <c r="K60" s="43">
        <f t="shared" si="6"/>
        <v>0</v>
      </c>
      <c r="L60" s="42">
        <v>1246551302</v>
      </c>
    </row>
    <row r="61" spans="2:12" x14ac:dyDescent="0.3">
      <c r="B61" s="25"/>
      <c r="C61" s="26"/>
      <c r="D61" s="38" t="s">
        <v>21</v>
      </c>
      <c r="E61" s="28" t="s">
        <v>15</v>
      </c>
      <c r="F61" s="28" t="s">
        <v>15</v>
      </c>
      <c r="G61" s="28" t="s">
        <v>15</v>
      </c>
      <c r="H61" s="28" t="s">
        <v>15</v>
      </c>
      <c r="I61" s="31" t="s">
        <v>15</v>
      </c>
      <c r="J61" s="31" t="s">
        <v>15</v>
      </c>
      <c r="K61" s="31" t="s">
        <v>15</v>
      </c>
      <c r="L61" s="31" t="s">
        <v>15</v>
      </c>
    </row>
    <row r="62" spans="2:12" x14ac:dyDescent="0.3">
      <c r="B62" s="25"/>
      <c r="C62" s="26"/>
      <c r="D62" s="38" t="s">
        <v>22</v>
      </c>
      <c r="E62" s="28" t="s">
        <v>15</v>
      </c>
      <c r="F62" s="28" t="s">
        <v>15</v>
      </c>
      <c r="G62" s="28" t="s">
        <v>15</v>
      </c>
      <c r="H62" s="28" t="s">
        <v>15</v>
      </c>
      <c r="I62" s="31" t="s">
        <v>15</v>
      </c>
      <c r="J62" s="31" t="s">
        <v>15</v>
      </c>
      <c r="K62" s="31" t="s">
        <v>15</v>
      </c>
      <c r="L62" s="31" t="s">
        <v>15</v>
      </c>
    </row>
    <row r="63" spans="2:12" ht="12.5" x14ac:dyDescent="0.35">
      <c r="B63" s="48" t="s">
        <v>30</v>
      </c>
    </row>
    <row r="65" spans="2:12" ht="13.5" x14ac:dyDescent="0.35">
      <c r="B65" s="4" t="s">
        <v>31</v>
      </c>
    </row>
    <row r="67" spans="2:12" ht="22.5" customHeight="1" x14ac:dyDescent="0.3">
      <c r="B67" s="49"/>
      <c r="C67" s="7"/>
      <c r="D67" s="7"/>
      <c r="E67" s="9" t="s">
        <v>2</v>
      </c>
      <c r="F67" s="9"/>
      <c r="G67" s="9" t="s">
        <v>3</v>
      </c>
      <c r="H67" s="9"/>
      <c r="I67" s="9" t="s">
        <v>4</v>
      </c>
      <c r="J67" s="9"/>
      <c r="K67" s="9" t="s">
        <v>5</v>
      </c>
      <c r="L67" s="9"/>
    </row>
    <row r="68" spans="2:12" x14ac:dyDescent="0.3">
      <c r="B68" s="10" t="s">
        <v>6</v>
      </c>
      <c r="C68" s="12" t="s">
        <v>7</v>
      </c>
      <c r="D68" s="12" t="s">
        <v>8</v>
      </c>
      <c r="E68" s="10" t="s">
        <v>9</v>
      </c>
      <c r="F68" s="10" t="s">
        <v>10</v>
      </c>
      <c r="G68" s="10" t="s">
        <v>9</v>
      </c>
      <c r="H68" s="10" t="s">
        <v>10</v>
      </c>
      <c r="I68" s="50" t="s">
        <v>11</v>
      </c>
      <c r="J68" s="50" t="s">
        <v>12</v>
      </c>
      <c r="K68" s="50" t="s">
        <v>11</v>
      </c>
      <c r="L68" s="50" t="s">
        <v>12</v>
      </c>
    </row>
    <row r="69" spans="2:12" x14ac:dyDescent="0.3">
      <c r="B69" s="51">
        <v>1</v>
      </c>
      <c r="C69" s="51" t="s">
        <v>32</v>
      </c>
      <c r="D69" s="14" t="s">
        <v>14</v>
      </c>
      <c r="E69" s="15">
        <v>2</v>
      </c>
      <c r="F69" s="15"/>
      <c r="G69" s="15"/>
      <c r="H69" s="15"/>
      <c r="I69" s="45">
        <v>71583229</v>
      </c>
      <c r="J69" s="16"/>
      <c r="K69" s="16"/>
      <c r="L69" s="16"/>
    </row>
    <row r="70" spans="2:12" x14ac:dyDescent="0.3">
      <c r="B70" s="39"/>
      <c r="C70" s="39"/>
      <c r="D70" s="18" t="s">
        <v>16</v>
      </c>
      <c r="E70" s="19">
        <v>2</v>
      </c>
      <c r="F70" s="19"/>
      <c r="G70" s="19"/>
      <c r="H70" s="19"/>
      <c r="I70" s="45">
        <v>10976079</v>
      </c>
      <c r="J70" s="20"/>
      <c r="K70" s="20"/>
      <c r="L70" s="20"/>
    </row>
    <row r="71" spans="2:12" x14ac:dyDescent="0.3">
      <c r="B71" s="39"/>
      <c r="C71" s="39"/>
      <c r="D71" s="18" t="s">
        <v>17</v>
      </c>
      <c r="E71" s="19">
        <v>2</v>
      </c>
      <c r="F71" s="19">
        <v>3</v>
      </c>
      <c r="G71" s="19"/>
      <c r="H71" s="19"/>
      <c r="I71" s="45">
        <v>20281916</v>
      </c>
      <c r="J71" s="45">
        <v>16464157</v>
      </c>
      <c r="K71" s="20"/>
      <c r="L71" s="20"/>
    </row>
    <row r="72" spans="2:12" x14ac:dyDescent="0.3">
      <c r="B72" s="39"/>
      <c r="C72" s="39"/>
      <c r="D72" s="18" t="s">
        <v>18</v>
      </c>
      <c r="E72" s="19"/>
      <c r="F72" s="19"/>
      <c r="G72" s="19"/>
      <c r="H72" s="19"/>
      <c r="I72" s="20"/>
      <c r="J72" s="20"/>
      <c r="K72" s="20"/>
      <c r="L72" s="20"/>
    </row>
    <row r="73" spans="2:12" x14ac:dyDescent="0.3">
      <c r="B73" s="39"/>
      <c r="C73" s="39"/>
      <c r="D73" s="21" t="s">
        <v>19</v>
      </c>
      <c r="E73" s="22">
        <v>6</v>
      </c>
      <c r="F73" s="22">
        <v>3</v>
      </c>
      <c r="G73" s="22">
        <v>0</v>
      </c>
      <c r="H73" s="22">
        <v>0</v>
      </c>
      <c r="I73" s="46">
        <f>+I69+I70+I71</f>
        <v>102841224</v>
      </c>
      <c r="J73" s="46">
        <f>+J71</f>
        <v>16464157</v>
      </c>
      <c r="K73" s="23"/>
      <c r="L73" s="23"/>
    </row>
    <row r="74" spans="2:12" x14ac:dyDescent="0.3">
      <c r="B74" s="39"/>
      <c r="C74" s="39"/>
      <c r="D74" s="24" t="s">
        <v>21</v>
      </c>
      <c r="E74" s="40"/>
      <c r="F74" s="40"/>
      <c r="G74" s="40">
        <v>0</v>
      </c>
      <c r="H74" s="40">
        <v>0</v>
      </c>
      <c r="I74" s="45"/>
      <c r="J74" s="45"/>
      <c r="K74" s="52"/>
      <c r="L74" s="52"/>
    </row>
    <row r="75" spans="2:12" x14ac:dyDescent="0.3">
      <c r="B75" s="39"/>
      <c r="C75" s="39"/>
      <c r="D75" s="24" t="s">
        <v>22</v>
      </c>
      <c r="E75" s="40">
        <v>6</v>
      </c>
      <c r="F75" s="40">
        <v>3</v>
      </c>
      <c r="G75" s="40">
        <v>0</v>
      </c>
      <c r="H75" s="40">
        <v>0</v>
      </c>
      <c r="I75" s="45">
        <v>102841224</v>
      </c>
      <c r="J75" s="45">
        <v>16464157</v>
      </c>
      <c r="K75" s="52"/>
      <c r="L75" s="52"/>
    </row>
    <row r="76" spans="2:12" x14ac:dyDescent="0.3">
      <c r="B76" s="26">
        <v>2</v>
      </c>
      <c r="C76" s="26" t="s">
        <v>33</v>
      </c>
      <c r="D76" s="27" t="s">
        <v>14</v>
      </c>
      <c r="E76" s="29">
        <v>11</v>
      </c>
      <c r="F76" s="29">
        <v>0</v>
      </c>
      <c r="G76" s="29">
        <v>8</v>
      </c>
      <c r="H76" s="29">
        <v>0</v>
      </c>
      <c r="I76" s="30">
        <v>795876920</v>
      </c>
      <c r="J76" s="33"/>
      <c r="K76" s="30">
        <v>172632419</v>
      </c>
      <c r="L76" s="53"/>
    </row>
    <row r="77" spans="2:12" x14ac:dyDescent="0.3">
      <c r="B77" s="26"/>
      <c r="C77" s="26"/>
      <c r="D77" s="27" t="s">
        <v>16</v>
      </c>
      <c r="E77" s="29">
        <v>37</v>
      </c>
      <c r="F77" s="29">
        <v>9</v>
      </c>
      <c r="G77" s="29">
        <v>0</v>
      </c>
      <c r="H77" s="29">
        <v>0</v>
      </c>
      <c r="I77" s="30">
        <v>989465323</v>
      </c>
      <c r="J77" s="30">
        <v>266566306</v>
      </c>
      <c r="K77" s="33"/>
      <c r="L77" s="33"/>
    </row>
    <row r="78" spans="2:12" x14ac:dyDescent="0.3">
      <c r="B78" s="26"/>
      <c r="C78" s="26"/>
      <c r="D78" s="27" t="s">
        <v>17</v>
      </c>
      <c r="E78" s="29">
        <v>146</v>
      </c>
      <c r="F78" s="29">
        <v>10</v>
      </c>
      <c r="G78" s="29">
        <v>0</v>
      </c>
      <c r="H78" s="29">
        <v>0</v>
      </c>
      <c r="I78" s="30">
        <v>2414814146</v>
      </c>
      <c r="J78" s="30">
        <v>144699520</v>
      </c>
      <c r="K78" s="33"/>
      <c r="L78" s="33"/>
    </row>
    <row r="79" spans="2:12" x14ac:dyDescent="0.3">
      <c r="B79" s="26"/>
      <c r="C79" s="26"/>
      <c r="D79" s="27" t="s">
        <v>18</v>
      </c>
      <c r="E79" s="29">
        <v>108</v>
      </c>
      <c r="F79" s="29">
        <v>7</v>
      </c>
      <c r="G79" s="29">
        <v>0</v>
      </c>
      <c r="H79" s="29">
        <v>0</v>
      </c>
      <c r="I79" s="30">
        <v>1259351386</v>
      </c>
      <c r="J79" s="30">
        <v>47817317</v>
      </c>
      <c r="K79" s="33"/>
      <c r="L79" s="33"/>
    </row>
    <row r="80" spans="2:12" x14ac:dyDescent="0.3">
      <c r="B80" s="26"/>
      <c r="C80" s="26"/>
      <c r="D80" s="35" t="s">
        <v>19</v>
      </c>
      <c r="E80" s="54">
        <v>302</v>
      </c>
      <c r="F80" s="54">
        <v>26</v>
      </c>
      <c r="G80" s="54">
        <v>8</v>
      </c>
      <c r="H80" s="54">
        <v>0</v>
      </c>
      <c r="I80" s="55">
        <v>5459507775</v>
      </c>
      <c r="J80" s="55">
        <v>459083143</v>
      </c>
      <c r="K80" s="55">
        <v>172632419</v>
      </c>
      <c r="L80" s="53"/>
    </row>
    <row r="81" spans="2:12" x14ac:dyDescent="0.3">
      <c r="B81" s="26"/>
      <c r="C81" s="26"/>
      <c r="D81" s="38" t="s">
        <v>21</v>
      </c>
      <c r="E81" s="29">
        <v>302</v>
      </c>
      <c r="F81" s="29">
        <v>26</v>
      </c>
      <c r="G81" s="29">
        <v>8</v>
      </c>
      <c r="H81" s="29">
        <v>0</v>
      </c>
      <c r="I81" s="31"/>
      <c r="J81" s="31"/>
      <c r="K81" s="31"/>
      <c r="L81" s="31"/>
    </row>
    <row r="82" spans="2:12" x14ac:dyDescent="0.3">
      <c r="B82" s="26"/>
      <c r="C82" s="26"/>
      <c r="D82" s="38" t="s">
        <v>22</v>
      </c>
      <c r="E82" s="28"/>
      <c r="F82" s="28"/>
      <c r="G82" s="28"/>
      <c r="H82" s="28"/>
      <c r="I82" s="31"/>
      <c r="J82" s="31"/>
      <c r="K82" s="31"/>
      <c r="L82" s="31"/>
    </row>
    <row r="83" spans="2:12" x14ac:dyDescent="0.3">
      <c r="B83" s="39">
        <v>3</v>
      </c>
      <c r="C83" s="39" t="s">
        <v>34</v>
      </c>
      <c r="D83" s="18" t="s">
        <v>14</v>
      </c>
      <c r="E83" s="40">
        <v>36</v>
      </c>
      <c r="F83" s="40">
        <v>6</v>
      </c>
      <c r="G83" s="40">
        <v>67</v>
      </c>
      <c r="H83" s="40">
        <v>2</v>
      </c>
      <c r="I83" s="45">
        <v>1416682148</v>
      </c>
      <c r="J83" s="45">
        <v>229243775</v>
      </c>
      <c r="K83" s="45">
        <v>1381206272</v>
      </c>
      <c r="L83" s="45">
        <v>52100090</v>
      </c>
    </row>
    <row r="84" spans="2:12" x14ac:dyDescent="0.3">
      <c r="B84" s="39"/>
      <c r="C84" s="39"/>
      <c r="D84" s="18" t="s">
        <v>16</v>
      </c>
      <c r="E84" s="40">
        <v>81</v>
      </c>
      <c r="F84" s="40">
        <v>9</v>
      </c>
      <c r="G84" s="40">
        <v>11</v>
      </c>
      <c r="H84" s="40">
        <v>0</v>
      </c>
      <c r="I84" s="45">
        <v>1547656911</v>
      </c>
      <c r="J84" s="45">
        <v>139180722</v>
      </c>
      <c r="K84" s="45">
        <v>167647145</v>
      </c>
      <c r="L84" s="41" t="s">
        <v>35</v>
      </c>
    </row>
    <row r="85" spans="2:12" x14ac:dyDescent="0.3">
      <c r="B85" s="39"/>
      <c r="C85" s="39"/>
      <c r="D85" s="18" t="s">
        <v>17</v>
      </c>
      <c r="E85" s="40">
        <v>166</v>
      </c>
      <c r="F85" s="40">
        <v>8</v>
      </c>
      <c r="G85" s="40">
        <v>1</v>
      </c>
      <c r="H85" s="40">
        <v>0</v>
      </c>
      <c r="I85" s="45">
        <v>2348845437</v>
      </c>
      <c r="J85" s="45">
        <v>58025294</v>
      </c>
      <c r="K85" s="41">
        <v>0</v>
      </c>
      <c r="L85" s="41">
        <v>0</v>
      </c>
    </row>
    <row r="86" spans="2:12" x14ac:dyDescent="0.3">
      <c r="B86" s="39"/>
      <c r="C86" s="39"/>
      <c r="D86" s="18" t="s">
        <v>18</v>
      </c>
      <c r="E86" s="40">
        <v>60</v>
      </c>
      <c r="F86" s="40">
        <v>3</v>
      </c>
      <c r="G86" s="40">
        <v>0</v>
      </c>
      <c r="H86" s="40">
        <v>0</v>
      </c>
      <c r="I86" s="45">
        <v>499415062</v>
      </c>
      <c r="J86" s="41">
        <v>0</v>
      </c>
      <c r="K86" s="41">
        <v>0</v>
      </c>
      <c r="L86" s="41">
        <v>0</v>
      </c>
    </row>
    <row r="87" spans="2:12" x14ac:dyDescent="0.3">
      <c r="B87" s="39"/>
      <c r="C87" s="39"/>
      <c r="D87" s="21" t="s">
        <v>19</v>
      </c>
      <c r="E87" s="56">
        <v>343</v>
      </c>
      <c r="F87" s="56">
        <v>26</v>
      </c>
      <c r="G87" s="56">
        <v>79</v>
      </c>
      <c r="H87" s="56">
        <v>2</v>
      </c>
      <c r="I87" s="57">
        <v>5812599558</v>
      </c>
      <c r="J87" s="57">
        <v>426449791</v>
      </c>
      <c r="K87" s="57">
        <v>1548853417</v>
      </c>
      <c r="L87" s="57">
        <v>52100090</v>
      </c>
    </row>
    <row r="88" spans="2:12" x14ac:dyDescent="0.3">
      <c r="B88" s="39"/>
      <c r="C88" s="39"/>
      <c r="D88" s="24" t="s">
        <v>21</v>
      </c>
      <c r="E88" s="40">
        <v>343</v>
      </c>
      <c r="F88" s="40">
        <v>26</v>
      </c>
      <c r="G88" s="40">
        <v>79</v>
      </c>
      <c r="H88" s="40">
        <v>2</v>
      </c>
      <c r="I88" s="45">
        <v>5812599558</v>
      </c>
      <c r="J88" s="45">
        <v>426449791</v>
      </c>
      <c r="K88" s="45">
        <v>1548853417</v>
      </c>
      <c r="L88" s="45">
        <v>52100090</v>
      </c>
    </row>
    <row r="89" spans="2:12" x14ac:dyDescent="0.3">
      <c r="B89" s="39"/>
      <c r="C89" s="39"/>
      <c r="D89" s="24" t="s">
        <v>22</v>
      </c>
      <c r="E89" s="40">
        <v>819</v>
      </c>
      <c r="F89" s="40">
        <v>80</v>
      </c>
      <c r="G89" s="40">
        <v>4</v>
      </c>
      <c r="H89" s="40">
        <v>1</v>
      </c>
      <c r="I89" s="45">
        <v>9260232803</v>
      </c>
      <c r="J89" s="41"/>
      <c r="K89" s="41"/>
      <c r="L89" s="41"/>
    </row>
    <row r="90" spans="2:12" x14ac:dyDescent="0.3">
      <c r="B90" s="26">
        <v>4</v>
      </c>
      <c r="C90" s="26" t="s">
        <v>36</v>
      </c>
      <c r="D90" s="27" t="s">
        <v>14</v>
      </c>
      <c r="E90" s="29">
        <v>98</v>
      </c>
      <c r="F90" s="29">
        <v>10</v>
      </c>
      <c r="G90" s="29">
        <v>9</v>
      </c>
      <c r="H90" s="29">
        <v>0</v>
      </c>
      <c r="I90" s="58">
        <v>3155622000</v>
      </c>
      <c r="J90" s="33">
        <v>75147000</v>
      </c>
      <c r="K90" s="33">
        <v>244439000</v>
      </c>
      <c r="L90" s="33">
        <v>0</v>
      </c>
    </row>
    <row r="91" spans="2:12" x14ac:dyDescent="0.3">
      <c r="B91" s="26"/>
      <c r="C91" s="26"/>
      <c r="D91" s="27" t="s">
        <v>16</v>
      </c>
      <c r="E91" s="29">
        <v>201</v>
      </c>
      <c r="F91" s="29">
        <v>34</v>
      </c>
      <c r="G91" s="29">
        <v>0</v>
      </c>
      <c r="H91" s="29">
        <v>0</v>
      </c>
      <c r="I91" s="33">
        <v>905326000</v>
      </c>
      <c r="J91" s="33">
        <v>153676000</v>
      </c>
      <c r="K91" s="33">
        <v>0</v>
      </c>
      <c r="L91" s="33">
        <v>0</v>
      </c>
    </row>
    <row r="92" spans="2:12" x14ac:dyDescent="0.3">
      <c r="B92" s="26"/>
      <c r="C92" s="26"/>
      <c r="D92" s="27" t="s">
        <v>17</v>
      </c>
      <c r="E92" s="29">
        <v>429</v>
      </c>
      <c r="F92" s="29">
        <v>23</v>
      </c>
      <c r="G92" s="29">
        <v>0</v>
      </c>
      <c r="H92" s="29">
        <v>0</v>
      </c>
      <c r="I92" s="33">
        <v>784710000</v>
      </c>
      <c r="J92" s="33">
        <v>64209000</v>
      </c>
      <c r="K92" s="33">
        <v>0</v>
      </c>
      <c r="L92" s="33">
        <v>0</v>
      </c>
    </row>
    <row r="93" spans="2:12" x14ac:dyDescent="0.3">
      <c r="B93" s="26"/>
      <c r="C93" s="26"/>
      <c r="D93" s="27" t="s">
        <v>18</v>
      </c>
      <c r="E93" s="29">
        <v>22</v>
      </c>
      <c r="F93" s="29">
        <v>4</v>
      </c>
      <c r="G93" s="29">
        <v>0</v>
      </c>
      <c r="H93" s="29">
        <v>0</v>
      </c>
      <c r="I93" s="33">
        <v>29351000</v>
      </c>
      <c r="J93" s="33">
        <v>5290000</v>
      </c>
      <c r="K93" s="33">
        <v>0</v>
      </c>
      <c r="L93" s="33">
        <v>0</v>
      </c>
    </row>
    <row r="94" spans="2:12" x14ac:dyDescent="0.3">
      <c r="B94" s="26"/>
      <c r="C94" s="26"/>
      <c r="D94" s="35" t="s">
        <v>19</v>
      </c>
      <c r="E94" s="54">
        <f t="shared" ref="E94:L94" si="7">E90+E91+E92+E93</f>
        <v>750</v>
      </c>
      <c r="F94" s="54">
        <f t="shared" si="7"/>
        <v>71</v>
      </c>
      <c r="G94" s="54">
        <f t="shared" si="7"/>
        <v>9</v>
      </c>
      <c r="H94" s="54">
        <f t="shared" si="7"/>
        <v>0</v>
      </c>
      <c r="I94" s="59">
        <f t="shared" si="7"/>
        <v>4875009000</v>
      </c>
      <c r="J94" s="59">
        <f t="shared" si="7"/>
        <v>298322000</v>
      </c>
      <c r="K94" s="59">
        <f t="shared" si="7"/>
        <v>244439000</v>
      </c>
      <c r="L94" s="59">
        <f t="shared" si="7"/>
        <v>0</v>
      </c>
    </row>
    <row r="95" spans="2:12" x14ac:dyDescent="0.3">
      <c r="B95" s="26"/>
      <c r="C95" s="26"/>
      <c r="D95" s="38" t="s">
        <v>21</v>
      </c>
      <c r="E95" s="29">
        <v>728</v>
      </c>
      <c r="F95" s="29">
        <v>67</v>
      </c>
      <c r="G95" s="29">
        <v>9</v>
      </c>
      <c r="H95" s="29">
        <v>0</v>
      </c>
      <c r="I95" s="33" t="s">
        <v>15</v>
      </c>
      <c r="J95" s="33" t="s">
        <v>15</v>
      </c>
      <c r="K95" s="33" t="s">
        <v>15</v>
      </c>
      <c r="L95" s="33">
        <v>0</v>
      </c>
    </row>
    <row r="96" spans="2:12" x14ac:dyDescent="0.3">
      <c r="B96" s="26"/>
      <c r="C96" s="26"/>
      <c r="D96" s="38" t="s">
        <v>22</v>
      </c>
      <c r="E96" s="29">
        <v>22</v>
      </c>
      <c r="F96" s="29">
        <v>4</v>
      </c>
      <c r="G96" s="29">
        <v>0</v>
      </c>
      <c r="H96" s="29">
        <v>0</v>
      </c>
      <c r="I96" s="33" t="s">
        <v>15</v>
      </c>
      <c r="J96" s="33" t="s">
        <v>15</v>
      </c>
      <c r="K96" s="33">
        <v>0</v>
      </c>
      <c r="L96" s="33">
        <v>0</v>
      </c>
    </row>
    <row r="97" spans="2:12" x14ac:dyDescent="0.3">
      <c r="B97" s="39">
        <v>5</v>
      </c>
      <c r="C97" s="39" t="s">
        <v>37</v>
      </c>
      <c r="D97" s="18" t="s">
        <v>14</v>
      </c>
      <c r="E97" s="40">
        <v>20</v>
      </c>
      <c r="F97" s="40">
        <v>4</v>
      </c>
      <c r="G97" s="40">
        <v>60</v>
      </c>
      <c r="H97" s="40">
        <v>1</v>
      </c>
      <c r="I97" s="45">
        <v>783461682</v>
      </c>
      <c r="J97" s="45">
        <v>143024414</v>
      </c>
      <c r="K97" s="45">
        <v>7705786956</v>
      </c>
      <c r="L97" s="45">
        <v>129151986</v>
      </c>
    </row>
    <row r="98" spans="2:12" x14ac:dyDescent="0.3">
      <c r="B98" s="39"/>
      <c r="C98" s="39"/>
      <c r="D98" s="18" t="s">
        <v>16</v>
      </c>
      <c r="E98" s="40">
        <v>83</v>
      </c>
      <c r="F98" s="40">
        <v>19</v>
      </c>
      <c r="G98" s="40">
        <v>0</v>
      </c>
      <c r="H98" s="40">
        <v>0</v>
      </c>
      <c r="I98" s="45">
        <v>1646912465</v>
      </c>
      <c r="J98" s="45">
        <v>347457173</v>
      </c>
      <c r="K98" s="41" t="s">
        <v>38</v>
      </c>
      <c r="L98" s="41" t="s">
        <v>39</v>
      </c>
    </row>
    <row r="99" spans="2:12" x14ac:dyDescent="0.3">
      <c r="B99" s="39"/>
      <c r="C99" s="39"/>
      <c r="D99" s="18" t="s">
        <v>17</v>
      </c>
      <c r="E99" s="40">
        <v>240</v>
      </c>
      <c r="F99" s="40">
        <v>28</v>
      </c>
      <c r="G99" s="40">
        <v>0</v>
      </c>
      <c r="H99" s="40">
        <v>0</v>
      </c>
      <c r="I99" s="45">
        <v>2912567613</v>
      </c>
      <c r="J99" s="45">
        <v>311009132</v>
      </c>
      <c r="K99" s="41" t="s">
        <v>38</v>
      </c>
      <c r="L99" s="41" t="s">
        <v>39</v>
      </c>
    </row>
    <row r="100" spans="2:12" x14ac:dyDescent="0.3">
      <c r="B100" s="39"/>
      <c r="C100" s="39"/>
      <c r="D100" s="18" t="s">
        <v>18</v>
      </c>
      <c r="E100" s="40">
        <v>319</v>
      </c>
      <c r="F100" s="40">
        <v>40</v>
      </c>
      <c r="G100" s="40">
        <v>0</v>
      </c>
      <c r="H100" s="40">
        <v>0</v>
      </c>
      <c r="I100" s="45">
        <v>2580927525</v>
      </c>
      <c r="J100" s="45">
        <v>212893374</v>
      </c>
      <c r="K100" s="41" t="s">
        <v>38</v>
      </c>
      <c r="L100" s="41" t="s">
        <v>39</v>
      </c>
    </row>
    <row r="101" spans="2:12" x14ac:dyDescent="0.3">
      <c r="B101" s="39"/>
      <c r="C101" s="39"/>
      <c r="D101" s="21" t="s">
        <v>19</v>
      </c>
      <c r="E101" s="56">
        <v>662</v>
      </c>
      <c r="F101" s="56">
        <v>91</v>
      </c>
      <c r="G101" s="56">
        <v>60</v>
      </c>
      <c r="H101" s="56">
        <v>1</v>
      </c>
      <c r="I101" s="57">
        <v>7923869285</v>
      </c>
      <c r="J101" s="57">
        <v>1014384093</v>
      </c>
      <c r="K101" s="57">
        <v>7705786956</v>
      </c>
      <c r="L101" s="57">
        <v>129151986</v>
      </c>
    </row>
    <row r="102" spans="2:12" x14ac:dyDescent="0.3">
      <c r="B102" s="39"/>
      <c r="C102" s="39"/>
      <c r="D102" s="24" t="s">
        <v>21</v>
      </c>
      <c r="E102" s="40">
        <v>662</v>
      </c>
      <c r="F102" s="40">
        <v>91</v>
      </c>
      <c r="G102" s="40">
        <v>60</v>
      </c>
      <c r="H102" s="40">
        <v>1</v>
      </c>
      <c r="I102" s="45">
        <v>7923869285</v>
      </c>
      <c r="J102" s="45">
        <v>1014384093</v>
      </c>
      <c r="K102" s="45">
        <v>7705786956</v>
      </c>
      <c r="L102" s="45">
        <v>129151986</v>
      </c>
    </row>
    <row r="103" spans="2:12" x14ac:dyDescent="0.3">
      <c r="B103" s="39"/>
      <c r="C103" s="39"/>
      <c r="D103" s="24" t="s">
        <v>22</v>
      </c>
      <c r="E103" s="40">
        <v>84</v>
      </c>
      <c r="F103" s="40">
        <v>12</v>
      </c>
      <c r="G103" s="40">
        <v>0</v>
      </c>
      <c r="H103" s="40">
        <v>0</v>
      </c>
      <c r="I103" s="41" t="s">
        <v>40</v>
      </c>
      <c r="J103" s="41" t="s">
        <v>40</v>
      </c>
      <c r="K103" s="41" t="s">
        <v>38</v>
      </c>
      <c r="L103" s="52" t="s">
        <v>39</v>
      </c>
    </row>
    <row r="104" spans="2:12" x14ac:dyDescent="0.3">
      <c r="B104" s="26">
        <v>6</v>
      </c>
      <c r="C104" s="26" t="s">
        <v>41</v>
      </c>
      <c r="D104" s="27" t="s">
        <v>14</v>
      </c>
      <c r="E104" s="28">
        <v>1</v>
      </c>
      <c r="F104" s="29">
        <v>1</v>
      </c>
      <c r="G104" s="29">
        <v>4</v>
      </c>
      <c r="H104" s="29">
        <v>0</v>
      </c>
      <c r="I104" s="30">
        <v>7240252</v>
      </c>
      <c r="J104" s="30">
        <v>30027868</v>
      </c>
      <c r="K104" s="30">
        <v>85593477</v>
      </c>
      <c r="L104" s="33">
        <v>0</v>
      </c>
    </row>
    <row r="105" spans="2:12" x14ac:dyDescent="0.3">
      <c r="B105" s="26"/>
      <c r="C105" s="26"/>
      <c r="D105" s="27" t="s">
        <v>16</v>
      </c>
      <c r="E105" s="28">
        <v>3</v>
      </c>
      <c r="F105" s="29">
        <v>1</v>
      </c>
      <c r="G105" s="29">
        <v>1</v>
      </c>
      <c r="H105" s="29">
        <v>0</v>
      </c>
      <c r="I105" s="30">
        <v>41717123</v>
      </c>
      <c r="J105" s="30">
        <v>16474829</v>
      </c>
      <c r="K105" s="30">
        <v>17406829</v>
      </c>
      <c r="L105" s="33">
        <v>0</v>
      </c>
    </row>
    <row r="106" spans="2:12" x14ac:dyDescent="0.3">
      <c r="B106" s="26"/>
      <c r="C106" s="26"/>
      <c r="D106" s="27" t="s">
        <v>17</v>
      </c>
      <c r="E106" s="28">
        <v>26</v>
      </c>
      <c r="F106" s="29">
        <v>2</v>
      </c>
      <c r="G106" s="29">
        <v>0</v>
      </c>
      <c r="H106" s="29">
        <v>1</v>
      </c>
      <c r="I106" s="30">
        <v>178577997</v>
      </c>
      <c r="J106" s="30">
        <v>13933876</v>
      </c>
      <c r="K106" s="33">
        <v>0</v>
      </c>
      <c r="L106" s="30">
        <v>9324129</v>
      </c>
    </row>
    <row r="107" spans="2:12" x14ac:dyDescent="0.3">
      <c r="B107" s="26"/>
      <c r="C107" s="26"/>
      <c r="D107" s="27" t="s">
        <v>18</v>
      </c>
      <c r="E107" s="28">
        <v>38</v>
      </c>
      <c r="F107" s="29">
        <v>7</v>
      </c>
      <c r="G107" s="29">
        <v>0</v>
      </c>
      <c r="H107" s="29">
        <v>0</v>
      </c>
      <c r="I107" s="30">
        <v>141328155</v>
      </c>
      <c r="J107" s="30">
        <v>11600458</v>
      </c>
      <c r="K107" s="33">
        <v>0</v>
      </c>
      <c r="L107" s="33">
        <v>0</v>
      </c>
    </row>
    <row r="108" spans="2:12" x14ac:dyDescent="0.3">
      <c r="B108" s="26"/>
      <c r="C108" s="26"/>
      <c r="D108" s="35" t="s">
        <v>19</v>
      </c>
      <c r="E108" s="54">
        <v>68</v>
      </c>
      <c r="F108" s="54">
        <v>11</v>
      </c>
      <c r="G108" s="54">
        <v>5</v>
      </c>
      <c r="H108" s="54">
        <v>1</v>
      </c>
      <c r="I108" s="55">
        <v>368863527</v>
      </c>
      <c r="J108" s="55">
        <v>72037031</v>
      </c>
      <c r="K108" s="55">
        <v>103000306</v>
      </c>
      <c r="L108" s="55">
        <v>9324129</v>
      </c>
    </row>
    <row r="109" spans="2:12" x14ac:dyDescent="0.3">
      <c r="B109" s="26"/>
      <c r="C109" s="26"/>
      <c r="D109" s="38" t="s">
        <v>21</v>
      </c>
      <c r="E109" s="28">
        <v>68</v>
      </c>
      <c r="F109" s="29">
        <v>7</v>
      </c>
      <c r="G109" s="29">
        <v>5</v>
      </c>
      <c r="H109" s="29">
        <v>1</v>
      </c>
      <c r="I109" s="30">
        <v>368863527</v>
      </c>
      <c r="J109" s="30">
        <v>69723431</v>
      </c>
      <c r="K109" s="30">
        <v>103000306</v>
      </c>
      <c r="L109" s="30">
        <v>9324129</v>
      </c>
    </row>
    <row r="110" spans="2:12" x14ac:dyDescent="0.3">
      <c r="B110" s="26"/>
      <c r="C110" s="26"/>
      <c r="D110" s="38" t="s">
        <v>22</v>
      </c>
      <c r="E110" s="28">
        <v>0</v>
      </c>
      <c r="F110" s="29">
        <v>4</v>
      </c>
      <c r="G110" s="29">
        <v>0</v>
      </c>
      <c r="H110" s="29">
        <v>0</v>
      </c>
      <c r="I110" s="33">
        <v>0</v>
      </c>
      <c r="J110" s="30">
        <v>2313600</v>
      </c>
      <c r="K110" s="33">
        <v>0</v>
      </c>
      <c r="L110" s="33">
        <v>0</v>
      </c>
    </row>
    <row r="111" spans="2:12" x14ac:dyDescent="0.3">
      <c r="B111" s="39">
        <v>7</v>
      </c>
      <c r="C111" s="39" t="s">
        <v>42</v>
      </c>
      <c r="D111" s="18" t="s">
        <v>14</v>
      </c>
      <c r="E111" s="19">
        <v>10</v>
      </c>
      <c r="F111" s="40">
        <v>0</v>
      </c>
      <c r="G111" s="40">
        <v>65</v>
      </c>
      <c r="H111" s="40">
        <v>0</v>
      </c>
      <c r="I111" s="45">
        <v>560421192</v>
      </c>
      <c r="J111" s="41" t="s">
        <v>43</v>
      </c>
      <c r="K111" s="45">
        <v>2609955106</v>
      </c>
      <c r="L111" s="41" t="s">
        <v>39</v>
      </c>
    </row>
    <row r="112" spans="2:12" x14ac:dyDescent="0.3">
      <c r="B112" s="39"/>
      <c r="C112" s="39"/>
      <c r="D112" s="18" t="s">
        <v>16</v>
      </c>
      <c r="E112" s="19">
        <v>217</v>
      </c>
      <c r="F112" s="40">
        <v>29</v>
      </c>
      <c r="G112" s="40">
        <v>0</v>
      </c>
      <c r="H112" s="40">
        <v>0</v>
      </c>
      <c r="I112" s="45">
        <v>3018706408</v>
      </c>
      <c r="J112" s="45">
        <v>363847487</v>
      </c>
      <c r="K112" s="41" t="s">
        <v>38</v>
      </c>
      <c r="L112" s="41" t="s">
        <v>39</v>
      </c>
    </row>
    <row r="113" spans="2:12" x14ac:dyDescent="0.3">
      <c r="B113" s="39"/>
      <c r="C113" s="39"/>
      <c r="D113" s="18" t="s">
        <v>17</v>
      </c>
      <c r="E113" s="19">
        <v>1203</v>
      </c>
      <c r="F113" s="40">
        <v>26</v>
      </c>
      <c r="G113" s="40">
        <v>1</v>
      </c>
      <c r="H113" s="40">
        <v>0</v>
      </c>
      <c r="I113" s="45">
        <v>9999452071</v>
      </c>
      <c r="J113" s="45">
        <v>160668110</v>
      </c>
      <c r="K113" s="45">
        <v>9131581</v>
      </c>
      <c r="L113" s="41" t="s">
        <v>39</v>
      </c>
    </row>
    <row r="114" spans="2:12" x14ac:dyDescent="0.3">
      <c r="B114" s="39"/>
      <c r="C114" s="39"/>
      <c r="D114" s="18" t="s">
        <v>18</v>
      </c>
      <c r="E114" s="19">
        <v>31</v>
      </c>
      <c r="F114" s="40">
        <v>1</v>
      </c>
      <c r="G114" s="40">
        <v>0</v>
      </c>
      <c r="H114" s="40">
        <v>0</v>
      </c>
      <c r="I114" s="45">
        <v>218330982</v>
      </c>
      <c r="J114" s="45">
        <v>21412689</v>
      </c>
      <c r="K114" s="41" t="s">
        <v>38</v>
      </c>
      <c r="L114" s="41" t="s">
        <v>39</v>
      </c>
    </row>
    <row r="115" spans="2:12" x14ac:dyDescent="0.3">
      <c r="B115" s="39"/>
      <c r="C115" s="39"/>
      <c r="D115" s="21" t="s">
        <v>19</v>
      </c>
      <c r="E115" s="22">
        <v>1461</v>
      </c>
      <c r="F115" s="56">
        <v>56</v>
      </c>
      <c r="G115" s="56">
        <v>66</v>
      </c>
      <c r="H115" s="56">
        <v>0</v>
      </c>
      <c r="I115" s="57">
        <v>13796910653</v>
      </c>
      <c r="J115" s="57">
        <v>545928286</v>
      </c>
      <c r="K115" s="57">
        <v>2619086687</v>
      </c>
      <c r="L115" s="52" t="s">
        <v>39</v>
      </c>
    </row>
    <row r="116" spans="2:12" x14ac:dyDescent="0.3">
      <c r="B116" s="39"/>
      <c r="C116" s="39"/>
      <c r="D116" s="24" t="s">
        <v>21</v>
      </c>
      <c r="E116" s="19">
        <v>1461</v>
      </c>
      <c r="F116" s="40">
        <v>56</v>
      </c>
      <c r="G116" s="40">
        <v>66</v>
      </c>
      <c r="H116" s="40">
        <v>0</v>
      </c>
      <c r="I116" s="45">
        <v>13796910653</v>
      </c>
      <c r="J116" s="45">
        <v>545928286</v>
      </c>
      <c r="K116" s="45">
        <v>2619086687</v>
      </c>
      <c r="L116" s="41" t="s">
        <v>39</v>
      </c>
    </row>
    <row r="117" spans="2:12" x14ac:dyDescent="0.3">
      <c r="B117" s="39"/>
      <c r="C117" s="39"/>
      <c r="D117" s="24" t="s">
        <v>22</v>
      </c>
      <c r="E117" s="19"/>
      <c r="F117" s="40">
        <v>0</v>
      </c>
      <c r="G117" s="40">
        <v>0</v>
      </c>
      <c r="H117" s="40">
        <v>0</v>
      </c>
      <c r="I117" s="45">
        <v>2614766496</v>
      </c>
      <c r="J117" s="41" t="s">
        <v>43</v>
      </c>
      <c r="K117" s="41" t="s">
        <v>38</v>
      </c>
      <c r="L117" s="41" t="s">
        <v>39</v>
      </c>
    </row>
    <row r="118" spans="2:12" x14ac:dyDescent="0.3">
      <c r="B118" s="26">
        <v>8</v>
      </c>
      <c r="C118" s="26" t="s">
        <v>44</v>
      </c>
      <c r="D118" s="27" t="s">
        <v>14</v>
      </c>
      <c r="E118" s="28">
        <v>13</v>
      </c>
      <c r="F118" s="29">
        <v>1</v>
      </c>
      <c r="G118" s="29">
        <v>10</v>
      </c>
      <c r="H118" s="29">
        <v>2</v>
      </c>
      <c r="I118" s="30">
        <v>354470717</v>
      </c>
      <c r="J118" s="30">
        <v>65958296</v>
      </c>
      <c r="K118" s="30">
        <v>1268334518</v>
      </c>
      <c r="L118" s="33" t="s">
        <v>39</v>
      </c>
    </row>
    <row r="119" spans="2:12" x14ac:dyDescent="0.3">
      <c r="B119" s="26"/>
      <c r="C119" s="26"/>
      <c r="D119" s="27" t="s">
        <v>16</v>
      </c>
      <c r="E119" s="28">
        <v>63</v>
      </c>
      <c r="F119" s="29">
        <v>7</v>
      </c>
      <c r="G119" s="29">
        <v>0</v>
      </c>
      <c r="H119" s="29">
        <v>0</v>
      </c>
      <c r="I119" s="30">
        <v>842089842</v>
      </c>
      <c r="J119" s="30">
        <v>85285354</v>
      </c>
      <c r="K119" s="33" t="s">
        <v>38</v>
      </c>
      <c r="L119" s="33" t="s">
        <v>39</v>
      </c>
    </row>
    <row r="120" spans="2:12" x14ac:dyDescent="0.3">
      <c r="B120" s="26"/>
      <c r="C120" s="26"/>
      <c r="D120" s="27" t="s">
        <v>17</v>
      </c>
      <c r="E120" s="28">
        <v>91</v>
      </c>
      <c r="F120" s="29">
        <v>19</v>
      </c>
      <c r="G120" s="29">
        <v>0</v>
      </c>
      <c r="H120" s="29">
        <v>0</v>
      </c>
      <c r="I120" s="30">
        <v>695949000</v>
      </c>
      <c r="J120" s="30">
        <v>123840552</v>
      </c>
      <c r="K120" s="33" t="s">
        <v>38</v>
      </c>
      <c r="L120" s="33" t="s">
        <v>39</v>
      </c>
    </row>
    <row r="121" spans="2:12" x14ac:dyDescent="0.3">
      <c r="B121" s="26"/>
      <c r="C121" s="26"/>
      <c r="D121" s="27" t="s">
        <v>18</v>
      </c>
      <c r="E121" s="28">
        <v>48</v>
      </c>
      <c r="F121" s="29">
        <v>1</v>
      </c>
      <c r="G121" s="29">
        <v>0</v>
      </c>
      <c r="H121" s="29">
        <v>0</v>
      </c>
      <c r="I121" s="30">
        <v>260494525</v>
      </c>
      <c r="J121" s="30">
        <v>6759090</v>
      </c>
      <c r="K121" s="33" t="s">
        <v>38</v>
      </c>
      <c r="L121" s="33" t="s">
        <v>39</v>
      </c>
    </row>
    <row r="122" spans="2:12" x14ac:dyDescent="0.3">
      <c r="B122" s="26"/>
      <c r="C122" s="26"/>
      <c r="D122" s="35" t="s">
        <v>19</v>
      </c>
      <c r="E122" s="54">
        <v>215</v>
      </c>
      <c r="F122" s="54">
        <v>28</v>
      </c>
      <c r="G122" s="54">
        <v>10</v>
      </c>
      <c r="H122" s="54">
        <v>2</v>
      </c>
      <c r="I122" s="55">
        <v>2153004084</v>
      </c>
      <c r="J122" s="55">
        <v>281843292</v>
      </c>
      <c r="K122" s="55">
        <v>1268334518</v>
      </c>
      <c r="L122" s="53" t="s">
        <v>39</v>
      </c>
    </row>
    <row r="123" spans="2:12" x14ac:dyDescent="0.3">
      <c r="B123" s="26"/>
      <c r="C123" s="26"/>
      <c r="D123" s="38" t="s">
        <v>21</v>
      </c>
      <c r="E123" s="28">
        <v>215</v>
      </c>
      <c r="F123" s="29">
        <v>28</v>
      </c>
      <c r="G123" s="29">
        <v>10</v>
      </c>
      <c r="H123" s="29">
        <v>2</v>
      </c>
      <c r="I123" s="30">
        <v>2153004084</v>
      </c>
      <c r="J123" s="30">
        <v>281843292</v>
      </c>
      <c r="K123" s="30">
        <v>1268334518</v>
      </c>
      <c r="L123" s="33" t="s">
        <v>39</v>
      </c>
    </row>
    <row r="124" spans="2:12" x14ac:dyDescent="0.3">
      <c r="B124" s="26"/>
      <c r="C124" s="26"/>
      <c r="D124" s="38" t="s">
        <v>22</v>
      </c>
      <c r="E124" s="28"/>
      <c r="F124" s="29">
        <v>0</v>
      </c>
      <c r="G124" s="29">
        <v>0</v>
      </c>
      <c r="H124" s="29">
        <v>0</v>
      </c>
      <c r="I124" s="30">
        <v>2164132520</v>
      </c>
      <c r="J124" s="33" t="s">
        <v>43</v>
      </c>
      <c r="K124" s="33" t="s">
        <v>38</v>
      </c>
      <c r="L124" s="33" t="s">
        <v>39</v>
      </c>
    </row>
    <row r="125" spans="2:12" x14ac:dyDescent="0.3">
      <c r="B125" s="39">
        <v>9</v>
      </c>
      <c r="C125" s="39" t="s">
        <v>45</v>
      </c>
      <c r="D125" s="18" t="s">
        <v>14</v>
      </c>
      <c r="E125" s="19">
        <v>38</v>
      </c>
      <c r="F125" s="40">
        <v>3</v>
      </c>
      <c r="G125" s="40">
        <v>49</v>
      </c>
      <c r="H125" s="40">
        <v>4</v>
      </c>
      <c r="I125" s="45">
        <v>381000000</v>
      </c>
      <c r="J125" s="45">
        <v>30000000</v>
      </c>
      <c r="K125" s="45">
        <v>5490000000</v>
      </c>
      <c r="L125" s="45">
        <v>448000000</v>
      </c>
    </row>
    <row r="126" spans="2:12" x14ac:dyDescent="0.3">
      <c r="B126" s="39"/>
      <c r="C126" s="39"/>
      <c r="D126" s="18" t="s">
        <v>16</v>
      </c>
      <c r="E126" s="19">
        <v>0</v>
      </c>
      <c r="F126" s="40">
        <v>0</v>
      </c>
      <c r="G126" s="40">
        <v>0</v>
      </c>
      <c r="H126" s="40">
        <v>0</v>
      </c>
      <c r="I126" s="41">
        <v>0</v>
      </c>
      <c r="J126" s="41">
        <v>0</v>
      </c>
      <c r="K126" s="41">
        <v>0</v>
      </c>
      <c r="L126" s="41">
        <v>0</v>
      </c>
    </row>
    <row r="127" spans="2:12" x14ac:dyDescent="0.3">
      <c r="B127" s="39"/>
      <c r="C127" s="39"/>
      <c r="D127" s="18" t="s">
        <v>17</v>
      </c>
      <c r="E127" s="19">
        <v>32</v>
      </c>
      <c r="F127" s="40">
        <v>8</v>
      </c>
      <c r="G127" s="40">
        <v>0</v>
      </c>
      <c r="H127" s="40">
        <v>0</v>
      </c>
      <c r="I127" s="45">
        <v>321000000</v>
      </c>
      <c r="J127" s="45">
        <v>80000000</v>
      </c>
      <c r="K127" s="41">
        <v>0</v>
      </c>
      <c r="L127" s="41">
        <v>0</v>
      </c>
    </row>
    <row r="128" spans="2:12" x14ac:dyDescent="0.3">
      <c r="B128" s="39"/>
      <c r="C128" s="39"/>
      <c r="D128" s="18" t="s">
        <v>18</v>
      </c>
      <c r="E128" s="19">
        <v>163</v>
      </c>
      <c r="F128" s="40">
        <v>9</v>
      </c>
      <c r="G128" s="40">
        <v>0</v>
      </c>
      <c r="H128" s="40">
        <v>0</v>
      </c>
      <c r="I128" s="45">
        <v>1555000000</v>
      </c>
      <c r="J128" s="45">
        <v>90000000</v>
      </c>
      <c r="K128" s="41">
        <v>0</v>
      </c>
      <c r="L128" s="41">
        <v>0</v>
      </c>
    </row>
    <row r="129" spans="2:12" x14ac:dyDescent="0.3">
      <c r="B129" s="39"/>
      <c r="C129" s="39"/>
      <c r="D129" s="21" t="s">
        <v>19</v>
      </c>
      <c r="E129" s="22">
        <v>233</v>
      </c>
      <c r="F129" s="56">
        <v>20</v>
      </c>
      <c r="G129" s="56">
        <v>49</v>
      </c>
      <c r="H129" s="56">
        <v>4</v>
      </c>
      <c r="I129" s="57">
        <v>2257000000</v>
      </c>
      <c r="J129" s="57">
        <v>200000000</v>
      </c>
      <c r="K129" s="57">
        <v>5490000000</v>
      </c>
      <c r="L129" s="57">
        <v>448000000</v>
      </c>
    </row>
    <row r="130" spans="2:12" x14ac:dyDescent="0.3">
      <c r="B130" s="39"/>
      <c r="C130" s="39"/>
      <c r="D130" s="24" t="s">
        <v>21</v>
      </c>
      <c r="E130" s="19">
        <v>225</v>
      </c>
      <c r="F130" s="40">
        <v>20</v>
      </c>
      <c r="G130" s="40">
        <v>49</v>
      </c>
      <c r="H130" s="40">
        <v>4</v>
      </c>
      <c r="I130" s="45">
        <v>2257000000</v>
      </c>
      <c r="J130" s="45">
        <v>200000000</v>
      </c>
      <c r="K130" s="45">
        <v>5490000000</v>
      </c>
      <c r="L130" s="45">
        <v>448000000</v>
      </c>
    </row>
    <row r="131" spans="2:12" x14ac:dyDescent="0.3">
      <c r="B131" s="39"/>
      <c r="C131" s="39"/>
      <c r="D131" s="24" t="s">
        <v>22</v>
      </c>
      <c r="E131" s="19">
        <v>4</v>
      </c>
      <c r="F131" s="40">
        <v>1</v>
      </c>
      <c r="G131" s="40">
        <v>0</v>
      </c>
      <c r="H131" s="40">
        <v>0</v>
      </c>
      <c r="I131" s="45">
        <v>57662022</v>
      </c>
      <c r="J131" s="45">
        <v>16560000</v>
      </c>
      <c r="K131" s="41">
        <v>0</v>
      </c>
      <c r="L131" s="41">
        <v>0</v>
      </c>
    </row>
    <row r="132" spans="2:12" x14ac:dyDescent="0.3">
      <c r="B132" s="26">
        <v>10</v>
      </c>
      <c r="C132" s="26" t="s">
        <v>46</v>
      </c>
      <c r="D132" s="27" t="s">
        <v>14</v>
      </c>
      <c r="E132" s="28">
        <v>8</v>
      </c>
      <c r="F132" s="29">
        <v>5</v>
      </c>
      <c r="G132" s="29">
        <v>6</v>
      </c>
      <c r="H132" s="29">
        <v>1</v>
      </c>
      <c r="I132" s="30">
        <v>83131925</v>
      </c>
      <c r="J132" s="30">
        <v>50094206</v>
      </c>
      <c r="K132" s="30">
        <v>208547750</v>
      </c>
      <c r="L132" s="30">
        <v>48724035</v>
      </c>
    </row>
    <row r="133" spans="2:12" x14ac:dyDescent="0.3">
      <c r="B133" s="26"/>
      <c r="C133" s="26"/>
      <c r="D133" s="27" t="s">
        <v>16</v>
      </c>
      <c r="E133" s="28">
        <v>0</v>
      </c>
      <c r="F133" s="29">
        <v>0</v>
      </c>
      <c r="G133" s="29">
        <v>0</v>
      </c>
      <c r="H133" s="29">
        <v>0</v>
      </c>
      <c r="I133" s="33">
        <v>0</v>
      </c>
      <c r="J133" s="33">
        <v>0</v>
      </c>
      <c r="K133" s="33">
        <v>0</v>
      </c>
      <c r="L133" s="33">
        <v>0</v>
      </c>
    </row>
    <row r="134" spans="2:12" x14ac:dyDescent="0.3">
      <c r="B134" s="26"/>
      <c r="C134" s="26"/>
      <c r="D134" s="27" t="s">
        <v>17</v>
      </c>
      <c r="E134" s="28">
        <v>113</v>
      </c>
      <c r="F134" s="29">
        <v>30</v>
      </c>
      <c r="G134" s="29">
        <v>0</v>
      </c>
      <c r="H134" s="29">
        <v>0</v>
      </c>
      <c r="I134" s="30">
        <v>665889045</v>
      </c>
      <c r="J134" s="30">
        <v>78773017</v>
      </c>
      <c r="K134" s="33">
        <v>0</v>
      </c>
      <c r="L134" s="33">
        <v>0</v>
      </c>
    </row>
    <row r="135" spans="2:12" x14ac:dyDescent="0.3">
      <c r="B135" s="26"/>
      <c r="C135" s="26"/>
      <c r="D135" s="27" t="s">
        <v>18</v>
      </c>
      <c r="E135" s="28">
        <v>419</v>
      </c>
      <c r="F135" s="29">
        <v>97</v>
      </c>
      <c r="G135" s="29">
        <v>0</v>
      </c>
      <c r="H135" s="29">
        <v>0</v>
      </c>
      <c r="I135" s="30">
        <v>65721864</v>
      </c>
      <c r="J135" s="30">
        <v>11323849</v>
      </c>
      <c r="K135" s="33">
        <v>0</v>
      </c>
      <c r="L135" s="33">
        <v>0</v>
      </c>
    </row>
    <row r="136" spans="2:12" x14ac:dyDescent="0.3">
      <c r="B136" s="26"/>
      <c r="C136" s="26"/>
      <c r="D136" s="35" t="s">
        <v>19</v>
      </c>
      <c r="E136" s="54">
        <v>540</v>
      </c>
      <c r="F136" s="54">
        <v>132</v>
      </c>
      <c r="G136" s="54">
        <v>6</v>
      </c>
      <c r="H136" s="54">
        <v>1</v>
      </c>
      <c r="I136" s="55">
        <v>814742834</v>
      </c>
      <c r="J136" s="55">
        <v>140191072</v>
      </c>
      <c r="K136" s="55">
        <v>208547750</v>
      </c>
      <c r="L136" s="55">
        <v>48724035</v>
      </c>
    </row>
    <row r="137" spans="2:12" x14ac:dyDescent="0.3">
      <c r="B137" s="26"/>
      <c r="C137" s="26"/>
      <c r="D137" s="38" t="s">
        <v>21</v>
      </c>
      <c r="E137" s="28">
        <v>540</v>
      </c>
      <c r="F137" s="29">
        <v>132</v>
      </c>
      <c r="G137" s="29">
        <v>6</v>
      </c>
      <c r="H137" s="29">
        <v>1</v>
      </c>
      <c r="I137" s="30">
        <v>814742834</v>
      </c>
      <c r="J137" s="30">
        <v>140191072</v>
      </c>
      <c r="K137" s="30">
        <v>208547750</v>
      </c>
      <c r="L137" s="30">
        <v>48724035</v>
      </c>
    </row>
    <row r="138" spans="2:12" x14ac:dyDescent="0.3">
      <c r="B138" s="26"/>
      <c r="C138" s="26"/>
      <c r="D138" s="38" t="s">
        <v>22</v>
      </c>
      <c r="E138" s="28">
        <v>48</v>
      </c>
      <c r="F138" s="29">
        <v>0</v>
      </c>
      <c r="G138" s="29">
        <v>0</v>
      </c>
      <c r="H138" s="29">
        <v>0</v>
      </c>
      <c r="I138" s="30">
        <v>470495698</v>
      </c>
      <c r="J138" s="33">
        <v>0</v>
      </c>
      <c r="K138" s="33">
        <v>0</v>
      </c>
      <c r="L138" s="33">
        <v>0</v>
      </c>
    </row>
    <row r="139" spans="2:12" x14ac:dyDescent="0.3">
      <c r="B139" s="39">
        <v>11</v>
      </c>
      <c r="C139" s="39" t="s">
        <v>47</v>
      </c>
      <c r="D139" s="18" t="s">
        <v>14</v>
      </c>
      <c r="E139" s="40">
        <v>2</v>
      </c>
      <c r="F139" s="40">
        <v>0</v>
      </c>
      <c r="G139" s="40">
        <v>2</v>
      </c>
      <c r="H139" s="40">
        <v>0</v>
      </c>
      <c r="I139" s="45">
        <v>153154733</v>
      </c>
      <c r="J139" s="41" t="s">
        <v>43</v>
      </c>
      <c r="K139" s="45">
        <v>326911115</v>
      </c>
      <c r="L139" s="41" t="s">
        <v>39</v>
      </c>
    </row>
    <row r="140" spans="2:12" x14ac:dyDescent="0.3">
      <c r="B140" s="39"/>
      <c r="C140" s="39"/>
      <c r="D140" s="18" t="s">
        <v>16</v>
      </c>
      <c r="E140" s="40">
        <v>11</v>
      </c>
      <c r="F140" s="40">
        <v>5</v>
      </c>
      <c r="G140" s="40">
        <v>2</v>
      </c>
      <c r="H140" s="40">
        <v>0</v>
      </c>
      <c r="I140" s="45">
        <v>141076111</v>
      </c>
      <c r="J140" s="45">
        <v>74480932</v>
      </c>
      <c r="K140" s="45">
        <v>140424041</v>
      </c>
      <c r="L140" s="41" t="s">
        <v>39</v>
      </c>
    </row>
    <row r="141" spans="2:12" x14ac:dyDescent="0.3">
      <c r="B141" s="39"/>
      <c r="C141" s="39"/>
      <c r="D141" s="18" t="s">
        <v>17</v>
      </c>
      <c r="E141" s="40">
        <v>18</v>
      </c>
      <c r="F141" s="40">
        <v>1</v>
      </c>
      <c r="G141" s="40">
        <v>1</v>
      </c>
      <c r="H141" s="40">
        <v>0</v>
      </c>
      <c r="I141" s="45">
        <v>59767835</v>
      </c>
      <c r="J141" s="45">
        <v>1583587</v>
      </c>
      <c r="K141" s="45">
        <v>6411748</v>
      </c>
      <c r="L141" s="41" t="s">
        <v>39</v>
      </c>
    </row>
    <row r="142" spans="2:12" x14ac:dyDescent="0.3">
      <c r="B142" s="39"/>
      <c r="C142" s="39"/>
      <c r="D142" s="18" t="s">
        <v>18</v>
      </c>
      <c r="E142" s="40">
        <v>97</v>
      </c>
      <c r="F142" s="40">
        <v>7</v>
      </c>
      <c r="G142" s="40">
        <v>0</v>
      </c>
      <c r="H142" s="40">
        <v>0</v>
      </c>
      <c r="I142" s="45">
        <v>113479537</v>
      </c>
      <c r="J142" s="45">
        <v>5741874</v>
      </c>
      <c r="K142" s="41" t="s">
        <v>38</v>
      </c>
      <c r="L142" s="41" t="s">
        <v>39</v>
      </c>
    </row>
    <row r="143" spans="2:12" x14ac:dyDescent="0.3">
      <c r="B143" s="39"/>
      <c r="C143" s="39"/>
      <c r="D143" s="21" t="s">
        <v>19</v>
      </c>
      <c r="E143" s="56">
        <v>128</v>
      </c>
      <c r="F143" s="56">
        <v>13</v>
      </c>
      <c r="G143" s="56">
        <v>5</v>
      </c>
      <c r="H143" s="56">
        <v>0</v>
      </c>
      <c r="I143" s="57">
        <v>467478216</v>
      </c>
      <c r="J143" s="57">
        <v>81806393</v>
      </c>
      <c r="K143" s="57">
        <v>473746904</v>
      </c>
      <c r="L143" s="52" t="s">
        <v>39</v>
      </c>
    </row>
    <row r="144" spans="2:12" x14ac:dyDescent="0.3">
      <c r="B144" s="39"/>
      <c r="C144" s="39"/>
      <c r="D144" s="24" t="s">
        <v>21</v>
      </c>
      <c r="E144" s="40">
        <v>51</v>
      </c>
      <c r="F144" s="40">
        <v>7</v>
      </c>
      <c r="G144" s="40"/>
      <c r="H144" s="40">
        <v>0</v>
      </c>
      <c r="I144" s="45">
        <v>867847271</v>
      </c>
      <c r="J144" s="45">
        <v>79005119</v>
      </c>
      <c r="K144" s="41" t="s">
        <v>40</v>
      </c>
      <c r="L144" s="41" t="s">
        <v>39</v>
      </c>
    </row>
    <row r="145" spans="2:12" x14ac:dyDescent="0.3">
      <c r="B145" s="39"/>
      <c r="C145" s="39"/>
      <c r="D145" s="24" t="s">
        <v>22</v>
      </c>
      <c r="E145" s="40">
        <v>76</v>
      </c>
      <c r="F145" s="40">
        <v>2</v>
      </c>
      <c r="G145" s="40"/>
      <c r="H145" s="40">
        <v>0</v>
      </c>
      <c r="I145" s="45">
        <v>71669483</v>
      </c>
      <c r="J145" s="45">
        <v>1897769</v>
      </c>
      <c r="K145" s="41" t="s">
        <v>40</v>
      </c>
      <c r="L145" s="41" t="s">
        <v>39</v>
      </c>
    </row>
    <row r="146" spans="2:12" x14ac:dyDescent="0.3">
      <c r="B146" s="26">
        <v>12</v>
      </c>
      <c r="C146" s="26" t="s">
        <v>48</v>
      </c>
      <c r="D146" s="27" t="s">
        <v>14</v>
      </c>
      <c r="E146" s="28">
        <v>6</v>
      </c>
      <c r="F146" s="29">
        <v>0</v>
      </c>
      <c r="G146" s="29">
        <v>0</v>
      </c>
      <c r="H146" s="29">
        <v>0</v>
      </c>
      <c r="I146" s="30">
        <v>127393208</v>
      </c>
      <c r="J146" s="31" t="s">
        <v>43</v>
      </c>
      <c r="K146" s="31" t="s">
        <v>38</v>
      </c>
      <c r="L146" s="31" t="s">
        <v>39</v>
      </c>
    </row>
    <row r="147" spans="2:12" x14ac:dyDescent="0.3">
      <c r="B147" s="26"/>
      <c r="C147" s="26"/>
      <c r="D147" s="27" t="s">
        <v>16</v>
      </c>
      <c r="E147" s="28">
        <v>4</v>
      </c>
      <c r="F147" s="29">
        <v>0</v>
      </c>
      <c r="G147" s="29">
        <v>0</v>
      </c>
      <c r="H147" s="29">
        <v>0</v>
      </c>
      <c r="I147" s="30">
        <v>78358679</v>
      </c>
      <c r="J147" s="31" t="s">
        <v>43</v>
      </c>
      <c r="K147" s="31" t="s">
        <v>38</v>
      </c>
      <c r="L147" s="31" t="s">
        <v>39</v>
      </c>
    </row>
    <row r="148" spans="2:12" x14ac:dyDescent="0.3">
      <c r="B148" s="26"/>
      <c r="C148" s="26"/>
      <c r="D148" s="27" t="s">
        <v>17</v>
      </c>
      <c r="E148" s="28">
        <v>3</v>
      </c>
      <c r="F148" s="29">
        <v>0</v>
      </c>
      <c r="G148" s="29">
        <v>0</v>
      </c>
      <c r="H148" s="29">
        <v>0</v>
      </c>
      <c r="I148" s="30">
        <v>27037086</v>
      </c>
      <c r="J148" s="31" t="s">
        <v>43</v>
      </c>
      <c r="K148" s="31" t="s">
        <v>38</v>
      </c>
      <c r="L148" s="31" t="s">
        <v>39</v>
      </c>
    </row>
    <row r="149" spans="2:12" x14ac:dyDescent="0.3">
      <c r="B149" s="26"/>
      <c r="C149" s="26"/>
      <c r="D149" s="27" t="s">
        <v>18</v>
      </c>
      <c r="E149" s="28">
        <v>6</v>
      </c>
      <c r="F149" s="29">
        <v>0</v>
      </c>
      <c r="G149" s="29">
        <v>0</v>
      </c>
      <c r="H149" s="29">
        <v>0</v>
      </c>
      <c r="I149" s="30">
        <v>23912682</v>
      </c>
      <c r="J149" s="31" t="s">
        <v>43</v>
      </c>
      <c r="K149" s="31" t="s">
        <v>38</v>
      </c>
      <c r="L149" s="31" t="s">
        <v>39</v>
      </c>
    </row>
    <row r="150" spans="2:12" x14ac:dyDescent="0.3">
      <c r="B150" s="26"/>
      <c r="C150" s="26"/>
      <c r="D150" s="35" t="s">
        <v>19</v>
      </c>
      <c r="E150" s="54">
        <v>19</v>
      </c>
      <c r="F150" s="54">
        <v>0</v>
      </c>
      <c r="G150" s="54">
        <v>0</v>
      </c>
      <c r="H150" s="54">
        <v>0</v>
      </c>
      <c r="I150" s="55">
        <v>256701655</v>
      </c>
      <c r="J150" s="53" t="s">
        <v>43</v>
      </c>
      <c r="K150" s="53" t="s">
        <v>38</v>
      </c>
      <c r="L150" s="53" t="s">
        <v>39</v>
      </c>
    </row>
    <row r="151" spans="2:12" x14ac:dyDescent="0.3">
      <c r="B151" s="26"/>
      <c r="C151" s="26"/>
      <c r="D151" s="38" t="s">
        <v>21</v>
      </c>
      <c r="E151" s="28">
        <v>19</v>
      </c>
      <c r="F151" s="29">
        <v>0</v>
      </c>
      <c r="G151" s="29">
        <v>0</v>
      </c>
      <c r="H151" s="29">
        <v>0</v>
      </c>
      <c r="I151" s="30">
        <v>256701655</v>
      </c>
      <c r="J151" s="31" t="s">
        <v>43</v>
      </c>
      <c r="K151" s="31" t="s">
        <v>38</v>
      </c>
      <c r="L151" s="31" t="s">
        <v>39</v>
      </c>
    </row>
    <row r="152" spans="2:12" x14ac:dyDescent="0.3">
      <c r="B152" s="26"/>
      <c r="C152" s="26"/>
      <c r="D152" s="38" t="s">
        <v>22</v>
      </c>
      <c r="E152" s="28">
        <v>0</v>
      </c>
      <c r="F152" s="29">
        <v>0</v>
      </c>
      <c r="G152" s="29">
        <v>0</v>
      </c>
      <c r="H152" s="29">
        <v>0</v>
      </c>
      <c r="I152" s="33">
        <v>0</v>
      </c>
      <c r="J152" s="31" t="s">
        <v>43</v>
      </c>
      <c r="K152" s="31" t="s">
        <v>38</v>
      </c>
      <c r="L152" s="31" t="s">
        <v>39</v>
      </c>
    </row>
    <row r="153" spans="2:12" x14ac:dyDescent="0.3">
      <c r="B153" s="39">
        <v>13</v>
      </c>
      <c r="C153" s="39" t="s">
        <v>49</v>
      </c>
      <c r="D153" s="18" t="s">
        <v>14</v>
      </c>
      <c r="E153" s="19">
        <v>2</v>
      </c>
      <c r="F153" s="19">
        <v>0</v>
      </c>
      <c r="G153" s="19">
        <v>0</v>
      </c>
      <c r="H153" s="19">
        <v>0</v>
      </c>
      <c r="I153" s="60">
        <v>32045727</v>
      </c>
      <c r="J153" s="60">
        <v>0</v>
      </c>
      <c r="K153" s="60">
        <v>0</v>
      </c>
      <c r="L153" s="60">
        <v>0</v>
      </c>
    </row>
    <row r="154" spans="2:12" x14ac:dyDescent="0.3">
      <c r="B154" s="39"/>
      <c r="C154" s="39"/>
      <c r="D154" s="18" t="s">
        <v>16</v>
      </c>
      <c r="E154" s="19">
        <v>7</v>
      </c>
      <c r="F154" s="19">
        <v>4</v>
      </c>
      <c r="G154" s="19">
        <v>1</v>
      </c>
      <c r="H154" s="19">
        <v>0</v>
      </c>
      <c r="I154" s="60">
        <v>52581309</v>
      </c>
      <c r="J154" s="60">
        <v>35767761</v>
      </c>
      <c r="K154" s="60">
        <v>15305881</v>
      </c>
      <c r="L154" s="60">
        <v>0</v>
      </c>
    </row>
    <row r="155" spans="2:12" x14ac:dyDescent="0.3">
      <c r="B155" s="39"/>
      <c r="C155" s="39"/>
      <c r="D155" s="18" t="s">
        <v>17</v>
      </c>
      <c r="E155" s="19">
        <v>26</v>
      </c>
      <c r="F155" s="19">
        <v>3</v>
      </c>
      <c r="G155" s="19">
        <v>0</v>
      </c>
      <c r="H155" s="19">
        <v>0</v>
      </c>
      <c r="I155" s="60">
        <v>133553926</v>
      </c>
      <c r="J155" s="60">
        <v>14872709</v>
      </c>
      <c r="K155" s="60">
        <v>0</v>
      </c>
      <c r="L155" s="60">
        <v>0</v>
      </c>
    </row>
    <row r="156" spans="2:12" x14ac:dyDescent="0.3">
      <c r="B156" s="39"/>
      <c r="C156" s="39"/>
      <c r="D156" s="18" t="s">
        <v>18</v>
      </c>
      <c r="E156" s="19">
        <v>54</v>
      </c>
      <c r="F156" s="19">
        <v>1</v>
      </c>
      <c r="G156" s="19">
        <v>0</v>
      </c>
      <c r="H156" s="19">
        <v>0</v>
      </c>
      <c r="I156" s="60">
        <v>210365814</v>
      </c>
      <c r="J156" s="60">
        <v>2595237</v>
      </c>
      <c r="K156" s="60">
        <v>0</v>
      </c>
      <c r="L156" s="60">
        <v>0</v>
      </c>
    </row>
    <row r="157" spans="2:12" x14ac:dyDescent="0.3">
      <c r="B157" s="39"/>
      <c r="C157" s="39"/>
      <c r="D157" s="21" t="s">
        <v>19</v>
      </c>
      <c r="E157" s="22">
        <f t="shared" ref="E157:L157" si="8">E153+E154+E155+E156</f>
        <v>89</v>
      </c>
      <c r="F157" s="22">
        <f t="shared" si="8"/>
        <v>8</v>
      </c>
      <c r="G157" s="22">
        <f t="shared" si="8"/>
        <v>1</v>
      </c>
      <c r="H157" s="22">
        <f t="shared" si="8"/>
        <v>0</v>
      </c>
      <c r="I157" s="61">
        <f t="shared" si="8"/>
        <v>428546776</v>
      </c>
      <c r="J157" s="61">
        <f t="shared" si="8"/>
        <v>53235707</v>
      </c>
      <c r="K157" s="61">
        <f t="shared" si="8"/>
        <v>15305881</v>
      </c>
      <c r="L157" s="61">
        <f t="shared" si="8"/>
        <v>0</v>
      </c>
    </row>
    <row r="158" spans="2:12" x14ac:dyDescent="0.3">
      <c r="B158" s="39"/>
      <c r="C158" s="39"/>
      <c r="D158" s="24" t="s">
        <v>21</v>
      </c>
      <c r="E158" s="19">
        <v>89</v>
      </c>
      <c r="F158" s="19">
        <v>8</v>
      </c>
      <c r="G158" s="19">
        <v>1</v>
      </c>
      <c r="H158" s="19">
        <v>0</v>
      </c>
      <c r="I158" s="60">
        <v>428546776</v>
      </c>
      <c r="J158" s="60">
        <v>53235707</v>
      </c>
      <c r="K158" s="60">
        <v>15305881</v>
      </c>
      <c r="L158" s="60">
        <v>0</v>
      </c>
    </row>
    <row r="159" spans="2:12" x14ac:dyDescent="0.3">
      <c r="B159" s="39"/>
      <c r="C159" s="39"/>
      <c r="D159" s="24" t="s">
        <v>22</v>
      </c>
      <c r="E159" s="19">
        <v>0</v>
      </c>
      <c r="F159" s="19">
        <v>0</v>
      </c>
      <c r="G159" s="19">
        <v>0</v>
      </c>
      <c r="H159" s="19">
        <v>0</v>
      </c>
      <c r="I159" s="62">
        <v>0</v>
      </c>
      <c r="J159" s="62">
        <v>0</v>
      </c>
      <c r="K159" s="62">
        <v>0</v>
      </c>
      <c r="L159" s="62">
        <v>0</v>
      </c>
    </row>
    <row r="160" spans="2:12" x14ac:dyDescent="0.3">
      <c r="B160" s="26">
        <v>14</v>
      </c>
      <c r="C160" s="26" t="s">
        <v>50</v>
      </c>
      <c r="D160" s="27" t="s">
        <v>14</v>
      </c>
      <c r="E160" s="29" t="s">
        <v>51</v>
      </c>
      <c r="F160" s="29" t="s">
        <v>51</v>
      </c>
      <c r="G160" s="29" t="s">
        <v>51</v>
      </c>
      <c r="H160" s="29" t="s">
        <v>51</v>
      </c>
      <c r="I160" s="33" t="s">
        <v>51</v>
      </c>
      <c r="J160" s="33" t="s">
        <v>51</v>
      </c>
      <c r="K160" s="33" t="s">
        <v>51</v>
      </c>
      <c r="L160" s="33" t="s">
        <v>51</v>
      </c>
    </row>
    <row r="161" spans="2:12" x14ac:dyDescent="0.3">
      <c r="B161" s="26"/>
      <c r="C161" s="26"/>
      <c r="D161" s="27" t="s">
        <v>16</v>
      </c>
      <c r="E161" s="29" t="s">
        <v>51</v>
      </c>
      <c r="F161" s="29" t="s">
        <v>51</v>
      </c>
      <c r="G161" s="29" t="s">
        <v>51</v>
      </c>
      <c r="H161" s="29" t="s">
        <v>51</v>
      </c>
      <c r="I161" s="33" t="s">
        <v>51</v>
      </c>
      <c r="J161" s="33" t="s">
        <v>51</v>
      </c>
      <c r="K161" s="33" t="s">
        <v>51</v>
      </c>
      <c r="L161" s="33" t="s">
        <v>51</v>
      </c>
    </row>
    <row r="162" spans="2:12" x14ac:dyDescent="0.3">
      <c r="B162" s="26"/>
      <c r="C162" s="26"/>
      <c r="D162" s="27" t="s">
        <v>17</v>
      </c>
      <c r="E162" s="29" t="s">
        <v>51</v>
      </c>
      <c r="F162" s="29" t="s">
        <v>51</v>
      </c>
      <c r="G162" s="29" t="s">
        <v>51</v>
      </c>
      <c r="H162" s="29" t="s">
        <v>51</v>
      </c>
      <c r="I162" s="33" t="s">
        <v>51</v>
      </c>
      <c r="J162" s="33" t="s">
        <v>51</v>
      </c>
      <c r="K162" s="33" t="s">
        <v>51</v>
      </c>
      <c r="L162" s="33" t="s">
        <v>51</v>
      </c>
    </row>
    <row r="163" spans="2:12" x14ac:dyDescent="0.3">
      <c r="B163" s="26"/>
      <c r="C163" s="26"/>
      <c r="D163" s="27" t="s">
        <v>18</v>
      </c>
      <c r="E163" s="29" t="s">
        <v>51</v>
      </c>
      <c r="F163" s="29" t="s">
        <v>51</v>
      </c>
      <c r="G163" s="29" t="s">
        <v>51</v>
      </c>
      <c r="H163" s="29" t="s">
        <v>51</v>
      </c>
      <c r="I163" s="33" t="s">
        <v>51</v>
      </c>
      <c r="J163" s="33" t="s">
        <v>51</v>
      </c>
      <c r="K163" s="33" t="s">
        <v>51</v>
      </c>
      <c r="L163" s="33" t="s">
        <v>51</v>
      </c>
    </row>
    <row r="164" spans="2:12" x14ac:dyDescent="0.3">
      <c r="B164" s="26"/>
      <c r="C164" s="26"/>
      <c r="D164" s="35" t="s">
        <v>19</v>
      </c>
      <c r="E164" s="54" t="s">
        <v>51</v>
      </c>
      <c r="F164" s="54" t="s">
        <v>51</v>
      </c>
      <c r="G164" s="54" t="s">
        <v>51</v>
      </c>
      <c r="H164" s="54" t="s">
        <v>51</v>
      </c>
      <c r="I164" s="53" t="s">
        <v>51</v>
      </c>
      <c r="J164" s="53" t="s">
        <v>51</v>
      </c>
      <c r="K164" s="53" t="s">
        <v>51</v>
      </c>
      <c r="L164" s="53" t="s">
        <v>51</v>
      </c>
    </row>
    <row r="165" spans="2:12" x14ac:dyDescent="0.3">
      <c r="B165" s="26"/>
      <c r="C165" s="26"/>
      <c r="D165" s="38" t="s">
        <v>21</v>
      </c>
      <c r="E165" s="29" t="s">
        <v>51</v>
      </c>
      <c r="F165" s="29" t="s">
        <v>51</v>
      </c>
      <c r="G165" s="29" t="s">
        <v>51</v>
      </c>
      <c r="H165" s="29" t="s">
        <v>51</v>
      </c>
      <c r="I165" s="33" t="s">
        <v>51</v>
      </c>
      <c r="J165" s="33" t="s">
        <v>51</v>
      </c>
      <c r="K165" s="33" t="s">
        <v>51</v>
      </c>
      <c r="L165" s="33" t="s">
        <v>51</v>
      </c>
    </row>
    <row r="166" spans="2:12" x14ac:dyDescent="0.3">
      <c r="B166" s="26"/>
      <c r="C166" s="26"/>
      <c r="D166" s="38" t="s">
        <v>22</v>
      </c>
      <c r="E166" s="29" t="s">
        <v>51</v>
      </c>
      <c r="F166" s="29" t="s">
        <v>51</v>
      </c>
      <c r="G166" s="29" t="s">
        <v>51</v>
      </c>
      <c r="H166" s="29" t="s">
        <v>51</v>
      </c>
      <c r="I166" s="33" t="s">
        <v>51</v>
      </c>
      <c r="J166" s="33" t="s">
        <v>51</v>
      </c>
      <c r="K166" s="33" t="s">
        <v>51</v>
      </c>
      <c r="L166" s="33" t="s">
        <v>51</v>
      </c>
    </row>
    <row r="167" spans="2:12" x14ac:dyDescent="0.3">
      <c r="B167" s="39">
        <v>15</v>
      </c>
      <c r="C167" s="39" t="s">
        <v>52</v>
      </c>
      <c r="D167" s="18" t="s">
        <v>14</v>
      </c>
      <c r="E167" s="19">
        <v>2</v>
      </c>
      <c r="F167" s="40">
        <v>0</v>
      </c>
      <c r="G167" s="40">
        <v>1</v>
      </c>
      <c r="H167" s="40">
        <v>0</v>
      </c>
      <c r="I167" s="45">
        <v>56316970</v>
      </c>
      <c r="J167" s="41" t="s">
        <v>43</v>
      </c>
      <c r="K167" s="45">
        <v>54609634</v>
      </c>
      <c r="L167" s="41" t="s">
        <v>39</v>
      </c>
    </row>
    <row r="168" spans="2:12" x14ac:dyDescent="0.3">
      <c r="B168" s="39"/>
      <c r="C168" s="39"/>
      <c r="D168" s="18" t="s">
        <v>16</v>
      </c>
      <c r="E168" s="19">
        <v>4</v>
      </c>
      <c r="F168" s="40">
        <v>2</v>
      </c>
      <c r="G168" s="40">
        <v>0</v>
      </c>
      <c r="H168" s="40">
        <v>0</v>
      </c>
      <c r="I168" s="45">
        <v>44441708</v>
      </c>
      <c r="J168" s="45">
        <v>25895339</v>
      </c>
      <c r="K168" s="41">
        <v>0</v>
      </c>
      <c r="L168" s="41" t="s">
        <v>39</v>
      </c>
    </row>
    <row r="169" spans="2:12" x14ac:dyDescent="0.3">
      <c r="B169" s="39"/>
      <c r="C169" s="39"/>
      <c r="D169" s="18" t="s">
        <v>17</v>
      </c>
      <c r="E169" s="19">
        <v>1</v>
      </c>
      <c r="F169" s="40">
        <v>0</v>
      </c>
      <c r="G169" s="40">
        <v>0</v>
      </c>
      <c r="H169" s="40">
        <v>0</v>
      </c>
      <c r="I169" s="45">
        <v>6583013</v>
      </c>
      <c r="J169" s="41">
        <v>0</v>
      </c>
      <c r="K169" s="41">
        <v>0</v>
      </c>
      <c r="L169" s="41" t="s">
        <v>39</v>
      </c>
    </row>
    <row r="170" spans="2:12" x14ac:dyDescent="0.3">
      <c r="B170" s="39"/>
      <c r="C170" s="39"/>
      <c r="D170" s="18" t="s">
        <v>18</v>
      </c>
      <c r="E170" s="19">
        <v>3</v>
      </c>
      <c r="F170" s="40">
        <v>0</v>
      </c>
      <c r="G170" s="40">
        <v>0</v>
      </c>
      <c r="H170" s="40">
        <v>0</v>
      </c>
      <c r="I170" s="45">
        <v>11110400</v>
      </c>
      <c r="J170" s="41" t="s">
        <v>43</v>
      </c>
      <c r="K170" s="41" t="s">
        <v>38</v>
      </c>
      <c r="L170" s="41" t="s">
        <v>39</v>
      </c>
    </row>
    <row r="171" spans="2:12" x14ac:dyDescent="0.3">
      <c r="B171" s="39"/>
      <c r="C171" s="39"/>
      <c r="D171" s="21" t="s">
        <v>19</v>
      </c>
      <c r="E171" s="22">
        <v>10</v>
      </c>
      <c r="F171" s="56">
        <v>2</v>
      </c>
      <c r="G171" s="56">
        <v>1</v>
      </c>
      <c r="H171" s="56">
        <v>0</v>
      </c>
      <c r="I171" s="57">
        <v>118452091</v>
      </c>
      <c r="J171" s="57">
        <v>25895339</v>
      </c>
      <c r="K171" s="57">
        <v>54609634</v>
      </c>
      <c r="L171" s="52" t="s">
        <v>39</v>
      </c>
    </row>
    <row r="172" spans="2:12" x14ac:dyDescent="0.3">
      <c r="B172" s="39"/>
      <c r="C172" s="39"/>
      <c r="D172" s="24" t="s">
        <v>21</v>
      </c>
      <c r="E172" s="19">
        <v>10</v>
      </c>
      <c r="F172" s="19">
        <v>2</v>
      </c>
      <c r="G172" s="19">
        <v>1</v>
      </c>
      <c r="H172" s="19">
        <v>0</v>
      </c>
      <c r="I172" s="20"/>
      <c r="J172" s="20"/>
      <c r="K172" s="20"/>
      <c r="L172" s="20"/>
    </row>
    <row r="173" spans="2:12" x14ac:dyDescent="0.3">
      <c r="B173" s="39"/>
      <c r="C173" s="39"/>
      <c r="D173" s="24" t="s">
        <v>22</v>
      </c>
      <c r="E173" s="19"/>
      <c r="F173" s="19"/>
      <c r="G173" s="19"/>
      <c r="H173" s="19"/>
      <c r="I173" s="20"/>
      <c r="J173" s="20"/>
      <c r="K173" s="20"/>
      <c r="L173" s="20"/>
    </row>
    <row r="174" spans="2:12" x14ac:dyDescent="0.3">
      <c r="B174" s="26">
        <v>16</v>
      </c>
      <c r="C174" s="26" t="s">
        <v>53</v>
      </c>
      <c r="D174" s="27" t="s">
        <v>14</v>
      </c>
      <c r="E174" s="28">
        <v>0</v>
      </c>
      <c r="F174" s="28">
        <v>0</v>
      </c>
      <c r="G174" s="28">
        <v>0</v>
      </c>
      <c r="H174" s="28">
        <v>0</v>
      </c>
      <c r="I174" s="31" t="s">
        <v>43</v>
      </c>
      <c r="J174" s="31" t="s">
        <v>43</v>
      </c>
      <c r="K174" s="31" t="s">
        <v>38</v>
      </c>
      <c r="L174" s="31" t="s">
        <v>39</v>
      </c>
    </row>
    <row r="175" spans="2:12" x14ac:dyDescent="0.3">
      <c r="B175" s="26"/>
      <c r="C175" s="26"/>
      <c r="D175" s="27" t="s">
        <v>16</v>
      </c>
      <c r="E175" s="28">
        <v>8</v>
      </c>
      <c r="F175" s="29">
        <v>0</v>
      </c>
      <c r="G175" s="29">
        <v>4</v>
      </c>
      <c r="H175" s="29">
        <v>0</v>
      </c>
      <c r="I175" s="30">
        <v>154329427</v>
      </c>
      <c r="J175" s="33">
        <v>0</v>
      </c>
      <c r="K175" s="30">
        <v>29788931</v>
      </c>
      <c r="L175" s="33">
        <v>0</v>
      </c>
    </row>
    <row r="176" spans="2:12" x14ac:dyDescent="0.3">
      <c r="B176" s="26"/>
      <c r="C176" s="26"/>
      <c r="D176" s="27" t="s">
        <v>17</v>
      </c>
      <c r="E176" s="28">
        <v>172</v>
      </c>
      <c r="F176" s="29">
        <v>7</v>
      </c>
      <c r="G176" s="29">
        <v>4</v>
      </c>
      <c r="H176" s="29">
        <v>0</v>
      </c>
      <c r="I176" s="30">
        <v>653113404</v>
      </c>
      <c r="J176" s="30">
        <v>35592736</v>
      </c>
      <c r="K176" s="30">
        <v>19886647</v>
      </c>
      <c r="L176" s="33">
        <v>0</v>
      </c>
    </row>
    <row r="177" spans="2:12" x14ac:dyDescent="0.3">
      <c r="B177" s="26"/>
      <c r="C177" s="26"/>
      <c r="D177" s="27" t="s">
        <v>18</v>
      </c>
      <c r="E177" s="28">
        <v>221</v>
      </c>
      <c r="F177" s="29">
        <v>2</v>
      </c>
      <c r="G177" s="29">
        <v>2</v>
      </c>
      <c r="H177" s="29">
        <v>0</v>
      </c>
      <c r="I177" s="30">
        <v>511785656</v>
      </c>
      <c r="J177" s="30">
        <v>4198836</v>
      </c>
      <c r="K177" s="30">
        <v>5524687</v>
      </c>
      <c r="L177" s="33">
        <v>0</v>
      </c>
    </row>
    <row r="178" spans="2:12" x14ac:dyDescent="0.3">
      <c r="B178" s="26"/>
      <c r="C178" s="26"/>
      <c r="D178" s="35" t="s">
        <v>19</v>
      </c>
      <c r="E178" s="54">
        <v>401</v>
      </c>
      <c r="F178" s="54">
        <v>9</v>
      </c>
      <c r="G178" s="54">
        <v>10</v>
      </c>
      <c r="H178" s="54">
        <v>0</v>
      </c>
      <c r="I178" s="55">
        <v>1319228487</v>
      </c>
      <c r="J178" s="55">
        <v>39791572</v>
      </c>
      <c r="K178" s="55">
        <v>55200265</v>
      </c>
      <c r="L178" s="53" t="s">
        <v>39</v>
      </c>
    </row>
    <row r="179" spans="2:12" x14ac:dyDescent="0.3">
      <c r="B179" s="26"/>
      <c r="C179" s="26"/>
      <c r="D179" s="38" t="s">
        <v>21</v>
      </c>
      <c r="E179" s="28">
        <v>401</v>
      </c>
      <c r="F179" s="29">
        <v>9</v>
      </c>
      <c r="G179" s="29">
        <v>10</v>
      </c>
      <c r="H179" s="29">
        <v>0</v>
      </c>
      <c r="I179" s="30">
        <v>1359020059</v>
      </c>
      <c r="J179" s="33" t="s">
        <v>40</v>
      </c>
      <c r="K179" s="30">
        <v>55200265</v>
      </c>
      <c r="L179" s="33" t="s">
        <v>39</v>
      </c>
    </row>
    <row r="180" spans="2:12" x14ac:dyDescent="0.3">
      <c r="B180" s="26"/>
      <c r="C180" s="26"/>
      <c r="D180" s="38" t="s">
        <v>22</v>
      </c>
      <c r="E180" s="28">
        <v>152</v>
      </c>
      <c r="F180" s="29">
        <v>0</v>
      </c>
      <c r="G180" s="29">
        <v>0</v>
      </c>
      <c r="H180" s="29">
        <v>0</v>
      </c>
      <c r="I180" s="30">
        <v>26281010</v>
      </c>
      <c r="J180" s="33">
        <v>0</v>
      </c>
      <c r="K180" s="33">
        <v>0</v>
      </c>
      <c r="L180" s="33" t="s">
        <v>39</v>
      </c>
    </row>
    <row r="181" spans="2:12" x14ac:dyDescent="0.3">
      <c r="B181" s="39">
        <v>17</v>
      </c>
      <c r="C181" s="39" t="s">
        <v>54</v>
      </c>
      <c r="D181" s="18" t="s">
        <v>14</v>
      </c>
      <c r="E181" s="19">
        <v>7</v>
      </c>
      <c r="F181" s="40">
        <v>3</v>
      </c>
      <c r="G181" s="40">
        <v>11</v>
      </c>
      <c r="H181" s="40">
        <v>0</v>
      </c>
      <c r="I181" s="45">
        <v>92645533</v>
      </c>
      <c r="J181" s="45">
        <v>20980149</v>
      </c>
      <c r="K181" s="45">
        <v>58150657</v>
      </c>
      <c r="L181" s="41">
        <v>0</v>
      </c>
    </row>
    <row r="182" spans="2:12" x14ac:dyDescent="0.3">
      <c r="B182" s="39"/>
      <c r="C182" s="39"/>
      <c r="D182" s="18" t="s">
        <v>16</v>
      </c>
      <c r="E182" s="19">
        <v>0</v>
      </c>
      <c r="F182" s="19">
        <v>0</v>
      </c>
      <c r="G182" s="19">
        <v>0</v>
      </c>
      <c r="H182" s="19">
        <v>0</v>
      </c>
      <c r="I182" s="20" t="s">
        <v>43</v>
      </c>
      <c r="J182" s="20" t="s">
        <v>43</v>
      </c>
      <c r="K182" s="20" t="s">
        <v>38</v>
      </c>
      <c r="L182" s="20" t="s">
        <v>39</v>
      </c>
    </row>
    <row r="183" spans="2:12" x14ac:dyDescent="0.3">
      <c r="B183" s="39"/>
      <c r="C183" s="39"/>
      <c r="D183" s="18" t="s">
        <v>17</v>
      </c>
      <c r="E183" s="19">
        <v>22</v>
      </c>
      <c r="F183" s="40">
        <v>8</v>
      </c>
      <c r="G183" s="40">
        <v>0</v>
      </c>
      <c r="H183" s="40">
        <v>1</v>
      </c>
      <c r="I183" s="45">
        <v>86540106</v>
      </c>
      <c r="J183" s="45">
        <v>43605326</v>
      </c>
      <c r="K183" s="41">
        <v>0</v>
      </c>
      <c r="L183" s="45">
        <v>1022984</v>
      </c>
    </row>
    <row r="184" spans="2:12" x14ac:dyDescent="0.3">
      <c r="B184" s="39"/>
      <c r="C184" s="39"/>
      <c r="D184" s="18" t="s">
        <v>18</v>
      </c>
      <c r="E184" s="19">
        <v>247</v>
      </c>
      <c r="F184" s="40">
        <v>14</v>
      </c>
      <c r="G184" s="40">
        <v>0</v>
      </c>
      <c r="H184" s="40">
        <v>0</v>
      </c>
      <c r="I184" s="45">
        <v>413395713</v>
      </c>
      <c r="J184" s="45">
        <v>23411893</v>
      </c>
      <c r="K184" s="41">
        <v>0</v>
      </c>
      <c r="L184" s="41">
        <v>0</v>
      </c>
    </row>
    <row r="185" spans="2:12" x14ac:dyDescent="0.3">
      <c r="B185" s="39"/>
      <c r="C185" s="39"/>
      <c r="D185" s="21" t="s">
        <v>19</v>
      </c>
      <c r="E185" s="22">
        <v>276</v>
      </c>
      <c r="F185" s="56">
        <v>25</v>
      </c>
      <c r="G185" s="56">
        <v>11</v>
      </c>
      <c r="H185" s="56">
        <v>1</v>
      </c>
      <c r="I185" s="57">
        <v>592581352</v>
      </c>
      <c r="J185" s="57">
        <v>87997368</v>
      </c>
      <c r="K185" s="57">
        <v>58150657</v>
      </c>
      <c r="L185" s="57">
        <v>1022984</v>
      </c>
    </row>
    <row r="186" spans="2:12" x14ac:dyDescent="0.3">
      <c r="B186" s="39"/>
      <c r="C186" s="39"/>
      <c r="D186" s="24" t="s">
        <v>21</v>
      </c>
      <c r="E186" s="19">
        <v>276</v>
      </c>
      <c r="F186" s="19">
        <v>25</v>
      </c>
      <c r="G186" s="19">
        <v>11</v>
      </c>
      <c r="H186" s="19">
        <v>1</v>
      </c>
      <c r="I186" s="20"/>
      <c r="J186" s="20"/>
      <c r="K186" s="20"/>
      <c r="L186" s="20"/>
    </row>
    <row r="187" spans="2:12" x14ac:dyDescent="0.3">
      <c r="B187" s="39"/>
      <c r="C187" s="39"/>
      <c r="D187" s="24" t="s">
        <v>22</v>
      </c>
      <c r="E187" s="19"/>
      <c r="F187" s="19"/>
      <c r="G187" s="19"/>
      <c r="H187" s="19"/>
      <c r="I187" s="20"/>
      <c r="J187" s="20"/>
      <c r="K187" s="20"/>
      <c r="L187" s="20"/>
    </row>
    <row r="188" spans="2:12" x14ac:dyDescent="0.3">
      <c r="B188" s="26">
        <v>18</v>
      </c>
      <c r="C188" s="26" t="s">
        <v>55</v>
      </c>
      <c r="D188" s="27" t="s">
        <v>14</v>
      </c>
      <c r="E188" s="28">
        <v>2</v>
      </c>
      <c r="F188" s="29">
        <v>0</v>
      </c>
      <c r="G188" s="28">
        <v>5</v>
      </c>
      <c r="H188" s="29">
        <v>1</v>
      </c>
      <c r="I188" s="33" t="s">
        <v>43</v>
      </c>
      <c r="J188" s="30">
        <v>36378604</v>
      </c>
      <c r="K188" s="30">
        <v>43000349</v>
      </c>
      <c r="L188" s="30">
        <v>7638434</v>
      </c>
    </row>
    <row r="189" spans="2:12" x14ac:dyDescent="0.3">
      <c r="B189" s="26"/>
      <c r="C189" s="26"/>
      <c r="D189" s="27" t="s">
        <v>16</v>
      </c>
      <c r="E189" s="28">
        <v>0</v>
      </c>
      <c r="F189" s="29">
        <v>0</v>
      </c>
      <c r="G189" s="29">
        <v>0</v>
      </c>
      <c r="H189" s="29">
        <v>0</v>
      </c>
      <c r="I189" s="33" t="s">
        <v>43</v>
      </c>
      <c r="J189" s="33" t="s">
        <v>43</v>
      </c>
      <c r="K189" s="33" t="s">
        <v>38</v>
      </c>
      <c r="L189" s="33" t="s">
        <v>39</v>
      </c>
    </row>
    <row r="190" spans="2:12" x14ac:dyDescent="0.3">
      <c r="B190" s="26"/>
      <c r="C190" s="26"/>
      <c r="D190" s="27" t="s">
        <v>17</v>
      </c>
      <c r="E190" s="28">
        <v>18</v>
      </c>
      <c r="F190" s="29">
        <v>3</v>
      </c>
      <c r="G190" s="29">
        <v>0</v>
      </c>
      <c r="H190" s="29">
        <v>0</v>
      </c>
      <c r="I190" s="30">
        <v>77708189</v>
      </c>
      <c r="J190" s="30">
        <v>9929405</v>
      </c>
      <c r="K190" s="33" t="s">
        <v>38</v>
      </c>
      <c r="L190" s="33" t="s">
        <v>39</v>
      </c>
    </row>
    <row r="191" spans="2:12" x14ac:dyDescent="0.3">
      <c r="B191" s="26"/>
      <c r="C191" s="26"/>
      <c r="D191" s="27" t="s">
        <v>18</v>
      </c>
      <c r="E191" s="29">
        <v>136</v>
      </c>
      <c r="F191" s="29">
        <v>11</v>
      </c>
      <c r="G191" s="29">
        <v>0</v>
      </c>
      <c r="H191" s="29">
        <v>0</v>
      </c>
      <c r="I191" s="30">
        <v>230610767</v>
      </c>
      <c r="J191" s="30">
        <v>9993909</v>
      </c>
      <c r="K191" s="33" t="s">
        <v>38</v>
      </c>
      <c r="L191" s="33" t="s">
        <v>39</v>
      </c>
    </row>
    <row r="192" spans="2:12" x14ac:dyDescent="0.3">
      <c r="B192" s="26"/>
      <c r="C192" s="26"/>
      <c r="D192" s="35" t="s">
        <v>19</v>
      </c>
      <c r="E192" s="54">
        <v>156</v>
      </c>
      <c r="F192" s="54">
        <v>14</v>
      </c>
      <c r="G192" s="54">
        <v>5</v>
      </c>
      <c r="H192" s="54">
        <v>1</v>
      </c>
      <c r="I192" s="55">
        <v>308318956</v>
      </c>
      <c r="J192" s="55">
        <v>56301918</v>
      </c>
      <c r="K192" s="55">
        <v>43000349</v>
      </c>
      <c r="L192" s="55">
        <v>7638434</v>
      </c>
    </row>
    <row r="193" spans="2:12" x14ac:dyDescent="0.3">
      <c r="B193" s="26"/>
      <c r="C193" s="26"/>
      <c r="D193" s="38" t="s">
        <v>21</v>
      </c>
      <c r="E193" s="28">
        <v>156</v>
      </c>
      <c r="F193" s="28">
        <v>14</v>
      </c>
      <c r="G193" s="28">
        <v>5</v>
      </c>
      <c r="H193" s="28">
        <v>1</v>
      </c>
      <c r="I193" s="31"/>
      <c r="J193" s="31"/>
      <c r="K193" s="31"/>
      <c r="L193" s="31"/>
    </row>
    <row r="194" spans="2:12" x14ac:dyDescent="0.3">
      <c r="B194" s="26"/>
      <c r="C194" s="26"/>
      <c r="D194" s="38" t="s">
        <v>22</v>
      </c>
      <c r="E194" s="28"/>
      <c r="F194" s="28"/>
      <c r="G194" s="28"/>
      <c r="H194" s="28"/>
      <c r="I194" s="31"/>
      <c r="J194" s="31"/>
      <c r="K194" s="31"/>
      <c r="L194" s="31"/>
    </row>
    <row r="195" spans="2:12" ht="12.5" x14ac:dyDescent="0.35">
      <c r="B195" s="48" t="s">
        <v>30</v>
      </c>
    </row>
  </sheetData>
  <autoFilter ref="B68:L195" xr:uid="{00000000-0009-0000-0000-000004000000}"/>
  <mergeCells count="60">
    <mergeCell ref="B174:B180"/>
    <mergeCell ref="C174:C180"/>
    <mergeCell ref="B181:B187"/>
    <mergeCell ref="C181:C187"/>
    <mergeCell ref="B188:B194"/>
    <mergeCell ref="C188:C194"/>
    <mergeCell ref="B153:B159"/>
    <mergeCell ref="C153:C159"/>
    <mergeCell ref="B160:B166"/>
    <mergeCell ref="C160:C166"/>
    <mergeCell ref="B167:B173"/>
    <mergeCell ref="C167:C173"/>
    <mergeCell ref="B132:B138"/>
    <mergeCell ref="C132:C138"/>
    <mergeCell ref="B139:B145"/>
    <mergeCell ref="C139:C145"/>
    <mergeCell ref="B146:B152"/>
    <mergeCell ref="C146:C152"/>
    <mergeCell ref="B111:B117"/>
    <mergeCell ref="C111:C117"/>
    <mergeCell ref="B118:B124"/>
    <mergeCell ref="C118:C124"/>
    <mergeCell ref="B125:B131"/>
    <mergeCell ref="C125:C131"/>
    <mergeCell ref="B90:B96"/>
    <mergeCell ref="C90:C96"/>
    <mergeCell ref="B97:B103"/>
    <mergeCell ref="C97:C103"/>
    <mergeCell ref="B104:B110"/>
    <mergeCell ref="C104:C110"/>
    <mergeCell ref="B69:B75"/>
    <mergeCell ref="C69:C75"/>
    <mergeCell ref="B76:B82"/>
    <mergeCell ref="C76:C82"/>
    <mergeCell ref="B83:B89"/>
    <mergeCell ref="C83:C89"/>
    <mergeCell ref="B56:B62"/>
    <mergeCell ref="C56:C62"/>
    <mergeCell ref="E67:F67"/>
    <mergeCell ref="G67:H67"/>
    <mergeCell ref="I67:J67"/>
    <mergeCell ref="K67:L67"/>
    <mergeCell ref="B35:B41"/>
    <mergeCell ref="C35:C41"/>
    <mergeCell ref="B42:B48"/>
    <mergeCell ref="C42:C48"/>
    <mergeCell ref="B49:B55"/>
    <mergeCell ref="C49:C55"/>
    <mergeCell ref="B14:B20"/>
    <mergeCell ref="C14:C20"/>
    <mergeCell ref="B21:B27"/>
    <mergeCell ref="C21:C27"/>
    <mergeCell ref="B28:B34"/>
    <mergeCell ref="C28:C34"/>
    <mergeCell ref="E5:F5"/>
    <mergeCell ref="G5:H5"/>
    <mergeCell ref="I5:J5"/>
    <mergeCell ref="K5:L5"/>
    <mergeCell ref="B7:B13"/>
    <mergeCell ref="C7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Annexe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2026-07-15T09:53:59Z</dcterms:created>
  <dcterms:modified xsi:type="dcterms:W3CDTF">2026-07-15T09:54:21Z</dcterms:modified>
</cp:coreProperties>
</file>