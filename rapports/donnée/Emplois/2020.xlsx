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Emplois\"/>
    </mc:Choice>
  </mc:AlternateContent>
  <xr:revisionPtr revIDLastSave="0" documentId="8_{BEDF8A52-E9F0-4994-9155-ED69D48DFF95}" xr6:coauthVersionLast="47" xr6:coauthVersionMax="47" xr10:uidLastSave="{00000000-0000-0000-0000-000000000000}"/>
  <bookViews>
    <workbookView xWindow="-110" yWindow="-110" windowWidth="19420" windowHeight="10660" xr2:uid="{628BC074-15A8-4EAC-8C64-2A6A84705230}"/>
  </bookViews>
  <sheets>
    <sheet name="Annexe 5" sheetId="1" r:id="rId1"/>
  </sheets>
  <externalReferences>
    <externalReference r:id="rId2"/>
  </externalReferences>
  <definedNames>
    <definedName name="Compadjust">[1]Lists!$A$71:$A$79</definedName>
    <definedName name="FinalDiff">[1]Lists!$A$94:$A$105</definedName>
    <definedName name="Govadjust">[1]Lists!$A$83:$A$90</definedName>
    <definedName name="Taxes">[1]Lists!$A$7:$A$49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2" i="1" l="1"/>
  <c r="L372" i="1"/>
  <c r="K372" i="1"/>
  <c r="J372" i="1"/>
  <c r="I372" i="1"/>
  <c r="H372" i="1"/>
  <c r="G372" i="1"/>
  <c r="F372" i="1"/>
  <c r="M365" i="1"/>
  <c r="M366" i="1" s="1"/>
  <c r="L365" i="1"/>
  <c r="K365" i="1"/>
  <c r="J365" i="1"/>
  <c r="I365" i="1"/>
  <c r="H365" i="1"/>
  <c r="G365" i="1"/>
  <c r="F365" i="1"/>
  <c r="M358" i="1"/>
  <c r="L358" i="1"/>
  <c r="K358" i="1"/>
  <c r="J358" i="1"/>
  <c r="I358" i="1"/>
  <c r="H358" i="1"/>
  <c r="G358" i="1"/>
  <c r="F358" i="1"/>
  <c r="M351" i="1"/>
  <c r="L351" i="1"/>
  <c r="K351" i="1"/>
  <c r="J351" i="1"/>
  <c r="I351" i="1"/>
  <c r="H351" i="1"/>
  <c r="G351" i="1"/>
  <c r="F351" i="1"/>
  <c r="M344" i="1"/>
  <c r="L344" i="1"/>
  <c r="K344" i="1"/>
  <c r="J344" i="1"/>
  <c r="I344" i="1"/>
  <c r="H344" i="1"/>
  <c r="G344" i="1"/>
  <c r="F344" i="1"/>
  <c r="M337" i="1"/>
  <c r="M338" i="1" s="1"/>
  <c r="L337" i="1"/>
  <c r="L338" i="1" s="1"/>
  <c r="K337" i="1"/>
  <c r="K338" i="1" s="1"/>
  <c r="J337" i="1"/>
  <c r="J338" i="1" s="1"/>
  <c r="I337" i="1"/>
  <c r="I338" i="1" s="1"/>
  <c r="G337" i="1"/>
  <c r="G338" i="1" s="1"/>
  <c r="F337" i="1"/>
  <c r="F338" i="1" s="1"/>
  <c r="M330" i="1"/>
  <c r="L330" i="1"/>
  <c r="K330" i="1"/>
  <c r="J330" i="1"/>
  <c r="I330" i="1"/>
  <c r="H330" i="1"/>
  <c r="H336" i="1" s="1"/>
  <c r="H337" i="1" s="1"/>
  <c r="H338" i="1" s="1"/>
  <c r="G330" i="1"/>
  <c r="F330" i="1"/>
  <c r="M323" i="1"/>
  <c r="L323" i="1"/>
  <c r="K323" i="1"/>
  <c r="J323" i="1"/>
  <c r="I323" i="1"/>
  <c r="H323" i="1"/>
  <c r="G323" i="1"/>
  <c r="F323" i="1"/>
  <c r="M316" i="1"/>
  <c r="L316" i="1"/>
  <c r="K316" i="1"/>
  <c r="J316" i="1"/>
  <c r="I316" i="1"/>
  <c r="H316" i="1"/>
  <c r="G316" i="1"/>
  <c r="F316" i="1"/>
  <c r="M309" i="1"/>
  <c r="L309" i="1"/>
  <c r="K309" i="1"/>
  <c r="J309" i="1"/>
  <c r="I309" i="1"/>
  <c r="H309" i="1"/>
  <c r="G309" i="1"/>
  <c r="F309" i="1"/>
  <c r="M302" i="1"/>
  <c r="L302" i="1"/>
  <c r="K302" i="1"/>
  <c r="J302" i="1"/>
  <c r="I302" i="1"/>
  <c r="H302" i="1"/>
  <c r="G302" i="1"/>
  <c r="F302" i="1"/>
  <c r="M295" i="1"/>
  <c r="L295" i="1"/>
  <c r="K295" i="1"/>
  <c r="J295" i="1"/>
  <c r="J296" i="1" s="1"/>
  <c r="I295" i="1"/>
  <c r="H295" i="1"/>
  <c r="G295" i="1"/>
  <c r="F295" i="1"/>
  <c r="M288" i="1"/>
  <c r="L288" i="1"/>
  <c r="K288" i="1"/>
  <c r="J288" i="1"/>
  <c r="I288" i="1"/>
  <c r="H288" i="1"/>
  <c r="G288" i="1"/>
  <c r="F288" i="1"/>
  <c r="M281" i="1"/>
  <c r="L281" i="1"/>
  <c r="K281" i="1"/>
  <c r="J281" i="1"/>
  <c r="I281" i="1"/>
  <c r="H281" i="1"/>
  <c r="G281" i="1"/>
  <c r="F281" i="1"/>
  <c r="M274" i="1"/>
  <c r="L274" i="1"/>
  <c r="K274" i="1"/>
  <c r="J274" i="1"/>
  <c r="I274" i="1"/>
  <c r="H274" i="1"/>
  <c r="G274" i="1"/>
  <c r="F274" i="1"/>
  <c r="M267" i="1"/>
  <c r="M268" i="1" s="1"/>
  <c r="L267" i="1"/>
  <c r="L268" i="1" s="1"/>
  <c r="K267" i="1"/>
  <c r="K268" i="1" s="1"/>
  <c r="J267" i="1"/>
  <c r="J268" i="1" s="1"/>
  <c r="I267" i="1"/>
  <c r="I268" i="1" s="1"/>
  <c r="H267" i="1"/>
  <c r="H268" i="1" s="1"/>
  <c r="G267" i="1"/>
  <c r="G268" i="1" s="1"/>
  <c r="F267" i="1"/>
  <c r="F268" i="1" s="1"/>
  <c r="M260" i="1"/>
  <c r="L260" i="1"/>
  <c r="K260" i="1"/>
  <c r="J260" i="1"/>
  <c r="I260" i="1"/>
  <c r="H260" i="1"/>
  <c r="G260" i="1"/>
  <c r="F260" i="1"/>
  <c r="M253" i="1"/>
  <c r="M254" i="1" s="1"/>
  <c r="L253" i="1"/>
  <c r="L254" i="1" s="1"/>
  <c r="K253" i="1"/>
  <c r="K254" i="1" s="1"/>
  <c r="J253" i="1"/>
  <c r="J254" i="1" s="1"/>
  <c r="I253" i="1"/>
  <c r="I254" i="1" s="1"/>
  <c r="H253" i="1"/>
  <c r="H254" i="1" s="1"/>
  <c r="G253" i="1"/>
  <c r="G254" i="1" s="1"/>
  <c r="F253" i="1"/>
  <c r="F254" i="1" s="1"/>
  <c r="M246" i="1"/>
  <c r="L246" i="1"/>
  <c r="K246" i="1"/>
  <c r="J246" i="1"/>
  <c r="I246" i="1"/>
  <c r="H246" i="1"/>
  <c r="G246" i="1"/>
  <c r="F246" i="1"/>
  <c r="M239" i="1"/>
  <c r="L239" i="1"/>
  <c r="K239" i="1"/>
  <c r="J239" i="1"/>
  <c r="I239" i="1"/>
  <c r="H239" i="1"/>
  <c r="G239" i="1"/>
  <c r="F239" i="1"/>
  <c r="M232" i="1"/>
  <c r="L232" i="1"/>
  <c r="K232" i="1"/>
  <c r="J232" i="1"/>
  <c r="I232" i="1"/>
  <c r="H232" i="1"/>
  <c r="G232" i="1"/>
  <c r="F232" i="1"/>
  <c r="M225" i="1"/>
  <c r="L225" i="1"/>
  <c r="K225" i="1"/>
  <c r="J225" i="1"/>
  <c r="I225" i="1"/>
  <c r="H225" i="1"/>
  <c r="G225" i="1"/>
  <c r="F225" i="1"/>
  <c r="M218" i="1"/>
  <c r="L218" i="1"/>
  <c r="K218" i="1"/>
  <c r="J218" i="1"/>
  <c r="I218" i="1"/>
  <c r="H218" i="1"/>
  <c r="G218" i="1"/>
  <c r="F218" i="1"/>
  <c r="M211" i="1"/>
  <c r="L211" i="1"/>
  <c r="K211" i="1"/>
  <c r="J211" i="1"/>
  <c r="I211" i="1"/>
  <c r="H211" i="1"/>
  <c r="G211" i="1"/>
  <c r="F211" i="1"/>
  <c r="M204" i="1"/>
  <c r="L204" i="1"/>
  <c r="K204" i="1"/>
  <c r="J204" i="1"/>
  <c r="I204" i="1"/>
  <c r="H204" i="1"/>
  <c r="G204" i="1"/>
  <c r="F204" i="1"/>
  <c r="M197" i="1"/>
  <c r="L197" i="1"/>
  <c r="K197" i="1"/>
  <c r="J197" i="1"/>
  <c r="I197" i="1"/>
  <c r="H197" i="1"/>
  <c r="G197" i="1"/>
  <c r="F197" i="1"/>
  <c r="M190" i="1"/>
  <c r="L190" i="1"/>
  <c r="K190" i="1"/>
  <c r="J190" i="1"/>
  <c r="I190" i="1"/>
  <c r="H190" i="1"/>
  <c r="G190" i="1"/>
  <c r="F190" i="1"/>
  <c r="M183" i="1"/>
  <c r="L183" i="1"/>
  <c r="K183" i="1"/>
  <c r="J183" i="1"/>
  <c r="I183" i="1"/>
  <c r="H183" i="1"/>
  <c r="G183" i="1"/>
  <c r="F183" i="1"/>
  <c r="M176" i="1"/>
  <c r="L176" i="1"/>
  <c r="K176" i="1"/>
  <c r="J176" i="1"/>
  <c r="I176" i="1"/>
  <c r="H176" i="1"/>
  <c r="G176" i="1"/>
  <c r="F176" i="1"/>
  <c r="M169" i="1"/>
  <c r="M170" i="1" s="1"/>
  <c r="L169" i="1"/>
  <c r="L170" i="1" s="1"/>
  <c r="K169" i="1"/>
  <c r="K170" i="1" s="1"/>
  <c r="J169" i="1"/>
  <c r="J170" i="1" s="1"/>
  <c r="I169" i="1"/>
  <c r="I170" i="1" s="1"/>
  <c r="H169" i="1"/>
  <c r="H170" i="1" s="1"/>
  <c r="G169" i="1"/>
  <c r="G170" i="1" s="1"/>
  <c r="F169" i="1"/>
  <c r="F170" i="1" s="1"/>
  <c r="M162" i="1"/>
  <c r="L162" i="1"/>
  <c r="K162" i="1"/>
  <c r="J162" i="1"/>
  <c r="J164" i="1" s="1"/>
  <c r="I162" i="1"/>
  <c r="H162" i="1"/>
  <c r="G162" i="1"/>
  <c r="G164" i="1" s="1"/>
  <c r="F162" i="1"/>
  <c r="F164" i="1" s="1"/>
  <c r="M155" i="1"/>
  <c r="L155" i="1"/>
  <c r="K155" i="1"/>
  <c r="J155" i="1"/>
  <c r="I155" i="1"/>
  <c r="H155" i="1"/>
  <c r="G155" i="1"/>
  <c r="F155" i="1"/>
  <c r="J150" i="1"/>
  <c r="M148" i="1"/>
  <c r="L148" i="1"/>
  <c r="L150" i="1" s="1"/>
  <c r="K148" i="1"/>
  <c r="J148" i="1"/>
  <c r="I148" i="1"/>
  <c r="H148" i="1"/>
  <c r="H150" i="1" s="1"/>
  <c r="G148" i="1"/>
  <c r="F148" i="1"/>
  <c r="F150" i="1" s="1"/>
  <c r="M141" i="1"/>
  <c r="L141" i="1"/>
  <c r="K141" i="1"/>
  <c r="J141" i="1"/>
  <c r="I141" i="1"/>
  <c r="H141" i="1"/>
  <c r="G141" i="1"/>
  <c r="F141" i="1"/>
  <c r="M134" i="1"/>
  <c r="L134" i="1"/>
  <c r="K134" i="1"/>
  <c r="J134" i="1"/>
  <c r="I134" i="1"/>
  <c r="H134" i="1"/>
  <c r="G134" i="1"/>
  <c r="F134" i="1"/>
  <c r="I128" i="1"/>
  <c r="I127" i="1" s="1"/>
  <c r="H128" i="1"/>
  <c r="M127" i="1"/>
  <c r="L127" i="1"/>
  <c r="K127" i="1"/>
  <c r="J127" i="1"/>
  <c r="H127" i="1"/>
  <c r="G127" i="1"/>
  <c r="F127" i="1"/>
  <c r="M116" i="1"/>
  <c r="L116" i="1"/>
  <c r="K116" i="1"/>
  <c r="J116" i="1"/>
  <c r="I116" i="1"/>
  <c r="H116" i="1"/>
  <c r="G116" i="1"/>
  <c r="F116" i="1"/>
  <c r="M110" i="1"/>
  <c r="L110" i="1"/>
  <c r="K110" i="1"/>
  <c r="J110" i="1"/>
  <c r="I110" i="1"/>
  <c r="H110" i="1"/>
  <c r="G110" i="1"/>
  <c r="F110" i="1"/>
  <c r="J104" i="1"/>
  <c r="M102" i="1"/>
  <c r="L102" i="1"/>
  <c r="L104" i="1" s="1"/>
  <c r="K102" i="1"/>
  <c r="J102" i="1"/>
  <c r="I102" i="1"/>
  <c r="H102" i="1"/>
  <c r="H104" i="1" s="1"/>
  <c r="G102" i="1"/>
  <c r="G104" i="1" s="1"/>
  <c r="F102" i="1"/>
  <c r="F104" i="1" s="1"/>
  <c r="M96" i="1"/>
  <c r="M95" i="1"/>
  <c r="L95" i="1"/>
  <c r="L96" i="1" s="1"/>
  <c r="K95" i="1"/>
  <c r="K96" i="1" s="1"/>
  <c r="J95" i="1"/>
  <c r="J96" i="1" s="1"/>
  <c r="M88" i="1"/>
  <c r="L88" i="1"/>
  <c r="K88" i="1"/>
  <c r="J88" i="1"/>
  <c r="I88" i="1"/>
  <c r="H88" i="1"/>
  <c r="G88" i="1"/>
  <c r="F88" i="1"/>
  <c r="M81" i="1"/>
  <c r="M82" i="1" s="1"/>
  <c r="L81" i="1"/>
  <c r="L82" i="1" s="1"/>
  <c r="K81" i="1"/>
  <c r="K82" i="1" s="1"/>
  <c r="J81" i="1"/>
  <c r="J82" i="1" s="1"/>
  <c r="I81" i="1"/>
  <c r="I82" i="1" s="1"/>
  <c r="H81" i="1"/>
  <c r="H82" i="1" s="1"/>
  <c r="G81" i="1"/>
  <c r="G82" i="1" s="1"/>
  <c r="F81" i="1"/>
  <c r="F82" i="1" s="1"/>
  <c r="M74" i="1"/>
  <c r="L74" i="1"/>
  <c r="K74" i="1"/>
  <c r="J74" i="1"/>
  <c r="I74" i="1"/>
  <c r="H74" i="1"/>
  <c r="G74" i="1"/>
  <c r="F74" i="1"/>
  <c r="J67" i="1"/>
  <c r="M60" i="1"/>
  <c r="L60" i="1"/>
  <c r="K60" i="1"/>
  <c r="K61" i="1" s="1"/>
  <c r="I60" i="1"/>
  <c r="H60" i="1"/>
  <c r="G60" i="1"/>
  <c r="F60" i="1"/>
  <c r="J59" i="1"/>
  <c r="J60" i="1" s="1"/>
  <c r="M53" i="1"/>
  <c r="M54" i="1" s="1"/>
  <c r="L53" i="1"/>
  <c r="L54" i="1" s="1"/>
  <c r="K53" i="1"/>
  <c r="K54" i="1" s="1"/>
  <c r="J53" i="1"/>
  <c r="J54" i="1" s="1"/>
  <c r="I53" i="1"/>
  <c r="I54" i="1" s="1"/>
  <c r="H53" i="1"/>
  <c r="H54" i="1" s="1"/>
  <c r="G53" i="1"/>
  <c r="G54" i="1" s="1"/>
  <c r="F53" i="1"/>
  <c r="F54" i="1" s="1"/>
  <c r="M46" i="1"/>
  <c r="L46" i="1"/>
  <c r="K46" i="1"/>
  <c r="J46" i="1"/>
  <c r="I46" i="1"/>
  <c r="H46" i="1"/>
  <c r="G46" i="1"/>
  <c r="F46" i="1"/>
  <c r="M39" i="1"/>
  <c r="I39" i="1"/>
  <c r="H39" i="1"/>
  <c r="G39" i="1"/>
  <c r="F39" i="1"/>
  <c r="M32" i="1"/>
  <c r="L32" i="1"/>
  <c r="K32" i="1"/>
  <c r="J32" i="1"/>
  <c r="I32" i="1"/>
  <c r="H32" i="1"/>
  <c r="G32" i="1"/>
  <c r="F32" i="1"/>
  <c r="K26" i="1"/>
  <c r="M25" i="1"/>
  <c r="L25" i="1"/>
  <c r="K25" i="1"/>
  <c r="J25" i="1"/>
  <c r="J26" i="1" s="1"/>
  <c r="I25" i="1"/>
  <c r="H25" i="1"/>
  <c r="G25" i="1"/>
  <c r="F25" i="1"/>
  <c r="M18" i="1"/>
  <c r="L18" i="1"/>
  <c r="K18" i="1"/>
  <c r="J18" i="1"/>
  <c r="I18" i="1"/>
  <c r="H18" i="1"/>
  <c r="G18" i="1"/>
  <c r="F18" i="1"/>
  <c r="M11" i="1"/>
  <c r="L11" i="1"/>
  <c r="K11" i="1"/>
  <c r="J11" i="1"/>
  <c r="I11" i="1"/>
  <c r="H11" i="1"/>
  <c r="G11" i="1"/>
  <c r="F11" i="1"/>
</calcChain>
</file>

<file path=xl/sharedStrings.xml><?xml version="1.0" encoding="utf-8"?>
<sst xmlns="http://schemas.openxmlformats.org/spreadsheetml/2006/main" count="942" uniqueCount="49">
  <si>
    <t>Annexe 5 – Emplois</t>
  </si>
  <si>
    <t>Secteur des hydrocarbures :</t>
  </si>
  <si>
    <t xml:space="preserve">Effectifs des Nationaux </t>
  </si>
  <si>
    <t>Effectifs des Non nationaux</t>
  </si>
  <si>
    <t>Masse salariale des Nationaux (en FCFA)</t>
  </si>
  <si>
    <t>Masse salariale des Non Nationaux (en FCFA)</t>
  </si>
  <si>
    <t>N°</t>
  </si>
  <si>
    <t>Société</t>
  </si>
  <si>
    <t>Personnel Propre/ Personnel Extérieur</t>
  </si>
  <si>
    <t>Qualifications</t>
  </si>
  <si>
    <t>Hommes</t>
  </si>
  <si>
    <t>Femmes</t>
  </si>
  <si>
    <t>Société des Pétroles du Sénégal (PETROSEN)</t>
  </si>
  <si>
    <t>Personnel Propre</t>
  </si>
  <si>
    <t>Cadres supérieurs</t>
  </si>
  <si>
    <t>Techniciens supérieurs et cadres moyens</t>
  </si>
  <si>
    <t>Techniciens, Agents de maitrise et ouvriers qualifiés</t>
  </si>
  <si>
    <t>Employés, manœuvres, ouvriers, appprentis</t>
  </si>
  <si>
    <t>Total</t>
  </si>
  <si>
    <t>Permanent</t>
  </si>
  <si>
    <t>Contractuel</t>
  </si>
  <si>
    <t>Personnel Extérieur</t>
  </si>
  <si>
    <t>Fortesa International Senegal</t>
  </si>
  <si>
    <t xml:space="preserve">Capricorn Senegal Limited </t>
  </si>
  <si>
    <t>Nc</t>
  </si>
  <si>
    <t xml:space="preserve">Kosmos Energy Senegal </t>
  </si>
  <si>
    <t xml:space="preserve">Oranto Petroleum </t>
  </si>
  <si>
    <t xml:space="preserve"> TOTAL E&amp;P Senegal </t>
  </si>
  <si>
    <t>BP SENEGAL INVESTMENTS LIMITED</t>
  </si>
  <si>
    <t xml:space="preserve">Woodside Energy Senegal </t>
  </si>
  <si>
    <t>Secteur minier :</t>
  </si>
  <si>
    <t>MIFERSO</t>
  </si>
  <si>
    <t>SOCOCIM</t>
  </si>
  <si>
    <t>SGO</t>
  </si>
  <si>
    <t>CDS</t>
  </si>
  <si>
    <t>GCO</t>
  </si>
  <si>
    <t>SSPT</t>
  </si>
  <si>
    <t>ICS</t>
  </si>
  <si>
    <t>Dangote</t>
  </si>
  <si>
    <t>PMC</t>
  </si>
  <si>
    <t>SOMIVA</t>
  </si>
  <si>
    <t>IAMGOLD</t>
  </si>
  <si>
    <t>AGEM</t>
  </si>
  <si>
    <t>SMC</t>
  </si>
  <si>
    <t>SEPHOS</t>
  </si>
  <si>
    <t>G-PHOS</t>
  </si>
  <si>
    <t>AIG</t>
  </si>
  <si>
    <t>COGEGA</t>
  </si>
  <si>
    <t xml:space="preserve">Gécamines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</si>
</sst>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#,##0_);\(&quot;&quot;#,##0\)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0"/>
      <color rgb="FF2A9E9B"/>
      <name val="Trebuchet MS"/>
      <family val="2"/>
    </font>
    <font>
      <sz val="9"/>
      <color theme="1"/>
      <name val="Calibri"/>
      <family val="2"/>
      <scheme val="minor"/>
    </font>
    <font>
      <b/>
      <sz val="9"/>
      <color rgb="FF2A9E9B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657C91"/>
        <bgColor indexed="64"/>
      </patternFill>
    </fill>
    <fill>
      <patternFill patternType="solid">
        <fgColor rgb="FFA9ECE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5" fontId="6" fillId="2" borderId="1" xfId="1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1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/>
    </xf>
    <xf numFmtId="166" fontId="8" fillId="4" borderId="1" xfId="2" applyNumberFormat="1" applyFont="1" applyFill="1" applyBorder="1" applyAlignment="1">
      <alignment vertical="center"/>
    </xf>
    <xf numFmtId="166" fontId="8" fillId="4" borderId="4" xfId="2" applyNumberFormat="1" applyFont="1" applyFill="1" applyBorder="1" applyAlignment="1">
      <alignment vertical="center"/>
    </xf>
    <xf numFmtId="0" fontId="8" fillId="4" borderId="4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165" fontId="4" fillId="4" borderId="4" xfId="1" applyNumberFormat="1" applyFont="1" applyFill="1" applyBorder="1" applyAlignment="1">
      <alignment horizontal="left" vertical="center" wrapText="1"/>
    </xf>
    <xf numFmtId="0" fontId="10" fillId="4" borderId="4" xfId="2" applyFont="1" applyFill="1" applyBorder="1" applyAlignment="1">
      <alignment horizontal="left" vertical="center"/>
    </xf>
    <xf numFmtId="165" fontId="6" fillId="4" borderId="1" xfId="1" applyNumberFormat="1" applyFont="1" applyFill="1" applyBorder="1" applyAlignment="1">
      <alignment horizontal="left" vertical="center" wrapText="1"/>
    </xf>
    <xf numFmtId="165" fontId="4" fillId="4" borderId="1" xfId="1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66" fontId="8" fillId="0" borderId="1" xfId="2" applyNumberFormat="1" applyFont="1" applyBorder="1" applyAlignment="1">
      <alignment vertical="center"/>
    </xf>
    <xf numFmtId="166" fontId="8" fillId="0" borderId="4" xfId="2" applyNumberFormat="1" applyFont="1" applyBorder="1" applyAlignment="1">
      <alignment vertical="center"/>
    </xf>
    <xf numFmtId="0" fontId="8" fillId="0" borderId="4" xfId="2" applyFont="1" applyBorder="1" applyAlignment="1">
      <alignment horizontal="left" vertical="center"/>
    </xf>
    <xf numFmtId="165" fontId="4" fillId="0" borderId="4" xfId="1" applyNumberFormat="1" applyFont="1" applyFill="1" applyBorder="1" applyAlignment="1">
      <alignment horizontal="left" vertical="center" wrapText="1"/>
    </xf>
    <xf numFmtId="0" fontId="10" fillId="0" borderId="4" xfId="2" applyFont="1" applyBorder="1" applyAlignment="1">
      <alignment horizontal="left" vertical="center"/>
    </xf>
    <xf numFmtId="165" fontId="6" fillId="0" borderId="1" xfId="1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166" fontId="8" fillId="0" borderId="0" xfId="2" applyNumberFormat="1" applyFont="1"/>
    <xf numFmtId="0" fontId="8" fillId="0" borderId="0" xfId="2" applyFont="1" applyAlignment="1">
      <alignment horizontal="left" vertical="center"/>
    </xf>
    <xf numFmtId="164" fontId="4" fillId="0" borderId="0" xfId="1" applyFont="1" applyBorder="1" applyAlignment="1">
      <alignment horizontal="center" vertical="center" wrapText="1"/>
    </xf>
    <xf numFmtId="166" fontId="8" fillId="4" borderId="5" xfId="2" applyNumberFormat="1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left" vertical="center"/>
    </xf>
    <xf numFmtId="166" fontId="4" fillId="4" borderId="1" xfId="1" applyNumberFormat="1" applyFont="1" applyFill="1" applyBorder="1" applyAlignment="1">
      <alignment horizontal="right" vertical="center" wrapText="1"/>
    </xf>
    <xf numFmtId="166" fontId="8" fillId="4" borderId="6" xfId="2" applyNumberFormat="1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left" vertical="center"/>
    </xf>
    <xf numFmtId="0" fontId="6" fillId="4" borderId="1" xfId="1" applyNumberFormat="1" applyFont="1" applyFill="1" applyBorder="1" applyAlignment="1">
      <alignment horizontal="center" vertical="center" wrapText="1"/>
    </xf>
    <xf numFmtId="164" fontId="6" fillId="4" borderId="1" xfId="1" applyFont="1" applyFill="1" applyBorder="1" applyAlignment="1">
      <alignment horizontal="center" vertical="center" wrapText="1"/>
    </xf>
    <xf numFmtId="166" fontId="6" fillId="4" borderId="1" xfId="1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/>
    </xf>
    <xf numFmtId="166" fontId="4" fillId="4" borderId="1" xfId="1" applyNumberFormat="1" applyFont="1" applyFill="1" applyBorder="1" applyAlignment="1">
      <alignment horizontal="right" vertical="center"/>
    </xf>
    <xf numFmtId="166" fontId="6" fillId="4" borderId="1" xfId="1" applyNumberFormat="1" applyFont="1" applyFill="1" applyBorder="1" applyAlignment="1">
      <alignment horizontal="right" vertical="center"/>
    </xf>
    <xf numFmtId="166" fontId="8" fillId="4" borderId="4" xfId="2" applyNumberFormat="1" applyFont="1" applyFill="1" applyBorder="1" applyAlignment="1">
      <alignment horizontal="center" vertical="center" wrapText="1"/>
    </xf>
    <xf numFmtId="166" fontId="8" fillId="0" borderId="5" xfId="2" applyNumberFormat="1" applyFont="1" applyBorder="1" applyAlignment="1">
      <alignment horizontal="center" vertical="center" wrapText="1"/>
    </xf>
    <xf numFmtId="166" fontId="8" fillId="0" borderId="6" xfId="2" applyNumberFormat="1" applyFont="1" applyBorder="1" applyAlignment="1">
      <alignment horizontal="center" vertical="center" wrapText="1"/>
    </xf>
    <xf numFmtId="166" fontId="8" fillId="0" borderId="4" xfId="2" applyNumberFormat="1" applyFont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Normal 5" xfId="2" xr:uid="{A6358524-4EC1-4C0F-AE12-C0834531F5CC}"/>
  </cellStyles>
  <dxfs count="38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586591ac1fcef3e/02.%20Worls%202021/04-%20BDO_Consulting/02-%20ITIE%20S&#233;n&#233;gal/03-%20Travaux/05-%20Final/04-%20Rapport%20apr&#232;s%20commentaires%20CN/05.Pr&#233;final%20rapport/Database_ITIE%20S&#233;n&#233;gal_2019_%20(Pr&#233;-fina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Follow-up"/>
      <sheetName val="Taxes"/>
      <sheetName val="Govt Ag"/>
      <sheetName val="Lists"/>
      <sheetName val="Cours"/>
      <sheetName val="C (1)"/>
      <sheetName val="Minerals &amp; Products"/>
      <sheetName val="Companies info"/>
      <sheetName val="Profil des société"/>
      <sheetName val="Paiements Sociaux"/>
      <sheetName val="Tableau des effectifs"/>
      <sheetName val="Audit "/>
      <sheetName val="Production"/>
      <sheetName val="Exportation"/>
      <sheetName val="Mail"/>
      <sheetName val="Titre Minier"/>
      <sheetName val="C (2)"/>
      <sheetName val="Sheet1"/>
      <sheetName val="C (3)"/>
      <sheetName val="C (4)"/>
      <sheetName val="C (5)"/>
      <sheetName val="C (6)"/>
      <sheetName val="C (7)"/>
      <sheetName val="C (8)"/>
      <sheetName val="C (9)"/>
      <sheetName val="C (10)"/>
      <sheetName val="c"/>
      <sheetName val="cv"/>
      <sheetName val="C (11)"/>
      <sheetName val="C (12)"/>
      <sheetName val="C (13)"/>
      <sheetName val="ccc"/>
      <sheetName val="C (14)"/>
      <sheetName val="C (15)"/>
      <sheetName val="C (16)"/>
      <sheetName val="C (17)"/>
      <sheetName val="C (18)"/>
      <sheetName val="C (19)"/>
      <sheetName val="C (20) nat"/>
      <sheetName val="C (20)"/>
      <sheetName val="C (21)"/>
      <sheetName val="C (22)"/>
      <sheetName val="C (23)"/>
      <sheetName val="C (24)"/>
      <sheetName val="C (25)"/>
      <sheetName val="C (26)"/>
      <sheetName val="Section 1-1"/>
      <sheetName val="Paiement Sociaux"/>
      <sheetName val="Tableau 4"/>
      <sheetName val="Annex 9 2018 (2)"/>
      <sheetName val="5.3"/>
      <sheetName val="5.4"/>
      <sheetName val="Section 1"/>
      <sheetName val="6.1.1"/>
      <sheetName val="6.1.2 Pétrolier"/>
      <sheetName val="6.1.2 minier"/>
      <sheetName val="6.2"/>
      <sheetName val="6.1.3"/>
      <sheetName val="6.4"/>
      <sheetName val="Results All (In cash)"/>
      <sheetName val="Results All (In Kind)"/>
      <sheetName val="difference end breakdown all"/>
      <sheetName val="Reporting by tax All (Cash)"/>
      <sheetName val="Reporting by Comp All (Cash)"/>
      <sheetName val="Reporting by tax kind (Pétrole)"/>
      <sheetName val="Feuil2"/>
      <sheetName val="Reporting byComp kind (Pétrole)"/>
      <sheetName val="Reporting by Comp cash(Pétrole)"/>
      <sheetName val="Reporting by tax cash (Pétrole)"/>
      <sheetName val="Reporting by Comp (Mines)"/>
      <sheetName val="Reporting by tax (Mines)"/>
      <sheetName val="Total Ajust (2)"/>
      <sheetName val="Total Ajust"/>
      <sheetName val="Ajust par Comp (C)"/>
      <sheetName val="Ajust par Taxe (C)"/>
      <sheetName val="Ajust par Comp (Gov)"/>
      <sheetName val="Ajust par Taxe (Gov)"/>
      <sheetName val="Results Pétrole"/>
      <sheetName val="Results Mine"/>
      <sheetName val="Secteur Extractif"/>
      <sheetName val="Paiement 2012"/>
      <sheetName val="Secteur Extractif en Million"/>
      <sheetName val="Reporting by Comp Mandat"/>
      <sheetName val="COTCO"/>
      <sheetName val="Contextuel"/>
      <sheetName val="Production Rapport"/>
      <sheetName val="Paiement Sociaux (Rapp)"/>
      <sheetName val="Transferts Infra"/>
      <sheetName val="Contextual"/>
      <sheetName val="Etat permis d'exploitation"/>
      <sheetName val="Etat permis de recherche"/>
      <sheetName val="Unrec diff Tax vs Comp"/>
      <sheetName val="Unrec diff Comp"/>
      <sheetName val="Unrec diff Tax"/>
      <sheetName val="Annexes 1-2"/>
      <sheetName val="Annexes 3-4"/>
      <sheetName val="Annexes 5-6"/>
      <sheetName val="Annexes Fsseurs"/>
      <sheetName val="Annexes 7-8"/>
      <sheetName val="Feuil1"/>
      <sheetName val="Annexe 9 2017"/>
      <sheetName val="Déclaration unilatérale"/>
      <sheetName val="Annexe 10"/>
      <sheetName val="Section 1,1"/>
      <sheetName val="Budget de l'ETAT "/>
      <sheetName val="Annexe 10 (2)"/>
      <sheetName val="Annexes 11-12"/>
      <sheetName val="Annexe 14"/>
      <sheetName val="Annexe 15"/>
      <sheetName val="Annexe 17"/>
      <sheetName val="Annexe 18"/>
      <sheetName val="Octroi"/>
      <sheetName val="Annexes parties 6"/>
      <sheetName val="Unrec diff Comp vs Tax"/>
      <sheetName val="Nbr Comp per activity"/>
      <sheetName val="Recommendations"/>
      <sheetName val="Recomm"/>
      <sheetName val="News"/>
    </sheetNames>
    <sheetDataSet>
      <sheetData sheetId="0"/>
      <sheetData sheetId="1"/>
      <sheetData sheetId="2"/>
      <sheetData sheetId="3"/>
      <sheetData sheetId="4">
        <row r="7">
          <cell r="A7" t="str">
            <v xml:space="preserve">1- Part de la production de l'État (Profit Oil État) </v>
          </cell>
        </row>
        <row r="8">
          <cell r="A8" t="str">
            <v xml:space="preserve">2- Part de la production de PETROSEN (Profit Oil - Cost Oil PETROSEN) </v>
          </cell>
        </row>
        <row r="9">
          <cell r="A9" t="str">
            <v xml:space="preserve">3- Redevance minière </v>
          </cell>
        </row>
        <row r="10">
          <cell r="A10" t="str">
            <v>4- Appui institutionnel</v>
          </cell>
        </row>
        <row r="11">
          <cell r="A11" t="str">
            <v>5- Droits d'entrée fixes</v>
          </cell>
        </row>
        <row r="12">
          <cell r="A12" t="str">
            <v>6- Bonus (DMG)</v>
          </cell>
        </row>
        <row r="13">
          <cell r="A13" t="str">
            <v>7- Redevance superficiaire</v>
          </cell>
        </row>
        <row r="14">
          <cell r="A14" t="str">
            <v>8- Bonus (PETROSEN)</v>
          </cell>
        </row>
        <row r="15">
          <cell r="A15" t="str">
            <v xml:space="preserve">9- Appui à la formation </v>
          </cell>
        </row>
        <row r="16">
          <cell r="A16" t="str">
            <v>10- Appui à l'équipement</v>
          </cell>
        </row>
        <row r="17">
          <cell r="A17" t="str">
            <v xml:space="preserve">11- Revenus issus de la commercialisation de la Part de la production de l'État </v>
          </cell>
        </row>
        <row r="18">
          <cell r="A18" t="str">
            <v xml:space="preserve">12- Loyer superficiaire </v>
          </cell>
        </row>
        <row r="19">
          <cell r="A19" t="str">
            <v>13- Pénalités versées à PETROSEN</v>
          </cell>
        </row>
        <row r="20">
          <cell r="A20" t="str">
            <v>14- Redevance</v>
          </cell>
        </row>
        <row r="21">
          <cell r="A21" t="str">
            <v>15- Achat de données sismiques</v>
          </cell>
        </row>
        <row r="22">
          <cell r="A22" t="str">
            <v xml:space="preserve">16- Revenus issus de la commercialisation de la Part de la production de l'État </v>
          </cell>
        </row>
        <row r="23">
          <cell r="A23" t="str">
            <v>17- Patente</v>
          </cell>
        </row>
        <row r="24">
          <cell r="A24" t="str">
            <v>18- Contribution foncière des propriétés bâties (CFPB)</v>
          </cell>
        </row>
        <row r="25">
          <cell r="A25" t="str">
            <v>19- Contribution foncière des propriétés non bâties (CFPNB)</v>
          </cell>
        </row>
        <row r="26">
          <cell r="A26" t="str">
            <v xml:space="preserve">20- Appui institutionnel aux collectivités locales </v>
          </cell>
        </row>
        <row r="27">
          <cell r="A27" t="str">
            <v xml:space="preserve">21- Impôt du minimum fiscal </v>
          </cell>
        </row>
        <row r="28">
          <cell r="A28" t="str">
            <v xml:space="preserve">22- Dividendes versés à l'Etat </v>
          </cell>
        </row>
        <row r="29">
          <cell r="A29" t="str">
            <v>23- Frais d'inscription d'une concession minière ou d'un permis d'exploitation</v>
          </cell>
        </row>
        <row r="30">
          <cell r="A30" t="str">
            <v>24- Bonus (DGCPT)</v>
          </cell>
        </row>
        <row r="31">
          <cell r="A31" t="str">
            <v xml:space="preserve">25- Contribution économique locale (CEL VA et CEL VL) </v>
          </cell>
        </row>
        <row r="32">
          <cell r="A32" t="str">
            <v>26- Taxe sur la valeur ajoutée reversée</v>
          </cell>
        </row>
        <row r="33">
          <cell r="A33" t="str">
            <v>27- Retenues à la source sur salaires (IR, TRIMF et CFCE)</v>
          </cell>
        </row>
        <row r="34">
          <cell r="A34" t="str">
            <v>28- Redressements fiscaux</v>
          </cell>
        </row>
        <row r="35">
          <cell r="A35" t="str">
            <v>29 - (a)- Impôt sur les sociétés</v>
          </cell>
        </row>
        <row r="36">
          <cell r="A36" t="str">
            <v>29 - (b)- Impôt sur les sociétés (bénéfices non pétroliers/miniers )</v>
          </cell>
        </row>
        <row r="37">
          <cell r="A37" t="str">
            <v>30- Retenues à la source sur bénéfice non commercial</v>
          </cell>
        </row>
        <row r="38">
          <cell r="A38" t="str">
            <v>31- Contribution spéciale sur les produits des mines et des carrières (CSMC)</v>
          </cell>
        </row>
        <row r="39">
          <cell r="A39" t="str">
            <v>32- Retenue à la source sur sommes versées à des tiers</v>
          </cell>
        </row>
        <row r="40">
          <cell r="A40" t="str">
            <v>33- Taxe sur la valeur ajoutée précomptée</v>
          </cell>
        </row>
        <row r="41">
          <cell r="A41" t="str">
            <v>34- Impôt minimum forfaitaire</v>
          </cell>
        </row>
        <row r="42">
          <cell r="A42" t="str">
            <v>35- Bonus (DGID)</v>
          </cell>
        </row>
        <row r="43">
          <cell r="A43" t="str">
            <v xml:space="preserve">36- Surtaxe foncière </v>
          </cell>
        </row>
        <row r="44">
          <cell r="A44" t="str">
            <v>37- Impôt sur le revenu des valeurs mobilières</v>
          </cell>
        </row>
        <row r="45">
          <cell r="A45" t="str">
            <v>38- Taxe spéciale sur le ciment</v>
          </cell>
        </row>
        <row r="46">
          <cell r="A46" t="str">
            <v xml:space="preserve">39- Frais d'inscription d'une concession minière ou d'un permis d'exploitation </v>
          </cell>
        </row>
        <row r="47">
          <cell r="A47" t="str">
            <v xml:space="preserve">40- Taxe sur la valeur ajoutée </v>
          </cell>
        </row>
        <row r="48">
          <cell r="A48" t="str">
            <v xml:space="preserve">41- Prélèvement communautaire solidaire UEMOA </v>
          </cell>
        </row>
        <row r="49">
          <cell r="A49" t="str">
            <v>42- Redevance statistique UEMOA</v>
          </cell>
        </row>
        <row r="71">
          <cell r="A71" t="str">
            <v>Taxes payées non reportées</v>
          </cell>
        </row>
        <row r="72">
          <cell r="A72" t="str">
            <v>Taxes payées hors période de réconciliation</v>
          </cell>
        </row>
        <row r="73">
          <cell r="A73" t="str">
            <v>Taxes hors périmètre de réconciliation</v>
          </cell>
        </row>
        <row r="74">
          <cell r="A74" t="str">
            <v>Erreur de reporting (montant et détail)</v>
          </cell>
        </row>
        <row r="75">
          <cell r="A75" t="str">
            <v>Taxes reportées non payées</v>
          </cell>
        </row>
        <row r="76">
          <cell r="A76" t="str">
            <v>Montant doublement déclaré</v>
          </cell>
        </row>
        <row r="77">
          <cell r="A77" t="str">
            <v>Erreur de classification</v>
          </cell>
        </row>
        <row r="78">
          <cell r="A78" t="str">
            <v>Taxes payées sous un autre UFI</v>
          </cell>
        </row>
        <row r="79">
          <cell r="A79" t="str">
            <v>Différence de change</v>
          </cell>
        </row>
        <row r="83">
          <cell r="A83" t="str">
            <v>Taxes perçues non reportées par l'Etat</v>
          </cell>
        </row>
        <row r="84">
          <cell r="A84" t="str">
            <v>Montant doublement déclaré</v>
          </cell>
        </row>
        <row r="85">
          <cell r="A85" t="str">
            <v>Taxes perçues hors de la période de réconciliation</v>
          </cell>
        </row>
        <row r="86">
          <cell r="A86" t="str">
            <v>Erreur de reporting (montant et détail)</v>
          </cell>
        </row>
        <row r="87">
          <cell r="A87" t="str">
            <v>Taxe reportée par l'Etat non réellement encaissée</v>
          </cell>
        </row>
        <row r="88">
          <cell r="A88" t="str">
            <v>Erreur de classification</v>
          </cell>
        </row>
        <row r="89">
          <cell r="A89" t="str">
            <v>Taxes payées par la Ste sur un autre IFU non reporté par l'Etat</v>
          </cell>
        </row>
        <row r="90">
          <cell r="A90" t="str">
            <v>Taxes hors périmètre de réconciliation</v>
          </cell>
        </row>
        <row r="94">
          <cell r="A94" t="str">
            <v>FD non soumis par la Société</v>
          </cell>
        </row>
        <row r="95">
          <cell r="A95" t="str">
            <v>FD non soumis par l'Etat</v>
          </cell>
        </row>
        <row r="96">
          <cell r="A96" t="str">
            <v>Différences provenant de détail soumis par la société et non soumis par l'Etat d'un coté et détail soumis pas l'Etat et non soumis par la société de l'autre coté</v>
          </cell>
        </row>
        <row r="97">
          <cell r="A97" t="str">
            <v>Supporting documents do not match Govt Body report</v>
          </cell>
        </row>
        <row r="98">
          <cell r="A98" t="str">
            <v xml:space="preserve">Détail par quittance non soumis par l'Entreprise Extractive </v>
          </cell>
        </row>
        <row r="99">
          <cell r="A99" t="str">
            <v>Détail non soumis par l'Etat</v>
          </cell>
        </row>
        <row r="100">
          <cell r="A100" t="str">
            <v>Taxes non reportées par l'Entreprise Extractive</v>
          </cell>
        </row>
        <row r="101">
          <cell r="A101" t="str">
            <v>Taxes non reportées par l'Etat</v>
          </cell>
        </row>
        <row r="102">
          <cell r="A102" t="str">
            <v>Montants non reportés par l'Etat</v>
          </cell>
        </row>
        <row r="103">
          <cell r="A103" t="str">
            <v>Différence de classification</v>
          </cell>
        </row>
        <row r="104">
          <cell r="A104" t="str">
            <v>Montants non reportés par la société</v>
          </cell>
        </row>
        <row r="105">
          <cell r="A105" t="str">
            <v>Non significatif &lt; 500 000 FCFA</v>
          </cell>
        </row>
      </sheetData>
      <sheetData sheetId="5">
        <row r="4">
          <cell r="E4">
            <v>585.96749999999997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141C-27F4-415F-B3EC-04347B86B14A}">
  <sheetPr>
    <tabColor rgb="FF92D050"/>
  </sheetPr>
  <dimension ref="A1:O445"/>
  <sheetViews>
    <sheetView showGridLines="0" tabSelected="1" workbookViewId="0">
      <selection activeCell="F184" sqref="F184"/>
    </sheetView>
  </sheetViews>
  <sheetFormatPr baseColWidth="10" defaultColWidth="12.6328125" defaultRowHeight="14.5" x14ac:dyDescent="0.35"/>
  <cols>
    <col min="1" max="1" width="3.1796875" customWidth="1"/>
    <col min="2" max="2" width="3.36328125" bestFit="1" customWidth="1"/>
    <col min="3" max="3" width="38.54296875" bestFit="1" customWidth="1"/>
    <col min="4" max="4" width="38.54296875" customWidth="1"/>
    <col min="5" max="5" width="39" bestFit="1" customWidth="1"/>
    <col min="6" max="6" width="11.36328125" customWidth="1"/>
    <col min="7" max="7" width="11" customWidth="1"/>
    <col min="8" max="8" width="12" customWidth="1"/>
    <col min="9" max="9" width="15.26953125" customWidth="1"/>
    <col min="10" max="10" width="19.54296875" customWidth="1"/>
    <col min="11" max="11" width="18.1796875" customWidth="1"/>
    <col min="12" max="12" width="19.26953125" customWidth="1"/>
    <col min="13" max="13" width="22.08984375" customWidth="1"/>
  </cols>
  <sheetData>
    <row r="1" spans="1:15" ht="19" x14ac:dyDescent="0.45">
      <c r="A1" s="1" t="s">
        <v>0</v>
      </c>
    </row>
    <row r="3" spans="1:15" x14ac:dyDescent="0.35">
      <c r="A3" s="2" t="s">
        <v>1</v>
      </c>
    </row>
    <row r="4" spans="1:15" x14ac:dyDescent="0.35">
      <c r="A4" s="3"/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5">
      <c r="A5" s="3"/>
      <c r="B5" s="5"/>
      <c r="C5" s="6"/>
      <c r="D5" s="6"/>
      <c r="E5" s="6"/>
      <c r="F5" s="7" t="s">
        <v>2</v>
      </c>
      <c r="G5" s="7"/>
      <c r="H5" s="7" t="s">
        <v>3</v>
      </c>
      <c r="I5" s="7"/>
      <c r="J5" s="8" t="s">
        <v>4</v>
      </c>
      <c r="K5" s="8"/>
      <c r="L5" s="8" t="s">
        <v>5</v>
      </c>
      <c r="M5" s="8"/>
      <c r="N5" s="3"/>
      <c r="O5" s="3"/>
    </row>
    <row r="6" spans="1:15" ht="15" thickBot="1" x14ac:dyDescent="0.4">
      <c r="A6" s="3"/>
      <c r="B6" s="9" t="s">
        <v>6</v>
      </c>
      <c r="C6" s="10" t="s">
        <v>7</v>
      </c>
      <c r="D6" s="10" t="s">
        <v>8</v>
      </c>
      <c r="E6" s="11" t="s">
        <v>9</v>
      </c>
      <c r="F6" s="12" t="s">
        <v>10</v>
      </c>
      <c r="G6" s="12" t="s">
        <v>11</v>
      </c>
      <c r="H6" s="12" t="s">
        <v>10</v>
      </c>
      <c r="I6" s="12" t="s">
        <v>11</v>
      </c>
      <c r="J6" s="13" t="s">
        <v>10</v>
      </c>
      <c r="K6" s="13" t="s">
        <v>11</v>
      </c>
      <c r="L6" s="13" t="s">
        <v>10</v>
      </c>
      <c r="M6" s="13" t="s">
        <v>11</v>
      </c>
      <c r="N6" s="3"/>
      <c r="O6" s="3"/>
    </row>
    <row r="7" spans="1:15" x14ac:dyDescent="0.35">
      <c r="A7" s="3"/>
      <c r="B7" s="14">
        <v>1</v>
      </c>
      <c r="C7" s="15" t="s">
        <v>12</v>
      </c>
      <c r="D7" s="16" t="s">
        <v>13</v>
      </c>
      <c r="E7" s="17" t="s">
        <v>14</v>
      </c>
      <c r="F7" s="18">
        <v>7</v>
      </c>
      <c r="G7" s="18">
        <v>3</v>
      </c>
      <c r="H7" s="19">
        <v>0</v>
      </c>
      <c r="I7" s="19">
        <v>0</v>
      </c>
      <c r="J7" s="19">
        <v>392778167</v>
      </c>
      <c r="K7" s="19">
        <v>159551352</v>
      </c>
      <c r="L7" s="19">
        <v>0</v>
      </c>
      <c r="M7" s="19">
        <v>0</v>
      </c>
      <c r="N7" s="3"/>
      <c r="O7" s="3"/>
    </row>
    <row r="8" spans="1:15" x14ac:dyDescent="0.35">
      <c r="A8" s="3"/>
      <c r="B8" s="14">
        <v>1</v>
      </c>
      <c r="C8" s="15" t="s">
        <v>12</v>
      </c>
      <c r="D8" s="16" t="s">
        <v>13</v>
      </c>
      <c r="E8" s="17" t="s">
        <v>15</v>
      </c>
      <c r="F8" s="18">
        <v>22</v>
      </c>
      <c r="G8" s="18">
        <v>16</v>
      </c>
      <c r="H8" s="19">
        <v>0</v>
      </c>
      <c r="I8" s="19">
        <v>0</v>
      </c>
      <c r="J8" s="19">
        <v>392609804</v>
      </c>
      <c r="K8" s="19">
        <v>379179965</v>
      </c>
      <c r="L8" s="19">
        <v>0</v>
      </c>
      <c r="M8" s="19">
        <v>0</v>
      </c>
      <c r="N8" s="3"/>
      <c r="O8" s="3"/>
    </row>
    <row r="9" spans="1:15" x14ac:dyDescent="0.35">
      <c r="A9" s="3"/>
      <c r="B9" s="14">
        <v>1</v>
      </c>
      <c r="C9" s="15" t="s">
        <v>12</v>
      </c>
      <c r="D9" s="16" t="s">
        <v>13</v>
      </c>
      <c r="E9" s="17" t="s">
        <v>16</v>
      </c>
      <c r="F9" s="18">
        <v>27</v>
      </c>
      <c r="G9" s="18">
        <v>13</v>
      </c>
      <c r="H9" s="19">
        <v>0</v>
      </c>
      <c r="I9" s="19">
        <v>0</v>
      </c>
      <c r="J9" s="19">
        <v>162524489</v>
      </c>
      <c r="K9" s="19">
        <v>83264246</v>
      </c>
      <c r="L9" s="19">
        <v>0</v>
      </c>
      <c r="M9" s="19">
        <v>0</v>
      </c>
      <c r="N9" s="3"/>
      <c r="O9" s="3"/>
    </row>
    <row r="10" spans="1:15" x14ac:dyDescent="0.35">
      <c r="A10" s="3"/>
      <c r="B10" s="14">
        <v>1</v>
      </c>
      <c r="C10" s="15" t="s">
        <v>12</v>
      </c>
      <c r="D10" s="16" t="s">
        <v>13</v>
      </c>
      <c r="E10" s="17" t="s">
        <v>17</v>
      </c>
      <c r="F10" s="18">
        <v>0</v>
      </c>
      <c r="G10" s="18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3"/>
      <c r="O10" s="3"/>
    </row>
    <row r="11" spans="1:15" x14ac:dyDescent="0.35">
      <c r="A11" s="3"/>
      <c r="B11" s="14">
        <v>1</v>
      </c>
      <c r="C11" s="15" t="s">
        <v>12</v>
      </c>
      <c r="D11" s="16" t="s">
        <v>13</v>
      </c>
      <c r="E11" s="20" t="s">
        <v>18</v>
      </c>
      <c r="F11" s="21">
        <f t="shared" ref="F11:M11" si="0">SUM(F7:F10)</f>
        <v>56</v>
      </c>
      <c r="G11" s="21">
        <f t="shared" si="0"/>
        <v>32</v>
      </c>
      <c r="H11" s="21">
        <f t="shared" si="0"/>
        <v>0</v>
      </c>
      <c r="I11" s="21">
        <f t="shared" si="0"/>
        <v>0</v>
      </c>
      <c r="J11" s="21">
        <f t="shared" si="0"/>
        <v>947912460</v>
      </c>
      <c r="K11" s="21">
        <f t="shared" si="0"/>
        <v>621995563</v>
      </c>
      <c r="L11" s="21">
        <f t="shared" si="0"/>
        <v>0</v>
      </c>
      <c r="M11" s="21">
        <f t="shared" si="0"/>
        <v>0</v>
      </c>
      <c r="N11" s="3"/>
      <c r="O11" s="3"/>
    </row>
    <row r="12" spans="1:15" x14ac:dyDescent="0.35">
      <c r="A12" s="3"/>
      <c r="B12" s="14">
        <v>1</v>
      </c>
      <c r="C12" s="15" t="s">
        <v>12</v>
      </c>
      <c r="D12" s="16" t="s">
        <v>13</v>
      </c>
      <c r="E12" s="17" t="s">
        <v>19</v>
      </c>
      <c r="F12" s="18">
        <v>55</v>
      </c>
      <c r="G12" s="18">
        <v>30</v>
      </c>
      <c r="H12" s="19">
        <v>0</v>
      </c>
      <c r="I12" s="19">
        <v>0</v>
      </c>
      <c r="J12" s="22">
        <v>946387192</v>
      </c>
      <c r="K12" s="22">
        <v>619662191</v>
      </c>
      <c r="L12" s="19">
        <v>0</v>
      </c>
      <c r="M12" s="19">
        <v>0</v>
      </c>
      <c r="N12" s="3"/>
      <c r="O12" s="3"/>
    </row>
    <row r="13" spans="1:15" x14ac:dyDescent="0.35">
      <c r="A13" s="3"/>
      <c r="B13" s="14">
        <v>1</v>
      </c>
      <c r="C13" s="15" t="s">
        <v>12</v>
      </c>
      <c r="D13" s="16" t="s">
        <v>13</v>
      </c>
      <c r="E13" s="17" t="s">
        <v>20</v>
      </c>
      <c r="F13" s="18">
        <v>1</v>
      </c>
      <c r="G13" s="18">
        <v>2</v>
      </c>
      <c r="H13" s="19">
        <v>0</v>
      </c>
      <c r="I13" s="19">
        <v>0</v>
      </c>
      <c r="J13" s="22">
        <v>1525268</v>
      </c>
      <c r="K13" s="22">
        <v>2333372</v>
      </c>
      <c r="L13" s="19">
        <v>0</v>
      </c>
      <c r="M13" s="19">
        <v>0</v>
      </c>
      <c r="N13" s="3"/>
      <c r="O13" s="3"/>
    </row>
    <row r="14" spans="1:15" x14ac:dyDescent="0.35">
      <c r="A14" s="3"/>
      <c r="B14" s="23">
        <v>1</v>
      </c>
      <c r="C14" s="24" t="s">
        <v>12</v>
      </c>
      <c r="D14" s="25" t="s">
        <v>21</v>
      </c>
      <c r="E14" s="26" t="s">
        <v>14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3"/>
      <c r="O14" s="3"/>
    </row>
    <row r="15" spans="1:15" x14ac:dyDescent="0.35">
      <c r="A15" s="3"/>
      <c r="B15" s="23">
        <v>1</v>
      </c>
      <c r="C15" s="24" t="s">
        <v>12</v>
      </c>
      <c r="D15" s="25" t="s">
        <v>21</v>
      </c>
      <c r="E15" s="26" t="s">
        <v>15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3"/>
      <c r="O15" s="3"/>
    </row>
    <row r="16" spans="1:15" x14ac:dyDescent="0.35">
      <c r="A16" s="3"/>
      <c r="B16" s="23">
        <v>1</v>
      </c>
      <c r="C16" s="24" t="s">
        <v>12</v>
      </c>
      <c r="D16" s="25" t="s">
        <v>21</v>
      </c>
      <c r="E16" s="26" t="s">
        <v>16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3"/>
      <c r="O16" s="3"/>
    </row>
    <row r="17" spans="1:15" x14ac:dyDescent="0.35">
      <c r="A17" s="3"/>
      <c r="B17" s="23">
        <v>1</v>
      </c>
      <c r="C17" s="24" t="s">
        <v>12</v>
      </c>
      <c r="D17" s="25" t="s">
        <v>21</v>
      </c>
      <c r="E17" s="26" t="s">
        <v>17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3"/>
      <c r="O17" s="3"/>
    </row>
    <row r="18" spans="1:15" x14ac:dyDescent="0.35">
      <c r="A18" s="3"/>
      <c r="B18" s="23">
        <v>1</v>
      </c>
      <c r="C18" s="24" t="s">
        <v>12</v>
      </c>
      <c r="D18" s="25" t="s">
        <v>21</v>
      </c>
      <c r="E18" s="28" t="s">
        <v>18</v>
      </c>
      <c r="F18" s="29">
        <f t="shared" ref="F18:M18" si="1">SUM(F14:F17)</f>
        <v>0</v>
      </c>
      <c r="G18" s="29">
        <f t="shared" si="1"/>
        <v>0</v>
      </c>
      <c r="H18" s="29">
        <f t="shared" si="1"/>
        <v>0</v>
      </c>
      <c r="I18" s="29">
        <f t="shared" si="1"/>
        <v>0</v>
      </c>
      <c r="J18" s="29">
        <f t="shared" si="1"/>
        <v>0</v>
      </c>
      <c r="K18" s="29">
        <f t="shared" si="1"/>
        <v>0</v>
      </c>
      <c r="L18" s="29">
        <f t="shared" si="1"/>
        <v>0</v>
      </c>
      <c r="M18" s="29">
        <f t="shared" si="1"/>
        <v>0</v>
      </c>
      <c r="N18" s="3"/>
      <c r="O18" s="3"/>
    </row>
    <row r="19" spans="1:15" x14ac:dyDescent="0.35">
      <c r="A19" s="3"/>
      <c r="B19" s="23">
        <v>1</v>
      </c>
      <c r="C19" s="24" t="s">
        <v>12</v>
      </c>
      <c r="D19" s="25" t="s">
        <v>21</v>
      </c>
      <c r="E19" s="26" t="s">
        <v>19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3"/>
      <c r="O19" s="3"/>
    </row>
    <row r="20" spans="1:15" x14ac:dyDescent="0.35">
      <c r="A20" s="3"/>
      <c r="B20" s="23">
        <v>1</v>
      </c>
      <c r="C20" s="24" t="s">
        <v>12</v>
      </c>
      <c r="D20" s="25" t="s">
        <v>21</v>
      </c>
      <c r="E20" s="26" t="s">
        <v>20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3"/>
      <c r="O20" s="3"/>
    </row>
    <row r="21" spans="1:15" x14ac:dyDescent="0.35">
      <c r="A21" s="3"/>
      <c r="B21" s="14">
        <v>2</v>
      </c>
      <c r="C21" s="15" t="s">
        <v>22</v>
      </c>
      <c r="D21" s="16" t="s">
        <v>13</v>
      </c>
      <c r="E21" s="17" t="s">
        <v>14</v>
      </c>
      <c r="F21" s="18">
        <v>10</v>
      </c>
      <c r="G21" s="18">
        <v>0</v>
      </c>
      <c r="H21" s="19">
        <v>0</v>
      </c>
      <c r="I21" s="19">
        <v>0</v>
      </c>
      <c r="J21" s="19">
        <v>224528969</v>
      </c>
      <c r="K21" s="19">
        <v>0</v>
      </c>
      <c r="L21" s="19">
        <v>0</v>
      </c>
      <c r="M21" s="19">
        <v>0</v>
      </c>
      <c r="N21" s="3"/>
      <c r="O21" s="3"/>
    </row>
    <row r="22" spans="1:15" x14ac:dyDescent="0.35">
      <c r="A22" s="3"/>
      <c r="B22" s="14">
        <v>2</v>
      </c>
      <c r="C22" s="15" t="s">
        <v>22</v>
      </c>
      <c r="D22" s="16" t="s">
        <v>13</v>
      </c>
      <c r="E22" s="17" t="s">
        <v>15</v>
      </c>
      <c r="F22" s="18">
        <v>7</v>
      </c>
      <c r="G22" s="18">
        <v>0</v>
      </c>
      <c r="H22" s="19">
        <v>0</v>
      </c>
      <c r="I22" s="19">
        <v>0</v>
      </c>
      <c r="J22" s="19">
        <v>85919528</v>
      </c>
      <c r="K22" s="19">
        <v>0</v>
      </c>
      <c r="L22" s="19">
        <v>0</v>
      </c>
      <c r="M22" s="19">
        <v>0</v>
      </c>
      <c r="N22" s="3"/>
      <c r="O22" s="3"/>
    </row>
    <row r="23" spans="1:15" x14ac:dyDescent="0.35">
      <c r="A23" s="3"/>
      <c r="B23" s="14">
        <v>2</v>
      </c>
      <c r="C23" s="15" t="s">
        <v>22</v>
      </c>
      <c r="D23" s="16" t="s">
        <v>13</v>
      </c>
      <c r="E23" s="17" t="s">
        <v>16</v>
      </c>
      <c r="F23" s="18">
        <v>19</v>
      </c>
      <c r="G23" s="18">
        <v>3</v>
      </c>
      <c r="H23" s="19">
        <v>0</v>
      </c>
      <c r="I23" s="19">
        <v>0</v>
      </c>
      <c r="J23" s="19">
        <v>146198882</v>
      </c>
      <c r="K23" s="19">
        <v>21770392</v>
      </c>
      <c r="L23" s="19">
        <v>0</v>
      </c>
      <c r="M23" s="19">
        <v>0</v>
      </c>
      <c r="N23" s="3"/>
      <c r="O23" s="3"/>
    </row>
    <row r="24" spans="1:15" x14ac:dyDescent="0.35">
      <c r="A24" s="3"/>
      <c r="B24" s="14">
        <v>2</v>
      </c>
      <c r="C24" s="15" t="s">
        <v>22</v>
      </c>
      <c r="D24" s="16" t="s">
        <v>13</v>
      </c>
      <c r="E24" s="17" t="s">
        <v>17</v>
      </c>
      <c r="F24" s="18">
        <v>43</v>
      </c>
      <c r="G24" s="18">
        <v>5</v>
      </c>
      <c r="H24" s="19">
        <v>0</v>
      </c>
      <c r="I24" s="19">
        <v>0</v>
      </c>
      <c r="J24" s="19">
        <v>170798107</v>
      </c>
      <c r="K24" s="19">
        <v>19067721</v>
      </c>
      <c r="L24" s="19">
        <v>0</v>
      </c>
      <c r="M24" s="19">
        <v>0</v>
      </c>
      <c r="N24" s="3"/>
      <c r="O24" s="3"/>
    </row>
    <row r="25" spans="1:15" x14ac:dyDescent="0.35">
      <c r="A25" s="3"/>
      <c r="B25" s="14">
        <v>2</v>
      </c>
      <c r="C25" s="15" t="s">
        <v>22</v>
      </c>
      <c r="D25" s="16" t="s">
        <v>13</v>
      </c>
      <c r="E25" s="20" t="s">
        <v>18</v>
      </c>
      <c r="F25" s="21">
        <f>SUM(F21:F24)</f>
        <v>79</v>
      </c>
      <c r="G25" s="21">
        <f>SUM(G21:G24)</f>
        <v>8</v>
      </c>
      <c r="H25" s="21">
        <f t="shared" ref="H25:M25" si="2">SUM(H21:H24)</f>
        <v>0</v>
      </c>
      <c r="I25" s="21">
        <f t="shared" si="2"/>
        <v>0</v>
      </c>
      <c r="J25" s="21">
        <f t="shared" si="2"/>
        <v>627445486</v>
      </c>
      <c r="K25" s="21">
        <f t="shared" si="2"/>
        <v>40838113</v>
      </c>
      <c r="L25" s="21">
        <f t="shared" si="2"/>
        <v>0</v>
      </c>
      <c r="M25" s="21">
        <f t="shared" si="2"/>
        <v>0</v>
      </c>
      <c r="N25" s="3"/>
      <c r="O25" s="3"/>
    </row>
    <row r="26" spans="1:15" x14ac:dyDescent="0.35">
      <c r="A26" s="3"/>
      <c r="B26" s="14">
        <v>2</v>
      </c>
      <c r="C26" s="15" t="s">
        <v>22</v>
      </c>
      <c r="D26" s="16" t="s">
        <v>13</v>
      </c>
      <c r="E26" s="17" t="s">
        <v>19</v>
      </c>
      <c r="F26" s="18">
        <v>79</v>
      </c>
      <c r="G26" s="18">
        <v>8</v>
      </c>
      <c r="H26" s="19">
        <v>0</v>
      </c>
      <c r="I26" s="19">
        <v>0</v>
      </c>
      <c r="J26" s="22">
        <f>+J25</f>
        <v>627445486</v>
      </c>
      <c r="K26" s="22">
        <f>+K25</f>
        <v>40838113</v>
      </c>
      <c r="L26" s="19">
        <v>0</v>
      </c>
      <c r="M26" s="19">
        <v>0</v>
      </c>
      <c r="N26" s="3"/>
      <c r="O26" s="3"/>
    </row>
    <row r="27" spans="1:15" x14ac:dyDescent="0.35">
      <c r="A27" s="3"/>
      <c r="B27" s="14">
        <v>2</v>
      </c>
      <c r="C27" s="15" t="s">
        <v>22</v>
      </c>
      <c r="D27" s="16" t="s">
        <v>13</v>
      </c>
      <c r="E27" s="17" t="s">
        <v>20</v>
      </c>
      <c r="F27" s="18">
        <v>0</v>
      </c>
      <c r="G27" s="18">
        <v>0</v>
      </c>
      <c r="H27" s="19">
        <v>0</v>
      </c>
      <c r="I27" s="19">
        <v>0</v>
      </c>
      <c r="J27" s="22">
        <v>0</v>
      </c>
      <c r="K27" s="22">
        <v>0</v>
      </c>
      <c r="L27" s="19">
        <v>0</v>
      </c>
      <c r="M27" s="19">
        <v>0</v>
      </c>
      <c r="N27" s="3"/>
      <c r="O27" s="3"/>
    </row>
    <row r="28" spans="1:15" x14ac:dyDescent="0.35">
      <c r="A28" s="3"/>
      <c r="B28" s="23">
        <v>2</v>
      </c>
      <c r="C28" s="24" t="s">
        <v>22</v>
      </c>
      <c r="D28" s="25" t="s">
        <v>21</v>
      </c>
      <c r="E28" s="26" t="s">
        <v>14</v>
      </c>
      <c r="F28" s="27">
        <v>0</v>
      </c>
      <c r="G28" s="27">
        <v>0</v>
      </c>
      <c r="H28" s="27">
        <v>2</v>
      </c>
      <c r="I28" s="27">
        <v>0</v>
      </c>
      <c r="J28" s="27">
        <v>0</v>
      </c>
      <c r="K28" s="27">
        <v>0</v>
      </c>
      <c r="L28" s="27">
        <v>92400000</v>
      </c>
      <c r="M28" s="27">
        <v>0</v>
      </c>
      <c r="N28" s="3"/>
      <c r="O28" s="3"/>
    </row>
    <row r="29" spans="1:15" x14ac:dyDescent="0.35">
      <c r="A29" s="3"/>
      <c r="B29" s="23">
        <v>2</v>
      </c>
      <c r="C29" s="24" t="s">
        <v>22</v>
      </c>
      <c r="D29" s="25" t="s">
        <v>21</v>
      </c>
      <c r="E29" s="26" t="s">
        <v>15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3"/>
      <c r="O29" s="3"/>
    </row>
    <row r="30" spans="1:15" x14ac:dyDescent="0.35">
      <c r="A30" s="3"/>
      <c r="B30" s="23">
        <v>2</v>
      </c>
      <c r="C30" s="24" t="s">
        <v>22</v>
      </c>
      <c r="D30" s="25" t="s">
        <v>21</v>
      </c>
      <c r="E30" s="26" t="s">
        <v>16</v>
      </c>
      <c r="F30" s="27">
        <v>3</v>
      </c>
      <c r="G30" s="27">
        <v>0</v>
      </c>
      <c r="H30" s="27">
        <v>0</v>
      </c>
      <c r="I30" s="27">
        <v>0</v>
      </c>
      <c r="J30" s="27">
        <v>11583161</v>
      </c>
      <c r="K30" s="27">
        <v>0</v>
      </c>
      <c r="L30" s="27">
        <v>0</v>
      </c>
      <c r="M30" s="27">
        <v>0</v>
      </c>
      <c r="N30" s="3"/>
      <c r="O30" s="3"/>
    </row>
    <row r="31" spans="1:15" x14ac:dyDescent="0.35">
      <c r="A31" s="3"/>
      <c r="B31" s="23">
        <v>2</v>
      </c>
      <c r="C31" s="24" t="s">
        <v>22</v>
      </c>
      <c r="D31" s="25" t="s">
        <v>21</v>
      </c>
      <c r="E31" s="26" t="s">
        <v>17</v>
      </c>
      <c r="F31" s="27">
        <v>24</v>
      </c>
      <c r="G31" s="27">
        <v>4</v>
      </c>
      <c r="H31" s="27">
        <v>0</v>
      </c>
      <c r="I31" s="27">
        <v>0</v>
      </c>
      <c r="J31" s="27">
        <v>66884229</v>
      </c>
      <c r="K31" s="27">
        <v>0</v>
      </c>
      <c r="L31" s="27">
        <v>0</v>
      </c>
      <c r="M31" s="27">
        <v>0</v>
      </c>
      <c r="N31" s="3"/>
      <c r="O31" s="3"/>
    </row>
    <row r="32" spans="1:15" x14ac:dyDescent="0.35">
      <c r="A32" s="3"/>
      <c r="B32" s="23">
        <v>2</v>
      </c>
      <c r="C32" s="24" t="s">
        <v>22</v>
      </c>
      <c r="D32" s="25" t="s">
        <v>21</v>
      </c>
      <c r="E32" s="28" t="s">
        <v>18</v>
      </c>
      <c r="F32" s="29">
        <f t="shared" ref="F32:M32" si="3">SUM(F28:F31)</f>
        <v>27</v>
      </c>
      <c r="G32" s="29">
        <f t="shared" si="3"/>
        <v>4</v>
      </c>
      <c r="H32" s="29">
        <f t="shared" si="3"/>
        <v>2</v>
      </c>
      <c r="I32" s="29">
        <f t="shared" si="3"/>
        <v>0</v>
      </c>
      <c r="J32" s="29">
        <f t="shared" si="3"/>
        <v>78467390</v>
      </c>
      <c r="K32" s="29">
        <f t="shared" si="3"/>
        <v>0</v>
      </c>
      <c r="L32" s="29">
        <f t="shared" si="3"/>
        <v>92400000</v>
      </c>
      <c r="M32" s="29">
        <f t="shared" si="3"/>
        <v>0</v>
      </c>
      <c r="N32" s="3"/>
      <c r="O32" s="3"/>
    </row>
    <row r="33" spans="1:15" x14ac:dyDescent="0.35">
      <c r="A33" s="3"/>
      <c r="B33" s="23">
        <v>2</v>
      </c>
      <c r="C33" s="24" t="s">
        <v>22</v>
      </c>
      <c r="D33" s="25" t="s">
        <v>21</v>
      </c>
      <c r="E33" s="26" t="s">
        <v>19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3"/>
      <c r="O33" s="3"/>
    </row>
    <row r="34" spans="1:15" x14ac:dyDescent="0.35">
      <c r="A34" s="3"/>
      <c r="B34" s="23">
        <v>2</v>
      </c>
      <c r="C34" s="24" t="s">
        <v>22</v>
      </c>
      <c r="D34" s="25" t="s">
        <v>21</v>
      </c>
      <c r="E34" s="26" t="s">
        <v>20</v>
      </c>
      <c r="F34" s="27">
        <v>27</v>
      </c>
      <c r="G34" s="27">
        <v>4</v>
      </c>
      <c r="H34" s="27">
        <v>2</v>
      </c>
      <c r="I34" s="27">
        <v>0</v>
      </c>
      <c r="J34" s="27">
        <v>78467390</v>
      </c>
      <c r="K34" s="27">
        <v>0</v>
      </c>
      <c r="L34" s="27">
        <v>92400000</v>
      </c>
      <c r="M34" s="27">
        <v>0</v>
      </c>
      <c r="N34" s="3"/>
      <c r="O34" s="3"/>
    </row>
    <row r="35" spans="1:15" x14ac:dyDescent="0.35">
      <c r="A35" s="3"/>
      <c r="B35" s="14">
        <v>3</v>
      </c>
      <c r="C35" s="15" t="s">
        <v>23</v>
      </c>
      <c r="D35" s="16" t="s">
        <v>13</v>
      </c>
      <c r="E35" s="17" t="s">
        <v>14</v>
      </c>
      <c r="F35" s="18">
        <v>0</v>
      </c>
      <c r="G35" s="18">
        <v>1</v>
      </c>
      <c r="H35" s="19">
        <v>1</v>
      </c>
      <c r="I35" s="19">
        <v>0</v>
      </c>
      <c r="J35" s="19">
        <v>0</v>
      </c>
      <c r="K35" s="19" t="s">
        <v>24</v>
      </c>
      <c r="L35" s="19" t="s">
        <v>24</v>
      </c>
      <c r="M35" s="19">
        <v>0</v>
      </c>
      <c r="N35" s="3"/>
      <c r="O35" s="3"/>
    </row>
    <row r="36" spans="1:15" x14ac:dyDescent="0.35">
      <c r="A36" s="3"/>
      <c r="B36" s="14">
        <v>3</v>
      </c>
      <c r="C36" s="15" t="s">
        <v>23</v>
      </c>
      <c r="D36" s="16" t="s">
        <v>13</v>
      </c>
      <c r="E36" s="17" t="s">
        <v>15</v>
      </c>
      <c r="F36" s="18">
        <v>1</v>
      </c>
      <c r="G36" s="18">
        <v>0</v>
      </c>
      <c r="H36" s="19">
        <v>0</v>
      </c>
      <c r="I36" s="19">
        <v>0</v>
      </c>
      <c r="J36" s="19" t="s">
        <v>24</v>
      </c>
      <c r="K36" s="19">
        <v>0</v>
      </c>
      <c r="L36" s="19">
        <v>0</v>
      </c>
      <c r="M36" s="19">
        <v>0</v>
      </c>
      <c r="N36" s="3"/>
      <c r="O36" s="3"/>
    </row>
    <row r="37" spans="1:15" x14ac:dyDescent="0.35">
      <c r="A37" s="3"/>
      <c r="B37" s="14">
        <v>3</v>
      </c>
      <c r="C37" s="15" t="s">
        <v>23</v>
      </c>
      <c r="D37" s="16" t="s">
        <v>13</v>
      </c>
      <c r="E37" s="17" t="s">
        <v>16</v>
      </c>
      <c r="F37" s="18">
        <v>0</v>
      </c>
      <c r="G37" s="18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3"/>
      <c r="O37" s="3"/>
    </row>
    <row r="38" spans="1:15" x14ac:dyDescent="0.35">
      <c r="A38" s="3"/>
      <c r="B38" s="14">
        <v>3</v>
      </c>
      <c r="C38" s="15" t="s">
        <v>23</v>
      </c>
      <c r="D38" s="16" t="s">
        <v>13</v>
      </c>
      <c r="E38" s="17" t="s">
        <v>17</v>
      </c>
      <c r="F38" s="18">
        <v>0</v>
      </c>
      <c r="G38" s="18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3"/>
      <c r="O38" s="3"/>
    </row>
    <row r="39" spans="1:15" x14ac:dyDescent="0.35">
      <c r="A39" s="3"/>
      <c r="B39" s="14">
        <v>3</v>
      </c>
      <c r="C39" s="15" t="s">
        <v>23</v>
      </c>
      <c r="D39" s="16" t="s">
        <v>13</v>
      </c>
      <c r="E39" s="20" t="s">
        <v>18</v>
      </c>
      <c r="F39" s="21">
        <f>SUM(F35:F38)</f>
        <v>1</v>
      </c>
      <c r="G39" s="21">
        <f t="shared" ref="G39:M39" si="4">SUM(G35:G38)</f>
        <v>1</v>
      </c>
      <c r="H39" s="21">
        <f t="shared" si="4"/>
        <v>1</v>
      </c>
      <c r="I39" s="21">
        <f t="shared" si="4"/>
        <v>0</v>
      </c>
      <c r="J39" s="21" t="s">
        <v>24</v>
      </c>
      <c r="K39" s="21" t="s">
        <v>24</v>
      </c>
      <c r="L39" s="21" t="s">
        <v>24</v>
      </c>
      <c r="M39" s="21">
        <f t="shared" si="4"/>
        <v>0</v>
      </c>
      <c r="N39" s="3"/>
      <c r="O39" s="3"/>
    </row>
    <row r="40" spans="1:15" x14ac:dyDescent="0.35">
      <c r="A40" s="3"/>
      <c r="B40" s="14">
        <v>3</v>
      </c>
      <c r="C40" s="15" t="s">
        <v>23</v>
      </c>
      <c r="D40" s="16" t="s">
        <v>13</v>
      </c>
      <c r="E40" s="17" t="s">
        <v>19</v>
      </c>
      <c r="F40" s="18">
        <v>1</v>
      </c>
      <c r="G40" s="18">
        <v>1</v>
      </c>
      <c r="H40" s="19">
        <v>1</v>
      </c>
      <c r="I40" s="19">
        <v>0</v>
      </c>
      <c r="J40" s="22" t="s">
        <v>24</v>
      </c>
      <c r="K40" s="22" t="s">
        <v>24</v>
      </c>
      <c r="L40" s="19" t="s">
        <v>24</v>
      </c>
      <c r="M40" s="19">
        <v>0</v>
      </c>
      <c r="N40" s="3"/>
      <c r="O40" s="3"/>
    </row>
    <row r="41" spans="1:15" x14ac:dyDescent="0.35">
      <c r="A41" s="3"/>
      <c r="B41" s="14">
        <v>3</v>
      </c>
      <c r="C41" s="15" t="s">
        <v>23</v>
      </c>
      <c r="D41" s="16" t="s">
        <v>13</v>
      </c>
      <c r="E41" s="17" t="s">
        <v>20</v>
      </c>
      <c r="F41" s="18">
        <v>0</v>
      </c>
      <c r="G41" s="18">
        <v>0</v>
      </c>
      <c r="H41" s="19">
        <v>0</v>
      </c>
      <c r="I41" s="19">
        <v>0</v>
      </c>
      <c r="J41" s="22">
        <v>0</v>
      </c>
      <c r="K41" s="22">
        <v>0</v>
      </c>
      <c r="L41" s="19">
        <v>0</v>
      </c>
      <c r="M41" s="19">
        <v>0</v>
      </c>
      <c r="N41" s="3"/>
      <c r="O41" s="3"/>
    </row>
    <row r="42" spans="1:15" x14ac:dyDescent="0.35">
      <c r="A42" s="3"/>
      <c r="B42" s="23">
        <v>3</v>
      </c>
      <c r="C42" s="24" t="s">
        <v>23</v>
      </c>
      <c r="D42" s="25" t="s">
        <v>21</v>
      </c>
      <c r="E42" s="26" t="s">
        <v>14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3"/>
      <c r="O42" s="3"/>
    </row>
    <row r="43" spans="1:15" x14ac:dyDescent="0.35">
      <c r="A43" s="3"/>
      <c r="B43" s="23">
        <v>3</v>
      </c>
      <c r="C43" s="24" t="s">
        <v>23</v>
      </c>
      <c r="D43" s="25" t="s">
        <v>21</v>
      </c>
      <c r="E43" s="26" t="s">
        <v>15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3"/>
      <c r="O43" s="3"/>
    </row>
    <row r="44" spans="1:15" x14ac:dyDescent="0.35">
      <c r="A44" s="3"/>
      <c r="B44" s="23">
        <v>3</v>
      </c>
      <c r="C44" s="24" t="s">
        <v>23</v>
      </c>
      <c r="D44" s="25" t="s">
        <v>21</v>
      </c>
      <c r="E44" s="26" t="s">
        <v>16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3"/>
      <c r="O44" s="3"/>
    </row>
    <row r="45" spans="1:15" x14ac:dyDescent="0.35">
      <c r="A45" s="3"/>
      <c r="B45" s="23">
        <v>3</v>
      </c>
      <c r="C45" s="24" t="s">
        <v>23</v>
      </c>
      <c r="D45" s="25" t="s">
        <v>21</v>
      </c>
      <c r="E45" s="26" t="s">
        <v>17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3"/>
      <c r="O45" s="3"/>
    </row>
    <row r="46" spans="1:15" x14ac:dyDescent="0.35">
      <c r="A46" s="3"/>
      <c r="B46" s="23">
        <v>3</v>
      </c>
      <c r="C46" s="24" t="s">
        <v>23</v>
      </c>
      <c r="D46" s="25" t="s">
        <v>21</v>
      </c>
      <c r="E46" s="28" t="s">
        <v>18</v>
      </c>
      <c r="F46" s="29">
        <f t="shared" ref="F46:M46" si="5">SUM(F42:F45)</f>
        <v>0</v>
      </c>
      <c r="G46" s="29">
        <f t="shared" si="5"/>
        <v>0</v>
      </c>
      <c r="H46" s="29">
        <f t="shared" si="5"/>
        <v>0</v>
      </c>
      <c r="I46" s="29">
        <f t="shared" si="5"/>
        <v>0</v>
      </c>
      <c r="J46" s="29">
        <f t="shared" si="5"/>
        <v>0</v>
      </c>
      <c r="K46" s="29">
        <f t="shared" si="5"/>
        <v>0</v>
      </c>
      <c r="L46" s="29">
        <f t="shared" si="5"/>
        <v>0</v>
      </c>
      <c r="M46" s="29">
        <f t="shared" si="5"/>
        <v>0</v>
      </c>
      <c r="N46" s="3"/>
      <c r="O46" s="3"/>
    </row>
    <row r="47" spans="1:15" x14ac:dyDescent="0.35">
      <c r="A47" s="3"/>
      <c r="B47" s="23">
        <v>3</v>
      </c>
      <c r="C47" s="24" t="s">
        <v>23</v>
      </c>
      <c r="D47" s="25" t="s">
        <v>21</v>
      </c>
      <c r="E47" s="26" t="s">
        <v>19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3"/>
      <c r="O47" s="3"/>
    </row>
    <row r="48" spans="1:15" x14ac:dyDescent="0.35">
      <c r="A48" s="3"/>
      <c r="B48" s="23">
        <v>3</v>
      </c>
      <c r="C48" s="24" t="s">
        <v>23</v>
      </c>
      <c r="D48" s="25" t="s">
        <v>21</v>
      </c>
      <c r="E48" s="26" t="s">
        <v>20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3"/>
      <c r="O48" s="3"/>
    </row>
    <row r="49" spans="1:15" x14ac:dyDescent="0.35">
      <c r="A49" s="3"/>
      <c r="B49" s="14">
        <v>4</v>
      </c>
      <c r="C49" s="15" t="s">
        <v>25</v>
      </c>
      <c r="D49" s="16" t="s">
        <v>13</v>
      </c>
      <c r="E49" s="17" t="s">
        <v>14</v>
      </c>
      <c r="F49" s="18">
        <v>2</v>
      </c>
      <c r="G49" s="18">
        <v>1</v>
      </c>
      <c r="H49" s="19">
        <v>2</v>
      </c>
      <c r="I49" s="19">
        <v>0</v>
      </c>
      <c r="J49" s="19">
        <v>209967416</v>
      </c>
      <c r="K49" s="19">
        <v>79224194</v>
      </c>
      <c r="L49" s="19">
        <v>107185569</v>
      </c>
      <c r="M49" s="19">
        <v>0</v>
      </c>
      <c r="N49" s="3"/>
      <c r="O49" s="3"/>
    </row>
    <row r="50" spans="1:15" x14ac:dyDescent="0.35">
      <c r="A50" s="3"/>
      <c r="B50" s="14">
        <v>4</v>
      </c>
      <c r="C50" s="15" t="s">
        <v>25</v>
      </c>
      <c r="D50" s="16" t="s">
        <v>13</v>
      </c>
      <c r="E50" s="17" t="s">
        <v>15</v>
      </c>
      <c r="F50" s="18">
        <v>0</v>
      </c>
      <c r="G50" s="18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3"/>
      <c r="O50" s="3"/>
    </row>
    <row r="51" spans="1:15" x14ac:dyDescent="0.35">
      <c r="A51" s="3"/>
      <c r="B51" s="14">
        <v>4</v>
      </c>
      <c r="C51" s="15" t="s">
        <v>25</v>
      </c>
      <c r="D51" s="16" t="s">
        <v>13</v>
      </c>
      <c r="E51" s="17" t="s">
        <v>16</v>
      </c>
      <c r="F51" s="18">
        <v>0</v>
      </c>
      <c r="G51" s="18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3"/>
      <c r="O51" s="3"/>
    </row>
    <row r="52" spans="1:15" x14ac:dyDescent="0.35">
      <c r="A52" s="3"/>
      <c r="B52" s="14">
        <v>4</v>
      </c>
      <c r="C52" s="15" t="s">
        <v>25</v>
      </c>
      <c r="D52" s="16" t="s">
        <v>13</v>
      </c>
      <c r="E52" s="17" t="s">
        <v>17</v>
      </c>
      <c r="F52" s="18">
        <v>0</v>
      </c>
      <c r="G52" s="18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3"/>
      <c r="O52" s="3"/>
    </row>
    <row r="53" spans="1:15" x14ac:dyDescent="0.35">
      <c r="A53" s="3"/>
      <c r="B53" s="14">
        <v>4</v>
      </c>
      <c r="C53" s="15" t="s">
        <v>25</v>
      </c>
      <c r="D53" s="16" t="s">
        <v>13</v>
      </c>
      <c r="E53" s="20" t="s">
        <v>18</v>
      </c>
      <c r="F53" s="21">
        <f t="shared" ref="F53:M53" si="6">SUM(F49:F52)</f>
        <v>2</v>
      </c>
      <c r="G53" s="21">
        <f t="shared" si="6"/>
        <v>1</v>
      </c>
      <c r="H53" s="21">
        <f t="shared" si="6"/>
        <v>2</v>
      </c>
      <c r="I53" s="21">
        <f t="shared" si="6"/>
        <v>0</v>
      </c>
      <c r="J53" s="21">
        <f t="shared" si="6"/>
        <v>209967416</v>
      </c>
      <c r="K53" s="21">
        <f t="shared" si="6"/>
        <v>79224194</v>
      </c>
      <c r="L53" s="21">
        <f t="shared" si="6"/>
        <v>107185569</v>
      </c>
      <c r="M53" s="21">
        <f t="shared" si="6"/>
        <v>0</v>
      </c>
      <c r="N53" s="3"/>
      <c r="O53" s="3"/>
    </row>
    <row r="54" spans="1:15" x14ac:dyDescent="0.35">
      <c r="A54" s="3"/>
      <c r="B54" s="14">
        <v>4</v>
      </c>
      <c r="C54" s="15" t="s">
        <v>25</v>
      </c>
      <c r="D54" s="16" t="s">
        <v>13</v>
      </c>
      <c r="E54" s="17" t="s">
        <v>19</v>
      </c>
      <c r="F54" s="18">
        <f>+F53</f>
        <v>2</v>
      </c>
      <c r="G54" s="18">
        <f t="shared" ref="G54:M54" si="7">+G53</f>
        <v>1</v>
      </c>
      <c r="H54" s="19">
        <f t="shared" si="7"/>
        <v>2</v>
      </c>
      <c r="I54" s="19">
        <f t="shared" si="7"/>
        <v>0</v>
      </c>
      <c r="J54" s="22">
        <f t="shared" si="7"/>
        <v>209967416</v>
      </c>
      <c r="K54" s="22">
        <f t="shared" si="7"/>
        <v>79224194</v>
      </c>
      <c r="L54" s="19">
        <f t="shared" si="7"/>
        <v>107185569</v>
      </c>
      <c r="M54" s="19">
        <f t="shared" si="7"/>
        <v>0</v>
      </c>
      <c r="N54" s="3"/>
      <c r="O54" s="3"/>
    </row>
    <row r="55" spans="1:15" x14ac:dyDescent="0.35">
      <c r="A55" s="3"/>
      <c r="B55" s="14">
        <v>4</v>
      </c>
      <c r="C55" s="15" t="s">
        <v>25</v>
      </c>
      <c r="D55" s="16" t="s">
        <v>13</v>
      </c>
      <c r="E55" s="17" t="s">
        <v>20</v>
      </c>
      <c r="F55" s="18">
        <v>0</v>
      </c>
      <c r="G55" s="18">
        <v>0</v>
      </c>
      <c r="H55" s="19">
        <v>0</v>
      </c>
      <c r="I55" s="19">
        <v>0</v>
      </c>
      <c r="J55" s="22">
        <v>0</v>
      </c>
      <c r="K55" s="22">
        <v>0</v>
      </c>
      <c r="L55" s="19">
        <v>0</v>
      </c>
      <c r="M55" s="19">
        <v>0</v>
      </c>
      <c r="N55" s="3"/>
      <c r="O55" s="3"/>
    </row>
    <row r="56" spans="1:15" x14ac:dyDescent="0.35">
      <c r="A56" s="3"/>
      <c r="B56" s="23">
        <v>4</v>
      </c>
      <c r="C56" s="24" t="s">
        <v>25</v>
      </c>
      <c r="D56" s="25" t="s">
        <v>21</v>
      </c>
      <c r="E56" s="26" t="s">
        <v>14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3"/>
      <c r="O56" s="3"/>
    </row>
    <row r="57" spans="1:15" x14ac:dyDescent="0.35">
      <c r="A57" s="3"/>
      <c r="B57" s="23">
        <v>4</v>
      </c>
      <c r="C57" s="24" t="s">
        <v>25</v>
      </c>
      <c r="D57" s="25" t="s">
        <v>21</v>
      </c>
      <c r="E57" s="26" t="s">
        <v>15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3"/>
      <c r="O57" s="3"/>
    </row>
    <row r="58" spans="1:15" x14ac:dyDescent="0.35">
      <c r="A58" s="3"/>
      <c r="B58" s="23">
        <v>4</v>
      </c>
      <c r="C58" s="24" t="s">
        <v>25</v>
      </c>
      <c r="D58" s="25" t="s">
        <v>21</v>
      </c>
      <c r="E58" s="26" t="s">
        <v>16</v>
      </c>
      <c r="F58" s="27">
        <v>0</v>
      </c>
      <c r="G58" s="27">
        <v>1</v>
      </c>
      <c r="H58" s="27">
        <v>0</v>
      </c>
      <c r="I58" s="27">
        <v>0</v>
      </c>
      <c r="J58" s="27">
        <v>0</v>
      </c>
      <c r="K58" s="27">
        <v>3993710</v>
      </c>
      <c r="L58" s="27">
        <v>0</v>
      </c>
      <c r="M58" s="27">
        <v>0</v>
      </c>
      <c r="N58" s="3"/>
      <c r="O58" s="3"/>
    </row>
    <row r="59" spans="1:15" x14ac:dyDescent="0.35">
      <c r="A59" s="3"/>
      <c r="B59" s="23">
        <v>4</v>
      </c>
      <c r="C59" s="24" t="s">
        <v>25</v>
      </c>
      <c r="D59" s="25" t="s">
        <v>21</v>
      </c>
      <c r="E59" s="26" t="s">
        <v>17</v>
      </c>
      <c r="F59" s="27">
        <v>3</v>
      </c>
      <c r="G59" s="27">
        <v>1</v>
      </c>
      <c r="H59" s="27">
        <v>0</v>
      </c>
      <c r="I59" s="27">
        <v>0</v>
      </c>
      <c r="J59" s="27">
        <f>10462037+394736</f>
        <v>10856773</v>
      </c>
      <c r="K59" s="27">
        <v>0</v>
      </c>
      <c r="L59" s="27">
        <v>0</v>
      </c>
      <c r="M59" s="27">
        <v>0</v>
      </c>
      <c r="N59" s="3"/>
      <c r="O59" s="3"/>
    </row>
    <row r="60" spans="1:15" x14ac:dyDescent="0.35">
      <c r="A60" s="3"/>
      <c r="B60" s="23">
        <v>4</v>
      </c>
      <c r="C60" s="24" t="s">
        <v>25</v>
      </c>
      <c r="D60" s="25" t="s">
        <v>21</v>
      </c>
      <c r="E60" s="28" t="s">
        <v>18</v>
      </c>
      <c r="F60" s="29">
        <f t="shared" ref="F60:M60" si="8">SUM(F56:F59)</f>
        <v>3</v>
      </c>
      <c r="G60" s="29">
        <f t="shared" si="8"/>
        <v>2</v>
      </c>
      <c r="H60" s="29">
        <f t="shared" si="8"/>
        <v>0</v>
      </c>
      <c r="I60" s="29">
        <f t="shared" si="8"/>
        <v>0</v>
      </c>
      <c r="J60" s="29">
        <f t="shared" si="8"/>
        <v>10856773</v>
      </c>
      <c r="K60" s="29">
        <f t="shared" si="8"/>
        <v>3993710</v>
      </c>
      <c r="L60" s="29">
        <f t="shared" si="8"/>
        <v>0</v>
      </c>
      <c r="M60" s="29">
        <f t="shared" si="8"/>
        <v>0</v>
      </c>
      <c r="N60" s="3"/>
      <c r="O60" s="3"/>
    </row>
    <row r="61" spans="1:15" x14ac:dyDescent="0.35">
      <c r="A61" s="3"/>
      <c r="B61" s="23">
        <v>4</v>
      </c>
      <c r="C61" s="24" t="s">
        <v>25</v>
      </c>
      <c r="D61" s="25" t="s">
        <v>21</v>
      </c>
      <c r="E61" s="26" t="s">
        <v>19</v>
      </c>
      <c r="F61" s="27">
        <v>2</v>
      </c>
      <c r="G61" s="27">
        <v>2</v>
      </c>
      <c r="H61" s="27">
        <v>0</v>
      </c>
      <c r="I61" s="27">
        <v>0</v>
      </c>
      <c r="J61" s="27">
        <v>10462037</v>
      </c>
      <c r="K61" s="27">
        <f>+K60</f>
        <v>3993710</v>
      </c>
      <c r="L61" s="27">
        <v>0</v>
      </c>
      <c r="M61" s="27">
        <v>0</v>
      </c>
      <c r="N61" s="3"/>
      <c r="O61" s="3"/>
    </row>
    <row r="62" spans="1:15" x14ac:dyDescent="0.35">
      <c r="A62" s="3"/>
      <c r="B62" s="23">
        <v>4</v>
      </c>
      <c r="C62" s="24" t="s">
        <v>25</v>
      </c>
      <c r="D62" s="25" t="s">
        <v>21</v>
      </c>
      <c r="E62" s="26" t="s">
        <v>20</v>
      </c>
      <c r="F62" s="27">
        <v>1</v>
      </c>
      <c r="G62" s="27">
        <v>0</v>
      </c>
      <c r="H62" s="27">
        <v>0</v>
      </c>
      <c r="I62" s="27">
        <v>0</v>
      </c>
      <c r="J62" s="27">
        <v>394736</v>
      </c>
      <c r="K62" s="27">
        <v>0</v>
      </c>
      <c r="L62" s="27">
        <v>0</v>
      </c>
      <c r="M62" s="27">
        <v>0</v>
      </c>
      <c r="N62" s="3"/>
      <c r="O62" s="3"/>
    </row>
    <row r="63" spans="1:15" x14ac:dyDescent="0.35">
      <c r="A63" s="3"/>
      <c r="B63" s="14">
        <v>5</v>
      </c>
      <c r="C63" s="15" t="s">
        <v>26</v>
      </c>
      <c r="D63" s="16" t="s">
        <v>13</v>
      </c>
      <c r="E63" s="17" t="s">
        <v>14</v>
      </c>
      <c r="F63" s="18">
        <v>1</v>
      </c>
      <c r="G63" s="18">
        <v>0</v>
      </c>
      <c r="H63" s="19">
        <v>0</v>
      </c>
      <c r="I63" s="19">
        <v>0</v>
      </c>
      <c r="J63" s="19">
        <v>1026000</v>
      </c>
      <c r="K63" s="19">
        <v>0</v>
      </c>
      <c r="L63" s="19">
        <v>0</v>
      </c>
      <c r="M63" s="19">
        <v>0</v>
      </c>
      <c r="N63" s="3"/>
      <c r="O63" s="3"/>
    </row>
    <row r="64" spans="1:15" x14ac:dyDescent="0.35">
      <c r="A64" s="3"/>
      <c r="B64" s="14">
        <v>5</v>
      </c>
      <c r="C64" s="15" t="s">
        <v>26</v>
      </c>
      <c r="D64" s="16" t="s">
        <v>13</v>
      </c>
      <c r="E64" s="17" t="s">
        <v>15</v>
      </c>
      <c r="F64" s="18">
        <v>0</v>
      </c>
      <c r="G64" s="18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3"/>
      <c r="O64" s="3"/>
    </row>
    <row r="65" spans="1:15" x14ac:dyDescent="0.35">
      <c r="A65" s="3"/>
      <c r="B65" s="14">
        <v>5</v>
      </c>
      <c r="C65" s="15" t="s">
        <v>26</v>
      </c>
      <c r="D65" s="16" t="s">
        <v>13</v>
      </c>
      <c r="E65" s="17" t="s">
        <v>16</v>
      </c>
      <c r="F65" s="18">
        <v>0</v>
      </c>
      <c r="G65" s="18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3"/>
      <c r="O65" s="3"/>
    </row>
    <row r="66" spans="1:15" x14ac:dyDescent="0.35">
      <c r="A66" s="3"/>
      <c r="B66" s="14">
        <v>5</v>
      </c>
      <c r="C66" s="15" t="s">
        <v>26</v>
      </c>
      <c r="D66" s="16" t="s">
        <v>13</v>
      </c>
      <c r="E66" s="17" t="s">
        <v>17</v>
      </c>
      <c r="F66" s="18">
        <v>2</v>
      </c>
      <c r="G66" s="18">
        <v>0</v>
      </c>
      <c r="H66" s="19">
        <v>0</v>
      </c>
      <c r="I66" s="19">
        <v>0</v>
      </c>
      <c r="J66" s="19" t="s">
        <v>24</v>
      </c>
      <c r="K66" s="19">
        <v>0</v>
      </c>
      <c r="L66" s="19">
        <v>0</v>
      </c>
      <c r="M66" s="19">
        <v>0</v>
      </c>
      <c r="N66" s="3"/>
      <c r="O66" s="3"/>
    </row>
    <row r="67" spans="1:15" x14ac:dyDescent="0.35">
      <c r="A67" s="3"/>
      <c r="B67" s="14">
        <v>5</v>
      </c>
      <c r="C67" s="15" t="s">
        <v>26</v>
      </c>
      <c r="D67" s="16" t="s">
        <v>13</v>
      </c>
      <c r="E67" s="20" t="s">
        <v>18</v>
      </c>
      <c r="F67" s="21">
        <v>3</v>
      </c>
      <c r="G67" s="21">
        <v>0</v>
      </c>
      <c r="H67" s="21">
        <v>0</v>
      </c>
      <c r="I67" s="21">
        <v>0</v>
      </c>
      <c r="J67" s="21">
        <f>+J63</f>
        <v>1026000</v>
      </c>
      <c r="K67" s="21">
        <v>0</v>
      </c>
      <c r="L67" s="21">
        <v>0</v>
      </c>
      <c r="M67" s="21">
        <v>0</v>
      </c>
      <c r="N67" s="3"/>
      <c r="O67" s="3"/>
    </row>
    <row r="68" spans="1:15" x14ac:dyDescent="0.35">
      <c r="A68" s="3"/>
      <c r="B68" s="14">
        <v>5</v>
      </c>
      <c r="C68" s="15" t="s">
        <v>26</v>
      </c>
      <c r="D68" s="16" t="s">
        <v>13</v>
      </c>
      <c r="E68" s="17" t="s">
        <v>19</v>
      </c>
      <c r="F68" s="18">
        <v>1</v>
      </c>
      <c r="G68" s="18">
        <v>0</v>
      </c>
      <c r="H68" s="19">
        <v>0</v>
      </c>
      <c r="I68" s="19">
        <v>0</v>
      </c>
      <c r="J68" s="22">
        <v>0</v>
      </c>
      <c r="K68" s="22">
        <v>0</v>
      </c>
      <c r="L68" s="19">
        <v>0</v>
      </c>
      <c r="M68" s="19">
        <v>0</v>
      </c>
      <c r="N68" s="3"/>
      <c r="O68" s="3"/>
    </row>
    <row r="69" spans="1:15" x14ac:dyDescent="0.35">
      <c r="A69" s="3"/>
      <c r="B69" s="14">
        <v>5</v>
      </c>
      <c r="C69" s="15" t="s">
        <v>26</v>
      </c>
      <c r="D69" s="16" t="s">
        <v>13</v>
      </c>
      <c r="E69" s="17" t="s">
        <v>20</v>
      </c>
      <c r="F69" s="18">
        <v>2</v>
      </c>
      <c r="G69" s="18">
        <v>0</v>
      </c>
      <c r="H69" s="19">
        <v>0</v>
      </c>
      <c r="I69" s="19">
        <v>0</v>
      </c>
      <c r="J69" s="22">
        <v>0</v>
      </c>
      <c r="K69" s="22">
        <v>0</v>
      </c>
      <c r="L69" s="19">
        <v>0</v>
      </c>
      <c r="M69" s="19">
        <v>0</v>
      </c>
      <c r="N69" s="3"/>
      <c r="O69" s="3"/>
    </row>
    <row r="70" spans="1:15" x14ac:dyDescent="0.35">
      <c r="A70" s="3"/>
      <c r="B70" s="23">
        <v>5</v>
      </c>
      <c r="C70" s="24" t="s">
        <v>26</v>
      </c>
      <c r="D70" s="25" t="s">
        <v>21</v>
      </c>
      <c r="E70" s="26" t="s">
        <v>14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3"/>
      <c r="O70" s="3"/>
    </row>
    <row r="71" spans="1:15" x14ac:dyDescent="0.35">
      <c r="A71" s="3"/>
      <c r="B71" s="23">
        <v>5</v>
      </c>
      <c r="C71" s="24" t="s">
        <v>26</v>
      </c>
      <c r="D71" s="25" t="s">
        <v>21</v>
      </c>
      <c r="E71" s="26" t="s">
        <v>15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3"/>
      <c r="O71" s="3"/>
    </row>
    <row r="72" spans="1:15" x14ac:dyDescent="0.35">
      <c r="A72" s="3"/>
      <c r="B72" s="23">
        <v>5</v>
      </c>
      <c r="C72" s="24" t="s">
        <v>26</v>
      </c>
      <c r="D72" s="25" t="s">
        <v>21</v>
      </c>
      <c r="E72" s="26" t="s">
        <v>16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3"/>
      <c r="O72" s="3"/>
    </row>
    <row r="73" spans="1:15" x14ac:dyDescent="0.35">
      <c r="A73" s="3"/>
      <c r="B73" s="23">
        <v>5</v>
      </c>
      <c r="C73" s="24" t="s">
        <v>26</v>
      </c>
      <c r="D73" s="25" t="s">
        <v>21</v>
      </c>
      <c r="E73" s="26" t="s">
        <v>17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3"/>
      <c r="O73" s="3"/>
    </row>
    <row r="74" spans="1:15" x14ac:dyDescent="0.35">
      <c r="A74" s="3"/>
      <c r="B74" s="23">
        <v>5</v>
      </c>
      <c r="C74" s="24" t="s">
        <v>26</v>
      </c>
      <c r="D74" s="25" t="s">
        <v>21</v>
      </c>
      <c r="E74" s="28" t="s">
        <v>18</v>
      </c>
      <c r="F74" s="29">
        <f t="shared" ref="F74:M74" si="9">SUM(F70:F73)</f>
        <v>0</v>
      </c>
      <c r="G74" s="29">
        <f t="shared" si="9"/>
        <v>0</v>
      </c>
      <c r="H74" s="29">
        <f t="shared" si="9"/>
        <v>0</v>
      </c>
      <c r="I74" s="29">
        <f t="shared" si="9"/>
        <v>0</v>
      </c>
      <c r="J74" s="29">
        <f t="shared" si="9"/>
        <v>0</v>
      </c>
      <c r="K74" s="29">
        <f t="shared" si="9"/>
        <v>0</v>
      </c>
      <c r="L74" s="29">
        <f t="shared" si="9"/>
        <v>0</v>
      </c>
      <c r="M74" s="29">
        <f t="shared" si="9"/>
        <v>0</v>
      </c>
      <c r="N74" s="3"/>
      <c r="O74" s="3"/>
    </row>
    <row r="75" spans="1:15" x14ac:dyDescent="0.35">
      <c r="A75" s="3"/>
      <c r="B75" s="23">
        <v>5</v>
      </c>
      <c r="C75" s="24" t="s">
        <v>26</v>
      </c>
      <c r="D75" s="25" t="s">
        <v>21</v>
      </c>
      <c r="E75" s="26" t="s">
        <v>19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3"/>
      <c r="O75" s="3"/>
    </row>
    <row r="76" spans="1:15" x14ac:dyDescent="0.35">
      <c r="A76" s="3"/>
      <c r="B76" s="23">
        <v>5</v>
      </c>
      <c r="C76" s="24" t="s">
        <v>26</v>
      </c>
      <c r="D76" s="25" t="s">
        <v>21</v>
      </c>
      <c r="E76" s="26" t="s">
        <v>20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3"/>
      <c r="O76" s="3"/>
    </row>
    <row r="77" spans="1:15" x14ac:dyDescent="0.35">
      <c r="A77" s="3"/>
      <c r="B77" s="14">
        <v>6</v>
      </c>
      <c r="C77" s="15" t="s">
        <v>27</v>
      </c>
      <c r="D77" s="16" t="s">
        <v>13</v>
      </c>
      <c r="E77" s="17" t="s">
        <v>14</v>
      </c>
      <c r="F77" s="18">
        <v>0</v>
      </c>
      <c r="G77" s="18">
        <v>0</v>
      </c>
      <c r="H77" s="19">
        <v>4</v>
      </c>
      <c r="I77" s="19">
        <v>1</v>
      </c>
      <c r="J77" s="19">
        <v>0</v>
      </c>
      <c r="K77" s="19">
        <v>0</v>
      </c>
      <c r="L77" s="19">
        <v>180255925</v>
      </c>
      <c r="M77" s="19">
        <v>83698525</v>
      </c>
      <c r="N77" s="3"/>
      <c r="O77" s="3"/>
    </row>
    <row r="78" spans="1:15" x14ac:dyDescent="0.35">
      <c r="A78" s="3"/>
      <c r="B78" s="14">
        <v>6</v>
      </c>
      <c r="C78" s="15" t="s">
        <v>27</v>
      </c>
      <c r="D78" s="16" t="s">
        <v>13</v>
      </c>
      <c r="E78" s="17" t="s">
        <v>15</v>
      </c>
      <c r="F78" s="18">
        <v>0</v>
      </c>
      <c r="G78" s="18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3"/>
      <c r="O78" s="3"/>
    </row>
    <row r="79" spans="1:15" x14ac:dyDescent="0.35">
      <c r="A79" s="3"/>
      <c r="B79" s="14">
        <v>6</v>
      </c>
      <c r="C79" s="15" t="s">
        <v>27</v>
      </c>
      <c r="D79" s="16" t="s">
        <v>13</v>
      </c>
      <c r="E79" s="17" t="s">
        <v>16</v>
      </c>
      <c r="F79" s="18">
        <v>0</v>
      </c>
      <c r="G79" s="18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3"/>
      <c r="O79" s="3"/>
    </row>
    <row r="80" spans="1:15" x14ac:dyDescent="0.35">
      <c r="A80" s="3"/>
      <c r="B80" s="14">
        <v>6</v>
      </c>
      <c r="C80" s="15" t="s">
        <v>27</v>
      </c>
      <c r="D80" s="16" t="s">
        <v>13</v>
      </c>
      <c r="E80" s="17" t="s">
        <v>17</v>
      </c>
      <c r="F80" s="18">
        <v>0</v>
      </c>
      <c r="G80" s="18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3"/>
      <c r="O80" s="3"/>
    </row>
    <row r="81" spans="1:15" x14ac:dyDescent="0.35">
      <c r="A81" s="3"/>
      <c r="B81" s="14">
        <v>6</v>
      </c>
      <c r="C81" s="15" t="s">
        <v>27</v>
      </c>
      <c r="D81" s="16" t="s">
        <v>13</v>
      </c>
      <c r="E81" s="20" t="s">
        <v>18</v>
      </c>
      <c r="F81" s="21">
        <f>SUM(F77:F80)</f>
        <v>0</v>
      </c>
      <c r="G81" s="21">
        <f t="shared" ref="G81:M81" si="10">SUM(G77:G80)</f>
        <v>0</v>
      </c>
      <c r="H81" s="21">
        <f t="shared" si="10"/>
        <v>4</v>
      </c>
      <c r="I81" s="21">
        <f t="shared" si="10"/>
        <v>1</v>
      </c>
      <c r="J81" s="21">
        <f t="shared" si="10"/>
        <v>0</v>
      </c>
      <c r="K81" s="21">
        <f t="shared" si="10"/>
        <v>0</v>
      </c>
      <c r="L81" s="21">
        <f>SUM(L77:L80)</f>
        <v>180255925</v>
      </c>
      <c r="M81" s="21">
        <f t="shared" si="10"/>
        <v>83698525</v>
      </c>
      <c r="N81" s="3"/>
      <c r="O81" s="3"/>
    </row>
    <row r="82" spans="1:15" x14ac:dyDescent="0.35">
      <c r="A82" s="3"/>
      <c r="B82" s="14">
        <v>6</v>
      </c>
      <c r="C82" s="15" t="s">
        <v>27</v>
      </c>
      <c r="D82" s="16" t="s">
        <v>13</v>
      </c>
      <c r="E82" s="17" t="s">
        <v>19</v>
      </c>
      <c r="F82" s="18">
        <f>+F81</f>
        <v>0</v>
      </c>
      <c r="G82" s="18">
        <f>+G81</f>
        <v>0</v>
      </c>
      <c r="H82" s="19">
        <f t="shared" ref="H82:M82" si="11">+H81</f>
        <v>4</v>
      </c>
      <c r="I82" s="19">
        <f t="shared" si="11"/>
        <v>1</v>
      </c>
      <c r="J82" s="22">
        <f t="shared" si="11"/>
        <v>0</v>
      </c>
      <c r="K82" s="22">
        <f t="shared" si="11"/>
        <v>0</v>
      </c>
      <c r="L82" s="19">
        <f t="shared" si="11"/>
        <v>180255925</v>
      </c>
      <c r="M82" s="19">
        <f t="shared" si="11"/>
        <v>83698525</v>
      </c>
      <c r="N82" s="3"/>
      <c r="O82" s="3"/>
    </row>
    <row r="83" spans="1:15" x14ac:dyDescent="0.35">
      <c r="A83" s="3"/>
      <c r="B83" s="14">
        <v>6</v>
      </c>
      <c r="C83" s="15" t="s">
        <v>27</v>
      </c>
      <c r="D83" s="16" t="s">
        <v>13</v>
      </c>
      <c r="E83" s="17" t="s">
        <v>20</v>
      </c>
      <c r="F83" s="18">
        <v>0</v>
      </c>
      <c r="G83" s="18">
        <v>0</v>
      </c>
      <c r="H83" s="19">
        <v>0</v>
      </c>
      <c r="I83" s="19">
        <v>0</v>
      </c>
      <c r="J83" s="22">
        <v>0</v>
      </c>
      <c r="K83" s="22">
        <v>0</v>
      </c>
      <c r="L83" s="19">
        <v>0</v>
      </c>
      <c r="M83" s="19">
        <v>0</v>
      </c>
      <c r="N83" s="3"/>
      <c r="O83" s="3"/>
    </row>
    <row r="84" spans="1:15" x14ac:dyDescent="0.35">
      <c r="A84" s="3"/>
      <c r="B84" s="23">
        <v>6</v>
      </c>
      <c r="C84" s="24" t="s">
        <v>27</v>
      </c>
      <c r="D84" s="25" t="s">
        <v>21</v>
      </c>
      <c r="E84" s="26" t="s">
        <v>14</v>
      </c>
      <c r="F84" s="27">
        <v>1</v>
      </c>
      <c r="G84" s="27">
        <v>1</v>
      </c>
      <c r="H84" s="27">
        <v>0</v>
      </c>
      <c r="I84" s="27">
        <v>0</v>
      </c>
      <c r="J84" s="27">
        <v>81150004</v>
      </c>
      <c r="K84" s="27">
        <v>0</v>
      </c>
      <c r="L84" s="27">
        <v>0</v>
      </c>
      <c r="M84" s="27">
        <v>0</v>
      </c>
      <c r="N84" s="3"/>
      <c r="O84" s="3"/>
    </row>
    <row r="85" spans="1:15" x14ac:dyDescent="0.35">
      <c r="A85" s="3"/>
      <c r="B85" s="23">
        <v>6</v>
      </c>
      <c r="C85" s="24" t="s">
        <v>27</v>
      </c>
      <c r="D85" s="25" t="s">
        <v>21</v>
      </c>
      <c r="E85" s="26" t="s">
        <v>15</v>
      </c>
      <c r="F85" s="27">
        <v>3</v>
      </c>
      <c r="G85" s="27">
        <v>0</v>
      </c>
      <c r="H85" s="27">
        <v>0</v>
      </c>
      <c r="I85" s="27">
        <v>0</v>
      </c>
      <c r="J85" s="27">
        <v>84498567</v>
      </c>
      <c r="K85" s="27">
        <v>0</v>
      </c>
      <c r="L85" s="27">
        <v>0</v>
      </c>
      <c r="M85" s="27">
        <v>0</v>
      </c>
      <c r="N85" s="3"/>
      <c r="O85" s="3"/>
    </row>
    <row r="86" spans="1:15" x14ac:dyDescent="0.35">
      <c r="A86" s="3"/>
      <c r="B86" s="23">
        <v>6</v>
      </c>
      <c r="C86" s="24" t="s">
        <v>27</v>
      </c>
      <c r="D86" s="25" t="s">
        <v>21</v>
      </c>
      <c r="E86" s="26" t="s">
        <v>16</v>
      </c>
      <c r="F86" s="27">
        <v>0</v>
      </c>
      <c r="G86" s="27">
        <v>2</v>
      </c>
      <c r="H86" s="27">
        <v>0</v>
      </c>
      <c r="I86" s="27">
        <v>0</v>
      </c>
      <c r="J86" s="27">
        <v>0</v>
      </c>
      <c r="K86" s="27">
        <v>25788392</v>
      </c>
      <c r="L86" s="27">
        <v>0</v>
      </c>
      <c r="M86" s="27">
        <v>0</v>
      </c>
      <c r="N86" s="3"/>
      <c r="O86" s="3"/>
    </row>
    <row r="87" spans="1:15" x14ac:dyDescent="0.35">
      <c r="A87" s="3"/>
      <c r="B87" s="23">
        <v>6</v>
      </c>
      <c r="C87" s="24" t="s">
        <v>27</v>
      </c>
      <c r="D87" s="25" t="s">
        <v>21</v>
      </c>
      <c r="E87" s="26" t="s">
        <v>17</v>
      </c>
      <c r="F87" s="27">
        <v>3</v>
      </c>
      <c r="G87" s="27">
        <v>1</v>
      </c>
      <c r="H87" s="27">
        <v>0</v>
      </c>
      <c r="I87" s="27">
        <v>0</v>
      </c>
      <c r="J87" s="27">
        <v>16502432</v>
      </c>
      <c r="K87" s="27">
        <v>0</v>
      </c>
      <c r="L87" s="27">
        <v>0</v>
      </c>
      <c r="M87" s="27">
        <v>0</v>
      </c>
      <c r="N87" s="3"/>
      <c r="O87" s="3"/>
    </row>
    <row r="88" spans="1:15" x14ac:dyDescent="0.35">
      <c r="A88" s="3"/>
      <c r="B88" s="23">
        <v>6</v>
      </c>
      <c r="C88" s="24" t="s">
        <v>27</v>
      </c>
      <c r="D88" s="25" t="s">
        <v>21</v>
      </c>
      <c r="E88" s="28" t="s">
        <v>18</v>
      </c>
      <c r="F88" s="29">
        <f t="shared" ref="F88:M88" si="12">SUM(F84:F87)</f>
        <v>7</v>
      </c>
      <c r="G88" s="29">
        <f t="shared" si="12"/>
        <v>4</v>
      </c>
      <c r="H88" s="29">
        <f t="shared" si="12"/>
        <v>0</v>
      </c>
      <c r="I88" s="29">
        <f t="shared" si="12"/>
        <v>0</v>
      </c>
      <c r="J88" s="29">
        <f t="shared" si="12"/>
        <v>182151003</v>
      </c>
      <c r="K88" s="29">
        <f t="shared" si="12"/>
        <v>25788392</v>
      </c>
      <c r="L88" s="29">
        <f t="shared" si="12"/>
        <v>0</v>
      </c>
      <c r="M88" s="29">
        <f t="shared" si="12"/>
        <v>0</v>
      </c>
      <c r="N88" s="3"/>
      <c r="O88" s="3"/>
    </row>
    <row r="89" spans="1:15" x14ac:dyDescent="0.35">
      <c r="A89" s="3"/>
      <c r="B89" s="23">
        <v>6</v>
      </c>
      <c r="C89" s="24" t="s">
        <v>27</v>
      </c>
      <c r="D89" s="25" t="s">
        <v>21</v>
      </c>
      <c r="E89" s="26" t="s">
        <v>19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3"/>
      <c r="O89" s="3"/>
    </row>
    <row r="90" spans="1:15" x14ac:dyDescent="0.35">
      <c r="A90" s="3"/>
      <c r="B90" s="23">
        <v>6</v>
      </c>
      <c r="C90" s="24" t="s">
        <v>27</v>
      </c>
      <c r="D90" s="25" t="s">
        <v>21</v>
      </c>
      <c r="E90" s="26" t="s">
        <v>20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3"/>
      <c r="O90" s="3"/>
    </row>
    <row r="91" spans="1:15" x14ac:dyDescent="0.35">
      <c r="A91" s="3"/>
      <c r="B91" s="14">
        <v>7</v>
      </c>
      <c r="C91" s="15" t="s">
        <v>28</v>
      </c>
      <c r="D91" s="16" t="s">
        <v>13</v>
      </c>
      <c r="E91" s="17" t="s">
        <v>14</v>
      </c>
      <c r="F91" s="18">
        <v>6</v>
      </c>
      <c r="G91" s="18">
        <v>6</v>
      </c>
      <c r="H91" s="19">
        <v>15</v>
      </c>
      <c r="I91" s="19">
        <v>3</v>
      </c>
      <c r="J91" s="19">
        <v>289927781</v>
      </c>
      <c r="K91" s="19">
        <v>236307929</v>
      </c>
      <c r="L91" s="19">
        <v>3129385929</v>
      </c>
      <c r="M91" s="19">
        <v>432730395</v>
      </c>
      <c r="N91" s="3"/>
      <c r="O91" s="3"/>
    </row>
    <row r="92" spans="1:15" x14ac:dyDescent="0.35">
      <c r="A92" s="3"/>
      <c r="B92" s="14">
        <v>7</v>
      </c>
      <c r="C92" s="15" t="s">
        <v>28</v>
      </c>
      <c r="D92" s="16" t="s">
        <v>13</v>
      </c>
      <c r="E92" s="17" t="s">
        <v>15</v>
      </c>
      <c r="F92" s="18">
        <v>22</v>
      </c>
      <c r="G92" s="18">
        <v>3</v>
      </c>
      <c r="H92" s="19">
        <v>0</v>
      </c>
      <c r="I92" s="19">
        <v>0</v>
      </c>
      <c r="J92" s="19">
        <v>293502869</v>
      </c>
      <c r="K92" s="19">
        <v>42055340</v>
      </c>
      <c r="L92" s="19">
        <v>0</v>
      </c>
      <c r="M92" s="19">
        <v>0</v>
      </c>
      <c r="N92" s="3"/>
      <c r="O92" s="3"/>
    </row>
    <row r="93" spans="1:15" x14ac:dyDescent="0.35">
      <c r="A93" s="3"/>
      <c r="B93" s="14">
        <v>7</v>
      </c>
      <c r="C93" s="15" t="s">
        <v>28</v>
      </c>
      <c r="D93" s="16" t="s">
        <v>13</v>
      </c>
      <c r="E93" s="17" t="s">
        <v>16</v>
      </c>
      <c r="F93" s="18">
        <v>0</v>
      </c>
      <c r="G93" s="18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3"/>
      <c r="O93" s="3"/>
    </row>
    <row r="94" spans="1:15" x14ac:dyDescent="0.35">
      <c r="A94" s="3"/>
      <c r="B94" s="14">
        <v>7</v>
      </c>
      <c r="C94" s="15" t="s">
        <v>28</v>
      </c>
      <c r="D94" s="16" t="s">
        <v>13</v>
      </c>
      <c r="E94" s="17" t="s">
        <v>17</v>
      </c>
      <c r="F94" s="18">
        <v>0</v>
      </c>
      <c r="G94" s="18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3"/>
      <c r="O94" s="3"/>
    </row>
    <row r="95" spans="1:15" x14ac:dyDescent="0.35">
      <c r="A95" s="3"/>
      <c r="B95" s="14">
        <v>7</v>
      </c>
      <c r="C95" s="15" t="s">
        <v>28</v>
      </c>
      <c r="D95" s="16" t="s">
        <v>13</v>
      </c>
      <c r="E95" s="20" t="s">
        <v>18</v>
      </c>
      <c r="F95" s="21">
        <v>28</v>
      </c>
      <c r="G95" s="21">
        <v>9</v>
      </c>
      <c r="H95" s="21">
        <v>15</v>
      </c>
      <c r="I95" s="21">
        <v>3</v>
      </c>
      <c r="J95" s="21">
        <f>+J91+J92</f>
        <v>583430650</v>
      </c>
      <c r="K95" s="21">
        <f>+K91+K92</f>
        <v>278363269</v>
      </c>
      <c r="L95" s="21">
        <f>+L91</f>
        <v>3129385929</v>
      </c>
      <c r="M95" s="21">
        <f>+M91</f>
        <v>432730395</v>
      </c>
      <c r="N95" s="3"/>
      <c r="O95" s="3"/>
    </row>
    <row r="96" spans="1:15" x14ac:dyDescent="0.35">
      <c r="A96" s="3"/>
      <c r="B96" s="14">
        <v>7</v>
      </c>
      <c r="C96" s="15" t="s">
        <v>28</v>
      </c>
      <c r="D96" s="16" t="s">
        <v>13</v>
      </c>
      <c r="E96" s="17" t="s">
        <v>19</v>
      </c>
      <c r="F96" s="18">
        <v>28</v>
      </c>
      <c r="G96" s="18">
        <v>9</v>
      </c>
      <c r="H96" s="19">
        <v>15</v>
      </c>
      <c r="I96" s="19">
        <v>3</v>
      </c>
      <c r="J96" s="22">
        <f>+J95</f>
        <v>583430650</v>
      </c>
      <c r="K96" s="22">
        <f>+K95</f>
        <v>278363269</v>
      </c>
      <c r="L96" s="19">
        <f>+L95</f>
        <v>3129385929</v>
      </c>
      <c r="M96" s="19">
        <f>+M95</f>
        <v>432730395</v>
      </c>
      <c r="N96" s="3"/>
      <c r="O96" s="3"/>
    </row>
    <row r="97" spans="1:15" x14ac:dyDescent="0.35">
      <c r="A97" s="3"/>
      <c r="B97" s="14">
        <v>7</v>
      </c>
      <c r="C97" s="15" t="s">
        <v>28</v>
      </c>
      <c r="D97" s="16" t="s">
        <v>13</v>
      </c>
      <c r="E97" s="17" t="s">
        <v>20</v>
      </c>
      <c r="F97" s="18">
        <v>0</v>
      </c>
      <c r="G97" s="18">
        <v>0</v>
      </c>
      <c r="H97" s="19">
        <v>0</v>
      </c>
      <c r="I97" s="19">
        <v>0</v>
      </c>
      <c r="J97" s="22">
        <v>0</v>
      </c>
      <c r="K97" s="22">
        <v>0</v>
      </c>
      <c r="L97" s="19">
        <v>0</v>
      </c>
      <c r="M97" s="19">
        <v>0</v>
      </c>
      <c r="N97" s="3"/>
      <c r="O97" s="3"/>
    </row>
    <row r="98" spans="1:15" x14ac:dyDescent="0.35">
      <c r="A98" s="3"/>
      <c r="B98" s="23">
        <v>7</v>
      </c>
      <c r="C98" s="24" t="s">
        <v>28</v>
      </c>
      <c r="D98" s="25" t="s">
        <v>21</v>
      </c>
      <c r="E98" s="26" t="s">
        <v>14</v>
      </c>
      <c r="F98" s="27">
        <v>0</v>
      </c>
      <c r="G98" s="27">
        <v>0</v>
      </c>
      <c r="H98" s="27">
        <v>5</v>
      </c>
      <c r="I98" s="27">
        <v>0</v>
      </c>
      <c r="J98" s="27">
        <v>0</v>
      </c>
      <c r="K98" s="27">
        <v>0</v>
      </c>
      <c r="L98" s="27">
        <v>651812797</v>
      </c>
      <c r="M98" s="27">
        <v>0</v>
      </c>
      <c r="N98" s="3"/>
      <c r="O98" s="3"/>
    </row>
    <row r="99" spans="1:15" x14ac:dyDescent="0.35">
      <c r="A99" s="3"/>
      <c r="B99" s="23">
        <v>7</v>
      </c>
      <c r="C99" s="24" t="s">
        <v>28</v>
      </c>
      <c r="D99" s="25" t="s">
        <v>21</v>
      </c>
      <c r="E99" s="26" t="s">
        <v>15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3"/>
      <c r="O99" s="3"/>
    </row>
    <row r="100" spans="1:15" x14ac:dyDescent="0.35">
      <c r="A100" s="3"/>
      <c r="B100" s="23">
        <v>7</v>
      </c>
      <c r="C100" s="24" t="s">
        <v>28</v>
      </c>
      <c r="D100" s="25" t="s">
        <v>21</v>
      </c>
      <c r="E100" s="26" t="s">
        <v>16</v>
      </c>
      <c r="F100" s="27">
        <v>3</v>
      </c>
      <c r="G100" s="27">
        <v>2</v>
      </c>
      <c r="H100" s="27">
        <v>0</v>
      </c>
      <c r="I100" s="27">
        <v>0</v>
      </c>
      <c r="J100" s="27">
        <v>136099584</v>
      </c>
      <c r="K100" s="27">
        <v>0</v>
      </c>
      <c r="L100" s="27">
        <v>0</v>
      </c>
      <c r="M100" s="27">
        <v>0</v>
      </c>
      <c r="N100" s="3"/>
      <c r="O100" s="3"/>
    </row>
    <row r="101" spans="1:15" x14ac:dyDescent="0.35">
      <c r="A101" s="3"/>
      <c r="B101" s="23">
        <v>7</v>
      </c>
      <c r="C101" s="24" t="s">
        <v>28</v>
      </c>
      <c r="D101" s="25" t="s">
        <v>21</v>
      </c>
      <c r="E101" s="26" t="s">
        <v>17</v>
      </c>
      <c r="F101" s="27">
        <v>2</v>
      </c>
      <c r="G101" s="27">
        <v>0</v>
      </c>
      <c r="H101" s="27">
        <v>0</v>
      </c>
      <c r="I101" s="27">
        <v>0</v>
      </c>
      <c r="J101" s="27">
        <v>20938107</v>
      </c>
      <c r="K101" s="27">
        <v>0</v>
      </c>
      <c r="L101" s="27">
        <v>0</v>
      </c>
      <c r="M101" s="27">
        <v>0</v>
      </c>
      <c r="N101" s="3"/>
      <c r="O101" s="3"/>
    </row>
    <row r="102" spans="1:15" x14ac:dyDescent="0.35">
      <c r="A102" s="3"/>
      <c r="B102" s="23">
        <v>7</v>
      </c>
      <c r="C102" s="24" t="s">
        <v>28</v>
      </c>
      <c r="D102" s="25" t="s">
        <v>21</v>
      </c>
      <c r="E102" s="28" t="s">
        <v>18</v>
      </c>
      <c r="F102" s="29">
        <f t="shared" ref="F102:M102" si="13">SUM(F98:F101)</f>
        <v>5</v>
      </c>
      <c r="G102" s="29">
        <f t="shared" si="13"/>
        <v>2</v>
      </c>
      <c r="H102" s="29">
        <f t="shared" si="13"/>
        <v>5</v>
      </c>
      <c r="I102" s="29">
        <f t="shared" si="13"/>
        <v>0</v>
      </c>
      <c r="J102" s="29">
        <f t="shared" si="13"/>
        <v>157037691</v>
      </c>
      <c r="K102" s="29">
        <f t="shared" si="13"/>
        <v>0</v>
      </c>
      <c r="L102" s="29">
        <f t="shared" si="13"/>
        <v>651812797</v>
      </c>
      <c r="M102" s="29">
        <f t="shared" si="13"/>
        <v>0</v>
      </c>
      <c r="N102" s="3"/>
      <c r="O102" s="3"/>
    </row>
    <row r="103" spans="1:15" x14ac:dyDescent="0.35">
      <c r="A103" s="3"/>
      <c r="B103" s="23">
        <v>7</v>
      </c>
      <c r="C103" s="24" t="s">
        <v>28</v>
      </c>
      <c r="D103" s="25" t="s">
        <v>21</v>
      </c>
      <c r="E103" s="26" t="s">
        <v>19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3"/>
      <c r="O103" s="3"/>
    </row>
    <row r="104" spans="1:15" x14ac:dyDescent="0.35">
      <c r="A104" s="3"/>
      <c r="B104" s="23">
        <v>7</v>
      </c>
      <c r="C104" s="24" t="s">
        <v>28</v>
      </c>
      <c r="D104" s="25" t="s">
        <v>21</v>
      </c>
      <c r="E104" s="26" t="s">
        <v>20</v>
      </c>
      <c r="F104" s="29">
        <f>+F102</f>
        <v>5</v>
      </c>
      <c r="G104" s="29">
        <f t="shared" ref="G104:H104" si="14">+G102</f>
        <v>2</v>
      </c>
      <c r="H104" s="29">
        <f t="shared" si="14"/>
        <v>5</v>
      </c>
      <c r="I104" s="29">
        <v>0</v>
      </c>
      <c r="J104" s="29">
        <f>+J102</f>
        <v>157037691</v>
      </c>
      <c r="K104" s="29">
        <v>0</v>
      </c>
      <c r="L104" s="29">
        <f>+L102</f>
        <v>651812797</v>
      </c>
      <c r="M104" s="27">
        <v>0</v>
      </c>
      <c r="N104" s="3"/>
      <c r="O104" s="3"/>
    </row>
    <row r="105" spans="1:15" x14ac:dyDescent="0.35">
      <c r="A105" s="3"/>
      <c r="B105" s="14">
        <v>8</v>
      </c>
      <c r="C105" s="15" t="s">
        <v>29</v>
      </c>
      <c r="D105" s="16" t="s">
        <v>13</v>
      </c>
      <c r="E105" s="17" t="s">
        <v>14</v>
      </c>
      <c r="F105" s="18">
        <v>1</v>
      </c>
      <c r="G105" s="18">
        <v>0</v>
      </c>
      <c r="H105" s="19">
        <v>3</v>
      </c>
      <c r="I105" s="19">
        <v>1</v>
      </c>
      <c r="J105" s="19" t="s">
        <v>24</v>
      </c>
      <c r="K105" s="19">
        <v>0</v>
      </c>
      <c r="L105" s="19" t="s">
        <v>24</v>
      </c>
      <c r="M105" s="19" t="s">
        <v>24</v>
      </c>
      <c r="N105" s="3"/>
      <c r="O105" s="3"/>
    </row>
    <row r="106" spans="1:15" x14ac:dyDescent="0.35">
      <c r="A106" s="3"/>
      <c r="B106" s="14">
        <v>8</v>
      </c>
      <c r="C106" s="15" t="s">
        <v>29</v>
      </c>
      <c r="D106" s="16" t="s">
        <v>13</v>
      </c>
      <c r="E106" s="17" t="s">
        <v>15</v>
      </c>
      <c r="F106" s="18">
        <v>1</v>
      </c>
      <c r="G106" s="18">
        <v>3</v>
      </c>
      <c r="H106" s="19">
        <v>0</v>
      </c>
      <c r="I106" s="19">
        <v>0</v>
      </c>
      <c r="J106" s="19" t="s">
        <v>24</v>
      </c>
      <c r="K106" s="19" t="s">
        <v>24</v>
      </c>
      <c r="L106" s="19">
        <v>0</v>
      </c>
      <c r="M106" s="19">
        <v>0</v>
      </c>
      <c r="N106" s="3"/>
      <c r="O106" s="3"/>
    </row>
    <row r="107" spans="1:15" x14ac:dyDescent="0.35">
      <c r="A107" s="3"/>
      <c r="B107" s="14">
        <v>8</v>
      </c>
      <c r="C107" s="15" t="s">
        <v>29</v>
      </c>
      <c r="D107" s="16" t="s">
        <v>13</v>
      </c>
      <c r="E107" s="17" t="s">
        <v>16</v>
      </c>
      <c r="F107" s="18">
        <v>0</v>
      </c>
      <c r="G107" s="18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3"/>
      <c r="O107" s="3"/>
    </row>
    <row r="108" spans="1:15" x14ac:dyDescent="0.35">
      <c r="A108" s="3"/>
      <c r="B108" s="14">
        <v>8</v>
      </c>
      <c r="C108" s="15" t="s">
        <v>29</v>
      </c>
      <c r="D108" s="16" t="s">
        <v>13</v>
      </c>
      <c r="E108" s="17" t="s">
        <v>17</v>
      </c>
      <c r="F108" s="18">
        <v>0</v>
      </c>
      <c r="G108" s="18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3"/>
      <c r="O108" s="3"/>
    </row>
    <row r="109" spans="1:15" x14ac:dyDescent="0.35">
      <c r="A109" s="3"/>
      <c r="B109" s="14">
        <v>8</v>
      </c>
      <c r="C109" s="15" t="s">
        <v>29</v>
      </c>
      <c r="D109" s="16" t="s">
        <v>13</v>
      </c>
      <c r="E109" s="20" t="s">
        <v>18</v>
      </c>
      <c r="F109" s="21">
        <v>2</v>
      </c>
      <c r="G109" s="21">
        <v>3</v>
      </c>
      <c r="H109" s="21">
        <v>3</v>
      </c>
      <c r="I109" s="21">
        <v>1</v>
      </c>
      <c r="J109" s="21">
        <v>0</v>
      </c>
      <c r="K109" s="21">
        <v>0</v>
      </c>
      <c r="L109" s="21">
        <v>0</v>
      </c>
      <c r="M109" s="21">
        <v>1001924378</v>
      </c>
      <c r="N109" s="3"/>
      <c r="O109" s="3"/>
    </row>
    <row r="110" spans="1:15" x14ac:dyDescent="0.35">
      <c r="A110" s="3"/>
      <c r="B110" s="14">
        <v>8</v>
      </c>
      <c r="C110" s="15" t="s">
        <v>29</v>
      </c>
      <c r="D110" s="16" t="s">
        <v>13</v>
      </c>
      <c r="E110" s="17" t="s">
        <v>19</v>
      </c>
      <c r="F110" s="18">
        <f>+F109</f>
        <v>2</v>
      </c>
      <c r="G110" s="18">
        <f t="shared" ref="G110:M110" si="15">+G109</f>
        <v>3</v>
      </c>
      <c r="H110" s="19">
        <f t="shared" si="15"/>
        <v>3</v>
      </c>
      <c r="I110" s="19">
        <f t="shared" si="15"/>
        <v>1</v>
      </c>
      <c r="J110" s="22">
        <f t="shared" si="15"/>
        <v>0</v>
      </c>
      <c r="K110" s="22">
        <f t="shared" si="15"/>
        <v>0</v>
      </c>
      <c r="L110" s="19">
        <f t="shared" si="15"/>
        <v>0</v>
      </c>
      <c r="M110" s="19">
        <f t="shared" si="15"/>
        <v>1001924378</v>
      </c>
      <c r="N110" s="3"/>
      <c r="O110" s="3"/>
    </row>
    <row r="111" spans="1:15" x14ac:dyDescent="0.35">
      <c r="A111" s="3"/>
      <c r="B111" s="14">
        <v>8</v>
      </c>
      <c r="C111" s="15" t="s">
        <v>29</v>
      </c>
      <c r="D111" s="16" t="s">
        <v>13</v>
      </c>
      <c r="E111" s="17" t="s">
        <v>20</v>
      </c>
      <c r="F111" s="18">
        <v>0</v>
      </c>
      <c r="G111" s="18">
        <v>0</v>
      </c>
      <c r="H111" s="19">
        <v>0</v>
      </c>
      <c r="I111" s="19">
        <v>0</v>
      </c>
      <c r="J111" s="22">
        <v>0</v>
      </c>
      <c r="K111" s="22">
        <v>0</v>
      </c>
      <c r="L111" s="19">
        <v>0</v>
      </c>
      <c r="M111" s="19">
        <v>0</v>
      </c>
      <c r="N111" s="3"/>
      <c r="O111" s="3"/>
    </row>
    <row r="112" spans="1:15" x14ac:dyDescent="0.35">
      <c r="A112" s="3"/>
      <c r="B112" s="23">
        <v>8</v>
      </c>
      <c r="C112" s="24" t="s">
        <v>29</v>
      </c>
      <c r="D112" s="25" t="s">
        <v>21</v>
      </c>
      <c r="E112" s="26" t="s">
        <v>14</v>
      </c>
      <c r="F112" s="27">
        <v>0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3"/>
      <c r="O112" s="3"/>
    </row>
    <row r="113" spans="1:15" x14ac:dyDescent="0.35">
      <c r="A113" s="3"/>
      <c r="B113" s="23">
        <v>8</v>
      </c>
      <c r="C113" s="24" t="s">
        <v>29</v>
      </c>
      <c r="D113" s="25" t="s">
        <v>21</v>
      </c>
      <c r="E113" s="26" t="s">
        <v>15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3"/>
      <c r="O113" s="3"/>
    </row>
    <row r="114" spans="1:15" x14ac:dyDescent="0.35">
      <c r="A114" s="3"/>
      <c r="B114" s="23">
        <v>8</v>
      </c>
      <c r="C114" s="24" t="s">
        <v>29</v>
      </c>
      <c r="D114" s="25" t="s">
        <v>21</v>
      </c>
      <c r="E114" s="26" t="s">
        <v>16</v>
      </c>
      <c r="F114" s="27">
        <v>1</v>
      </c>
      <c r="G114" s="27">
        <v>2</v>
      </c>
      <c r="H114" s="27">
        <v>0</v>
      </c>
      <c r="I114" s="27">
        <v>0</v>
      </c>
      <c r="J114" s="27" t="s">
        <v>24</v>
      </c>
      <c r="K114" s="27" t="s">
        <v>24</v>
      </c>
      <c r="L114" s="27">
        <v>0</v>
      </c>
      <c r="M114" s="27">
        <v>0</v>
      </c>
      <c r="N114" s="3"/>
      <c r="O114" s="3"/>
    </row>
    <row r="115" spans="1:15" x14ac:dyDescent="0.35">
      <c r="A115" s="3"/>
      <c r="B115" s="23">
        <v>8</v>
      </c>
      <c r="C115" s="24" t="s">
        <v>29</v>
      </c>
      <c r="D115" s="25" t="s">
        <v>21</v>
      </c>
      <c r="E115" s="26" t="s">
        <v>17</v>
      </c>
      <c r="F115" s="27">
        <v>0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  <c r="N115" s="3"/>
      <c r="O115" s="3"/>
    </row>
    <row r="116" spans="1:15" x14ac:dyDescent="0.35">
      <c r="A116" s="3"/>
      <c r="B116" s="23">
        <v>8</v>
      </c>
      <c r="C116" s="24" t="s">
        <v>29</v>
      </c>
      <c r="D116" s="25" t="s">
        <v>21</v>
      </c>
      <c r="E116" s="28" t="s">
        <v>18</v>
      </c>
      <c r="F116" s="29">
        <f t="shared" ref="F116:M116" si="16">SUM(F112:F115)</f>
        <v>1</v>
      </c>
      <c r="G116" s="29">
        <f t="shared" si="16"/>
        <v>2</v>
      </c>
      <c r="H116" s="29">
        <f t="shared" si="16"/>
        <v>0</v>
      </c>
      <c r="I116" s="29">
        <f t="shared" si="16"/>
        <v>0</v>
      </c>
      <c r="J116" s="29">
        <f t="shared" si="16"/>
        <v>0</v>
      </c>
      <c r="K116" s="29">
        <f t="shared" si="16"/>
        <v>0</v>
      </c>
      <c r="L116" s="29">
        <f t="shared" si="16"/>
        <v>0</v>
      </c>
      <c r="M116" s="29">
        <f t="shared" si="16"/>
        <v>0</v>
      </c>
      <c r="N116" s="3"/>
      <c r="O116" s="3"/>
    </row>
    <row r="117" spans="1:15" x14ac:dyDescent="0.35">
      <c r="A117" s="3"/>
      <c r="B117" s="23">
        <v>8</v>
      </c>
      <c r="C117" s="24" t="s">
        <v>29</v>
      </c>
      <c r="D117" s="25" t="s">
        <v>21</v>
      </c>
      <c r="E117" s="26" t="s">
        <v>19</v>
      </c>
      <c r="F117" s="27">
        <v>0</v>
      </c>
      <c r="G117" s="27">
        <v>0</v>
      </c>
      <c r="H117" s="27">
        <v>0</v>
      </c>
      <c r="I117" s="27">
        <v>0</v>
      </c>
      <c r="J117" s="27">
        <v>0</v>
      </c>
      <c r="K117" s="27">
        <v>0</v>
      </c>
      <c r="L117" s="27">
        <v>0</v>
      </c>
      <c r="M117" s="27">
        <v>0</v>
      </c>
      <c r="N117" s="3"/>
      <c r="O117" s="3"/>
    </row>
    <row r="118" spans="1:15" x14ac:dyDescent="0.35">
      <c r="A118" s="3"/>
      <c r="B118" s="23">
        <v>8</v>
      </c>
      <c r="C118" s="24" t="s">
        <v>29</v>
      </c>
      <c r="D118" s="25" t="s">
        <v>21</v>
      </c>
      <c r="E118" s="26" t="s">
        <v>20</v>
      </c>
      <c r="F118" s="27">
        <v>0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3"/>
      <c r="O118" s="3"/>
    </row>
    <row r="119" spans="1:15" x14ac:dyDescent="0.35">
      <c r="A119" s="3"/>
      <c r="B119" s="30"/>
      <c r="C119" s="31"/>
      <c r="D119" s="31"/>
      <c r="E119" s="32"/>
      <c r="F119" s="33"/>
      <c r="G119" s="33"/>
      <c r="H119" s="33"/>
      <c r="I119" s="33"/>
      <c r="J119" s="33"/>
      <c r="K119" s="33"/>
      <c r="L119" s="33"/>
      <c r="M119" s="33"/>
      <c r="N119" s="3"/>
      <c r="O119" s="3"/>
    </row>
    <row r="120" spans="1:15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35">
      <c r="A121" s="4" t="s">
        <v>30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x14ac:dyDescent="0.35">
      <c r="A123" s="3"/>
      <c r="B123" s="34">
        <v>1</v>
      </c>
      <c r="C123" s="34" t="s">
        <v>31</v>
      </c>
      <c r="D123" s="15" t="s">
        <v>13</v>
      </c>
      <c r="E123" s="35" t="s">
        <v>14</v>
      </c>
      <c r="F123" s="18">
        <v>2</v>
      </c>
      <c r="G123" s="36">
        <v>0</v>
      </c>
      <c r="H123" s="36">
        <v>0</v>
      </c>
      <c r="I123" s="36">
        <v>0</v>
      </c>
      <c r="J123" s="36">
        <v>88532059</v>
      </c>
      <c r="K123" s="36">
        <v>0</v>
      </c>
      <c r="L123" s="36">
        <v>0</v>
      </c>
      <c r="M123" s="36">
        <v>0</v>
      </c>
      <c r="N123" s="3"/>
      <c r="O123" s="3"/>
    </row>
    <row r="124" spans="1:15" x14ac:dyDescent="0.35">
      <c r="A124" s="3"/>
      <c r="B124" s="37"/>
      <c r="C124" s="37"/>
      <c r="D124" s="16" t="s">
        <v>13</v>
      </c>
      <c r="E124" s="35" t="s">
        <v>15</v>
      </c>
      <c r="F124" s="18">
        <v>2</v>
      </c>
      <c r="G124" s="18">
        <v>3</v>
      </c>
      <c r="H124" s="36">
        <v>0</v>
      </c>
      <c r="I124" s="36">
        <v>0</v>
      </c>
      <c r="J124" s="36">
        <v>11976079</v>
      </c>
      <c r="K124" s="36">
        <v>13318795</v>
      </c>
      <c r="L124" s="36">
        <v>0</v>
      </c>
      <c r="M124" s="36">
        <v>0</v>
      </c>
      <c r="N124" s="3"/>
      <c r="O124" s="3"/>
    </row>
    <row r="125" spans="1:15" x14ac:dyDescent="0.35">
      <c r="A125" s="3"/>
      <c r="B125" s="37"/>
      <c r="C125" s="37"/>
      <c r="D125" s="16" t="s">
        <v>13</v>
      </c>
      <c r="E125" s="35" t="s">
        <v>16</v>
      </c>
      <c r="F125" s="18">
        <v>2</v>
      </c>
      <c r="G125" s="36">
        <v>0</v>
      </c>
      <c r="H125" s="36">
        <v>0</v>
      </c>
      <c r="I125" s="36">
        <v>0</v>
      </c>
      <c r="J125" s="36">
        <v>12647347</v>
      </c>
      <c r="K125" s="36">
        <v>0</v>
      </c>
      <c r="L125" s="36">
        <v>0</v>
      </c>
      <c r="M125" s="36">
        <v>0</v>
      </c>
      <c r="N125" s="3"/>
      <c r="O125" s="3"/>
    </row>
    <row r="126" spans="1:15" x14ac:dyDescent="0.35">
      <c r="A126" s="3"/>
      <c r="B126" s="37"/>
      <c r="C126" s="37"/>
      <c r="D126" s="16" t="s">
        <v>13</v>
      </c>
      <c r="E126" s="35" t="s">
        <v>17</v>
      </c>
      <c r="F126" s="36">
        <v>0</v>
      </c>
      <c r="G126" s="36">
        <v>0</v>
      </c>
      <c r="H126" s="36">
        <v>0</v>
      </c>
      <c r="I126" s="36">
        <v>0</v>
      </c>
      <c r="J126" s="36">
        <v>0</v>
      </c>
      <c r="K126" s="36">
        <v>0</v>
      </c>
      <c r="L126" s="36">
        <v>0</v>
      </c>
      <c r="M126" s="36">
        <v>0</v>
      </c>
      <c r="N126" s="3"/>
      <c r="O126" s="3"/>
    </row>
    <row r="127" spans="1:15" x14ac:dyDescent="0.35">
      <c r="A127" s="3"/>
      <c r="B127" s="37"/>
      <c r="C127" s="37"/>
      <c r="D127" s="16" t="s">
        <v>13</v>
      </c>
      <c r="E127" s="38" t="s">
        <v>18</v>
      </c>
      <c r="F127" s="39">
        <f>F128</f>
        <v>6</v>
      </c>
      <c r="G127" s="39">
        <f t="shared" ref="G127:I128" si="17">G128</f>
        <v>3</v>
      </c>
      <c r="H127" s="40">
        <f t="shared" si="17"/>
        <v>0</v>
      </c>
      <c r="I127" s="40">
        <f t="shared" si="17"/>
        <v>0</v>
      </c>
      <c r="J127" s="41">
        <f>SUM(J123:J126)</f>
        <v>113155485</v>
      </c>
      <c r="K127" s="41">
        <f>SUM(K123:K126)</f>
        <v>13318795</v>
      </c>
      <c r="L127" s="41">
        <f t="shared" ref="L127:M127" si="18">SUM(L123:L126)</f>
        <v>0</v>
      </c>
      <c r="M127" s="41">
        <f t="shared" si="18"/>
        <v>0</v>
      </c>
      <c r="N127" s="3"/>
      <c r="O127" s="3"/>
    </row>
    <row r="128" spans="1:15" x14ac:dyDescent="0.35">
      <c r="A128" s="3"/>
      <c r="B128" s="37"/>
      <c r="C128" s="37"/>
      <c r="D128" s="16" t="s">
        <v>13</v>
      </c>
      <c r="E128" s="35" t="s">
        <v>19</v>
      </c>
      <c r="F128" s="42">
        <v>6</v>
      </c>
      <c r="G128" s="42">
        <v>3</v>
      </c>
      <c r="H128" s="40">
        <f t="shared" si="17"/>
        <v>0</v>
      </c>
      <c r="I128" s="40">
        <f t="shared" si="17"/>
        <v>0</v>
      </c>
      <c r="J128" s="43">
        <v>113155485</v>
      </c>
      <c r="K128" s="43">
        <v>13318795</v>
      </c>
      <c r="L128" s="44">
        <v>0</v>
      </c>
      <c r="M128" s="44">
        <v>0</v>
      </c>
      <c r="N128" s="3"/>
      <c r="O128" s="3"/>
    </row>
    <row r="129" spans="1:15" x14ac:dyDescent="0.35">
      <c r="A129" s="3"/>
      <c r="B129" s="45"/>
      <c r="C129" s="45"/>
      <c r="D129" s="16" t="s">
        <v>13</v>
      </c>
      <c r="E129" s="35" t="s">
        <v>20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44">
        <v>0</v>
      </c>
      <c r="M129" s="44">
        <v>0</v>
      </c>
      <c r="N129" s="3"/>
      <c r="O129" s="3"/>
    </row>
    <row r="130" spans="1:15" x14ac:dyDescent="0.35">
      <c r="A130" s="3"/>
      <c r="B130" s="46">
        <v>1</v>
      </c>
      <c r="C130" s="46" t="s">
        <v>31</v>
      </c>
      <c r="D130" s="25" t="s">
        <v>21</v>
      </c>
      <c r="E130" s="26" t="s">
        <v>14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3"/>
      <c r="O130" s="3"/>
    </row>
    <row r="131" spans="1:15" x14ac:dyDescent="0.35">
      <c r="A131" s="3"/>
      <c r="B131" s="47"/>
      <c r="C131" s="47"/>
      <c r="D131" s="25" t="s">
        <v>21</v>
      </c>
      <c r="E131" s="26" t="s">
        <v>15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3"/>
      <c r="O131" s="3"/>
    </row>
    <row r="132" spans="1:15" x14ac:dyDescent="0.35">
      <c r="A132" s="3"/>
      <c r="B132" s="47"/>
      <c r="C132" s="47"/>
      <c r="D132" s="25" t="s">
        <v>21</v>
      </c>
      <c r="E132" s="26" t="s">
        <v>16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3"/>
      <c r="O132" s="3"/>
    </row>
    <row r="133" spans="1:15" x14ac:dyDescent="0.35">
      <c r="A133" s="3"/>
      <c r="B133" s="47"/>
      <c r="C133" s="47"/>
      <c r="D133" s="25" t="s">
        <v>21</v>
      </c>
      <c r="E133" s="26" t="s">
        <v>17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3"/>
      <c r="O133" s="3"/>
    </row>
    <row r="134" spans="1:15" x14ac:dyDescent="0.35">
      <c r="A134" s="3"/>
      <c r="B134" s="47"/>
      <c r="C134" s="47"/>
      <c r="D134" s="25" t="s">
        <v>21</v>
      </c>
      <c r="E134" s="28" t="s">
        <v>18</v>
      </c>
      <c r="F134" s="29">
        <f t="shared" ref="F134:M134" si="19">SUM(F130:F133)</f>
        <v>0</v>
      </c>
      <c r="G134" s="29">
        <f t="shared" si="19"/>
        <v>0</v>
      </c>
      <c r="H134" s="29">
        <f t="shared" si="19"/>
        <v>0</v>
      </c>
      <c r="I134" s="29">
        <f t="shared" si="19"/>
        <v>0</v>
      </c>
      <c r="J134" s="29">
        <f t="shared" si="19"/>
        <v>0</v>
      </c>
      <c r="K134" s="29">
        <f t="shared" si="19"/>
        <v>0</v>
      </c>
      <c r="L134" s="29">
        <f t="shared" si="19"/>
        <v>0</v>
      </c>
      <c r="M134" s="29">
        <f t="shared" si="19"/>
        <v>0</v>
      </c>
      <c r="N134" s="3"/>
      <c r="O134" s="3"/>
    </row>
    <row r="135" spans="1:15" x14ac:dyDescent="0.35">
      <c r="A135" s="3"/>
      <c r="B135" s="47"/>
      <c r="C135" s="47"/>
      <c r="D135" s="25" t="s">
        <v>21</v>
      </c>
      <c r="E135" s="26" t="s">
        <v>19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3"/>
      <c r="O135" s="3"/>
    </row>
    <row r="136" spans="1:15" x14ac:dyDescent="0.35">
      <c r="A136" s="3"/>
      <c r="B136" s="48"/>
      <c r="C136" s="48"/>
      <c r="D136" s="25" t="s">
        <v>21</v>
      </c>
      <c r="E136" s="26" t="s">
        <v>20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3"/>
      <c r="O136" s="3"/>
    </row>
    <row r="137" spans="1:15" x14ac:dyDescent="0.35">
      <c r="A137" s="3"/>
      <c r="B137" s="34">
        <v>2</v>
      </c>
      <c r="C137" s="34" t="s">
        <v>32</v>
      </c>
      <c r="D137" s="15" t="s">
        <v>13</v>
      </c>
      <c r="E137" s="35" t="s">
        <v>14</v>
      </c>
      <c r="F137" s="18">
        <v>9</v>
      </c>
      <c r="G137" s="36">
        <v>0</v>
      </c>
      <c r="H137" s="36">
        <v>10</v>
      </c>
      <c r="I137" s="36">
        <v>0</v>
      </c>
      <c r="J137" s="36">
        <v>582470549</v>
      </c>
      <c r="K137" s="36">
        <v>0</v>
      </c>
      <c r="L137" s="36">
        <v>234936910</v>
      </c>
      <c r="M137" s="36">
        <v>0</v>
      </c>
      <c r="N137" s="3"/>
      <c r="O137" s="3"/>
    </row>
    <row r="138" spans="1:15" x14ac:dyDescent="0.35">
      <c r="A138" s="3"/>
      <c r="B138" s="37"/>
      <c r="C138" s="37"/>
      <c r="D138" s="16" t="s">
        <v>13</v>
      </c>
      <c r="E138" s="35" t="s">
        <v>15</v>
      </c>
      <c r="F138" s="18">
        <v>34</v>
      </c>
      <c r="G138" s="18">
        <v>12</v>
      </c>
      <c r="H138" s="36">
        <v>4</v>
      </c>
      <c r="I138" s="36">
        <v>0</v>
      </c>
      <c r="J138" s="36">
        <v>1063479688</v>
      </c>
      <c r="K138" s="36">
        <v>259317191</v>
      </c>
      <c r="L138" s="36">
        <v>60102528</v>
      </c>
      <c r="M138" s="36">
        <v>0</v>
      </c>
      <c r="N138" s="3"/>
      <c r="O138" s="3"/>
    </row>
    <row r="139" spans="1:15" x14ac:dyDescent="0.35">
      <c r="A139" s="3"/>
      <c r="B139" s="37"/>
      <c r="C139" s="37"/>
      <c r="D139" s="16" t="s">
        <v>13</v>
      </c>
      <c r="E139" s="35" t="s">
        <v>16</v>
      </c>
      <c r="F139" s="18">
        <v>149</v>
      </c>
      <c r="G139" s="36">
        <v>9</v>
      </c>
      <c r="H139" s="36">
        <v>0</v>
      </c>
      <c r="I139" s="36">
        <v>0</v>
      </c>
      <c r="J139" s="36">
        <v>2478316885</v>
      </c>
      <c r="K139" s="36">
        <v>141497611</v>
      </c>
      <c r="L139" s="36">
        <v>0</v>
      </c>
      <c r="M139" s="36">
        <v>0</v>
      </c>
      <c r="N139" s="3"/>
      <c r="O139" s="3"/>
    </row>
    <row r="140" spans="1:15" x14ac:dyDescent="0.35">
      <c r="A140" s="3"/>
      <c r="B140" s="37"/>
      <c r="C140" s="37"/>
      <c r="D140" s="16" t="s">
        <v>13</v>
      </c>
      <c r="E140" s="35" t="s">
        <v>17</v>
      </c>
      <c r="F140" s="36">
        <v>110</v>
      </c>
      <c r="G140" s="36">
        <v>6</v>
      </c>
      <c r="H140" s="36">
        <v>0</v>
      </c>
      <c r="I140" s="36">
        <v>0</v>
      </c>
      <c r="J140" s="36">
        <v>1430267793</v>
      </c>
      <c r="K140" s="36">
        <v>58084856</v>
      </c>
      <c r="L140" s="36">
        <v>0</v>
      </c>
      <c r="M140" s="36">
        <v>0</v>
      </c>
      <c r="N140" s="3"/>
      <c r="O140" s="3"/>
    </row>
    <row r="141" spans="1:15" x14ac:dyDescent="0.35">
      <c r="A141" s="3"/>
      <c r="B141" s="37"/>
      <c r="C141" s="37"/>
      <c r="D141" s="16" t="s">
        <v>13</v>
      </c>
      <c r="E141" s="38" t="s">
        <v>18</v>
      </c>
      <c r="F141" s="39">
        <f>SUM(F137:F140)</f>
        <v>302</v>
      </c>
      <c r="G141" s="39">
        <f>SUM(G137:G140)</f>
        <v>27</v>
      </c>
      <c r="H141" s="40">
        <f>SUM(H137:H140)</f>
        <v>14</v>
      </c>
      <c r="I141" s="40">
        <f>SUM(I137:I140)</f>
        <v>0</v>
      </c>
      <c r="J141" s="41">
        <f t="shared" ref="J141:M141" si="20">SUM(J137:J140)</f>
        <v>5554534915</v>
      </c>
      <c r="K141" s="41">
        <f t="shared" si="20"/>
        <v>458899658</v>
      </c>
      <c r="L141" s="41">
        <f t="shared" si="20"/>
        <v>295039438</v>
      </c>
      <c r="M141" s="41">
        <f t="shared" si="20"/>
        <v>0</v>
      </c>
      <c r="N141" s="3"/>
      <c r="O141" s="3"/>
    </row>
    <row r="142" spans="1:15" x14ac:dyDescent="0.35">
      <c r="A142" s="3"/>
      <c r="B142" s="37"/>
      <c r="C142" s="37"/>
      <c r="D142" s="16" t="s">
        <v>13</v>
      </c>
      <c r="E142" s="35" t="s">
        <v>19</v>
      </c>
      <c r="F142" s="42">
        <v>302</v>
      </c>
      <c r="G142" s="42">
        <v>27</v>
      </c>
      <c r="H142" s="40">
        <v>14</v>
      </c>
      <c r="I142" s="40">
        <v>0</v>
      </c>
      <c r="J142" s="43">
        <v>5554534915</v>
      </c>
      <c r="K142" s="43">
        <v>458899658</v>
      </c>
      <c r="L142" s="44">
        <v>295039338</v>
      </c>
      <c r="M142" s="44">
        <v>0</v>
      </c>
      <c r="N142" s="3"/>
      <c r="O142" s="3"/>
    </row>
    <row r="143" spans="1:15" x14ac:dyDescent="0.35">
      <c r="A143" s="3"/>
      <c r="B143" s="45"/>
      <c r="C143" s="45"/>
      <c r="D143" s="16" t="s">
        <v>13</v>
      </c>
      <c r="E143" s="35" t="s">
        <v>20</v>
      </c>
      <c r="F143" s="36">
        <v>0</v>
      </c>
      <c r="G143" s="36">
        <v>0</v>
      </c>
      <c r="H143" s="36">
        <v>0</v>
      </c>
      <c r="I143" s="36">
        <v>0</v>
      </c>
      <c r="J143" s="36">
        <v>0</v>
      </c>
      <c r="K143" s="36">
        <v>0</v>
      </c>
      <c r="L143" s="44">
        <v>0</v>
      </c>
      <c r="M143" s="44">
        <v>0</v>
      </c>
      <c r="N143" s="3"/>
      <c r="O143" s="3"/>
    </row>
    <row r="144" spans="1:15" x14ac:dyDescent="0.35">
      <c r="A144" s="3"/>
      <c r="B144" s="46">
        <v>2</v>
      </c>
      <c r="C144" s="46" t="s">
        <v>32</v>
      </c>
      <c r="D144" s="25" t="s">
        <v>21</v>
      </c>
      <c r="E144" s="26" t="s">
        <v>14</v>
      </c>
      <c r="F144" s="27">
        <v>0</v>
      </c>
      <c r="G144" s="27">
        <v>0</v>
      </c>
      <c r="H144" s="27">
        <v>13</v>
      </c>
      <c r="I144" s="27">
        <v>0</v>
      </c>
      <c r="J144" s="27">
        <v>0</v>
      </c>
      <c r="K144" s="27">
        <v>0</v>
      </c>
      <c r="L144" s="27">
        <v>2176864250</v>
      </c>
      <c r="M144" s="27">
        <v>0</v>
      </c>
      <c r="N144" s="3"/>
      <c r="O144" s="3"/>
    </row>
    <row r="145" spans="1:15" x14ac:dyDescent="0.35">
      <c r="A145" s="3"/>
      <c r="B145" s="47"/>
      <c r="C145" s="47"/>
      <c r="D145" s="25" t="s">
        <v>21</v>
      </c>
      <c r="E145" s="26" t="s">
        <v>15</v>
      </c>
      <c r="F145" s="27">
        <v>0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3"/>
      <c r="O145" s="3"/>
    </row>
    <row r="146" spans="1:15" x14ac:dyDescent="0.35">
      <c r="A146" s="3"/>
      <c r="B146" s="47"/>
      <c r="C146" s="47"/>
      <c r="D146" s="25" t="s">
        <v>21</v>
      </c>
      <c r="E146" s="26" t="s">
        <v>16</v>
      </c>
      <c r="F146" s="27">
        <v>392</v>
      </c>
      <c r="G146" s="27">
        <v>0</v>
      </c>
      <c r="H146" s="27">
        <v>0</v>
      </c>
      <c r="I146" s="27">
        <v>0</v>
      </c>
      <c r="J146" s="27">
        <v>1878920597</v>
      </c>
      <c r="K146" s="27">
        <v>0</v>
      </c>
      <c r="L146" s="27">
        <v>0</v>
      </c>
      <c r="M146" s="27">
        <v>0</v>
      </c>
      <c r="N146" s="3"/>
      <c r="O146" s="3"/>
    </row>
    <row r="147" spans="1:15" x14ac:dyDescent="0.35">
      <c r="A147" s="3"/>
      <c r="B147" s="47"/>
      <c r="C147" s="47"/>
      <c r="D147" s="25" t="s">
        <v>21</v>
      </c>
      <c r="E147" s="26" t="s">
        <v>17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3"/>
      <c r="O147" s="3"/>
    </row>
    <row r="148" spans="1:15" x14ac:dyDescent="0.35">
      <c r="A148" s="3"/>
      <c r="B148" s="47"/>
      <c r="C148" s="47"/>
      <c r="D148" s="25" t="s">
        <v>21</v>
      </c>
      <c r="E148" s="28" t="s">
        <v>18</v>
      </c>
      <c r="F148" s="29">
        <f t="shared" ref="F148:M148" si="21">SUM(F144:F147)</f>
        <v>392</v>
      </c>
      <c r="G148" s="29">
        <f t="shared" si="21"/>
        <v>0</v>
      </c>
      <c r="H148" s="29">
        <f t="shared" si="21"/>
        <v>13</v>
      </c>
      <c r="I148" s="29">
        <f t="shared" si="21"/>
        <v>0</v>
      </c>
      <c r="J148" s="29">
        <f t="shared" si="21"/>
        <v>1878920597</v>
      </c>
      <c r="K148" s="29">
        <f t="shared" si="21"/>
        <v>0</v>
      </c>
      <c r="L148" s="29">
        <f t="shared" si="21"/>
        <v>2176864250</v>
      </c>
      <c r="M148" s="29">
        <f t="shared" si="21"/>
        <v>0</v>
      </c>
      <c r="N148" s="3"/>
      <c r="O148" s="3"/>
    </row>
    <row r="149" spans="1:15" x14ac:dyDescent="0.35">
      <c r="A149" s="3"/>
      <c r="B149" s="47"/>
      <c r="C149" s="47"/>
      <c r="D149" s="25" t="s">
        <v>21</v>
      </c>
      <c r="E149" s="26" t="s">
        <v>19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3"/>
      <c r="O149" s="3"/>
    </row>
    <row r="150" spans="1:15" x14ac:dyDescent="0.35">
      <c r="A150" s="3"/>
      <c r="B150" s="48"/>
      <c r="C150" s="48"/>
      <c r="D150" s="25" t="s">
        <v>21</v>
      </c>
      <c r="E150" s="26" t="s">
        <v>20</v>
      </c>
      <c r="F150" s="27">
        <f>+F148</f>
        <v>392</v>
      </c>
      <c r="G150" s="27">
        <v>0</v>
      </c>
      <c r="H150" s="27">
        <f>+H148</f>
        <v>13</v>
      </c>
      <c r="I150" s="27">
        <v>0</v>
      </c>
      <c r="J150" s="27">
        <f>+J148</f>
        <v>1878920597</v>
      </c>
      <c r="K150" s="27">
        <v>0</v>
      </c>
      <c r="L150" s="27">
        <f>+L148</f>
        <v>2176864250</v>
      </c>
      <c r="M150" s="27">
        <v>0</v>
      </c>
      <c r="N150" s="3"/>
      <c r="O150" s="3"/>
    </row>
    <row r="151" spans="1:15" x14ac:dyDescent="0.35">
      <c r="A151" s="3"/>
      <c r="B151" s="34">
        <v>3</v>
      </c>
      <c r="C151" s="34" t="s">
        <v>33</v>
      </c>
      <c r="D151" s="15" t="s">
        <v>13</v>
      </c>
      <c r="E151" s="35" t="s">
        <v>14</v>
      </c>
      <c r="F151" s="18">
        <v>51</v>
      </c>
      <c r="G151" s="36">
        <v>4</v>
      </c>
      <c r="H151" s="36">
        <v>86</v>
      </c>
      <c r="I151" s="36">
        <v>3</v>
      </c>
      <c r="J151" s="36">
        <v>2202718018</v>
      </c>
      <c r="K151" s="36">
        <v>184416268</v>
      </c>
      <c r="L151" s="36">
        <v>1981570230</v>
      </c>
      <c r="M151" s="36">
        <v>62118099</v>
      </c>
      <c r="N151" s="3"/>
      <c r="O151" s="3"/>
    </row>
    <row r="152" spans="1:15" x14ac:dyDescent="0.35">
      <c r="A152" s="3"/>
      <c r="B152" s="37"/>
      <c r="C152" s="37"/>
      <c r="D152" s="16" t="s">
        <v>13</v>
      </c>
      <c r="E152" s="35" t="s">
        <v>15</v>
      </c>
      <c r="F152" s="18">
        <v>98</v>
      </c>
      <c r="G152" s="18">
        <v>16</v>
      </c>
      <c r="H152" s="36">
        <v>0</v>
      </c>
      <c r="I152" s="36">
        <v>0</v>
      </c>
      <c r="J152" s="36">
        <v>2389831563</v>
      </c>
      <c r="K152" s="36">
        <v>397155894</v>
      </c>
      <c r="L152" s="36">
        <v>0</v>
      </c>
      <c r="M152" s="36">
        <v>0</v>
      </c>
      <c r="N152" s="3"/>
      <c r="O152" s="3"/>
    </row>
    <row r="153" spans="1:15" x14ac:dyDescent="0.35">
      <c r="A153" s="3"/>
      <c r="B153" s="37"/>
      <c r="C153" s="37"/>
      <c r="D153" s="16" t="s">
        <v>13</v>
      </c>
      <c r="E153" s="35" t="s">
        <v>16</v>
      </c>
      <c r="F153" s="18">
        <v>341</v>
      </c>
      <c r="G153" s="36">
        <v>27</v>
      </c>
      <c r="H153" s="36">
        <v>0</v>
      </c>
      <c r="I153" s="36">
        <v>0</v>
      </c>
      <c r="J153" s="36">
        <v>4410290388</v>
      </c>
      <c r="K153" s="36">
        <v>174308516</v>
      </c>
      <c r="L153" s="36">
        <v>0</v>
      </c>
      <c r="M153" s="36">
        <v>0</v>
      </c>
      <c r="N153" s="3"/>
      <c r="O153" s="3"/>
    </row>
    <row r="154" spans="1:15" x14ac:dyDescent="0.35">
      <c r="A154" s="3"/>
      <c r="B154" s="37"/>
      <c r="C154" s="37"/>
      <c r="D154" s="16" t="s">
        <v>13</v>
      </c>
      <c r="E154" s="35" t="s">
        <v>17</v>
      </c>
      <c r="F154" s="36">
        <v>399</v>
      </c>
      <c r="G154" s="36">
        <v>19</v>
      </c>
      <c r="H154" s="36">
        <v>0</v>
      </c>
      <c r="I154" s="36">
        <v>0</v>
      </c>
      <c r="J154" s="36">
        <v>1210590571</v>
      </c>
      <c r="K154" s="36">
        <v>20161845</v>
      </c>
      <c r="L154" s="36">
        <v>0</v>
      </c>
      <c r="M154" s="36">
        <v>0</v>
      </c>
      <c r="N154" s="3"/>
      <c r="O154" s="3"/>
    </row>
    <row r="155" spans="1:15" x14ac:dyDescent="0.35">
      <c r="A155" s="3"/>
      <c r="B155" s="37"/>
      <c r="C155" s="37"/>
      <c r="D155" s="16" t="s">
        <v>13</v>
      </c>
      <c r="E155" s="38" t="s">
        <v>18</v>
      </c>
      <c r="F155" s="39">
        <f>SUM(F151:F154)</f>
        <v>889</v>
      </c>
      <c r="G155" s="39">
        <f>SUM(G151:G154)</f>
        <v>66</v>
      </c>
      <c r="H155" s="40">
        <f>SUM(H151:H154)</f>
        <v>86</v>
      </c>
      <c r="I155" s="40">
        <f>SUM(I151:I154)</f>
        <v>3</v>
      </c>
      <c r="J155" s="41">
        <f t="shared" ref="J155:M155" si="22">SUM(J151:J154)</f>
        <v>10213430540</v>
      </c>
      <c r="K155" s="41">
        <f t="shared" si="22"/>
        <v>776042523</v>
      </c>
      <c r="L155" s="41">
        <f t="shared" si="22"/>
        <v>1981570230</v>
      </c>
      <c r="M155" s="41">
        <f t="shared" si="22"/>
        <v>62118099</v>
      </c>
      <c r="N155" s="3"/>
      <c r="O155" s="3"/>
    </row>
    <row r="156" spans="1:15" x14ac:dyDescent="0.35">
      <c r="A156" s="3"/>
      <c r="B156" s="37"/>
      <c r="C156" s="37"/>
      <c r="D156" s="16" t="s">
        <v>13</v>
      </c>
      <c r="E156" s="35" t="s">
        <v>19</v>
      </c>
      <c r="F156" s="42">
        <v>889</v>
      </c>
      <c r="G156" s="42">
        <v>66</v>
      </c>
      <c r="H156" s="40">
        <v>86</v>
      </c>
      <c r="I156" s="40">
        <v>3</v>
      </c>
      <c r="J156" s="43">
        <v>10213430540</v>
      </c>
      <c r="K156" s="43">
        <v>776042523</v>
      </c>
      <c r="L156" s="44">
        <v>1981570230</v>
      </c>
      <c r="M156" s="44">
        <v>62118099</v>
      </c>
      <c r="N156" s="3"/>
      <c r="O156" s="3"/>
    </row>
    <row r="157" spans="1:15" x14ac:dyDescent="0.35">
      <c r="A157" s="3"/>
      <c r="B157" s="45"/>
      <c r="C157" s="45"/>
      <c r="D157" s="16" t="s">
        <v>13</v>
      </c>
      <c r="E157" s="35" t="s">
        <v>20</v>
      </c>
      <c r="F157" s="36">
        <v>0</v>
      </c>
      <c r="G157" s="36">
        <v>0</v>
      </c>
      <c r="H157" s="36">
        <v>0</v>
      </c>
      <c r="I157" s="36">
        <v>0</v>
      </c>
      <c r="J157" s="36">
        <v>0</v>
      </c>
      <c r="K157" s="36">
        <v>0</v>
      </c>
      <c r="L157" s="44">
        <v>0</v>
      </c>
      <c r="M157" s="44">
        <v>0</v>
      </c>
      <c r="N157" s="3"/>
      <c r="O157" s="3"/>
    </row>
    <row r="158" spans="1:15" x14ac:dyDescent="0.35">
      <c r="A158" s="3"/>
      <c r="B158" s="46">
        <v>3</v>
      </c>
      <c r="C158" s="46" t="s">
        <v>33</v>
      </c>
      <c r="D158" s="25" t="s">
        <v>21</v>
      </c>
      <c r="E158" s="26" t="s">
        <v>14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3"/>
      <c r="O158" s="3"/>
    </row>
    <row r="159" spans="1:15" x14ac:dyDescent="0.35">
      <c r="A159" s="3"/>
      <c r="B159" s="47"/>
      <c r="C159" s="47"/>
      <c r="D159" s="25" t="s">
        <v>21</v>
      </c>
      <c r="E159" s="26" t="s">
        <v>15</v>
      </c>
      <c r="F159" s="27">
        <v>22</v>
      </c>
      <c r="G159" s="27">
        <v>1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3"/>
      <c r="O159" s="3"/>
    </row>
    <row r="160" spans="1:15" x14ac:dyDescent="0.35">
      <c r="A160" s="3"/>
      <c r="B160" s="47"/>
      <c r="C160" s="47"/>
      <c r="D160" s="25" t="s">
        <v>21</v>
      </c>
      <c r="E160" s="26" t="s">
        <v>16</v>
      </c>
      <c r="F160" s="27">
        <v>31</v>
      </c>
      <c r="G160" s="27">
        <v>7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3"/>
      <c r="O160" s="3"/>
    </row>
    <row r="161" spans="1:15" x14ac:dyDescent="0.35">
      <c r="A161" s="3"/>
      <c r="B161" s="47"/>
      <c r="C161" s="47"/>
      <c r="D161" s="25" t="s">
        <v>21</v>
      </c>
      <c r="E161" s="26" t="s">
        <v>17</v>
      </c>
      <c r="F161" s="27">
        <v>422</v>
      </c>
      <c r="G161" s="27">
        <v>42</v>
      </c>
      <c r="H161" s="27">
        <v>0</v>
      </c>
      <c r="I161" s="27">
        <v>0</v>
      </c>
      <c r="J161" s="27">
        <v>11147834122</v>
      </c>
      <c r="K161" s="27">
        <v>0</v>
      </c>
      <c r="L161" s="27">
        <v>0</v>
      </c>
      <c r="M161" s="27">
        <v>0</v>
      </c>
      <c r="N161" s="3"/>
      <c r="O161" s="3"/>
    </row>
    <row r="162" spans="1:15" x14ac:dyDescent="0.35">
      <c r="A162" s="3"/>
      <c r="B162" s="47"/>
      <c r="C162" s="47"/>
      <c r="D162" s="25" t="s">
        <v>21</v>
      </c>
      <c r="E162" s="28" t="s">
        <v>18</v>
      </c>
      <c r="F162" s="29">
        <f t="shared" ref="F162:M162" si="23">SUM(F158:F161)</f>
        <v>475</v>
      </c>
      <c r="G162" s="29">
        <f t="shared" si="23"/>
        <v>50</v>
      </c>
      <c r="H162" s="29">
        <f t="shared" si="23"/>
        <v>0</v>
      </c>
      <c r="I162" s="29">
        <f t="shared" si="23"/>
        <v>0</v>
      </c>
      <c r="J162" s="29">
        <f t="shared" si="23"/>
        <v>11147834122</v>
      </c>
      <c r="K162" s="29">
        <f t="shared" si="23"/>
        <v>0</v>
      </c>
      <c r="L162" s="29">
        <f t="shared" si="23"/>
        <v>0</v>
      </c>
      <c r="M162" s="29">
        <f t="shared" si="23"/>
        <v>0</v>
      </c>
      <c r="N162" s="3"/>
      <c r="O162" s="3"/>
    </row>
    <row r="163" spans="1:15" x14ac:dyDescent="0.35">
      <c r="A163" s="3"/>
      <c r="B163" s="47"/>
      <c r="C163" s="47"/>
      <c r="D163" s="25" t="s">
        <v>21</v>
      </c>
      <c r="E163" s="26" t="s">
        <v>19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3"/>
      <c r="O163" s="3"/>
    </row>
    <row r="164" spans="1:15" x14ac:dyDescent="0.35">
      <c r="A164" s="3"/>
      <c r="B164" s="48"/>
      <c r="C164" s="48"/>
      <c r="D164" s="25" t="s">
        <v>21</v>
      </c>
      <c r="E164" s="26" t="s">
        <v>20</v>
      </c>
      <c r="F164" s="27">
        <f>+F162</f>
        <v>475</v>
      </c>
      <c r="G164" s="27">
        <f>+G162</f>
        <v>50</v>
      </c>
      <c r="H164" s="27">
        <v>0</v>
      </c>
      <c r="I164" s="27">
        <v>0</v>
      </c>
      <c r="J164" s="27">
        <f>+J162</f>
        <v>11147834122</v>
      </c>
      <c r="K164" s="27">
        <v>0</v>
      </c>
      <c r="L164" s="27">
        <v>0</v>
      </c>
      <c r="M164" s="27">
        <v>0</v>
      </c>
      <c r="N164" s="3"/>
      <c r="O164" s="3"/>
    </row>
    <row r="165" spans="1:15" x14ac:dyDescent="0.35">
      <c r="A165" s="3"/>
      <c r="B165" s="34">
        <v>4</v>
      </c>
      <c r="C165" s="34" t="s">
        <v>34</v>
      </c>
      <c r="D165" s="15" t="s">
        <v>13</v>
      </c>
      <c r="E165" s="35" t="s">
        <v>14</v>
      </c>
      <c r="F165" s="18">
        <v>107</v>
      </c>
      <c r="G165" s="36">
        <v>9</v>
      </c>
      <c r="H165" s="36">
        <v>12</v>
      </c>
      <c r="I165" s="36">
        <v>1</v>
      </c>
      <c r="J165" s="36">
        <v>3478921042</v>
      </c>
      <c r="K165" s="36">
        <v>80989757</v>
      </c>
      <c r="L165" s="36">
        <v>265638495</v>
      </c>
      <c r="M165" s="36">
        <v>7796205</v>
      </c>
      <c r="N165" s="3"/>
      <c r="O165" s="3"/>
    </row>
    <row r="166" spans="1:15" x14ac:dyDescent="0.35">
      <c r="A166" s="3"/>
      <c r="B166" s="37"/>
      <c r="C166" s="37"/>
      <c r="D166" s="16" t="s">
        <v>13</v>
      </c>
      <c r="E166" s="35" t="s">
        <v>15</v>
      </c>
      <c r="F166" s="18">
        <v>209</v>
      </c>
      <c r="G166" s="18">
        <v>37</v>
      </c>
      <c r="H166" s="36">
        <v>0</v>
      </c>
      <c r="I166" s="36">
        <v>0</v>
      </c>
      <c r="J166" s="36">
        <v>1018810920</v>
      </c>
      <c r="K166" s="36">
        <v>183489981</v>
      </c>
      <c r="L166" s="36">
        <v>0</v>
      </c>
      <c r="M166" s="36">
        <v>0</v>
      </c>
      <c r="N166" s="3"/>
      <c r="O166" s="3"/>
    </row>
    <row r="167" spans="1:15" x14ac:dyDescent="0.35">
      <c r="A167" s="3"/>
      <c r="B167" s="37"/>
      <c r="C167" s="37"/>
      <c r="D167" s="16" t="s">
        <v>13</v>
      </c>
      <c r="E167" s="35" t="s">
        <v>16</v>
      </c>
      <c r="F167" s="18">
        <v>445</v>
      </c>
      <c r="G167" s="36">
        <v>27</v>
      </c>
      <c r="H167" s="36">
        <v>0</v>
      </c>
      <c r="I167" s="36">
        <v>0</v>
      </c>
      <c r="J167" s="36">
        <v>959902670</v>
      </c>
      <c r="K167" s="36">
        <v>73623176</v>
      </c>
      <c r="L167" s="36">
        <v>0</v>
      </c>
      <c r="M167" s="36">
        <v>0</v>
      </c>
      <c r="N167" s="3"/>
      <c r="O167" s="3"/>
    </row>
    <row r="168" spans="1:15" x14ac:dyDescent="0.35">
      <c r="A168" s="3"/>
      <c r="B168" s="37"/>
      <c r="C168" s="37"/>
      <c r="D168" s="16" t="s">
        <v>13</v>
      </c>
      <c r="E168" s="35" t="s">
        <v>17</v>
      </c>
      <c r="F168" s="36">
        <v>20</v>
      </c>
      <c r="G168" s="36">
        <v>5</v>
      </c>
      <c r="H168" s="36">
        <v>0</v>
      </c>
      <c r="I168" s="36">
        <v>0</v>
      </c>
      <c r="J168" s="36">
        <v>32882018</v>
      </c>
      <c r="K168" s="36">
        <v>6054389</v>
      </c>
      <c r="L168" s="36">
        <v>0</v>
      </c>
      <c r="M168" s="36">
        <v>0</v>
      </c>
      <c r="N168" s="3"/>
      <c r="O168" s="3"/>
    </row>
    <row r="169" spans="1:15" x14ac:dyDescent="0.35">
      <c r="A169" s="3"/>
      <c r="B169" s="37"/>
      <c r="C169" s="37"/>
      <c r="D169" s="16" t="s">
        <v>13</v>
      </c>
      <c r="E169" s="38" t="s">
        <v>18</v>
      </c>
      <c r="F169" s="39">
        <f t="shared" ref="F169:M169" si="24">SUM(F165:F168)</f>
        <v>781</v>
      </c>
      <c r="G169" s="39">
        <f t="shared" si="24"/>
        <v>78</v>
      </c>
      <c r="H169" s="40">
        <f t="shared" si="24"/>
        <v>12</v>
      </c>
      <c r="I169" s="40">
        <f t="shared" si="24"/>
        <v>1</v>
      </c>
      <c r="J169" s="41">
        <f t="shared" si="24"/>
        <v>5490516650</v>
      </c>
      <c r="K169" s="41">
        <f t="shared" si="24"/>
        <v>344157303</v>
      </c>
      <c r="L169" s="41">
        <f t="shared" si="24"/>
        <v>265638495</v>
      </c>
      <c r="M169" s="41">
        <f t="shared" si="24"/>
        <v>7796205</v>
      </c>
      <c r="N169" s="3"/>
      <c r="O169" s="3"/>
    </row>
    <row r="170" spans="1:15" x14ac:dyDescent="0.35">
      <c r="A170" s="3"/>
      <c r="B170" s="37"/>
      <c r="C170" s="37"/>
      <c r="D170" s="16" t="s">
        <v>13</v>
      </c>
      <c r="E170" s="35" t="s">
        <v>19</v>
      </c>
      <c r="F170" s="42">
        <f>+F169</f>
        <v>781</v>
      </c>
      <c r="G170" s="42">
        <f t="shared" ref="G170:M170" si="25">+G169</f>
        <v>78</v>
      </c>
      <c r="H170" s="40">
        <f t="shared" si="25"/>
        <v>12</v>
      </c>
      <c r="I170" s="40">
        <f t="shared" si="25"/>
        <v>1</v>
      </c>
      <c r="J170" s="43">
        <f t="shared" si="25"/>
        <v>5490516650</v>
      </c>
      <c r="K170" s="43">
        <f t="shared" si="25"/>
        <v>344157303</v>
      </c>
      <c r="L170" s="44">
        <f t="shared" si="25"/>
        <v>265638495</v>
      </c>
      <c r="M170" s="44">
        <f t="shared" si="25"/>
        <v>7796205</v>
      </c>
      <c r="N170" s="3"/>
      <c r="O170" s="3"/>
    </row>
    <row r="171" spans="1:15" x14ac:dyDescent="0.35">
      <c r="A171" s="3"/>
      <c r="B171" s="45"/>
      <c r="C171" s="45"/>
      <c r="D171" s="16" t="s">
        <v>13</v>
      </c>
      <c r="E171" s="35" t="s">
        <v>20</v>
      </c>
      <c r="F171" s="36">
        <v>0</v>
      </c>
      <c r="G171" s="36">
        <v>0</v>
      </c>
      <c r="H171" s="36">
        <v>0</v>
      </c>
      <c r="I171" s="36">
        <v>0</v>
      </c>
      <c r="J171" s="36">
        <v>0</v>
      </c>
      <c r="K171" s="36">
        <v>0</v>
      </c>
      <c r="L171" s="44">
        <v>0</v>
      </c>
      <c r="M171" s="44">
        <v>0</v>
      </c>
      <c r="N171" s="3"/>
      <c r="O171" s="3"/>
    </row>
    <row r="172" spans="1:15" x14ac:dyDescent="0.35">
      <c r="A172" s="3"/>
      <c r="B172" s="46">
        <v>4</v>
      </c>
      <c r="C172" s="46" t="s">
        <v>34</v>
      </c>
      <c r="D172" s="25" t="s">
        <v>21</v>
      </c>
      <c r="E172" s="26" t="s">
        <v>14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3"/>
      <c r="O172" s="3"/>
    </row>
    <row r="173" spans="1:15" x14ac:dyDescent="0.35">
      <c r="A173" s="3"/>
      <c r="B173" s="47"/>
      <c r="C173" s="47"/>
      <c r="D173" s="25" t="s">
        <v>21</v>
      </c>
      <c r="E173" s="26" t="s">
        <v>15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3"/>
      <c r="O173" s="3"/>
    </row>
    <row r="174" spans="1:15" x14ac:dyDescent="0.35">
      <c r="A174" s="3"/>
      <c r="B174" s="47"/>
      <c r="C174" s="47"/>
      <c r="D174" s="25" t="s">
        <v>21</v>
      </c>
      <c r="E174" s="26" t="s">
        <v>16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3"/>
      <c r="O174" s="3"/>
    </row>
    <row r="175" spans="1:15" x14ac:dyDescent="0.35">
      <c r="A175" s="3"/>
      <c r="B175" s="47"/>
      <c r="C175" s="47"/>
      <c r="D175" s="25" t="s">
        <v>21</v>
      </c>
      <c r="E175" s="26" t="s">
        <v>17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3"/>
      <c r="O175" s="3"/>
    </row>
    <row r="176" spans="1:15" x14ac:dyDescent="0.35">
      <c r="A176" s="3"/>
      <c r="B176" s="47"/>
      <c r="C176" s="47"/>
      <c r="D176" s="25" t="s">
        <v>21</v>
      </c>
      <c r="E176" s="28" t="s">
        <v>18</v>
      </c>
      <c r="F176" s="29">
        <f t="shared" ref="F176:M176" si="26">SUM(F172:F175)</f>
        <v>0</v>
      </c>
      <c r="G176" s="29">
        <f t="shared" si="26"/>
        <v>0</v>
      </c>
      <c r="H176" s="29">
        <f t="shared" si="26"/>
        <v>0</v>
      </c>
      <c r="I176" s="29">
        <f t="shared" si="26"/>
        <v>0</v>
      </c>
      <c r="J176" s="29">
        <f t="shared" si="26"/>
        <v>0</v>
      </c>
      <c r="K176" s="29">
        <f t="shared" si="26"/>
        <v>0</v>
      </c>
      <c r="L176" s="29">
        <f t="shared" si="26"/>
        <v>0</v>
      </c>
      <c r="M176" s="29">
        <f t="shared" si="26"/>
        <v>0</v>
      </c>
      <c r="N176" s="3"/>
      <c r="O176" s="3"/>
    </row>
    <row r="177" spans="1:15" x14ac:dyDescent="0.35">
      <c r="A177" s="3"/>
      <c r="B177" s="47"/>
      <c r="C177" s="47"/>
      <c r="D177" s="25" t="s">
        <v>21</v>
      </c>
      <c r="E177" s="26" t="s">
        <v>19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3"/>
      <c r="O177" s="3"/>
    </row>
    <row r="178" spans="1:15" x14ac:dyDescent="0.35">
      <c r="A178" s="3"/>
      <c r="B178" s="48"/>
      <c r="C178" s="48"/>
      <c r="D178" s="25" t="s">
        <v>21</v>
      </c>
      <c r="E178" s="26" t="s">
        <v>20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3"/>
      <c r="O178" s="3"/>
    </row>
    <row r="179" spans="1:15" x14ac:dyDescent="0.35">
      <c r="A179" s="3"/>
      <c r="B179" s="34">
        <v>5</v>
      </c>
      <c r="C179" s="34" t="s">
        <v>35</v>
      </c>
      <c r="D179" s="15" t="s">
        <v>13</v>
      </c>
      <c r="E179" s="35" t="s">
        <v>14</v>
      </c>
      <c r="F179" s="18">
        <v>64</v>
      </c>
      <c r="G179" s="36">
        <v>17</v>
      </c>
      <c r="H179" s="36">
        <v>50</v>
      </c>
      <c r="I179" s="36">
        <v>0</v>
      </c>
      <c r="J179" s="36">
        <v>1964876349</v>
      </c>
      <c r="K179" s="36">
        <v>453854484</v>
      </c>
      <c r="L179" s="36">
        <v>7863247205</v>
      </c>
      <c r="M179" s="36">
        <v>0</v>
      </c>
      <c r="N179" s="3"/>
      <c r="O179" s="3"/>
    </row>
    <row r="180" spans="1:15" x14ac:dyDescent="0.35">
      <c r="A180" s="3"/>
      <c r="B180" s="37"/>
      <c r="C180" s="37"/>
      <c r="D180" s="16" t="s">
        <v>13</v>
      </c>
      <c r="E180" s="35" t="s">
        <v>15</v>
      </c>
      <c r="F180" s="18">
        <v>43</v>
      </c>
      <c r="G180" s="18">
        <v>8</v>
      </c>
      <c r="H180" s="36">
        <v>0</v>
      </c>
      <c r="I180" s="36">
        <v>0</v>
      </c>
      <c r="J180" s="36">
        <v>818709220</v>
      </c>
      <c r="K180" s="36">
        <v>137506050</v>
      </c>
      <c r="L180" s="36">
        <v>0</v>
      </c>
      <c r="M180" s="36">
        <v>0</v>
      </c>
      <c r="N180" s="3"/>
      <c r="O180" s="3"/>
    </row>
    <row r="181" spans="1:15" x14ac:dyDescent="0.35">
      <c r="A181" s="3"/>
      <c r="B181" s="37"/>
      <c r="C181" s="37"/>
      <c r="D181" s="16" t="s">
        <v>13</v>
      </c>
      <c r="E181" s="35" t="s">
        <v>16</v>
      </c>
      <c r="F181" s="18">
        <v>277</v>
      </c>
      <c r="G181" s="36">
        <v>40</v>
      </c>
      <c r="H181" s="36">
        <v>0</v>
      </c>
      <c r="I181" s="36">
        <v>0</v>
      </c>
      <c r="J181" s="36">
        <v>3713185787</v>
      </c>
      <c r="K181" s="36">
        <v>464864882</v>
      </c>
      <c r="L181" s="36">
        <v>0</v>
      </c>
      <c r="M181" s="36">
        <v>0</v>
      </c>
      <c r="N181" s="3"/>
      <c r="O181" s="3"/>
    </row>
    <row r="182" spans="1:15" x14ac:dyDescent="0.35">
      <c r="A182" s="3"/>
      <c r="B182" s="37"/>
      <c r="C182" s="37"/>
      <c r="D182" s="16" t="s">
        <v>13</v>
      </c>
      <c r="E182" s="35" t="s">
        <v>17</v>
      </c>
      <c r="F182" s="36">
        <v>252</v>
      </c>
      <c r="G182" s="36">
        <v>23</v>
      </c>
      <c r="H182" s="36">
        <v>0</v>
      </c>
      <c r="I182" s="36">
        <v>0</v>
      </c>
      <c r="J182" s="36">
        <v>2368033921</v>
      </c>
      <c r="K182" s="36">
        <v>126361695</v>
      </c>
      <c r="L182" s="36">
        <v>0</v>
      </c>
      <c r="M182" s="36">
        <v>0</v>
      </c>
      <c r="N182" s="3"/>
      <c r="O182" s="3"/>
    </row>
    <row r="183" spans="1:15" x14ac:dyDescent="0.35">
      <c r="A183" s="3"/>
      <c r="B183" s="37"/>
      <c r="C183" s="37"/>
      <c r="D183" s="16" t="s">
        <v>13</v>
      </c>
      <c r="E183" s="38" t="s">
        <v>18</v>
      </c>
      <c r="F183" s="39">
        <f>SUM(F179:F182)</f>
        <v>636</v>
      </c>
      <c r="G183" s="39">
        <f>SUM(G179:G182)</f>
        <v>88</v>
      </c>
      <c r="H183" s="40">
        <f>SUM(H179:H182)</f>
        <v>50</v>
      </c>
      <c r="I183" s="40">
        <f>SUM(I179:I182)</f>
        <v>0</v>
      </c>
      <c r="J183" s="41">
        <f t="shared" ref="J183:M183" si="27">SUM(J179:J182)</f>
        <v>8864805277</v>
      </c>
      <c r="K183" s="41">
        <f t="shared" si="27"/>
        <v>1182587111</v>
      </c>
      <c r="L183" s="41">
        <f t="shared" si="27"/>
        <v>7863247205</v>
      </c>
      <c r="M183" s="41">
        <f t="shared" si="27"/>
        <v>0</v>
      </c>
      <c r="N183" s="3"/>
      <c r="O183" s="3"/>
    </row>
    <row r="184" spans="1:15" x14ac:dyDescent="0.35">
      <c r="A184" s="3"/>
      <c r="B184" s="37"/>
      <c r="C184" s="37"/>
      <c r="D184" s="16" t="s">
        <v>13</v>
      </c>
      <c r="E184" s="35" t="s">
        <v>19</v>
      </c>
      <c r="F184" s="42">
        <v>636</v>
      </c>
      <c r="G184" s="42">
        <v>88</v>
      </c>
      <c r="H184" s="40">
        <v>50</v>
      </c>
      <c r="I184" s="40">
        <v>0</v>
      </c>
      <c r="J184" s="43">
        <v>8864805277</v>
      </c>
      <c r="K184" s="43">
        <v>1182587111</v>
      </c>
      <c r="L184" s="44">
        <v>7863247205</v>
      </c>
      <c r="M184" s="44">
        <v>0</v>
      </c>
      <c r="N184" s="3"/>
      <c r="O184" s="3"/>
    </row>
    <row r="185" spans="1:15" x14ac:dyDescent="0.35">
      <c r="A185" s="3"/>
      <c r="B185" s="45"/>
      <c r="C185" s="45"/>
      <c r="D185" s="16" t="s">
        <v>13</v>
      </c>
      <c r="E185" s="35" t="s">
        <v>20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44">
        <v>0</v>
      </c>
      <c r="M185" s="44">
        <v>0</v>
      </c>
      <c r="N185" s="3"/>
      <c r="O185" s="3"/>
    </row>
    <row r="186" spans="1:15" x14ac:dyDescent="0.35">
      <c r="A186" s="3"/>
      <c r="B186" s="46">
        <v>5</v>
      </c>
      <c r="C186" s="46" t="s">
        <v>35</v>
      </c>
      <c r="D186" s="25" t="s">
        <v>21</v>
      </c>
      <c r="E186" s="26" t="s">
        <v>14</v>
      </c>
      <c r="F186" s="27">
        <v>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3"/>
      <c r="O186" s="3"/>
    </row>
    <row r="187" spans="1:15" x14ac:dyDescent="0.35">
      <c r="A187" s="3"/>
      <c r="B187" s="47"/>
      <c r="C187" s="47"/>
      <c r="D187" s="25" t="s">
        <v>21</v>
      </c>
      <c r="E187" s="26" t="s">
        <v>15</v>
      </c>
      <c r="F187" s="27">
        <v>2</v>
      </c>
      <c r="G187" s="27">
        <v>0</v>
      </c>
      <c r="H187" s="27">
        <v>0</v>
      </c>
      <c r="I187" s="27">
        <v>0</v>
      </c>
      <c r="J187" s="27">
        <v>2240345</v>
      </c>
      <c r="K187" s="27">
        <v>0</v>
      </c>
      <c r="L187" s="27">
        <v>0</v>
      </c>
      <c r="M187" s="27">
        <v>0</v>
      </c>
      <c r="N187" s="3"/>
      <c r="O187" s="3"/>
    </row>
    <row r="188" spans="1:15" x14ac:dyDescent="0.35">
      <c r="A188" s="3"/>
      <c r="B188" s="47"/>
      <c r="C188" s="47"/>
      <c r="D188" s="25" t="s">
        <v>21</v>
      </c>
      <c r="E188" s="26" t="s">
        <v>16</v>
      </c>
      <c r="F188" s="27">
        <v>12</v>
      </c>
      <c r="G188" s="27">
        <v>5</v>
      </c>
      <c r="H188" s="27">
        <v>0</v>
      </c>
      <c r="I188" s="27">
        <v>0</v>
      </c>
      <c r="J188" s="27">
        <v>66533788</v>
      </c>
      <c r="K188" s="27">
        <v>24313721</v>
      </c>
      <c r="L188" s="27">
        <v>0</v>
      </c>
      <c r="M188" s="27">
        <v>0</v>
      </c>
      <c r="N188" s="3"/>
      <c r="O188" s="3"/>
    </row>
    <row r="189" spans="1:15" x14ac:dyDescent="0.35">
      <c r="A189" s="3"/>
      <c r="B189" s="47"/>
      <c r="C189" s="47"/>
      <c r="D189" s="25" t="s">
        <v>21</v>
      </c>
      <c r="E189" s="26" t="s">
        <v>17</v>
      </c>
      <c r="F189" s="27">
        <v>96</v>
      </c>
      <c r="G189" s="27">
        <v>13</v>
      </c>
      <c r="H189" s="27">
        <v>0</v>
      </c>
      <c r="I189" s="27">
        <v>0</v>
      </c>
      <c r="J189" s="27">
        <v>313455918</v>
      </c>
      <c r="K189" s="27">
        <v>34358596</v>
      </c>
      <c r="L189" s="27">
        <v>0</v>
      </c>
      <c r="M189" s="27">
        <v>0</v>
      </c>
      <c r="N189" s="3"/>
      <c r="O189" s="3"/>
    </row>
    <row r="190" spans="1:15" x14ac:dyDescent="0.35">
      <c r="A190" s="3"/>
      <c r="B190" s="47"/>
      <c r="C190" s="47"/>
      <c r="D190" s="25" t="s">
        <v>21</v>
      </c>
      <c r="E190" s="28" t="s">
        <v>18</v>
      </c>
      <c r="F190" s="29">
        <f t="shared" ref="F190:M190" si="28">SUM(F186:F189)</f>
        <v>110</v>
      </c>
      <c r="G190" s="29">
        <f t="shared" si="28"/>
        <v>18</v>
      </c>
      <c r="H190" s="29">
        <f t="shared" si="28"/>
        <v>0</v>
      </c>
      <c r="I190" s="29">
        <f t="shared" si="28"/>
        <v>0</v>
      </c>
      <c r="J190" s="29">
        <f t="shared" si="28"/>
        <v>382230051</v>
      </c>
      <c r="K190" s="29">
        <f t="shared" si="28"/>
        <v>58672317</v>
      </c>
      <c r="L190" s="29">
        <f t="shared" si="28"/>
        <v>0</v>
      </c>
      <c r="M190" s="29">
        <f t="shared" si="28"/>
        <v>0</v>
      </c>
      <c r="N190" s="3"/>
      <c r="O190" s="3"/>
    </row>
    <row r="191" spans="1:15" x14ac:dyDescent="0.35">
      <c r="A191" s="3"/>
      <c r="B191" s="47"/>
      <c r="C191" s="47"/>
      <c r="D191" s="25" t="s">
        <v>21</v>
      </c>
      <c r="E191" s="26" t="s">
        <v>19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3"/>
      <c r="O191" s="3"/>
    </row>
    <row r="192" spans="1:15" x14ac:dyDescent="0.35">
      <c r="A192" s="3"/>
      <c r="B192" s="48"/>
      <c r="C192" s="48"/>
      <c r="D192" s="25" t="s">
        <v>21</v>
      </c>
      <c r="E192" s="26" t="s">
        <v>20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3"/>
      <c r="O192" s="3"/>
    </row>
    <row r="193" spans="1:15" x14ac:dyDescent="0.35">
      <c r="A193" s="3"/>
      <c r="B193" s="34">
        <v>6</v>
      </c>
      <c r="C193" s="34" t="s">
        <v>36</v>
      </c>
      <c r="D193" s="15" t="s">
        <v>13</v>
      </c>
      <c r="E193" s="35" t="s">
        <v>14</v>
      </c>
      <c r="F193" s="18">
        <v>1</v>
      </c>
      <c r="G193" s="36">
        <v>0</v>
      </c>
      <c r="H193" s="36">
        <v>4</v>
      </c>
      <c r="I193" s="36">
        <v>1</v>
      </c>
      <c r="J193" s="36">
        <v>451389</v>
      </c>
      <c r="K193" s="36">
        <v>0</v>
      </c>
      <c r="L193" s="36">
        <v>106030036</v>
      </c>
      <c r="M193" s="36">
        <v>25039805</v>
      </c>
      <c r="N193" s="3"/>
      <c r="O193" s="3"/>
    </row>
    <row r="194" spans="1:15" x14ac:dyDescent="0.35">
      <c r="A194" s="3"/>
      <c r="B194" s="37"/>
      <c r="C194" s="37"/>
      <c r="D194" s="16" t="s">
        <v>13</v>
      </c>
      <c r="E194" s="35" t="s">
        <v>15</v>
      </c>
      <c r="F194" s="18">
        <v>2</v>
      </c>
      <c r="G194" s="18">
        <v>1</v>
      </c>
      <c r="H194" s="36">
        <v>0</v>
      </c>
      <c r="I194" s="36">
        <v>0</v>
      </c>
      <c r="J194" s="36">
        <v>12174991</v>
      </c>
      <c r="K194" s="36">
        <v>9348039</v>
      </c>
      <c r="L194" s="36">
        <v>0</v>
      </c>
      <c r="M194" s="36">
        <v>0</v>
      </c>
      <c r="N194" s="3"/>
      <c r="O194" s="3"/>
    </row>
    <row r="195" spans="1:15" x14ac:dyDescent="0.35">
      <c r="A195" s="3"/>
      <c r="B195" s="37"/>
      <c r="C195" s="37"/>
      <c r="D195" s="16" t="s">
        <v>13</v>
      </c>
      <c r="E195" s="35" t="s">
        <v>16</v>
      </c>
      <c r="F195" s="18">
        <v>17</v>
      </c>
      <c r="G195" s="36">
        <v>2</v>
      </c>
      <c r="H195" s="36">
        <v>2</v>
      </c>
      <c r="I195" s="36">
        <v>1</v>
      </c>
      <c r="J195" s="36">
        <v>158442607</v>
      </c>
      <c r="K195" s="36">
        <v>18949328</v>
      </c>
      <c r="L195" s="36">
        <v>12174991</v>
      </c>
      <c r="M195" s="36">
        <v>9348039</v>
      </c>
      <c r="N195" s="3"/>
      <c r="O195" s="3"/>
    </row>
    <row r="196" spans="1:15" x14ac:dyDescent="0.35">
      <c r="A196" s="3"/>
      <c r="B196" s="37"/>
      <c r="C196" s="37"/>
      <c r="D196" s="16" t="s">
        <v>13</v>
      </c>
      <c r="E196" s="35" t="s">
        <v>17</v>
      </c>
      <c r="F196" s="36">
        <v>51</v>
      </c>
      <c r="G196" s="36">
        <v>6</v>
      </c>
      <c r="H196" s="36">
        <v>1</v>
      </c>
      <c r="I196" s="36">
        <v>0</v>
      </c>
      <c r="J196" s="36">
        <v>205433795</v>
      </c>
      <c r="K196" s="36">
        <v>12673034</v>
      </c>
      <c r="L196" s="36">
        <v>6229281</v>
      </c>
      <c r="M196" s="36">
        <v>0</v>
      </c>
      <c r="N196" s="3"/>
      <c r="O196" s="3"/>
    </row>
    <row r="197" spans="1:15" x14ac:dyDescent="0.35">
      <c r="A197" s="3"/>
      <c r="B197" s="37"/>
      <c r="C197" s="37"/>
      <c r="D197" s="16" t="s">
        <v>13</v>
      </c>
      <c r="E197" s="38" t="s">
        <v>18</v>
      </c>
      <c r="F197" s="39">
        <f>SUM(F193:F196)</f>
        <v>71</v>
      </c>
      <c r="G197" s="39">
        <f>SUM(G193:G196)</f>
        <v>9</v>
      </c>
      <c r="H197" s="39">
        <f>SUM(H193:H196)</f>
        <v>7</v>
      </c>
      <c r="I197" s="39">
        <f>SUM(I193:I196)</f>
        <v>2</v>
      </c>
      <c r="J197" s="41">
        <f t="shared" ref="J197:M197" si="29">SUM(J193:J196)</f>
        <v>376502782</v>
      </c>
      <c r="K197" s="41">
        <f t="shared" si="29"/>
        <v>40970401</v>
      </c>
      <c r="L197" s="41">
        <f t="shared" si="29"/>
        <v>124434308</v>
      </c>
      <c r="M197" s="41">
        <f t="shared" si="29"/>
        <v>34387844</v>
      </c>
      <c r="N197" s="3"/>
      <c r="O197" s="3"/>
    </row>
    <row r="198" spans="1:15" x14ac:dyDescent="0.35">
      <c r="A198" s="3"/>
      <c r="B198" s="37"/>
      <c r="C198" s="37"/>
      <c r="D198" s="16" t="s">
        <v>13</v>
      </c>
      <c r="E198" s="35" t="s">
        <v>19</v>
      </c>
      <c r="F198" s="42" t="s">
        <v>24</v>
      </c>
      <c r="G198" s="42" t="s">
        <v>24</v>
      </c>
      <c r="H198" s="40" t="s">
        <v>24</v>
      </c>
      <c r="I198" s="40" t="s">
        <v>24</v>
      </c>
      <c r="J198" s="43" t="s">
        <v>24</v>
      </c>
      <c r="K198" s="43" t="s">
        <v>24</v>
      </c>
      <c r="L198" s="44" t="s">
        <v>24</v>
      </c>
      <c r="M198" s="44" t="s">
        <v>24</v>
      </c>
      <c r="N198" s="3"/>
      <c r="O198" s="3"/>
    </row>
    <row r="199" spans="1:15" x14ac:dyDescent="0.35">
      <c r="A199" s="3"/>
      <c r="B199" s="45"/>
      <c r="C199" s="45"/>
      <c r="D199" s="16" t="s">
        <v>13</v>
      </c>
      <c r="E199" s="35" t="s">
        <v>20</v>
      </c>
      <c r="F199" s="36" t="s">
        <v>24</v>
      </c>
      <c r="G199" s="36" t="s">
        <v>24</v>
      </c>
      <c r="H199" s="36" t="s">
        <v>24</v>
      </c>
      <c r="I199" s="36" t="s">
        <v>24</v>
      </c>
      <c r="J199" s="36" t="s">
        <v>24</v>
      </c>
      <c r="K199" s="36" t="s">
        <v>24</v>
      </c>
      <c r="L199" s="44" t="s">
        <v>24</v>
      </c>
      <c r="M199" s="44" t="s">
        <v>24</v>
      </c>
      <c r="N199" s="3"/>
      <c r="O199" s="3"/>
    </row>
    <row r="200" spans="1:15" x14ac:dyDescent="0.35">
      <c r="A200" s="3"/>
      <c r="B200" s="46">
        <v>6</v>
      </c>
      <c r="C200" s="46" t="s">
        <v>36</v>
      </c>
      <c r="D200" s="25" t="s">
        <v>21</v>
      </c>
      <c r="E200" s="26" t="s">
        <v>14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3"/>
      <c r="O200" s="3"/>
    </row>
    <row r="201" spans="1:15" x14ac:dyDescent="0.35">
      <c r="A201" s="3"/>
      <c r="B201" s="47"/>
      <c r="C201" s="47"/>
      <c r="D201" s="25" t="s">
        <v>21</v>
      </c>
      <c r="E201" s="26" t="s">
        <v>15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3"/>
      <c r="O201" s="3"/>
    </row>
    <row r="202" spans="1:15" x14ac:dyDescent="0.35">
      <c r="A202" s="3"/>
      <c r="B202" s="47"/>
      <c r="C202" s="47"/>
      <c r="D202" s="25" t="s">
        <v>21</v>
      </c>
      <c r="E202" s="26" t="s">
        <v>16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3"/>
      <c r="O202" s="3"/>
    </row>
    <row r="203" spans="1:15" x14ac:dyDescent="0.35">
      <c r="A203" s="3"/>
      <c r="B203" s="47"/>
      <c r="C203" s="47"/>
      <c r="D203" s="25" t="s">
        <v>21</v>
      </c>
      <c r="E203" s="26" t="s">
        <v>17</v>
      </c>
      <c r="F203" s="27">
        <v>84</v>
      </c>
      <c r="G203" s="27">
        <v>0</v>
      </c>
      <c r="H203" s="27">
        <v>0</v>
      </c>
      <c r="I203" s="27">
        <v>0</v>
      </c>
      <c r="J203" s="27">
        <v>242355348</v>
      </c>
      <c r="K203" s="27">
        <v>0</v>
      </c>
      <c r="L203" s="27">
        <v>0</v>
      </c>
      <c r="M203" s="27">
        <v>0</v>
      </c>
      <c r="N203" s="3"/>
      <c r="O203" s="3"/>
    </row>
    <row r="204" spans="1:15" x14ac:dyDescent="0.35">
      <c r="A204" s="3"/>
      <c r="B204" s="47"/>
      <c r="C204" s="47"/>
      <c r="D204" s="25" t="s">
        <v>21</v>
      </c>
      <c r="E204" s="28" t="s">
        <v>18</v>
      </c>
      <c r="F204" s="29">
        <f t="shared" ref="F204:M204" si="30">SUM(F200:F203)</f>
        <v>84</v>
      </c>
      <c r="G204" s="29">
        <f t="shared" si="30"/>
        <v>0</v>
      </c>
      <c r="H204" s="29">
        <f t="shared" si="30"/>
        <v>0</v>
      </c>
      <c r="I204" s="29">
        <f t="shared" si="30"/>
        <v>0</v>
      </c>
      <c r="J204" s="29">
        <f t="shared" si="30"/>
        <v>242355348</v>
      </c>
      <c r="K204" s="29">
        <f t="shared" si="30"/>
        <v>0</v>
      </c>
      <c r="L204" s="29">
        <f t="shared" si="30"/>
        <v>0</v>
      </c>
      <c r="M204" s="29">
        <f t="shared" si="30"/>
        <v>0</v>
      </c>
      <c r="N204" s="3"/>
      <c r="O204" s="3"/>
    </row>
    <row r="205" spans="1:15" x14ac:dyDescent="0.35">
      <c r="A205" s="3"/>
      <c r="B205" s="47"/>
      <c r="C205" s="47"/>
      <c r="D205" s="25" t="s">
        <v>21</v>
      </c>
      <c r="E205" s="26" t="s">
        <v>19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3"/>
      <c r="O205" s="3"/>
    </row>
    <row r="206" spans="1:15" x14ac:dyDescent="0.35">
      <c r="A206" s="3"/>
      <c r="B206" s="48"/>
      <c r="C206" s="48"/>
      <c r="D206" s="25" t="s">
        <v>21</v>
      </c>
      <c r="E206" s="26" t="s">
        <v>20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3"/>
      <c r="O206" s="3"/>
    </row>
    <row r="207" spans="1:15" x14ac:dyDescent="0.35">
      <c r="A207" s="3"/>
      <c r="B207" s="34">
        <v>7</v>
      </c>
      <c r="C207" s="34" t="s">
        <v>37</v>
      </c>
      <c r="D207" s="15" t="s">
        <v>13</v>
      </c>
      <c r="E207" s="35" t="s">
        <v>14</v>
      </c>
      <c r="F207" s="18">
        <v>11</v>
      </c>
      <c r="G207" s="36">
        <v>0</v>
      </c>
      <c r="H207" s="36">
        <v>64</v>
      </c>
      <c r="I207" s="36">
        <v>0</v>
      </c>
      <c r="J207" s="36">
        <v>706003384</v>
      </c>
      <c r="K207" s="36">
        <v>0</v>
      </c>
      <c r="L207" s="36">
        <v>2443918039</v>
      </c>
      <c r="M207" s="36">
        <v>0</v>
      </c>
      <c r="N207" s="3"/>
      <c r="O207" s="3"/>
    </row>
    <row r="208" spans="1:15" x14ac:dyDescent="0.35">
      <c r="A208" s="3"/>
      <c r="B208" s="37"/>
      <c r="C208" s="37"/>
      <c r="D208" s="16" t="s">
        <v>13</v>
      </c>
      <c r="E208" s="35" t="s">
        <v>15</v>
      </c>
      <c r="F208" s="18">
        <v>180</v>
      </c>
      <c r="G208" s="18">
        <v>23</v>
      </c>
      <c r="H208" s="36">
        <v>0</v>
      </c>
      <c r="I208" s="36">
        <v>0</v>
      </c>
      <c r="J208" s="36">
        <v>2640189755</v>
      </c>
      <c r="K208" s="36">
        <v>293066510</v>
      </c>
      <c r="L208" s="36">
        <v>0</v>
      </c>
      <c r="M208" s="36">
        <v>0</v>
      </c>
      <c r="N208" s="3"/>
      <c r="O208" s="3"/>
    </row>
    <row r="209" spans="1:15" x14ac:dyDescent="0.35">
      <c r="A209" s="3"/>
      <c r="B209" s="37"/>
      <c r="C209" s="37"/>
      <c r="D209" s="16" t="s">
        <v>13</v>
      </c>
      <c r="E209" s="35" t="s">
        <v>16</v>
      </c>
      <c r="F209" s="18">
        <v>1014</v>
      </c>
      <c r="G209" s="36">
        <v>22</v>
      </c>
      <c r="H209" s="36">
        <v>1</v>
      </c>
      <c r="I209" s="36">
        <v>0</v>
      </c>
      <c r="J209" s="36">
        <v>9591824835</v>
      </c>
      <c r="K209" s="36">
        <v>172262554</v>
      </c>
      <c r="L209" s="36">
        <v>10224974</v>
      </c>
      <c r="M209" s="36">
        <v>0</v>
      </c>
      <c r="N209" s="3"/>
      <c r="O209" s="3"/>
    </row>
    <row r="210" spans="1:15" x14ac:dyDescent="0.35">
      <c r="A210" s="3"/>
      <c r="B210" s="37"/>
      <c r="C210" s="37"/>
      <c r="D210" s="16" t="s">
        <v>13</v>
      </c>
      <c r="E210" s="35" t="s">
        <v>17</v>
      </c>
      <c r="F210" s="36">
        <v>25</v>
      </c>
      <c r="G210" s="36">
        <v>0</v>
      </c>
      <c r="H210" s="36">
        <v>0</v>
      </c>
      <c r="I210" s="36">
        <v>0</v>
      </c>
      <c r="J210" s="36">
        <v>178103284</v>
      </c>
      <c r="K210" s="36">
        <v>0</v>
      </c>
      <c r="L210" s="36">
        <v>0</v>
      </c>
      <c r="M210" s="36">
        <v>0</v>
      </c>
      <c r="N210" s="3"/>
      <c r="O210" s="3"/>
    </row>
    <row r="211" spans="1:15" x14ac:dyDescent="0.35">
      <c r="A211" s="3"/>
      <c r="B211" s="37"/>
      <c r="C211" s="37"/>
      <c r="D211" s="16" t="s">
        <v>13</v>
      </c>
      <c r="E211" s="38" t="s">
        <v>18</v>
      </c>
      <c r="F211" s="39">
        <f>SUM(F207:F210)</f>
        <v>1230</v>
      </c>
      <c r="G211" s="39">
        <f>SUM(G207:G210)</f>
        <v>45</v>
      </c>
      <c r="H211" s="40">
        <f>SUM(H207:H210)</f>
        <v>65</v>
      </c>
      <c r="I211" s="40">
        <f>SUM(I207:I210)</f>
        <v>0</v>
      </c>
      <c r="J211" s="41">
        <f t="shared" ref="J211:M211" si="31">SUM(J207:J210)</f>
        <v>13116121258</v>
      </c>
      <c r="K211" s="41">
        <f t="shared" si="31"/>
        <v>465329064</v>
      </c>
      <c r="L211" s="41">
        <f t="shared" si="31"/>
        <v>2454143013</v>
      </c>
      <c r="M211" s="41">
        <f t="shared" si="31"/>
        <v>0</v>
      </c>
      <c r="N211" s="3"/>
      <c r="O211" s="3"/>
    </row>
    <row r="212" spans="1:15" x14ac:dyDescent="0.35">
      <c r="A212" s="3"/>
      <c r="B212" s="37"/>
      <c r="C212" s="37"/>
      <c r="D212" s="16" t="s">
        <v>13</v>
      </c>
      <c r="E212" s="35" t="s">
        <v>19</v>
      </c>
      <c r="F212" s="42">
        <v>0</v>
      </c>
      <c r="G212" s="42">
        <v>0</v>
      </c>
      <c r="H212" s="40">
        <v>0</v>
      </c>
      <c r="I212" s="40">
        <v>0</v>
      </c>
      <c r="J212" s="43">
        <v>0</v>
      </c>
      <c r="K212" s="43">
        <v>0</v>
      </c>
      <c r="L212" s="44">
        <v>0</v>
      </c>
      <c r="M212" s="44">
        <v>0</v>
      </c>
      <c r="N212" s="3"/>
      <c r="O212" s="3"/>
    </row>
    <row r="213" spans="1:15" x14ac:dyDescent="0.35">
      <c r="A213" s="3"/>
      <c r="B213" s="45"/>
      <c r="C213" s="45"/>
      <c r="D213" s="16" t="s">
        <v>13</v>
      </c>
      <c r="E213" s="35" t="s">
        <v>20</v>
      </c>
      <c r="F213" s="36">
        <v>0</v>
      </c>
      <c r="G213" s="36">
        <v>0</v>
      </c>
      <c r="H213" s="36">
        <v>0</v>
      </c>
      <c r="I213" s="36">
        <v>0</v>
      </c>
      <c r="J213" s="36">
        <v>0</v>
      </c>
      <c r="K213" s="36">
        <v>0</v>
      </c>
      <c r="L213" s="44">
        <v>0</v>
      </c>
      <c r="M213" s="44">
        <v>0</v>
      </c>
      <c r="N213" s="3"/>
      <c r="O213" s="3"/>
    </row>
    <row r="214" spans="1:15" x14ac:dyDescent="0.35">
      <c r="A214" s="3"/>
      <c r="B214" s="46">
        <v>7</v>
      </c>
      <c r="C214" s="46" t="s">
        <v>37</v>
      </c>
      <c r="D214" s="25" t="s">
        <v>21</v>
      </c>
      <c r="E214" s="26" t="s">
        <v>14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3"/>
      <c r="O214" s="3"/>
    </row>
    <row r="215" spans="1:15" x14ac:dyDescent="0.35">
      <c r="A215" s="3"/>
      <c r="B215" s="47"/>
      <c r="C215" s="47"/>
      <c r="D215" s="25" t="s">
        <v>21</v>
      </c>
      <c r="E215" s="26" t="s">
        <v>15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3"/>
      <c r="O215" s="3"/>
    </row>
    <row r="216" spans="1:15" x14ac:dyDescent="0.35">
      <c r="A216" s="3"/>
      <c r="B216" s="47"/>
      <c r="C216" s="47"/>
      <c r="D216" s="25" t="s">
        <v>21</v>
      </c>
      <c r="E216" s="26" t="s">
        <v>16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3"/>
      <c r="O216" s="3"/>
    </row>
    <row r="217" spans="1:15" x14ac:dyDescent="0.35">
      <c r="A217" s="3"/>
      <c r="B217" s="47"/>
      <c r="C217" s="47"/>
      <c r="D217" s="25" t="s">
        <v>21</v>
      </c>
      <c r="E217" s="26" t="s">
        <v>17</v>
      </c>
      <c r="F217" s="27">
        <v>0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3"/>
      <c r="O217" s="3"/>
    </row>
    <row r="218" spans="1:15" x14ac:dyDescent="0.35">
      <c r="A218" s="3"/>
      <c r="B218" s="47"/>
      <c r="C218" s="47"/>
      <c r="D218" s="25" t="s">
        <v>21</v>
      </c>
      <c r="E218" s="28" t="s">
        <v>18</v>
      </c>
      <c r="F218" s="29">
        <f t="shared" ref="F218:M218" si="32">SUM(F214:F217)</f>
        <v>0</v>
      </c>
      <c r="G218" s="29">
        <f t="shared" si="32"/>
        <v>0</v>
      </c>
      <c r="H218" s="29">
        <f t="shared" si="32"/>
        <v>0</v>
      </c>
      <c r="I218" s="29">
        <f t="shared" si="32"/>
        <v>0</v>
      </c>
      <c r="J218" s="29">
        <f t="shared" si="32"/>
        <v>0</v>
      </c>
      <c r="K218" s="29">
        <f t="shared" si="32"/>
        <v>0</v>
      </c>
      <c r="L218" s="29">
        <f t="shared" si="32"/>
        <v>0</v>
      </c>
      <c r="M218" s="29">
        <f t="shared" si="32"/>
        <v>0</v>
      </c>
      <c r="N218" s="3"/>
      <c r="O218" s="3"/>
    </row>
    <row r="219" spans="1:15" x14ac:dyDescent="0.35">
      <c r="A219" s="3"/>
      <c r="B219" s="47"/>
      <c r="C219" s="47"/>
      <c r="D219" s="25" t="s">
        <v>21</v>
      </c>
      <c r="E219" s="26" t="s">
        <v>19</v>
      </c>
      <c r="F219" s="27">
        <v>0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3"/>
      <c r="O219" s="3"/>
    </row>
    <row r="220" spans="1:15" x14ac:dyDescent="0.35">
      <c r="A220" s="3"/>
      <c r="B220" s="48"/>
      <c r="C220" s="48"/>
      <c r="D220" s="25" t="s">
        <v>21</v>
      </c>
      <c r="E220" s="26" t="s">
        <v>20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3"/>
      <c r="O220" s="3"/>
    </row>
    <row r="221" spans="1:15" x14ac:dyDescent="0.35">
      <c r="A221" s="3"/>
      <c r="B221" s="34">
        <v>8</v>
      </c>
      <c r="C221" s="34" t="s">
        <v>38</v>
      </c>
      <c r="D221" s="15" t="s">
        <v>13</v>
      </c>
      <c r="E221" s="35" t="s">
        <v>14</v>
      </c>
      <c r="F221" s="18">
        <v>36</v>
      </c>
      <c r="G221" s="36">
        <v>4</v>
      </c>
      <c r="H221" s="36">
        <v>10</v>
      </c>
      <c r="I221" s="36">
        <v>2</v>
      </c>
      <c r="J221" s="36">
        <v>658639851</v>
      </c>
      <c r="K221" s="36">
        <v>63251057</v>
      </c>
      <c r="L221" s="36">
        <v>1168453822</v>
      </c>
      <c r="M221" s="36">
        <v>0</v>
      </c>
      <c r="N221" s="3"/>
      <c r="O221" s="3"/>
    </row>
    <row r="222" spans="1:15" x14ac:dyDescent="0.35">
      <c r="A222" s="3"/>
      <c r="B222" s="37"/>
      <c r="C222" s="37"/>
      <c r="D222" s="16" t="s">
        <v>13</v>
      </c>
      <c r="E222" s="35" t="s">
        <v>15</v>
      </c>
      <c r="F222" s="18">
        <v>80</v>
      </c>
      <c r="G222" s="18">
        <v>7</v>
      </c>
      <c r="H222" s="36">
        <v>0</v>
      </c>
      <c r="I222" s="36">
        <v>0</v>
      </c>
      <c r="J222" s="36">
        <v>896141203</v>
      </c>
      <c r="K222" s="36">
        <v>44197789</v>
      </c>
      <c r="L222" s="36">
        <v>0</v>
      </c>
      <c r="M222" s="36">
        <v>0</v>
      </c>
      <c r="N222" s="3"/>
      <c r="O222" s="3"/>
    </row>
    <row r="223" spans="1:15" x14ac:dyDescent="0.35">
      <c r="A223" s="3"/>
      <c r="B223" s="37"/>
      <c r="C223" s="37"/>
      <c r="D223" s="16" t="s">
        <v>13</v>
      </c>
      <c r="E223" s="35" t="s">
        <v>16</v>
      </c>
      <c r="F223" s="18">
        <v>50</v>
      </c>
      <c r="G223" s="36">
        <v>13</v>
      </c>
      <c r="H223" s="36">
        <v>0</v>
      </c>
      <c r="I223" s="36">
        <v>0</v>
      </c>
      <c r="J223" s="36">
        <v>311451743</v>
      </c>
      <c r="K223" s="36">
        <v>7290053</v>
      </c>
      <c r="L223" s="36">
        <v>0</v>
      </c>
      <c r="M223" s="36">
        <v>0</v>
      </c>
      <c r="N223" s="3"/>
      <c r="O223" s="3"/>
    </row>
    <row r="224" spans="1:15" x14ac:dyDescent="0.35">
      <c r="A224" s="3"/>
      <c r="B224" s="37"/>
      <c r="C224" s="37"/>
      <c r="D224" s="16" t="s">
        <v>13</v>
      </c>
      <c r="E224" s="35" t="s">
        <v>17</v>
      </c>
      <c r="F224" s="36">
        <v>54</v>
      </c>
      <c r="G224" s="36">
        <v>1</v>
      </c>
      <c r="H224" s="36">
        <v>0</v>
      </c>
      <c r="I224" s="36">
        <v>0</v>
      </c>
      <c r="J224" s="36">
        <v>792900517</v>
      </c>
      <c r="K224" s="36">
        <v>0</v>
      </c>
      <c r="L224" s="36">
        <v>0</v>
      </c>
      <c r="M224" s="36">
        <v>0</v>
      </c>
      <c r="N224" s="3"/>
      <c r="O224" s="3"/>
    </row>
    <row r="225" spans="1:15" x14ac:dyDescent="0.35">
      <c r="A225" s="3"/>
      <c r="B225" s="37"/>
      <c r="C225" s="37"/>
      <c r="D225" s="16" t="s">
        <v>13</v>
      </c>
      <c r="E225" s="38" t="s">
        <v>18</v>
      </c>
      <c r="F225" s="39">
        <f>SUM(F221:F224)</f>
        <v>220</v>
      </c>
      <c r="G225" s="39">
        <f>SUM(G221:G224)</f>
        <v>25</v>
      </c>
      <c r="H225" s="40">
        <f>SUM(H221:H224)</f>
        <v>10</v>
      </c>
      <c r="I225" s="40">
        <f>SUM(I221:I224)</f>
        <v>2</v>
      </c>
      <c r="J225" s="41">
        <f>SUM(J221:J224)</f>
        <v>2659133314</v>
      </c>
      <c r="K225" s="41">
        <f t="shared" ref="K225:M225" si="33">SUM(K221:K224)</f>
        <v>114738899</v>
      </c>
      <c r="L225" s="41">
        <f t="shared" si="33"/>
        <v>1168453822</v>
      </c>
      <c r="M225" s="41">
        <f t="shared" si="33"/>
        <v>0</v>
      </c>
      <c r="N225" s="3"/>
      <c r="O225" s="3"/>
    </row>
    <row r="226" spans="1:15" x14ac:dyDescent="0.35">
      <c r="A226" s="3"/>
      <c r="B226" s="37"/>
      <c r="C226" s="37"/>
      <c r="D226" s="16" t="s">
        <v>13</v>
      </c>
      <c r="E226" s="35" t="s">
        <v>19</v>
      </c>
      <c r="F226" s="42">
        <v>220</v>
      </c>
      <c r="G226" s="42">
        <v>25</v>
      </c>
      <c r="H226" s="40">
        <v>10</v>
      </c>
      <c r="I226" s="40">
        <v>2</v>
      </c>
      <c r="J226" s="43">
        <v>2659133314</v>
      </c>
      <c r="K226" s="43">
        <v>114738899</v>
      </c>
      <c r="L226" s="44">
        <v>1168453822</v>
      </c>
      <c r="M226" s="44">
        <v>0</v>
      </c>
      <c r="N226" s="3"/>
      <c r="O226" s="3"/>
    </row>
    <row r="227" spans="1:15" x14ac:dyDescent="0.35">
      <c r="A227" s="3"/>
      <c r="B227" s="45"/>
      <c r="C227" s="45"/>
      <c r="D227" s="16" t="s">
        <v>13</v>
      </c>
      <c r="E227" s="35" t="s">
        <v>20</v>
      </c>
      <c r="F227" s="36">
        <v>0</v>
      </c>
      <c r="G227" s="36">
        <v>0</v>
      </c>
      <c r="H227" s="36">
        <v>0</v>
      </c>
      <c r="I227" s="36">
        <v>0</v>
      </c>
      <c r="J227" s="36"/>
      <c r="K227" s="36">
        <v>0</v>
      </c>
      <c r="L227" s="44">
        <v>0</v>
      </c>
      <c r="M227" s="44">
        <v>0</v>
      </c>
      <c r="N227" s="3"/>
      <c r="O227" s="3"/>
    </row>
    <row r="228" spans="1:15" x14ac:dyDescent="0.35">
      <c r="A228" s="3"/>
      <c r="B228" s="46">
        <v>8</v>
      </c>
      <c r="C228" s="46" t="s">
        <v>38</v>
      </c>
      <c r="D228" s="25" t="s">
        <v>21</v>
      </c>
      <c r="E228" s="26" t="s">
        <v>14</v>
      </c>
      <c r="F228" s="27">
        <v>0</v>
      </c>
      <c r="G228" s="27">
        <v>0</v>
      </c>
      <c r="H228" s="27">
        <v>0</v>
      </c>
      <c r="I228" s="27">
        <v>0</v>
      </c>
      <c r="J228" s="27">
        <v>0</v>
      </c>
      <c r="K228" s="27">
        <v>0</v>
      </c>
      <c r="L228" s="27">
        <v>0</v>
      </c>
      <c r="M228" s="27">
        <v>0</v>
      </c>
      <c r="N228" s="3"/>
      <c r="O228" s="3"/>
    </row>
    <row r="229" spans="1:15" x14ac:dyDescent="0.35">
      <c r="A229" s="3"/>
      <c r="B229" s="47"/>
      <c r="C229" s="47"/>
      <c r="D229" s="25" t="s">
        <v>21</v>
      </c>
      <c r="E229" s="26" t="s">
        <v>15</v>
      </c>
      <c r="F229" s="27">
        <v>0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27">
        <v>0</v>
      </c>
      <c r="N229" s="3"/>
      <c r="O229" s="3"/>
    </row>
    <row r="230" spans="1:15" x14ac:dyDescent="0.35">
      <c r="A230" s="3"/>
      <c r="B230" s="47"/>
      <c r="C230" s="47"/>
      <c r="D230" s="25" t="s">
        <v>21</v>
      </c>
      <c r="E230" s="26" t="s">
        <v>16</v>
      </c>
      <c r="F230" s="27">
        <v>0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3"/>
      <c r="O230" s="3"/>
    </row>
    <row r="231" spans="1:15" x14ac:dyDescent="0.35">
      <c r="A231" s="3"/>
      <c r="B231" s="47"/>
      <c r="C231" s="47"/>
      <c r="D231" s="25" t="s">
        <v>21</v>
      </c>
      <c r="E231" s="26" t="s">
        <v>17</v>
      </c>
      <c r="F231" s="27">
        <v>755</v>
      </c>
      <c r="G231" s="27">
        <v>0</v>
      </c>
      <c r="H231" s="27">
        <v>0</v>
      </c>
      <c r="I231" s="27">
        <v>0</v>
      </c>
      <c r="J231" s="27">
        <v>2627944889</v>
      </c>
      <c r="K231" s="27">
        <v>0</v>
      </c>
      <c r="L231" s="27">
        <v>0</v>
      </c>
      <c r="M231" s="27">
        <v>0</v>
      </c>
      <c r="N231" s="3"/>
      <c r="O231" s="3"/>
    </row>
    <row r="232" spans="1:15" x14ac:dyDescent="0.35">
      <c r="A232" s="3"/>
      <c r="B232" s="47"/>
      <c r="C232" s="47"/>
      <c r="D232" s="25" t="s">
        <v>21</v>
      </c>
      <c r="E232" s="28" t="s">
        <v>18</v>
      </c>
      <c r="F232" s="29">
        <f t="shared" ref="F232:M232" si="34">SUM(F228:F231)</f>
        <v>755</v>
      </c>
      <c r="G232" s="29">
        <f t="shared" si="34"/>
        <v>0</v>
      </c>
      <c r="H232" s="29">
        <f t="shared" si="34"/>
        <v>0</v>
      </c>
      <c r="I232" s="29">
        <f t="shared" si="34"/>
        <v>0</v>
      </c>
      <c r="J232" s="29">
        <f t="shared" si="34"/>
        <v>2627944889</v>
      </c>
      <c r="K232" s="29">
        <f t="shared" si="34"/>
        <v>0</v>
      </c>
      <c r="L232" s="29">
        <f t="shared" si="34"/>
        <v>0</v>
      </c>
      <c r="M232" s="29">
        <f t="shared" si="34"/>
        <v>0</v>
      </c>
      <c r="N232" s="3"/>
      <c r="O232" s="3"/>
    </row>
    <row r="233" spans="1:15" x14ac:dyDescent="0.35">
      <c r="A233" s="3"/>
      <c r="B233" s="47"/>
      <c r="C233" s="47"/>
      <c r="D233" s="25" t="s">
        <v>21</v>
      </c>
      <c r="E233" s="26" t="s">
        <v>19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3"/>
      <c r="O233" s="3"/>
    </row>
    <row r="234" spans="1:15" x14ac:dyDescent="0.35">
      <c r="A234" s="3"/>
      <c r="B234" s="48"/>
      <c r="C234" s="48"/>
      <c r="D234" s="25" t="s">
        <v>21</v>
      </c>
      <c r="E234" s="26" t="s">
        <v>20</v>
      </c>
      <c r="F234" s="27">
        <v>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3"/>
      <c r="O234" s="3"/>
    </row>
    <row r="235" spans="1:15" x14ac:dyDescent="0.35">
      <c r="A235" s="3"/>
      <c r="B235" s="34">
        <v>9</v>
      </c>
      <c r="C235" s="34" t="s">
        <v>39</v>
      </c>
      <c r="D235" s="15" t="s">
        <v>13</v>
      </c>
      <c r="E235" s="35" t="s">
        <v>14</v>
      </c>
      <c r="F235" s="18">
        <v>42</v>
      </c>
      <c r="G235" s="36">
        <v>2</v>
      </c>
      <c r="H235" s="36">
        <v>53</v>
      </c>
      <c r="I235" s="36">
        <v>3</v>
      </c>
      <c r="J235" s="36">
        <v>1156466135</v>
      </c>
      <c r="K235" s="36">
        <v>43940549</v>
      </c>
      <c r="L235" s="36">
        <v>5151314123</v>
      </c>
      <c r="M235" s="36">
        <v>163065004</v>
      </c>
      <c r="N235" s="3"/>
      <c r="O235" s="3"/>
    </row>
    <row r="236" spans="1:15" x14ac:dyDescent="0.35">
      <c r="A236" s="3"/>
      <c r="B236" s="37"/>
      <c r="C236" s="37"/>
      <c r="D236" s="16" t="s">
        <v>13</v>
      </c>
      <c r="E236" s="35" t="s">
        <v>15</v>
      </c>
      <c r="F236" s="18">
        <v>0</v>
      </c>
      <c r="G236" s="36">
        <v>0</v>
      </c>
      <c r="H236" s="36">
        <v>0</v>
      </c>
      <c r="I236" s="36">
        <v>0</v>
      </c>
      <c r="J236" s="36">
        <v>0</v>
      </c>
      <c r="K236" s="36">
        <v>0</v>
      </c>
      <c r="L236" s="36">
        <v>0</v>
      </c>
      <c r="M236" s="36">
        <v>0</v>
      </c>
      <c r="N236" s="3"/>
      <c r="O236" s="3"/>
    </row>
    <row r="237" spans="1:15" x14ac:dyDescent="0.35">
      <c r="A237" s="3"/>
      <c r="B237" s="37"/>
      <c r="C237" s="37"/>
      <c r="D237" s="16" t="s">
        <v>13</v>
      </c>
      <c r="E237" s="35" t="s">
        <v>16</v>
      </c>
      <c r="F237" s="18">
        <v>51</v>
      </c>
      <c r="G237" s="36">
        <v>12</v>
      </c>
      <c r="H237" s="36">
        <v>0</v>
      </c>
      <c r="I237" s="36">
        <v>0</v>
      </c>
      <c r="J237" s="36">
        <v>524306796</v>
      </c>
      <c r="K237" s="36">
        <v>104449033</v>
      </c>
      <c r="L237" s="36">
        <v>0</v>
      </c>
      <c r="M237" s="36">
        <v>0</v>
      </c>
      <c r="N237" s="3"/>
      <c r="O237" s="3"/>
    </row>
    <row r="238" spans="1:15" x14ac:dyDescent="0.35">
      <c r="A238" s="3"/>
      <c r="B238" s="37"/>
      <c r="C238" s="37"/>
      <c r="D238" s="16" t="s">
        <v>13</v>
      </c>
      <c r="E238" s="35" t="s">
        <v>17</v>
      </c>
      <c r="F238" s="18">
        <v>148</v>
      </c>
      <c r="G238" s="36">
        <v>7</v>
      </c>
      <c r="H238" s="36">
        <v>0</v>
      </c>
      <c r="I238" s="36">
        <v>0</v>
      </c>
      <c r="J238" s="36">
        <v>840001469</v>
      </c>
      <c r="K238" s="36">
        <v>33956785</v>
      </c>
      <c r="L238" s="36">
        <v>0</v>
      </c>
      <c r="M238" s="36">
        <v>0</v>
      </c>
      <c r="N238" s="3"/>
      <c r="O238" s="3"/>
    </row>
    <row r="239" spans="1:15" x14ac:dyDescent="0.35">
      <c r="A239" s="3"/>
      <c r="B239" s="37"/>
      <c r="C239" s="37"/>
      <c r="D239" s="16" t="s">
        <v>13</v>
      </c>
      <c r="E239" s="38" t="s">
        <v>18</v>
      </c>
      <c r="F239" s="39">
        <f>SUM(F235:F238)</f>
        <v>241</v>
      </c>
      <c r="G239" s="39">
        <f>SUM(G235:G238)</f>
        <v>21</v>
      </c>
      <c r="H239" s="39">
        <f>SUM(H235:H238)</f>
        <v>53</v>
      </c>
      <c r="I239" s="39">
        <f>SUM(I235:I238)</f>
        <v>3</v>
      </c>
      <c r="J239" s="41">
        <f t="shared" ref="J239:M239" si="35">SUM(J235:J238)</f>
        <v>2520774400</v>
      </c>
      <c r="K239" s="41">
        <f t="shared" si="35"/>
        <v>182346367</v>
      </c>
      <c r="L239" s="41">
        <f t="shared" si="35"/>
        <v>5151314123</v>
      </c>
      <c r="M239" s="41">
        <f t="shared" si="35"/>
        <v>163065004</v>
      </c>
      <c r="N239" s="3"/>
      <c r="O239" s="3"/>
    </row>
    <row r="240" spans="1:15" x14ac:dyDescent="0.35">
      <c r="A240" s="3"/>
      <c r="B240" s="37"/>
      <c r="C240" s="37"/>
      <c r="D240" s="16" t="s">
        <v>13</v>
      </c>
      <c r="E240" s="35" t="s">
        <v>19</v>
      </c>
      <c r="F240" s="42">
        <v>241</v>
      </c>
      <c r="G240" s="42">
        <v>21</v>
      </c>
      <c r="H240" s="42">
        <v>53</v>
      </c>
      <c r="I240" s="42">
        <v>3</v>
      </c>
      <c r="J240" s="43">
        <v>2520774400</v>
      </c>
      <c r="K240" s="43">
        <v>182346367</v>
      </c>
      <c r="L240" s="44">
        <v>5151314123</v>
      </c>
      <c r="M240" s="44">
        <v>163065004</v>
      </c>
      <c r="N240" s="3"/>
      <c r="O240" s="3"/>
    </row>
    <row r="241" spans="1:15" x14ac:dyDescent="0.35">
      <c r="A241" s="3"/>
      <c r="B241" s="45"/>
      <c r="C241" s="45"/>
      <c r="D241" s="16" t="s">
        <v>13</v>
      </c>
      <c r="E241" s="35" t="s">
        <v>20</v>
      </c>
      <c r="F241" s="36">
        <v>0</v>
      </c>
      <c r="G241" s="36">
        <v>0</v>
      </c>
      <c r="H241" s="36">
        <v>0</v>
      </c>
      <c r="I241" s="36">
        <v>0</v>
      </c>
      <c r="J241" s="36">
        <v>0</v>
      </c>
      <c r="K241" s="36">
        <v>0</v>
      </c>
      <c r="L241" s="44">
        <v>0</v>
      </c>
      <c r="M241" s="44">
        <v>0</v>
      </c>
      <c r="N241" s="3"/>
      <c r="O241" s="3"/>
    </row>
    <row r="242" spans="1:15" x14ac:dyDescent="0.35">
      <c r="A242" s="3"/>
      <c r="B242" s="46">
        <v>9</v>
      </c>
      <c r="C242" s="46" t="s">
        <v>39</v>
      </c>
      <c r="D242" s="25" t="s">
        <v>21</v>
      </c>
      <c r="E242" s="26" t="s">
        <v>14</v>
      </c>
      <c r="F242" s="27">
        <v>3</v>
      </c>
      <c r="G242" s="27">
        <v>0</v>
      </c>
      <c r="H242" s="27">
        <v>0</v>
      </c>
      <c r="I242" s="27">
        <v>0</v>
      </c>
      <c r="J242" s="27">
        <v>104832960</v>
      </c>
      <c r="K242" s="27">
        <v>0</v>
      </c>
      <c r="L242" s="27">
        <v>0</v>
      </c>
      <c r="M242" s="27">
        <v>0</v>
      </c>
      <c r="N242" s="3"/>
      <c r="O242" s="3"/>
    </row>
    <row r="243" spans="1:15" x14ac:dyDescent="0.35">
      <c r="A243" s="3"/>
      <c r="B243" s="47"/>
      <c r="C243" s="47"/>
      <c r="D243" s="25" t="s">
        <v>21</v>
      </c>
      <c r="E243" s="26" t="s">
        <v>15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3"/>
      <c r="O243" s="3"/>
    </row>
    <row r="244" spans="1:15" x14ac:dyDescent="0.35">
      <c r="A244" s="3"/>
      <c r="B244" s="47"/>
      <c r="C244" s="47"/>
      <c r="D244" s="25" t="s">
        <v>21</v>
      </c>
      <c r="E244" s="26" t="s">
        <v>16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3"/>
      <c r="O244" s="3"/>
    </row>
    <row r="245" spans="1:15" x14ac:dyDescent="0.35">
      <c r="A245" s="3"/>
      <c r="B245" s="47"/>
      <c r="C245" s="47"/>
      <c r="D245" s="25" t="s">
        <v>21</v>
      </c>
      <c r="E245" s="26" t="s">
        <v>17</v>
      </c>
      <c r="F245" s="27">
        <v>101</v>
      </c>
      <c r="G245" s="27">
        <v>1</v>
      </c>
      <c r="H245" s="27">
        <v>0</v>
      </c>
      <c r="I245" s="27">
        <v>0</v>
      </c>
      <c r="J245" s="27">
        <v>215022146</v>
      </c>
      <c r="K245" s="27">
        <v>0</v>
      </c>
      <c r="L245" s="27">
        <v>0</v>
      </c>
      <c r="M245" s="27">
        <v>0</v>
      </c>
      <c r="N245" s="3"/>
      <c r="O245" s="3"/>
    </row>
    <row r="246" spans="1:15" x14ac:dyDescent="0.35">
      <c r="A246" s="3"/>
      <c r="B246" s="47"/>
      <c r="C246" s="47"/>
      <c r="D246" s="25" t="s">
        <v>21</v>
      </c>
      <c r="E246" s="28" t="s">
        <v>18</v>
      </c>
      <c r="F246" s="29">
        <f t="shared" ref="F246:M246" si="36">SUM(F242:F245)</f>
        <v>104</v>
      </c>
      <c r="G246" s="29">
        <f t="shared" si="36"/>
        <v>1</v>
      </c>
      <c r="H246" s="29">
        <f t="shared" si="36"/>
        <v>0</v>
      </c>
      <c r="I246" s="29">
        <f t="shared" si="36"/>
        <v>0</v>
      </c>
      <c r="J246" s="29">
        <f t="shared" si="36"/>
        <v>319855106</v>
      </c>
      <c r="K246" s="29">
        <f t="shared" si="36"/>
        <v>0</v>
      </c>
      <c r="L246" s="29">
        <f t="shared" si="36"/>
        <v>0</v>
      </c>
      <c r="M246" s="29">
        <f t="shared" si="36"/>
        <v>0</v>
      </c>
      <c r="N246" s="3"/>
      <c r="O246" s="3"/>
    </row>
    <row r="247" spans="1:15" x14ac:dyDescent="0.35">
      <c r="A247" s="3"/>
      <c r="B247" s="47"/>
      <c r="C247" s="47"/>
      <c r="D247" s="25" t="s">
        <v>21</v>
      </c>
      <c r="E247" s="26" t="s">
        <v>19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3"/>
      <c r="O247" s="3"/>
    </row>
    <row r="248" spans="1:15" x14ac:dyDescent="0.35">
      <c r="A248" s="3"/>
      <c r="B248" s="48"/>
      <c r="C248" s="48"/>
      <c r="D248" s="25" t="s">
        <v>21</v>
      </c>
      <c r="E248" s="26" t="s">
        <v>20</v>
      </c>
      <c r="F248" s="27">
        <v>104</v>
      </c>
      <c r="G248" s="27">
        <v>1</v>
      </c>
      <c r="H248" s="27">
        <v>0</v>
      </c>
      <c r="I248" s="27">
        <v>0</v>
      </c>
      <c r="J248" s="27">
        <v>319855106</v>
      </c>
      <c r="K248" s="27">
        <v>0</v>
      </c>
      <c r="L248" s="27">
        <v>0</v>
      </c>
      <c r="M248" s="27">
        <v>0</v>
      </c>
      <c r="N248" s="3"/>
      <c r="O248" s="3"/>
    </row>
    <row r="249" spans="1:15" x14ac:dyDescent="0.35">
      <c r="A249" s="3"/>
      <c r="B249" s="34">
        <v>10</v>
      </c>
      <c r="C249" s="34" t="s">
        <v>40</v>
      </c>
      <c r="D249" s="15" t="s">
        <v>13</v>
      </c>
      <c r="E249" s="35" t="s">
        <v>14</v>
      </c>
      <c r="F249" s="18">
        <v>10</v>
      </c>
      <c r="G249" s="36">
        <v>5</v>
      </c>
      <c r="H249" s="36">
        <v>7</v>
      </c>
      <c r="I249" s="36">
        <v>1</v>
      </c>
      <c r="J249" s="36">
        <v>419861145</v>
      </c>
      <c r="K249" s="36">
        <v>63058940</v>
      </c>
      <c r="L249" s="36">
        <v>294930461</v>
      </c>
      <c r="M249" s="36">
        <v>44413961</v>
      </c>
      <c r="N249" s="3"/>
      <c r="O249" s="3"/>
    </row>
    <row r="250" spans="1:15" x14ac:dyDescent="0.35">
      <c r="A250" s="3"/>
      <c r="B250" s="37"/>
      <c r="C250" s="37"/>
      <c r="D250" s="16" t="s">
        <v>13</v>
      </c>
      <c r="E250" s="35" t="s">
        <v>15</v>
      </c>
      <c r="F250" s="36">
        <v>0</v>
      </c>
      <c r="G250" s="36">
        <v>0</v>
      </c>
      <c r="H250" s="36">
        <v>0</v>
      </c>
      <c r="I250" s="36">
        <v>0</v>
      </c>
      <c r="J250" s="36">
        <v>0</v>
      </c>
      <c r="K250" s="36">
        <v>0</v>
      </c>
      <c r="L250" s="36">
        <v>0</v>
      </c>
      <c r="M250" s="36">
        <v>0</v>
      </c>
      <c r="N250" s="3"/>
      <c r="O250" s="3"/>
    </row>
    <row r="251" spans="1:15" x14ac:dyDescent="0.35">
      <c r="A251" s="3"/>
      <c r="B251" s="37"/>
      <c r="C251" s="37"/>
      <c r="D251" s="16" t="s">
        <v>13</v>
      </c>
      <c r="E251" s="35" t="s">
        <v>16</v>
      </c>
      <c r="F251" s="18">
        <v>152</v>
      </c>
      <c r="G251" s="36">
        <v>29</v>
      </c>
      <c r="H251" s="36">
        <v>0</v>
      </c>
      <c r="I251" s="36">
        <v>0</v>
      </c>
      <c r="J251" s="36">
        <v>813640253</v>
      </c>
      <c r="K251" s="36">
        <v>70800220</v>
      </c>
      <c r="L251" s="36">
        <v>0</v>
      </c>
      <c r="M251" s="36">
        <v>0</v>
      </c>
      <c r="N251" s="3"/>
      <c r="O251" s="3"/>
    </row>
    <row r="252" spans="1:15" x14ac:dyDescent="0.35">
      <c r="A252" s="3"/>
      <c r="B252" s="37"/>
      <c r="C252" s="37"/>
      <c r="D252" s="16" t="s">
        <v>13</v>
      </c>
      <c r="E252" s="35" t="s">
        <v>17</v>
      </c>
      <c r="F252" s="36">
        <v>259</v>
      </c>
      <c r="G252" s="36">
        <v>100</v>
      </c>
      <c r="H252" s="36">
        <v>0</v>
      </c>
      <c r="I252" s="36">
        <v>0</v>
      </c>
      <c r="J252" s="36">
        <v>48792704</v>
      </c>
      <c r="K252" s="36">
        <v>11749482</v>
      </c>
      <c r="L252" s="36">
        <v>0</v>
      </c>
      <c r="M252" s="36">
        <v>0</v>
      </c>
      <c r="N252" s="3"/>
      <c r="O252" s="3"/>
    </row>
    <row r="253" spans="1:15" x14ac:dyDescent="0.35">
      <c r="A253" s="3"/>
      <c r="B253" s="37"/>
      <c r="C253" s="37"/>
      <c r="D253" s="16" t="s">
        <v>13</v>
      </c>
      <c r="E253" s="38" t="s">
        <v>18</v>
      </c>
      <c r="F253" s="39">
        <f>SUM(F249:F252)</f>
        <v>421</v>
      </c>
      <c r="G253" s="39">
        <f>SUM(G249:G252)</f>
        <v>134</v>
      </c>
      <c r="H253" s="39">
        <f>SUM(H249:H252)</f>
        <v>7</v>
      </c>
      <c r="I253" s="39">
        <f>SUM(I249:I252)</f>
        <v>1</v>
      </c>
      <c r="J253" s="41">
        <f t="shared" ref="J253:M253" si="37">SUM(J249:J252)</f>
        <v>1282294102</v>
      </c>
      <c r="K253" s="41">
        <f t="shared" si="37"/>
        <v>145608642</v>
      </c>
      <c r="L253" s="41">
        <f t="shared" si="37"/>
        <v>294930461</v>
      </c>
      <c r="M253" s="41">
        <f t="shared" si="37"/>
        <v>44413961</v>
      </c>
      <c r="N253" s="3"/>
      <c r="O253" s="3"/>
    </row>
    <row r="254" spans="1:15" x14ac:dyDescent="0.35">
      <c r="A254" s="3"/>
      <c r="B254" s="37"/>
      <c r="C254" s="37"/>
      <c r="D254" s="16" t="s">
        <v>13</v>
      </c>
      <c r="E254" s="35" t="s">
        <v>19</v>
      </c>
      <c r="F254" s="42">
        <f>+F253</f>
        <v>421</v>
      </c>
      <c r="G254" s="42">
        <f t="shared" ref="G254:M254" si="38">+G253</f>
        <v>134</v>
      </c>
      <c r="H254" s="42">
        <f t="shared" si="38"/>
        <v>7</v>
      </c>
      <c r="I254" s="42">
        <f t="shared" si="38"/>
        <v>1</v>
      </c>
      <c r="J254" s="43">
        <f t="shared" si="38"/>
        <v>1282294102</v>
      </c>
      <c r="K254" s="43">
        <f t="shared" si="38"/>
        <v>145608642</v>
      </c>
      <c r="L254" s="44">
        <f t="shared" si="38"/>
        <v>294930461</v>
      </c>
      <c r="M254" s="44">
        <f t="shared" si="38"/>
        <v>44413961</v>
      </c>
      <c r="N254" s="3"/>
      <c r="O254" s="3"/>
    </row>
    <row r="255" spans="1:15" x14ac:dyDescent="0.35">
      <c r="A255" s="3"/>
      <c r="B255" s="45"/>
      <c r="C255" s="45"/>
      <c r="D255" s="16" t="s">
        <v>13</v>
      </c>
      <c r="E255" s="35" t="s">
        <v>20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44">
        <v>0</v>
      </c>
      <c r="M255" s="44">
        <v>0</v>
      </c>
      <c r="N255" s="3"/>
      <c r="O255" s="3"/>
    </row>
    <row r="256" spans="1:15" x14ac:dyDescent="0.35">
      <c r="A256" s="3"/>
      <c r="B256" s="46">
        <v>10</v>
      </c>
      <c r="C256" s="46" t="s">
        <v>40</v>
      </c>
      <c r="D256" s="25" t="s">
        <v>21</v>
      </c>
      <c r="E256" s="26" t="s">
        <v>14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3"/>
      <c r="O256" s="3"/>
    </row>
    <row r="257" spans="1:15" x14ac:dyDescent="0.35">
      <c r="A257" s="3"/>
      <c r="B257" s="47"/>
      <c r="C257" s="47"/>
      <c r="D257" s="25" t="s">
        <v>21</v>
      </c>
      <c r="E257" s="26" t="s">
        <v>15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3"/>
      <c r="O257" s="3"/>
    </row>
    <row r="258" spans="1:15" x14ac:dyDescent="0.35">
      <c r="A258" s="3"/>
      <c r="B258" s="47"/>
      <c r="C258" s="47"/>
      <c r="D258" s="25" t="s">
        <v>21</v>
      </c>
      <c r="E258" s="26" t="s">
        <v>16</v>
      </c>
      <c r="F258" s="27">
        <v>46</v>
      </c>
      <c r="G258" s="27">
        <v>1</v>
      </c>
      <c r="H258" s="27">
        <v>0</v>
      </c>
      <c r="I258" s="27">
        <v>0</v>
      </c>
      <c r="J258" s="27">
        <v>281921111</v>
      </c>
      <c r="K258" s="27">
        <v>0</v>
      </c>
      <c r="L258" s="27">
        <v>0</v>
      </c>
      <c r="M258" s="27">
        <v>0</v>
      </c>
      <c r="N258" s="3"/>
      <c r="O258" s="3"/>
    </row>
    <row r="259" spans="1:15" x14ac:dyDescent="0.35">
      <c r="A259" s="3"/>
      <c r="B259" s="47"/>
      <c r="C259" s="47"/>
      <c r="D259" s="25" t="s">
        <v>21</v>
      </c>
      <c r="E259" s="26" t="s">
        <v>17</v>
      </c>
      <c r="F259" s="27">
        <v>0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3"/>
      <c r="O259" s="3"/>
    </row>
    <row r="260" spans="1:15" x14ac:dyDescent="0.35">
      <c r="A260" s="3"/>
      <c r="B260" s="47"/>
      <c r="C260" s="47"/>
      <c r="D260" s="25" t="s">
        <v>21</v>
      </c>
      <c r="E260" s="28" t="s">
        <v>18</v>
      </c>
      <c r="F260" s="29">
        <f t="shared" ref="F260:M260" si="39">SUM(F256:F259)</f>
        <v>46</v>
      </c>
      <c r="G260" s="29">
        <f t="shared" si="39"/>
        <v>1</v>
      </c>
      <c r="H260" s="29">
        <f t="shared" si="39"/>
        <v>0</v>
      </c>
      <c r="I260" s="29">
        <f t="shared" si="39"/>
        <v>0</v>
      </c>
      <c r="J260" s="29">
        <f t="shared" si="39"/>
        <v>281921111</v>
      </c>
      <c r="K260" s="29">
        <f t="shared" si="39"/>
        <v>0</v>
      </c>
      <c r="L260" s="29">
        <f t="shared" si="39"/>
        <v>0</v>
      </c>
      <c r="M260" s="29">
        <f t="shared" si="39"/>
        <v>0</v>
      </c>
      <c r="N260" s="3"/>
      <c r="O260" s="3"/>
    </row>
    <row r="261" spans="1:15" x14ac:dyDescent="0.35">
      <c r="A261" s="3"/>
      <c r="B261" s="47"/>
      <c r="C261" s="47"/>
      <c r="D261" s="25" t="s">
        <v>21</v>
      </c>
      <c r="E261" s="26" t="s">
        <v>19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3"/>
      <c r="O261" s="3"/>
    </row>
    <row r="262" spans="1:15" x14ac:dyDescent="0.35">
      <c r="A262" s="3"/>
      <c r="B262" s="48"/>
      <c r="C262" s="48"/>
      <c r="D262" s="25" t="s">
        <v>21</v>
      </c>
      <c r="E262" s="26" t="s">
        <v>20</v>
      </c>
      <c r="F262" s="27">
        <v>46</v>
      </c>
      <c r="G262" s="27">
        <v>1</v>
      </c>
      <c r="H262" s="27">
        <v>0</v>
      </c>
      <c r="I262" s="27">
        <v>0</v>
      </c>
      <c r="J262" s="27">
        <v>281921111</v>
      </c>
      <c r="K262" s="27">
        <v>0</v>
      </c>
      <c r="L262" s="27">
        <v>0</v>
      </c>
      <c r="M262" s="27">
        <v>0</v>
      </c>
      <c r="N262" s="3"/>
      <c r="O262" s="3"/>
    </row>
    <row r="263" spans="1:15" x14ac:dyDescent="0.35">
      <c r="A263" s="3"/>
      <c r="B263" s="34">
        <v>11</v>
      </c>
      <c r="C263" s="34" t="s">
        <v>41</v>
      </c>
      <c r="D263" s="15" t="s">
        <v>13</v>
      </c>
      <c r="E263" s="35" t="s">
        <v>14</v>
      </c>
      <c r="F263" s="18">
        <v>1</v>
      </c>
      <c r="G263" s="36">
        <v>1</v>
      </c>
      <c r="H263" s="36">
        <v>4</v>
      </c>
      <c r="I263" s="36">
        <v>0</v>
      </c>
      <c r="J263" s="36">
        <v>15526003</v>
      </c>
      <c r="K263" s="36">
        <v>37524492</v>
      </c>
      <c r="L263" s="36">
        <v>82799209</v>
      </c>
      <c r="M263" s="36">
        <v>0</v>
      </c>
      <c r="N263" s="3"/>
      <c r="O263" s="3"/>
    </row>
    <row r="264" spans="1:15" x14ac:dyDescent="0.35">
      <c r="A264" s="3"/>
      <c r="B264" s="37"/>
      <c r="C264" s="37"/>
      <c r="D264" s="16" t="s">
        <v>13</v>
      </c>
      <c r="E264" s="35" t="s">
        <v>15</v>
      </c>
      <c r="F264" s="18">
        <v>6</v>
      </c>
      <c r="G264" s="18">
        <v>3</v>
      </c>
      <c r="H264" s="36">
        <v>3</v>
      </c>
      <c r="I264" s="36">
        <v>0</v>
      </c>
      <c r="J264" s="36">
        <v>61519142</v>
      </c>
      <c r="K264" s="36">
        <v>33340536</v>
      </c>
      <c r="L264" s="36">
        <v>34268761</v>
      </c>
      <c r="M264" s="36">
        <v>0</v>
      </c>
      <c r="N264" s="3"/>
      <c r="O264" s="3"/>
    </row>
    <row r="265" spans="1:15" x14ac:dyDescent="0.35">
      <c r="A265" s="3"/>
      <c r="B265" s="37"/>
      <c r="C265" s="37"/>
      <c r="D265" s="16" t="s">
        <v>13</v>
      </c>
      <c r="E265" s="35" t="s">
        <v>16</v>
      </c>
      <c r="F265" s="18">
        <v>2</v>
      </c>
      <c r="G265" s="36">
        <v>0</v>
      </c>
      <c r="H265" s="36">
        <v>0</v>
      </c>
      <c r="I265" s="36">
        <v>0</v>
      </c>
      <c r="J265" s="36">
        <v>1502140</v>
      </c>
      <c r="K265" s="36">
        <v>0</v>
      </c>
      <c r="L265" s="36">
        <v>0</v>
      </c>
      <c r="M265" s="36">
        <v>0</v>
      </c>
      <c r="N265" s="3"/>
      <c r="O265" s="3"/>
    </row>
    <row r="266" spans="1:15" x14ac:dyDescent="0.35">
      <c r="A266" s="3"/>
      <c r="B266" s="37"/>
      <c r="C266" s="37"/>
      <c r="D266" s="16" t="s">
        <v>13</v>
      </c>
      <c r="E266" s="35" t="s">
        <v>17</v>
      </c>
      <c r="F266" s="36">
        <v>10</v>
      </c>
      <c r="G266" s="36">
        <v>3</v>
      </c>
      <c r="H266" s="36">
        <v>0</v>
      </c>
      <c r="I266" s="36">
        <v>0</v>
      </c>
      <c r="J266" s="36">
        <v>9688733</v>
      </c>
      <c r="K266" s="36">
        <v>1739115</v>
      </c>
      <c r="L266" s="36">
        <v>0</v>
      </c>
      <c r="M266" s="36">
        <v>0</v>
      </c>
      <c r="N266" s="3"/>
      <c r="O266" s="3"/>
    </row>
    <row r="267" spans="1:15" x14ac:dyDescent="0.35">
      <c r="A267" s="3"/>
      <c r="B267" s="37"/>
      <c r="C267" s="37"/>
      <c r="D267" s="16" t="s">
        <v>13</v>
      </c>
      <c r="E267" s="38" t="s">
        <v>18</v>
      </c>
      <c r="F267" s="39">
        <f>SUM(F263:F266)</f>
        <v>19</v>
      </c>
      <c r="G267" s="39">
        <f>SUM(G263:G266)</f>
        <v>7</v>
      </c>
      <c r="H267" s="39">
        <f>SUM(H263:H266)</f>
        <v>7</v>
      </c>
      <c r="I267" s="40">
        <f t="shared" ref="I267:M267" si="40">SUM(I263:I266)</f>
        <v>0</v>
      </c>
      <c r="J267" s="41">
        <f t="shared" si="40"/>
        <v>88236018</v>
      </c>
      <c r="K267" s="41">
        <f t="shared" si="40"/>
        <v>72604143</v>
      </c>
      <c r="L267" s="41">
        <f t="shared" si="40"/>
        <v>117067970</v>
      </c>
      <c r="M267" s="41">
        <f t="shared" si="40"/>
        <v>0</v>
      </c>
      <c r="N267" s="3"/>
      <c r="O267" s="3"/>
    </row>
    <row r="268" spans="1:15" x14ac:dyDescent="0.35">
      <c r="A268" s="3"/>
      <c r="B268" s="37"/>
      <c r="C268" s="37"/>
      <c r="D268" s="16" t="s">
        <v>13</v>
      </c>
      <c r="E268" s="35" t="s">
        <v>19</v>
      </c>
      <c r="F268" s="42">
        <f>+F267</f>
        <v>19</v>
      </c>
      <c r="G268" s="42">
        <f t="shared" ref="G268:M268" si="41">+G267</f>
        <v>7</v>
      </c>
      <c r="H268" s="42">
        <f t="shared" si="41"/>
        <v>7</v>
      </c>
      <c r="I268" s="40">
        <f t="shared" si="41"/>
        <v>0</v>
      </c>
      <c r="J268" s="43">
        <f t="shared" si="41"/>
        <v>88236018</v>
      </c>
      <c r="K268" s="43">
        <f t="shared" si="41"/>
        <v>72604143</v>
      </c>
      <c r="L268" s="44">
        <f t="shared" si="41"/>
        <v>117067970</v>
      </c>
      <c r="M268" s="44">
        <f t="shared" si="41"/>
        <v>0</v>
      </c>
      <c r="N268" s="3"/>
      <c r="O268" s="3"/>
    </row>
    <row r="269" spans="1:15" x14ac:dyDescent="0.35">
      <c r="A269" s="3"/>
      <c r="B269" s="45"/>
      <c r="C269" s="45"/>
      <c r="D269" s="16" t="s">
        <v>13</v>
      </c>
      <c r="E269" s="35" t="s">
        <v>20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44">
        <v>0</v>
      </c>
      <c r="M269" s="44">
        <v>0</v>
      </c>
      <c r="N269" s="3"/>
      <c r="O269" s="3"/>
    </row>
    <row r="270" spans="1:15" x14ac:dyDescent="0.35">
      <c r="A270" s="3"/>
      <c r="B270" s="46">
        <v>11</v>
      </c>
      <c r="C270" s="46" t="s">
        <v>41</v>
      </c>
      <c r="D270" s="25" t="s">
        <v>21</v>
      </c>
      <c r="E270" s="26" t="s">
        <v>14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3"/>
      <c r="O270" s="3"/>
    </row>
    <row r="271" spans="1:15" x14ac:dyDescent="0.35">
      <c r="A271" s="3"/>
      <c r="B271" s="47"/>
      <c r="C271" s="47"/>
      <c r="D271" s="25" t="s">
        <v>21</v>
      </c>
      <c r="E271" s="26" t="s">
        <v>15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3"/>
      <c r="O271" s="3"/>
    </row>
    <row r="272" spans="1:15" x14ac:dyDescent="0.35">
      <c r="A272" s="3"/>
      <c r="B272" s="47"/>
      <c r="C272" s="47"/>
      <c r="D272" s="25" t="s">
        <v>21</v>
      </c>
      <c r="E272" s="26" t="s">
        <v>16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3"/>
      <c r="O272" s="3"/>
    </row>
    <row r="273" spans="1:15" x14ac:dyDescent="0.35">
      <c r="A273" s="3"/>
      <c r="B273" s="47"/>
      <c r="C273" s="47"/>
      <c r="D273" s="25" t="s">
        <v>21</v>
      </c>
      <c r="E273" s="26" t="s">
        <v>17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3"/>
      <c r="O273" s="3"/>
    </row>
    <row r="274" spans="1:15" x14ac:dyDescent="0.35">
      <c r="A274" s="3"/>
      <c r="B274" s="47"/>
      <c r="C274" s="47"/>
      <c r="D274" s="25" t="s">
        <v>21</v>
      </c>
      <c r="E274" s="28" t="s">
        <v>18</v>
      </c>
      <c r="F274" s="29">
        <f t="shared" ref="F274:M274" si="42">SUM(F270:F273)</f>
        <v>0</v>
      </c>
      <c r="G274" s="29">
        <f t="shared" si="42"/>
        <v>0</v>
      </c>
      <c r="H274" s="29">
        <f t="shared" si="42"/>
        <v>0</v>
      </c>
      <c r="I274" s="29">
        <f t="shared" si="42"/>
        <v>0</v>
      </c>
      <c r="J274" s="29">
        <f t="shared" si="42"/>
        <v>0</v>
      </c>
      <c r="K274" s="29">
        <f t="shared" si="42"/>
        <v>0</v>
      </c>
      <c r="L274" s="29">
        <f t="shared" si="42"/>
        <v>0</v>
      </c>
      <c r="M274" s="29">
        <f t="shared" si="42"/>
        <v>0</v>
      </c>
      <c r="N274" s="3"/>
      <c r="O274" s="3"/>
    </row>
    <row r="275" spans="1:15" x14ac:dyDescent="0.35">
      <c r="A275" s="3"/>
      <c r="B275" s="47"/>
      <c r="C275" s="47"/>
      <c r="D275" s="25" t="s">
        <v>21</v>
      </c>
      <c r="E275" s="26" t="s">
        <v>19</v>
      </c>
      <c r="F275" s="27">
        <v>0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3"/>
      <c r="O275" s="3"/>
    </row>
    <row r="276" spans="1:15" x14ac:dyDescent="0.35">
      <c r="A276" s="3"/>
      <c r="B276" s="48"/>
      <c r="C276" s="48"/>
      <c r="D276" s="25" t="s">
        <v>21</v>
      </c>
      <c r="E276" s="26" t="s">
        <v>20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3"/>
      <c r="O276" s="3"/>
    </row>
    <row r="277" spans="1:15" x14ac:dyDescent="0.35">
      <c r="A277" s="3"/>
      <c r="B277" s="34">
        <v>12</v>
      </c>
      <c r="C277" s="34" t="s">
        <v>42</v>
      </c>
      <c r="D277" s="15" t="s">
        <v>13</v>
      </c>
      <c r="E277" s="35" t="s">
        <v>14</v>
      </c>
      <c r="F277" s="18">
        <v>2</v>
      </c>
      <c r="G277" s="36">
        <v>1</v>
      </c>
      <c r="H277" s="36">
        <v>4</v>
      </c>
      <c r="I277" s="36">
        <v>0</v>
      </c>
      <c r="J277" s="36">
        <v>124614071</v>
      </c>
      <c r="K277" s="36">
        <v>9791704</v>
      </c>
      <c r="L277" s="36">
        <v>452200693</v>
      </c>
      <c r="M277" s="36">
        <v>0</v>
      </c>
      <c r="N277" s="3"/>
      <c r="O277" s="3"/>
    </row>
    <row r="278" spans="1:15" x14ac:dyDescent="0.35">
      <c r="A278" s="3"/>
      <c r="B278" s="37"/>
      <c r="C278" s="37"/>
      <c r="D278" s="16" t="s">
        <v>13</v>
      </c>
      <c r="E278" s="35" t="s">
        <v>15</v>
      </c>
      <c r="F278" s="18">
        <v>10</v>
      </c>
      <c r="G278" s="18">
        <v>3</v>
      </c>
      <c r="H278" s="36">
        <v>2</v>
      </c>
      <c r="I278" s="36">
        <v>0</v>
      </c>
      <c r="J278" s="36">
        <v>124880357</v>
      </c>
      <c r="K278" s="36">
        <v>38027740</v>
      </c>
      <c r="L278" s="36">
        <v>9540643</v>
      </c>
      <c r="M278" s="36">
        <v>0</v>
      </c>
      <c r="N278" s="3"/>
      <c r="O278" s="3"/>
    </row>
    <row r="279" spans="1:15" x14ac:dyDescent="0.35">
      <c r="A279" s="3"/>
      <c r="B279" s="37"/>
      <c r="C279" s="37"/>
      <c r="D279" s="16" t="s">
        <v>13</v>
      </c>
      <c r="E279" s="35" t="s">
        <v>16</v>
      </c>
      <c r="F279" s="18">
        <v>16</v>
      </c>
      <c r="G279" s="36">
        <v>0</v>
      </c>
      <c r="H279" s="36">
        <v>2</v>
      </c>
      <c r="I279" s="36">
        <v>0</v>
      </c>
      <c r="J279" s="36">
        <v>55581001</v>
      </c>
      <c r="K279" s="36">
        <v>0</v>
      </c>
      <c r="L279" s="36">
        <v>8687448</v>
      </c>
      <c r="M279" s="36">
        <v>0</v>
      </c>
      <c r="N279" s="3"/>
      <c r="O279" s="3"/>
    </row>
    <row r="280" spans="1:15" x14ac:dyDescent="0.35">
      <c r="A280" s="3"/>
      <c r="B280" s="37"/>
      <c r="C280" s="37"/>
      <c r="D280" s="16" t="s">
        <v>13</v>
      </c>
      <c r="E280" s="35" t="s">
        <v>17</v>
      </c>
      <c r="F280" s="36">
        <v>116</v>
      </c>
      <c r="G280" s="36">
        <v>5</v>
      </c>
      <c r="H280" s="36">
        <v>0</v>
      </c>
      <c r="I280" s="36">
        <v>0</v>
      </c>
      <c r="J280" s="36">
        <v>151340932</v>
      </c>
      <c r="K280" s="36">
        <v>8943216</v>
      </c>
      <c r="L280" s="36">
        <v>0</v>
      </c>
      <c r="M280" s="36">
        <v>0</v>
      </c>
      <c r="N280" s="3"/>
      <c r="O280" s="3"/>
    </row>
    <row r="281" spans="1:15" x14ac:dyDescent="0.35">
      <c r="A281" s="3"/>
      <c r="B281" s="37"/>
      <c r="C281" s="37"/>
      <c r="D281" s="16" t="s">
        <v>13</v>
      </c>
      <c r="E281" s="38" t="s">
        <v>18</v>
      </c>
      <c r="F281" s="39">
        <f>SUM(F277:F280)</f>
        <v>144</v>
      </c>
      <c r="G281" s="39">
        <f>SUM(G277:G280)</f>
        <v>9</v>
      </c>
      <c r="H281" s="40">
        <f>SUM(H277:H280)</f>
        <v>8</v>
      </c>
      <c r="I281" s="40">
        <f>SUM(I277:I280)</f>
        <v>0</v>
      </c>
      <c r="J281" s="41">
        <f t="shared" ref="J281:M281" si="43">SUM(J277:J280)</f>
        <v>456416361</v>
      </c>
      <c r="K281" s="41">
        <f t="shared" si="43"/>
        <v>56762660</v>
      </c>
      <c r="L281" s="41">
        <f t="shared" si="43"/>
        <v>470428784</v>
      </c>
      <c r="M281" s="41">
        <f t="shared" si="43"/>
        <v>0</v>
      </c>
      <c r="N281" s="3"/>
      <c r="O281" s="3"/>
    </row>
    <row r="282" spans="1:15" x14ac:dyDescent="0.35">
      <c r="A282" s="3"/>
      <c r="B282" s="37"/>
      <c r="C282" s="37"/>
      <c r="D282" s="16" t="s">
        <v>13</v>
      </c>
      <c r="E282" s="35" t="s">
        <v>19</v>
      </c>
      <c r="F282" s="42">
        <v>56</v>
      </c>
      <c r="G282" s="42">
        <v>7</v>
      </c>
      <c r="H282" s="40">
        <v>0</v>
      </c>
      <c r="I282" s="40">
        <v>0</v>
      </c>
      <c r="J282" s="43" t="s">
        <v>24</v>
      </c>
      <c r="K282" s="43" t="s">
        <v>24</v>
      </c>
      <c r="L282" s="44" t="s">
        <v>24</v>
      </c>
      <c r="M282" s="44" t="s">
        <v>24</v>
      </c>
      <c r="N282" s="3"/>
      <c r="O282" s="3"/>
    </row>
    <row r="283" spans="1:15" x14ac:dyDescent="0.35">
      <c r="A283" s="3"/>
      <c r="B283" s="45"/>
      <c r="C283" s="45"/>
      <c r="D283" s="16" t="s">
        <v>13</v>
      </c>
      <c r="E283" s="35" t="s">
        <v>20</v>
      </c>
      <c r="F283" s="36">
        <v>94</v>
      </c>
      <c r="G283" s="36">
        <v>4</v>
      </c>
      <c r="H283" s="36">
        <v>0</v>
      </c>
      <c r="I283" s="36">
        <v>0</v>
      </c>
      <c r="J283" s="36" t="s">
        <v>24</v>
      </c>
      <c r="K283" s="36" t="s">
        <v>24</v>
      </c>
      <c r="L283" s="44" t="s">
        <v>24</v>
      </c>
      <c r="M283" s="44" t="s">
        <v>24</v>
      </c>
      <c r="N283" s="3"/>
      <c r="O283" s="3"/>
    </row>
    <row r="284" spans="1:15" x14ac:dyDescent="0.35">
      <c r="A284" s="3"/>
      <c r="B284" s="46">
        <v>12</v>
      </c>
      <c r="C284" s="46" t="s">
        <v>42</v>
      </c>
      <c r="D284" s="25" t="s">
        <v>21</v>
      </c>
      <c r="E284" s="26" t="s">
        <v>14</v>
      </c>
      <c r="F284" s="27">
        <v>0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3"/>
      <c r="O284" s="3"/>
    </row>
    <row r="285" spans="1:15" x14ac:dyDescent="0.35">
      <c r="A285" s="3"/>
      <c r="B285" s="47"/>
      <c r="C285" s="47"/>
      <c r="D285" s="25" t="s">
        <v>21</v>
      </c>
      <c r="E285" s="26" t="s">
        <v>15</v>
      </c>
      <c r="F285" s="27">
        <v>0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3"/>
      <c r="O285" s="3"/>
    </row>
    <row r="286" spans="1:15" x14ac:dyDescent="0.35">
      <c r="A286" s="3"/>
      <c r="B286" s="47"/>
      <c r="C286" s="47"/>
      <c r="D286" s="25" t="s">
        <v>21</v>
      </c>
      <c r="E286" s="26" t="s">
        <v>16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3"/>
      <c r="O286" s="3"/>
    </row>
    <row r="287" spans="1:15" x14ac:dyDescent="0.35">
      <c r="A287" s="3"/>
      <c r="B287" s="47"/>
      <c r="C287" s="47"/>
      <c r="D287" s="25" t="s">
        <v>21</v>
      </c>
      <c r="E287" s="26" t="s">
        <v>17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3"/>
      <c r="O287" s="3"/>
    </row>
    <row r="288" spans="1:15" x14ac:dyDescent="0.35">
      <c r="A288" s="3"/>
      <c r="B288" s="47"/>
      <c r="C288" s="47"/>
      <c r="D288" s="25" t="s">
        <v>21</v>
      </c>
      <c r="E288" s="28" t="s">
        <v>18</v>
      </c>
      <c r="F288" s="29">
        <f t="shared" ref="F288:M288" si="44">SUM(F284:F287)</f>
        <v>0</v>
      </c>
      <c r="G288" s="29">
        <f t="shared" si="44"/>
        <v>0</v>
      </c>
      <c r="H288" s="29">
        <f t="shared" si="44"/>
        <v>0</v>
      </c>
      <c r="I288" s="29">
        <f t="shared" si="44"/>
        <v>0</v>
      </c>
      <c r="J288" s="29">
        <f t="shared" si="44"/>
        <v>0</v>
      </c>
      <c r="K288" s="29">
        <f t="shared" si="44"/>
        <v>0</v>
      </c>
      <c r="L288" s="29">
        <f t="shared" si="44"/>
        <v>0</v>
      </c>
      <c r="M288" s="29">
        <f t="shared" si="44"/>
        <v>0</v>
      </c>
      <c r="N288" s="3"/>
      <c r="O288" s="3"/>
    </row>
    <row r="289" spans="1:15" x14ac:dyDescent="0.35">
      <c r="A289" s="3"/>
      <c r="B289" s="47"/>
      <c r="C289" s="47"/>
      <c r="D289" s="25" t="s">
        <v>21</v>
      </c>
      <c r="E289" s="26" t="s">
        <v>19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3"/>
      <c r="O289" s="3"/>
    </row>
    <row r="290" spans="1:15" x14ac:dyDescent="0.35">
      <c r="A290" s="3"/>
      <c r="B290" s="48"/>
      <c r="C290" s="48"/>
      <c r="D290" s="25" t="s">
        <v>21</v>
      </c>
      <c r="E290" s="26" t="s">
        <v>20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3"/>
      <c r="O290" s="3"/>
    </row>
    <row r="291" spans="1:15" x14ac:dyDescent="0.35">
      <c r="A291" s="3"/>
      <c r="B291" s="34">
        <v>13</v>
      </c>
      <c r="C291" s="34" t="s">
        <v>43</v>
      </c>
      <c r="D291" s="15" t="s">
        <v>13</v>
      </c>
      <c r="E291" s="35" t="s">
        <v>14</v>
      </c>
      <c r="F291" s="18">
        <v>5</v>
      </c>
      <c r="G291" s="36">
        <v>0</v>
      </c>
      <c r="H291" s="36">
        <v>0</v>
      </c>
      <c r="I291" s="36">
        <v>0</v>
      </c>
      <c r="J291" s="36">
        <v>177666096</v>
      </c>
      <c r="K291" s="36">
        <v>0</v>
      </c>
      <c r="L291" s="36">
        <v>0</v>
      </c>
      <c r="M291" s="36">
        <v>0</v>
      </c>
      <c r="N291" s="3"/>
      <c r="O291" s="3"/>
    </row>
    <row r="292" spans="1:15" x14ac:dyDescent="0.35">
      <c r="A292" s="3"/>
      <c r="B292" s="37"/>
      <c r="C292" s="37"/>
      <c r="D292" s="16" t="s">
        <v>13</v>
      </c>
      <c r="E292" s="35" t="s">
        <v>15</v>
      </c>
      <c r="F292" s="18">
        <v>3</v>
      </c>
      <c r="G292" s="18">
        <v>0</v>
      </c>
      <c r="H292" s="36">
        <v>0</v>
      </c>
      <c r="I292" s="36">
        <v>0</v>
      </c>
      <c r="J292" s="36">
        <v>58818395</v>
      </c>
      <c r="K292" s="36">
        <v>0</v>
      </c>
      <c r="L292" s="36">
        <v>0</v>
      </c>
      <c r="M292" s="36">
        <v>0</v>
      </c>
      <c r="N292" s="3"/>
      <c r="O292" s="3"/>
    </row>
    <row r="293" spans="1:15" x14ac:dyDescent="0.35">
      <c r="A293" s="3"/>
      <c r="B293" s="37"/>
      <c r="C293" s="37"/>
      <c r="D293" s="16" t="s">
        <v>13</v>
      </c>
      <c r="E293" s="35" t="s">
        <v>16</v>
      </c>
      <c r="F293" s="18">
        <v>3</v>
      </c>
      <c r="G293" s="36">
        <v>1</v>
      </c>
      <c r="H293" s="36">
        <v>0</v>
      </c>
      <c r="I293" s="36">
        <v>0</v>
      </c>
      <c r="J293" s="36">
        <v>65688972</v>
      </c>
      <c r="K293" s="36">
        <v>14984522</v>
      </c>
      <c r="L293" s="36">
        <v>0</v>
      </c>
      <c r="M293" s="36">
        <v>0</v>
      </c>
      <c r="N293" s="3"/>
      <c r="O293" s="3"/>
    </row>
    <row r="294" spans="1:15" x14ac:dyDescent="0.35">
      <c r="A294" s="3"/>
      <c r="B294" s="37"/>
      <c r="C294" s="37"/>
      <c r="D294" s="16" t="s">
        <v>13</v>
      </c>
      <c r="E294" s="35" t="s">
        <v>17</v>
      </c>
      <c r="F294" s="36">
        <v>14</v>
      </c>
      <c r="G294" s="36">
        <v>1</v>
      </c>
      <c r="H294" s="36">
        <v>0</v>
      </c>
      <c r="I294" s="36">
        <v>0</v>
      </c>
      <c r="J294" s="36">
        <v>63656127</v>
      </c>
      <c r="K294" s="36">
        <v>7821197</v>
      </c>
      <c r="L294" s="36">
        <v>0</v>
      </c>
      <c r="M294" s="36">
        <v>0</v>
      </c>
      <c r="N294" s="3"/>
      <c r="O294" s="3"/>
    </row>
    <row r="295" spans="1:15" x14ac:dyDescent="0.35">
      <c r="A295" s="3"/>
      <c r="B295" s="37"/>
      <c r="C295" s="37"/>
      <c r="D295" s="16" t="s">
        <v>13</v>
      </c>
      <c r="E295" s="38" t="s">
        <v>18</v>
      </c>
      <c r="F295" s="39">
        <f>SUM(F291:F294)</f>
        <v>25</v>
      </c>
      <c r="G295" s="39">
        <f>SUM(G291:G294)</f>
        <v>2</v>
      </c>
      <c r="H295" s="40">
        <f>SUM(H291:H294)</f>
        <v>0</v>
      </c>
      <c r="I295" s="40">
        <f>SUM(I291:I294)</f>
        <v>0</v>
      </c>
      <c r="J295" s="41">
        <f t="shared" ref="J295:M295" si="45">SUM(J291:J294)</f>
        <v>365829590</v>
      </c>
      <c r="K295" s="41">
        <f t="shared" si="45"/>
        <v>22805719</v>
      </c>
      <c r="L295" s="41">
        <f t="shared" si="45"/>
        <v>0</v>
      </c>
      <c r="M295" s="41">
        <f t="shared" si="45"/>
        <v>0</v>
      </c>
      <c r="N295" s="3"/>
      <c r="O295" s="3"/>
    </row>
    <row r="296" spans="1:15" x14ac:dyDescent="0.35">
      <c r="A296" s="3"/>
      <c r="B296" s="37"/>
      <c r="C296" s="37"/>
      <c r="D296" s="16" t="s">
        <v>13</v>
      </c>
      <c r="E296" s="35" t="s">
        <v>19</v>
      </c>
      <c r="F296" s="42">
        <v>25</v>
      </c>
      <c r="G296" s="42">
        <v>2</v>
      </c>
      <c r="H296" s="40">
        <v>0</v>
      </c>
      <c r="I296" s="40">
        <v>0</v>
      </c>
      <c r="J296" s="43">
        <f>+J295</f>
        <v>365829590</v>
      </c>
      <c r="K296" s="43">
        <v>0</v>
      </c>
      <c r="L296" s="44">
        <v>0</v>
      </c>
      <c r="M296" s="44">
        <v>0</v>
      </c>
      <c r="N296" s="3"/>
      <c r="O296" s="3"/>
    </row>
    <row r="297" spans="1:15" x14ac:dyDescent="0.35">
      <c r="A297" s="3"/>
      <c r="B297" s="45"/>
      <c r="C297" s="45"/>
      <c r="D297" s="16" t="s">
        <v>13</v>
      </c>
      <c r="E297" s="35" t="s">
        <v>20</v>
      </c>
      <c r="F297" s="36">
        <v>0</v>
      </c>
      <c r="G297" s="36">
        <v>0</v>
      </c>
      <c r="H297" s="36">
        <v>0</v>
      </c>
      <c r="I297" s="36">
        <v>0</v>
      </c>
      <c r="J297" s="36">
        <v>0</v>
      </c>
      <c r="K297" s="36">
        <v>0</v>
      </c>
      <c r="L297" s="44">
        <v>0</v>
      </c>
      <c r="M297" s="44">
        <v>0</v>
      </c>
      <c r="N297" s="3"/>
      <c r="O297" s="3"/>
    </row>
    <row r="298" spans="1:15" x14ac:dyDescent="0.35">
      <c r="A298" s="3"/>
      <c r="B298" s="46">
        <v>13</v>
      </c>
      <c r="C298" s="46" t="s">
        <v>43</v>
      </c>
      <c r="D298" s="25" t="s">
        <v>21</v>
      </c>
      <c r="E298" s="26" t="s">
        <v>14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3"/>
      <c r="O298" s="3"/>
    </row>
    <row r="299" spans="1:15" x14ac:dyDescent="0.35">
      <c r="A299" s="3"/>
      <c r="B299" s="47"/>
      <c r="C299" s="47"/>
      <c r="D299" s="25" t="s">
        <v>21</v>
      </c>
      <c r="E299" s="26" t="s">
        <v>15</v>
      </c>
      <c r="F299" s="27">
        <v>0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3"/>
      <c r="O299" s="3"/>
    </row>
    <row r="300" spans="1:15" x14ac:dyDescent="0.35">
      <c r="A300" s="3"/>
      <c r="B300" s="47"/>
      <c r="C300" s="47"/>
      <c r="D300" s="25" t="s">
        <v>21</v>
      </c>
      <c r="E300" s="26" t="s">
        <v>16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3"/>
      <c r="O300" s="3"/>
    </row>
    <row r="301" spans="1:15" x14ac:dyDescent="0.35">
      <c r="A301" s="3"/>
      <c r="B301" s="47"/>
      <c r="C301" s="47"/>
      <c r="D301" s="25" t="s">
        <v>21</v>
      </c>
      <c r="E301" s="26" t="s">
        <v>17</v>
      </c>
      <c r="F301" s="27">
        <v>13</v>
      </c>
      <c r="G301" s="27">
        <v>0</v>
      </c>
      <c r="H301" s="27">
        <v>0</v>
      </c>
      <c r="I301" s="27">
        <v>0</v>
      </c>
      <c r="J301" s="27">
        <v>143854065</v>
      </c>
      <c r="K301" s="27">
        <v>0</v>
      </c>
      <c r="L301" s="27">
        <v>0</v>
      </c>
      <c r="M301" s="27">
        <v>0</v>
      </c>
      <c r="N301" s="3"/>
      <c r="O301" s="3"/>
    </row>
    <row r="302" spans="1:15" x14ac:dyDescent="0.35">
      <c r="A302" s="3"/>
      <c r="B302" s="47"/>
      <c r="C302" s="47"/>
      <c r="D302" s="25" t="s">
        <v>21</v>
      </c>
      <c r="E302" s="28" t="s">
        <v>18</v>
      </c>
      <c r="F302" s="29">
        <f t="shared" ref="F302:M302" si="46">SUM(F298:F301)</f>
        <v>13</v>
      </c>
      <c r="G302" s="29">
        <f t="shared" si="46"/>
        <v>0</v>
      </c>
      <c r="H302" s="29">
        <f t="shared" si="46"/>
        <v>0</v>
      </c>
      <c r="I302" s="29">
        <f t="shared" si="46"/>
        <v>0</v>
      </c>
      <c r="J302" s="29">
        <f t="shared" si="46"/>
        <v>143854065</v>
      </c>
      <c r="K302" s="29">
        <f t="shared" si="46"/>
        <v>0</v>
      </c>
      <c r="L302" s="29">
        <f t="shared" si="46"/>
        <v>0</v>
      </c>
      <c r="M302" s="29">
        <f t="shared" si="46"/>
        <v>0</v>
      </c>
      <c r="N302" s="3"/>
      <c r="O302" s="3"/>
    </row>
    <row r="303" spans="1:15" x14ac:dyDescent="0.35">
      <c r="A303" s="3"/>
      <c r="B303" s="47"/>
      <c r="C303" s="47"/>
      <c r="D303" s="25" t="s">
        <v>21</v>
      </c>
      <c r="E303" s="26" t="s">
        <v>19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3"/>
      <c r="O303" s="3"/>
    </row>
    <row r="304" spans="1:15" x14ac:dyDescent="0.35">
      <c r="A304" s="3"/>
      <c r="B304" s="48"/>
      <c r="C304" s="48"/>
      <c r="D304" s="25" t="s">
        <v>21</v>
      </c>
      <c r="E304" s="26" t="s">
        <v>20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3"/>
      <c r="O304" s="3"/>
    </row>
    <row r="305" spans="1:15" x14ac:dyDescent="0.35">
      <c r="A305" s="3"/>
      <c r="B305" s="34">
        <v>14</v>
      </c>
      <c r="C305" s="34" t="s">
        <v>44</v>
      </c>
      <c r="D305" s="15" t="s">
        <v>13</v>
      </c>
      <c r="E305" s="35" t="s">
        <v>14</v>
      </c>
      <c r="F305" s="18">
        <v>1</v>
      </c>
      <c r="G305" s="36">
        <v>0</v>
      </c>
      <c r="H305" s="36">
        <v>0</v>
      </c>
      <c r="I305" s="36">
        <v>0</v>
      </c>
      <c r="J305" s="36">
        <v>11644282</v>
      </c>
      <c r="K305" s="36">
        <v>0</v>
      </c>
      <c r="L305" s="36">
        <v>0</v>
      </c>
      <c r="M305" s="36">
        <v>0</v>
      </c>
      <c r="N305" s="3"/>
      <c r="O305" s="3"/>
    </row>
    <row r="306" spans="1:15" x14ac:dyDescent="0.35">
      <c r="A306" s="3"/>
      <c r="B306" s="37"/>
      <c r="C306" s="37"/>
      <c r="D306" s="16" t="s">
        <v>13</v>
      </c>
      <c r="E306" s="35" t="s">
        <v>15</v>
      </c>
      <c r="F306" s="18">
        <v>6</v>
      </c>
      <c r="G306" s="18">
        <v>4</v>
      </c>
      <c r="H306" s="36">
        <v>1</v>
      </c>
      <c r="I306" s="36">
        <v>0</v>
      </c>
      <c r="J306" s="36">
        <v>54425557</v>
      </c>
      <c r="K306" s="36">
        <v>34883668</v>
      </c>
      <c r="L306" s="36">
        <v>6418090</v>
      </c>
      <c r="M306" s="36">
        <v>0</v>
      </c>
      <c r="N306" s="3"/>
      <c r="O306" s="3"/>
    </row>
    <row r="307" spans="1:15" x14ac:dyDescent="0.35">
      <c r="A307" s="3"/>
      <c r="B307" s="37"/>
      <c r="C307" s="37"/>
      <c r="D307" s="16" t="s">
        <v>13</v>
      </c>
      <c r="E307" s="35" t="s">
        <v>16</v>
      </c>
      <c r="F307" s="18">
        <v>25</v>
      </c>
      <c r="G307" s="36">
        <v>3</v>
      </c>
      <c r="H307" s="36">
        <v>0</v>
      </c>
      <c r="I307" s="36">
        <v>0</v>
      </c>
      <c r="J307" s="36">
        <v>96456129</v>
      </c>
      <c r="K307" s="36">
        <v>15360526</v>
      </c>
      <c r="L307" s="36">
        <v>0</v>
      </c>
      <c r="M307" s="36">
        <v>0</v>
      </c>
      <c r="N307" s="3"/>
      <c r="O307" s="3"/>
    </row>
    <row r="308" spans="1:15" x14ac:dyDescent="0.35">
      <c r="A308" s="3"/>
      <c r="B308" s="37"/>
      <c r="C308" s="37"/>
      <c r="D308" s="16" t="s">
        <v>13</v>
      </c>
      <c r="E308" s="35" t="s">
        <v>17</v>
      </c>
      <c r="F308" s="36">
        <v>53</v>
      </c>
      <c r="G308" s="36">
        <v>1</v>
      </c>
      <c r="H308" s="36">
        <v>0</v>
      </c>
      <c r="I308" s="36">
        <v>0</v>
      </c>
      <c r="J308" s="36">
        <v>119038045</v>
      </c>
      <c r="K308" s="36">
        <v>2370867</v>
      </c>
      <c r="L308" s="36">
        <v>0</v>
      </c>
      <c r="M308" s="36">
        <v>0</v>
      </c>
      <c r="N308" s="3"/>
      <c r="O308" s="3"/>
    </row>
    <row r="309" spans="1:15" x14ac:dyDescent="0.35">
      <c r="A309" s="3"/>
      <c r="B309" s="37"/>
      <c r="C309" s="37"/>
      <c r="D309" s="16" t="s">
        <v>13</v>
      </c>
      <c r="E309" s="38" t="s">
        <v>18</v>
      </c>
      <c r="F309" s="39">
        <f>SUM(F305:F308)</f>
        <v>85</v>
      </c>
      <c r="G309" s="39">
        <f t="shared" ref="G309:I309" si="47">SUM(G305:G308)</f>
        <v>8</v>
      </c>
      <c r="H309" s="40">
        <f t="shared" si="47"/>
        <v>1</v>
      </c>
      <c r="I309" s="40">
        <f t="shared" si="47"/>
        <v>0</v>
      </c>
      <c r="J309" s="41">
        <f>SUM(J305:J308)</f>
        <v>281564013</v>
      </c>
      <c r="K309" s="41">
        <f t="shared" ref="K309:M309" si="48">SUM(K305:K308)</f>
        <v>52615061</v>
      </c>
      <c r="L309" s="41">
        <f t="shared" si="48"/>
        <v>6418090</v>
      </c>
      <c r="M309" s="41">
        <f t="shared" si="48"/>
        <v>0</v>
      </c>
      <c r="N309" s="3"/>
      <c r="O309" s="3"/>
    </row>
    <row r="310" spans="1:15" x14ac:dyDescent="0.35">
      <c r="A310" s="3"/>
      <c r="B310" s="37"/>
      <c r="C310" s="37"/>
      <c r="D310" s="16" t="s">
        <v>13</v>
      </c>
      <c r="E310" s="35" t="s">
        <v>19</v>
      </c>
      <c r="F310" s="42">
        <v>85</v>
      </c>
      <c r="G310" s="42">
        <v>8</v>
      </c>
      <c r="H310" s="40">
        <v>1</v>
      </c>
      <c r="I310" s="40">
        <v>0</v>
      </c>
      <c r="J310" s="43">
        <v>281564013</v>
      </c>
      <c r="K310" s="43">
        <v>52615061</v>
      </c>
      <c r="L310" s="44">
        <v>6418090</v>
      </c>
      <c r="M310" s="44">
        <v>0</v>
      </c>
      <c r="N310" s="3"/>
      <c r="O310" s="3"/>
    </row>
    <row r="311" spans="1:15" x14ac:dyDescent="0.35">
      <c r="A311" s="3"/>
      <c r="B311" s="45"/>
      <c r="C311" s="45"/>
      <c r="D311" s="16" t="s">
        <v>13</v>
      </c>
      <c r="E311" s="35" t="s">
        <v>20</v>
      </c>
      <c r="F311" s="36">
        <v>0</v>
      </c>
      <c r="G311" s="36">
        <v>0</v>
      </c>
      <c r="H311" s="36">
        <v>0</v>
      </c>
      <c r="I311" s="36">
        <v>0</v>
      </c>
      <c r="J311" s="36">
        <v>0</v>
      </c>
      <c r="K311" s="36">
        <v>0</v>
      </c>
      <c r="L311" s="44">
        <v>0</v>
      </c>
      <c r="M311" s="44">
        <v>0</v>
      </c>
      <c r="N311" s="3"/>
      <c r="O311" s="3"/>
    </row>
    <row r="312" spans="1:15" x14ac:dyDescent="0.35">
      <c r="A312" s="3"/>
      <c r="B312" s="46">
        <v>14</v>
      </c>
      <c r="C312" s="46" t="s">
        <v>44</v>
      </c>
      <c r="D312" s="25" t="s">
        <v>21</v>
      </c>
      <c r="E312" s="26" t="s">
        <v>14</v>
      </c>
      <c r="F312" s="27">
        <v>0</v>
      </c>
      <c r="G312" s="27">
        <v>0</v>
      </c>
      <c r="H312" s="27">
        <v>0</v>
      </c>
      <c r="I312" s="27">
        <v>0</v>
      </c>
      <c r="J312" s="27">
        <v>16880263</v>
      </c>
      <c r="K312" s="27">
        <v>0</v>
      </c>
      <c r="L312" s="27">
        <v>0</v>
      </c>
      <c r="M312" s="27">
        <v>0</v>
      </c>
      <c r="N312" s="3"/>
      <c r="O312" s="3"/>
    </row>
    <row r="313" spans="1:15" x14ac:dyDescent="0.35">
      <c r="A313" s="3"/>
      <c r="B313" s="47"/>
      <c r="C313" s="47"/>
      <c r="D313" s="25" t="s">
        <v>21</v>
      </c>
      <c r="E313" s="26" t="s">
        <v>15</v>
      </c>
      <c r="F313" s="27">
        <v>0</v>
      </c>
      <c r="G313" s="27">
        <v>0</v>
      </c>
      <c r="H313" s="27">
        <v>0</v>
      </c>
      <c r="I313" s="27">
        <v>0</v>
      </c>
      <c r="J313" s="27">
        <v>9844736</v>
      </c>
      <c r="K313" s="27">
        <v>0</v>
      </c>
      <c r="L313" s="27">
        <v>0</v>
      </c>
      <c r="M313" s="27">
        <v>0</v>
      </c>
      <c r="N313" s="3"/>
      <c r="O313" s="3"/>
    </row>
    <row r="314" spans="1:15" x14ac:dyDescent="0.35">
      <c r="A314" s="3"/>
      <c r="B314" s="47"/>
      <c r="C314" s="47"/>
      <c r="D314" s="25" t="s">
        <v>21</v>
      </c>
      <c r="E314" s="26" t="s">
        <v>16</v>
      </c>
      <c r="F314" s="27">
        <v>0</v>
      </c>
      <c r="G314" s="27">
        <v>0</v>
      </c>
      <c r="H314" s="27">
        <v>0</v>
      </c>
      <c r="I314" s="27">
        <v>0</v>
      </c>
      <c r="J314" s="27">
        <v>8844546</v>
      </c>
      <c r="K314" s="27">
        <v>0</v>
      </c>
      <c r="L314" s="27">
        <v>0</v>
      </c>
      <c r="M314" s="27">
        <v>0</v>
      </c>
      <c r="N314" s="3"/>
      <c r="O314" s="3"/>
    </row>
    <row r="315" spans="1:15" x14ac:dyDescent="0.35">
      <c r="A315" s="3"/>
      <c r="B315" s="47"/>
      <c r="C315" s="47"/>
      <c r="D315" s="25" t="s">
        <v>21</v>
      </c>
      <c r="E315" s="26" t="s">
        <v>17</v>
      </c>
      <c r="F315" s="27">
        <v>0</v>
      </c>
      <c r="G315" s="27">
        <v>0</v>
      </c>
      <c r="H315" s="27">
        <v>0</v>
      </c>
      <c r="I315" s="27">
        <v>0</v>
      </c>
      <c r="J315" s="27">
        <v>56845550</v>
      </c>
      <c r="K315" s="27">
        <v>0</v>
      </c>
      <c r="L315" s="27">
        <v>0</v>
      </c>
      <c r="M315" s="27">
        <v>0</v>
      </c>
      <c r="N315" s="3"/>
      <c r="O315" s="3"/>
    </row>
    <row r="316" spans="1:15" x14ac:dyDescent="0.35">
      <c r="A316" s="3"/>
      <c r="B316" s="47"/>
      <c r="C316" s="47"/>
      <c r="D316" s="25" t="s">
        <v>21</v>
      </c>
      <c r="E316" s="28" t="s">
        <v>18</v>
      </c>
      <c r="F316" s="29">
        <f t="shared" ref="F316:M316" si="49">SUM(F312:F315)</f>
        <v>0</v>
      </c>
      <c r="G316" s="29">
        <f t="shared" si="49"/>
        <v>0</v>
      </c>
      <c r="H316" s="29">
        <f t="shared" si="49"/>
        <v>0</v>
      </c>
      <c r="I316" s="29">
        <f t="shared" si="49"/>
        <v>0</v>
      </c>
      <c r="J316" s="29">
        <f t="shared" si="49"/>
        <v>92415095</v>
      </c>
      <c r="K316" s="29">
        <f t="shared" si="49"/>
        <v>0</v>
      </c>
      <c r="L316" s="29">
        <f t="shared" si="49"/>
        <v>0</v>
      </c>
      <c r="M316" s="29">
        <f t="shared" si="49"/>
        <v>0</v>
      </c>
      <c r="N316" s="3"/>
      <c r="O316" s="3"/>
    </row>
    <row r="317" spans="1:15" x14ac:dyDescent="0.35">
      <c r="A317" s="3"/>
      <c r="B317" s="47"/>
      <c r="C317" s="47"/>
      <c r="D317" s="25" t="s">
        <v>21</v>
      </c>
      <c r="E317" s="26" t="s">
        <v>19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3"/>
      <c r="O317" s="3"/>
    </row>
    <row r="318" spans="1:15" x14ac:dyDescent="0.35">
      <c r="A318" s="3"/>
      <c r="B318" s="48"/>
      <c r="C318" s="48"/>
      <c r="D318" s="25" t="s">
        <v>21</v>
      </c>
      <c r="E318" s="26" t="s">
        <v>20</v>
      </c>
      <c r="F318" s="27">
        <v>0</v>
      </c>
      <c r="G318" s="27">
        <v>0</v>
      </c>
      <c r="H318" s="27">
        <v>0</v>
      </c>
      <c r="I318" s="27">
        <v>0</v>
      </c>
      <c r="J318" s="27">
        <v>0</v>
      </c>
      <c r="K318" s="27">
        <v>0</v>
      </c>
      <c r="L318" s="27">
        <v>0</v>
      </c>
      <c r="M318" s="27">
        <v>0</v>
      </c>
      <c r="N318" s="3"/>
      <c r="O318" s="3"/>
    </row>
    <row r="319" spans="1:15" x14ac:dyDescent="0.35">
      <c r="A319" s="3"/>
      <c r="B319" s="34">
        <v>15</v>
      </c>
      <c r="C319" s="34" t="s">
        <v>45</v>
      </c>
      <c r="D319" s="15" t="s">
        <v>13</v>
      </c>
      <c r="E319" s="35" t="s">
        <v>14</v>
      </c>
      <c r="F319" s="18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  <c r="M319" s="36">
        <v>0</v>
      </c>
      <c r="N319" s="3"/>
      <c r="O319" s="3"/>
    </row>
    <row r="320" spans="1:15" x14ac:dyDescent="0.35">
      <c r="A320" s="3"/>
      <c r="B320" s="37"/>
      <c r="C320" s="37"/>
      <c r="D320" s="16" t="s">
        <v>13</v>
      </c>
      <c r="E320" s="35" t="s">
        <v>15</v>
      </c>
      <c r="F320" s="18">
        <v>0</v>
      </c>
      <c r="G320" s="18">
        <v>0</v>
      </c>
      <c r="H320" s="36">
        <v>0</v>
      </c>
      <c r="I320" s="36">
        <v>0</v>
      </c>
      <c r="J320" s="36">
        <v>0</v>
      </c>
      <c r="K320" s="36">
        <v>0</v>
      </c>
      <c r="L320" s="36">
        <v>0</v>
      </c>
      <c r="M320" s="36">
        <v>0</v>
      </c>
      <c r="N320" s="3"/>
      <c r="O320" s="3"/>
    </row>
    <row r="321" spans="1:15" x14ac:dyDescent="0.35">
      <c r="A321" s="3"/>
      <c r="B321" s="37"/>
      <c r="C321" s="37"/>
      <c r="D321" s="16" t="s">
        <v>13</v>
      </c>
      <c r="E321" s="35" t="s">
        <v>16</v>
      </c>
      <c r="F321" s="18">
        <v>0</v>
      </c>
      <c r="G321" s="36">
        <v>0</v>
      </c>
      <c r="H321" s="36">
        <v>0</v>
      </c>
      <c r="I321" s="36">
        <v>0</v>
      </c>
      <c r="J321" s="36">
        <v>0</v>
      </c>
      <c r="K321" s="36">
        <v>0</v>
      </c>
      <c r="L321" s="36">
        <v>0</v>
      </c>
      <c r="M321" s="36">
        <v>0</v>
      </c>
      <c r="N321" s="3"/>
      <c r="O321" s="3"/>
    </row>
    <row r="322" spans="1:15" x14ac:dyDescent="0.35">
      <c r="A322" s="3"/>
      <c r="B322" s="37"/>
      <c r="C322" s="37"/>
      <c r="D322" s="16" t="s">
        <v>13</v>
      </c>
      <c r="E322" s="35" t="s">
        <v>17</v>
      </c>
      <c r="F322" s="36">
        <v>0</v>
      </c>
      <c r="G322" s="36">
        <v>0</v>
      </c>
      <c r="H322" s="36">
        <v>0</v>
      </c>
      <c r="I322" s="36">
        <v>0</v>
      </c>
      <c r="J322" s="36">
        <v>0</v>
      </c>
      <c r="K322" s="36">
        <v>0</v>
      </c>
      <c r="L322" s="36">
        <v>0</v>
      </c>
      <c r="M322" s="36">
        <v>0</v>
      </c>
      <c r="N322" s="3"/>
      <c r="O322" s="3"/>
    </row>
    <row r="323" spans="1:15" x14ac:dyDescent="0.35">
      <c r="A323" s="3"/>
      <c r="B323" s="37"/>
      <c r="C323" s="37"/>
      <c r="D323" s="16" t="s">
        <v>13</v>
      </c>
      <c r="E323" s="38" t="s">
        <v>18</v>
      </c>
      <c r="F323" s="39">
        <f>SUM(F319:F322)</f>
        <v>0</v>
      </c>
      <c r="G323" s="39">
        <f>SUM(G319:G322)</f>
        <v>0</v>
      </c>
      <c r="H323" s="40">
        <f>SUM(H319:H322)</f>
        <v>0</v>
      </c>
      <c r="I323" s="40">
        <f>SUM(I319:I322)</f>
        <v>0</v>
      </c>
      <c r="J323" s="41">
        <f t="shared" ref="J323:M323" si="50">SUM(J319:J322)</f>
        <v>0</v>
      </c>
      <c r="K323" s="41">
        <f t="shared" si="50"/>
        <v>0</v>
      </c>
      <c r="L323" s="41">
        <f t="shared" si="50"/>
        <v>0</v>
      </c>
      <c r="M323" s="41">
        <f t="shared" si="50"/>
        <v>0</v>
      </c>
      <c r="N323" s="3"/>
      <c r="O323" s="3"/>
    </row>
    <row r="324" spans="1:15" x14ac:dyDescent="0.35">
      <c r="A324" s="3"/>
      <c r="B324" s="37"/>
      <c r="C324" s="37"/>
      <c r="D324" s="16" t="s">
        <v>13</v>
      </c>
      <c r="E324" s="35" t="s">
        <v>19</v>
      </c>
      <c r="F324" s="42">
        <v>0</v>
      </c>
      <c r="G324" s="42">
        <v>0</v>
      </c>
      <c r="H324" s="40">
        <v>0</v>
      </c>
      <c r="I324" s="40">
        <v>0</v>
      </c>
      <c r="J324" s="43">
        <v>0</v>
      </c>
      <c r="K324" s="43">
        <v>0</v>
      </c>
      <c r="L324" s="44">
        <v>0</v>
      </c>
      <c r="M324" s="44">
        <v>0</v>
      </c>
      <c r="N324" s="3"/>
      <c r="O324" s="3"/>
    </row>
    <row r="325" spans="1:15" x14ac:dyDescent="0.35">
      <c r="A325" s="3"/>
      <c r="B325" s="45"/>
      <c r="C325" s="45"/>
      <c r="D325" s="16" t="s">
        <v>13</v>
      </c>
      <c r="E325" s="35" t="s">
        <v>20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44">
        <v>0</v>
      </c>
      <c r="M325" s="44">
        <v>0</v>
      </c>
      <c r="N325" s="3"/>
      <c r="O325" s="3"/>
    </row>
    <row r="326" spans="1:15" x14ac:dyDescent="0.35">
      <c r="A326" s="3"/>
      <c r="B326" s="46">
        <v>15</v>
      </c>
      <c r="C326" s="46" t="s">
        <v>45</v>
      </c>
      <c r="D326" s="25" t="s">
        <v>21</v>
      </c>
      <c r="E326" s="26" t="s">
        <v>14</v>
      </c>
      <c r="F326" s="27">
        <v>0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3"/>
      <c r="O326" s="3"/>
    </row>
    <row r="327" spans="1:15" x14ac:dyDescent="0.35">
      <c r="A327" s="3"/>
      <c r="B327" s="47"/>
      <c r="C327" s="47"/>
      <c r="D327" s="25" t="s">
        <v>21</v>
      </c>
      <c r="E327" s="26" t="s">
        <v>15</v>
      </c>
      <c r="F327" s="27">
        <v>0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3"/>
      <c r="O327" s="3"/>
    </row>
    <row r="328" spans="1:15" x14ac:dyDescent="0.35">
      <c r="A328" s="3"/>
      <c r="B328" s="47"/>
      <c r="C328" s="47"/>
      <c r="D328" s="25" t="s">
        <v>21</v>
      </c>
      <c r="E328" s="26" t="s">
        <v>16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3"/>
      <c r="O328" s="3"/>
    </row>
    <row r="329" spans="1:15" x14ac:dyDescent="0.35">
      <c r="A329" s="3"/>
      <c r="B329" s="47"/>
      <c r="C329" s="47"/>
      <c r="D329" s="25" t="s">
        <v>21</v>
      </c>
      <c r="E329" s="26" t="s">
        <v>17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3"/>
      <c r="O329" s="3"/>
    </row>
    <row r="330" spans="1:15" x14ac:dyDescent="0.35">
      <c r="A330" s="3"/>
      <c r="B330" s="47"/>
      <c r="C330" s="47"/>
      <c r="D330" s="25" t="s">
        <v>21</v>
      </c>
      <c r="E330" s="28" t="s">
        <v>18</v>
      </c>
      <c r="F330" s="29">
        <f t="shared" ref="F330:M330" si="51">SUM(F326:F329)</f>
        <v>0</v>
      </c>
      <c r="G330" s="29">
        <f t="shared" si="51"/>
        <v>0</v>
      </c>
      <c r="H330" s="29">
        <f t="shared" si="51"/>
        <v>0</v>
      </c>
      <c r="I330" s="29">
        <f t="shared" si="51"/>
        <v>0</v>
      </c>
      <c r="J330" s="29">
        <f t="shared" si="51"/>
        <v>0</v>
      </c>
      <c r="K330" s="29">
        <f t="shared" si="51"/>
        <v>0</v>
      </c>
      <c r="L330" s="29">
        <f t="shared" si="51"/>
        <v>0</v>
      </c>
      <c r="M330" s="29">
        <f t="shared" si="51"/>
        <v>0</v>
      </c>
      <c r="N330" s="3"/>
      <c r="O330" s="3"/>
    </row>
    <row r="331" spans="1:15" x14ac:dyDescent="0.35">
      <c r="A331" s="3"/>
      <c r="B331" s="47"/>
      <c r="C331" s="47"/>
      <c r="D331" s="25" t="s">
        <v>21</v>
      </c>
      <c r="E331" s="26" t="s">
        <v>19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3"/>
      <c r="O331" s="3"/>
    </row>
    <row r="332" spans="1:15" x14ac:dyDescent="0.35">
      <c r="A332" s="3"/>
      <c r="B332" s="48"/>
      <c r="C332" s="48"/>
      <c r="D332" s="25" t="s">
        <v>21</v>
      </c>
      <c r="E332" s="26" t="s">
        <v>20</v>
      </c>
      <c r="F332" s="27">
        <v>0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3"/>
      <c r="O332" s="3"/>
    </row>
    <row r="333" spans="1:15" x14ac:dyDescent="0.35">
      <c r="A333" s="3"/>
      <c r="B333" s="34">
        <v>16</v>
      </c>
      <c r="C333" s="34" t="s">
        <v>46</v>
      </c>
      <c r="D333" s="15" t="s">
        <v>13</v>
      </c>
      <c r="E333" s="35" t="s">
        <v>14</v>
      </c>
      <c r="F333" s="18">
        <v>1</v>
      </c>
      <c r="G333" s="36">
        <v>0</v>
      </c>
      <c r="H333" s="36">
        <v>0</v>
      </c>
      <c r="I333" s="36">
        <v>0</v>
      </c>
      <c r="J333" s="36">
        <v>32098183</v>
      </c>
      <c r="K333" s="36">
        <v>0</v>
      </c>
      <c r="L333" s="36">
        <v>0</v>
      </c>
      <c r="M333" s="36">
        <v>0</v>
      </c>
      <c r="N333" s="3"/>
      <c r="O333" s="3"/>
    </row>
    <row r="334" spans="1:15" x14ac:dyDescent="0.35">
      <c r="A334" s="3"/>
      <c r="B334" s="37"/>
      <c r="C334" s="37"/>
      <c r="D334" s="16" t="s">
        <v>13</v>
      </c>
      <c r="E334" s="35" t="s">
        <v>15</v>
      </c>
      <c r="F334" s="18">
        <v>4</v>
      </c>
      <c r="G334" s="18">
        <v>2</v>
      </c>
      <c r="H334" s="36">
        <v>0</v>
      </c>
      <c r="I334" s="36">
        <v>0</v>
      </c>
      <c r="J334" s="36">
        <v>44662973</v>
      </c>
      <c r="K334" s="36">
        <v>27880837</v>
      </c>
      <c r="L334" s="36">
        <v>0</v>
      </c>
      <c r="M334" s="36">
        <v>0</v>
      </c>
      <c r="N334" s="3"/>
      <c r="O334" s="3"/>
    </row>
    <row r="335" spans="1:15" x14ac:dyDescent="0.35">
      <c r="A335" s="3"/>
      <c r="B335" s="37"/>
      <c r="C335" s="37"/>
      <c r="D335" s="16" t="s">
        <v>13</v>
      </c>
      <c r="E335" s="35" t="s">
        <v>16</v>
      </c>
      <c r="F335" s="18">
        <v>1</v>
      </c>
      <c r="G335" s="36">
        <v>0</v>
      </c>
      <c r="H335" s="36">
        <v>0</v>
      </c>
      <c r="I335" s="36">
        <v>0</v>
      </c>
      <c r="J335" s="36">
        <v>6654325</v>
      </c>
      <c r="K335" s="36">
        <v>0</v>
      </c>
      <c r="L335" s="36">
        <v>0</v>
      </c>
      <c r="M335" s="36">
        <v>0</v>
      </c>
      <c r="N335" s="3"/>
      <c r="O335" s="3"/>
    </row>
    <row r="336" spans="1:15" x14ac:dyDescent="0.35">
      <c r="A336" s="3"/>
      <c r="B336" s="37"/>
      <c r="C336" s="37"/>
      <c r="D336" s="16" t="s">
        <v>13</v>
      </c>
      <c r="E336" s="35" t="s">
        <v>17</v>
      </c>
      <c r="F336" s="36">
        <v>4</v>
      </c>
      <c r="G336" s="36">
        <v>0</v>
      </c>
      <c r="H336" s="36">
        <f t="shared" ref="H336" si="52">SUM(H325:H335)</f>
        <v>0</v>
      </c>
      <c r="I336" s="36">
        <v>0</v>
      </c>
      <c r="J336" s="36">
        <v>14970476</v>
      </c>
      <c r="K336" s="36">
        <v>0</v>
      </c>
      <c r="L336" s="36">
        <v>0</v>
      </c>
      <c r="M336" s="36">
        <v>0</v>
      </c>
      <c r="N336" s="3"/>
      <c r="O336" s="3"/>
    </row>
    <row r="337" spans="1:15" x14ac:dyDescent="0.35">
      <c r="A337" s="3"/>
      <c r="B337" s="37"/>
      <c r="C337" s="37"/>
      <c r="D337" s="16" t="s">
        <v>13</v>
      </c>
      <c r="E337" s="38" t="s">
        <v>18</v>
      </c>
      <c r="F337" s="39">
        <f>SUM(F333:F336)</f>
        <v>10</v>
      </c>
      <c r="G337" s="39">
        <f>SUM(G333:G336)</f>
        <v>2</v>
      </c>
      <c r="H337" s="40">
        <f>SUM(H333:H336)</f>
        <v>0</v>
      </c>
      <c r="I337" s="40">
        <f>SUM(I333:I336)</f>
        <v>0</v>
      </c>
      <c r="J337" s="41">
        <f t="shared" ref="J337:M337" si="53">SUM(J333:J336)</f>
        <v>98385957</v>
      </c>
      <c r="K337" s="41">
        <f t="shared" si="53"/>
        <v>27880837</v>
      </c>
      <c r="L337" s="41">
        <f t="shared" si="53"/>
        <v>0</v>
      </c>
      <c r="M337" s="41">
        <f t="shared" si="53"/>
        <v>0</v>
      </c>
      <c r="N337" s="3"/>
      <c r="O337" s="3"/>
    </row>
    <row r="338" spans="1:15" x14ac:dyDescent="0.35">
      <c r="A338" s="3"/>
      <c r="B338" s="37"/>
      <c r="C338" s="37"/>
      <c r="D338" s="16" t="s">
        <v>13</v>
      </c>
      <c r="E338" s="35" t="s">
        <v>19</v>
      </c>
      <c r="F338" s="42">
        <f>+F337</f>
        <v>10</v>
      </c>
      <c r="G338" s="42">
        <f t="shared" ref="G338:M338" si="54">+G337</f>
        <v>2</v>
      </c>
      <c r="H338" s="40">
        <f t="shared" si="54"/>
        <v>0</v>
      </c>
      <c r="I338" s="40">
        <f t="shared" si="54"/>
        <v>0</v>
      </c>
      <c r="J338" s="43">
        <f t="shared" si="54"/>
        <v>98385957</v>
      </c>
      <c r="K338" s="43">
        <f t="shared" si="54"/>
        <v>27880837</v>
      </c>
      <c r="L338" s="44">
        <f t="shared" si="54"/>
        <v>0</v>
      </c>
      <c r="M338" s="44">
        <f t="shared" si="54"/>
        <v>0</v>
      </c>
      <c r="N338" s="3"/>
      <c r="O338" s="3"/>
    </row>
    <row r="339" spans="1:15" x14ac:dyDescent="0.35">
      <c r="A339" s="3"/>
      <c r="B339" s="45"/>
      <c r="C339" s="45"/>
      <c r="D339" s="16" t="s">
        <v>13</v>
      </c>
      <c r="E339" s="35" t="s">
        <v>20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44">
        <v>0</v>
      </c>
      <c r="M339" s="44">
        <v>0</v>
      </c>
      <c r="N339" s="3"/>
      <c r="O339" s="3"/>
    </row>
    <row r="340" spans="1:15" x14ac:dyDescent="0.35">
      <c r="A340" s="3"/>
      <c r="B340" s="46">
        <v>16</v>
      </c>
      <c r="C340" s="46" t="s">
        <v>46</v>
      </c>
      <c r="D340" s="25" t="s">
        <v>21</v>
      </c>
      <c r="E340" s="26" t="s">
        <v>14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3"/>
      <c r="O340" s="3"/>
    </row>
    <row r="341" spans="1:15" x14ac:dyDescent="0.35">
      <c r="A341" s="3"/>
      <c r="B341" s="47"/>
      <c r="C341" s="47"/>
      <c r="D341" s="25" t="s">
        <v>21</v>
      </c>
      <c r="E341" s="26" t="s">
        <v>15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3"/>
      <c r="O341" s="3"/>
    </row>
    <row r="342" spans="1:15" x14ac:dyDescent="0.35">
      <c r="A342" s="3"/>
      <c r="B342" s="47"/>
      <c r="C342" s="47"/>
      <c r="D342" s="25" t="s">
        <v>21</v>
      </c>
      <c r="E342" s="26" t="s">
        <v>16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3"/>
      <c r="O342" s="3"/>
    </row>
    <row r="343" spans="1:15" x14ac:dyDescent="0.35">
      <c r="A343" s="3"/>
      <c r="B343" s="47"/>
      <c r="C343" s="47"/>
      <c r="D343" s="25" t="s">
        <v>21</v>
      </c>
      <c r="E343" s="26" t="s">
        <v>17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3"/>
      <c r="O343" s="3"/>
    </row>
    <row r="344" spans="1:15" x14ac:dyDescent="0.35">
      <c r="A344" s="3"/>
      <c r="B344" s="47"/>
      <c r="C344" s="47"/>
      <c r="D344" s="25" t="s">
        <v>21</v>
      </c>
      <c r="E344" s="28" t="s">
        <v>18</v>
      </c>
      <c r="F344" s="29">
        <f t="shared" ref="F344:M344" si="55">SUM(F340:F343)</f>
        <v>0</v>
      </c>
      <c r="G344" s="29">
        <f t="shared" si="55"/>
        <v>0</v>
      </c>
      <c r="H344" s="29">
        <f t="shared" si="55"/>
        <v>0</v>
      </c>
      <c r="I344" s="29">
        <f t="shared" si="55"/>
        <v>0</v>
      </c>
      <c r="J344" s="29">
        <f t="shared" si="55"/>
        <v>0</v>
      </c>
      <c r="K344" s="29">
        <f t="shared" si="55"/>
        <v>0</v>
      </c>
      <c r="L344" s="29">
        <f t="shared" si="55"/>
        <v>0</v>
      </c>
      <c r="M344" s="29">
        <f t="shared" si="55"/>
        <v>0</v>
      </c>
      <c r="N344" s="3"/>
      <c r="O344" s="3"/>
    </row>
    <row r="345" spans="1:15" x14ac:dyDescent="0.35">
      <c r="A345" s="3"/>
      <c r="B345" s="47"/>
      <c r="C345" s="47"/>
      <c r="D345" s="25" t="s">
        <v>21</v>
      </c>
      <c r="E345" s="26" t="s">
        <v>19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3"/>
      <c r="O345" s="3"/>
    </row>
    <row r="346" spans="1:15" x14ac:dyDescent="0.35">
      <c r="A346" s="3"/>
      <c r="B346" s="48"/>
      <c r="C346" s="48"/>
      <c r="D346" s="25" t="s">
        <v>21</v>
      </c>
      <c r="E346" s="26" t="s">
        <v>20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3"/>
      <c r="O346" s="3"/>
    </row>
    <row r="347" spans="1:15" x14ac:dyDescent="0.35">
      <c r="A347" s="3"/>
      <c r="B347" s="34">
        <v>17</v>
      </c>
      <c r="C347" s="34" t="s">
        <v>47</v>
      </c>
      <c r="D347" s="15" t="s">
        <v>13</v>
      </c>
      <c r="E347" s="35" t="s">
        <v>14</v>
      </c>
      <c r="F347" s="18">
        <v>0</v>
      </c>
      <c r="G347" s="36">
        <v>0</v>
      </c>
      <c r="H347" s="36">
        <v>0</v>
      </c>
      <c r="I347" s="36">
        <v>0</v>
      </c>
      <c r="J347" s="36">
        <v>0</v>
      </c>
      <c r="K347" s="36">
        <v>0</v>
      </c>
      <c r="L347" s="36">
        <v>0</v>
      </c>
      <c r="M347" s="36">
        <v>0</v>
      </c>
      <c r="N347" s="3"/>
      <c r="O347" s="3"/>
    </row>
    <row r="348" spans="1:15" x14ac:dyDescent="0.35">
      <c r="A348" s="3"/>
      <c r="B348" s="37"/>
      <c r="C348" s="37"/>
      <c r="D348" s="16" t="s">
        <v>13</v>
      </c>
      <c r="E348" s="35" t="s">
        <v>15</v>
      </c>
      <c r="F348" s="18">
        <v>5</v>
      </c>
      <c r="G348" s="18">
        <v>2</v>
      </c>
      <c r="H348" s="36">
        <v>5</v>
      </c>
      <c r="I348" s="36">
        <v>0</v>
      </c>
      <c r="J348" s="36">
        <v>168780779</v>
      </c>
      <c r="K348" s="36">
        <v>23430002</v>
      </c>
      <c r="L348" s="36">
        <v>84212760</v>
      </c>
      <c r="M348" s="36">
        <v>0</v>
      </c>
      <c r="N348" s="3"/>
      <c r="O348" s="3"/>
    </row>
    <row r="349" spans="1:15" x14ac:dyDescent="0.35">
      <c r="A349" s="3"/>
      <c r="B349" s="37"/>
      <c r="C349" s="37"/>
      <c r="D349" s="16" t="s">
        <v>13</v>
      </c>
      <c r="E349" s="35" t="s">
        <v>16</v>
      </c>
      <c r="F349" s="18">
        <v>192</v>
      </c>
      <c r="G349" s="36">
        <v>8</v>
      </c>
      <c r="H349" s="36">
        <v>3</v>
      </c>
      <c r="I349" s="36">
        <v>0</v>
      </c>
      <c r="J349" s="36">
        <v>710030586</v>
      </c>
      <c r="K349" s="36">
        <v>41817311</v>
      </c>
      <c r="L349" s="36">
        <v>15663545</v>
      </c>
      <c r="M349" s="36">
        <v>0</v>
      </c>
      <c r="N349" s="3"/>
      <c r="O349" s="3"/>
    </row>
    <row r="350" spans="1:15" x14ac:dyDescent="0.35">
      <c r="A350" s="3"/>
      <c r="B350" s="37"/>
      <c r="C350" s="37"/>
      <c r="D350" s="16" t="s">
        <v>13</v>
      </c>
      <c r="E350" s="35" t="s">
        <v>17</v>
      </c>
      <c r="F350" s="36">
        <v>434</v>
      </c>
      <c r="G350" s="36">
        <v>5</v>
      </c>
      <c r="H350" s="36">
        <v>5</v>
      </c>
      <c r="I350" s="36">
        <v>0</v>
      </c>
      <c r="J350" s="36">
        <v>712819310</v>
      </c>
      <c r="K350" s="36">
        <v>10408206</v>
      </c>
      <c r="L350" s="36">
        <v>13700400</v>
      </c>
      <c r="M350" s="36">
        <v>0</v>
      </c>
      <c r="N350" s="3"/>
      <c r="O350" s="3"/>
    </row>
    <row r="351" spans="1:15" x14ac:dyDescent="0.35">
      <c r="A351" s="3"/>
      <c r="B351" s="37"/>
      <c r="C351" s="37"/>
      <c r="D351" s="16" t="s">
        <v>13</v>
      </c>
      <c r="E351" s="38" t="s">
        <v>18</v>
      </c>
      <c r="F351" s="39">
        <f>SUM(F347:F350)</f>
        <v>631</v>
      </c>
      <c r="G351" s="39">
        <f>SUM(G347:G350)</f>
        <v>15</v>
      </c>
      <c r="H351" s="40">
        <f>SUM(H347:H350)</f>
        <v>13</v>
      </c>
      <c r="I351" s="40">
        <f>SUM(I347:I350)</f>
        <v>0</v>
      </c>
      <c r="J351" s="41">
        <f t="shared" ref="J351:M351" si="56">SUM(J347:J350)</f>
        <v>1591630675</v>
      </c>
      <c r="K351" s="41">
        <f t="shared" si="56"/>
        <v>75655519</v>
      </c>
      <c r="L351" s="41">
        <f t="shared" si="56"/>
        <v>113576705</v>
      </c>
      <c r="M351" s="41">
        <f t="shared" si="56"/>
        <v>0</v>
      </c>
      <c r="N351" s="3"/>
      <c r="O351" s="3"/>
    </row>
    <row r="352" spans="1:15" x14ac:dyDescent="0.35">
      <c r="A352" s="3"/>
      <c r="B352" s="37"/>
      <c r="C352" s="37"/>
      <c r="D352" s="16" t="s">
        <v>13</v>
      </c>
      <c r="E352" s="35" t="s">
        <v>19</v>
      </c>
      <c r="F352" s="42">
        <v>397</v>
      </c>
      <c r="G352" s="42">
        <v>12</v>
      </c>
      <c r="H352" s="40">
        <v>13</v>
      </c>
      <c r="I352" s="40">
        <v>0</v>
      </c>
      <c r="J352" s="43" t="s">
        <v>24</v>
      </c>
      <c r="K352" s="43" t="s">
        <v>24</v>
      </c>
      <c r="L352" s="44" t="s">
        <v>24</v>
      </c>
      <c r="M352" s="44">
        <v>0</v>
      </c>
      <c r="N352" s="3"/>
      <c r="O352" s="3"/>
    </row>
    <row r="353" spans="1:15" x14ac:dyDescent="0.35">
      <c r="A353" s="3"/>
      <c r="B353" s="45"/>
      <c r="C353" s="45"/>
      <c r="D353" s="16" t="s">
        <v>13</v>
      </c>
      <c r="E353" s="35" t="s">
        <v>20</v>
      </c>
      <c r="F353" s="36">
        <v>234</v>
      </c>
      <c r="G353" s="36">
        <v>3</v>
      </c>
      <c r="H353" s="36">
        <v>0</v>
      </c>
      <c r="I353" s="36">
        <v>0</v>
      </c>
      <c r="J353" s="36" t="s">
        <v>24</v>
      </c>
      <c r="K353" s="36" t="s">
        <v>24</v>
      </c>
      <c r="L353" s="44" t="s">
        <v>24</v>
      </c>
      <c r="M353" s="44">
        <v>0</v>
      </c>
      <c r="N353" s="3"/>
      <c r="O353" s="3"/>
    </row>
    <row r="354" spans="1:15" x14ac:dyDescent="0.35">
      <c r="A354" s="3"/>
      <c r="B354" s="46">
        <v>17</v>
      </c>
      <c r="C354" s="46" t="s">
        <v>47</v>
      </c>
      <c r="D354" s="25" t="s">
        <v>21</v>
      </c>
      <c r="E354" s="26" t="s">
        <v>14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3"/>
      <c r="O354" s="3"/>
    </row>
    <row r="355" spans="1:15" x14ac:dyDescent="0.35">
      <c r="A355" s="3"/>
      <c r="B355" s="47"/>
      <c r="C355" s="47"/>
      <c r="D355" s="25" t="s">
        <v>21</v>
      </c>
      <c r="E355" s="26" t="s">
        <v>15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3"/>
      <c r="O355" s="3"/>
    </row>
    <row r="356" spans="1:15" x14ac:dyDescent="0.35">
      <c r="A356" s="3"/>
      <c r="B356" s="47"/>
      <c r="C356" s="47"/>
      <c r="D356" s="25" t="s">
        <v>21</v>
      </c>
      <c r="E356" s="26" t="s">
        <v>16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3"/>
      <c r="O356" s="3"/>
    </row>
    <row r="357" spans="1:15" x14ac:dyDescent="0.35">
      <c r="A357" s="3"/>
      <c r="B357" s="47"/>
      <c r="C357" s="47"/>
      <c r="D357" s="25" t="s">
        <v>21</v>
      </c>
      <c r="E357" s="26" t="s">
        <v>17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3"/>
      <c r="O357" s="3"/>
    </row>
    <row r="358" spans="1:15" x14ac:dyDescent="0.35">
      <c r="A358" s="3"/>
      <c r="B358" s="47"/>
      <c r="C358" s="47"/>
      <c r="D358" s="25" t="s">
        <v>21</v>
      </c>
      <c r="E358" s="28" t="s">
        <v>18</v>
      </c>
      <c r="F358" s="29">
        <f t="shared" ref="F358:M358" si="57">SUM(F354:F357)</f>
        <v>0</v>
      </c>
      <c r="G358" s="29">
        <f t="shared" si="57"/>
        <v>0</v>
      </c>
      <c r="H358" s="29">
        <f t="shared" si="57"/>
        <v>0</v>
      </c>
      <c r="I358" s="29">
        <f t="shared" si="57"/>
        <v>0</v>
      </c>
      <c r="J358" s="29">
        <f t="shared" si="57"/>
        <v>0</v>
      </c>
      <c r="K358" s="29">
        <f t="shared" si="57"/>
        <v>0</v>
      </c>
      <c r="L358" s="29">
        <f t="shared" si="57"/>
        <v>0</v>
      </c>
      <c r="M358" s="29">
        <f t="shared" si="57"/>
        <v>0</v>
      </c>
      <c r="N358" s="3"/>
      <c r="O358" s="3"/>
    </row>
    <row r="359" spans="1:15" x14ac:dyDescent="0.35">
      <c r="A359" s="3"/>
      <c r="B359" s="47"/>
      <c r="C359" s="47"/>
      <c r="D359" s="25" t="s">
        <v>21</v>
      </c>
      <c r="E359" s="26" t="s">
        <v>19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3"/>
      <c r="O359" s="3"/>
    </row>
    <row r="360" spans="1:15" x14ac:dyDescent="0.35">
      <c r="A360" s="3"/>
      <c r="B360" s="48"/>
      <c r="C360" s="48"/>
      <c r="D360" s="25" t="s">
        <v>21</v>
      </c>
      <c r="E360" s="26" t="s">
        <v>20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3"/>
      <c r="O360" s="3"/>
    </row>
    <row r="361" spans="1:15" x14ac:dyDescent="0.35">
      <c r="A361" s="3"/>
      <c r="B361" s="34">
        <v>18</v>
      </c>
      <c r="C361" s="34" t="s">
        <v>48</v>
      </c>
      <c r="D361" s="15" t="s">
        <v>13</v>
      </c>
      <c r="E361" s="35" t="s">
        <v>14</v>
      </c>
      <c r="F361" s="18">
        <v>2</v>
      </c>
      <c r="G361" s="36">
        <v>0</v>
      </c>
      <c r="H361" s="36">
        <v>11</v>
      </c>
      <c r="I361" s="36">
        <v>0</v>
      </c>
      <c r="J361" s="36">
        <v>37917980</v>
      </c>
      <c r="K361" s="36">
        <v>0</v>
      </c>
      <c r="L361" s="36">
        <v>112641278</v>
      </c>
      <c r="M361" s="36">
        <v>0</v>
      </c>
      <c r="N361" s="3"/>
      <c r="O361" s="3"/>
    </row>
    <row r="362" spans="1:15" x14ac:dyDescent="0.35">
      <c r="A362" s="3"/>
      <c r="B362" s="37"/>
      <c r="C362" s="37"/>
      <c r="D362" s="16" t="s">
        <v>13</v>
      </c>
      <c r="E362" s="35" t="s">
        <v>15</v>
      </c>
      <c r="F362" s="18">
        <v>6</v>
      </c>
      <c r="G362" s="18">
        <v>4</v>
      </c>
      <c r="H362" s="36">
        <v>0</v>
      </c>
      <c r="I362" s="36">
        <v>0</v>
      </c>
      <c r="J362" s="36">
        <v>118413591</v>
      </c>
      <c r="K362" s="36">
        <v>29528890</v>
      </c>
      <c r="L362" s="36">
        <v>0</v>
      </c>
      <c r="M362" s="36">
        <v>0</v>
      </c>
      <c r="N362" s="3"/>
      <c r="O362" s="3"/>
    </row>
    <row r="363" spans="1:15" x14ac:dyDescent="0.35">
      <c r="A363" s="3"/>
      <c r="B363" s="37"/>
      <c r="C363" s="37"/>
      <c r="D363" s="16" t="s">
        <v>13</v>
      </c>
      <c r="E363" s="35" t="s">
        <v>16</v>
      </c>
      <c r="F363" s="18">
        <v>39</v>
      </c>
      <c r="G363" s="36">
        <v>10</v>
      </c>
      <c r="H363" s="36">
        <v>0</v>
      </c>
      <c r="I363" s="36">
        <v>0</v>
      </c>
      <c r="J363" s="36">
        <v>180498487</v>
      </c>
      <c r="K363" s="36">
        <v>50510860</v>
      </c>
      <c r="L363" s="36">
        <v>0</v>
      </c>
      <c r="M363" s="36">
        <v>0</v>
      </c>
      <c r="N363" s="3"/>
      <c r="O363" s="3"/>
    </row>
    <row r="364" spans="1:15" x14ac:dyDescent="0.35">
      <c r="A364" s="3"/>
      <c r="B364" s="37"/>
      <c r="C364" s="37"/>
      <c r="D364" s="16" t="s">
        <v>13</v>
      </c>
      <c r="E364" s="35" t="s">
        <v>17</v>
      </c>
      <c r="F364" s="36">
        <v>344</v>
      </c>
      <c r="G364" s="36">
        <v>16</v>
      </c>
      <c r="H364" s="36">
        <v>0</v>
      </c>
      <c r="I364" s="36">
        <v>0</v>
      </c>
      <c r="J364" s="36">
        <v>657100388</v>
      </c>
      <c r="K364" s="36">
        <v>30763723</v>
      </c>
      <c r="L364" s="36">
        <v>0</v>
      </c>
      <c r="M364" s="36">
        <v>0</v>
      </c>
      <c r="N364" s="3"/>
      <c r="O364" s="3"/>
    </row>
    <row r="365" spans="1:15" x14ac:dyDescent="0.35">
      <c r="A365" s="3"/>
      <c r="B365" s="37"/>
      <c r="C365" s="37"/>
      <c r="D365" s="16" t="s">
        <v>13</v>
      </c>
      <c r="E365" s="38" t="s">
        <v>18</v>
      </c>
      <c r="F365" s="39">
        <f>SUM(F361:F364)</f>
        <v>391</v>
      </c>
      <c r="G365" s="39">
        <f>SUM(G361:G364)</f>
        <v>30</v>
      </c>
      <c r="H365" s="40">
        <f>SUM(H361:H364)</f>
        <v>11</v>
      </c>
      <c r="I365" s="40">
        <f>SUM(I361:I364)</f>
        <v>0</v>
      </c>
      <c r="J365" s="41">
        <f t="shared" ref="J365:M366" si="58">SUM(J361:J364)</f>
        <v>993930446</v>
      </c>
      <c r="K365" s="41">
        <f t="shared" si="58"/>
        <v>110803473</v>
      </c>
      <c r="L365" s="41">
        <f t="shared" si="58"/>
        <v>112641278</v>
      </c>
      <c r="M365" s="41">
        <f t="shared" si="58"/>
        <v>0</v>
      </c>
      <c r="N365" s="3"/>
      <c r="O365" s="3"/>
    </row>
    <row r="366" spans="1:15" x14ac:dyDescent="0.35">
      <c r="A366" s="3"/>
      <c r="B366" s="37"/>
      <c r="C366" s="37"/>
      <c r="D366" s="16" t="s">
        <v>13</v>
      </c>
      <c r="E366" s="35" t="s">
        <v>19</v>
      </c>
      <c r="F366" s="42">
        <v>391</v>
      </c>
      <c r="G366" s="42">
        <v>30</v>
      </c>
      <c r="H366" s="40">
        <v>11</v>
      </c>
      <c r="I366" s="40">
        <v>0</v>
      </c>
      <c r="J366" s="43">
        <v>993930446</v>
      </c>
      <c r="K366" s="43">
        <v>110803473</v>
      </c>
      <c r="L366" s="44">
        <v>112641278</v>
      </c>
      <c r="M366" s="44">
        <f t="shared" si="58"/>
        <v>0</v>
      </c>
      <c r="N366" s="3"/>
      <c r="O366" s="3"/>
    </row>
    <row r="367" spans="1:15" x14ac:dyDescent="0.35">
      <c r="A367" s="3"/>
      <c r="B367" s="45"/>
      <c r="C367" s="45"/>
      <c r="D367" s="16" t="s">
        <v>13</v>
      </c>
      <c r="E367" s="35" t="s">
        <v>20</v>
      </c>
      <c r="F367" s="36">
        <v>0</v>
      </c>
      <c r="G367" s="36">
        <v>0</v>
      </c>
      <c r="H367" s="36">
        <v>0</v>
      </c>
      <c r="I367" s="36">
        <v>0</v>
      </c>
      <c r="J367" s="36">
        <v>0</v>
      </c>
      <c r="K367" s="36">
        <v>0</v>
      </c>
      <c r="L367" s="44">
        <v>0</v>
      </c>
      <c r="M367" s="44">
        <v>0</v>
      </c>
      <c r="N367" s="3"/>
      <c r="O367" s="3"/>
    </row>
    <row r="368" spans="1:15" x14ac:dyDescent="0.35">
      <c r="A368" s="3"/>
      <c r="B368" s="46">
        <v>18</v>
      </c>
      <c r="C368" s="46" t="s">
        <v>48</v>
      </c>
      <c r="D368" s="25" t="s">
        <v>21</v>
      </c>
      <c r="E368" s="26" t="s">
        <v>14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3"/>
      <c r="O368" s="3"/>
    </row>
    <row r="369" spans="1:15" x14ac:dyDescent="0.35">
      <c r="A369" s="3"/>
      <c r="B369" s="47"/>
      <c r="C369" s="47"/>
      <c r="D369" s="25" t="s">
        <v>21</v>
      </c>
      <c r="E369" s="26" t="s">
        <v>15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3"/>
      <c r="O369" s="3"/>
    </row>
    <row r="370" spans="1:15" x14ac:dyDescent="0.35">
      <c r="A370" s="3"/>
      <c r="B370" s="47"/>
      <c r="C370" s="47"/>
      <c r="D370" s="25" t="s">
        <v>21</v>
      </c>
      <c r="E370" s="26" t="s">
        <v>16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3"/>
      <c r="O370" s="3"/>
    </row>
    <row r="371" spans="1:15" x14ac:dyDescent="0.35">
      <c r="A371" s="3"/>
      <c r="B371" s="47"/>
      <c r="C371" s="47"/>
      <c r="D371" s="25" t="s">
        <v>21</v>
      </c>
      <c r="E371" s="26" t="s">
        <v>17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3"/>
      <c r="O371" s="3"/>
    </row>
    <row r="372" spans="1:15" x14ac:dyDescent="0.35">
      <c r="A372" s="3"/>
      <c r="B372" s="47"/>
      <c r="C372" s="47"/>
      <c r="D372" s="25" t="s">
        <v>21</v>
      </c>
      <c r="E372" s="28" t="s">
        <v>18</v>
      </c>
      <c r="F372" s="29">
        <f t="shared" ref="F372:M372" si="59">SUM(F368:F371)</f>
        <v>0</v>
      </c>
      <c r="G372" s="29">
        <f t="shared" si="59"/>
        <v>0</v>
      </c>
      <c r="H372" s="29">
        <f t="shared" si="59"/>
        <v>0</v>
      </c>
      <c r="I372" s="29">
        <f t="shared" si="59"/>
        <v>0</v>
      </c>
      <c r="J372" s="29">
        <f t="shared" si="59"/>
        <v>0</v>
      </c>
      <c r="K372" s="29">
        <f t="shared" si="59"/>
        <v>0</v>
      </c>
      <c r="L372" s="29">
        <f t="shared" si="59"/>
        <v>0</v>
      </c>
      <c r="M372" s="29">
        <f t="shared" si="59"/>
        <v>0</v>
      </c>
      <c r="N372" s="3"/>
      <c r="O372" s="3"/>
    </row>
    <row r="373" spans="1:15" x14ac:dyDescent="0.35">
      <c r="A373" s="3"/>
      <c r="B373" s="47"/>
      <c r="C373" s="47"/>
      <c r="D373" s="25" t="s">
        <v>21</v>
      </c>
      <c r="E373" s="26" t="s">
        <v>19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3"/>
      <c r="O373" s="3"/>
    </row>
    <row r="374" spans="1:15" x14ac:dyDescent="0.35">
      <c r="A374" s="3"/>
      <c r="B374" s="48"/>
      <c r="C374" s="48"/>
      <c r="D374" s="25" t="s">
        <v>21</v>
      </c>
      <c r="E374" s="26" t="s">
        <v>20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3"/>
      <c r="O374" s="3"/>
    </row>
    <row r="375" spans="1:15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</sheetData>
  <mergeCells count="76">
    <mergeCell ref="B361:B367"/>
    <mergeCell ref="C361:C367"/>
    <mergeCell ref="B368:B374"/>
    <mergeCell ref="C368:C374"/>
    <mergeCell ref="B340:B346"/>
    <mergeCell ref="C340:C346"/>
    <mergeCell ref="B347:B353"/>
    <mergeCell ref="C347:C353"/>
    <mergeCell ref="B354:B360"/>
    <mergeCell ref="C354:C360"/>
    <mergeCell ref="B319:B325"/>
    <mergeCell ref="C319:C325"/>
    <mergeCell ref="B326:B332"/>
    <mergeCell ref="C326:C332"/>
    <mergeCell ref="B333:B339"/>
    <mergeCell ref="C333:C339"/>
    <mergeCell ref="B298:B304"/>
    <mergeCell ref="C298:C304"/>
    <mergeCell ref="B305:B311"/>
    <mergeCell ref="C305:C311"/>
    <mergeCell ref="B312:B318"/>
    <mergeCell ref="C312:C318"/>
    <mergeCell ref="B277:B283"/>
    <mergeCell ref="C277:C283"/>
    <mergeCell ref="B284:B290"/>
    <mergeCell ref="C284:C290"/>
    <mergeCell ref="B291:B297"/>
    <mergeCell ref="C291:C297"/>
    <mergeCell ref="B256:B262"/>
    <mergeCell ref="C256:C262"/>
    <mergeCell ref="B263:B269"/>
    <mergeCell ref="C263:C269"/>
    <mergeCell ref="B270:B276"/>
    <mergeCell ref="C270:C276"/>
    <mergeCell ref="B235:B241"/>
    <mergeCell ref="C235:C241"/>
    <mergeCell ref="B242:B248"/>
    <mergeCell ref="C242:C248"/>
    <mergeCell ref="B249:B255"/>
    <mergeCell ref="C249:C255"/>
    <mergeCell ref="B214:B220"/>
    <mergeCell ref="C214:C220"/>
    <mergeCell ref="B221:B227"/>
    <mergeCell ref="C221:C227"/>
    <mergeCell ref="B228:B234"/>
    <mergeCell ref="C228:C234"/>
    <mergeCell ref="B193:B199"/>
    <mergeCell ref="C193:C199"/>
    <mergeCell ref="B200:B206"/>
    <mergeCell ref="C200:C206"/>
    <mergeCell ref="B207:B213"/>
    <mergeCell ref="C207:C213"/>
    <mergeCell ref="B172:B178"/>
    <mergeCell ref="C172:C178"/>
    <mergeCell ref="B179:B185"/>
    <mergeCell ref="C179:C185"/>
    <mergeCell ref="B186:B192"/>
    <mergeCell ref="C186:C192"/>
    <mergeCell ref="B151:B157"/>
    <mergeCell ref="C151:C157"/>
    <mergeCell ref="B158:B164"/>
    <mergeCell ref="C158:C164"/>
    <mergeCell ref="B165:B171"/>
    <mergeCell ref="C165:C171"/>
    <mergeCell ref="B130:B136"/>
    <mergeCell ref="C130:C136"/>
    <mergeCell ref="B137:B143"/>
    <mergeCell ref="C137:C143"/>
    <mergeCell ref="B144:B150"/>
    <mergeCell ref="C144:C150"/>
    <mergeCell ref="F5:G5"/>
    <mergeCell ref="H5:I5"/>
    <mergeCell ref="J5:K5"/>
    <mergeCell ref="L5:M5"/>
    <mergeCell ref="B123:B129"/>
    <mergeCell ref="C123:C129"/>
  </mergeCells>
  <conditionalFormatting sqref="B123:C123">
    <cfRule type="containsText" dxfId="37" priority="38" operator="containsText" text="Not">
      <formula>NOT(ISERROR(SEARCH("Not",B123)))</formula>
    </cfRule>
  </conditionalFormatting>
  <conditionalFormatting sqref="B130:C130">
    <cfRule type="containsText" dxfId="36" priority="36" operator="containsText" text="Not">
      <formula>NOT(ISERROR(SEARCH("Not",B130)))</formula>
    </cfRule>
  </conditionalFormatting>
  <conditionalFormatting sqref="B137:C137">
    <cfRule type="containsText" dxfId="35" priority="35" operator="containsText" text="Not">
      <formula>NOT(ISERROR(SEARCH("Not",B137)))</formula>
    </cfRule>
  </conditionalFormatting>
  <conditionalFormatting sqref="B144:C144">
    <cfRule type="containsText" dxfId="34" priority="34" operator="containsText" text="Not">
      <formula>NOT(ISERROR(SEARCH("Not",B144)))</formula>
    </cfRule>
  </conditionalFormatting>
  <conditionalFormatting sqref="B151:C151">
    <cfRule type="containsText" dxfId="33" priority="33" operator="containsText" text="Not">
      <formula>NOT(ISERROR(SEARCH("Not",B151)))</formula>
    </cfRule>
  </conditionalFormatting>
  <conditionalFormatting sqref="B158:C158">
    <cfRule type="containsText" dxfId="32" priority="32" operator="containsText" text="Not">
      <formula>NOT(ISERROR(SEARCH("Not",B158)))</formula>
    </cfRule>
  </conditionalFormatting>
  <conditionalFormatting sqref="B165:C165">
    <cfRule type="containsText" dxfId="31" priority="31" operator="containsText" text="Not">
      <formula>NOT(ISERROR(SEARCH("Not",B165)))</formula>
    </cfRule>
  </conditionalFormatting>
  <conditionalFormatting sqref="B172:C172">
    <cfRule type="containsText" dxfId="30" priority="30" operator="containsText" text="Not">
      <formula>NOT(ISERROR(SEARCH("Not",B172)))</formula>
    </cfRule>
  </conditionalFormatting>
  <conditionalFormatting sqref="B179:C179">
    <cfRule type="containsText" dxfId="29" priority="29" operator="containsText" text="Not">
      <formula>NOT(ISERROR(SEARCH("Not",B179)))</formula>
    </cfRule>
  </conditionalFormatting>
  <conditionalFormatting sqref="B186:C186">
    <cfRule type="containsText" dxfId="28" priority="28" operator="containsText" text="Not">
      <formula>NOT(ISERROR(SEARCH("Not",B186)))</formula>
    </cfRule>
  </conditionalFormatting>
  <conditionalFormatting sqref="B193:C193">
    <cfRule type="containsText" dxfId="27" priority="27" operator="containsText" text="Not">
      <formula>NOT(ISERROR(SEARCH("Not",B193)))</formula>
    </cfRule>
  </conditionalFormatting>
  <conditionalFormatting sqref="B200:C200">
    <cfRule type="containsText" dxfId="26" priority="26" operator="containsText" text="Not">
      <formula>NOT(ISERROR(SEARCH("Not",B200)))</formula>
    </cfRule>
  </conditionalFormatting>
  <conditionalFormatting sqref="B207:C207">
    <cfRule type="containsText" dxfId="25" priority="25" operator="containsText" text="Not">
      <formula>NOT(ISERROR(SEARCH("Not",B207)))</formula>
    </cfRule>
  </conditionalFormatting>
  <conditionalFormatting sqref="B214:C214">
    <cfRule type="containsText" dxfId="24" priority="24" operator="containsText" text="Not">
      <formula>NOT(ISERROR(SEARCH("Not",B214)))</formula>
    </cfRule>
  </conditionalFormatting>
  <conditionalFormatting sqref="B221:C221">
    <cfRule type="containsText" dxfId="23" priority="23" operator="containsText" text="Not">
      <formula>NOT(ISERROR(SEARCH("Not",B221)))</formula>
    </cfRule>
  </conditionalFormatting>
  <conditionalFormatting sqref="B228:C228">
    <cfRule type="containsText" dxfId="22" priority="22" operator="containsText" text="Not">
      <formula>NOT(ISERROR(SEARCH("Not",B228)))</formula>
    </cfRule>
  </conditionalFormatting>
  <conditionalFormatting sqref="B235:C235">
    <cfRule type="containsText" dxfId="21" priority="21" operator="containsText" text="Not">
      <formula>NOT(ISERROR(SEARCH("Not",B235)))</formula>
    </cfRule>
  </conditionalFormatting>
  <conditionalFormatting sqref="B242:C242">
    <cfRule type="containsText" dxfId="20" priority="20" operator="containsText" text="Not">
      <formula>NOT(ISERROR(SEARCH("Not",B242)))</formula>
    </cfRule>
  </conditionalFormatting>
  <conditionalFormatting sqref="B249:C249">
    <cfRule type="containsText" dxfId="19" priority="19" operator="containsText" text="Not">
      <formula>NOT(ISERROR(SEARCH("Not",B249)))</formula>
    </cfRule>
  </conditionalFormatting>
  <conditionalFormatting sqref="B256:C256">
    <cfRule type="containsText" dxfId="18" priority="18" operator="containsText" text="Not">
      <formula>NOT(ISERROR(SEARCH("Not",B256)))</formula>
    </cfRule>
  </conditionalFormatting>
  <conditionalFormatting sqref="B263:C263">
    <cfRule type="containsText" dxfId="17" priority="17" operator="containsText" text="Not">
      <formula>NOT(ISERROR(SEARCH("Not",B263)))</formula>
    </cfRule>
  </conditionalFormatting>
  <conditionalFormatting sqref="B270:C270">
    <cfRule type="containsText" dxfId="16" priority="16" operator="containsText" text="Not">
      <formula>NOT(ISERROR(SEARCH("Not",B270)))</formula>
    </cfRule>
  </conditionalFormatting>
  <conditionalFormatting sqref="B277:C277">
    <cfRule type="containsText" dxfId="15" priority="15" operator="containsText" text="Not">
      <formula>NOT(ISERROR(SEARCH("Not",B277)))</formula>
    </cfRule>
  </conditionalFormatting>
  <conditionalFormatting sqref="B284:C284">
    <cfRule type="containsText" dxfId="14" priority="14" operator="containsText" text="Not">
      <formula>NOT(ISERROR(SEARCH("Not",B284)))</formula>
    </cfRule>
  </conditionalFormatting>
  <conditionalFormatting sqref="B291:C291">
    <cfRule type="containsText" dxfId="13" priority="13" operator="containsText" text="Not">
      <formula>NOT(ISERROR(SEARCH("Not",B291)))</formula>
    </cfRule>
  </conditionalFormatting>
  <conditionalFormatting sqref="B298:C298">
    <cfRule type="containsText" dxfId="12" priority="12" operator="containsText" text="Not">
      <formula>NOT(ISERROR(SEARCH("Not",B298)))</formula>
    </cfRule>
  </conditionalFormatting>
  <conditionalFormatting sqref="B305:C305">
    <cfRule type="containsText" dxfId="11" priority="11" operator="containsText" text="Not">
      <formula>NOT(ISERROR(SEARCH("Not",B305)))</formula>
    </cfRule>
  </conditionalFormatting>
  <conditionalFormatting sqref="B312:C312">
    <cfRule type="containsText" dxfId="10" priority="10" operator="containsText" text="Not">
      <formula>NOT(ISERROR(SEARCH("Not",B312)))</formula>
    </cfRule>
  </conditionalFormatting>
  <conditionalFormatting sqref="B319:C319">
    <cfRule type="containsText" dxfId="9" priority="9" operator="containsText" text="Not">
      <formula>NOT(ISERROR(SEARCH("Not",B319)))</formula>
    </cfRule>
  </conditionalFormatting>
  <conditionalFormatting sqref="B326:C326">
    <cfRule type="containsText" dxfId="8" priority="8" operator="containsText" text="Not">
      <formula>NOT(ISERROR(SEARCH("Not",B326)))</formula>
    </cfRule>
  </conditionalFormatting>
  <conditionalFormatting sqref="B333:C333">
    <cfRule type="containsText" dxfId="7" priority="7" operator="containsText" text="Not">
      <formula>NOT(ISERROR(SEARCH("Not",B333)))</formula>
    </cfRule>
  </conditionalFormatting>
  <conditionalFormatting sqref="B340:C340">
    <cfRule type="containsText" dxfId="6" priority="6" operator="containsText" text="Not">
      <formula>NOT(ISERROR(SEARCH("Not",B340)))</formula>
    </cfRule>
  </conditionalFormatting>
  <conditionalFormatting sqref="B347:C347">
    <cfRule type="containsText" dxfId="5" priority="5" operator="containsText" text="Not">
      <formula>NOT(ISERROR(SEARCH("Not",B347)))</formula>
    </cfRule>
  </conditionalFormatting>
  <conditionalFormatting sqref="B354:C354">
    <cfRule type="containsText" dxfId="4" priority="4" operator="containsText" text="Not">
      <formula>NOT(ISERROR(SEARCH("Not",B354)))</formula>
    </cfRule>
  </conditionalFormatting>
  <conditionalFormatting sqref="B361:C361">
    <cfRule type="containsText" dxfId="3" priority="3" operator="containsText" text="Not">
      <formula>NOT(ISERROR(SEARCH("Not",B361)))</formula>
    </cfRule>
  </conditionalFormatting>
  <conditionalFormatting sqref="B368:C368">
    <cfRule type="containsText" dxfId="2" priority="2" operator="containsText" text="Not">
      <formula>NOT(ISERROR(SEARCH("Not",B368)))</formula>
    </cfRule>
  </conditionalFormatting>
  <conditionalFormatting sqref="C7:E119">
    <cfRule type="containsText" dxfId="1" priority="37" operator="containsText" text="Not">
      <formula>NOT(ISERROR(SEARCH("Not",C7)))</formula>
    </cfRule>
  </conditionalFormatting>
  <conditionalFormatting sqref="D123:E374">
    <cfRule type="containsText" dxfId="0" priority="1" operator="containsText" text="Not">
      <formula>NOT(ISERROR(SEARCH("Not",D123)))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Annexe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2026-07-15T09:55:13Z</dcterms:created>
  <dcterms:modified xsi:type="dcterms:W3CDTF">2026-07-15T09:55:33Z</dcterms:modified>
</cp:coreProperties>
</file>