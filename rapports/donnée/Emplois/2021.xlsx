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238D78C8-000F-4580-9FA6-08E0E9F77D1E}" xr6:coauthVersionLast="47" xr6:coauthVersionMax="47" xr10:uidLastSave="{00000000-0000-0000-0000-000000000000}"/>
  <bookViews>
    <workbookView xWindow="-110" yWindow="-110" windowWidth="19420" windowHeight="10660" xr2:uid="{5CD86E44-66EF-4503-BBE8-6A411370CACA}"/>
  </bookViews>
  <sheets>
    <sheet name="Annexe 5" sheetId="1" r:id="rId1"/>
  </sheets>
  <externalReferences>
    <externalReference r:id="rId2"/>
  </externalReferences>
  <definedNames>
    <definedName name="Compadjust">[1]Lists!$A$71:$A$79</definedName>
    <definedName name="FinalDiff">[1]Lists!$A$94:$A$105</definedName>
    <definedName name="Govadjust">[1]Lists!$A$83:$A$90</definedName>
    <definedName name="Taxes">[1]Lists!$A$7:$A$49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4" i="1" l="1"/>
  <c r="K414" i="1"/>
  <c r="J414" i="1"/>
  <c r="I414" i="1"/>
  <c r="H414" i="1"/>
  <c r="G414" i="1"/>
  <c r="F414" i="1"/>
  <c r="E414" i="1"/>
  <c r="L407" i="1"/>
  <c r="K407" i="1"/>
  <c r="J407" i="1"/>
  <c r="I407" i="1"/>
  <c r="H407" i="1"/>
  <c r="G407" i="1"/>
  <c r="F407" i="1"/>
  <c r="E407" i="1"/>
  <c r="L400" i="1"/>
  <c r="K400" i="1"/>
  <c r="J400" i="1"/>
  <c r="I400" i="1"/>
  <c r="H400" i="1"/>
  <c r="G400" i="1"/>
  <c r="F400" i="1"/>
  <c r="E400" i="1"/>
  <c r="L393" i="1"/>
  <c r="K393" i="1"/>
  <c r="J393" i="1"/>
  <c r="I393" i="1"/>
  <c r="H393" i="1"/>
  <c r="G393" i="1"/>
  <c r="F393" i="1"/>
  <c r="E393" i="1"/>
  <c r="L386" i="1"/>
  <c r="K386" i="1"/>
  <c r="J386" i="1"/>
  <c r="I386" i="1"/>
  <c r="H386" i="1"/>
  <c r="G386" i="1"/>
  <c r="F386" i="1"/>
  <c r="E386" i="1"/>
  <c r="L380" i="1"/>
  <c r="L381" i="1" s="1"/>
  <c r="L379" i="1"/>
  <c r="K379" i="1"/>
  <c r="J379" i="1"/>
  <c r="I379" i="1"/>
  <c r="H379" i="1"/>
  <c r="G379" i="1"/>
  <c r="F379" i="1"/>
  <c r="E379" i="1"/>
  <c r="L372" i="1"/>
  <c r="K372" i="1"/>
  <c r="J372" i="1"/>
  <c r="I372" i="1"/>
  <c r="H372" i="1"/>
  <c r="G372" i="1"/>
  <c r="F372" i="1"/>
  <c r="E372" i="1"/>
  <c r="L365" i="1"/>
  <c r="K365" i="1"/>
  <c r="J365" i="1"/>
  <c r="I365" i="1"/>
  <c r="H365" i="1"/>
  <c r="G365" i="1"/>
  <c r="F365" i="1"/>
  <c r="E365" i="1"/>
  <c r="L358" i="1"/>
  <c r="K358" i="1"/>
  <c r="J358" i="1"/>
  <c r="I358" i="1"/>
  <c r="I360" i="1" s="1"/>
  <c r="H358" i="1"/>
  <c r="G358" i="1"/>
  <c r="F358" i="1"/>
  <c r="F360" i="1" s="1"/>
  <c r="E358" i="1"/>
  <c r="E360" i="1" s="1"/>
  <c r="L351" i="1"/>
  <c r="L352" i="1" s="1"/>
  <c r="K351" i="1"/>
  <c r="K352" i="1" s="1"/>
  <c r="J351" i="1"/>
  <c r="J352" i="1" s="1"/>
  <c r="I351" i="1"/>
  <c r="I352" i="1" s="1"/>
  <c r="H351" i="1"/>
  <c r="H352" i="1" s="1"/>
  <c r="G351" i="1"/>
  <c r="G352" i="1" s="1"/>
  <c r="F351" i="1"/>
  <c r="F352" i="1" s="1"/>
  <c r="E351" i="1"/>
  <c r="E352" i="1" s="1"/>
  <c r="L344" i="1"/>
  <c r="K344" i="1"/>
  <c r="J344" i="1"/>
  <c r="I344" i="1"/>
  <c r="H344" i="1"/>
  <c r="G344" i="1"/>
  <c r="F344" i="1"/>
  <c r="E344" i="1"/>
  <c r="L337" i="1"/>
  <c r="K337" i="1"/>
  <c r="J337" i="1"/>
  <c r="I337" i="1"/>
  <c r="H337" i="1"/>
  <c r="G337" i="1"/>
  <c r="F337" i="1"/>
  <c r="E337" i="1"/>
  <c r="I332" i="1"/>
  <c r="L330" i="1"/>
  <c r="K330" i="1"/>
  <c r="J330" i="1"/>
  <c r="I330" i="1"/>
  <c r="H330" i="1"/>
  <c r="G330" i="1"/>
  <c r="F330" i="1"/>
  <c r="F332" i="1" s="1"/>
  <c r="E330" i="1"/>
  <c r="E332" i="1" s="1"/>
  <c r="I324" i="1"/>
  <c r="L323" i="1"/>
  <c r="K323" i="1"/>
  <c r="J323" i="1"/>
  <c r="J324" i="1" s="1"/>
  <c r="I323" i="1"/>
  <c r="H323" i="1"/>
  <c r="G323" i="1"/>
  <c r="F323" i="1"/>
  <c r="E323" i="1"/>
  <c r="E324" i="1" s="1"/>
  <c r="L316" i="1"/>
  <c r="K316" i="1"/>
  <c r="J316" i="1"/>
  <c r="I316" i="1"/>
  <c r="I318" i="1" s="1"/>
  <c r="H316" i="1"/>
  <c r="G316" i="1"/>
  <c r="F316" i="1"/>
  <c r="E316" i="1"/>
  <c r="L309" i="1"/>
  <c r="L310" i="1" s="1"/>
  <c r="K309" i="1"/>
  <c r="K310" i="1" s="1"/>
  <c r="J309" i="1"/>
  <c r="J310" i="1" s="1"/>
  <c r="I309" i="1"/>
  <c r="I310" i="1" s="1"/>
  <c r="H309" i="1"/>
  <c r="H310" i="1" s="1"/>
  <c r="G309" i="1"/>
  <c r="G310" i="1" s="1"/>
  <c r="F309" i="1"/>
  <c r="F310" i="1" s="1"/>
  <c r="E309" i="1"/>
  <c r="E310" i="1" s="1"/>
  <c r="L302" i="1"/>
  <c r="K302" i="1"/>
  <c r="J302" i="1"/>
  <c r="I302" i="1"/>
  <c r="H302" i="1"/>
  <c r="G302" i="1"/>
  <c r="F302" i="1"/>
  <c r="E302" i="1"/>
  <c r="K296" i="1"/>
  <c r="I296" i="1"/>
  <c r="L295" i="1"/>
  <c r="L296" i="1" s="1"/>
  <c r="K295" i="1"/>
  <c r="J295" i="1"/>
  <c r="J296" i="1" s="1"/>
  <c r="I295" i="1"/>
  <c r="H295" i="1"/>
  <c r="H296" i="1" s="1"/>
  <c r="G295" i="1"/>
  <c r="F295" i="1"/>
  <c r="E295" i="1"/>
  <c r="L288" i="1"/>
  <c r="K288" i="1"/>
  <c r="J288" i="1"/>
  <c r="I288" i="1"/>
  <c r="H288" i="1"/>
  <c r="G288" i="1"/>
  <c r="F288" i="1"/>
  <c r="E288" i="1"/>
  <c r="L281" i="1"/>
  <c r="K281" i="1"/>
  <c r="J281" i="1"/>
  <c r="I281" i="1"/>
  <c r="H281" i="1"/>
  <c r="G281" i="1"/>
  <c r="F281" i="1"/>
  <c r="E281" i="1"/>
  <c r="L274" i="1"/>
  <c r="K274" i="1"/>
  <c r="J274" i="1"/>
  <c r="I274" i="1"/>
  <c r="H274" i="1"/>
  <c r="G274" i="1"/>
  <c r="F274" i="1"/>
  <c r="E274" i="1"/>
  <c r="L267" i="1"/>
  <c r="L268" i="1" s="1"/>
  <c r="K267" i="1"/>
  <c r="K268" i="1" s="1"/>
  <c r="J267" i="1"/>
  <c r="J268" i="1" s="1"/>
  <c r="I267" i="1"/>
  <c r="I268" i="1" s="1"/>
  <c r="H267" i="1"/>
  <c r="H268" i="1" s="1"/>
  <c r="G267" i="1"/>
  <c r="G268" i="1" s="1"/>
  <c r="F267" i="1"/>
  <c r="F268" i="1" s="1"/>
  <c r="E267" i="1"/>
  <c r="E268" i="1" s="1"/>
  <c r="L260" i="1"/>
  <c r="K260" i="1"/>
  <c r="J260" i="1"/>
  <c r="I260" i="1"/>
  <c r="H260" i="1"/>
  <c r="G260" i="1"/>
  <c r="F260" i="1"/>
  <c r="E260" i="1"/>
  <c r="L253" i="1"/>
  <c r="K253" i="1"/>
  <c r="J253" i="1"/>
  <c r="I253" i="1"/>
  <c r="H253" i="1"/>
  <c r="G253" i="1"/>
  <c r="F253" i="1"/>
  <c r="E253" i="1"/>
  <c r="L246" i="1"/>
  <c r="K246" i="1"/>
  <c r="J246" i="1"/>
  <c r="I246" i="1"/>
  <c r="I248" i="1" s="1"/>
  <c r="H246" i="1"/>
  <c r="G246" i="1"/>
  <c r="F246" i="1"/>
  <c r="E246" i="1"/>
  <c r="L239" i="1"/>
  <c r="L240" i="1" s="1"/>
  <c r="K239" i="1"/>
  <c r="K240" i="1" s="1"/>
  <c r="J239" i="1"/>
  <c r="J240" i="1" s="1"/>
  <c r="I239" i="1"/>
  <c r="I240" i="1" s="1"/>
  <c r="H239" i="1"/>
  <c r="H240" i="1" s="1"/>
  <c r="G239" i="1"/>
  <c r="G240" i="1" s="1"/>
  <c r="F239" i="1"/>
  <c r="F240" i="1" s="1"/>
  <c r="E239" i="1"/>
  <c r="E240" i="1" s="1"/>
  <c r="L232" i="1"/>
  <c r="K232" i="1"/>
  <c r="J232" i="1"/>
  <c r="I232" i="1"/>
  <c r="H232" i="1"/>
  <c r="G232" i="1"/>
  <c r="F232" i="1"/>
  <c r="E232" i="1"/>
  <c r="L225" i="1"/>
  <c r="K225" i="1"/>
  <c r="J225" i="1"/>
  <c r="I225" i="1"/>
  <c r="H225" i="1"/>
  <c r="G225" i="1"/>
  <c r="F225" i="1"/>
  <c r="E225" i="1"/>
  <c r="L218" i="1"/>
  <c r="K218" i="1"/>
  <c r="J218" i="1"/>
  <c r="I218" i="1"/>
  <c r="I220" i="1" s="1"/>
  <c r="H218" i="1"/>
  <c r="G218" i="1"/>
  <c r="F218" i="1"/>
  <c r="E218" i="1"/>
  <c r="E220" i="1" s="1"/>
  <c r="L211" i="1"/>
  <c r="K211" i="1"/>
  <c r="J211" i="1"/>
  <c r="I211" i="1"/>
  <c r="H211" i="1"/>
  <c r="G211" i="1"/>
  <c r="F211" i="1"/>
  <c r="E211" i="1"/>
  <c r="L204" i="1"/>
  <c r="K204" i="1"/>
  <c r="J204" i="1"/>
  <c r="I204" i="1"/>
  <c r="H204" i="1"/>
  <c r="G204" i="1"/>
  <c r="F204" i="1"/>
  <c r="E204" i="1"/>
  <c r="K198" i="1"/>
  <c r="J198" i="1"/>
  <c r="L197" i="1"/>
  <c r="K197" i="1"/>
  <c r="J197" i="1"/>
  <c r="I197" i="1"/>
  <c r="I198" i="1" s="1"/>
  <c r="H197" i="1"/>
  <c r="G197" i="1"/>
  <c r="G198" i="1" s="1"/>
  <c r="F197" i="1"/>
  <c r="F198" i="1" s="1"/>
  <c r="E197" i="1"/>
  <c r="E198" i="1" s="1"/>
  <c r="L190" i="1"/>
  <c r="K190" i="1"/>
  <c r="J190" i="1"/>
  <c r="I190" i="1"/>
  <c r="I192" i="1" s="1"/>
  <c r="H190" i="1"/>
  <c r="G190" i="1"/>
  <c r="F190" i="1"/>
  <c r="E190" i="1"/>
  <c r="E192" i="1" s="1"/>
  <c r="I185" i="1"/>
  <c r="L183" i="1"/>
  <c r="K183" i="1"/>
  <c r="J183" i="1"/>
  <c r="I183" i="1"/>
  <c r="H183" i="1"/>
  <c r="G183" i="1"/>
  <c r="F183" i="1"/>
  <c r="E183" i="1"/>
  <c r="L176" i="1"/>
  <c r="K176" i="1"/>
  <c r="J176" i="1"/>
  <c r="J178" i="1" s="1"/>
  <c r="I176" i="1"/>
  <c r="I178" i="1" s="1"/>
  <c r="H176" i="1"/>
  <c r="H178" i="1" s="1"/>
  <c r="G176" i="1"/>
  <c r="G178" i="1" s="1"/>
  <c r="F176" i="1"/>
  <c r="F178" i="1" s="1"/>
  <c r="E176" i="1"/>
  <c r="E178" i="1" s="1"/>
  <c r="K170" i="1"/>
  <c r="J170" i="1"/>
  <c r="L169" i="1"/>
  <c r="L170" i="1" s="1"/>
  <c r="K169" i="1"/>
  <c r="J169" i="1"/>
  <c r="I169" i="1"/>
  <c r="I170" i="1" s="1"/>
  <c r="H169" i="1"/>
  <c r="G169" i="1"/>
  <c r="G170" i="1" s="1"/>
  <c r="F169" i="1"/>
  <c r="F170" i="1" s="1"/>
  <c r="E169" i="1"/>
  <c r="E170" i="1" s="1"/>
  <c r="L162" i="1"/>
  <c r="K162" i="1"/>
  <c r="J162" i="1"/>
  <c r="I162" i="1"/>
  <c r="H162" i="1"/>
  <c r="G162" i="1"/>
  <c r="F162" i="1"/>
  <c r="E162" i="1"/>
  <c r="L155" i="1"/>
  <c r="L156" i="1" s="1"/>
  <c r="K155" i="1"/>
  <c r="K156" i="1" s="1"/>
  <c r="J155" i="1"/>
  <c r="J156" i="1" s="1"/>
  <c r="I155" i="1"/>
  <c r="I156" i="1" s="1"/>
  <c r="H155" i="1"/>
  <c r="H156" i="1" s="1"/>
  <c r="G155" i="1"/>
  <c r="G156" i="1" s="1"/>
  <c r="F155" i="1"/>
  <c r="F156" i="1" s="1"/>
  <c r="E155" i="1"/>
  <c r="E156" i="1" s="1"/>
  <c r="L148" i="1"/>
  <c r="K148" i="1"/>
  <c r="J148" i="1"/>
  <c r="I148" i="1"/>
  <c r="I150" i="1" s="1"/>
  <c r="H148" i="1"/>
  <c r="H150" i="1" s="1"/>
  <c r="G148" i="1"/>
  <c r="G150" i="1" s="1"/>
  <c r="F148" i="1"/>
  <c r="F150" i="1" s="1"/>
  <c r="E148" i="1"/>
  <c r="E150" i="1" s="1"/>
  <c r="L142" i="1"/>
  <c r="J142" i="1"/>
  <c r="L141" i="1"/>
  <c r="K141" i="1"/>
  <c r="K142" i="1" s="1"/>
  <c r="J141" i="1"/>
  <c r="I141" i="1"/>
  <c r="I142" i="1" s="1"/>
  <c r="H141" i="1"/>
  <c r="G141" i="1"/>
  <c r="F141" i="1"/>
  <c r="E141" i="1"/>
  <c r="I136" i="1"/>
  <c r="G136" i="1"/>
  <c r="L134" i="1"/>
  <c r="K134" i="1"/>
  <c r="K136" i="1" s="1"/>
  <c r="J134" i="1"/>
  <c r="I134" i="1"/>
  <c r="H134" i="1"/>
  <c r="G134" i="1"/>
  <c r="F134" i="1"/>
  <c r="E134" i="1"/>
  <c r="E136" i="1" s="1"/>
  <c r="K128" i="1"/>
  <c r="I128" i="1"/>
  <c r="L127" i="1"/>
  <c r="K127" i="1"/>
  <c r="J127" i="1"/>
  <c r="J128" i="1" s="1"/>
  <c r="I127" i="1"/>
  <c r="H127" i="1"/>
  <c r="G127" i="1"/>
  <c r="G128" i="1" s="1"/>
  <c r="F127" i="1"/>
  <c r="F128" i="1" s="1"/>
  <c r="E127" i="1"/>
  <c r="E128" i="1" s="1"/>
  <c r="L120" i="1"/>
  <c r="K120" i="1"/>
  <c r="J120" i="1"/>
  <c r="I120" i="1"/>
  <c r="H120" i="1"/>
  <c r="G120" i="1"/>
  <c r="F120" i="1"/>
  <c r="E120" i="1"/>
  <c r="I114" i="1"/>
  <c r="H114" i="1"/>
  <c r="G114" i="1"/>
  <c r="L113" i="1"/>
  <c r="K113" i="1"/>
  <c r="J113" i="1"/>
  <c r="I113" i="1"/>
  <c r="H113" i="1"/>
  <c r="G113" i="1"/>
  <c r="F113" i="1"/>
  <c r="E113" i="1"/>
  <c r="K104" i="1"/>
  <c r="I104" i="1"/>
  <c r="L102" i="1"/>
  <c r="K102" i="1"/>
  <c r="J102" i="1"/>
  <c r="I102" i="1"/>
  <c r="H102" i="1"/>
  <c r="G102" i="1"/>
  <c r="G104" i="1" s="1"/>
  <c r="F102" i="1"/>
  <c r="F104" i="1" s="1"/>
  <c r="E102" i="1"/>
  <c r="E104" i="1" s="1"/>
  <c r="L95" i="1"/>
  <c r="L96" i="1" s="1"/>
  <c r="K95" i="1"/>
  <c r="K96" i="1" s="1"/>
  <c r="J95" i="1"/>
  <c r="J96" i="1" s="1"/>
  <c r="I95" i="1"/>
  <c r="I96" i="1" s="1"/>
  <c r="H95" i="1"/>
  <c r="H96" i="1" s="1"/>
  <c r="G95" i="1"/>
  <c r="G96" i="1" s="1"/>
  <c r="F95" i="1"/>
  <c r="F96" i="1" s="1"/>
  <c r="E95" i="1"/>
  <c r="E96" i="1" s="1"/>
  <c r="K90" i="1"/>
  <c r="I90" i="1"/>
  <c r="L88" i="1"/>
  <c r="K88" i="1"/>
  <c r="J88" i="1"/>
  <c r="J90" i="1" s="1"/>
  <c r="I88" i="1"/>
  <c r="H88" i="1"/>
  <c r="G88" i="1"/>
  <c r="G90" i="1" s="1"/>
  <c r="F88" i="1"/>
  <c r="F90" i="1" s="1"/>
  <c r="E88" i="1"/>
  <c r="E90" i="1" s="1"/>
  <c r="F82" i="1"/>
  <c r="L81" i="1"/>
  <c r="L82" i="1" s="1"/>
  <c r="K81" i="1"/>
  <c r="K82" i="1" s="1"/>
  <c r="J81" i="1"/>
  <c r="J82" i="1" s="1"/>
  <c r="I81" i="1"/>
  <c r="I82" i="1" s="1"/>
  <c r="H81" i="1"/>
  <c r="H82" i="1" s="1"/>
  <c r="G81" i="1"/>
  <c r="G82" i="1" s="1"/>
  <c r="F81" i="1"/>
  <c r="E81" i="1"/>
  <c r="E82" i="1" s="1"/>
  <c r="I76" i="1"/>
  <c r="L74" i="1"/>
  <c r="K74" i="1"/>
  <c r="J74" i="1"/>
  <c r="J76" i="1" s="1"/>
  <c r="I74" i="1"/>
  <c r="H74" i="1"/>
  <c r="G74" i="1"/>
  <c r="F74" i="1"/>
  <c r="F76" i="1" s="1"/>
  <c r="E74" i="1"/>
  <c r="E76" i="1" s="1"/>
  <c r="J68" i="1"/>
  <c r="L67" i="1"/>
  <c r="K67" i="1"/>
  <c r="J67" i="1"/>
  <c r="I67" i="1"/>
  <c r="I68" i="1" s="1"/>
  <c r="H67" i="1"/>
  <c r="G67" i="1"/>
  <c r="F67" i="1"/>
  <c r="E67" i="1"/>
  <c r="L60" i="1"/>
  <c r="K60" i="1"/>
  <c r="J60" i="1"/>
  <c r="I60" i="1"/>
  <c r="H60" i="1"/>
  <c r="G60" i="1"/>
  <c r="F60" i="1"/>
  <c r="E60" i="1"/>
  <c r="I55" i="1"/>
  <c r="J54" i="1"/>
  <c r="I54" i="1"/>
  <c r="L53" i="1"/>
  <c r="L54" i="1" s="1"/>
  <c r="K53" i="1"/>
  <c r="K54" i="1" s="1"/>
  <c r="J53" i="1"/>
  <c r="I53" i="1"/>
  <c r="H53" i="1"/>
  <c r="H54" i="1" s="1"/>
  <c r="G53" i="1"/>
  <c r="G54" i="1" s="1"/>
  <c r="F53" i="1"/>
  <c r="E53" i="1"/>
  <c r="L46" i="1"/>
  <c r="K46" i="1"/>
  <c r="J46" i="1"/>
  <c r="I46" i="1"/>
  <c r="H46" i="1"/>
  <c r="G46" i="1"/>
  <c r="F46" i="1"/>
  <c r="E46" i="1"/>
  <c r="I40" i="1"/>
  <c r="L39" i="1"/>
  <c r="K39" i="1"/>
  <c r="K40" i="1" s="1"/>
  <c r="J39" i="1"/>
  <c r="I39" i="1"/>
  <c r="H39" i="1"/>
  <c r="H40" i="1" s="1"/>
  <c r="G39" i="1"/>
  <c r="F39" i="1"/>
  <c r="E39" i="1"/>
  <c r="I34" i="1"/>
  <c r="L32" i="1"/>
  <c r="K32" i="1"/>
  <c r="K34" i="1" s="1"/>
  <c r="J32" i="1"/>
  <c r="I32" i="1"/>
  <c r="H32" i="1"/>
  <c r="G32" i="1"/>
  <c r="G34" i="1" s="1"/>
  <c r="F32" i="1"/>
  <c r="F34" i="1" s="1"/>
  <c r="E32" i="1"/>
  <c r="E34" i="1" s="1"/>
  <c r="K26" i="1"/>
  <c r="J26" i="1"/>
  <c r="L25" i="1"/>
  <c r="K25" i="1"/>
  <c r="J25" i="1"/>
  <c r="I25" i="1"/>
  <c r="I26" i="1" s="1"/>
  <c r="H25" i="1"/>
  <c r="G25" i="1"/>
  <c r="F25" i="1"/>
  <c r="F26" i="1" s="1"/>
  <c r="E25" i="1"/>
  <c r="E26" i="1" s="1"/>
  <c r="L18" i="1"/>
  <c r="K18" i="1"/>
  <c r="J18" i="1"/>
  <c r="I18" i="1"/>
  <c r="H18" i="1"/>
  <c r="G18" i="1"/>
  <c r="F18" i="1"/>
  <c r="E18" i="1"/>
  <c r="J12" i="1"/>
  <c r="L11" i="1"/>
  <c r="K11" i="1"/>
  <c r="J11" i="1"/>
  <c r="I11" i="1"/>
  <c r="I12" i="1" s="1"/>
  <c r="H11" i="1"/>
  <c r="G11" i="1"/>
  <c r="F11" i="1"/>
  <c r="F12" i="1" s="1"/>
  <c r="E11" i="1"/>
  <c r="E12" i="1" s="1"/>
</calcChain>
</file>

<file path=xl/sharedStrings.xml><?xml version="1.0" encoding="utf-8"?>
<sst xmlns="http://schemas.openxmlformats.org/spreadsheetml/2006/main" count="816" uniqueCount="49">
  <si>
    <t>Annexe 5 – Effectif des employés</t>
  </si>
  <si>
    <t>Secteur des hydrocarbures :</t>
  </si>
  <si>
    <t xml:space="preserve">Effectifs des Nationaux </t>
  </si>
  <si>
    <t>Effectifs des Non nationaux</t>
  </si>
  <si>
    <t>Masse salariale des Nationaux (en FCFA)</t>
  </si>
  <si>
    <t>Masse salariale des Non Nationaux (en FCFA)</t>
  </si>
  <si>
    <t>N°</t>
  </si>
  <si>
    <t>Société</t>
  </si>
  <si>
    <t>Qualifications</t>
  </si>
  <si>
    <t>Hommes</t>
  </si>
  <si>
    <t>Femmes</t>
  </si>
  <si>
    <t>Société des Pétroles du Sénégal (PETROSEN)</t>
  </si>
  <si>
    <t>Cadres supérieurs</t>
  </si>
  <si>
    <t>Techniciens supérieurs et cadres moyens</t>
  </si>
  <si>
    <t>Techniciens, Agents de maitrise et ouvriers qualifiés</t>
  </si>
  <si>
    <t>Employés, manœuvres, ouvriers, appprentis</t>
  </si>
  <si>
    <t>Total</t>
  </si>
  <si>
    <t>Permanent</t>
  </si>
  <si>
    <t>Contractuel</t>
  </si>
  <si>
    <t>Fortesa International Senegal</t>
  </si>
  <si>
    <t xml:space="preserve">Kosmos Energy Senegal </t>
  </si>
  <si>
    <t xml:space="preserve">Oranto Petroleum </t>
  </si>
  <si>
    <t xml:space="preserve"> TOTAL E&amp;P Senegal </t>
  </si>
  <si>
    <t>BP SENEGAL INVESTMENTS LIMITED</t>
  </si>
  <si>
    <t xml:space="preserve">Woodside Energy Senegal </t>
  </si>
  <si>
    <t>NC</t>
  </si>
  <si>
    <t>Secteur minier :</t>
  </si>
  <si>
    <t>MIFERSO</t>
  </si>
  <si>
    <t>SOCOCIM</t>
  </si>
  <si>
    <t>SGO</t>
  </si>
  <si>
    <t>CDS</t>
  </si>
  <si>
    <t>GCO</t>
  </si>
  <si>
    <t>SSPT</t>
  </si>
  <si>
    <t>ICS</t>
  </si>
  <si>
    <t>Dangote</t>
  </si>
  <si>
    <t>PMC</t>
  </si>
  <si>
    <t>SOMIVA</t>
  </si>
  <si>
    <t>SORED Mines</t>
  </si>
  <si>
    <t>IAMGOLD</t>
  </si>
  <si>
    <t>G-PHOS</t>
  </si>
  <si>
    <t>BMCC</t>
  </si>
  <si>
    <t>AGEM</t>
  </si>
  <si>
    <t>SMC</t>
  </si>
  <si>
    <t>Barrick Gold</t>
  </si>
  <si>
    <t>SEPHOS</t>
  </si>
  <si>
    <t>AIG</t>
  </si>
  <si>
    <t>COGECA</t>
  </si>
  <si>
    <t>Gécamines</t>
  </si>
  <si>
    <t>Talix 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</si>
</sst>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#,##0_);\(&quot;&quot;#,##0\);_-* &quot;-&quot;??_-;_-@_-"/>
    <numFmt numFmtId="167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Kohinoor Devanagari"/>
      <family val="3"/>
    </font>
    <font>
      <sz val="11"/>
      <color theme="1"/>
      <name val="Kohinoor Devanagari"/>
      <family val="3"/>
    </font>
    <font>
      <b/>
      <sz val="10"/>
      <color rgb="FF2A9E9B"/>
      <name val="Kohinoor Devanagari"/>
      <family val="3"/>
    </font>
    <font>
      <sz val="9"/>
      <color theme="1"/>
      <name val="Kohinoor Devanagari"/>
      <family val="3"/>
    </font>
    <font>
      <b/>
      <sz val="9"/>
      <color rgb="FF2A9E9B"/>
      <name val="Kohinoor Devanagari"/>
      <family val="3"/>
    </font>
    <font>
      <b/>
      <sz val="9"/>
      <color theme="1"/>
      <name val="Kohinoor Devanagari"/>
      <family val="3"/>
    </font>
    <font>
      <b/>
      <sz val="9"/>
      <color rgb="FFFFFFFF"/>
      <name val="Kohinoor Devanagari"/>
      <family val="3"/>
    </font>
    <font>
      <sz val="11"/>
      <color rgb="FF000000"/>
      <name val="Calibri"/>
      <family val="2"/>
    </font>
    <font>
      <sz val="8"/>
      <name val="Kohinoor Devanagari"/>
      <family val="3"/>
    </font>
    <font>
      <sz val="8"/>
      <color theme="1"/>
      <name val="Kohinoor Devanagari"/>
      <family val="3"/>
    </font>
    <font>
      <b/>
      <sz val="8"/>
      <name val="Kohinoor Devanagari"/>
      <family val="3"/>
    </font>
    <font>
      <b/>
      <sz val="8"/>
      <color theme="1"/>
      <name val="Kohinoor Devanagari"/>
      <family val="3"/>
    </font>
    <font>
      <sz val="9"/>
      <name val="Kohinoor Devanagari"/>
      <family val="3"/>
    </font>
    <font>
      <b/>
      <sz val="8"/>
      <color rgb="FFFFFFFF"/>
      <name val="Kohinoor Devanagari"/>
      <family val="3"/>
    </font>
    <font>
      <sz val="8"/>
      <color rgb="FF000000"/>
      <name val="Kohinoor Devanagari"/>
      <family val="3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vertical="center" wrapText="1"/>
    </xf>
    <xf numFmtId="166" fontId="10" fillId="4" borderId="4" xfId="2" applyNumberFormat="1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left" vertical="center" wrapText="1"/>
    </xf>
    <xf numFmtId="165" fontId="11" fillId="4" borderId="1" xfId="3" applyNumberFormat="1" applyFont="1" applyFill="1" applyBorder="1" applyAlignment="1">
      <alignment horizontal="center" vertical="center"/>
    </xf>
    <xf numFmtId="166" fontId="11" fillId="4" borderId="1" xfId="3" applyNumberFormat="1" applyFont="1" applyFill="1" applyBorder="1" applyAlignment="1">
      <alignment horizontal="right" vertical="center"/>
    </xf>
    <xf numFmtId="166" fontId="10" fillId="4" borderId="5" xfId="2" applyNumberFormat="1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" xfId="3" applyNumberFormat="1" applyFont="1" applyFill="1" applyBorder="1" applyAlignment="1">
      <alignment horizontal="center" vertical="center"/>
    </xf>
    <xf numFmtId="166" fontId="13" fillId="4" borderId="1" xfId="3" applyNumberFormat="1" applyFont="1" applyFill="1" applyBorder="1" applyAlignment="1">
      <alignment horizontal="right" vertical="center"/>
    </xf>
    <xf numFmtId="0" fontId="10" fillId="4" borderId="1" xfId="2" applyFont="1" applyFill="1" applyBorder="1" applyAlignment="1">
      <alignment horizontal="left" vertical="center"/>
    </xf>
    <xf numFmtId="166" fontId="10" fillId="4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6" fontId="10" fillId="0" borderId="4" xfId="2" applyNumberFormat="1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 wrapText="1"/>
    </xf>
    <xf numFmtId="165" fontId="11" fillId="0" borderId="1" xfId="3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66" fontId="10" fillId="0" borderId="5" xfId="2" applyNumberFormat="1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66" fontId="10" fillId="0" borderId="6" xfId="2" applyNumberFormat="1" applyFont="1" applyBorder="1" applyAlignment="1">
      <alignment horizontal="left" vertical="center"/>
    </xf>
    <xf numFmtId="166" fontId="10" fillId="4" borderId="4" xfId="2" applyNumberFormat="1" applyFont="1" applyFill="1" applyBorder="1" applyAlignment="1">
      <alignment horizontal="center" vertical="center"/>
    </xf>
    <xf numFmtId="166" fontId="10" fillId="4" borderId="4" xfId="2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166" fontId="10" fillId="4" borderId="5" xfId="2" applyNumberFormat="1" applyFont="1" applyFill="1" applyBorder="1" applyAlignment="1">
      <alignment horizontal="center" vertical="center"/>
    </xf>
    <xf numFmtId="166" fontId="10" fillId="4" borderId="5" xfId="2" applyNumberFormat="1" applyFont="1" applyFill="1" applyBorder="1" applyAlignment="1">
      <alignment horizontal="left" vertical="center"/>
    </xf>
    <xf numFmtId="166" fontId="11" fillId="4" borderId="1" xfId="0" applyNumberFormat="1" applyFont="1" applyFill="1" applyBorder="1" applyAlignment="1">
      <alignment horizontal="center" vertical="center" wrapText="1"/>
    </xf>
    <xf numFmtId="166" fontId="10" fillId="4" borderId="6" xfId="2" applyNumberFormat="1" applyFont="1" applyFill="1" applyBorder="1" applyAlignment="1">
      <alignment horizontal="center" vertical="center"/>
    </xf>
    <xf numFmtId="166" fontId="10" fillId="4" borderId="6" xfId="2" applyNumberFormat="1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 wrapText="1"/>
    </xf>
    <xf numFmtId="165" fontId="11" fillId="4" borderId="1" xfId="3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center" vertical="center"/>
    </xf>
    <xf numFmtId="165" fontId="11" fillId="4" borderId="1" xfId="3" applyNumberFormat="1" applyFont="1" applyFill="1" applyBorder="1" applyAlignment="1">
      <alignment horizontal="center" vertical="center" wrapText="1"/>
    </xf>
    <xf numFmtId="0" fontId="13" fillId="4" borderId="1" xfId="3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3" applyNumberFormat="1" applyFont="1" applyFill="1" applyBorder="1" applyAlignment="1">
      <alignment horizontal="center" vertical="center"/>
    </xf>
    <xf numFmtId="165" fontId="11" fillId="4" borderId="1" xfId="3" applyNumberFormat="1" applyFont="1" applyFill="1" applyBorder="1" applyAlignment="1">
      <alignment horizontal="left" vertical="center" wrapText="1"/>
    </xf>
    <xf numFmtId="165" fontId="13" fillId="4" borderId="1" xfId="3" applyNumberFormat="1" applyFont="1" applyFill="1" applyBorder="1" applyAlignment="1">
      <alignment horizontal="left" vertical="center" wrapText="1"/>
    </xf>
    <xf numFmtId="165" fontId="11" fillId="4" borderId="1" xfId="3" applyNumberFormat="1" applyFont="1" applyFill="1" applyBorder="1" applyAlignment="1">
      <alignment vertical="center"/>
    </xf>
    <xf numFmtId="0" fontId="14" fillId="0" borderId="0" xfId="0" applyFont="1" applyAlignment="1">
      <alignment horizontal="left"/>
    </xf>
    <xf numFmtId="166" fontId="14" fillId="0" borderId="0" xfId="2" applyNumberFormat="1" applyFont="1"/>
    <xf numFmtId="0" fontId="14" fillId="0" borderId="0" xfId="2" applyFont="1" applyAlignment="1">
      <alignment horizontal="left" vertical="center"/>
    </xf>
    <xf numFmtId="164" fontId="5" fillId="0" borderId="0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6" fontId="13" fillId="2" borderId="1" xfId="3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center" vertical="center" wrapText="1"/>
    </xf>
    <xf numFmtId="166" fontId="15" fillId="3" borderId="3" xfId="3" applyNumberFormat="1" applyFont="1" applyFill="1" applyBorder="1" applyAlignment="1">
      <alignment horizontal="right" vertical="center" wrapText="1"/>
    </xf>
    <xf numFmtId="0" fontId="10" fillId="4" borderId="6" xfId="2" applyFont="1" applyFill="1" applyBorder="1" applyAlignment="1">
      <alignment horizontal="left" vertical="center" wrapText="1"/>
    </xf>
    <xf numFmtId="166" fontId="11" fillId="4" borderId="1" xfId="3" applyNumberFormat="1" applyFont="1" applyFill="1" applyBorder="1" applyAlignment="1">
      <alignment horizontal="right" vertical="center" wrapText="1"/>
    </xf>
    <xf numFmtId="166" fontId="13" fillId="4" borderId="1" xfId="3" applyNumberFormat="1" applyFont="1" applyFill="1" applyBorder="1" applyAlignment="1">
      <alignment horizontal="right" vertical="center" wrapText="1"/>
    </xf>
    <xf numFmtId="164" fontId="13" fillId="4" borderId="1" xfId="3" applyFont="1" applyFill="1" applyBorder="1" applyAlignment="1">
      <alignment horizontal="center" vertical="center" wrapText="1"/>
    </xf>
    <xf numFmtId="166" fontId="10" fillId="0" borderId="4" xfId="2" applyNumberFormat="1" applyFont="1" applyBorder="1" applyAlignment="1">
      <alignment horizontal="center" vertical="center" wrapText="1"/>
    </xf>
    <xf numFmtId="0" fontId="11" fillId="0" borderId="1" xfId="3" applyNumberFormat="1" applyFont="1" applyFill="1" applyBorder="1" applyAlignment="1">
      <alignment horizontal="center" vertical="center"/>
    </xf>
    <xf numFmtId="166" fontId="11" fillId="0" borderId="1" xfId="3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166" fontId="13" fillId="0" borderId="1" xfId="3" applyNumberFormat="1" applyFont="1" applyFill="1" applyBorder="1" applyAlignment="1">
      <alignment horizontal="right" vertical="center"/>
    </xf>
    <xf numFmtId="166" fontId="10" fillId="0" borderId="5" xfId="2" applyNumberFormat="1" applyFont="1" applyBorder="1" applyAlignment="1">
      <alignment horizontal="center" vertical="center" wrapText="1"/>
    </xf>
    <xf numFmtId="0" fontId="13" fillId="0" borderId="1" xfId="3" applyNumberFormat="1" applyFont="1" applyBorder="1" applyAlignment="1">
      <alignment horizontal="center" vertical="center"/>
    </xf>
    <xf numFmtId="164" fontId="13" fillId="0" borderId="1" xfId="3" applyFont="1" applyBorder="1" applyAlignment="1">
      <alignment horizontal="center" vertical="center"/>
    </xf>
    <xf numFmtId="166" fontId="13" fillId="0" borderId="1" xfId="3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66" fontId="11" fillId="0" borderId="1" xfId="3" applyNumberFormat="1" applyFont="1" applyBorder="1" applyAlignment="1">
      <alignment horizontal="right" vertical="center"/>
    </xf>
    <xf numFmtId="166" fontId="11" fillId="0" borderId="1" xfId="3" applyNumberFormat="1" applyFont="1" applyBorder="1" applyAlignment="1">
      <alignment horizontal="right" vertical="center" wrapText="1"/>
    </xf>
    <xf numFmtId="166" fontId="10" fillId="0" borderId="6" xfId="2" applyNumberFormat="1" applyFont="1" applyBorder="1" applyAlignment="1">
      <alignment horizontal="center" vertical="center" wrapText="1"/>
    </xf>
    <xf numFmtId="0" fontId="11" fillId="0" borderId="1" xfId="3" applyNumberFormat="1" applyFont="1" applyBorder="1" applyAlignment="1">
      <alignment horizontal="center" vertical="center"/>
    </xf>
    <xf numFmtId="164" fontId="11" fillId="4" borderId="1" xfId="3" applyFont="1" applyFill="1" applyBorder="1" applyAlignment="1">
      <alignment horizontal="center" vertical="center"/>
    </xf>
    <xf numFmtId="164" fontId="11" fillId="4" borderId="1" xfId="1" applyFont="1" applyFill="1" applyBorder="1" applyAlignment="1">
      <alignment horizontal="center" vertical="center"/>
    </xf>
    <xf numFmtId="164" fontId="11" fillId="4" borderId="1" xfId="1" applyFont="1" applyFill="1" applyBorder="1" applyAlignment="1">
      <alignment horizontal="right" vertical="center"/>
    </xf>
    <xf numFmtId="167" fontId="11" fillId="4" borderId="1" xfId="1" applyNumberFormat="1" applyFont="1" applyFill="1" applyBorder="1" applyAlignment="1">
      <alignment horizontal="center" vertical="center"/>
    </xf>
    <xf numFmtId="167" fontId="11" fillId="4" borderId="1" xfId="1" applyNumberFormat="1" applyFont="1" applyFill="1" applyBorder="1" applyAlignment="1">
      <alignment horizontal="right" vertical="center"/>
    </xf>
    <xf numFmtId="0" fontId="16" fillId="0" borderId="7" xfId="0" applyFont="1" applyBorder="1" applyAlignment="1">
      <alignment horizontal="center" vertical="center" shrinkToFit="1"/>
    </xf>
    <xf numFmtId="166" fontId="16" fillId="0" borderId="7" xfId="3" applyNumberFormat="1" applyFont="1" applyFill="1" applyBorder="1" applyAlignment="1">
      <alignment horizontal="right" vertical="center" shrinkToFit="1"/>
    </xf>
    <xf numFmtId="165" fontId="13" fillId="0" borderId="1" xfId="3" applyNumberFormat="1" applyFont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 shrinkToFit="1"/>
    </xf>
    <xf numFmtId="164" fontId="13" fillId="4" borderId="1" xfId="3" applyFont="1" applyFill="1" applyBorder="1" applyAlignment="1">
      <alignment horizontal="center" vertical="center"/>
    </xf>
    <xf numFmtId="167" fontId="11" fillId="4" borderId="1" xfId="3" applyNumberFormat="1" applyFont="1" applyFill="1" applyBorder="1" applyAlignment="1">
      <alignment horizontal="center" vertical="center"/>
    </xf>
    <xf numFmtId="167" fontId="11" fillId="4" borderId="1" xfId="3" applyNumberFormat="1" applyFont="1" applyFill="1" applyBorder="1" applyAlignment="1">
      <alignment horizontal="right" vertical="center"/>
    </xf>
    <xf numFmtId="164" fontId="11" fillId="4" borderId="1" xfId="3" applyFont="1" applyFill="1" applyBorder="1" applyAlignment="1">
      <alignment horizontal="right" vertical="center"/>
    </xf>
    <xf numFmtId="164" fontId="11" fillId="4" borderId="1" xfId="3" applyFont="1" applyFill="1" applyBorder="1" applyAlignment="1">
      <alignment horizontal="center" vertical="center" wrapText="1"/>
    </xf>
    <xf numFmtId="164" fontId="11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 wrapText="1"/>
    </xf>
    <xf numFmtId="164" fontId="11" fillId="0" borderId="1" xfId="3" applyFont="1" applyFill="1" applyBorder="1" applyAlignment="1">
      <alignment horizontal="center" vertical="center"/>
    </xf>
    <xf numFmtId="0" fontId="13" fillId="0" borderId="1" xfId="3" applyNumberFormat="1" applyFont="1" applyFill="1" applyBorder="1" applyAlignment="1">
      <alignment horizontal="center" vertical="center"/>
    </xf>
  </cellXfs>
  <cellStyles count="4">
    <cellStyle name="Milliers" xfId="1" builtinId="3"/>
    <cellStyle name="Milliers 2" xfId="3" xr:uid="{816F4C30-F35F-4ADE-9EF6-6ED57763CF7D}"/>
    <cellStyle name="Normal" xfId="0" builtinId="0"/>
    <cellStyle name="Normal 5" xfId="2" xr:uid="{0CA3FDB9-D08A-4A20-84DE-931A87C48CF5}"/>
  </cellStyles>
  <dxfs count="5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3-%20Reporting/05.Pr&#233;final%20rapport/Database_ITIE%20S&#233;n&#233;gal_2019_%20(Pr&#233;-fin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F435-3EC7-4161-B1B8-A295B6B011C6}">
  <dimension ref="A1:N416"/>
  <sheetViews>
    <sheetView showGridLines="0" tabSelected="1" workbookViewId="0">
      <selection sqref="A1:XFD1048576"/>
    </sheetView>
  </sheetViews>
  <sheetFormatPr baseColWidth="10" defaultColWidth="12.6328125" defaultRowHeight="14.5"/>
  <cols>
    <col min="1" max="1" width="3.08984375" style="2" customWidth="1"/>
    <col min="2" max="2" width="3.36328125" style="2" bestFit="1" customWidth="1"/>
    <col min="3" max="3" width="38.54296875" style="2" bestFit="1" customWidth="1"/>
    <col min="4" max="4" width="39" style="2" bestFit="1" customWidth="1"/>
    <col min="5" max="5" width="11.26953125" style="2" customWidth="1"/>
    <col min="6" max="6" width="11" style="2" customWidth="1"/>
    <col min="7" max="7" width="12" style="2" customWidth="1"/>
    <col min="8" max="8" width="15.26953125" style="2" customWidth="1"/>
    <col min="9" max="9" width="19.453125" style="2" customWidth="1"/>
    <col min="10" max="10" width="18.08984375" style="2" customWidth="1"/>
    <col min="11" max="11" width="19.1796875" style="2" customWidth="1"/>
    <col min="12" max="12" width="22.08984375" style="2" customWidth="1"/>
    <col min="13" max="16384" width="12.6328125" style="2"/>
  </cols>
  <sheetData>
    <row r="1" spans="1:14" ht="18.5">
      <c r="A1" s="1" t="s">
        <v>0</v>
      </c>
    </row>
    <row r="3" spans="1:14">
      <c r="A3" s="3" t="s">
        <v>1</v>
      </c>
    </row>
    <row r="4" spans="1:14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6"/>
      <c r="C5" s="7"/>
      <c r="D5" s="7"/>
      <c r="E5" s="8" t="s">
        <v>2</v>
      </c>
      <c r="F5" s="8"/>
      <c r="G5" s="8" t="s">
        <v>3</v>
      </c>
      <c r="H5" s="8"/>
      <c r="I5" s="9" t="s">
        <v>4</v>
      </c>
      <c r="J5" s="9"/>
      <c r="K5" s="9" t="s">
        <v>5</v>
      </c>
      <c r="L5" s="9"/>
      <c r="M5" s="4"/>
      <c r="N5" s="4"/>
    </row>
    <row r="6" spans="1:14" ht="15" thickBot="1">
      <c r="A6" s="4"/>
      <c r="B6" s="10" t="s">
        <v>6</v>
      </c>
      <c r="C6" s="11" t="s">
        <v>7</v>
      </c>
      <c r="D6" s="12" t="s">
        <v>8</v>
      </c>
      <c r="E6" s="13" t="s">
        <v>9</v>
      </c>
      <c r="F6" s="13" t="s">
        <v>10</v>
      </c>
      <c r="G6" s="13" t="s">
        <v>9</v>
      </c>
      <c r="H6" s="13" t="s">
        <v>10</v>
      </c>
      <c r="I6" s="14" t="s">
        <v>9</v>
      </c>
      <c r="J6" s="14" t="s">
        <v>10</v>
      </c>
      <c r="K6" s="14" t="s">
        <v>9</v>
      </c>
      <c r="L6" s="14" t="s">
        <v>10</v>
      </c>
      <c r="M6" s="4"/>
      <c r="N6" s="4"/>
    </row>
    <row r="7" spans="1:14">
      <c r="A7" s="4"/>
      <c r="B7" s="15">
        <v>1</v>
      </c>
      <c r="C7" s="15" t="s">
        <v>11</v>
      </c>
      <c r="D7" s="16" t="s">
        <v>12</v>
      </c>
      <c r="E7" s="17">
        <v>9</v>
      </c>
      <c r="F7" s="17">
        <v>6</v>
      </c>
      <c r="G7" s="17">
        <v>0</v>
      </c>
      <c r="H7" s="17">
        <v>0</v>
      </c>
      <c r="I7" s="18">
        <v>488009343</v>
      </c>
      <c r="J7" s="18">
        <v>311200565</v>
      </c>
      <c r="K7" s="18">
        <v>0</v>
      </c>
      <c r="L7" s="18">
        <v>0</v>
      </c>
      <c r="M7" s="4"/>
      <c r="N7" s="4"/>
    </row>
    <row r="8" spans="1:14">
      <c r="A8" s="4"/>
      <c r="B8" s="19">
        <v>1</v>
      </c>
      <c r="C8" s="19" t="s">
        <v>11</v>
      </c>
      <c r="D8" s="16" t="s">
        <v>13</v>
      </c>
      <c r="E8" s="17">
        <v>0</v>
      </c>
      <c r="F8" s="17">
        <v>0</v>
      </c>
      <c r="G8" s="17">
        <v>0</v>
      </c>
      <c r="H8" s="17">
        <v>0</v>
      </c>
      <c r="I8" s="18">
        <v>0</v>
      </c>
      <c r="J8" s="18">
        <v>0</v>
      </c>
      <c r="K8" s="18">
        <v>0</v>
      </c>
      <c r="L8" s="18">
        <v>0</v>
      </c>
      <c r="M8" s="4"/>
      <c r="N8" s="4"/>
    </row>
    <row r="9" spans="1:14" ht="21">
      <c r="A9" s="4"/>
      <c r="B9" s="19">
        <v>1</v>
      </c>
      <c r="C9" s="19" t="s">
        <v>11</v>
      </c>
      <c r="D9" s="16" t="s">
        <v>14</v>
      </c>
      <c r="E9" s="17">
        <v>1</v>
      </c>
      <c r="F9" s="17">
        <v>6</v>
      </c>
      <c r="G9" s="17">
        <v>0</v>
      </c>
      <c r="H9" s="17">
        <v>0</v>
      </c>
      <c r="I9" s="18">
        <v>10021126</v>
      </c>
      <c r="J9" s="18">
        <v>62956166</v>
      </c>
      <c r="K9" s="18">
        <v>0</v>
      </c>
      <c r="L9" s="18">
        <v>0</v>
      </c>
      <c r="M9" s="4"/>
      <c r="N9" s="4"/>
    </row>
    <row r="10" spans="1:14">
      <c r="A10" s="4"/>
      <c r="B10" s="19">
        <v>1</v>
      </c>
      <c r="C10" s="19" t="s">
        <v>11</v>
      </c>
      <c r="D10" s="16" t="s">
        <v>15</v>
      </c>
      <c r="E10" s="17">
        <v>9</v>
      </c>
      <c r="F10" s="17">
        <v>0</v>
      </c>
      <c r="G10" s="17">
        <v>0</v>
      </c>
      <c r="H10" s="17">
        <v>0</v>
      </c>
      <c r="I10" s="18">
        <v>78962904</v>
      </c>
      <c r="J10" s="18">
        <v>0</v>
      </c>
      <c r="K10" s="18">
        <v>0</v>
      </c>
      <c r="L10" s="18">
        <v>0</v>
      </c>
      <c r="M10" s="4"/>
      <c r="N10" s="4"/>
    </row>
    <row r="11" spans="1:14">
      <c r="A11" s="4"/>
      <c r="B11" s="19">
        <v>1</v>
      </c>
      <c r="C11" s="19" t="s">
        <v>11</v>
      </c>
      <c r="D11" s="20" t="s">
        <v>16</v>
      </c>
      <c r="E11" s="21">
        <f>SUM(E7:E10)</f>
        <v>19</v>
      </c>
      <c r="F11" s="22">
        <f t="shared" ref="F11:H11" si="0">SUM(F7:F10)</f>
        <v>12</v>
      </c>
      <c r="G11" s="22">
        <f t="shared" si="0"/>
        <v>0</v>
      </c>
      <c r="H11" s="23">
        <f t="shared" si="0"/>
        <v>0</v>
      </c>
      <c r="I11" s="24">
        <f>SUM(I7:I10)</f>
        <v>576993373</v>
      </c>
      <c r="J11" s="24">
        <f t="shared" ref="J11:L11" si="1">SUM(J7:J10)</f>
        <v>374156731</v>
      </c>
      <c r="K11" s="24">
        <f t="shared" si="1"/>
        <v>0</v>
      </c>
      <c r="L11" s="24">
        <f t="shared" si="1"/>
        <v>0</v>
      </c>
      <c r="M11" s="4"/>
      <c r="N11" s="4"/>
    </row>
    <row r="12" spans="1:14">
      <c r="A12" s="4"/>
      <c r="B12" s="19">
        <v>1</v>
      </c>
      <c r="C12" s="19" t="s">
        <v>11</v>
      </c>
      <c r="D12" s="25" t="s">
        <v>17</v>
      </c>
      <c r="E12" s="17">
        <f>+E11</f>
        <v>19</v>
      </c>
      <c r="F12" s="17">
        <f>+F11</f>
        <v>12</v>
      </c>
      <c r="G12" s="17">
        <v>0</v>
      </c>
      <c r="H12" s="17">
        <v>0</v>
      </c>
      <c r="I12" s="18">
        <f>+I11</f>
        <v>576993373</v>
      </c>
      <c r="J12" s="18">
        <f>+J11</f>
        <v>374156731</v>
      </c>
      <c r="K12" s="18">
        <v>0</v>
      </c>
      <c r="L12" s="18">
        <v>0</v>
      </c>
      <c r="M12" s="4"/>
      <c r="N12" s="4"/>
    </row>
    <row r="13" spans="1:14">
      <c r="A13" s="4"/>
      <c r="B13" s="26">
        <v>1</v>
      </c>
      <c r="C13" s="26" t="s">
        <v>11</v>
      </c>
      <c r="D13" s="25" t="s">
        <v>18</v>
      </c>
      <c r="E13" s="17">
        <v>0</v>
      </c>
      <c r="F13" s="17">
        <v>0</v>
      </c>
      <c r="G13" s="17">
        <v>0</v>
      </c>
      <c r="H13" s="17">
        <v>0</v>
      </c>
      <c r="I13" s="18">
        <v>0</v>
      </c>
      <c r="J13" s="18">
        <v>0</v>
      </c>
      <c r="K13" s="18">
        <v>0</v>
      </c>
      <c r="L13" s="18">
        <v>0</v>
      </c>
      <c r="M13" s="4"/>
      <c r="N13" s="4"/>
    </row>
    <row r="14" spans="1:14">
      <c r="A14" s="4"/>
      <c r="B14" s="15">
        <v>1</v>
      </c>
      <c r="C14" s="15" t="s">
        <v>11</v>
      </c>
      <c r="D14" s="16" t="s">
        <v>12</v>
      </c>
      <c r="E14" s="17">
        <v>0</v>
      </c>
      <c r="F14" s="17">
        <v>0</v>
      </c>
      <c r="G14" s="17">
        <v>0</v>
      </c>
      <c r="H14" s="17">
        <v>0</v>
      </c>
      <c r="I14" s="18">
        <v>0</v>
      </c>
      <c r="J14" s="18">
        <v>0</v>
      </c>
      <c r="K14" s="18">
        <v>0</v>
      </c>
      <c r="L14" s="18">
        <v>0</v>
      </c>
      <c r="M14" s="4"/>
      <c r="N14" s="4"/>
    </row>
    <row r="15" spans="1:14">
      <c r="A15" s="4"/>
      <c r="B15" s="19">
        <v>1</v>
      </c>
      <c r="C15" s="19" t="s">
        <v>11</v>
      </c>
      <c r="D15" s="16" t="s">
        <v>13</v>
      </c>
      <c r="E15" s="17">
        <v>0</v>
      </c>
      <c r="F15" s="17">
        <v>0</v>
      </c>
      <c r="G15" s="17">
        <v>0</v>
      </c>
      <c r="H15" s="17">
        <v>0</v>
      </c>
      <c r="I15" s="18">
        <v>0</v>
      </c>
      <c r="J15" s="18">
        <v>0</v>
      </c>
      <c r="K15" s="18">
        <v>0</v>
      </c>
      <c r="L15" s="18">
        <v>0</v>
      </c>
      <c r="M15" s="4"/>
      <c r="N15" s="4"/>
    </row>
    <row r="16" spans="1:14" ht="21">
      <c r="A16" s="4"/>
      <c r="B16" s="19">
        <v>1</v>
      </c>
      <c r="C16" s="19" t="s">
        <v>11</v>
      </c>
      <c r="D16" s="16" t="s">
        <v>14</v>
      </c>
      <c r="E16" s="17">
        <v>0</v>
      </c>
      <c r="F16" s="17">
        <v>0</v>
      </c>
      <c r="G16" s="17">
        <v>0</v>
      </c>
      <c r="H16" s="17">
        <v>0</v>
      </c>
      <c r="I16" s="18">
        <v>0</v>
      </c>
      <c r="J16" s="18">
        <v>0</v>
      </c>
      <c r="K16" s="18">
        <v>0</v>
      </c>
      <c r="L16" s="18">
        <v>0</v>
      </c>
      <c r="M16" s="4"/>
      <c r="N16" s="4"/>
    </row>
    <row r="17" spans="1:14">
      <c r="A17" s="4"/>
      <c r="B17" s="19">
        <v>1</v>
      </c>
      <c r="C17" s="19" t="s">
        <v>11</v>
      </c>
      <c r="D17" s="16" t="s">
        <v>15</v>
      </c>
      <c r="E17" s="17">
        <v>0</v>
      </c>
      <c r="F17" s="17">
        <v>0</v>
      </c>
      <c r="G17" s="17">
        <v>0</v>
      </c>
      <c r="H17" s="17">
        <v>0</v>
      </c>
      <c r="I17" s="18">
        <v>0</v>
      </c>
      <c r="J17" s="18">
        <v>0</v>
      </c>
      <c r="K17" s="18">
        <v>0</v>
      </c>
      <c r="L17" s="18">
        <v>0</v>
      </c>
      <c r="M17" s="4"/>
      <c r="N17" s="4"/>
    </row>
    <row r="18" spans="1:14">
      <c r="A18" s="4"/>
      <c r="B18" s="19">
        <v>1</v>
      </c>
      <c r="C18" s="19" t="s">
        <v>11</v>
      </c>
      <c r="D18" s="20" t="s">
        <v>16</v>
      </c>
      <c r="E18" s="21">
        <f>SUM(E14:E17)</f>
        <v>0</v>
      </c>
      <c r="F18" s="22">
        <f t="shared" ref="F18:H18" si="2">SUM(F14:F17)</f>
        <v>0</v>
      </c>
      <c r="G18" s="22">
        <f t="shared" si="2"/>
        <v>0</v>
      </c>
      <c r="H18" s="23">
        <f t="shared" si="2"/>
        <v>0</v>
      </c>
      <c r="I18" s="24">
        <f>SUM(I14:I17)</f>
        <v>0</v>
      </c>
      <c r="J18" s="24">
        <f t="shared" ref="J18:L18" si="3">SUM(J14:J17)</f>
        <v>0</v>
      </c>
      <c r="K18" s="24">
        <f t="shared" si="3"/>
        <v>0</v>
      </c>
      <c r="L18" s="24">
        <f t="shared" si="3"/>
        <v>0</v>
      </c>
      <c r="M18" s="4"/>
      <c r="N18" s="4"/>
    </row>
    <row r="19" spans="1:14">
      <c r="A19" s="4"/>
      <c r="B19" s="19">
        <v>1</v>
      </c>
      <c r="C19" s="19" t="s">
        <v>11</v>
      </c>
      <c r="D19" s="25" t="s">
        <v>17</v>
      </c>
      <c r="E19" s="17">
        <v>0</v>
      </c>
      <c r="F19" s="17">
        <v>0</v>
      </c>
      <c r="G19" s="17">
        <v>0</v>
      </c>
      <c r="H19" s="17">
        <v>0</v>
      </c>
      <c r="I19" s="18">
        <v>0</v>
      </c>
      <c r="J19" s="18">
        <v>0</v>
      </c>
      <c r="K19" s="18">
        <v>0</v>
      </c>
      <c r="L19" s="18">
        <v>0</v>
      </c>
      <c r="M19" s="4"/>
      <c r="N19" s="4"/>
    </row>
    <row r="20" spans="1:14">
      <c r="A20" s="4"/>
      <c r="B20" s="26">
        <v>1</v>
      </c>
      <c r="C20" s="26" t="s">
        <v>11</v>
      </c>
      <c r="D20" s="25" t="s">
        <v>18</v>
      </c>
      <c r="E20" s="17">
        <v>0</v>
      </c>
      <c r="F20" s="17">
        <v>0</v>
      </c>
      <c r="G20" s="17">
        <v>0</v>
      </c>
      <c r="H20" s="17">
        <v>0</v>
      </c>
      <c r="I20" s="18">
        <v>0</v>
      </c>
      <c r="J20" s="18">
        <v>0</v>
      </c>
      <c r="K20" s="18">
        <v>0</v>
      </c>
      <c r="L20" s="18">
        <v>0</v>
      </c>
      <c r="M20" s="4"/>
      <c r="N20" s="4"/>
    </row>
    <row r="21" spans="1:14">
      <c r="A21" s="4"/>
      <c r="B21" s="27">
        <v>2</v>
      </c>
      <c r="C21" s="28" t="s">
        <v>19</v>
      </c>
      <c r="D21" s="29" t="s">
        <v>12</v>
      </c>
      <c r="E21" s="30">
        <v>9</v>
      </c>
      <c r="F21" s="30">
        <v>0</v>
      </c>
      <c r="G21" s="30">
        <v>0</v>
      </c>
      <c r="H21" s="30">
        <v>0</v>
      </c>
      <c r="I21" s="30">
        <v>138465512</v>
      </c>
      <c r="J21" s="30"/>
      <c r="K21" s="30">
        <v>0</v>
      </c>
      <c r="L21" s="30">
        <v>0</v>
      </c>
      <c r="M21" s="4"/>
      <c r="N21" s="4"/>
    </row>
    <row r="22" spans="1:14">
      <c r="A22" s="4"/>
      <c r="B22" s="31"/>
      <c r="C22" s="32"/>
      <c r="D22" s="29" t="s">
        <v>13</v>
      </c>
      <c r="E22" s="30">
        <v>8</v>
      </c>
      <c r="F22" s="30">
        <v>0</v>
      </c>
      <c r="G22" s="30">
        <v>0</v>
      </c>
      <c r="H22" s="30">
        <v>0</v>
      </c>
      <c r="I22" s="30">
        <v>52676642</v>
      </c>
      <c r="J22" s="30"/>
      <c r="K22" s="30">
        <v>0</v>
      </c>
      <c r="L22" s="30">
        <v>0</v>
      </c>
      <c r="M22" s="4"/>
      <c r="N22" s="4"/>
    </row>
    <row r="23" spans="1:14" ht="21">
      <c r="A23" s="4"/>
      <c r="B23" s="31"/>
      <c r="C23" s="32"/>
      <c r="D23" s="29" t="s">
        <v>14</v>
      </c>
      <c r="E23" s="30">
        <v>59</v>
      </c>
      <c r="F23" s="30">
        <v>3</v>
      </c>
      <c r="G23" s="30">
        <v>0</v>
      </c>
      <c r="H23" s="30">
        <v>0</v>
      </c>
      <c r="I23" s="30">
        <v>174592082</v>
      </c>
      <c r="J23" s="30">
        <v>14792410</v>
      </c>
      <c r="K23" s="30">
        <v>0</v>
      </c>
      <c r="L23" s="30"/>
      <c r="M23" s="4"/>
      <c r="N23" s="4"/>
    </row>
    <row r="24" spans="1:14">
      <c r="A24" s="4"/>
      <c r="B24" s="31"/>
      <c r="C24" s="32"/>
      <c r="D24" s="29" t="s">
        <v>15</v>
      </c>
      <c r="E24" s="30">
        <v>0</v>
      </c>
      <c r="F24" s="30">
        <v>4</v>
      </c>
      <c r="G24" s="30">
        <v>0</v>
      </c>
      <c r="H24" s="30">
        <v>0</v>
      </c>
      <c r="I24" s="30">
        <v>38813386</v>
      </c>
      <c r="J24" s="30">
        <v>11426587</v>
      </c>
      <c r="K24" s="30">
        <v>0</v>
      </c>
      <c r="L24" s="30">
        <v>0</v>
      </c>
      <c r="M24" s="4"/>
      <c r="N24" s="4"/>
    </row>
    <row r="25" spans="1:14">
      <c r="A25" s="4"/>
      <c r="B25" s="31"/>
      <c r="C25" s="32"/>
      <c r="D25" s="33" t="s">
        <v>16</v>
      </c>
      <c r="E25" s="34">
        <f>SUM(E21:E24)</f>
        <v>76</v>
      </c>
      <c r="F25" s="34">
        <f t="shared" ref="F25:H25" si="4">SUM(F21:F24)</f>
        <v>7</v>
      </c>
      <c r="G25" s="34">
        <f t="shared" si="4"/>
        <v>0</v>
      </c>
      <c r="H25" s="34">
        <f t="shared" si="4"/>
        <v>0</v>
      </c>
      <c r="I25" s="34">
        <f>SUM(I21:I24)</f>
        <v>404547622</v>
      </c>
      <c r="J25" s="34">
        <f t="shared" ref="J25:L25" si="5">SUM(J21:J24)</f>
        <v>26218997</v>
      </c>
      <c r="K25" s="34">
        <f t="shared" si="5"/>
        <v>0</v>
      </c>
      <c r="L25" s="34">
        <f t="shared" si="5"/>
        <v>0</v>
      </c>
      <c r="M25" s="4"/>
      <c r="N25" s="4"/>
    </row>
    <row r="26" spans="1:14">
      <c r="A26" s="4"/>
      <c r="B26" s="31"/>
      <c r="C26" s="32"/>
      <c r="D26" s="35" t="s">
        <v>17</v>
      </c>
      <c r="E26" s="30">
        <f>+E25</f>
        <v>76</v>
      </c>
      <c r="F26" s="30">
        <f>+F25</f>
        <v>7</v>
      </c>
      <c r="G26" s="30">
        <v>0</v>
      </c>
      <c r="H26" s="30">
        <v>0</v>
      </c>
      <c r="I26" s="36">
        <f>+I25</f>
        <v>404547622</v>
      </c>
      <c r="J26" s="36">
        <f>+J25</f>
        <v>26218997</v>
      </c>
      <c r="K26" s="30">
        <f>+K25</f>
        <v>0</v>
      </c>
      <c r="L26" s="30">
        <v>0</v>
      </c>
      <c r="M26" s="4"/>
      <c r="N26" s="4"/>
    </row>
    <row r="27" spans="1:14">
      <c r="A27" s="4"/>
      <c r="B27" s="37"/>
      <c r="C27" s="38"/>
      <c r="D27" s="35" t="s">
        <v>18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4"/>
      <c r="N27" s="4"/>
    </row>
    <row r="28" spans="1:14">
      <c r="A28" s="4"/>
      <c r="B28" s="27">
        <v>2</v>
      </c>
      <c r="C28" s="28" t="s">
        <v>19</v>
      </c>
      <c r="D28" s="29" t="s">
        <v>12</v>
      </c>
      <c r="E28" s="30">
        <v>0</v>
      </c>
      <c r="F28" s="30">
        <v>0</v>
      </c>
      <c r="G28" s="30">
        <v>4</v>
      </c>
      <c r="H28" s="30">
        <v>0</v>
      </c>
      <c r="I28" s="30">
        <v>0</v>
      </c>
      <c r="J28" s="30">
        <v>0</v>
      </c>
      <c r="K28" s="30">
        <v>128963973</v>
      </c>
      <c r="L28" s="30">
        <v>0</v>
      </c>
      <c r="M28" s="4"/>
      <c r="N28" s="4"/>
    </row>
    <row r="29" spans="1:14">
      <c r="A29" s="4"/>
      <c r="B29" s="31"/>
      <c r="C29" s="32"/>
      <c r="D29" s="29" t="s">
        <v>13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4"/>
      <c r="N29" s="4"/>
    </row>
    <row r="30" spans="1:14" ht="21">
      <c r="A30" s="4"/>
      <c r="B30" s="31"/>
      <c r="C30" s="32"/>
      <c r="D30" s="29" t="s">
        <v>14</v>
      </c>
      <c r="E30" s="30">
        <v>32</v>
      </c>
      <c r="F30" s="30">
        <v>2</v>
      </c>
      <c r="G30" s="30">
        <v>0</v>
      </c>
      <c r="H30" s="30">
        <v>0</v>
      </c>
      <c r="I30" s="30">
        <v>148324872</v>
      </c>
      <c r="J30" s="30">
        <v>0</v>
      </c>
      <c r="K30" s="30">
        <v>0</v>
      </c>
      <c r="L30" s="30">
        <v>0</v>
      </c>
      <c r="M30" s="4"/>
      <c r="N30" s="4"/>
    </row>
    <row r="31" spans="1:14">
      <c r="A31" s="4"/>
      <c r="B31" s="31"/>
      <c r="C31" s="32"/>
      <c r="D31" s="29" t="s">
        <v>15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4"/>
      <c r="N31" s="4"/>
    </row>
    <row r="32" spans="1:14">
      <c r="A32" s="4"/>
      <c r="B32" s="31"/>
      <c r="C32" s="32"/>
      <c r="D32" s="33" t="s">
        <v>16</v>
      </c>
      <c r="E32" s="34">
        <f>SUM(E28:E31)</f>
        <v>32</v>
      </c>
      <c r="F32" s="34">
        <f t="shared" ref="F32:H32" si="6">SUM(F28:F31)</f>
        <v>2</v>
      </c>
      <c r="G32" s="34">
        <f t="shared" si="6"/>
        <v>4</v>
      </c>
      <c r="H32" s="34">
        <f t="shared" si="6"/>
        <v>0</v>
      </c>
      <c r="I32" s="34">
        <f>SUM(I28:I31)</f>
        <v>148324872</v>
      </c>
      <c r="J32" s="34">
        <f t="shared" ref="J32:L32" si="7">SUM(J28:J31)</f>
        <v>0</v>
      </c>
      <c r="K32" s="34">
        <f t="shared" si="7"/>
        <v>128963973</v>
      </c>
      <c r="L32" s="34">
        <f t="shared" si="7"/>
        <v>0</v>
      </c>
      <c r="M32" s="4"/>
      <c r="N32" s="4"/>
    </row>
    <row r="33" spans="1:14">
      <c r="A33" s="4"/>
      <c r="B33" s="31"/>
      <c r="C33" s="32"/>
      <c r="D33" s="35" t="s">
        <v>17</v>
      </c>
      <c r="E33" s="30">
        <v>0</v>
      </c>
      <c r="F33" s="30">
        <v>0</v>
      </c>
      <c r="G33" s="30">
        <v>0</v>
      </c>
      <c r="H33" s="30">
        <v>0</v>
      </c>
      <c r="I33" s="36">
        <v>0</v>
      </c>
      <c r="J33" s="36">
        <v>0</v>
      </c>
      <c r="K33" s="30">
        <v>0</v>
      </c>
      <c r="L33" s="30">
        <v>0</v>
      </c>
      <c r="M33" s="4"/>
      <c r="N33" s="4"/>
    </row>
    <row r="34" spans="1:14">
      <c r="A34" s="4"/>
      <c r="B34" s="37"/>
      <c r="C34" s="38"/>
      <c r="D34" s="35" t="s">
        <v>18</v>
      </c>
      <c r="E34" s="30">
        <f>+E32</f>
        <v>32</v>
      </c>
      <c r="F34" s="30">
        <f>+F32</f>
        <v>2</v>
      </c>
      <c r="G34" s="30">
        <f>+G32</f>
        <v>4</v>
      </c>
      <c r="H34" s="30">
        <v>0</v>
      </c>
      <c r="I34" s="30">
        <f>+I32</f>
        <v>148324872</v>
      </c>
      <c r="J34" s="30">
        <v>0</v>
      </c>
      <c r="K34" s="30">
        <f>+K32</f>
        <v>128963973</v>
      </c>
      <c r="L34" s="30">
        <v>0</v>
      </c>
      <c r="M34" s="4"/>
      <c r="N34" s="4"/>
    </row>
    <row r="35" spans="1:14">
      <c r="A35" s="4"/>
      <c r="B35" s="39">
        <v>3</v>
      </c>
      <c r="C35" s="40" t="s">
        <v>20</v>
      </c>
      <c r="D35" s="16" t="s">
        <v>12</v>
      </c>
      <c r="E35" s="41">
        <v>2</v>
      </c>
      <c r="F35" s="41">
        <v>1</v>
      </c>
      <c r="G35" s="41">
        <v>2</v>
      </c>
      <c r="H35" s="17">
        <v>0</v>
      </c>
      <c r="I35" s="18">
        <v>303967830</v>
      </c>
      <c r="J35" s="18">
        <v>0</v>
      </c>
      <c r="K35" s="18">
        <v>354531431</v>
      </c>
      <c r="L35" s="17">
        <v>0</v>
      </c>
      <c r="M35" s="4"/>
      <c r="N35" s="4"/>
    </row>
    <row r="36" spans="1:14">
      <c r="A36" s="4"/>
      <c r="B36" s="42"/>
      <c r="C36" s="43"/>
      <c r="D36" s="16" t="s">
        <v>13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4"/>
      <c r="N36" s="4"/>
    </row>
    <row r="37" spans="1:14" ht="21">
      <c r="A37" s="4"/>
      <c r="B37" s="42"/>
      <c r="C37" s="43"/>
      <c r="D37" s="16" t="s">
        <v>14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4"/>
      <c r="N37" s="4"/>
    </row>
    <row r="38" spans="1:14">
      <c r="A38" s="4"/>
      <c r="B38" s="42"/>
      <c r="C38" s="43"/>
      <c r="D38" s="16" t="s">
        <v>15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4"/>
      <c r="N38" s="4"/>
    </row>
    <row r="39" spans="1:14">
      <c r="A39" s="4"/>
      <c r="B39" s="42"/>
      <c r="C39" s="43"/>
      <c r="D39" s="20" t="s">
        <v>16</v>
      </c>
      <c r="E39" s="21">
        <f>SUM(E35:E38)</f>
        <v>2</v>
      </c>
      <c r="F39" s="22">
        <f t="shared" ref="F39:H39" si="8">SUM(F35:F38)</f>
        <v>1</v>
      </c>
      <c r="G39" s="22">
        <f t="shared" si="8"/>
        <v>2</v>
      </c>
      <c r="H39" s="23">
        <f t="shared" si="8"/>
        <v>0</v>
      </c>
      <c r="I39" s="24">
        <f>SUM(I35:I38)</f>
        <v>303967830</v>
      </c>
      <c r="J39" s="24">
        <f t="shared" ref="H39:N40" si="9">SUM(J35:J38)</f>
        <v>0</v>
      </c>
      <c r="K39" s="24">
        <f t="shared" si="9"/>
        <v>354531431</v>
      </c>
      <c r="L39" s="24">
        <f t="shared" si="9"/>
        <v>0</v>
      </c>
      <c r="M39" s="4"/>
      <c r="N39" s="4"/>
    </row>
    <row r="40" spans="1:14">
      <c r="A40" s="4"/>
      <c r="B40" s="42"/>
      <c r="C40" s="43"/>
      <c r="D40" s="25" t="s">
        <v>17</v>
      </c>
      <c r="E40" s="41">
        <v>2</v>
      </c>
      <c r="F40" s="41">
        <v>1</v>
      </c>
      <c r="G40" s="41">
        <v>2</v>
      </c>
      <c r="H40" s="24">
        <f t="shared" si="9"/>
        <v>0</v>
      </c>
      <c r="I40" s="44">
        <f>+I39</f>
        <v>303967830</v>
      </c>
      <c r="J40" s="17">
        <v>0</v>
      </c>
      <c r="K40" s="44">
        <f>+K39</f>
        <v>354531431</v>
      </c>
      <c r="L40" s="17">
        <v>0</v>
      </c>
      <c r="M40" s="4"/>
      <c r="N40" s="4"/>
    </row>
    <row r="41" spans="1:14">
      <c r="A41" s="4"/>
      <c r="B41" s="45"/>
      <c r="C41" s="46"/>
      <c r="D41" s="25" t="s">
        <v>18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4"/>
      <c r="N41" s="4"/>
    </row>
    <row r="42" spans="1:14">
      <c r="A42" s="4"/>
      <c r="B42" s="39">
        <v>3</v>
      </c>
      <c r="C42" s="40" t="s">
        <v>20</v>
      </c>
      <c r="D42" s="16" t="s">
        <v>12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4"/>
      <c r="N42" s="4"/>
    </row>
    <row r="43" spans="1:14">
      <c r="A43" s="4"/>
      <c r="B43" s="42"/>
      <c r="C43" s="43"/>
      <c r="D43" s="16" t="s">
        <v>13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4"/>
      <c r="N43" s="4"/>
    </row>
    <row r="44" spans="1:14" ht="21">
      <c r="A44" s="4"/>
      <c r="B44" s="42"/>
      <c r="C44" s="43"/>
      <c r="D44" s="16" t="s">
        <v>14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4"/>
      <c r="N44" s="4"/>
    </row>
    <row r="45" spans="1:14">
      <c r="A45" s="4"/>
      <c r="B45" s="42"/>
      <c r="C45" s="43"/>
      <c r="D45" s="16" t="s">
        <v>15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4"/>
      <c r="N45" s="4"/>
    </row>
    <row r="46" spans="1:14">
      <c r="A46" s="4"/>
      <c r="B46" s="42"/>
      <c r="C46" s="43"/>
      <c r="D46" s="20" t="s">
        <v>16</v>
      </c>
      <c r="E46" s="21">
        <f>SUM(E42:E45)</f>
        <v>0</v>
      </c>
      <c r="F46" s="22">
        <f t="shared" ref="F46:H46" si="10">SUM(F42:F45)</f>
        <v>0</v>
      </c>
      <c r="G46" s="22">
        <f t="shared" si="10"/>
        <v>0</v>
      </c>
      <c r="H46" s="23">
        <f t="shared" si="10"/>
        <v>0</v>
      </c>
      <c r="I46" s="24">
        <f>SUM(I42:I45)</f>
        <v>0</v>
      </c>
      <c r="J46" s="24">
        <f t="shared" ref="J46:L46" si="11">SUM(J42:J45)</f>
        <v>0</v>
      </c>
      <c r="K46" s="24">
        <f t="shared" si="11"/>
        <v>0</v>
      </c>
      <c r="L46" s="24">
        <f t="shared" si="11"/>
        <v>0</v>
      </c>
      <c r="M46" s="4"/>
      <c r="N46" s="4"/>
    </row>
    <row r="47" spans="1:14">
      <c r="A47" s="4"/>
      <c r="B47" s="42"/>
      <c r="C47" s="43"/>
      <c r="D47" s="25" t="s">
        <v>17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4"/>
      <c r="N47" s="4"/>
    </row>
    <row r="48" spans="1:14">
      <c r="A48" s="4"/>
      <c r="B48" s="45"/>
      <c r="C48" s="46"/>
      <c r="D48" s="25" t="s">
        <v>18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4"/>
      <c r="N48" s="4"/>
    </row>
    <row r="49" spans="1:14">
      <c r="A49" s="4"/>
      <c r="B49" s="27">
        <v>4</v>
      </c>
      <c r="C49" s="28" t="s">
        <v>21</v>
      </c>
      <c r="D49" s="29" t="s">
        <v>12</v>
      </c>
      <c r="E49" s="30">
        <v>1</v>
      </c>
      <c r="F49" s="30">
        <v>0</v>
      </c>
      <c r="G49" s="30">
        <v>0</v>
      </c>
      <c r="H49" s="30">
        <v>0</v>
      </c>
      <c r="I49" s="30">
        <v>600000</v>
      </c>
      <c r="J49" s="30"/>
      <c r="K49" s="30"/>
      <c r="L49" s="30"/>
      <c r="M49" s="4"/>
      <c r="N49" s="4"/>
    </row>
    <row r="50" spans="1:14">
      <c r="A50" s="4"/>
      <c r="B50" s="31"/>
      <c r="C50" s="32"/>
      <c r="D50" s="29" t="s">
        <v>13</v>
      </c>
      <c r="E50" s="30"/>
      <c r="F50" s="30"/>
      <c r="G50" s="30"/>
      <c r="H50" s="30"/>
      <c r="I50" s="30"/>
      <c r="J50" s="30"/>
      <c r="K50" s="30"/>
      <c r="L50" s="30"/>
      <c r="M50" s="4"/>
      <c r="N50" s="4"/>
    </row>
    <row r="51" spans="1:14" ht="21">
      <c r="A51" s="4"/>
      <c r="B51" s="31"/>
      <c r="C51" s="32"/>
      <c r="D51" s="29" t="s">
        <v>14</v>
      </c>
      <c r="E51" s="30"/>
      <c r="F51" s="30"/>
      <c r="G51" s="30"/>
      <c r="H51" s="30"/>
      <c r="I51" s="30"/>
      <c r="J51" s="30"/>
      <c r="K51" s="30"/>
      <c r="L51" s="30"/>
      <c r="M51" s="4"/>
      <c r="N51" s="4"/>
    </row>
    <row r="52" spans="1:14">
      <c r="A52" s="4"/>
      <c r="B52" s="31"/>
      <c r="C52" s="32"/>
      <c r="D52" s="29" t="s">
        <v>15</v>
      </c>
      <c r="E52" s="30">
        <v>3</v>
      </c>
      <c r="F52" s="30">
        <v>1</v>
      </c>
      <c r="G52" s="30">
        <v>0</v>
      </c>
      <c r="H52" s="30">
        <v>0</v>
      </c>
      <c r="I52" s="30">
        <v>400000</v>
      </c>
      <c r="J52" s="30">
        <v>0</v>
      </c>
      <c r="K52" s="30">
        <v>0</v>
      </c>
      <c r="L52" s="30">
        <v>0</v>
      </c>
      <c r="M52" s="4"/>
      <c r="N52" s="4"/>
    </row>
    <row r="53" spans="1:14">
      <c r="A53" s="4"/>
      <c r="B53" s="31"/>
      <c r="C53" s="32"/>
      <c r="D53" s="33" t="s">
        <v>16</v>
      </c>
      <c r="E53" s="34">
        <f>SUM(E49:E52)</f>
        <v>4</v>
      </c>
      <c r="F53" s="34">
        <f t="shared" ref="F53:H53" si="12">SUM(F49:F52)</f>
        <v>1</v>
      </c>
      <c r="G53" s="34">
        <f t="shared" si="12"/>
        <v>0</v>
      </c>
      <c r="H53" s="34">
        <f t="shared" si="12"/>
        <v>0</v>
      </c>
      <c r="I53" s="34">
        <f>SUM(I49:I52)</f>
        <v>1000000</v>
      </c>
      <c r="J53" s="34">
        <f t="shared" ref="J53:L54" si="13">SUM(J49:J52)</f>
        <v>0</v>
      </c>
      <c r="K53" s="34">
        <f t="shared" si="13"/>
        <v>0</v>
      </c>
      <c r="L53" s="34">
        <f t="shared" si="13"/>
        <v>0</v>
      </c>
      <c r="M53" s="4"/>
      <c r="N53" s="4"/>
    </row>
    <row r="54" spans="1:14">
      <c r="A54" s="4"/>
      <c r="B54" s="31"/>
      <c r="C54" s="32"/>
      <c r="D54" s="35" t="s">
        <v>17</v>
      </c>
      <c r="E54" s="30">
        <v>1</v>
      </c>
      <c r="F54" s="30">
        <v>0</v>
      </c>
      <c r="G54" s="30">
        <f t="shared" ref="G54:L54" si="14">+G53</f>
        <v>0</v>
      </c>
      <c r="H54" s="30">
        <f t="shared" si="14"/>
        <v>0</v>
      </c>
      <c r="I54" s="36">
        <f>+I49</f>
        <v>600000</v>
      </c>
      <c r="J54" s="36">
        <f t="shared" si="14"/>
        <v>0</v>
      </c>
      <c r="K54" s="30">
        <f t="shared" si="13"/>
        <v>0</v>
      </c>
      <c r="L54" s="30">
        <f t="shared" si="14"/>
        <v>0</v>
      </c>
      <c r="M54" s="4"/>
      <c r="N54" s="4"/>
    </row>
    <row r="55" spans="1:14">
      <c r="A55" s="4"/>
      <c r="B55" s="37"/>
      <c r="C55" s="38"/>
      <c r="D55" s="35" t="s">
        <v>18</v>
      </c>
      <c r="E55" s="30">
        <v>3</v>
      </c>
      <c r="F55" s="30">
        <v>1</v>
      </c>
      <c r="G55" s="30">
        <v>0</v>
      </c>
      <c r="H55" s="30">
        <v>0</v>
      </c>
      <c r="I55" s="30">
        <f>+I52</f>
        <v>400000</v>
      </c>
      <c r="J55" s="30">
        <v>0</v>
      </c>
      <c r="K55" s="30">
        <v>0</v>
      </c>
      <c r="L55" s="30">
        <v>0</v>
      </c>
      <c r="M55" s="4"/>
      <c r="N55" s="4"/>
    </row>
    <row r="56" spans="1:14">
      <c r="A56" s="4"/>
      <c r="B56" s="27">
        <v>4</v>
      </c>
      <c r="C56" s="28" t="s">
        <v>21</v>
      </c>
      <c r="D56" s="29" t="s">
        <v>12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4"/>
      <c r="N56" s="4"/>
    </row>
    <row r="57" spans="1:14">
      <c r="A57" s="4"/>
      <c r="B57" s="31"/>
      <c r="C57" s="32"/>
      <c r="D57" s="29" t="s">
        <v>13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4"/>
      <c r="N57" s="4"/>
    </row>
    <row r="58" spans="1:14" ht="21">
      <c r="A58" s="4"/>
      <c r="B58" s="31"/>
      <c r="C58" s="32"/>
      <c r="D58" s="29" t="s">
        <v>14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4"/>
      <c r="N58" s="4"/>
    </row>
    <row r="59" spans="1:14">
      <c r="A59" s="4"/>
      <c r="B59" s="31"/>
      <c r="C59" s="32"/>
      <c r="D59" s="29" t="s">
        <v>15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4"/>
      <c r="N59" s="4"/>
    </row>
    <row r="60" spans="1:14">
      <c r="A60" s="4"/>
      <c r="B60" s="31"/>
      <c r="C60" s="32"/>
      <c r="D60" s="33" t="s">
        <v>16</v>
      </c>
      <c r="E60" s="34">
        <f>SUM(E56:E59)</f>
        <v>0</v>
      </c>
      <c r="F60" s="34">
        <f t="shared" ref="F60:H60" si="15">SUM(F56:F59)</f>
        <v>0</v>
      </c>
      <c r="G60" s="34">
        <f t="shared" si="15"/>
        <v>0</v>
      </c>
      <c r="H60" s="34">
        <f t="shared" si="15"/>
        <v>0</v>
      </c>
      <c r="I60" s="34">
        <f>SUM(I56:I59)</f>
        <v>0</v>
      </c>
      <c r="J60" s="34">
        <f t="shared" ref="J60:L60" si="16">SUM(J56:J59)</f>
        <v>0</v>
      </c>
      <c r="K60" s="34">
        <f t="shared" si="16"/>
        <v>0</v>
      </c>
      <c r="L60" s="34">
        <f t="shared" si="16"/>
        <v>0</v>
      </c>
      <c r="M60" s="4"/>
      <c r="N60" s="4"/>
    </row>
    <row r="61" spans="1:14">
      <c r="A61" s="4"/>
      <c r="B61" s="31"/>
      <c r="C61" s="32"/>
      <c r="D61" s="35" t="s">
        <v>17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4"/>
      <c r="N61" s="4"/>
    </row>
    <row r="62" spans="1:14">
      <c r="A62" s="4"/>
      <c r="B62" s="37"/>
      <c r="C62" s="38"/>
      <c r="D62" s="35" t="s">
        <v>18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4"/>
      <c r="N62" s="4"/>
    </row>
    <row r="63" spans="1:14">
      <c r="A63" s="4"/>
      <c r="B63" s="47">
        <v>5</v>
      </c>
      <c r="C63" s="40" t="s">
        <v>22</v>
      </c>
      <c r="D63" s="16" t="s">
        <v>12</v>
      </c>
      <c r="E63" s="41">
        <v>1</v>
      </c>
      <c r="F63" s="17">
        <v>1</v>
      </c>
      <c r="G63" s="17">
        <v>0</v>
      </c>
      <c r="H63" s="17">
        <v>0</v>
      </c>
      <c r="I63" s="48">
        <v>83919479</v>
      </c>
      <c r="J63" s="49">
        <v>56239333</v>
      </c>
      <c r="K63" s="49">
        <v>0</v>
      </c>
      <c r="L63" s="49"/>
      <c r="M63" s="4"/>
      <c r="N63" s="4"/>
    </row>
    <row r="64" spans="1:14">
      <c r="A64" s="4"/>
      <c r="B64" s="50"/>
      <c r="C64" s="43"/>
      <c r="D64" s="16" t="s">
        <v>13</v>
      </c>
      <c r="E64" s="51">
        <v>0</v>
      </c>
      <c r="F64" s="17">
        <v>0</v>
      </c>
      <c r="G64" s="17">
        <v>0</v>
      </c>
      <c r="H64" s="17">
        <v>0</v>
      </c>
      <c r="I64" s="51">
        <v>0</v>
      </c>
      <c r="J64" s="49">
        <v>0</v>
      </c>
      <c r="K64" s="49">
        <v>0</v>
      </c>
      <c r="L64" s="49">
        <v>0</v>
      </c>
      <c r="M64" s="4"/>
      <c r="N64" s="4"/>
    </row>
    <row r="65" spans="1:14" ht="21">
      <c r="A65" s="4"/>
      <c r="B65" s="50"/>
      <c r="C65" s="43"/>
      <c r="D65" s="16" t="s">
        <v>14</v>
      </c>
      <c r="E65" s="51">
        <v>0</v>
      </c>
      <c r="F65" s="17">
        <v>0</v>
      </c>
      <c r="G65" s="17">
        <v>0</v>
      </c>
      <c r="H65" s="17">
        <v>0</v>
      </c>
      <c r="I65" s="51">
        <v>0</v>
      </c>
      <c r="J65" s="49"/>
      <c r="K65" s="49"/>
      <c r="L65" s="49"/>
      <c r="M65" s="4"/>
      <c r="N65" s="4"/>
    </row>
    <row r="66" spans="1:14">
      <c r="A66" s="4"/>
      <c r="B66" s="50"/>
      <c r="C66" s="43"/>
      <c r="D66" s="16" t="s">
        <v>15</v>
      </c>
      <c r="E66" s="41">
        <v>0</v>
      </c>
      <c r="F66" s="17">
        <v>0</v>
      </c>
      <c r="G66" s="17">
        <v>0</v>
      </c>
      <c r="H66" s="17">
        <v>0</v>
      </c>
      <c r="I66" s="51">
        <v>0</v>
      </c>
      <c r="J66" s="49">
        <v>0</v>
      </c>
      <c r="K66" s="49"/>
      <c r="L66" s="49">
        <v>0</v>
      </c>
      <c r="M66" s="4"/>
      <c r="N66" s="4"/>
    </row>
    <row r="67" spans="1:14">
      <c r="A67" s="4"/>
      <c r="B67" s="50"/>
      <c r="C67" s="43"/>
      <c r="D67" s="20" t="s">
        <v>16</v>
      </c>
      <c r="E67" s="52">
        <f>SUM(E63:E66)</f>
        <v>1</v>
      </c>
      <c r="F67" s="52">
        <f t="shared" ref="F67:H67" si="17">SUM(F63:F66)</f>
        <v>1</v>
      </c>
      <c r="G67" s="52">
        <f t="shared" si="17"/>
        <v>0</v>
      </c>
      <c r="H67" s="52">
        <f t="shared" si="17"/>
        <v>0</v>
      </c>
      <c r="I67" s="24">
        <f>SUM(I63:I66)</f>
        <v>83919479</v>
      </c>
      <c r="J67" s="24">
        <f t="shared" ref="J67:L67" si="18">SUM(J63:J66)</f>
        <v>56239333</v>
      </c>
      <c r="K67" s="24">
        <f t="shared" si="18"/>
        <v>0</v>
      </c>
      <c r="L67" s="24">
        <f t="shared" si="18"/>
        <v>0</v>
      </c>
      <c r="M67" s="4"/>
      <c r="N67" s="4"/>
    </row>
    <row r="68" spans="1:14">
      <c r="A68" s="4"/>
      <c r="B68" s="50"/>
      <c r="C68" s="43"/>
      <c r="D68" s="25" t="s">
        <v>17</v>
      </c>
      <c r="E68" s="41">
        <v>1</v>
      </c>
      <c r="F68" s="17">
        <v>1</v>
      </c>
      <c r="G68" s="17">
        <v>0</v>
      </c>
      <c r="H68" s="17">
        <v>0</v>
      </c>
      <c r="I68" s="51">
        <f>+I67</f>
        <v>83919479</v>
      </c>
      <c r="J68" s="49">
        <f>+J67</f>
        <v>56239333</v>
      </c>
      <c r="K68" s="49">
        <v>0</v>
      </c>
      <c r="L68" s="49">
        <v>0</v>
      </c>
      <c r="M68" s="4"/>
      <c r="N68" s="4"/>
    </row>
    <row r="69" spans="1:14">
      <c r="A69" s="4"/>
      <c r="B69" s="53"/>
      <c r="C69" s="46"/>
      <c r="D69" s="25" t="s">
        <v>18</v>
      </c>
      <c r="E69" s="41">
        <v>0</v>
      </c>
      <c r="F69" s="17">
        <v>0</v>
      </c>
      <c r="G69" s="17">
        <v>0</v>
      </c>
      <c r="H69" s="17">
        <v>0</v>
      </c>
      <c r="I69" s="51">
        <v>0</v>
      </c>
      <c r="J69" s="49">
        <v>0</v>
      </c>
      <c r="K69" s="49">
        <v>0</v>
      </c>
      <c r="L69" s="49">
        <v>0</v>
      </c>
      <c r="M69" s="4"/>
      <c r="N69" s="4"/>
    </row>
    <row r="70" spans="1:14">
      <c r="A70" s="4"/>
      <c r="B70" s="47">
        <v>5</v>
      </c>
      <c r="C70" s="40" t="s">
        <v>22</v>
      </c>
      <c r="D70" s="16" t="s">
        <v>12</v>
      </c>
      <c r="E70" s="41">
        <v>2</v>
      </c>
      <c r="F70" s="17">
        <v>0</v>
      </c>
      <c r="G70" s="17">
        <v>0</v>
      </c>
      <c r="H70" s="17">
        <v>0</v>
      </c>
      <c r="I70" s="48">
        <v>63210700</v>
      </c>
      <c r="J70" s="49">
        <v>0</v>
      </c>
      <c r="K70" s="49">
        <v>0</v>
      </c>
      <c r="L70" s="49">
        <v>0</v>
      </c>
      <c r="M70" s="4"/>
      <c r="N70" s="4"/>
    </row>
    <row r="71" spans="1:14">
      <c r="A71" s="4"/>
      <c r="B71" s="50"/>
      <c r="C71" s="43"/>
      <c r="D71" s="16" t="s">
        <v>13</v>
      </c>
      <c r="E71" s="51">
        <v>1</v>
      </c>
      <c r="F71" s="17">
        <v>0</v>
      </c>
      <c r="G71" s="17">
        <v>0</v>
      </c>
      <c r="H71" s="17">
        <v>0</v>
      </c>
      <c r="I71" s="51">
        <v>50021071</v>
      </c>
      <c r="J71" s="49">
        <v>0</v>
      </c>
      <c r="K71" s="49">
        <v>0</v>
      </c>
      <c r="L71" s="49">
        <v>0</v>
      </c>
      <c r="M71" s="4"/>
      <c r="N71" s="4"/>
    </row>
    <row r="72" spans="1:14" ht="21">
      <c r="A72" s="4"/>
      <c r="B72" s="50"/>
      <c r="C72" s="43"/>
      <c r="D72" s="16" t="s">
        <v>14</v>
      </c>
      <c r="E72" s="51">
        <v>0</v>
      </c>
      <c r="F72" s="17">
        <v>2</v>
      </c>
      <c r="G72" s="17">
        <v>0</v>
      </c>
      <c r="H72" s="17">
        <v>0</v>
      </c>
      <c r="I72" s="51">
        <v>0</v>
      </c>
      <c r="J72" s="49">
        <v>26768164</v>
      </c>
      <c r="K72" s="49">
        <v>0</v>
      </c>
      <c r="L72" s="49">
        <v>0</v>
      </c>
      <c r="M72" s="4"/>
      <c r="N72" s="4"/>
    </row>
    <row r="73" spans="1:14">
      <c r="A73" s="4"/>
      <c r="B73" s="50"/>
      <c r="C73" s="43"/>
      <c r="D73" s="16" t="s">
        <v>15</v>
      </c>
      <c r="E73" s="41">
        <v>2</v>
      </c>
      <c r="F73" s="17">
        <v>1</v>
      </c>
      <c r="G73" s="17">
        <v>0</v>
      </c>
      <c r="H73" s="17">
        <v>0</v>
      </c>
      <c r="I73" s="51">
        <v>6188635</v>
      </c>
      <c r="J73" s="49">
        <v>9807863</v>
      </c>
      <c r="K73" s="49">
        <v>0</v>
      </c>
      <c r="L73" s="49">
        <v>0</v>
      </c>
      <c r="M73" s="4"/>
      <c r="N73" s="4"/>
    </row>
    <row r="74" spans="1:14">
      <c r="A74" s="4"/>
      <c r="B74" s="50"/>
      <c r="C74" s="43"/>
      <c r="D74" s="20" t="s">
        <v>16</v>
      </c>
      <c r="E74" s="52">
        <f>SUM(E70:E73)</f>
        <v>5</v>
      </c>
      <c r="F74" s="52">
        <f t="shared" ref="F74:H74" si="19">SUM(F70:F73)</f>
        <v>3</v>
      </c>
      <c r="G74" s="52">
        <f t="shared" si="19"/>
        <v>0</v>
      </c>
      <c r="H74" s="52">
        <f t="shared" si="19"/>
        <v>0</v>
      </c>
      <c r="I74" s="24">
        <f>SUM(I70:I73)</f>
        <v>119420406</v>
      </c>
      <c r="J74" s="24">
        <f t="shared" ref="J74:L74" si="20">SUM(J70:J73)</f>
        <v>36576027</v>
      </c>
      <c r="K74" s="24">
        <f t="shared" si="20"/>
        <v>0</v>
      </c>
      <c r="L74" s="24">
        <f t="shared" si="20"/>
        <v>0</v>
      </c>
      <c r="M74" s="4"/>
      <c r="N74" s="4"/>
    </row>
    <row r="75" spans="1:14">
      <c r="A75" s="4"/>
      <c r="B75" s="50"/>
      <c r="C75" s="43"/>
      <c r="D75" s="25" t="s">
        <v>17</v>
      </c>
      <c r="E75" s="41">
        <v>0</v>
      </c>
      <c r="F75" s="17">
        <v>0</v>
      </c>
      <c r="G75" s="17">
        <v>0</v>
      </c>
      <c r="H75" s="17">
        <v>0</v>
      </c>
      <c r="I75" s="51">
        <v>0</v>
      </c>
      <c r="J75" s="49">
        <v>0</v>
      </c>
      <c r="K75" s="49">
        <v>0</v>
      </c>
      <c r="L75" s="49">
        <v>0</v>
      </c>
      <c r="M75" s="4"/>
      <c r="N75" s="4"/>
    </row>
    <row r="76" spans="1:14">
      <c r="A76" s="4"/>
      <c r="B76" s="53"/>
      <c r="C76" s="46"/>
      <c r="D76" s="25" t="s">
        <v>18</v>
      </c>
      <c r="E76" s="41">
        <f>+E74</f>
        <v>5</v>
      </c>
      <c r="F76" s="17">
        <f>+F74</f>
        <v>3</v>
      </c>
      <c r="G76" s="17">
        <v>0</v>
      </c>
      <c r="H76" s="17">
        <v>0</v>
      </c>
      <c r="I76" s="51">
        <f>+I74</f>
        <v>119420406</v>
      </c>
      <c r="J76" s="49">
        <f>+J74</f>
        <v>36576027</v>
      </c>
      <c r="K76" s="49">
        <v>0</v>
      </c>
      <c r="L76" s="49">
        <v>0</v>
      </c>
      <c r="M76" s="4"/>
      <c r="N76" s="4"/>
    </row>
    <row r="77" spans="1:14">
      <c r="A77" s="4"/>
      <c r="B77" s="27">
        <v>6</v>
      </c>
      <c r="C77" s="28" t="s">
        <v>23</v>
      </c>
      <c r="D77" s="29" t="s">
        <v>12</v>
      </c>
      <c r="E77" s="30">
        <v>7</v>
      </c>
      <c r="F77" s="30">
        <v>6</v>
      </c>
      <c r="G77" s="30">
        <v>13</v>
      </c>
      <c r="H77" s="30">
        <v>3</v>
      </c>
      <c r="I77" s="30">
        <v>462695193</v>
      </c>
      <c r="J77" s="30">
        <v>214381910</v>
      </c>
      <c r="K77" s="30">
        <v>1821876431</v>
      </c>
      <c r="L77" s="30">
        <v>266334551</v>
      </c>
      <c r="M77" s="4"/>
      <c r="N77" s="4"/>
    </row>
    <row r="78" spans="1:14">
      <c r="A78" s="4"/>
      <c r="B78" s="31"/>
      <c r="C78" s="32"/>
      <c r="D78" s="29" t="s">
        <v>13</v>
      </c>
      <c r="E78" s="30">
        <v>21</v>
      </c>
      <c r="F78" s="30">
        <v>4</v>
      </c>
      <c r="G78" s="30">
        <v>1</v>
      </c>
      <c r="H78" s="30">
        <v>0</v>
      </c>
      <c r="I78" s="30">
        <v>540878341</v>
      </c>
      <c r="J78" s="30">
        <v>97089664</v>
      </c>
      <c r="K78" s="30">
        <v>24152410</v>
      </c>
      <c r="L78" s="30"/>
      <c r="M78" s="4"/>
      <c r="N78" s="4"/>
    </row>
    <row r="79" spans="1:14" ht="21">
      <c r="A79" s="4"/>
      <c r="B79" s="31"/>
      <c r="C79" s="32"/>
      <c r="D79" s="29" t="s">
        <v>14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4"/>
      <c r="N79" s="4"/>
    </row>
    <row r="80" spans="1:14">
      <c r="A80" s="4"/>
      <c r="B80" s="31"/>
      <c r="C80" s="32"/>
      <c r="D80" s="29" t="s">
        <v>15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4"/>
      <c r="N80" s="4"/>
    </row>
    <row r="81" spans="1:14">
      <c r="A81" s="4"/>
      <c r="B81" s="31"/>
      <c r="C81" s="32"/>
      <c r="D81" s="33" t="s">
        <v>16</v>
      </c>
      <c r="E81" s="34">
        <f>SUM(E77:E80)</f>
        <v>28</v>
      </c>
      <c r="F81" s="34">
        <f t="shared" ref="F81:H81" si="21">SUM(F77:F80)</f>
        <v>10</v>
      </c>
      <c r="G81" s="34">
        <f t="shared" si="21"/>
        <v>14</v>
      </c>
      <c r="H81" s="34">
        <f t="shared" si="21"/>
        <v>3</v>
      </c>
      <c r="I81" s="34">
        <f>SUM(I77:I80)</f>
        <v>1003573534</v>
      </c>
      <c r="J81" s="34">
        <f t="shared" ref="J81:L81" si="22">SUM(J77:J80)</f>
        <v>311471574</v>
      </c>
      <c r="K81" s="34">
        <f t="shared" si="22"/>
        <v>1846028841</v>
      </c>
      <c r="L81" s="34">
        <f t="shared" si="22"/>
        <v>266334551</v>
      </c>
      <c r="M81" s="4"/>
      <c r="N81" s="4"/>
    </row>
    <row r="82" spans="1:14">
      <c r="A82" s="4"/>
      <c r="B82" s="31"/>
      <c r="C82" s="32"/>
      <c r="D82" s="35" t="s">
        <v>17</v>
      </c>
      <c r="E82" s="30">
        <f t="shared" ref="E82:L82" si="23">+E81</f>
        <v>28</v>
      </c>
      <c r="F82" s="30">
        <f t="shared" si="23"/>
        <v>10</v>
      </c>
      <c r="G82" s="30">
        <f t="shared" si="23"/>
        <v>14</v>
      </c>
      <c r="H82" s="30">
        <f t="shared" si="23"/>
        <v>3</v>
      </c>
      <c r="I82" s="36">
        <f t="shared" si="23"/>
        <v>1003573534</v>
      </c>
      <c r="J82" s="36">
        <f t="shared" si="23"/>
        <v>311471574</v>
      </c>
      <c r="K82" s="30">
        <f t="shared" si="23"/>
        <v>1846028841</v>
      </c>
      <c r="L82" s="30">
        <f t="shared" si="23"/>
        <v>266334551</v>
      </c>
      <c r="M82" s="4"/>
      <c r="N82" s="4"/>
    </row>
    <row r="83" spans="1:14">
      <c r="A83" s="4"/>
      <c r="B83" s="37"/>
      <c r="C83" s="38"/>
      <c r="D83" s="35" t="s">
        <v>18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4"/>
      <c r="N83" s="4"/>
    </row>
    <row r="84" spans="1:14">
      <c r="A84" s="4"/>
      <c r="B84" s="27">
        <v>6</v>
      </c>
      <c r="C84" s="28" t="s">
        <v>23</v>
      </c>
      <c r="D84" s="29" t="s">
        <v>12</v>
      </c>
      <c r="E84" s="30">
        <v>0</v>
      </c>
      <c r="F84" s="30">
        <v>0</v>
      </c>
      <c r="G84" s="30">
        <v>9</v>
      </c>
      <c r="H84" s="30">
        <v>0</v>
      </c>
      <c r="I84" s="30">
        <v>0</v>
      </c>
      <c r="J84" s="30">
        <v>0</v>
      </c>
      <c r="K84" s="30">
        <v>904780300</v>
      </c>
      <c r="L84" s="30">
        <v>0</v>
      </c>
      <c r="M84" s="4"/>
      <c r="N84" s="4"/>
    </row>
    <row r="85" spans="1:14">
      <c r="A85" s="4"/>
      <c r="B85" s="31"/>
      <c r="C85" s="32"/>
      <c r="D85" s="29" t="s">
        <v>13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4"/>
      <c r="N85" s="4"/>
    </row>
    <row r="86" spans="1:14" ht="21">
      <c r="A86" s="4"/>
      <c r="B86" s="31"/>
      <c r="C86" s="32"/>
      <c r="D86" s="29" t="s">
        <v>14</v>
      </c>
      <c r="E86" s="30">
        <v>1</v>
      </c>
      <c r="F86" s="30">
        <v>1</v>
      </c>
      <c r="G86" s="30">
        <v>0</v>
      </c>
      <c r="H86" s="30">
        <v>0</v>
      </c>
      <c r="I86" s="30">
        <v>85896905</v>
      </c>
      <c r="J86" s="30">
        <v>0</v>
      </c>
      <c r="K86" s="30">
        <v>0</v>
      </c>
      <c r="L86" s="30">
        <v>0</v>
      </c>
      <c r="M86" s="4"/>
      <c r="N86" s="4"/>
    </row>
    <row r="87" spans="1:14">
      <c r="A87" s="4"/>
      <c r="B87" s="31"/>
      <c r="C87" s="32"/>
      <c r="D87" s="29" t="s">
        <v>15</v>
      </c>
      <c r="E87" s="30">
        <v>1</v>
      </c>
      <c r="F87" s="30">
        <v>0</v>
      </c>
      <c r="G87" s="30">
        <v>0</v>
      </c>
      <c r="H87" s="30">
        <v>0</v>
      </c>
      <c r="I87" s="30">
        <v>8179335</v>
      </c>
      <c r="J87" s="30">
        <v>0</v>
      </c>
      <c r="K87" s="30">
        <v>0</v>
      </c>
      <c r="L87" s="30">
        <v>0</v>
      </c>
      <c r="M87" s="4"/>
      <c r="N87" s="4"/>
    </row>
    <row r="88" spans="1:14">
      <c r="A88" s="4"/>
      <c r="B88" s="31"/>
      <c r="C88" s="32"/>
      <c r="D88" s="33" t="s">
        <v>16</v>
      </c>
      <c r="E88" s="34">
        <f>SUM(E84:E87)</f>
        <v>2</v>
      </c>
      <c r="F88" s="34">
        <f t="shared" ref="F88:H88" si="24">SUM(F84:F87)</f>
        <v>1</v>
      </c>
      <c r="G88" s="34">
        <f t="shared" si="24"/>
        <v>9</v>
      </c>
      <c r="H88" s="34">
        <f t="shared" si="24"/>
        <v>0</v>
      </c>
      <c r="I88" s="34">
        <f>SUM(I84:I87)</f>
        <v>94076240</v>
      </c>
      <c r="J88" s="34">
        <f t="shared" ref="J88:L88" si="25">SUM(J84:J87)</f>
        <v>0</v>
      </c>
      <c r="K88" s="34">
        <f t="shared" si="25"/>
        <v>904780300</v>
      </c>
      <c r="L88" s="34">
        <f t="shared" si="25"/>
        <v>0</v>
      </c>
      <c r="M88" s="4"/>
      <c r="N88" s="4"/>
    </row>
    <row r="89" spans="1:14">
      <c r="A89" s="4"/>
      <c r="B89" s="31"/>
      <c r="C89" s="32"/>
      <c r="D89" s="35" t="s">
        <v>17</v>
      </c>
      <c r="E89" s="30">
        <v>0</v>
      </c>
      <c r="F89" s="30">
        <v>0</v>
      </c>
      <c r="G89" s="30">
        <v>0</v>
      </c>
      <c r="H89" s="30">
        <v>0</v>
      </c>
      <c r="I89" s="36">
        <v>0</v>
      </c>
      <c r="J89" s="36">
        <v>0</v>
      </c>
      <c r="K89" s="30">
        <v>0</v>
      </c>
      <c r="L89" s="30">
        <v>0</v>
      </c>
      <c r="M89" s="4"/>
      <c r="N89" s="4"/>
    </row>
    <row r="90" spans="1:14">
      <c r="A90" s="4"/>
      <c r="B90" s="37"/>
      <c r="C90" s="38"/>
      <c r="D90" s="35" t="s">
        <v>18</v>
      </c>
      <c r="E90" s="30">
        <f>+E88</f>
        <v>2</v>
      </c>
      <c r="F90" s="30">
        <f>+F88</f>
        <v>1</v>
      </c>
      <c r="G90" s="30">
        <f>+G88</f>
        <v>9</v>
      </c>
      <c r="H90" s="30">
        <v>0</v>
      </c>
      <c r="I90" s="30">
        <f t="shared" ref="I90:K90" si="26">+I88</f>
        <v>94076240</v>
      </c>
      <c r="J90" s="30">
        <f t="shared" si="26"/>
        <v>0</v>
      </c>
      <c r="K90" s="30">
        <f t="shared" si="26"/>
        <v>904780300</v>
      </c>
      <c r="L90" s="30">
        <v>0</v>
      </c>
      <c r="M90" s="4"/>
      <c r="N90" s="4"/>
    </row>
    <row r="91" spans="1:14">
      <c r="A91" s="4"/>
      <c r="B91" s="47">
        <v>7</v>
      </c>
      <c r="C91" s="40" t="s">
        <v>24</v>
      </c>
      <c r="D91" s="16" t="s">
        <v>12</v>
      </c>
      <c r="E91" s="41">
        <v>5</v>
      </c>
      <c r="F91" s="41">
        <v>6</v>
      </c>
      <c r="G91" s="54">
        <v>25</v>
      </c>
      <c r="H91" s="55">
        <v>5</v>
      </c>
      <c r="I91" s="56" t="s">
        <v>25</v>
      </c>
      <c r="J91" s="56" t="s">
        <v>25</v>
      </c>
      <c r="K91" s="56" t="s">
        <v>25</v>
      </c>
      <c r="L91" s="56" t="s">
        <v>25</v>
      </c>
      <c r="M91" s="4"/>
      <c r="N91" s="4"/>
    </row>
    <row r="92" spans="1:14">
      <c r="A92" s="4"/>
      <c r="B92" s="50"/>
      <c r="C92" s="43"/>
      <c r="D92" s="16" t="s">
        <v>13</v>
      </c>
      <c r="E92" s="41">
        <v>1</v>
      </c>
      <c r="F92" s="41">
        <v>2</v>
      </c>
      <c r="G92" s="17">
        <v>0</v>
      </c>
      <c r="H92" s="17">
        <v>0</v>
      </c>
      <c r="I92" s="56" t="s">
        <v>25</v>
      </c>
      <c r="J92" s="56" t="s">
        <v>25</v>
      </c>
      <c r="K92" s="17">
        <v>0</v>
      </c>
      <c r="L92" s="17">
        <v>0</v>
      </c>
      <c r="M92" s="4"/>
      <c r="N92" s="4"/>
    </row>
    <row r="93" spans="1:14" ht="21">
      <c r="A93" s="4"/>
      <c r="B93" s="50"/>
      <c r="C93" s="43"/>
      <c r="D93" s="16" t="s">
        <v>14</v>
      </c>
      <c r="E93" s="17">
        <v>1</v>
      </c>
      <c r="F93" s="17">
        <v>1</v>
      </c>
      <c r="G93" s="17">
        <v>0</v>
      </c>
      <c r="H93" s="17">
        <v>0</v>
      </c>
      <c r="I93" s="56" t="s">
        <v>25</v>
      </c>
      <c r="J93" s="56" t="s">
        <v>25</v>
      </c>
      <c r="K93" s="17">
        <v>0</v>
      </c>
      <c r="L93" s="17">
        <v>0</v>
      </c>
      <c r="M93" s="4"/>
      <c r="N93" s="4"/>
    </row>
    <row r="94" spans="1:14">
      <c r="A94" s="4"/>
      <c r="B94" s="50"/>
      <c r="C94" s="43"/>
      <c r="D94" s="16" t="s">
        <v>15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4"/>
      <c r="N94" s="4"/>
    </row>
    <row r="95" spans="1:14">
      <c r="A95" s="4"/>
      <c r="B95" s="50"/>
      <c r="C95" s="43"/>
      <c r="D95" s="20" t="s">
        <v>16</v>
      </c>
      <c r="E95" s="52">
        <f>SUM(E91:E94)</f>
        <v>7</v>
      </c>
      <c r="F95" s="52">
        <f t="shared" ref="F95:H95" si="27">SUM(F91:F94)</f>
        <v>9</v>
      </c>
      <c r="G95" s="52">
        <f t="shared" si="27"/>
        <v>25</v>
      </c>
      <c r="H95" s="52">
        <f t="shared" si="27"/>
        <v>5</v>
      </c>
      <c r="I95" s="24">
        <f>SUM(I91:I94)</f>
        <v>0</v>
      </c>
      <c r="J95" s="24">
        <f t="shared" ref="J95:L95" si="28">SUM(J91:J94)</f>
        <v>0</v>
      </c>
      <c r="K95" s="24">
        <f t="shared" si="28"/>
        <v>0</v>
      </c>
      <c r="L95" s="24">
        <f t="shared" si="28"/>
        <v>0</v>
      </c>
      <c r="M95" s="4"/>
      <c r="N95" s="4"/>
    </row>
    <row r="96" spans="1:14">
      <c r="A96" s="4"/>
      <c r="B96" s="50"/>
      <c r="C96" s="43"/>
      <c r="D96" s="25" t="s">
        <v>17</v>
      </c>
      <c r="E96" s="52">
        <f t="shared" ref="E96:L96" si="29">+E95</f>
        <v>7</v>
      </c>
      <c r="F96" s="52">
        <f t="shared" si="29"/>
        <v>9</v>
      </c>
      <c r="G96" s="52">
        <f t="shared" si="29"/>
        <v>25</v>
      </c>
      <c r="H96" s="52">
        <f t="shared" si="29"/>
        <v>5</v>
      </c>
      <c r="I96" s="57">
        <f t="shared" si="29"/>
        <v>0</v>
      </c>
      <c r="J96" s="57">
        <f t="shared" si="29"/>
        <v>0</v>
      </c>
      <c r="K96" s="57">
        <f t="shared" si="29"/>
        <v>0</v>
      </c>
      <c r="L96" s="57">
        <f t="shared" si="29"/>
        <v>0</v>
      </c>
      <c r="M96" s="4"/>
      <c r="N96" s="4"/>
    </row>
    <row r="97" spans="1:14">
      <c r="A97" s="4"/>
      <c r="B97" s="53"/>
      <c r="C97" s="46"/>
      <c r="D97" s="25" t="s">
        <v>18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4"/>
      <c r="N97" s="4"/>
    </row>
    <row r="98" spans="1:14">
      <c r="A98" s="4"/>
      <c r="B98" s="47">
        <v>7</v>
      </c>
      <c r="C98" s="40" t="s">
        <v>24</v>
      </c>
      <c r="D98" s="16" t="s">
        <v>12</v>
      </c>
      <c r="E98" s="41">
        <v>1</v>
      </c>
      <c r="F98" s="17">
        <v>0</v>
      </c>
      <c r="G98" s="54">
        <v>12</v>
      </c>
      <c r="H98" s="17">
        <v>0</v>
      </c>
      <c r="I98" s="56" t="s">
        <v>25</v>
      </c>
      <c r="J98" s="56">
        <v>0</v>
      </c>
      <c r="K98" s="56" t="s">
        <v>25</v>
      </c>
      <c r="L98" s="58">
        <v>0</v>
      </c>
      <c r="M98" s="4"/>
      <c r="N98" s="4"/>
    </row>
    <row r="99" spans="1:14">
      <c r="A99" s="4"/>
      <c r="B99" s="50"/>
      <c r="C99" s="43"/>
      <c r="D99" s="16" t="s">
        <v>13</v>
      </c>
      <c r="E99" s="41">
        <v>2</v>
      </c>
      <c r="F99" s="41">
        <v>5</v>
      </c>
      <c r="G99" s="17">
        <v>0</v>
      </c>
      <c r="H99" s="17">
        <v>0</v>
      </c>
      <c r="I99" s="56" t="s">
        <v>25</v>
      </c>
      <c r="J99" s="56" t="s">
        <v>25</v>
      </c>
      <c r="K99" s="17">
        <v>0</v>
      </c>
      <c r="L99" s="17">
        <v>0</v>
      </c>
      <c r="M99" s="4"/>
      <c r="N99" s="4"/>
    </row>
    <row r="100" spans="1:14" ht="21">
      <c r="A100" s="4"/>
      <c r="B100" s="50"/>
      <c r="C100" s="43"/>
      <c r="D100" s="16" t="s">
        <v>14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4"/>
      <c r="N100" s="4"/>
    </row>
    <row r="101" spans="1:14">
      <c r="A101" s="4"/>
      <c r="B101" s="50"/>
      <c r="C101" s="43"/>
      <c r="D101" s="16" t="s">
        <v>15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4"/>
      <c r="N101" s="4"/>
    </row>
    <row r="102" spans="1:14">
      <c r="A102" s="4"/>
      <c r="B102" s="50"/>
      <c r="C102" s="43"/>
      <c r="D102" s="20" t="s">
        <v>16</v>
      </c>
      <c r="E102" s="52">
        <f>SUM(E98:E101)</f>
        <v>3</v>
      </c>
      <c r="F102" s="52">
        <f t="shared" ref="F102:H102" si="30">SUM(F98:F101)</f>
        <v>5</v>
      </c>
      <c r="G102" s="52">
        <f t="shared" si="30"/>
        <v>12</v>
      </c>
      <c r="H102" s="52">
        <f t="shared" si="30"/>
        <v>0</v>
      </c>
      <c r="I102" s="24">
        <f>SUM(I98:I101)</f>
        <v>0</v>
      </c>
      <c r="J102" s="24">
        <f t="shared" ref="J102:L102" si="31">SUM(J98:J101)</f>
        <v>0</v>
      </c>
      <c r="K102" s="24">
        <f t="shared" si="31"/>
        <v>0</v>
      </c>
      <c r="L102" s="24">
        <f t="shared" si="31"/>
        <v>0</v>
      </c>
      <c r="M102" s="4"/>
      <c r="N102" s="4"/>
    </row>
    <row r="103" spans="1:14">
      <c r="A103" s="4"/>
      <c r="B103" s="50"/>
      <c r="C103" s="43"/>
      <c r="D103" s="25" t="s">
        <v>17</v>
      </c>
      <c r="E103" s="52">
        <v>0</v>
      </c>
      <c r="F103" s="52">
        <v>0</v>
      </c>
      <c r="G103" s="52">
        <v>0</v>
      </c>
      <c r="H103" s="52">
        <v>0</v>
      </c>
      <c r="I103" s="57">
        <v>0</v>
      </c>
      <c r="J103" s="57">
        <v>0</v>
      </c>
      <c r="K103" s="57">
        <v>0</v>
      </c>
      <c r="L103" s="57">
        <v>0</v>
      </c>
      <c r="M103" s="4"/>
      <c r="N103" s="4"/>
    </row>
    <row r="104" spans="1:14">
      <c r="A104" s="4"/>
      <c r="B104" s="53"/>
      <c r="C104" s="46"/>
      <c r="D104" s="25" t="s">
        <v>18</v>
      </c>
      <c r="E104" s="17">
        <f>+E102</f>
        <v>3</v>
      </c>
      <c r="F104" s="17">
        <f t="shared" ref="F104:G104" si="32">+F102</f>
        <v>5</v>
      </c>
      <c r="G104" s="17">
        <f t="shared" si="32"/>
        <v>12</v>
      </c>
      <c r="H104" s="17">
        <v>0</v>
      </c>
      <c r="I104" s="17">
        <f>+I102</f>
        <v>0</v>
      </c>
      <c r="J104" s="17">
        <v>0</v>
      </c>
      <c r="K104" s="17">
        <f>+K102</f>
        <v>0</v>
      </c>
      <c r="L104" s="17">
        <v>0</v>
      </c>
      <c r="M104" s="4"/>
      <c r="N104" s="4"/>
    </row>
    <row r="105" spans="1:14">
      <c r="A105" s="4"/>
      <c r="B105" s="59"/>
      <c r="C105" s="60"/>
      <c r="D105" s="61"/>
      <c r="E105" s="62"/>
      <c r="F105" s="62"/>
      <c r="G105" s="62"/>
      <c r="H105" s="62"/>
      <c r="I105" s="62"/>
      <c r="J105" s="62"/>
      <c r="K105" s="62"/>
      <c r="L105" s="62"/>
      <c r="M105" s="4"/>
      <c r="N105" s="4"/>
    </row>
    <row r="106" spans="1:14">
      <c r="A106" s="5" t="s">
        <v>26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5"/>
      <c r="B107" s="63"/>
      <c r="C107" s="64"/>
      <c r="D107" s="64"/>
      <c r="E107" s="65" t="s">
        <v>2</v>
      </c>
      <c r="F107" s="65"/>
      <c r="G107" s="65" t="s">
        <v>3</v>
      </c>
      <c r="H107" s="65"/>
      <c r="I107" s="66" t="s">
        <v>4</v>
      </c>
      <c r="J107" s="66"/>
      <c r="K107" s="66" t="s">
        <v>5</v>
      </c>
      <c r="L107" s="66"/>
      <c r="M107" s="4"/>
      <c r="N107" s="4"/>
    </row>
    <row r="108" spans="1:14" ht="15" thickBot="1">
      <c r="A108" s="4"/>
      <c r="B108" s="67" t="s">
        <v>6</v>
      </c>
      <c r="C108" s="68" t="s">
        <v>7</v>
      </c>
      <c r="D108" s="69" t="s">
        <v>8</v>
      </c>
      <c r="E108" s="70" t="s">
        <v>9</v>
      </c>
      <c r="F108" s="70" t="s">
        <v>10</v>
      </c>
      <c r="G108" s="70" t="s">
        <v>9</v>
      </c>
      <c r="H108" s="70" t="s">
        <v>10</v>
      </c>
      <c r="I108" s="71" t="s">
        <v>9</v>
      </c>
      <c r="J108" s="71" t="s">
        <v>10</v>
      </c>
      <c r="K108" s="71" t="s">
        <v>9</v>
      </c>
      <c r="L108" s="71" t="s">
        <v>10</v>
      </c>
      <c r="M108" s="4"/>
      <c r="N108" s="4"/>
    </row>
    <row r="109" spans="1:14">
      <c r="A109" s="4"/>
      <c r="B109" s="15">
        <v>1</v>
      </c>
      <c r="C109" s="15" t="s">
        <v>27</v>
      </c>
      <c r="D109" s="72" t="s">
        <v>12</v>
      </c>
      <c r="E109" s="41">
        <v>2</v>
      </c>
      <c r="F109" s="73">
        <v>0</v>
      </c>
      <c r="G109" s="73">
        <v>0</v>
      </c>
      <c r="H109" s="73">
        <v>0</v>
      </c>
      <c r="I109" s="73">
        <v>88532059</v>
      </c>
      <c r="J109" s="73">
        <v>0</v>
      </c>
      <c r="K109" s="73">
        <v>0</v>
      </c>
      <c r="L109" s="73">
        <v>0</v>
      </c>
      <c r="M109" s="4"/>
      <c r="N109" s="4"/>
    </row>
    <row r="110" spans="1:14">
      <c r="A110" s="4"/>
      <c r="B110" s="19"/>
      <c r="C110" s="19"/>
      <c r="D110" s="16" t="s">
        <v>13</v>
      </c>
      <c r="E110" s="41">
        <v>2</v>
      </c>
      <c r="F110" s="41">
        <v>3</v>
      </c>
      <c r="G110" s="73">
        <v>0</v>
      </c>
      <c r="H110" s="73">
        <v>0</v>
      </c>
      <c r="I110" s="73">
        <v>11976079</v>
      </c>
      <c r="J110" s="73">
        <v>13318795</v>
      </c>
      <c r="K110" s="73">
        <v>0</v>
      </c>
      <c r="L110" s="73">
        <v>0</v>
      </c>
      <c r="M110" s="4"/>
      <c r="N110" s="4"/>
    </row>
    <row r="111" spans="1:14" ht="21">
      <c r="A111" s="4"/>
      <c r="B111" s="19"/>
      <c r="C111" s="19"/>
      <c r="D111" s="16" t="s">
        <v>14</v>
      </c>
      <c r="E111" s="41">
        <v>2</v>
      </c>
      <c r="F111" s="73"/>
      <c r="G111" s="73">
        <v>0</v>
      </c>
      <c r="H111" s="73">
        <v>0</v>
      </c>
      <c r="I111" s="73">
        <v>12647437</v>
      </c>
      <c r="J111" s="73"/>
      <c r="K111" s="73">
        <v>0</v>
      </c>
      <c r="L111" s="73">
        <v>0</v>
      </c>
      <c r="M111" s="4"/>
      <c r="N111" s="4"/>
    </row>
    <row r="112" spans="1:14">
      <c r="A112" s="4"/>
      <c r="B112" s="19"/>
      <c r="C112" s="19"/>
      <c r="D112" s="16" t="s">
        <v>15</v>
      </c>
      <c r="E112" s="73">
        <v>0</v>
      </c>
      <c r="F112" s="73">
        <v>0</v>
      </c>
      <c r="G112" s="73">
        <v>0</v>
      </c>
      <c r="H112" s="73">
        <v>0</v>
      </c>
      <c r="I112" s="74">
        <v>0</v>
      </c>
      <c r="J112" s="73">
        <v>0</v>
      </c>
      <c r="K112" s="73">
        <v>0</v>
      </c>
      <c r="L112" s="73">
        <v>0</v>
      </c>
      <c r="M112" s="4"/>
      <c r="N112" s="4"/>
    </row>
    <row r="113" spans="1:14">
      <c r="A113" s="4"/>
      <c r="B113" s="19"/>
      <c r="C113" s="19"/>
      <c r="D113" s="20" t="s">
        <v>16</v>
      </c>
      <c r="E113" s="52">
        <f>SUM(E109:E112)</f>
        <v>6</v>
      </c>
      <c r="F113" s="52">
        <f t="shared" ref="F113:H113" si="33">SUM(F109:F112)</f>
        <v>3</v>
      </c>
      <c r="G113" s="52">
        <f t="shared" si="33"/>
        <v>0</v>
      </c>
      <c r="H113" s="52">
        <f t="shared" si="33"/>
        <v>0</v>
      </c>
      <c r="I113" s="74">
        <f>SUM(I109:I112)</f>
        <v>113155575</v>
      </c>
      <c r="J113" s="74">
        <f>SUM(J109:J112)</f>
        <v>13318795</v>
      </c>
      <c r="K113" s="74">
        <f t="shared" ref="K113:L113" si="34">SUM(K109:K112)</f>
        <v>0</v>
      </c>
      <c r="L113" s="74">
        <f t="shared" si="34"/>
        <v>0</v>
      </c>
      <c r="M113" s="4"/>
      <c r="N113" s="4"/>
    </row>
    <row r="114" spans="1:14">
      <c r="A114" s="4"/>
      <c r="B114" s="19"/>
      <c r="C114" s="19"/>
      <c r="D114" s="25" t="s">
        <v>17</v>
      </c>
      <c r="E114" s="54">
        <v>6</v>
      </c>
      <c r="F114" s="54">
        <v>3</v>
      </c>
      <c r="G114" s="75">
        <f t="shared" ref="G114:H114" si="35">G115</f>
        <v>0</v>
      </c>
      <c r="H114" s="75">
        <f t="shared" si="35"/>
        <v>0</v>
      </c>
      <c r="I114" s="18">
        <f>+I113</f>
        <v>113155575</v>
      </c>
      <c r="J114" s="18">
        <v>13318795</v>
      </c>
      <c r="K114" s="24">
        <v>0</v>
      </c>
      <c r="L114" s="24">
        <v>0</v>
      </c>
      <c r="M114" s="4"/>
      <c r="N114" s="4"/>
    </row>
    <row r="115" spans="1:14">
      <c r="A115" s="4"/>
      <c r="B115" s="26"/>
      <c r="C115" s="26"/>
      <c r="D115" s="25" t="s">
        <v>18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24">
        <v>0</v>
      </c>
      <c r="L115" s="24">
        <v>0</v>
      </c>
      <c r="M115" s="4"/>
      <c r="N115" s="4"/>
    </row>
    <row r="116" spans="1:14">
      <c r="A116" s="4"/>
      <c r="B116" s="15">
        <v>1</v>
      </c>
      <c r="C116" s="15" t="s">
        <v>27</v>
      </c>
      <c r="D116" s="72" t="s">
        <v>12</v>
      </c>
      <c r="E116" s="41">
        <v>0</v>
      </c>
      <c r="F116" s="73">
        <v>0</v>
      </c>
      <c r="G116" s="73">
        <v>0</v>
      </c>
      <c r="H116" s="73">
        <v>0</v>
      </c>
      <c r="I116" s="73">
        <v>0</v>
      </c>
      <c r="J116" s="73">
        <v>0</v>
      </c>
      <c r="K116" s="73">
        <v>0</v>
      </c>
      <c r="L116" s="73">
        <v>0</v>
      </c>
      <c r="M116" s="4"/>
      <c r="N116" s="4"/>
    </row>
    <row r="117" spans="1:14">
      <c r="A117" s="4"/>
      <c r="B117" s="19"/>
      <c r="C117" s="19"/>
      <c r="D117" s="16" t="s">
        <v>13</v>
      </c>
      <c r="E117" s="41">
        <v>0</v>
      </c>
      <c r="F117" s="41">
        <v>0</v>
      </c>
      <c r="G117" s="73">
        <v>0</v>
      </c>
      <c r="H117" s="73">
        <v>0</v>
      </c>
      <c r="I117" s="73">
        <v>0</v>
      </c>
      <c r="J117" s="73">
        <v>0</v>
      </c>
      <c r="K117" s="73">
        <v>0</v>
      </c>
      <c r="L117" s="73">
        <v>0</v>
      </c>
      <c r="M117" s="4"/>
      <c r="N117" s="4"/>
    </row>
    <row r="118" spans="1:14" ht="21">
      <c r="A118" s="4"/>
      <c r="B118" s="19"/>
      <c r="C118" s="19"/>
      <c r="D118" s="16" t="s">
        <v>14</v>
      </c>
      <c r="E118" s="41">
        <v>0</v>
      </c>
      <c r="F118" s="73">
        <v>0</v>
      </c>
      <c r="G118" s="73">
        <v>0</v>
      </c>
      <c r="H118" s="73">
        <v>0</v>
      </c>
      <c r="I118" s="73">
        <v>0</v>
      </c>
      <c r="J118" s="73">
        <v>0</v>
      </c>
      <c r="K118" s="73">
        <v>0</v>
      </c>
      <c r="L118" s="73">
        <v>0</v>
      </c>
      <c r="M118" s="4"/>
      <c r="N118" s="4"/>
    </row>
    <row r="119" spans="1:14">
      <c r="A119" s="4"/>
      <c r="B119" s="19"/>
      <c r="C119" s="19"/>
      <c r="D119" s="16" t="s">
        <v>15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4"/>
      <c r="N119" s="4"/>
    </row>
    <row r="120" spans="1:14">
      <c r="A120" s="4"/>
      <c r="B120" s="19"/>
      <c r="C120" s="19"/>
      <c r="D120" s="20" t="s">
        <v>16</v>
      </c>
      <c r="E120" s="52">
        <f>SUM(E116:E119)</f>
        <v>0</v>
      </c>
      <c r="F120" s="52">
        <f t="shared" ref="F120:H120" si="36">SUM(F116:F119)</f>
        <v>0</v>
      </c>
      <c r="G120" s="52">
        <f t="shared" si="36"/>
        <v>0</v>
      </c>
      <c r="H120" s="52">
        <f t="shared" si="36"/>
        <v>0</v>
      </c>
      <c r="I120" s="74">
        <f>SUM(I116:I119)</f>
        <v>0</v>
      </c>
      <c r="J120" s="74">
        <f t="shared" ref="J120:L120" si="37">SUM(J116:J119)</f>
        <v>0</v>
      </c>
      <c r="K120" s="74">
        <f t="shared" si="37"/>
        <v>0</v>
      </c>
      <c r="L120" s="74">
        <f t="shared" si="37"/>
        <v>0</v>
      </c>
      <c r="M120" s="4"/>
      <c r="N120" s="4"/>
    </row>
    <row r="121" spans="1:14">
      <c r="A121" s="4"/>
      <c r="B121" s="19"/>
      <c r="C121" s="19"/>
      <c r="D121" s="25" t="s">
        <v>17</v>
      </c>
      <c r="E121" s="54">
        <v>0</v>
      </c>
      <c r="F121" s="54">
        <v>0</v>
      </c>
      <c r="G121" s="75">
        <v>0</v>
      </c>
      <c r="H121" s="75">
        <v>0</v>
      </c>
      <c r="I121" s="18">
        <v>0</v>
      </c>
      <c r="J121" s="18">
        <v>0</v>
      </c>
      <c r="K121" s="24">
        <v>0</v>
      </c>
      <c r="L121" s="24">
        <v>0</v>
      </c>
      <c r="M121" s="4"/>
      <c r="N121" s="4"/>
    </row>
    <row r="122" spans="1:14">
      <c r="A122" s="4"/>
      <c r="B122" s="26"/>
      <c r="C122" s="26"/>
      <c r="D122" s="25" t="s">
        <v>18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24">
        <v>0</v>
      </c>
      <c r="L122" s="24">
        <v>0</v>
      </c>
      <c r="M122" s="4"/>
      <c r="N122" s="4"/>
    </row>
    <row r="123" spans="1:14">
      <c r="A123" s="4"/>
      <c r="B123" s="76">
        <v>2</v>
      </c>
      <c r="C123" s="76" t="s">
        <v>28</v>
      </c>
      <c r="D123" s="29" t="s">
        <v>12</v>
      </c>
      <c r="E123" s="77">
        <v>9</v>
      </c>
      <c r="F123" s="78">
        <v>3</v>
      </c>
      <c r="G123" s="79">
        <v>12</v>
      </c>
      <c r="H123" s="78">
        <v>0</v>
      </c>
      <c r="I123" s="78">
        <v>630264584</v>
      </c>
      <c r="J123" s="78">
        <v>132307156</v>
      </c>
      <c r="K123" s="78">
        <v>336790350</v>
      </c>
      <c r="L123" s="80">
        <v>0</v>
      </c>
      <c r="M123" s="4"/>
      <c r="N123" s="4"/>
    </row>
    <row r="124" spans="1:14">
      <c r="A124" s="4"/>
      <c r="B124" s="81"/>
      <c r="C124" s="81"/>
      <c r="D124" s="29" t="s">
        <v>13</v>
      </c>
      <c r="E124" s="77">
        <v>38</v>
      </c>
      <c r="F124" s="79">
        <v>11</v>
      </c>
      <c r="G124" s="79">
        <v>1</v>
      </c>
      <c r="H124" s="78">
        <v>0</v>
      </c>
      <c r="I124" s="78">
        <v>1162431012</v>
      </c>
      <c r="J124" s="78">
        <v>289190079</v>
      </c>
      <c r="K124" s="78">
        <v>21361233</v>
      </c>
      <c r="L124" s="78">
        <v>0</v>
      </c>
      <c r="M124" s="4"/>
      <c r="N124" s="4"/>
    </row>
    <row r="125" spans="1:14" ht="21">
      <c r="A125" s="4"/>
      <c r="B125" s="81"/>
      <c r="C125" s="81"/>
      <c r="D125" s="29" t="s">
        <v>14</v>
      </c>
      <c r="E125" s="77">
        <v>150</v>
      </c>
      <c r="F125" s="79">
        <v>10</v>
      </c>
      <c r="G125" s="78">
        <v>0</v>
      </c>
      <c r="H125" s="78">
        <v>0</v>
      </c>
      <c r="I125" s="78">
        <v>2521043758</v>
      </c>
      <c r="J125" s="78">
        <v>162829962</v>
      </c>
      <c r="K125" s="78">
        <v>0</v>
      </c>
      <c r="L125" s="78">
        <v>0</v>
      </c>
      <c r="M125" s="4"/>
      <c r="N125" s="4"/>
    </row>
    <row r="126" spans="1:14">
      <c r="A126" s="4"/>
      <c r="B126" s="81"/>
      <c r="C126" s="81"/>
      <c r="D126" s="29" t="s">
        <v>15</v>
      </c>
      <c r="E126" s="77">
        <v>107</v>
      </c>
      <c r="F126" s="79">
        <v>5</v>
      </c>
      <c r="G126" s="78">
        <v>0</v>
      </c>
      <c r="H126" s="78">
        <v>0</v>
      </c>
      <c r="I126" s="78">
        <v>1516288658</v>
      </c>
      <c r="J126" s="78">
        <v>59544503</v>
      </c>
      <c r="K126" s="78">
        <v>0</v>
      </c>
      <c r="L126" s="78">
        <v>0</v>
      </c>
      <c r="M126" s="4"/>
      <c r="N126" s="4"/>
    </row>
    <row r="127" spans="1:14">
      <c r="A127" s="4"/>
      <c r="B127" s="81"/>
      <c r="C127" s="81"/>
      <c r="D127" s="33" t="s">
        <v>16</v>
      </c>
      <c r="E127" s="82">
        <f>SUM(E123:E126)</f>
        <v>304</v>
      </c>
      <c r="F127" s="82">
        <f t="shared" ref="F127:H127" si="38">SUM(F123:F126)</f>
        <v>29</v>
      </c>
      <c r="G127" s="82">
        <f t="shared" si="38"/>
        <v>13</v>
      </c>
      <c r="H127" s="83">
        <f t="shared" si="38"/>
        <v>0</v>
      </c>
      <c r="I127" s="84">
        <f>SUM(I123:I126)</f>
        <v>5830028012</v>
      </c>
      <c r="J127" s="84">
        <f t="shared" ref="J127:L127" si="39">SUM(J123:J126)</f>
        <v>643871700</v>
      </c>
      <c r="K127" s="84">
        <f t="shared" si="39"/>
        <v>358151583</v>
      </c>
      <c r="L127" s="84">
        <f t="shared" si="39"/>
        <v>0</v>
      </c>
      <c r="M127" s="4"/>
      <c r="N127" s="4"/>
    </row>
    <row r="128" spans="1:14">
      <c r="A128" s="4"/>
      <c r="B128" s="81"/>
      <c r="C128" s="81"/>
      <c r="D128" s="35" t="s">
        <v>17</v>
      </c>
      <c r="E128" s="85">
        <f>+E127</f>
        <v>304</v>
      </c>
      <c r="F128" s="85">
        <f>+F127</f>
        <v>29</v>
      </c>
      <c r="G128" s="85">
        <f>+G127</f>
        <v>13</v>
      </c>
      <c r="H128" s="86">
        <v>0</v>
      </c>
      <c r="I128" s="87">
        <f>+I127</f>
        <v>5830028012</v>
      </c>
      <c r="J128" s="87">
        <f>+J127</f>
        <v>643871700</v>
      </c>
      <c r="K128" s="87">
        <f>+K127</f>
        <v>358151583</v>
      </c>
      <c r="L128" s="86">
        <v>0</v>
      </c>
      <c r="M128" s="4"/>
      <c r="N128" s="4"/>
    </row>
    <row r="129" spans="1:14">
      <c r="A129" s="4"/>
      <c r="B129" s="88"/>
      <c r="C129" s="88"/>
      <c r="D129" s="35" t="s">
        <v>18</v>
      </c>
      <c r="E129" s="86">
        <v>0</v>
      </c>
      <c r="F129" s="86">
        <v>0</v>
      </c>
      <c r="G129" s="86">
        <v>0</v>
      </c>
      <c r="H129" s="86">
        <v>0</v>
      </c>
      <c r="I129" s="86">
        <v>0</v>
      </c>
      <c r="J129" s="86">
        <v>0</v>
      </c>
      <c r="K129" s="86">
        <v>0</v>
      </c>
      <c r="L129" s="86">
        <v>0</v>
      </c>
      <c r="M129" s="4"/>
      <c r="N129" s="4"/>
    </row>
    <row r="130" spans="1:14">
      <c r="A130" s="4"/>
      <c r="B130" s="76">
        <v>2</v>
      </c>
      <c r="C130" s="76" t="s">
        <v>28</v>
      </c>
      <c r="D130" s="29" t="s">
        <v>12</v>
      </c>
      <c r="E130" s="89">
        <v>0</v>
      </c>
      <c r="F130" s="86">
        <v>0</v>
      </c>
      <c r="G130" s="79">
        <v>1</v>
      </c>
      <c r="H130" s="86">
        <v>0</v>
      </c>
      <c r="I130" s="86">
        <v>0</v>
      </c>
      <c r="J130" s="86">
        <v>0</v>
      </c>
      <c r="K130" s="86">
        <v>27228223</v>
      </c>
      <c r="L130" s="84">
        <v>0</v>
      </c>
      <c r="M130" s="4"/>
      <c r="N130" s="4"/>
    </row>
    <row r="131" spans="1:14">
      <c r="A131" s="4"/>
      <c r="B131" s="81"/>
      <c r="C131" s="81"/>
      <c r="D131" s="29" t="s">
        <v>13</v>
      </c>
      <c r="E131" s="89">
        <v>0</v>
      </c>
      <c r="F131" s="79">
        <v>0</v>
      </c>
      <c r="G131" s="79">
        <v>0</v>
      </c>
      <c r="H131" s="86">
        <v>0</v>
      </c>
      <c r="I131" s="86">
        <v>0</v>
      </c>
      <c r="J131" s="86">
        <v>0</v>
      </c>
      <c r="K131" s="86">
        <v>0</v>
      </c>
      <c r="L131" s="86">
        <v>0</v>
      </c>
      <c r="M131" s="4"/>
      <c r="N131" s="4"/>
    </row>
    <row r="132" spans="1:14" ht="21">
      <c r="A132" s="4"/>
      <c r="B132" s="81"/>
      <c r="C132" s="81"/>
      <c r="D132" s="29" t="s">
        <v>14</v>
      </c>
      <c r="E132" s="89">
        <v>454</v>
      </c>
      <c r="F132" s="79">
        <v>0</v>
      </c>
      <c r="G132" s="86">
        <v>0</v>
      </c>
      <c r="H132" s="86">
        <v>0</v>
      </c>
      <c r="I132" s="86">
        <v>2145521755</v>
      </c>
      <c r="J132" s="86">
        <v>0</v>
      </c>
      <c r="K132" s="86">
        <v>0</v>
      </c>
      <c r="L132" s="86">
        <v>0</v>
      </c>
      <c r="M132" s="4"/>
      <c r="N132" s="4"/>
    </row>
    <row r="133" spans="1:14">
      <c r="A133" s="4"/>
      <c r="B133" s="81"/>
      <c r="C133" s="81"/>
      <c r="D133" s="29" t="s">
        <v>15</v>
      </c>
      <c r="E133" s="89">
        <v>0</v>
      </c>
      <c r="F133" s="79">
        <v>0</v>
      </c>
      <c r="G133" s="86">
        <v>0</v>
      </c>
      <c r="H133" s="86">
        <v>0</v>
      </c>
      <c r="I133" s="86">
        <v>0</v>
      </c>
      <c r="J133" s="86">
        <v>0</v>
      </c>
      <c r="K133" s="86">
        <v>0</v>
      </c>
      <c r="L133" s="86">
        <v>0</v>
      </c>
      <c r="M133" s="4"/>
      <c r="N133" s="4"/>
    </row>
    <row r="134" spans="1:14">
      <c r="A134" s="4"/>
      <c r="B134" s="81"/>
      <c r="C134" s="81"/>
      <c r="D134" s="33" t="s">
        <v>16</v>
      </c>
      <c r="E134" s="82">
        <f>SUM(E130:E133)</f>
        <v>454</v>
      </c>
      <c r="F134" s="82">
        <f t="shared" ref="F134:H134" si="40">SUM(F130:F133)</f>
        <v>0</v>
      </c>
      <c r="G134" s="82">
        <f t="shared" si="40"/>
        <v>1</v>
      </c>
      <c r="H134" s="83">
        <f t="shared" si="40"/>
        <v>0</v>
      </c>
      <c r="I134" s="84">
        <f>SUM(I130:I133)</f>
        <v>2145521755</v>
      </c>
      <c r="J134" s="84">
        <f t="shared" ref="J134:L134" si="41">SUM(J130:J133)</f>
        <v>0</v>
      </c>
      <c r="K134" s="84">
        <f t="shared" si="41"/>
        <v>27228223</v>
      </c>
      <c r="L134" s="84">
        <f t="shared" si="41"/>
        <v>0</v>
      </c>
      <c r="M134" s="4"/>
      <c r="N134" s="4"/>
    </row>
    <row r="135" spans="1:14">
      <c r="A135" s="4"/>
      <c r="B135" s="81"/>
      <c r="C135" s="81"/>
      <c r="D135" s="35" t="s">
        <v>17</v>
      </c>
      <c r="E135" s="85">
        <v>0</v>
      </c>
      <c r="F135" s="85">
        <v>0</v>
      </c>
      <c r="G135" s="85">
        <v>0</v>
      </c>
      <c r="H135" s="86">
        <v>0</v>
      </c>
      <c r="I135" s="87">
        <v>0</v>
      </c>
      <c r="J135" s="87">
        <v>0</v>
      </c>
      <c r="K135" s="87">
        <v>0</v>
      </c>
      <c r="L135" s="86">
        <v>0</v>
      </c>
      <c r="M135" s="4"/>
      <c r="N135" s="4"/>
    </row>
    <row r="136" spans="1:14">
      <c r="A136" s="4"/>
      <c r="B136" s="88"/>
      <c r="C136" s="88"/>
      <c r="D136" s="35" t="s">
        <v>18</v>
      </c>
      <c r="E136" s="86">
        <f>+E134</f>
        <v>454</v>
      </c>
      <c r="F136" s="86">
        <v>0</v>
      </c>
      <c r="G136" s="86">
        <f>+G134</f>
        <v>1</v>
      </c>
      <c r="H136" s="86">
        <v>0</v>
      </c>
      <c r="I136" s="86">
        <f>+I134</f>
        <v>2145521755</v>
      </c>
      <c r="J136" s="86">
        <v>0</v>
      </c>
      <c r="K136" s="86">
        <f>+K134</f>
        <v>27228223</v>
      </c>
      <c r="L136" s="86">
        <v>0</v>
      </c>
      <c r="M136" s="4"/>
      <c r="N136" s="4"/>
    </row>
    <row r="137" spans="1:14">
      <c r="A137" s="4"/>
      <c r="B137" s="15">
        <v>3</v>
      </c>
      <c r="C137" s="15" t="s">
        <v>29</v>
      </c>
      <c r="D137" s="16" t="s">
        <v>12</v>
      </c>
      <c r="E137" s="55">
        <v>59</v>
      </c>
      <c r="F137" s="55">
        <v>7</v>
      </c>
      <c r="G137" s="55">
        <v>86</v>
      </c>
      <c r="H137" s="55">
        <v>3</v>
      </c>
      <c r="I137" s="18">
        <v>2550798636</v>
      </c>
      <c r="J137" s="18">
        <v>307972533</v>
      </c>
      <c r="K137" s="18">
        <v>1821102866</v>
      </c>
      <c r="L137" s="18">
        <v>78533650</v>
      </c>
      <c r="M137" s="4"/>
      <c r="N137" s="4"/>
    </row>
    <row r="138" spans="1:14">
      <c r="A138" s="4"/>
      <c r="B138" s="19"/>
      <c r="C138" s="19"/>
      <c r="D138" s="16" t="s">
        <v>13</v>
      </c>
      <c r="E138" s="55">
        <v>104</v>
      </c>
      <c r="F138" s="55">
        <v>15</v>
      </c>
      <c r="G138" s="90">
        <v>0</v>
      </c>
      <c r="H138" s="90">
        <v>0</v>
      </c>
      <c r="I138" s="18">
        <v>2915205065</v>
      </c>
      <c r="J138" s="18">
        <v>380744424</v>
      </c>
      <c r="K138" s="90">
        <v>0</v>
      </c>
      <c r="L138" s="90">
        <v>0</v>
      </c>
      <c r="M138" s="4"/>
      <c r="N138" s="4"/>
    </row>
    <row r="139" spans="1:14" ht="21">
      <c r="A139" s="4"/>
      <c r="B139" s="19"/>
      <c r="C139" s="19"/>
      <c r="D139" s="16" t="s">
        <v>14</v>
      </c>
      <c r="E139" s="55">
        <v>399</v>
      </c>
      <c r="F139" s="55">
        <v>35</v>
      </c>
      <c r="G139" s="90">
        <v>0</v>
      </c>
      <c r="H139" s="90">
        <v>0</v>
      </c>
      <c r="I139" s="18">
        <v>7739833771</v>
      </c>
      <c r="J139" s="18">
        <v>546030135</v>
      </c>
      <c r="K139" s="90">
        <v>0</v>
      </c>
      <c r="L139" s="90">
        <v>0</v>
      </c>
      <c r="M139" s="4"/>
      <c r="N139" s="4"/>
    </row>
    <row r="140" spans="1:14">
      <c r="A140" s="4"/>
      <c r="B140" s="19"/>
      <c r="C140" s="19"/>
      <c r="D140" s="16" t="s">
        <v>15</v>
      </c>
      <c r="E140" s="55">
        <v>382</v>
      </c>
      <c r="F140" s="55">
        <v>25</v>
      </c>
      <c r="G140" s="90">
        <v>0</v>
      </c>
      <c r="H140" s="90">
        <v>0</v>
      </c>
      <c r="I140" s="18">
        <v>4824426839</v>
      </c>
      <c r="J140" s="18">
        <v>252235673</v>
      </c>
      <c r="K140" s="90">
        <v>0</v>
      </c>
      <c r="L140" s="90">
        <v>0</v>
      </c>
      <c r="M140" s="4"/>
      <c r="N140" s="4"/>
    </row>
    <row r="141" spans="1:14">
      <c r="A141" s="4"/>
      <c r="B141" s="19"/>
      <c r="C141" s="19"/>
      <c r="D141" s="20" t="s">
        <v>16</v>
      </c>
      <c r="E141" s="23">
        <f>SUM(E137:E140)</f>
        <v>944</v>
      </c>
      <c r="F141" s="23">
        <f t="shared" ref="F141:H141" si="42">SUM(F137:F140)</f>
        <v>82</v>
      </c>
      <c r="G141" s="23">
        <f t="shared" si="42"/>
        <v>86</v>
      </c>
      <c r="H141" s="23">
        <f t="shared" si="42"/>
        <v>3</v>
      </c>
      <c r="I141" s="24">
        <f>SUM(I137:I140)</f>
        <v>18030264311</v>
      </c>
      <c r="J141" s="24">
        <f t="shared" ref="J141:L141" si="43">SUM(J137:J140)</f>
        <v>1486982765</v>
      </c>
      <c r="K141" s="24">
        <f t="shared" si="43"/>
        <v>1821102866</v>
      </c>
      <c r="L141" s="24">
        <f t="shared" si="43"/>
        <v>78533650</v>
      </c>
      <c r="M141" s="4"/>
      <c r="N141" s="4"/>
    </row>
    <row r="142" spans="1:14">
      <c r="A142" s="4"/>
      <c r="B142" s="19"/>
      <c r="C142" s="19"/>
      <c r="D142" s="25" t="s">
        <v>17</v>
      </c>
      <c r="E142" s="54">
        <v>944</v>
      </c>
      <c r="F142" s="54">
        <v>82</v>
      </c>
      <c r="G142" s="54">
        <v>86</v>
      </c>
      <c r="H142" s="54">
        <v>3</v>
      </c>
      <c r="I142" s="18">
        <f>+I141</f>
        <v>18030264311</v>
      </c>
      <c r="J142" s="18">
        <f>+J141</f>
        <v>1486982765</v>
      </c>
      <c r="K142" s="18">
        <f>+K141</f>
        <v>1821102866</v>
      </c>
      <c r="L142" s="18">
        <f>+L141</f>
        <v>78533650</v>
      </c>
      <c r="M142" s="4"/>
      <c r="N142" s="4"/>
    </row>
    <row r="143" spans="1:14">
      <c r="A143" s="4"/>
      <c r="B143" s="26"/>
      <c r="C143" s="26"/>
      <c r="D143" s="25" t="s">
        <v>18</v>
      </c>
      <c r="E143" s="90">
        <v>0</v>
      </c>
      <c r="F143" s="90">
        <v>0</v>
      </c>
      <c r="G143" s="90">
        <v>0</v>
      </c>
      <c r="H143" s="90">
        <v>0</v>
      </c>
      <c r="I143" s="18">
        <v>0</v>
      </c>
      <c r="J143" s="18">
        <v>0</v>
      </c>
      <c r="K143" s="18">
        <v>0</v>
      </c>
      <c r="L143" s="18">
        <v>0</v>
      </c>
      <c r="M143" s="4"/>
      <c r="N143" s="4"/>
    </row>
    <row r="144" spans="1:14">
      <c r="A144" s="4"/>
      <c r="B144" s="15">
        <v>3</v>
      </c>
      <c r="C144" s="15" t="s">
        <v>29</v>
      </c>
      <c r="D144" s="16" t="s">
        <v>12</v>
      </c>
      <c r="E144" s="55">
        <v>0</v>
      </c>
      <c r="F144" s="55">
        <v>0</v>
      </c>
      <c r="G144" s="55">
        <v>0</v>
      </c>
      <c r="H144" s="55">
        <v>0</v>
      </c>
      <c r="I144" s="18">
        <v>0</v>
      </c>
      <c r="J144" s="18">
        <v>0</v>
      </c>
      <c r="K144" s="18">
        <v>0</v>
      </c>
      <c r="L144" s="18">
        <v>0</v>
      </c>
      <c r="M144" s="4"/>
      <c r="N144" s="4"/>
    </row>
    <row r="145" spans="1:14">
      <c r="A145" s="4"/>
      <c r="B145" s="19"/>
      <c r="C145" s="19"/>
      <c r="D145" s="16" t="s">
        <v>13</v>
      </c>
      <c r="E145" s="55">
        <v>32</v>
      </c>
      <c r="F145" s="55">
        <v>1</v>
      </c>
      <c r="G145" s="90">
        <v>0</v>
      </c>
      <c r="H145" s="90">
        <v>0</v>
      </c>
      <c r="I145" s="18">
        <v>0</v>
      </c>
      <c r="J145" s="18">
        <v>0</v>
      </c>
      <c r="K145" s="18">
        <v>0</v>
      </c>
      <c r="L145" s="18">
        <v>0</v>
      </c>
      <c r="M145" s="4"/>
      <c r="N145" s="4"/>
    </row>
    <row r="146" spans="1:14" ht="21">
      <c r="A146" s="4"/>
      <c r="B146" s="19"/>
      <c r="C146" s="19"/>
      <c r="D146" s="16" t="s">
        <v>14</v>
      </c>
      <c r="E146" s="55">
        <v>46</v>
      </c>
      <c r="F146" s="55">
        <v>10</v>
      </c>
      <c r="G146" s="90">
        <v>0</v>
      </c>
      <c r="H146" s="90">
        <v>0</v>
      </c>
      <c r="I146" s="18">
        <v>0</v>
      </c>
      <c r="J146" s="18">
        <v>0</v>
      </c>
      <c r="K146" s="18">
        <v>0</v>
      </c>
      <c r="L146" s="18">
        <v>0</v>
      </c>
      <c r="M146" s="4"/>
      <c r="N146" s="4"/>
    </row>
    <row r="147" spans="1:14">
      <c r="A147" s="4"/>
      <c r="B147" s="19"/>
      <c r="C147" s="19"/>
      <c r="D147" s="16" t="s">
        <v>15</v>
      </c>
      <c r="E147" s="55">
        <v>494</v>
      </c>
      <c r="F147" s="55">
        <v>54</v>
      </c>
      <c r="G147" s="90">
        <v>0</v>
      </c>
      <c r="H147" s="90">
        <v>0</v>
      </c>
      <c r="I147" s="18">
        <v>4959321311</v>
      </c>
      <c r="J147" s="18">
        <v>0</v>
      </c>
      <c r="K147" s="18">
        <v>0</v>
      </c>
      <c r="L147" s="18">
        <v>0</v>
      </c>
      <c r="M147" s="4"/>
      <c r="N147" s="4"/>
    </row>
    <row r="148" spans="1:14">
      <c r="A148" s="4"/>
      <c r="B148" s="19"/>
      <c r="C148" s="19"/>
      <c r="D148" s="20" t="s">
        <v>16</v>
      </c>
      <c r="E148" s="23">
        <f>SUM(E144:E147)</f>
        <v>572</v>
      </c>
      <c r="F148" s="23">
        <f t="shared" ref="F148:H148" si="44">SUM(F144:F147)</f>
        <v>65</v>
      </c>
      <c r="G148" s="23">
        <f t="shared" si="44"/>
        <v>0</v>
      </c>
      <c r="H148" s="23">
        <f t="shared" si="44"/>
        <v>0</v>
      </c>
      <c r="I148" s="24">
        <f>SUM(I144:I147)</f>
        <v>4959321311</v>
      </c>
      <c r="J148" s="24">
        <f t="shared" ref="J148:L148" si="45">SUM(J144:J147)</f>
        <v>0</v>
      </c>
      <c r="K148" s="24">
        <f t="shared" si="45"/>
        <v>0</v>
      </c>
      <c r="L148" s="24">
        <f t="shared" si="45"/>
        <v>0</v>
      </c>
      <c r="M148" s="4"/>
      <c r="N148" s="4"/>
    </row>
    <row r="149" spans="1:14">
      <c r="A149" s="4"/>
      <c r="B149" s="19"/>
      <c r="C149" s="19"/>
      <c r="D149" s="25" t="s">
        <v>17</v>
      </c>
      <c r="E149" s="91">
        <v>0</v>
      </c>
      <c r="F149" s="91">
        <v>0</v>
      </c>
      <c r="G149" s="91">
        <v>0</v>
      </c>
      <c r="H149" s="91">
        <v>0</v>
      </c>
      <c r="I149" s="92">
        <v>0</v>
      </c>
      <c r="J149" s="18">
        <v>0</v>
      </c>
      <c r="K149" s="18">
        <v>0</v>
      </c>
      <c r="L149" s="18">
        <v>0</v>
      </c>
      <c r="M149" s="4"/>
      <c r="N149" s="4"/>
    </row>
    <row r="150" spans="1:14">
      <c r="A150" s="4"/>
      <c r="B150" s="26"/>
      <c r="C150" s="26"/>
      <c r="D150" s="25" t="s">
        <v>18</v>
      </c>
      <c r="E150" s="93">
        <f>+E148</f>
        <v>572</v>
      </c>
      <c r="F150" s="93">
        <f>+F148</f>
        <v>65</v>
      </c>
      <c r="G150" s="93">
        <f>+G148</f>
        <v>0</v>
      </c>
      <c r="H150" s="93">
        <f>+H148</f>
        <v>0</v>
      </c>
      <c r="I150" s="94">
        <f>+I148</f>
        <v>4959321311</v>
      </c>
      <c r="J150" s="18">
        <v>0</v>
      </c>
      <c r="K150" s="18">
        <v>0</v>
      </c>
      <c r="L150" s="18">
        <v>0</v>
      </c>
      <c r="M150" s="4"/>
      <c r="N150" s="4"/>
    </row>
    <row r="151" spans="1:14">
      <c r="A151" s="4"/>
      <c r="B151" s="76">
        <v>4</v>
      </c>
      <c r="C151" s="76" t="s">
        <v>30</v>
      </c>
      <c r="D151" s="29" t="s">
        <v>12</v>
      </c>
      <c r="E151" s="95">
        <v>121</v>
      </c>
      <c r="F151" s="95">
        <v>13</v>
      </c>
      <c r="G151" s="95">
        <v>18</v>
      </c>
      <c r="H151" s="95">
        <v>1</v>
      </c>
      <c r="I151" s="96">
        <v>3785277154</v>
      </c>
      <c r="J151" s="96">
        <v>121715802</v>
      </c>
      <c r="K151" s="96">
        <v>300814300</v>
      </c>
      <c r="L151" s="96">
        <v>18710892</v>
      </c>
      <c r="M151" s="4"/>
      <c r="N151" s="4"/>
    </row>
    <row r="152" spans="1:14">
      <c r="A152" s="4"/>
      <c r="B152" s="81"/>
      <c r="C152" s="81"/>
      <c r="D152" s="29" t="s">
        <v>13</v>
      </c>
      <c r="E152" s="95">
        <v>229</v>
      </c>
      <c r="F152" s="95">
        <v>46</v>
      </c>
      <c r="G152" s="86">
        <v>0</v>
      </c>
      <c r="H152" s="86">
        <v>0</v>
      </c>
      <c r="I152" s="96">
        <v>1138253344</v>
      </c>
      <c r="J152" s="96">
        <v>218567735</v>
      </c>
      <c r="K152" s="86">
        <v>0</v>
      </c>
      <c r="L152" s="86">
        <v>0</v>
      </c>
      <c r="M152" s="4"/>
      <c r="N152" s="4"/>
    </row>
    <row r="153" spans="1:14" ht="21">
      <c r="A153" s="4"/>
      <c r="B153" s="81"/>
      <c r="C153" s="81"/>
      <c r="D153" s="29" t="s">
        <v>14</v>
      </c>
      <c r="E153" s="95">
        <v>449</v>
      </c>
      <c r="F153" s="95">
        <v>24</v>
      </c>
      <c r="G153" s="86">
        <v>0</v>
      </c>
      <c r="H153" s="86">
        <v>0</v>
      </c>
      <c r="I153" s="96">
        <v>1019805030</v>
      </c>
      <c r="J153" s="96">
        <v>66068806</v>
      </c>
      <c r="K153" s="86">
        <v>0</v>
      </c>
      <c r="L153" s="86">
        <v>0</v>
      </c>
      <c r="M153" s="4"/>
      <c r="N153" s="4"/>
    </row>
    <row r="154" spans="1:14">
      <c r="A154" s="4"/>
      <c r="B154" s="81"/>
      <c r="C154" s="81"/>
      <c r="D154" s="29" t="s">
        <v>15</v>
      </c>
      <c r="E154" s="95">
        <v>17</v>
      </c>
      <c r="F154" s="95">
        <v>3</v>
      </c>
      <c r="G154" s="86">
        <v>0</v>
      </c>
      <c r="H154" s="86">
        <v>0</v>
      </c>
      <c r="I154" s="96">
        <v>28333254</v>
      </c>
      <c r="J154" s="96">
        <v>4911569</v>
      </c>
      <c r="K154" s="86">
        <v>0</v>
      </c>
      <c r="L154" s="86">
        <v>0</v>
      </c>
      <c r="M154" s="4"/>
      <c r="N154" s="4"/>
    </row>
    <row r="155" spans="1:14">
      <c r="A155" s="4"/>
      <c r="B155" s="81"/>
      <c r="C155" s="81"/>
      <c r="D155" s="33" t="s">
        <v>16</v>
      </c>
      <c r="E155" s="97">
        <f>SUM(E151:E154)</f>
        <v>816</v>
      </c>
      <c r="F155" s="97">
        <f t="shared" ref="F155:H155" si="46">SUM(F151:F154)</f>
        <v>86</v>
      </c>
      <c r="G155" s="97">
        <f t="shared" si="46"/>
        <v>18</v>
      </c>
      <c r="H155" s="97">
        <f t="shared" si="46"/>
        <v>1</v>
      </c>
      <c r="I155" s="84">
        <f>SUM(I151:I154)</f>
        <v>5971668782</v>
      </c>
      <c r="J155" s="84">
        <f t="shared" ref="J155:L155" si="47">SUM(J151:J154)</f>
        <v>411263912</v>
      </c>
      <c r="K155" s="84">
        <f t="shared" si="47"/>
        <v>300814300</v>
      </c>
      <c r="L155" s="84">
        <f t="shared" si="47"/>
        <v>18710892</v>
      </c>
      <c r="M155" s="4"/>
      <c r="N155" s="4"/>
    </row>
    <row r="156" spans="1:14">
      <c r="A156" s="4"/>
      <c r="B156" s="81"/>
      <c r="C156" s="81"/>
      <c r="D156" s="35" t="s">
        <v>17</v>
      </c>
      <c r="E156" s="98">
        <f>+E155</f>
        <v>816</v>
      </c>
      <c r="F156" s="98">
        <f t="shared" ref="F156:L156" si="48">+F155</f>
        <v>86</v>
      </c>
      <c r="G156" s="98">
        <f t="shared" si="48"/>
        <v>18</v>
      </c>
      <c r="H156" s="98">
        <f t="shared" si="48"/>
        <v>1</v>
      </c>
      <c r="I156" s="98">
        <f t="shared" si="48"/>
        <v>5971668782</v>
      </c>
      <c r="J156" s="98">
        <f t="shared" si="48"/>
        <v>411263912</v>
      </c>
      <c r="K156" s="98">
        <f t="shared" si="48"/>
        <v>300814300</v>
      </c>
      <c r="L156" s="98">
        <f t="shared" si="48"/>
        <v>18710892</v>
      </c>
      <c r="M156" s="4"/>
      <c r="N156" s="4"/>
    </row>
    <row r="157" spans="1:14">
      <c r="A157" s="4"/>
      <c r="B157" s="88"/>
      <c r="C157" s="88"/>
      <c r="D157" s="35" t="s">
        <v>18</v>
      </c>
      <c r="E157" s="86">
        <v>0</v>
      </c>
      <c r="F157" s="86">
        <v>0</v>
      </c>
      <c r="G157" s="86">
        <v>0</v>
      </c>
      <c r="H157" s="86">
        <v>0</v>
      </c>
      <c r="I157" s="86">
        <v>0</v>
      </c>
      <c r="J157" s="86">
        <v>0</v>
      </c>
      <c r="K157" s="86">
        <v>0</v>
      </c>
      <c r="L157" s="86">
        <v>0</v>
      </c>
      <c r="M157" s="4"/>
      <c r="N157" s="4"/>
    </row>
    <row r="158" spans="1:14">
      <c r="A158" s="4"/>
      <c r="B158" s="76">
        <v>4</v>
      </c>
      <c r="C158" s="76" t="s">
        <v>30</v>
      </c>
      <c r="D158" s="29" t="s">
        <v>12</v>
      </c>
      <c r="E158" s="95">
        <v>0</v>
      </c>
      <c r="F158" s="95">
        <v>0</v>
      </c>
      <c r="G158" s="95">
        <v>0</v>
      </c>
      <c r="H158" s="95">
        <v>0</v>
      </c>
      <c r="I158" s="96">
        <v>0</v>
      </c>
      <c r="J158" s="96">
        <v>0</v>
      </c>
      <c r="K158" s="96">
        <v>0</v>
      </c>
      <c r="L158" s="96">
        <v>0</v>
      </c>
      <c r="M158" s="4"/>
      <c r="N158" s="4"/>
    </row>
    <row r="159" spans="1:14">
      <c r="A159" s="4"/>
      <c r="B159" s="81"/>
      <c r="C159" s="81"/>
      <c r="D159" s="29" t="s">
        <v>13</v>
      </c>
      <c r="E159" s="95">
        <v>0</v>
      </c>
      <c r="F159" s="95">
        <v>0</v>
      </c>
      <c r="G159" s="86">
        <v>0</v>
      </c>
      <c r="H159" s="86">
        <v>0</v>
      </c>
      <c r="I159" s="96">
        <v>0</v>
      </c>
      <c r="J159" s="96">
        <v>0</v>
      </c>
      <c r="K159" s="86">
        <v>0</v>
      </c>
      <c r="L159" s="86">
        <v>0</v>
      </c>
      <c r="M159" s="4"/>
      <c r="N159" s="4"/>
    </row>
    <row r="160" spans="1:14" ht="21">
      <c r="A160" s="4"/>
      <c r="B160" s="81"/>
      <c r="C160" s="81"/>
      <c r="D160" s="29" t="s">
        <v>14</v>
      </c>
      <c r="E160" s="95">
        <v>0</v>
      </c>
      <c r="F160" s="95">
        <v>0</v>
      </c>
      <c r="G160" s="86">
        <v>0</v>
      </c>
      <c r="H160" s="86">
        <v>0</v>
      </c>
      <c r="I160" s="96">
        <v>0</v>
      </c>
      <c r="J160" s="96">
        <v>0</v>
      </c>
      <c r="K160" s="86">
        <v>0</v>
      </c>
      <c r="L160" s="86">
        <v>0</v>
      </c>
      <c r="M160" s="4"/>
      <c r="N160" s="4"/>
    </row>
    <row r="161" spans="1:14">
      <c r="A161" s="4"/>
      <c r="B161" s="81"/>
      <c r="C161" s="81"/>
      <c r="D161" s="29" t="s">
        <v>15</v>
      </c>
      <c r="E161" s="95">
        <v>0</v>
      </c>
      <c r="F161" s="95">
        <v>0</v>
      </c>
      <c r="G161" s="86">
        <v>0</v>
      </c>
      <c r="H161" s="86">
        <v>0</v>
      </c>
      <c r="I161" s="96">
        <v>0</v>
      </c>
      <c r="J161" s="96">
        <v>0</v>
      </c>
      <c r="K161" s="86">
        <v>0</v>
      </c>
      <c r="L161" s="86">
        <v>0</v>
      </c>
      <c r="M161" s="4"/>
      <c r="N161" s="4"/>
    </row>
    <row r="162" spans="1:14">
      <c r="A162" s="4"/>
      <c r="B162" s="81"/>
      <c r="C162" s="81"/>
      <c r="D162" s="33" t="s">
        <v>16</v>
      </c>
      <c r="E162" s="97">
        <f>SUM(E158:E161)</f>
        <v>0</v>
      </c>
      <c r="F162" s="97">
        <f t="shared" ref="F162:H162" si="49">SUM(F158:F161)</f>
        <v>0</v>
      </c>
      <c r="G162" s="97">
        <f t="shared" si="49"/>
        <v>0</v>
      </c>
      <c r="H162" s="97">
        <f t="shared" si="49"/>
        <v>0</v>
      </c>
      <c r="I162" s="84">
        <f>SUM(I158:I161)</f>
        <v>0</v>
      </c>
      <c r="J162" s="84">
        <f t="shared" ref="J162:L162" si="50">SUM(J158:J161)</f>
        <v>0</v>
      </c>
      <c r="K162" s="84">
        <f t="shared" si="50"/>
        <v>0</v>
      </c>
      <c r="L162" s="84">
        <f t="shared" si="50"/>
        <v>0</v>
      </c>
      <c r="M162" s="4"/>
      <c r="N162" s="4"/>
    </row>
    <row r="163" spans="1:14">
      <c r="A163" s="4"/>
      <c r="B163" s="81"/>
      <c r="C163" s="81"/>
      <c r="D163" s="35" t="s">
        <v>17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4"/>
      <c r="N163" s="4"/>
    </row>
    <row r="164" spans="1:14">
      <c r="A164" s="4"/>
      <c r="B164" s="88"/>
      <c r="C164" s="88"/>
      <c r="D164" s="35" t="s">
        <v>18</v>
      </c>
      <c r="E164" s="86">
        <v>0</v>
      </c>
      <c r="F164" s="86">
        <v>0</v>
      </c>
      <c r="G164" s="86">
        <v>0</v>
      </c>
      <c r="H164" s="86">
        <v>0</v>
      </c>
      <c r="I164" s="86">
        <v>0</v>
      </c>
      <c r="J164" s="86">
        <v>0</v>
      </c>
      <c r="K164" s="86">
        <v>0</v>
      </c>
      <c r="L164" s="86">
        <v>0</v>
      </c>
      <c r="M164" s="4"/>
      <c r="N164" s="4"/>
    </row>
    <row r="165" spans="1:14">
      <c r="A165" s="4"/>
      <c r="B165" s="15">
        <v>5</v>
      </c>
      <c r="C165" s="15" t="s">
        <v>31</v>
      </c>
      <c r="D165" s="16" t="s">
        <v>12</v>
      </c>
      <c r="E165" s="55">
        <v>75</v>
      </c>
      <c r="F165" s="55">
        <v>20</v>
      </c>
      <c r="G165" s="55">
        <v>51</v>
      </c>
      <c r="H165" s="90">
        <v>0</v>
      </c>
      <c r="I165" s="18">
        <v>2189926220</v>
      </c>
      <c r="J165" s="18">
        <v>558952822</v>
      </c>
      <c r="K165" s="18">
        <v>8299400907</v>
      </c>
      <c r="L165" s="18">
        <v>0</v>
      </c>
      <c r="M165" s="4"/>
      <c r="N165" s="4"/>
    </row>
    <row r="166" spans="1:14">
      <c r="A166" s="4"/>
      <c r="B166" s="19"/>
      <c r="C166" s="19"/>
      <c r="D166" s="16" t="s">
        <v>13</v>
      </c>
      <c r="E166" s="55">
        <v>48</v>
      </c>
      <c r="F166" s="55">
        <v>12</v>
      </c>
      <c r="G166" s="90">
        <v>0</v>
      </c>
      <c r="H166" s="90">
        <v>0</v>
      </c>
      <c r="I166" s="18">
        <v>823108396</v>
      </c>
      <c r="J166" s="18">
        <v>194970716</v>
      </c>
      <c r="K166" s="90">
        <v>0</v>
      </c>
      <c r="L166" s="90">
        <v>0</v>
      </c>
      <c r="M166" s="4"/>
      <c r="N166" s="4"/>
    </row>
    <row r="167" spans="1:14" ht="21">
      <c r="A167" s="4"/>
      <c r="B167" s="19"/>
      <c r="C167" s="19"/>
      <c r="D167" s="16" t="s">
        <v>14</v>
      </c>
      <c r="E167" s="55">
        <v>282</v>
      </c>
      <c r="F167" s="55">
        <v>39</v>
      </c>
      <c r="G167" s="90">
        <v>0</v>
      </c>
      <c r="H167" s="90">
        <v>0</v>
      </c>
      <c r="I167" s="18">
        <v>3564041859</v>
      </c>
      <c r="J167" s="18">
        <v>432791009</v>
      </c>
      <c r="K167" s="90">
        <v>0</v>
      </c>
      <c r="L167" s="90">
        <v>0</v>
      </c>
      <c r="M167" s="4"/>
      <c r="N167" s="4"/>
    </row>
    <row r="168" spans="1:14">
      <c r="A168" s="4"/>
      <c r="B168" s="19"/>
      <c r="C168" s="19"/>
      <c r="D168" s="16" t="s">
        <v>15</v>
      </c>
      <c r="E168" s="55">
        <v>231</v>
      </c>
      <c r="F168" s="55">
        <v>21</v>
      </c>
      <c r="G168" s="90">
        <v>0</v>
      </c>
      <c r="H168" s="90">
        <v>0</v>
      </c>
      <c r="I168" s="18">
        <v>2066377353</v>
      </c>
      <c r="J168" s="18">
        <v>114987177</v>
      </c>
      <c r="K168" s="90">
        <v>0</v>
      </c>
      <c r="L168" s="90">
        <v>0</v>
      </c>
      <c r="M168" s="4"/>
      <c r="N168" s="4"/>
    </row>
    <row r="169" spans="1:14">
      <c r="A169" s="4"/>
      <c r="B169" s="19"/>
      <c r="C169" s="19"/>
      <c r="D169" s="20" t="s">
        <v>16</v>
      </c>
      <c r="E169" s="23">
        <f>SUM(E165:E168)</f>
        <v>636</v>
      </c>
      <c r="F169" s="23">
        <f t="shared" ref="F169:H169" si="51">SUM(F165:F168)</f>
        <v>92</v>
      </c>
      <c r="G169" s="23">
        <f t="shared" si="51"/>
        <v>51</v>
      </c>
      <c r="H169" s="99">
        <f t="shared" si="51"/>
        <v>0</v>
      </c>
      <c r="I169" s="24">
        <f>SUM(I165:I168)</f>
        <v>8643453828</v>
      </c>
      <c r="J169" s="24">
        <f t="shared" ref="J169:L169" si="52">SUM(J165:J168)</f>
        <v>1301701724</v>
      </c>
      <c r="K169" s="24">
        <f t="shared" si="52"/>
        <v>8299400907</v>
      </c>
      <c r="L169" s="24">
        <f t="shared" si="52"/>
        <v>0</v>
      </c>
      <c r="M169" s="4"/>
      <c r="N169" s="4"/>
    </row>
    <row r="170" spans="1:14">
      <c r="A170" s="4"/>
      <c r="B170" s="19"/>
      <c r="C170" s="19"/>
      <c r="D170" s="25" t="s">
        <v>17</v>
      </c>
      <c r="E170" s="54">
        <f>+E169</f>
        <v>636</v>
      </c>
      <c r="F170" s="54">
        <f t="shared" ref="F170:G170" si="53">+F169</f>
        <v>92</v>
      </c>
      <c r="G170" s="54">
        <f t="shared" si="53"/>
        <v>51</v>
      </c>
      <c r="H170" s="90">
        <v>0</v>
      </c>
      <c r="I170" s="18">
        <f t="shared" ref="I170:L170" si="54">+I169</f>
        <v>8643453828</v>
      </c>
      <c r="J170" s="18">
        <f t="shared" si="54"/>
        <v>1301701724</v>
      </c>
      <c r="K170" s="18">
        <f t="shared" si="54"/>
        <v>8299400907</v>
      </c>
      <c r="L170" s="18">
        <f t="shared" si="54"/>
        <v>0</v>
      </c>
      <c r="M170" s="4"/>
      <c r="N170" s="4"/>
    </row>
    <row r="171" spans="1:14">
      <c r="A171" s="4"/>
      <c r="B171" s="26"/>
      <c r="C171" s="26"/>
      <c r="D171" s="25" t="s">
        <v>18</v>
      </c>
      <c r="E171" s="90">
        <v>0</v>
      </c>
      <c r="F171" s="90">
        <v>0</v>
      </c>
      <c r="G171" s="90">
        <v>0</v>
      </c>
      <c r="H171" s="90">
        <v>0</v>
      </c>
      <c r="I171" s="18">
        <v>0</v>
      </c>
      <c r="J171" s="18">
        <v>0</v>
      </c>
      <c r="K171" s="18">
        <v>0</v>
      </c>
      <c r="L171" s="18">
        <v>0</v>
      </c>
      <c r="M171" s="4"/>
      <c r="N171" s="4"/>
    </row>
    <row r="172" spans="1:14">
      <c r="A172" s="4"/>
      <c r="B172" s="15">
        <v>5</v>
      </c>
      <c r="C172" s="15" t="s">
        <v>31</v>
      </c>
      <c r="D172" s="16" t="s">
        <v>12</v>
      </c>
      <c r="E172" s="55">
        <v>0</v>
      </c>
      <c r="F172" s="55">
        <v>0</v>
      </c>
      <c r="G172" s="55">
        <v>0</v>
      </c>
      <c r="H172" s="90">
        <v>0</v>
      </c>
      <c r="I172" s="18">
        <v>0</v>
      </c>
      <c r="J172" s="18">
        <v>0</v>
      </c>
      <c r="K172" s="18">
        <v>0</v>
      </c>
      <c r="L172" s="18">
        <v>0</v>
      </c>
      <c r="M172" s="4"/>
      <c r="N172" s="4"/>
    </row>
    <row r="173" spans="1:14">
      <c r="A173" s="4"/>
      <c r="B173" s="19"/>
      <c r="C173" s="19"/>
      <c r="D173" s="16" t="s">
        <v>13</v>
      </c>
      <c r="E173" s="55">
        <v>2</v>
      </c>
      <c r="F173" s="55">
        <v>1</v>
      </c>
      <c r="G173" s="90">
        <v>0</v>
      </c>
      <c r="H173" s="90">
        <v>0</v>
      </c>
      <c r="I173" s="18">
        <v>10680471</v>
      </c>
      <c r="J173" s="18">
        <v>5569664</v>
      </c>
      <c r="K173" s="18">
        <v>0</v>
      </c>
      <c r="L173" s="18">
        <v>0</v>
      </c>
      <c r="M173" s="4"/>
      <c r="N173" s="4"/>
    </row>
    <row r="174" spans="1:14" ht="21">
      <c r="A174" s="4"/>
      <c r="B174" s="19"/>
      <c r="C174" s="19"/>
      <c r="D174" s="16" t="s">
        <v>14</v>
      </c>
      <c r="E174" s="55">
        <v>23</v>
      </c>
      <c r="F174" s="55">
        <v>5</v>
      </c>
      <c r="G174" s="90">
        <v>0</v>
      </c>
      <c r="H174" s="90">
        <v>0</v>
      </c>
      <c r="I174" s="18">
        <v>96059656</v>
      </c>
      <c r="J174" s="18">
        <v>19026348</v>
      </c>
      <c r="K174" s="18">
        <v>0</v>
      </c>
      <c r="L174" s="18">
        <v>0</v>
      </c>
      <c r="M174" s="4"/>
      <c r="N174" s="4"/>
    </row>
    <row r="175" spans="1:14">
      <c r="A175" s="4"/>
      <c r="B175" s="19"/>
      <c r="C175" s="19"/>
      <c r="D175" s="16" t="s">
        <v>15</v>
      </c>
      <c r="E175" s="55">
        <v>124</v>
      </c>
      <c r="F175" s="55">
        <v>11</v>
      </c>
      <c r="G175" s="90">
        <v>0</v>
      </c>
      <c r="H175" s="90">
        <v>0</v>
      </c>
      <c r="I175" s="18">
        <v>392471342</v>
      </c>
      <c r="J175" s="18">
        <v>23207456</v>
      </c>
      <c r="K175" s="18">
        <v>0</v>
      </c>
      <c r="L175" s="18">
        <v>0</v>
      </c>
      <c r="M175" s="4"/>
      <c r="N175" s="4"/>
    </row>
    <row r="176" spans="1:14">
      <c r="A176" s="4"/>
      <c r="B176" s="19"/>
      <c r="C176" s="19"/>
      <c r="D176" s="20" t="s">
        <v>16</v>
      </c>
      <c r="E176" s="23">
        <f>SUM(E172:E175)</f>
        <v>149</v>
      </c>
      <c r="F176" s="23">
        <f t="shared" ref="F176:H176" si="55">SUM(F172:F175)</f>
        <v>17</v>
      </c>
      <c r="G176" s="23">
        <f t="shared" si="55"/>
        <v>0</v>
      </c>
      <c r="H176" s="99">
        <f t="shared" si="55"/>
        <v>0</v>
      </c>
      <c r="I176" s="24">
        <f>SUM(I172:I175)</f>
        <v>499211469</v>
      </c>
      <c r="J176" s="24">
        <f t="shared" ref="J176:L176" si="56">SUM(J172:J175)</f>
        <v>47803468</v>
      </c>
      <c r="K176" s="24">
        <f t="shared" si="56"/>
        <v>0</v>
      </c>
      <c r="L176" s="24">
        <f t="shared" si="56"/>
        <v>0</v>
      </c>
      <c r="M176" s="4"/>
      <c r="N176" s="4"/>
    </row>
    <row r="177" spans="1:14">
      <c r="A177" s="4"/>
      <c r="B177" s="19"/>
      <c r="C177" s="19"/>
      <c r="D177" s="25" t="s">
        <v>17</v>
      </c>
      <c r="E177" s="91">
        <v>0</v>
      </c>
      <c r="F177" s="91">
        <v>0</v>
      </c>
      <c r="G177" s="91">
        <v>0</v>
      </c>
      <c r="H177" s="90">
        <v>0</v>
      </c>
      <c r="I177" s="18">
        <v>0</v>
      </c>
      <c r="J177" s="18">
        <v>0</v>
      </c>
      <c r="K177" s="18">
        <v>0</v>
      </c>
      <c r="L177" s="18">
        <v>0</v>
      </c>
      <c r="M177" s="4"/>
      <c r="N177" s="4"/>
    </row>
    <row r="178" spans="1:14">
      <c r="A178" s="4"/>
      <c r="B178" s="26"/>
      <c r="C178" s="26"/>
      <c r="D178" s="25" t="s">
        <v>18</v>
      </c>
      <c r="E178" s="93">
        <f>+E176</f>
        <v>149</v>
      </c>
      <c r="F178" s="93">
        <f>+F176</f>
        <v>17</v>
      </c>
      <c r="G178" s="93">
        <f>+G176</f>
        <v>0</v>
      </c>
      <c r="H178" s="100">
        <f>+H176</f>
        <v>0</v>
      </c>
      <c r="I178" s="101">
        <f t="shared" ref="I178:J178" si="57">+I176</f>
        <v>499211469</v>
      </c>
      <c r="J178" s="101">
        <f t="shared" si="57"/>
        <v>47803468</v>
      </c>
      <c r="K178" s="18">
        <v>0</v>
      </c>
      <c r="L178" s="18">
        <v>0</v>
      </c>
      <c r="M178" s="4"/>
      <c r="N178" s="4"/>
    </row>
    <row r="179" spans="1:14">
      <c r="A179" s="4"/>
      <c r="B179" s="76">
        <v>6</v>
      </c>
      <c r="C179" s="76" t="s">
        <v>32</v>
      </c>
      <c r="D179" s="29" t="s">
        <v>12</v>
      </c>
      <c r="E179" s="95">
        <v>2</v>
      </c>
      <c r="F179" s="95">
        <v>4</v>
      </c>
      <c r="G179" s="95">
        <v>3</v>
      </c>
      <c r="H179" s="95">
        <v>1</v>
      </c>
      <c r="I179" s="96">
        <v>49779780</v>
      </c>
      <c r="J179" s="86" t="s">
        <v>25</v>
      </c>
      <c r="K179" s="86" t="s">
        <v>25</v>
      </c>
      <c r="L179" s="86" t="s">
        <v>25</v>
      </c>
      <c r="M179" s="4"/>
      <c r="N179" s="4"/>
    </row>
    <row r="180" spans="1:14">
      <c r="A180" s="4"/>
      <c r="B180" s="81"/>
      <c r="C180" s="81"/>
      <c r="D180" s="29" t="s">
        <v>13</v>
      </c>
      <c r="E180" s="86">
        <v>0</v>
      </c>
      <c r="F180" s="86">
        <v>0</v>
      </c>
      <c r="G180" s="86">
        <v>0</v>
      </c>
      <c r="H180" s="86">
        <v>0</v>
      </c>
      <c r="I180" s="86">
        <v>0</v>
      </c>
      <c r="J180" s="86">
        <v>0</v>
      </c>
      <c r="K180" s="86">
        <v>0</v>
      </c>
      <c r="L180" s="86">
        <v>0</v>
      </c>
      <c r="M180" s="4"/>
      <c r="N180" s="4"/>
    </row>
    <row r="181" spans="1:14" ht="21">
      <c r="A181" s="4"/>
      <c r="B181" s="81"/>
      <c r="C181" s="81"/>
      <c r="D181" s="29" t="s">
        <v>14</v>
      </c>
      <c r="E181" s="95">
        <v>50</v>
      </c>
      <c r="F181" s="95">
        <v>5</v>
      </c>
      <c r="G181" s="86">
        <v>1</v>
      </c>
      <c r="H181" s="86">
        <v>1</v>
      </c>
      <c r="I181" s="96">
        <v>275842150</v>
      </c>
      <c r="J181" s="86" t="s">
        <v>25</v>
      </c>
      <c r="K181" s="86" t="s">
        <v>25</v>
      </c>
      <c r="L181" s="86" t="s">
        <v>25</v>
      </c>
      <c r="M181" s="4"/>
      <c r="N181" s="4"/>
    </row>
    <row r="182" spans="1:14">
      <c r="A182" s="4"/>
      <c r="B182" s="81"/>
      <c r="C182" s="81"/>
      <c r="D182" s="29" t="s">
        <v>15</v>
      </c>
      <c r="E182" s="95">
        <v>28</v>
      </c>
      <c r="F182" s="86">
        <v>0</v>
      </c>
      <c r="G182" s="86">
        <v>0</v>
      </c>
      <c r="H182" s="86">
        <v>0</v>
      </c>
      <c r="I182" s="96">
        <v>8240300</v>
      </c>
      <c r="J182" s="86">
        <v>0</v>
      </c>
      <c r="K182" s="86">
        <v>0</v>
      </c>
      <c r="L182" s="86">
        <v>0</v>
      </c>
      <c r="M182" s="4"/>
      <c r="N182" s="4"/>
    </row>
    <row r="183" spans="1:14">
      <c r="A183" s="4"/>
      <c r="B183" s="81"/>
      <c r="C183" s="81"/>
      <c r="D183" s="33" t="s">
        <v>16</v>
      </c>
      <c r="E183" s="97">
        <f>SUM(E179:E182)</f>
        <v>80</v>
      </c>
      <c r="F183" s="97">
        <f t="shared" ref="F183:H183" si="58">SUM(F179:F182)</f>
        <v>9</v>
      </c>
      <c r="G183" s="97">
        <f t="shared" si="58"/>
        <v>4</v>
      </c>
      <c r="H183" s="97">
        <f t="shared" si="58"/>
        <v>2</v>
      </c>
      <c r="I183" s="84">
        <f>SUM(I179:I182)</f>
        <v>333862230</v>
      </c>
      <c r="J183" s="84">
        <f t="shared" ref="J183:L183" si="59">SUM(J179:J182)</f>
        <v>0</v>
      </c>
      <c r="K183" s="84">
        <f t="shared" si="59"/>
        <v>0</v>
      </c>
      <c r="L183" s="84">
        <f t="shared" si="59"/>
        <v>0</v>
      </c>
      <c r="M183" s="4"/>
      <c r="N183" s="4"/>
    </row>
    <row r="184" spans="1:14">
      <c r="A184" s="4"/>
      <c r="B184" s="81"/>
      <c r="C184" s="81"/>
      <c r="D184" s="35" t="s">
        <v>17</v>
      </c>
      <c r="E184" s="98">
        <v>0</v>
      </c>
      <c r="F184" s="98">
        <v>0</v>
      </c>
      <c r="G184" s="98">
        <v>0</v>
      </c>
      <c r="H184" s="98">
        <v>1</v>
      </c>
      <c r="I184" s="98">
        <v>0</v>
      </c>
      <c r="J184" s="86">
        <v>0</v>
      </c>
      <c r="K184" s="86">
        <v>0</v>
      </c>
      <c r="L184" s="86">
        <v>0</v>
      </c>
      <c r="M184" s="4"/>
      <c r="N184" s="4"/>
    </row>
    <row r="185" spans="1:14">
      <c r="A185" s="4"/>
      <c r="B185" s="88"/>
      <c r="C185" s="88"/>
      <c r="D185" s="35" t="s">
        <v>18</v>
      </c>
      <c r="E185" s="86">
        <v>80</v>
      </c>
      <c r="F185" s="86">
        <v>9</v>
      </c>
      <c r="G185" s="86">
        <v>4</v>
      </c>
      <c r="H185" s="86">
        <v>1</v>
      </c>
      <c r="I185" s="98">
        <f>+I183</f>
        <v>333862230</v>
      </c>
      <c r="J185" s="86">
        <v>0</v>
      </c>
      <c r="K185" s="86">
        <v>0</v>
      </c>
      <c r="L185" s="86">
        <v>0</v>
      </c>
      <c r="M185" s="4"/>
      <c r="N185" s="4"/>
    </row>
    <row r="186" spans="1:14">
      <c r="A186" s="4"/>
      <c r="B186" s="76">
        <v>6</v>
      </c>
      <c r="C186" s="76" t="s">
        <v>32</v>
      </c>
      <c r="D186" s="29" t="s">
        <v>12</v>
      </c>
      <c r="E186" s="95">
        <v>0</v>
      </c>
      <c r="F186" s="95">
        <v>0</v>
      </c>
      <c r="G186" s="95">
        <v>0</v>
      </c>
      <c r="H186" s="95">
        <v>0</v>
      </c>
      <c r="I186" s="96">
        <v>0</v>
      </c>
      <c r="J186" s="96">
        <v>0</v>
      </c>
      <c r="K186" s="96">
        <v>0</v>
      </c>
      <c r="L186" s="96">
        <v>0</v>
      </c>
      <c r="M186" s="4"/>
      <c r="N186" s="4"/>
    </row>
    <row r="187" spans="1:14">
      <c r="A187" s="4"/>
      <c r="B187" s="81"/>
      <c r="C187" s="81"/>
      <c r="D187" s="29" t="s">
        <v>13</v>
      </c>
      <c r="E187" s="95">
        <v>0</v>
      </c>
      <c r="F187" s="95">
        <v>0</v>
      </c>
      <c r="G187" s="86">
        <v>0</v>
      </c>
      <c r="H187" s="86">
        <v>0</v>
      </c>
      <c r="I187" s="96">
        <v>0</v>
      </c>
      <c r="J187" s="96">
        <v>0</v>
      </c>
      <c r="K187" s="86">
        <v>0</v>
      </c>
      <c r="L187" s="86">
        <v>0</v>
      </c>
      <c r="M187" s="4"/>
      <c r="N187" s="4"/>
    </row>
    <row r="188" spans="1:14" ht="21">
      <c r="A188" s="4"/>
      <c r="B188" s="81"/>
      <c r="C188" s="81"/>
      <c r="D188" s="29" t="s">
        <v>14</v>
      </c>
      <c r="E188" s="95">
        <v>0</v>
      </c>
      <c r="F188" s="95">
        <v>0</v>
      </c>
      <c r="G188" s="86">
        <v>0</v>
      </c>
      <c r="H188" s="86">
        <v>0</v>
      </c>
      <c r="I188" s="96">
        <v>0</v>
      </c>
      <c r="J188" s="96">
        <v>0</v>
      </c>
      <c r="K188" s="86">
        <v>0</v>
      </c>
      <c r="L188" s="86">
        <v>0</v>
      </c>
      <c r="M188" s="4"/>
      <c r="N188" s="4"/>
    </row>
    <row r="189" spans="1:14">
      <c r="A189" s="4"/>
      <c r="B189" s="81"/>
      <c r="C189" s="81"/>
      <c r="D189" s="29" t="s">
        <v>15</v>
      </c>
      <c r="E189" s="95">
        <v>0</v>
      </c>
      <c r="F189" s="95">
        <v>0</v>
      </c>
      <c r="G189" s="86">
        <v>0</v>
      </c>
      <c r="H189" s="86">
        <v>0</v>
      </c>
      <c r="I189" s="96">
        <v>0</v>
      </c>
      <c r="J189" s="96">
        <v>0</v>
      </c>
      <c r="K189" s="86">
        <v>0</v>
      </c>
      <c r="L189" s="86">
        <v>0</v>
      </c>
      <c r="M189" s="4"/>
      <c r="N189" s="4"/>
    </row>
    <row r="190" spans="1:14">
      <c r="A190" s="4"/>
      <c r="B190" s="81"/>
      <c r="C190" s="81"/>
      <c r="D190" s="33" t="s">
        <v>16</v>
      </c>
      <c r="E190" s="97">
        <f>SUM(E186:E189)</f>
        <v>0</v>
      </c>
      <c r="F190" s="97">
        <f t="shared" ref="F190:H190" si="60">SUM(F186:F189)</f>
        <v>0</v>
      </c>
      <c r="G190" s="97">
        <f t="shared" si="60"/>
        <v>0</v>
      </c>
      <c r="H190" s="97">
        <f t="shared" si="60"/>
        <v>0</v>
      </c>
      <c r="I190" s="84">
        <f>SUM(I186:I189)</f>
        <v>0</v>
      </c>
      <c r="J190" s="84">
        <f t="shared" ref="J190:L190" si="61">SUM(J186:J189)</f>
        <v>0</v>
      </c>
      <c r="K190" s="84">
        <f t="shared" si="61"/>
        <v>0</v>
      </c>
      <c r="L190" s="84">
        <f t="shared" si="61"/>
        <v>0</v>
      </c>
      <c r="M190" s="4"/>
      <c r="N190" s="4"/>
    </row>
    <row r="191" spans="1:14">
      <c r="A191" s="4"/>
      <c r="B191" s="81"/>
      <c r="C191" s="81"/>
      <c r="D191" s="35" t="s">
        <v>17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4"/>
      <c r="N191" s="4"/>
    </row>
    <row r="192" spans="1:14">
      <c r="A192" s="4"/>
      <c r="B192" s="88"/>
      <c r="C192" s="88"/>
      <c r="D192" s="35" t="s">
        <v>18</v>
      </c>
      <c r="E192" s="86">
        <f>+E190</f>
        <v>0</v>
      </c>
      <c r="F192" s="86">
        <v>0</v>
      </c>
      <c r="G192" s="86">
        <v>0</v>
      </c>
      <c r="H192" s="86">
        <v>0</v>
      </c>
      <c r="I192" s="86">
        <f>+I190</f>
        <v>0</v>
      </c>
      <c r="J192" s="86">
        <v>0</v>
      </c>
      <c r="K192" s="86">
        <v>0</v>
      </c>
      <c r="L192" s="86">
        <v>0</v>
      </c>
      <c r="M192" s="4"/>
      <c r="N192" s="4"/>
    </row>
    <row r="193" spans="1:14">
      <c r="A193" s="4"/>
      <c r="B193" s="15">
        <v>7</v>
      </c>
      <c r="C193" s="15" t="s">
        <v>33</v>
      </c>
      <c r="D193" s="16" t="s">
        <v>12</v>
      </c>
      <c r="E193" s="55">
        <v>10</v>
      </c>
      <c r="F193" s="55">
        <v>0</v>
      </c>
      <c r="G193" s="55">
        <v>62</v>
      </c>
      <c r="H193" s="90">
        <v>0</v>
      </c>
      <c r="I193" s="18">
        <v>624851219</v>
      </c>
      <c r="J193" s="18">
        <v>0</v>
      </c>
      <c r="K193" s="18">
        <v>2632599445</v>
      </c>
      <c r="L193" s="90">
        <v>0</v>
      </c>
      <c r="M193" s="4"/>
      <c r="N193" s="4"/>
    </row>
    <row r="194" spans="1:14">
      <c r="A194" s="4"/>
      <c r="B194" s="19"/>
      <c r="C194" s="19"/>
      <c r="D194" s="16" t="s">
        <v>13</v>
      </c>
      <c r="E194" s="55">
        <v>178</v>
      </c>
      <c r="F194" s="55">
        <v>23</v>
      </c>
      <c r="G194" s="90">
        <v>0</v>
      </c>
      <c r="H194" s="90">
        <v>0</v>
      </c>
      <c r="I194" s="18">
        <v>2727530860</v>
      </c>
      <c r="J194" s="18">
        <v>294635103</v>
      </c>
      <c r="K194" s="90">
        <v>0</v>
      </c>
      <c r="L194" s="90">
        <v>0</v>
      </c>
      <c r="M194" s="4"/>
      <c r="N194" s="4"/>
    </row>
    <row r="195" spans="1:14" ht="21">
      <c r="A195" s="4"/>
      <c r="B195" s="19"/>
      <c r="C195" s="19"/>
      <c r="D195" s="16" t="s">
        <v>14</v>
      </c>
      <c r="E195" s="55">
        <v>978</v>
      </c>
      <c r="F195" s="55">
        <v>19</v>
      </c>
      <c r="G195" s="90">
        <v>1</v>
      </c>
      <c r="H195" s="90">
        <v>0</v>
      </c>
      <c r="I195" s="18">
        <v>9832732558</v>
      </c>
      <c r="J195" s="18">
        <v>152597374</v>
      </c>
      <c r="K195" s="18">
        <v>11394089</v>
      </c>
      <c r="L195" s="90">
        <v>0</v>
      </c>
      <c r="M195" s="4"/>
      <c r="N195" s="4"/>
    </row>
    <row r="196" spans="1:14">
      <c r="A196" s="4"/>
      <c r="B196" s="19"/>
      <c r="C196" s="19"/>
      <c r="D196" s="16" t="s">
        <v>15</v>
      </c>
      <c r="E196" s="55">
        <v>10</v>
      </c>
      <c r="F196" s="90">
        <v>0</v>
      </c>
      <c r="G196" s="90">
        <v>0</v>
      </c>
      <c r="H196" s="90">
        <v>0</v>
      </c>
      <c r="I196" s="18">
        <v>90220478</v>
      </c>
      <c r="J196" s="90">
        <v>0</v>
      </c>
      <c r="K196" s="90">
        <v>0</v>
      </c>
      <c r="L196" s="90">
        <v>0</v>
      </c>
      <c r="M196" s="4"/>
      <c r="N196" s="4"/>
    </row>
    <row r="197" spans="1:14">
      <c r="A197" s="4"/>
      <c r="B197" s="19"/>
      <c r="C197" s="19"/>
      <c r="D197" s="20" t="s">
        <v>16</v>
      </c>
      <c r="E197" s="23">
        <f>SUM(E193:E196)</f>
        <v>1176</v>
      </c>
      <c r="F197" s="23">
        <f t="shared" ref="F197:H197" si="62">SUM(F193:F196)</f>
        <v>42</v>
      </c>
      <c r="G197" s="23">
        <f t="shared" si="62"/>
        <v>63</v>
      </c>
      <c r="H197" s="99">
        <f t="shared" si="62"/>
        <v>0</v>
      </c>
      <c r="I197" s="24">
        <f>SUM(I193:I196)</f>
        <v>13275335115</v>
      </c>
      <c r="J197" s="24">
        <f t="shared" ref="J197:L197" si="63">SUM(J193:J196)</f>
        <v>447232477</v>
      </c>
      <c r="K197" s="24">
        <f t="shared" si="63"/>
        <v>2643993534</v>
      </c>
      <c r="L197" s="24">
        <f t="shared" si="63"/>
        <v>0</v>
      </c>
      <c r="M197" s="4"/>
      <c r="N197" s="4"/>
    </row>
    <row r="198" spans="1:14">
      <c r="A198" s="4"/>
      <c r="B198" s="19"/>
      <c r="C198" s="19"/>
      <c r="D198" s="25" t="s">
        <v>17</v>
      </c>
      <c r="E198" s="54">
        <f>+E197</f>
        <v>1176</v>
      </c>
      <c r="F198" s="54">
        <f>+F197</f>
        <v>42</v>
      </c>
      <c r="G198" s="54">
        <f>+G197</f>
        <v>63</v>
      </c>
      <c r="H198" s="90">
        <v>0</v>
      </c>
      <c r="I198" s="18">
        <f>+I197</f>
        <v>13275335115</v>
      </c>
      <c r="J198" s="18">
        <f>+J197</f>
        <v>447232477</v>
      </c>
      <c r="K198" s="18">
        <f>+K197</f>
        <v>2643993534</v>
      </c>
      <c r="L198" s="18">
        <v>0</v>
      </c>
      <c r="M198" s="4"/>
      <c r="N198" s="4"/>
    </row>
    <row r="199" spans="1:14">
      <c r="A199" s="4"/>
      <c r="B199" s="26"/>
      <c r="C199" s="26"/>
      <c r="D199" s="25" t="s">
        <v>18</v>
      </c>
      <c r="E199" s="90">
        <v>0</v>
      </c>
      <c r="F199" s="90">
        <v>0</v>
      </c>
      <c r="G199" s="90">
        <v>0</v>
      </c>
      <c r="H199" s="90">
        <v>0</v>
      </c>
      <c r="I199" s="18">
        <v>0</v>
      </c>
      <c r="J199" s="18">
        <v>0</v>
      </c>
      <c r="K199" s="18">
        <v>0</v>
      </c>
      <c r="L199" s="18">
        <v>0</v>
      </c>
      <c r="M199" s="4"/>
      <c r="N199" s="4"/>
    </row>
    <row r="200" spans="1:14">
      <c r="A200" s="4"/>
      <c r="B200" s="15">
        <v>7</v>
      </c>
      <c r="C200" s="15" t="s">
        <v>33</v>
      </c>
      <c r="D200" s="16" t="s">
        <v>12</v>
      </c>
      <c r="E200" s="55">
        <v>0</v>
      </c>
      <c r="F200" s="55">
        <v>0</v>
      </c>
      <c r="G200" s="55">
        <v>0</v>
      </c>
      <c r="H200" s="90">
        <v>0</v>
      </c>
      <c r="I200" s="18">
        <v>0</v>
      </c>
      <c r="J200" s="18">
        <v>0</v>
      </c>
      <c r="K200" s="18">
        <v>0</v>
      </c>
      <c r="L200" s="18">
        <v>0</v>
      </c>
      <c r="M200" s="4"/>
      <c r="N200" s="4"/>
    </row>
    <row r="201" spans="1:14">
      <c r="A201" s="4"/>
      <c r="B201" s="19"/>
      <c r="C201" s="19"/>
      <c r="D201" s="16" t="s">
        <v>13</v>
      </c>
      <c r="E201" s="55">
        <v>0</v>
      </c>
      <c r="F201" s="55">
        <v>0</v>
      </c>
      <c r="G201" s="90">
        <v>0</v>
      </c>
      <c r="H201" s="90">
        <v>0</v>
      </c>
      <c r="I201" s="18">
        <v>0</v>
      </c>
      <c r="J201" s="18">
        <v>0</v>
      </c>
      <c r="K201" s="18">
        <v>0</v>
      </c>
      <c r="L201" s="18">
        <v>0</v>
      </c>
      <c r="M201" s="4"/>
      <c r="N201" s="4"/>
    </row>
    <row r="202" spans="1:14" ht="21">
      <c r="A202" s="4"/>
      <c r="B202" s="19"/>
      <c r="C202" s="19"/>
      <c r="D202" s="16" t="s">
        <v>14</v>
      </c>
      <c r="E202" s="55">
        <v>0</v>
      </c>
      <c r="F202" s="55">
        <v>0</v>
      </c>
      <c r="G202" s="90">
        <v>0</v>
      </c>
      <c r="H202" s="90">
        <v>0</v>
      </c>
      <c r="I202" s="18">
        <v>0</v>
      </c>
      <c r="J202" s="18">
        <v>0</v>
      </c>
      <c r="K202" s="18">
        <v>0</v>
      </c>
      <c r="L202" s="18">
        <v>0</v>
      </c>
      <c r="M202" s="4"/>
      <c r="N202" s="4"/>
    </row>
    <row r="203" spans="1:14">
      <c r="A203" s="4"/>
      <c r="B203" s="19"/>
      <c r="C203" s="19"/>
      <c r="D203" s="16" t="s">
        <v>15</v>
      </c>
      <c r="E203" s="55">
        <v>0</v>
      </c>
      <c r="F203" s="55">
        <v>0</v>
      </c>
      <c r="G203" s="90">
        <v>0</v>
      </c>
      <c r="H203" s="90">
        <v>0</v>
      </c>
      <c r="I203" s="18">
        <v>0</v>
      </c>
      <c r="J203" s="18">
        <v>0</v>
      </c>
      <c r="K203" s="18">
        <v>0</v>
      </c>
      <c r="L203" s="18">
        <v>0</v>
      </c>
      <c r="M203" s="4"/>
      <c r="N203" s="4"/>
    </row>
    <row r="204" spans="1:14">
      <c r="A204" s="4"/>
      <c r="B204" s="19"/>
      <c r="C204" s="19"/>
      <c r="D204" s="20" t="s">
        <v>16</v>
      </c>
      <c r="E204" s="23">
        <f>SUM(E200:E203)</f>
        <v>0</v>
      </c>
      <c r="F204" s="23">
        <f t="shared" ref="F204:H204" si="64">SUM(F200:F203)</f>
        <v>0</v>
      </c>
      <c r="G204" s="23">
        <f t="shared" si="64"/>
        <v>0</v>
      </c>
      <c r="H204" s="99">
        <f t="shared" si="64"/>
        <v>0</v>
      </c>
      <c r="I204" s="24">
        <f>SUM(I200:I203)</f>
        <v>0</v>
      </c>
      <c r="J204" s="24">
        <f t="shared" ref="J204:L204" si="65">SUM(J200:J203)</f>
        <v>0</v>
      </c>
      <c r="K204" s="24">
        <f t="shared" si="65"/>
        <v>0</v>
      </c>
      <c r="L204" s="24">
        <f t="shared" si="65"/>
        <v>0</v>
      </c>
      <c r="M204" s="4"/>
      <c r="N204" s="4"/>
    </row>
    <row r="205" spans="1:14">
      <c r="A205" s="4"/>
      <c r="B205" s="19"/>
      <c r="C205" s="19"/>
      <c r="D205" s="25" t="s">
        <v>17</v>
      </c>
      <c r="E205" s="54">
        <v>0</v>
      </c>
      <c r="F205" s="54">
        <v>0</v>
      </c>
      <c r="G205" s="54">
        <v>0</v>
      </c>
      <c r="H205" s="90">
        <v>0</v>
      </c>
      <c r="I205" s="18">
        <v>0</v>
      </c>
      <c r="J205" s="18">
        <v>0</v>
      </c>
      <c r="K205" s="18">
        <v>0</v>
      </c>
      <c r="L205" s="18">
        <v>0</v>
      </c>
      <c r="M205" s="4"/>
      <c r="N205" s="4"/>
    </row>
    <row r="206" spans="1:14">
      <c r="A206" s="4"/>
      <c r="B206" s="26"/>
      <c r="C206" s="26"/>
      <c r="D206" s="25" t="s">
        <v>18</v>
      </c>
      <c r="E206" s="90">
        <v>0</v>
      </c>
      <c r="F206" s="90">
        <v>0</v>
      </c>
      <c r="G206" s="90">
        <v>0</v>
      </c>
      <c r="H206" s="90">
        <v>0</v>
      </c>
      <c r="I206" s="18">
        <v>0</v>
      </c>
      <c r="J206" s="18">
        <v>0</v>
      </c>
      <c r="K206" s="18">
        <v>0</v>
      </c>
      <c r="L206" s="18">
        <v>0</v>
      </c>
      <c r="M206" s="4"/>
      <c r="N206" s="4"/>
    </row>
    <row r="207" spans="1:14">
      <c r="A207" s="4"/>
      <c r="B207" s="76">
        <v>8</v>
      </c>
      <c r="C207" s="76" t="s">
        <v>34</v>
      </c>
      <c r="D207" s="29" t="s">
        <v>12</v>
      </c>
      <c r="E207" s="85">
        <v>14</v>
      </c>
      <c r="F207" s="79">
        <v>1</v>
      </c>
      <c r="G207" s="79">
        <v>9</v>
      </c>
      <c r="H207" s="98">
        <v>0</v>
      </c>
      <c r="I207" s="78">
        <v>464044965</v>
      </c>
      <c r="J207" s="78">
        <v>27535312</v>
      </c>
      <c r="K207" s="78">
        <v>1071639393</v>
      </c>
      <c r="L207" s="98">
        <v>0</v>
      </c>
      <c r="M207" s="4"/>
      <c r="N207" s="4"/>
    </row>
    <row r="208" spans="1:14">
      <c r="A208" s="4"/>
      <c r="B208" s="81"/>
      <c r="C208" s="81"/>
      <c r="D208" s="29" t="s">
        <v>13</v>
      </c>
      <c r="E208" s="85">
        <v>42</v>
      </c>
      <c r="F208" s="79">
        <v>3</v>
      </c>
      <c r="G208" s="98">
        <v>0</v>
      </c>
      <c r="H208" s="98">
        <v>0</v>
      </c>
      <c r="I208" s="78">
        <v>710303608</v>
      </c>
      <c r="J208" s="78">
        <v>48564890</v>
      </c>
      <c r="K208" s="98">
        <v>0</v>
      </c>
      <c r="L208" s="98">
        <v>0</v>
      </c>
      <c r="M208" s="4"/>
      <c r="N208" s="4"/>
    </row>
    <row r="209" spans="1:14" ht="21">
      <c r="A209" s="4"/>
      <c r="B209" s="81"/>
      <c r="C209" s="81"/>
      <c r="D209" s="29" t="s">
        <v>14</v>
      </c>
      <c r="E209" s="85">
        <v>134</v>
      </c>
      <c r="F209" s="79">
        <v>23</v>
      </c>
      <c r="G209" s="98">
        <v>0</v>
      </c>
      <c r="H209" s="98">
        <v>0</v>
      </c>
      <c r="I209" s="78">
        <v>1395953073</v>
      </c>
      <c r="J209" s="78">
        <v>171727441</v>
      </c>
      <c r="K209" s="98">
        <v>0</v>
      </c>
      <c r="L209" s="98">
        <v>0</v>
      </c>
      <c r="M209" s="4"/>
      <c r="N209" s="4"/>
    </row>
    <row r="210" spans="1:14">
      <c r="A210" s="4"/>
      <c r="B210" s="81"/>
      <c r="C210" s="81"/>
      <c r="D210" s="29" t="s">
        <v>15</v>
      </c>
      <c r="E210" s="85">
        <v>78</v>
      </c>
      <c r="F210" s="79">
        <v>1</v>
      </c>
      <c r="G210" s="98">
        <v>0</v>
      </c>
      <c r="H210" s="98">
        <v>0</v>
      </c>
      <c r="I210" s="78">
        <v>376149324</v>
      </c>
      <c r="J210" s="78">
        <v>8011851</v>
      </c>
      <c r="K210" s="98">
        <v>0</v>
      </c>
      <c r="L210" s="98">
        <v>0</v>
      </c>
      <c r="M210" s="4"/>
      <c r="N210" s="4"/>
    </row>
    <row r="211" spans="1:14">
      <c r="A211" s="4"/>
      <c r="B211" s="81"/>
      <c r="C211" s="81"/>
      <c r="D211" s="33" t="s">
        <v>16</v>
      </c>
      <c r="E211" s="82">
        <f>SUM(E207:E210)</f>
        <v>268</v>
      </c>
      <c r="F211" s="82">
        <f t="shared" ref="F211:H211" si="66">SUM(F207:F210)</f>
        <v>28</v>
      </c>
      <c r="G211" s="82">
        <f t="shared" si="66"/>
        <v>9</v>
      </c>
      <c r="H211" s="82">
        <f t="shared" si="66"/>
        <v>0</v>
      </c>
      <c r="I211" s="84">
        <f>SUM(I207:I210)</f>
        <v>2946450970</v>
      </c>
      <c r="J211" s="84">
        <f t="shared" ref="J211:L211" si="67">SUM(J207:J210)</f>
        <v>255839494</v>
      </c>
      <c r="K211" s="84">
        <f t="shared" si="67"/>
        <v>1071639393</v>
      </c>
      <c r="L211" s="84">
        <f t="shared" si="67"/>
        <v>0</v>
      </c>
      <c r="M211" s="4"/>
      <c r="N211" s="4"/>
    </row>
    <row r="212" spans="1:14">
      <c r="A212" s="4"/>
      <c r="B212" s="81"/>
      <c r="C212" s="81"/>
      <c r="D212" s="35" t="s">
        <v>17</v>
      </c>
      <c r="E212" s="85">
        <v>268</v>
      </c>
      <c r="F212" s="79">
        <v>28</v>
      </c>
      <c r="G212" s="79">
        <v>9</v>
      </c>
      <c r="H212" s="79">
        <v>0</v>
      </c>
      <c r="I212" s="78">
        <v>2946450970</v>
      </c>
      <c r="J212" s="78">
        <v>255839494</v>
      </c>
      <c r="K212" s="78">
        <v>1071639393</v>
      </c>
      <c r="L212" s="86">
        <v>0</v>
      </c>
      <c r="M212" s="4"/>
      <c r="N212" s="4"/>
    </row>
    <row r="213" spans="1:14">
      <c r="A213" s="4"/>
      <c r="B213" s="88"/>
      <c r="C213" s="88"/>
      <c r="D213" s="35" t="s">
        <v>18</v>
      </c>
      <c r="E213" s="86">
        <v>0</v>
      </c>
      <c r="F213" s="86">
        <v>0</v>
      </c>
      <c r="G213" s="86">
        <v>0</v>
      </c>
      <c r="H213" s="86">
        <v>0</v>
      </c>
      <c r="I213" s="78"/>
      <c r="J213" s="78">
        <v>0</v>
      </c>
      <c r="K213" s="78">
        <v>0</v>
      </c>
      <c r="L213" s="86">
        <v>0</v>
      </c>
      <c r="M213" s="4"/>
      <c r="N213" s="4"/>
    </row>
    <row r="214" spans="1:14">
      <c r="A214" s="4"/>
      <c r="B214" s="76">
        <v>8</v>
      </c>
      <c r="C214" s="76" t="s">
        <v>34</v>
      </c>
      <c r="D214" s="29" t="s">
        <v>12</v>
      </c>
      <c r="E214" s="85">
        <v>0</v>
      </c>
      <c r="F214" s="79">
        <v>0</v>
      </c>
      <c r="G214" s="79">
        <v>0</v>
      </c>
      <c r="H214" s="89">
        <v>0</v>
      </c>
      <c r="I214" s="78">
        <v>0</v>
      </c>
      <c r="J214" s="78">
        <v>0</v>
      </c>
      <c r="K214" s="78">
        <v>0</v>
      </c>
      <c r="L214" s="86">
        <v>0</v>
      </c>
      <c r="M214" s="4"/>
      <c r="N214" s="4"/>
    </row>
    <row r="215" spans="1:14">
      <c r="A215" s="4"/>
      <c r="B215" s="81"/>
      <c r="C215" s="81"/>
      <c r="D215" s="29" t="s">
        <v>13</v>
      </c>
      <c r="E215" s="85">
        <v>0</v>
      </c>
      <c r="F215" s="79">
        <v>0</v>
      </c>
      <c r="G215" s="86">
        <v>0</v>
      </c>
      <c r="H215" s="86">
        <v>0</v>
      </c>
      <c r="I215" s="78">
        <v>0</v>
      </c>
      <c r="J215" s="78">
        <v>0</v>
      </c>
      <c r="K215" s="78">
        <v>0</v>
      </c>
      <c r="L215" s="86">
        <v>0</v>
      </c>
      <c r="M215" s="4"/>
      <c r="N215" s="4"/>
    </row>
    <row r="216" spans="1:14" ht="21">
      <c r="A216" s="4"/>
      <c r="B216" s="81"/>
      <c r="C216" s="81"/>
      <c r="D216" s="29" t="s">
        <v>14</v>
      </c>
      <c r="E216" s="85">
        <v>0</v>
      </c>
      <c r="F216" s="79">
        <v>0</v>
      </c>
      <c r="G216" s="86">
        <v>0</v>
      </c>
      <c r="H216" s="86">
        <v>0</v>
      </c>
      <c r="I216" s="78">
        <v>0</v>
      </c>
      <c r="J216" s="78">
        <v>0</v>
      </c>
      <c r="K216" s="78">
        <v>0</v>
      </c>
      <c r="L216" s="86">
        <v>0</v>
      </c>
      <c r="M216" s="4"/>
      <c r="N216" s="4"/>
    </row>
    <row r="217" spans="1:14">
      <c r="A217" s="4"/>
      <c r="B217" s="81"/>
      <c r="C217" s="81"/>
      <c r="D217" s="29" t="s">
        <v>15</v>
      </c>
      <c r="E217" s="85">
        <v>755</v>
      </c>
      <c r="F217" s="79">
        <v>0</v>
      </c>
      <c r="G217" s="86">
        <v>0</v>
      </c>
      <c r="H217" s="86">
        <v>0</v>
      </c>
      <c r="I217" s="78">
        <v>2774482768</v>
      </c>
      <c r="J217" s="78">
        <v>0</v>
      </c>
      <c r="K217" s="78">
        <v>0</v>
      </c>
      <c r="L217" s="86">
        <v>0</v>
      </c>
      <c r="M217" s="4"/>
      <c r="N217" s="4"/>
    </row>
    <row r="218" spans="1:14">
      <c r="A218" s="4"/>
      <c r="B218" s="81"/>
      <c r="C218" s="81"/>
      <c r="D218" s="33" t="s">
        <v>16</v>
      </c>
      <c r="E218" s="82">
        <f>SUM(E214:E217)</f>
        <v>755</v>
      </c>
      <c r="F218" s="82">
        <f t="shared" ref="F218:H218" si="68">SUM(F214:F217)</f>
        <v>0</v>
      </c>
      <c r="G218" s="82">
        <f t="shared" si="68"/>
        <v>0</v>
      </c>
      <c r="H218" s="82">
        <f t="shared" si="68"/>
        <v>0</v>
      </c>
      <c r="I218" s="84">
        <f>SUM(I214:I217)</f>
        <v>2774482768</v>
      </c>
      <c r="J218" s="84">
        <f t="shared" ref="J218:L218" si="69">SUM(J214:J217)</f>
        <v>0</v>
      </c>
      <c r="K218" s="84">
        <f t="shared" si="69"/>
        <v>0</v>
      </c>
      <c r="L218" s="84">
        <f t="shared" si="69"/>
        <v>0</v>
      </c>
      <c r="M218" s="4"/>
      <c r="N218" s="4"/>
    </row>
    <row r="219" spans="1:14">
      <c r="A219" s="4"/>
      <c r="B219" s="81"/>
      <c r="C219" s="81"/>
      <c r="D219" s="35" t="s">
        <v>17</v>
      </c>
      <c r="E219" s="85">
        <v>0</v>
      </c>
      <c r="F219" s="79">
        <v>0</v>
      </c>
      <c r="G219" s="79">
        <v>0</v>
      </c>
      <c r="H219" s="79">
        <v>0</v>
      </c>
      <c r="I219" s="78">
        <v>0</v>
      </c>
      <c r="J219" s="78">
        <v>0</v>
      </c>
      <c r="K219" s="78">
        <v>0</v>
      </c>
      <c r="L219" s="86">
        <v>0</v>
      </c>
      <c r="M219" s="4"/>
      <c r="N219" s="4"/>
    </row>
    <row r="220" spans="1:14">
      <c r="A220" s="4"/>
      <c r="B220" s="88"/>
      <c r="C220" s="88"/>
      <c r="D220" s="35" t="s">
        <v>18</v>
      </c>
      <c r="E220" s="86">
        <f>+E218</f>
        <v>755</v>
      </c>
      <c r="F220" s="86">
        <v>0</v>
      </c>
      <c r="G220" s="86">
        <v>0</v>
      </c>
      <c r="H220" s="86">
        <v>0</v>
      </c>
      <c r="I220" s="78">
        <f>+I218</f>
        <v>2774482768</v>
      </c>
      <c r="J220" s="78">
        <v>0</v>
      </c>
      <c r="K220" s="78">
        <v>0</v>
      </c>
      <c r="L220" s="86">
        <v>0</v>
      </c>
      <c r="M220" s="4"/>
      <c r="N220" s="4"/>
    </row>
    <row r="221" spans="1:14">
      <c r="A221" s="4"/>
      <c r="B221" s="15">
        <v>9</v>
      </c>
      <c r="C221" s="15" t="s">
        <v>35</v>
      </c>
      <c r="D221" s="16" t="s">
        <v>12</v>
      </c>
      <c r="E221" s="41">
        <v>44</v>
      </c>
      <c r="F221" s="54">
        <v>3</v>
      </c>
      <c r="G221" s="54">
        <v>46</v>
      </c>
      <c r="H221" s="55">
        <v>3</v>
      </c>
      <c r="I221" s="18">
        <v>1347470134</v>
      </c>
      <c r="J221" s="18">
        <v>75000000</v>
      </c>
      <c r="K221" s="18">
        <v>4365000000</v>
      </c>
      <c r="L221" s="18">
        <v>77000000</v>
      </c>
      <c r="M221" s="4"/>
      <c r="N221" s="4"/>
    </row>
    <row r="222" spans="1:14">
      <c r="A222" s="4"/>
      <c r="B222" s="19"/>
      <c r="C222" s="19"/>
      <c r="D222" s="16" t="s">
        <v>13</v>
      </c>
      <c r="E222" s="41">
        <v>6</v>
      </c>
      <c r="F222" s="90">
        <v>0</v>
      </c>
      <c r="G222" s="90">
        <v>0</v>
      </c>
      <c r="H222" s="90">
        <v>0</v>
      </c>
      <c r="I222" s="18">
        <v>88422150</v>
      </c>
      <c r="J222" s="102">
        <v>0</v>
      </c>
      <c r="K222" s="102">
        <v>0</v>
      </c>
      <c r="L222" s="102">
        <v>0</v>
      </c>
      <c r="M222" s="4"/>
      <c r="N222" s="4"/>
    </row>
    <row r="223" spans="1:14" ht="21">
      <c r="A223" s="4"/>
      <c r="B223" s="19"/>
      <c r="C223" s="19"/>
      <c r="D223" s="16" t="s">
        <v>14</v>
      </c>
      <c r="E223" s="41">
        <v>67</v>
      </c>
      <c r="F223" s="54">
        <v>14</v>
      </c>
      <c r="G223" s="90">
        <v>0</v>
      </c>
      <c r="H223" s="90">
        <v>0</v>
      </c>
      <c r="I223" s="18">
        <v>878000000</v>
      </c>
      <c r="J223" s="18">
        <v>117000000</v>
      </c>
      <c r="K223" s="102">
        <v>0</v>
      </c>
      <c r="L223" s="102">
        <v>0</v>
      </c>
      <c r="M223" s="4"/>
      <c r="N223" s="4"/>
    </row>
    <row r="224" spans="1:14">
      <c r="A224" s="4"/>
      <c r="B224" s="19"/>
      <c r="C224" s="19"/>
      <c r="D224" s="16" t="s">
        <v>15</v>
      </c>
      <c r="E224" s="41">
        <v>123</v>
      </c>
      <c r="F224" s="54">
        <v>9</v>
      </c>
      <c r="G224" s="90">
        <v>0</v>
      </c>
      <c r="H224" s="90">
        <v>0</v>
      </c>
      <c r="I224" s="18">
        <v>571000000</v>
      </c>
      <c r="J224" s="18">
        <v>49000000</v>
      </c>
      <c r="K224" s="102">
        <v>0</v>
      </c>
      <c r="L224" s="102">
        <v>0</v>
      </c>
      <c r="M224" s="4"/>
      <c r="N224" s="4"/>
    </row>
    <row r="225" spans="1:14">
      <c r="A225" s="4"/>
      <c r="B225" s="19"/>
      <c r="C225" s="19"/>
      <c r="D225" s="20" t="s">
        <v>16</v>
      </c>
      <c r="E225" s="21">
        <f>SUM(E221:E224)</f>
        <v>240</v>
      </c>
      <c r="F225" s="22">
        <f t="shared" ref="F225:H225" si="70">SUM(F221:F224)</f>
        <v>26</v>
      </c>
      <c r="G225" s="22">
        <f t="shared" si="70"/>
        <v>46</v>
      </c>
      <c r="H225" s="23">
        <f t="shared" si="70"/>
        <v>3</v>
      </c>
      <c r="I225" s="24">
        <f>SUM(I221:I224)</f>
        <v>2884892284</v>
      </c>
      <c r="J225" s="24">
        <f t="shared" ref="J225:L225" si="71">SUM(J221:J224)</f>
        <v>241000000</v>
      </c>
      <c r="K225" s="24">
        <f t="shared" si="71"/>
        <v>4365000000</v>
      </c>
      <c r="L225" s="24">
        <f t="shared" si="71"/>
        <v>77000000</v>
      </c>
      <c r="M225" s="4"/>
      <c r="N225" s="4"/>
    </row>
    <row r="226" spans="1:14">
      <c r="A226" s="4"/>
      <c r="B226" s="19"/>
      <c r="C226" s="19"/>
      <c r="D226" s="25" t="s">
        <v>17</v>
      </c>
      <c r="E226" s="41">
        <v>240</v>
      </c>
      <c r="F226" s="54">
        <v>26</v>
      </c>
      <c r="G226" s="54">
        <v>46</v>
      </c>
      <c r="H226" s="55">
        <v>3</v>
      </c>
      <c r="I226" s="18">
        <v>2884892284</v>
      </c>
      <c r="J226" s="18">
        <v>241000000</v>
      </c>
      <c r="K226" s="18">
        <v>4365000000</v>
      </c>
      <c r="L226" s="18">
        <v>77000000</v>
      </c>
      <c r="M226" s="4"/>
      <c r="N226" s="4"/>
    </row>
    <row r="227" spans="1:14">
      <c r="A227" s="4"/>
      <c r="B227" s="26"/>
      <c r="C227" s="26"/>
      <c r="D227" s="25" t="s">
        <v>18</v>
      </c>
      <c r="E227" s="90">
        <v>0</v>
      </c>
      <c r="F227" s="90">
        <v>0</v>
      </c>
      <c r="G227" s="90">
        <v>0</v>
      </c>
      <c r="H227" s="90">
        <v>0</v>
      </c>
      <c r="I227" s="18">
        <v>0</v>
      </c>
      <c r="J227" s="18">
        <v>0</v>
      </c>
      <c r="K227" s="18">
        <v>0</v>
      </c>
      <c r="L227" s="18">
        <v>0</v>
      </c>
      <c r="M227" s="4"/>
      <c r="N227" s="4"/>
    </row>
    <row r="228" spans="1:14">
      <c r="A228" s="4"/>
      <c r="B228" s="15">
        <v>9</v>
      </c>
      <c r="C228" s="15" t="s">
        <v>35</v>
      </c>
      <c r="D228" s="16" t="s">
        <v>12</v>
      </c>
      <c r="E228" s="41">
        <v>3</v>
      </c>
      <c r="F228" s="54">
        <v>0</v>
      </c>
      <c r="G228" s="54">
        <v>0</v>
      </c>
      <c r="H228" s="55">
        <v>0</v>
      </c>
      <c r="I228" s="18">
        <v>105000000</v>
      </c>
      <c r="J228" s="18">
        <v>0</v>
      </c>
      <c r="K228" s="18">
        <v>0</v>
      </c>
      <c r="L228" s="18">
        <v>0</v>
      </c>
      <c r="M228" s="4"/>
      <c r="N228" s="4"/>
    </row>
    <row r="229" spans="1:14">
      <c r="A229" s="4"/>
      <c r="B229" s="19"/>
      <c r="C229" s="19"/>
      <c r="D229" s="16" t="s">
        <v>13</v>
      </c>
      <c r="E229" s="103">
        <v>0</v>
      </c>
      <c r="F229" s="90">
        <v>0</v>
      </c>
      <c r="G229" s="90">
        <v>0</v>
      </c>
      <c r="H229" s="90">
        <v>0</v>
      </c>
      <c r="I229" s="102">
        <v>0</v>
      </c>
      <c r="J229" s="102">
        <v>0</v>
      </c>
      <c r="K229" s="102">
        <v>0</v>
      </c>
      <c r="L229" s="102">
        <v>0</v>
      </c>
      <c r="M229" s="4"/>
      <c r="N229" s="4"/>
    </row>
    <row r="230" spans="1:14" ht="21">
      <c r="A230" s="4"/>
      <c r="B230" s="19"/>
      <c r="C230" s="19"/>
      <c r="D230" s="16" t="s">
        <v>14</v>
      </c>
      <c r="E230" s="41">
        <v>1</v>
      </c>
      <c r="F230" s="54">
        <v>2</v>
      </c>
      <c r="G230" s="90">
        <v>0</v>
      </c>
      <c r="H230" s="90">
        <v>0</v>
      </c>
      <c r="I230" s="18">
        <v>11000000</v>
      </c>
      <c r="J230" s="18">
        <v>0</v>
      </c>
      <c r="K230" s="102">
        <v>0</v>
      </c>
      <c r="L230" s="102">
        <v>0</v>
      </c>
      <c r="M230" s="4"/>
      <c r="N230" s="4"/>
    </row>
    <row r="231" spans="1:14">
      <c r="A231" s="4"/>
      <c r="B231" s="19"/>
      <c r="C231" s="19"/>
      <c r="D231" s="16" t="s">
        <v>15</v>
      </c>
      <c r="E231" s="41">
        <v>149</v>
      </c>
      <c r="F231" s="54">
        <v>4</v>
      </c>
      <c r="G231" s="90">
        <v>0</v>
      </c>
      <c r="H231" s="90">
        <v>0</v>
      </c>
      <c r="I231" s="18">
        <v>206000000</v>
      </c>
      <c r="J231" s="18">
        <v>0</v>
      </c>
      <c r="K231" s="102">
        <v>0</v>
      </c>
      <c r="L231" s="102">
        <v>0</v>
      </c>
      <c r="M231" s="4"/>
      <c r="N231" s="4"/>
    </row>
    <row r="232" spans="1:14">
      <c r="A232" s="4"/>
      <c r="B232" s="19"/>
      <c r="C232" s="19"/>
      <c r="D232" s="20" t="s">
        <v>16</v>
      </c>
      <c r="E232" s="21">
        <f>SUM(E228:E231)</f>
        <v>153</v>
      </c>
      <c r="F232" s="22">
        <f t="shared" ref="F232:H232" si="72">SUM(F228:F231)</f>
        <v>6</v>
      </c>
      <c r="G232" s="22">
        <f t="shared" si="72"/>
        <v>0</v>
      </c>
      <c r="H232" s="23">
        <f t="shared" si="72"/>
        <v>0</v>
      </c>
      <c r="I232" s="24">
        <f>SUM(I228:I231)</f>
        <v>322000000</v>
      </c>
      <c r="J232" s="24">
        <f t="shared" ref="J232:L232" si="73">SUM(J228:J231)</f>
        <v>0</v>
      </c>
      <c r="K232" s="24">
        <f t="shared" si="73"/>
        <v>0</v>
      </c>
      <c r="L232" s="24">
        <f t="shared" si="73"/>
        <v>0</v>
      </c>
      <c r="M232" s="4"/>
      <c r="N232" s="4"/>
    </row>
    <row r="233" spans="1:14">
      <c r="A233" s="4"/>
      <c r="B233" s="19"/>
      <c r="C233" s="19"/>
      <c r="D233" s="25" t="s">
        <v>17</v>
      </c>
      <c r="E233" s="41">
        <v>73</v>
      </c>
      <c r="F233" s="54">
        <v>4</v>
      </c>
      <c r="G233" s="90">
        <v>0</v>
      </c>
      <c r="H233" s="90">
        <v>0</v>
      </c>
      <c r="I233" s="18">
        <v>265000000</v>
      </c>
      <c r="J233" s="18">
        <v>0</v>
      </c>
      <c r="K233" s="18">
        <v>0</v>
      </c>
      <c r="L233" s="18">
        <v>0</v>
      </c>
      <c r="M233" s="4"/>
      <c r="N233" s="4"/>
    </row>
    <row r="234" spans="1:14">
      <c r="A234" s="4"/>
      <c r="B234" s="26"/>
      <c r="C234" s="26"/>
      <c r="D234" s="25" t="s">
        <v>18</v>
      </c>
      <c r="E234" s="41">
        <v>80</v>
      </c>
      <c r="F234" s="54">
        <v>2</v>
      </c>
      <c r="G234" s="90">
        <v>0</v>
      </c>
      <c r="H234" s="90">
        <v>0</v>
      </c>
      <c r="I234" s="18">
        <v>57000000</v>
      </c>
      <c r="J234" s="102">
        <v>0</v>
      </c>
      <c r="K234" s="102">
        <v>0</v>
      </c>
      <c r="L234" s="102">
        <v>0</v>
      </c>
      <c r="M234" s="4"/>
      <c r="N234" s="4"/>
    </row>
    <row r="235" spans="1:14">
      <c r="A235" s="4"/>
      <c r="B235" s="76">
        <v>10</v>
      </c>
      <c r="C235" s="76" t="s">
        <v>36</v>
      </c>
      <c r="D235" s="29" t="s">
        <v>12</v>
      </c>
      <c r="E235" s="85">
        <v>10</v>
      </c>
      <c r="F235" s="79">
        <v>5</v>
      </c>
      <c r="G235" s="79">
        <v>7</v>
      </c>
      <c r="H235" s="89">
        <v>1</v>
      </c>
      <c r="I235" s="78">
        <v>419861145</v>
      </c>
      <c r="J235" s="78">
        <v>63058940</v>
      </c>
      <c r="K235" s="78">
        <v>294930461</v>
      </c>
      <c r="L235" s="78">
        <v>44413961</v>
      </c>
      <c r="M235" s="4"/>
      <c r="N235" s="4"/>
    </row>
    <row r="236" spans="1:14">
      <c r="A236" s="4"/>
      <c r="B236" s="81"/>
      <c r="C236" s="81"/>
      <c r="D236" s="29" t="s">
        <v>13</v>
      </c>
      <c r="E236" s="86">
        <v>0</v>
      </c>
      <c r="F236" s="86">
        <v>0</v>
      </c>
      <c r="G236" s="86">
        <v>0</v>
      </c>
      <c r="H236" s="86">
        <v>0</v>
      </c>
      <c r="I236" s="86">
        <v>0</v>
      </c>
      <c r="J236" s="86">
        <v>0</v>
      </c>
      <c r="K236" s="86">
        <v>0</v>
      </c>
      <c r="L236" s="86">
        <v>0</v>
      </c>
      <c r="M236" s="4"/>
      <c r="N236" s="4"/>
    </row>
    <row r="237" spans="1:14" ht="21">
      <c r="A237" s="4"/>
      <c r="B237" s="81"/>
      <c r="C237" s="81"/>
      <c r="D237" s="29" t="s">
        <v>14</v>
      </c>
      <c r="E237" s="85">
        <v>152</v>
      </c>
      <c r="F237" s="79">
        <v>29</v>
      </c>
      <c r="G237" s="86">
        <v>0</v>
      </c>
      <c r="H237" s="86">
        <v>0</v>
      </c>
      <c r="I237" s="78">
        <v>813640253</v>
      </c>
      <c r="J237" s="78">
        <v>70800220</v>
      </c>
      <c r="K237" s="86">
        <v>0</v>
      </c>
      <c r="L237" s="86">
        <v>0</v>
      </c>
      <c r="M237" s="4"/>
      <c r="N237" s="4"/>
    </row>
    <row r="238" spans="1:14">
      <c r="A238" s="4"/>
      <c r="B238" s="81"/>
      <c r="C238" s="81"/>
      <c r="D238" s="29" t="s">
        <v>15</v>
      </c>
      <c r="E238" s="85">
        <v>259</v>
      </c>
      <c r="F238" s="79">
        <v>100</v>
      </c>
      <c r="G238" s="86">
        <v>0</v>
      </c>
      <c r="H238" s="86">
        <v>0</v>
      </c>
      <c r="I238" s="78">
        <v>48792704</v>
      </c>
      <c r="J238" s="78">
        <v>11749482</v>
      </c>
      <c r="K238" s="86">
        <v>0</v>
      </c>
      <c r="L238" s="86">
        <v>0</v>
      </c>
      <c r="M238" s="4"/>
      <c r="N238" s="4"/>
    </row>
    <row r="239" spans="1:14">
      <c r="A239" s="4"/>
      <c r="B239" s="81"/>
      <c r="C239" s="81"/>
      <c r="D239" s="33" t="s">
        <v>16</v>
      </c>
      <c r="E239" s="82">
        <f>SUM(E235:E238)</f>
        <v>421</v>
      </c>
      <c r="F239" s="82">
        <f t="shared" ref="F239:H239" si="74">SUM(F235:F238)</f>
        <v>134</v>
      </c>
      <c r="G239" s="82">
        <f t="shared" si="74"/>
        <v>7</v>
      </c>
      <c r="H239" s="82">
        <f t="shared" si="74"/>
        <v>1</v>
      </c>
      <c r="I239" s="84">
        <f>SUM(I235:I238)</f>
        <v>1282294102</v>
      </c>
      <c r="J239" s="84">
        <f t="shared" ref="J239:L239" si="75">SUM(J235:J238)</f>
        <v>145608642</v>
      </c>
      <c r="K239" s="84">
        <f t="shared" si="75"/>
        <v>294930461</v>
      </c>
      <c r="L239" s="84">
        <f t="shared" si="75"/>
        <v>44413961</v>
      </c>
      <c r="M239" s="4"/>
      <c r="N239" s="4"/>
    </row>
    <row r="240" spans="1:14">
      <c r="A240" s="4"/>
      <c r="B240" s="81"/>
      <c r="C240" s="81"/>
      <c r="D240" s="35" t="s">
        <v>17</v>
      </c>
      <c r="E240" s="85">
        <f>+E239</f>
        <v>421</v>
      </c>
      <c r="F240" s="79">
        <f t="shared" ref="F240:L240" si="76">+F239</f>
        <v>134</v>
      </c>
      <c r="G240" s="79">
        <f t="shared" si="76"/>
        <v>7</v>
      </c>
      <c r="H240" s="79">
        <f t="shared" si="76"/>
        <v>1</v>
      </c>
      <c r="I240" s="78">
        <f t="shared" si="76"/>
        <v>1282294102</v>
      </c>
      <c r="J240" s="78">
        <f t="shared" si="76"/>
        <v>145608642</v>
      </c>
      <c r="K240" s="78">
        <f t="shared" si="76"/>
        <v>294930461</v>
      </c>
      <c r="L240" s="86">
        <f t="shared" si="76"/>
        <v>44413961</v>
      </c>
      <c r="M240" s="4"/>
      <c r="N240" s="4"/>
    </row>
    <row r="241" spans="1:14">
      <c r="A241" s="4"/>
      <c r="B241" s="88"/>
      <c r="C241" s="88"/>
      <c r="D241" s="35" t="s">
        <v>18</v>
      </c>
      <c r="E241" s="86">
        <v>0</v>
      </c>
      <c r="F241" s="86">
        <v>0</v>
      </c>
      <c r="G241" s="86">
        <v>0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4"/>
      <c r="N241" s="4"/>
    </row>
    <row r="242" spans="1:14">
      <c r="A242" s="4"/>
      <c r="B242" s="76">
        <v>10</v>
      </c>
      <c r="C242" s="76" t="s">
        <v>36</v>
      </c>
      <c r="D242" s="29" t="s">
        <v>12</v>
      </c>
      <c r="E242" s="86">
        <v>0</v>
      </c>
      <c r="F242" s="86">
        <v>0</v>
      </c>
      <c r="G242" s="86">
        <v>0</v>
      </c>
      <c r="H242" s="86">
        <v>0</v>
      </c>
      <c r="I242" s="78">
        <v>0</v>
      </c>
      <c r="J242" s="78">
        <v>0</v>
      </c>
      <c r="K242" s="78">
        <v>0</v>
      </c>
      <c r="L242" s="78">
        <v>0</v>
      </c>
      <c r="M242" s="4"/>
      <c r="N242" s="4"/>
    </row>
    <row r="243" spans="1:14">
      <c r="A243" s="4"/>
      <c r="B243" s="81"/>
      <c r="C243" s="81"/>
      <c r="D243" s="29" t="s">
        <v>13</v>
      </c>
      <c r="E243" s="85">
        <v>4</v>
      </c>
      <c r="F243" s="86">
        <v>0</v>
      </c>
      <c r="G243" s="86">
        <v>0</v>
      </c>
      <c r="H243" s="86">
        <v>0</v>
      </c>
      <c r="I243" s="86" t="s">
        <v>25</v>
      </c>
      <c r="J243" s="86">
        <v>0</v>
      </c>
      <c r="K243" s="86">
        <v>0</v>
      </c>
      <c r="L243" s="86">
        <v>0</v>
      </c>
      <c r="M243" s="4"/>
      <c r="N243" s="4"/>
    </row>
    <row r="244" spans="1:14" ht="21">
      <c r="A244" s="4"/>
      <c r="B244" s="81"/>
      <c r="C244" s="81"/>
      <c r="D244" s="29" t="s">
        <v>14</v>
      </c>
      <c r="E244" s="85">
        <v>38</v>
      </c>
      <c r="F244" s="79">
        <v>1</v>
      </c>
      <c r="G244" s="86">
        <v>0</v>
      </c>
      <c r="H244" s="86">
        <v>0</v>
      </c>
      <c r="I244" s="78">
        <v>120647356</v>
      </c>
      <c r="J244" s="78">
        <v>0</v>
      </c>
      <c r="K244" s="86">
        <v>0</v>
      </c>
      <c r="L244" s="86">
        <v>0</v>
      </c>
      <c r="M244" s="4"/>
      <c r="N244" s="4"/>
    </row>
    <row r="245" spans="1:14">
      <c r="A245" s="4"/>
      <c r="B245" s="81"/>
      <c r="C245" s="81"/>
      <c r="D245" s="29" t="s">
        <v>15</v>
      </c>
      <c r="E245" s="85">
        <v>4</v>
      </c>
      <c r="F245" s="79">
        <v>0</v>
      </c>
      <c r="G245" s="86">
        <v>0</v>
      </c>
      <c r="H245" s="86">
        <v>0</v>
      </c>
      <c r="I245" s="78">
        <v>46156000</v>
      </c>
      <c r="J245" s="78">
        <v>0</v>
      </c>
      <c r="K245" s="86">
        <v>0</v>
      </c>
      <c r="L245" s="86">
        <v>0</v>
      </c>
      <c r="M245" s="4"/>
      <c r="N245" s="4"/>
    </row>
    <row r="246" spans="1:14">
      <c r="A246" s="4"/>
      <c r="B246" s="81"/>
      <c r="C246" s="81"/>
      <c r="D246" s="33" t="s">
        <v>16</v>
      </c>
      <c r="E246" s="82">
        <f>SUM(E242:E245)</f>
        <v>46</v>
      </c>
      <c r="F246" s="82">
        <f t="shared" ref="F246:H246" si="77">SUM(F242:F245)</f>
        <v>1</v>
      </c>
      <c r="G246" s="82">
        <f t="shared" si="77"/>
        <v>0</v>
      </c>
      <c r="H246" s="82">
        <f t="shared" si="77"/>
        <v>0</v>
      </c>
      <c r="I246" s="84">
        <f>SUM(I242:I245)</f>
        <v>166803356</v>
      </c>
      <c r="J246" s="84">
        <f t="shared" ref="J246:L246" si="78">SUM(J242:J245)</f>
        <v>0</v>
      </c>
      <c r="K246" s="84">
        <f t="shared" si="78"/>
        <v>0</v>
      </c>
      <c r="L246" s="84">
        <f t="shared" si="78"/>
        <v>0</v>
      </c>
      <c r="M246" s="4"/>
      <c r="N246" s="4"/>
    </row>
    <row r="247" spans="1:14">
      <c r="A247" s="4"/>
      <c r="B247" s="81"/>
      <c r="C247" s="81"/>
      <c r="D247" s="35" t="s">
        <v>17</v>
      </c>
      <c r="E247" s="85">
        <v>0</v>
      </c>
      <c r="F247" s="79">
        <v>0</v>
      </c>
      <c r="G247" s="79">
        <v>0</v>
      </c>
      <c r="H247" s="79">
        <v>0</v>
      </c>
      <c r="I247" s="78">
        <v>0</v>
      </c>
      <c r="J247" s="78">
        <v>0</v>
      </c>
      <c r="K247" s="78">
        <v>0</v>
      </c>
      <c r="L247" s="86">
        <v>0</v>
      </c>
      <c r="M247" s="4"/>
      <c r="N247" s="4"/>
    </row>
    <row r="248" spans="1:14">
      <c r="A248" s="4"/>
      <c r="B248" s="88"/>
      <c r="C248" s="88"/>
      <c r="D248" s="35" t="s">
        <v>18</v>
      </c>
      <c r="E248" s="86">
        <v>46</v>
      </c>
      <c r="F248" s="86">
        <v>1</v>
      </c>
      <c r="G248" s="86">
        <v>0</v>
      </c>
      <c r="H248" s="86">
        <v>0</v>
      </c>
      <c r="I248" s="86">
        <f>+I246</f>
        <v>166803356</v>
      </c>
      <c r="J248" s="86">
        <v>0</v>
      </c>
      <c r="K248" s="86">
        <v>0</v>
      </c>
      <c r="L248" s="86">
        <v>0</v>
      </c>
      <c r="M248" s="4"/>
      <c r="N248" s="4"/>
    </row>
    <row r="249" spans="1:14">
      <c r="A249" s="4"/>
      <c r="B249" s="15">
        <v>11</v>
      </c>
      <c r="C249" s="15" t="s">
        <v>37</v>
      </c>
      <c r="D249" s="16" t="s">
        <v>12</v>
      </c>
      <c r="E249" s="41" t="s">
        <v>25</v>
      </c>
      <c r="F249" s="41" t="s">
        <v>25</v>
      </c>
      <c r="G249" s="41" t="s">
        <v>25</v>
      </c>
      <c r="H249" s="41" t="s">
        <v>25</v>
      </c>
      <c r="I249" s="41" t="s">
        <v>25</v>
      </c>
      <c r="J249" s="41" t="s">
        <v>25</v>
      </c>
      <c r="K249" s="41" t="s">
        <v>25</v>
      </c>
      <c r="L249" s="41" t="s">
        <v>25</v>
      </c>
      <c r="M249" s="4"/>
      <c r="N249" s="4"/>
    </row>
    <row r="250" spans="1:14">
      <c r="A250" s="4"/>
      <c r="B250" s="19"/>
      <c r="C250" s="19"/>
      <c r="D250" s="16" t="s">
        <v>13</v>
      </c>
      <c r="E250" s="41" t="s">
        <v>25</v>
      </c>
      <c r="F250" s="41" t="s">
        <v>25</v>
      </c>
      <c r="G250" s="41" t="s">
        <v>25</v>
      </c>
      <c r="H250" s="41" t="s">
        <v>25</v>
      </c>
      <c r="I250" s="41" t="s">
        <v>25</v>
      </c>
      <c r="J250" s="41" t="s">
        <v>25</v>
      </c>
      <c r="K250" s="41" t="s">
        <v>25</v>
      </c>
      <c r="L250" s="41" t="s">
        <v>25</v>
      </c>
      <c r="M250" s="4"/>
      <c r="N250" s="4"/>
    </row>
    <row r="251" spans="1:14" ht="21">
      <c r="A251" s="4"/>
      <c r="B251" s="19"/>
      <c r="C251" s="19"/>
      <c r="D251" s="16" t="s">
        <v>14</v>
      </c>
      <c r="E251" s="41" t="s">
        <v>25</v>
      </c>
      <c r="F251" s="41" t="s">
        <v>25</v>
      </c>
      <c r="G251" s="41" t="s">
        <v>25</v>
      </c>
      <c r="H251" s="41" t="s">
        <v>25</v>
      </c>
      <c r="I251" s="41" t="s">
        <v>25</v>
      </c>
      <c r="J251" s="41" t="s">
        <v>25</v>
      </c>
      <c r="K251" s="41" t="s">
        <v>25</v>
      </c>
      <c r="L251" s="41" t="s">
        <v>25</v>
      </c>
      <c r="M251" s="4"/>
      <c r="N251" s="4"/>
    </row>
    <row r="252" spans="1:14">
      <c r="A252" s="4"/>
      <c r="B252" s="19"/>
      <c r="C252" s="19"/>
      <c r="D252" s="16" t="s">
        <v>15</v>
      </c>
      <c r="E252" s="41" t="s">
        <v>25</v>
      </c>
      <c r="F252" s="41" t="s">
        <v>25</v>
      </c>
      <c r="G252" s="41" t="s">
        <v>25</v>
      </c>
      <c r="H252" s="41" t="s">
        <v>25</v>
      </c>
      <c r="I252" s="41" t="s">
        <v>25</v>
      </c>
      <c r="J252" s="41" t="s">
        <v>25</v>
      </c>
      <c r="K252" s="41" t="s">
        <v>25</v>
      </c>
      <c r="L252" s="41" t="s">
        <v>25</v>
      </c>
      <c r="M252" s="4"/>
      <c r="N252" s="4"/>
    </row>
    <row r="253" spans="1:14">
      <c r="A253" s="4"/>
      <c r="B253" s="19"/>
      <c r="C253" s="19"/>
      <c r="D253" s="20" t="s">
        <v>16</v>
      </c>
      <c r="E253" s="21">
        <f>SUM(E249:E252)</f>
        <v>0</v>
      </c>
      <c r="F253" s="22">
        <f t="shared" ref="F253:H253" si="79">SUM(F249:F252)</f>
        <v>0</v>
      </c>
      <c r="G253" s="22">
        <f t="shared" si="79"/>
        <v>0</v>
      </c>
      <c r="H253" s="24">
        <f t="shared" si="79"/>
        <v>0</v>
      </c>
      <c r="I253" s="24">
        <f>SUM(I249:I252)</f>
        <v>0</v>
      </c>
      <c r="J253" s="24">
        <f t="shared" ref="J253:L253" si="80">SUM(J249:J252)</f>
        <v>0</v>
      </c>
      <c r="K253" s="24">
        <f t="shared" si="80"/>
        <v>0</v>
      </c>
      <c r="L253" s="24">
        <f t="shared" si="80"/>
        <v>0</v>
      </c>
      <c r="M253" s="4"/>
      <c r="N253" s="4"/>
    </row>
    <row r="254" spans="1:14">
      <c r="A254" s="4"/>
      <c r="B254" s="19"/>
      <c r="C254" s="19"/>
      <c r="D254" s="25" t="s">
        <v>17</v>
      </c>
      <c r="E254" s="41" t="s">
        <v>25</v>
      </c>
      <c r="F254" s="41" t="s">
        <v>25</v>
      </c>
      <c r="G254" s="41" t="s">
        <v>25</v>
      </c>
      <c r="H254" s="41" t="s">
        <v>25</v>
      </c>
      <c r="I254" s="41" t="s">
        <v>25</v>
      </c>
      <c r="J254" s="41" t="s">
        <v>25</v>
      </c>
      <c r="K254" s="41" t="s">
        <v>25</v>
      </c>
      <c r="L254" s="41" t="s">
        <v>25</v>
      </c>
      <c r="M254" s="4"/>
      <c r="N254" s="4"/>
    </row>
    <row r="255" spans="1:14">
      <c r="A255" s="4"/>
      <c r="B255" s="26"/>
      <c r="C255" s="26"/>
      <c r="D255" s="25" t="s">
        <v>18</v>
      </c>
      <c r="E255" s="41" t="s">
        <v>25</v>
      </c>
      <c r="F255" s="41" t="s">
        <v>25</v>
      </c>
      <c r="G255" s="41" t="s">
        <v>25</v>
      </c>
      <c r="H255" s="41" t="s">
        <v>25</v>
      </c>
      <c r="I255" s="41" t="s">
        <v>25</v>
      </c>
      <c r="J255" s="41" t="s">
        <v>25</v>
      </c>
      <c r="K255" s="41" t="s">
        <v>25</v>
      </c>
      <c r="L255" s="41" t="s">
        <v>25</v>
      </c>
      <c r="M255" s="4"/>
      <c r="N255" s="4"/>
    </row>
    <row r="256" spans="1:14">
      <c r="A256" s="4"/>
      <c r="B256" s="15">
        <v>11</v>
      </c>
      <c r="C256" s="15" t="s">
        <v>37</v>
      </c>
      <c r="D256" s="16" t="s">
        <v>12</v>
      </c>
      <c r="E256" s="41" t="s">
        <v>25</v>
      </c>
      <c r="F256" s="41" t="s">
        <v>25</v>
      </c>
      <c r="G256" s="41" t="s">
        <v>25</v>
      </c>
      <c r="H256" s="41" t="s">
        <v>25</v>
      </c>
      <c r="I256" s="41" t="s">
        <v>25</v>
      </c>
      <c r="J256" s="41" t="s">
        <v>25</v>
      </c>
      <c r="K256" s="41" t="s">
        <v>25</v>
      </c>
      <c r="L256" s="41" t="s">
        <v>25</v>
      </c>
      <c r="M256" s="4"/>
      <c r="N256" s="4"/>
    </row>
    <row r="257" spans="1:14">
      <c r="A257" s="4"/>
      <c r="B257" s="19"/>
      <c r="C257" s="19"/>
      <c r="D257" s="16" t="s">
        <v>13</v>
      </c>
      <c r="E257" s="41" t="s">
        <v>25</v>
      </c>
      <c r="F257" s="41" t="s">
        <v>25</v>
      </c>
      <c r="G257" s="41" t="s">
        <v>25</v>
      </c>
      <c r="H257" s="41" t="s">
        <v>25</v>
      </c>
      <c r="I257" s="41" t="s">
        <v>25</v>
      </c>
      <c r="J257" s="41" t="s">
        <v>25</v>
      </c>
      <c r="K257" s="41" t="s">
        <v>25</v>
      </c>
      <c r="L257" s="41" t="s">
        <v>25</v>
      </c>
      <c r="M257" s="4"/>
      <c r="N257" s="4"/>
    </row>
    <row r="258" spans="1:14" ht="21">
      <c r="A258" s="4"/>
      <c r="B258" s="19"/>
      <c r="C258" s="19"/>
      <c r="D258" s="16" t="s">
        <v>14</v>
      </c>
      <c r="E258" s="41" t="s">
        <v>25</v>
      </c>
      <c r="F258" s="41" t="s">
        <v>25</v>
      </c>
      <c r="G258" s="41" t="s">
        <v>25</v>
      </c>
      <c r="H258" s="41" t="s">
        <v>25</v>
      </c>
      <c r="I258" s="41" t="s">
        <v>25</v>
      </c>
      <c r="J258" s="41" t="s">
        <v>25</v>
      </c>
      <c r="K258" s="41" t="s">
        <v>25</v>
      </c>
      <c r="L258" s="41" t="s">
        <v>25</v>
      </c>
      <c r="M258" s="4"/>
      <c r="N258" s="4"/>
    </row>
    <row r="259" spans="1:14">
      <c r="A259" s="4"/>
      <c r="B259" s="19"/>
      <c r="C259" s="19"/>
      <c r="D259" s="16" t="s">
        <v>15</v>
      </c>
      <c r="E259" s="41" t="s">
        <v>25</v>
      </c>
      <c r="F259" s="41" t="s">
        <v>25</v>
      </c>
      <c r="G259" s="41" t="s">
        <v>25</v>
      </c>
      <c r="H259" s="41" t="s">
        <v>25</v>
      </c>
      <c r="I259" s="41" t="s">
        <v>25</v>
      </c>
      <c r="J259" s="41" t="s">
        <v>25</v>
      </c>
      <c r="K259" s="41" t="s">
        <v>25</v>
      </c>
      <c r="L259" s="41" t="s">
        <v>25</v>
      </c>
      <c r="M259" s="4"/>
      <c r="N259" s="4"/>
    </row>
    <row r="260" spans="1:14">
      <c r="A260" s="4"/>
      <c r="B260" s="19"/>
      <c r="C260" s="19"/>
      <c r="D260" s="20" t="s">
        <v>16</v>
      </c>
      <c r="E260" s="21">
        <f>SUM(E256:E259)</f>
        <v>0</v>
      </c>
      <c r="F260" s="22">
        <f t="shared" ref="F260:H260" si="81">SUM(F256:F259)</f>
        <v>0</v>
      </c>
      <c r="G260" s="22">
        <f t="shared" si="81"/>
        <v>0</v>
      </c>
      <c r="H260" s="24">
        <f t="shared" si="81"/>
        <v>0</v>
      </c>
      <c r="I260" s="24">
        <f>SUM(I256:I259)</f>
        <v>0</v>
      </c>
      <c r="J260" s="24">
        <f t="shared" ref="J260:L260" si="82">SUM(J256:J259)</f>
        <v>0</v>
      </c>
      <c r="K260" s="24">
        <f t="shared" si="82"/>
        <v>0</v>
      </c>
      <c r="L260" s="24">
        <f t="shared" si="82"/>
        <v>0</v>
      </c>
      <c r="M260" s="4"/>
      <c r="N260" s="4"/>
    </row>
    <row r="261" spans="1:14">
      <c r="A261" s="4"/>
      <c r="B261" s="19"/>
      <c r="C261" s="19"/>
      <c r="D261" s="25" t="s">
        <v>17</v>
      </c>
      <c r="E261" s="41" t="s">
        <v>25</v>
      </c>
      <c r="F261" s="41" t="s">
        <v>25</v>
      </c>
      <c r="G261" s="41" t="s">
        <v>25</v>
      </c>
      <c r="H261" s="41" t="s">
        <v>25</v>
      </c>
      <c r="I261" s="41" t="s">
        <v>25</v>
      </c>
      <c r="J261" s="41" t="s">
        <v>25</v>
      </c>
      <c r="K261" s="41" t="s">
        <v>25</v>
      </c>
      <c r="L261" s="41" t="s">
        <v>25</v>
      </c>
      <c r="M261" s="4"/>
      <c r="N261" s="4"/>
    </row>
    <row r="262" spans="1:14">
      <c r="A262" s="4"/>
      <c r="B262" s="26"/>
      <c r="C262" s="26"/>
      <c r="D262" s="25" t="s">
        <v>18</v>
      </c>
      <c r="E262" s="41" t="s">
        <v>25</v>
      </c>
      <c r="F262" s="41" t="s">
        <v>25</v>
      </c>
      <c r="G262" s="41" t="s">
        <v>25</v>
      </c>
      <c r="H262" s="41" t="s">
        <v>25</v>
      </c>
      <c r="I262" s="41" t="s">
        <v>25</v>
      </c>
      <c r="J262" s="41" t="s">
        <v>25</v>
      </c>
      <c r="K262" s="41" t="s">
        <v>25</v>
      </c>
      <c r="L262" s="41" t="s">
        <v>25</v>
      </c>
      <c r="M262" s="4"/>
      <c r="N262" s="4"/>
    </row>
    <row r="263" spans="1:14">
      <c r="A263" s="4"/>
      <c r="B263" s="76">
        <v>12</v>
      </c>
      <c r="C263" s="76" t="s">
        <v>38</v>
      </c>
      <c r="D263" s="29" t="s">
        <v>12</v>
      </c>
      <c r="E263" s="85">
        <v>2</v>
      </c>
      <c r="F263" s="79">
        <v>1</v>
      </c>
      <c r="G263" s="79">
        <v>4</v>
      </c>
      <c r="H263" s="86">
        <v>0</v>
      </c>
      <c r="I263" s="78">
        <v>69622471</v>
      </c>
      <c r="J263" s="78">
        <v>64459091</v>
      </c>
      <c r="K263" s="78">
        <v>403534620</v>
      </c>
      <c r="L263" s="78">
        <v>0</v>
      </c>
      <c r="M263" s="4"/>
      <c r="N263" s="4"/>
    </row>
    <row r="264" spans="1:14">
      <c r="A264" s="4"/>
      <c r="B264" s="81"/>
      <c r="C264" s="81"/>
      <c r="D264" s="29" t="s">
        <v>13</v>
      </c>
      <c r="E264" s="85">
        <v>11</v>
      </c>
      <c r="F264" s="79">
        <v>3</v>
      </c>
      <c r="G264" s="79">
        <v>3</v>
      </c>
      <c r="H264" s="86">
        <v>0</v>
      </c>
      <c r="I264" s="86">
        <v>239824206</v>
      </c>
      <c r="J264" s="86">
        <v>93880788</v>
      </c>
      <c r="K264" s="86">
        <v>123839223</v>
      </c>
      <c r="L264" s="86">
        <v>0</v>
      </c>
      <c r="M264" s="4"/>
      <c r="N264" s="4"/>
    </row>
    <row r="265" spans="1:14" ht="21">
      <c r="A265" s="4"/>
      <c r="B265" s="81"/>
      <c r="C265" s="81"/>
      <c r="D265" s="29" t="s">
        <v>14</v>
      </c>
      <c r="E265" s="85">
        <v>2</v>
      </c>
      <c r="F265" s="79">
        <v>0</v>
      </c>
      <c r="G265" s="86">
        <v>0</v>
      </c>
      <c r="H265" s="86">
        <v>0</v>
      </c>
      <c r="I265" s="78">
        <v>5232369</v>
      </c>
      <c r="J265" s="78">
        <v>0</v>
      </c>
      <c r="K265" s="86">
        <v>0</v>
      </c>
      <c r="L265" s="86">
        <v>0</v>
      </c>
      <c r="M265" s="4"/>
      <c r="N265" s="4"/>
    </row>
    <row r="266" spans="1:14">
      <c r="A266" s="4"/>
      <c r="B266" s="81"/>
      <c r="C266" s="81"/>
      <c r="D266" s="29" t="s">
        <v>15</v>
      </c>
      <c r="E266" s="85">
        <v>23</v>
      </c>
      <c r="F266" s="79">
        <v>4</v>
      </c>
      <c r="G266" s="86">
        <v>0</v>
      </c>
      <c r="H266" s="86">
        <v>0</v>
      </c>
      <c r="I266" s="78">
        <v>70070831</v>
      </c>
      <c r="J266" s="78">
        <v>13468147</v>
      </c>
      <c r="K266" s="86">
        <v>0</v>
      </c>
      <c r="L266" s="86">
        <v>0</v>
      </c>
      <c r="M266" s="4"/>
      <c r="N266" s="4"/>
    </row>
    <row r="267" spans="1:14">
      <c r="A267" s="4"/>
      <c r="B267" s="81"/>
      <c r="C267" s="81"/>
      <c r="D267" s="33" t="s">
        <v>16</v>
      </c>
      <c r="E267" s="82">
        <f>SUM(E263:E266)</f>
        <v>38</v>
      </c>
      <c r="F267" s="82">
        <f t="shared" ref="F267:H267" si="83">SUM(F263:F266)</f>
        <v>8</v>
      </c>
      <c r="G267" s="82">
        <f t="shared" si="83"/>
        <v>7</v>
      </c>
      <c r="H267" s="82">
        <f t="shared" si="83"/>
        <v>0</v>
      </c>
      <c r="I267" s="84">
        <f>SUM(I263:I266)</f>
        <v>384749877</v>
      </c>
      <c r="J267" s="84">
        <f t="shared" ref="J267:L267" si="84">SUM(J263:J266)</f>
        <v>171808026</v>
      </c>
      <c r="K267" s="84">
        <f t="shared" si="84"/>
        <v>527373843</v>
      </c>
      <c r="L267" s="84">
        <f t="shared" si="84"/>
        <v>0</v>
      </c>
      <c r="M267" s="4"/>
      <c r="N267" s="4"/>
    </row>
    <row r="268" spans="1:14">
      <c r="A268" s="4"/>
      <c r="B268" s="81"/>
      <c r="C268" s="81"/>
      <c r="D268" s="35" t="s">
        <v>17</v>
      </c>
      <c r="E268" s="85">
        <f>+E267</f>
        <v>38</v>
      </c>
      <c r="F268" s="79">
        <f t="shared" ref="F268:L268" si="85">+F267</f>
        <v>8</v>
      </c>
      <c r="G268" s="79">
        <f t="shared" si="85"/>
        <v>7</v>
      </c>
      <c r="H268" s="79">
        <f t="shared" si="85"/>
        <v>0</v>
      </c>
      <c r="I268" s="78">
        <f t="shared" si="85"/>
        <v>384749877</v>
      </c>
      <c r="J268" s="78">
        <f t="shared" si="85"/>
        <v>171808026</v>
      </c>
      <c r="K268" s="78">
        <f t="shared" si="85"/>
        <v>527373843</v>
      </c>
      <c r="L268" s="86">
        <f t="shared" si="85"/>
        <v>0</v>
      </c>
      <c r="M268" s="4"/>
      <c r="N268" s="4"/>
    </row>
    <row r="269" spans="1:14">
      <c r="A269" s="4"/>
      <c r="B269" s="88"/>
      <c r="C269" s="88"/>
      <c r="D269" s="35" t="s">
        <v>18</v>
      </c>
      <c r="E269" s="86">
        <v>0</v>
      </c>
      <c r="F269" s="86">
        <v>0</v>
      </c>
      <c r="G269" s="86">
        <v>0</v>
      </c>
      <c r="H269" s="86">
        <v>0</v>
      </c>
      <c r="I269" s="86">
        <v>0</v>
      </c>
      <c r="J269" s="86">
        <v>0</v>
      </c>
      <c r="K269" s="86">
        <v>0</v>
      </c>
      <c r="L269" s="86">
        <v>0</v>
      </c>
      <c r="M269" s="4"/>
      <c r="N269" s="4"/>
    </row>
    <row r="270" spans="1:14">
      <c r="A270" s="4"/>
      <c r="B270" s="76">
        <v>12</v>
      </c>
      <c r="C270" s="76" t="s">
        <v>38</v>
      </c>
      <c r="D270" s="29" t="s">
        <v>12</v>
      </c>
      <c r="E270" s="85">
        <v>0</v>
      </c>
      <c r="F270" s="79">
        <v>0</v>
      </c>
      <c r="G270" s="79">
        <v>0</v>
      </c>
      <c r="H270" s="89">
        <v>0</v>
      </c>
      <c r="I270" s="78">
        <v>0</v>
      </c>
      <c r="J270" s="78">
        <v>0</v>
      </c>
      <c r="K270" s="78">
        <v>0</v>
      </c>
      <c r="L270" s="78">
        <v>0</v>
      </c>
      <c r="M270" s="4"/>
      <c r="N270" s="4"/>
    </row>
    <row r="271" spans="1:14">
      <c r="A271" s="4"/>
      <c r="B271" s="81"/>
      <c r="C271" s="81"/>
      <c r="D271" s="29" t="s">
        <v>13</v>
      </c>
      <c r="E271" s="86">
        <v>0</v>
      </c>
      <c r="F271" s="86">
        <v>0</v>
      </c>
      <c r="G271" s="86">
        <v>0</v>
      </c>
      <c r="H271" s="86">
        <v>0</v>
      </c>
      <c r="I271" s="86">
        <v>0</v>
      </c>
      <c r="J271" s="86">
        <v>0</v>
      </c>
      <c r="K271" s="86">
        <v>0</v>
      </c>
      <c r="L271" s="86">
        <v>0</v>
      </c>
      <c r="M271" s="4"/>
      <c r="N271" s="4"/>
    </row>
    <row r="272" spans="1:14" ht="21">
      <c r="A272" s="4"/>
      <c r="B272" s="81"/>
      <c r="C272" s="81"/>
      <c r="D272" s="29" t="s">
        <v>14</v>
      </c>
      <c r="E272" s="85">
        <v>0</v>
      </c>
      <c r="F272" s="79">
        <v>0</v>
      </c>
      <c r="G272" s="86">
        <v>0</v>
      </c>
      <c r="H272" s="86">
        <v>0</v>
      </c>
      <c r="I272" s="78">
        <v>0</v>
      </c>
      <c r="J272" s="78">
        <v>0</v>
      </c>
      <c r="K272" s="86">
        <v>0</v>
      </c>
      <c r="L272" s="86">
        <v>0</v>
      </c>
      <c r="M272" s="4"/>
      <c r="N272" s="4"/>
    </row>
    <row r="273" spans="1:14">
      <c r="A273" s="4"/>
      <c r="B273" s="81"/>
      <c r="C273" s="81"/>
      <c r="D273" s="29" t="s">
        <v>15</v>
      </c>
      <c r="E273" s="85">
        <v>0</v>
      </c>
      <c r="F273" s="79">
        <v>0</v>
      </c>
      <c r="G273" s="86">
        <v>0</v>
      </c>
      <c r="H273" s="86">
        <v>0</v>
      </c>
      <c r="I273" s="78">
        <v>0</v>
      </c>
      <c r="J273" s="78">
        <v>0</v>
      </c>
      <c r="K273" s="86">
        <v>0</v>
      </c>
      <c r="L273" s="86">
        <v>0</v>
      </c>
      <c r="M273" s="4"/>
      <c r="N273" s="4"/>
    </row>
    <row r="274" spans="1:14">
      <c r="A274" s="4"/>
      <c r="B274" s="81"/>
      <c r="C274" s="81"/>
      <c r="D274" s="33" t="s">
        <v>16</v>
      </c>
      <c r="E274" s="82">
        <f>SUM(E270:E273)</f>
        <v>0</v>
      </c>
      <c r="F274" s="82">
        <f t="shared" ref="F274:H274" si="86">SUM(F270:F273)</f>
        <v>0</v>
      </c>
      <c r="G274" s="82">
        <f t="shared" si="86"/>
        <v>0</v>
      </c>
      <c r="H274" s="82">
        <f t="shared" si="86"/>
        <v>0</v>
      </c>
      <c r="I274" s="84">
        <f>SUM(I270:I273)</f>
        <v>0</v>
      </c>
      <c r="J274" s="84">
        <f t="shared" ref="J274:L274" si="87">SUM(J270:J273)</f>
        <v>0</v>
      </c>
      <c r="K274" s="84">
        <f t="shared" si="87"/>
        <v>0</v>
      </c>
      <c r="L274" s="84">
        <f t="shared" si="87"/>
        <v>0</v>
      </c>
      <c r="M274" s="4"/>
      <c r="N274" s="4"/>
    </row>
    <row r="275" spans="1:14">
      <c r="A275" s="4"/>
      <c r="B275" s="81"/>
      <c r="C275" s="81"/>
      <c r="D275" s="35" t="s">
        <v>17</v>
      </c>
      <c r="E275" s="85">
        <v>0</v>
      </c>
      <c r="F275" s="79">
        <v>0</v>
      </c>
      <c r="G275" s="79">
        <v>0</v>
      </c>
      <c r="H275" s="79">
        <v>0</v>
      </c>
      <c r="I275" s="78">
        <v>0</v>
      </c>
      <c r="J275" s="78">
        <v>0</v>
      </c>
      <c r="K275" s="78">
        <v>0</v>
      </c>
      <c r="L275" s="86">
        <v>0</v>
      </c>
      <c r="M275" s="4"/>
      <c r="N275" s="4"/>
    </row>
    <row r="276" spans="1:14">
      <c r="A276" s="4"/>
      <c r="B276" s="88"/>
      <c r="C276" s="88"/>
      <c r="D276" s="35" t="s">
        <v>18</v>
      </c>
      <c r="E276" s="86">
        <v>0</v>
      </c>
      <c r="F276" s="86">
        <v>0</v>
      </c>
      <c r="G276" s="86">
        <v>0</v>
      </c>
      <c r="H276" s="86">
        <v>0</v>
      </c>
      <c r="I276" s="86">
        <v>0</v>
      </c>
      <c r="J276" s="86">
        <v>0</v>
      </c>
      <c r="K276" s="86">
        <v>0</v>
      </c>
      <c r="L276" s="86">
        <v>0</v>
      </c>
      <c r="M276" s="4"/>
      <c r="N276" s="4"/>
    </row>
    <row r="277" spans="1:14">
      <c r="A277" s="4"/>
      <c r="B277" s="15">
        <v>13</v>
      </c>
      <c r="C277" s="15" t="s">
        <v>39</v>
      </c>
      <c r="D277" s="16" t="s">
        <v>12</v>
      </c>
      <c r="E277" s="41" t="s">
        <v>25</v>
      </c>
      <c r="F277" s="41" t="s">
        <v>25</v>
      </c>
      <c r="G277" s="41" t="s">
        <v>25</v>
      </c>
      <c r="H277" s="41" t="s">
        <v>25</v>
      </c>
      <c r="I277" s="41" t="s">
        <v>25</v>
      </c>
      <c r="J277" s="41" t="s">
        <v>25</v>
      </c>
      <c r="K277" s="41" t="s">
        <v>25</v>
      </c>
      <c r="L277" s="41" t="s">
        <v>25</v>
      </c>
      <c r="M277" s="4"/>
      <c r="N277" s="4"/>
    </row>
    <row r="278" spans="1:14">
      <c r="A278" s="4"/>
      <c r="B278" s="19"/>
      <c r="C278" s="19"/>
      <c r="D278" s="16" t="s">
        <v>13</v>
      </c>
      <c r="E278" s="41" t="s">
        <v>25</v>
      </c>
      <c r="F278" s="41" t="s">
        <v>25</v>
      </c>
      <c r="G278" s="41" t="s">
        <v>25</v>
      </c>
      <c r="H278" s="41" t="s">
        <v>25</v>
      </c>
      <c r="I278" s="41" t="s">
        <v>25</v>
      </c>
      <c r="J278" s="41" t="s">
        <v>25</v>
      </c>
      <c r="K278" s="41" t="s">
        <v>25</v>
      </c>
      <c r="L278" s="41" t="s">
        <v>25</v>
      </c>
      <c r="M278" s="4"/>
      <c r="N278" s="4"/>
    </row>
    <row r="279" spans="1:14" ht="21">
      <c r="A279" s="4"/>
      <c r="B279" s="19"/>
      <c r="C279" s="19"/>
      <c r="D279" s="16" t="s">
        <v>14</v>
      </c>
      <c r="E279" s="41" t="s">
        <v>25</v>
      </c>
      <c r="F279" s="41" t="s">
        <v>25</v>
      </c>
      <c r="G279" s="41" t="s">
        <v>25</v>
      </c>
      <c r="H279" s="41" t="s">
        <v>25</v>
      </c>
      <c r="I279" s="41" t="s">
        <v>25</v>
      </c>
      <c r="J279" s="41" t="s">
        <v>25</v>
      </c>
      <c r="K279" s="41" t="s">
        <v>25</v>
      </c>
      <c r="L279" s="41" t="s">
        <v>25</v>
      </c>
      <c r="M279" s="4"/>
      <c r="N279" s="4"/>
    </row>
    <row r="280" spans="1:14">
      <c r="A280" s="4"/>
      <c r="B280" s="19"/>
      <c r="C280" s="19"/>
      <c r="D280" s="16" t="s">
        <v>15</v>
      </c>
      <c r="E280" s="41" t="s">
        <v>25</v>
      </c>
      <c r="F280" s="41" t="s">
        <v>25</v>
      </c>
      <c r="G280" s="41" t="s">
        <v>25</v>
      </c>
      <c r="H280" s="41" t="s">
        <v>25</v>
      </c>
      <c r="I280" s="41" t="s">
        <v>25</v>
      </c>
      <c r="J280" s="41" t="s">
        <v>25</v>
      </c>
      <c r="K280" s="41" t="s">
        <v>25</v>
      </c>
      <c r="L280" s="41" t="s">
        <v>25</v>
      </c>
      <c r="M280" s="4"/>
      <c r="N280" s="4"/>
    </row>
    <row r="281" spans="1:14">
      <c r="A281" s="4"/>
      <c r="B281" s="19"/>
      <c r="C281" s="19"/>
      <c r="D281" s="20" t="s">
        <v>16</v>
      </c>
      <c r="E281" s="21">
        <f>SUM(E277:E280)</f>
        <v>0</v>
      </c>
      <c r="F281" s="22">
        <f t="shared" ref="F281:H281" si="88">SUM(F277:F280)</f>
        <v>0</v>
      </c>
      <c r="G281" s="22">
        <f t="shared" si="88"/>
        <v>0</v>
      </c>
      <c r="H281" s="24">
        <f t="shared" si="88"/>
        <v>0</v>
      </c>
      <c r="I281" s="24">
        <f>SUM(I277:I280)</f>
        <v>0</v>
      </c>
      <c r="J281" s="24">
        <f t="shared" ref="J281:L281" si="89">SUM(J277:J280)</f>
        <v>0</v>
      </c>
      <c r="K281" s="24">
        <f t="shared" si="89"/>
        <v>0</v>
      </c>
      <c r="L281" s="24">
        <f t="shared" si="89"/>
        <v>0</v>
      </c>
      <c r="M281" s="4"/>
      <c r="N281" s="4"/>
    </row>
    <row r="282" spans="1:14">
      <c r="A282" s="4"/>
      <c r="B282" s="19"/>
      <c r="C282" s="19"/>
      <c r="D282" s="25" t="s">
        <v>17</v>
      </c>
      <c r="E282" s="41" t="s">
        <v>25</v>
      </c>
      <c r="F282" s="41" t="s">
        <v>25</v>
      </c>
      <c r="G282" s="41" t="s">
        <v>25</v>
      </c>
      <c r="H282" s="41" t="s">
        <v>25</v>
      </c>
      <c r="I282" s="41" t="s">
        <v>25</v>
      </c>
      <c r="J282" s="41" t="s">
        <v>25</v>
      </c>
      <c r="K282" s="41" t="s">
        <v>25</v>
      </c>
      <c r="L282" s="41" t="s">
        <v>25</v>
      </c>
      <c r="M282" s="4"/>
      <c r="N282" s="4"/>
    </row>
    <row r="283" spans="1:14">
      <c r="A283" s="4"/>
      <c r="B283" s="26"/>
      <c r="C283" s="26"/>
      <c r="D283" s="25" t="s">
        <v>18</v>
      </c>
      <c r="E283" s="41" t="s">
        <v>25</v>
      </c>
      <c r="F283" s="41" t="s">
        <v>25</v>
      </c>
      <c r="G283" s="41" t="s">
        <v>25</v>
      </c>
      <c r="H283" s="41" t="s">
        <v>25</v>
      </c>
      <c r="I283" s="41" t="s">
        <v>25</v>
      </c>
      <c r="J283" s="41" t="s">
        <v>25</v>
      </c>
      <c r="K283" s="41" t="s">
        <v>25</v>
      </c>
      <c r="L283" s="41" t="s">
        <v>25</v>
      </c>
      <c r="M283" s="4"/>
      <c r="N283" s="4"/>
    </row>
    <row r="284" spans="1:14">
      <c r="A284" s="4"/>
      <c r="B284" s="15">
        <v>13</v>
      </c>
      <c r="C284" s="15" t="s">
        <v>39</v>
      </c>
      <c r="D284" s="16" t="s">
        <v>12</v>
      </c>
      <c r="E284" s="41" t="s">
        <v>25</v>
      </c>
      <c r="F284" s="41" t="s">
        <v>25</v>
      </c>
      <c r="G284" s="41" t="s">
        <v>25</v>
      </c>
      <c r="H284" s="41" t="s">
        <v>25</v>
      </c>
      <c r="I284" s="41" t="s">
        <v>25</v>
      </c>
      <c r="J284" s="41" t="s">
        <v>25</v>
      </c>
      <c r="K284" s="41" t="s">
        <v>25</v>
      </c>
      <c r="L284" s="41" t="s">
        <v>25</v>
      </c>
      <c r="M284" s="4"/>
      <c r="N284" s="4"/>
    </row>
    <row r="285" spans="1:14">
      <c r="A285" s="4"/>
      <c r="B285" s="19"/>
      <c r="C285" s="19"/>
      <c r="D285" s="16" t="s">
        <v>13</v>
      </c>
      <c r="E285" s="41" t="s">
        <v>25</v>
      </c>
      <c r="F285" s="41" t="s">
        <v>25</v>
      </c>
      <c r="G285" s="41" t="s">
        <v>25</v>
      </c>
      <c r="H285" s="41" t="s">
        <v>25</v>
      </c>
      <c r="I285" s="41" t="s">
        <v>25</v>
      </c>
      <c r="J285" s="41" t="s">
        <v>25</v>
      </c>
      <c r="K285" s="41" t="s">
        <v>25</v>
      </c>
      <c r="L285" s="41" t="s">
        <v>25</v>
      </c>
      <c r="M285" s="4"/>
      <c r="N285" s="4"/>
    </row>
    <row r="286" spans="1:14" ht="21">
      <c r="A286" s="4"/>
      <c r="B286" s="19"/>
      <c r="C286" s="19"/>
      <c r="D286" s="16" t="s">
        <v>14</v>
      </c>
      <c r="E286" s="41" t="s">
        <v>25</v>
      </c>
      <c r="F286" s="41" t="s">
        <v>25</v>
      </c>
      <c r="G286" s="41" t="s">
        <v>25</v>
      </c>
      <c r="H286" s="41" t="s">
        <v>25</v>
      </c>
      <c r="I286" s="41" t="s">
        <v>25</v>
      </c>
      <c r="J286" s="41" t="s">
        <v>25</v>
      </c>
      <c r="K286" s="41" t="s">
        <v>25</v>
      </c>
      <c r="L286" s="41" t="s">
        <v>25</v>
      </c>
      <c r="M286" s="4"/>
      <c r="N286" s="4"/>
    </row>
    <row r="287" spans="1:14">
      <c r="A287" s="4"/>
      <c r="B287" s="19"/>
      <c r="C287" s="19"/>
      <c r="D287" s="16" t="s">
        <v>15</v>
      </c>
      <c r="E287" s="41" t="s">
        <v>25</v>
      </c>
      <c r="F287" s="41" t="s">
        <v>25</v>
      </c>
      <c r="G287" s="41" t="s">
        <v>25</v>
      </c>
      <c r="H287" s="41" t="s">
        <v>25</v>
      </c>
      <c r="I287" s="41" t="s">
        <v>25</v>
      </c>
      <c r="J287" s="41" t="s">
        <v>25</v>
      </c>
      <c r="K287" s="41" t="s">
        <v>25</v>
      </c>
      <c r="L287" s="41" t="s">
        <v>25</v>
      </c>
      <c r="M287" s="4"/>
      <c r="N287" s="4"/>
    </row>
    <row r="288" spans="1:14">
      <c r="A288" s="4"/>
      <c r="B288" s="19"/>
      <c r="C288" s="19"/>
      <c r="D288" s="20" t="s">
        <v>16</v>
      </c>
      <c r="E288" s="21">
        <f>SUM(E284:E287)</f>
        <v>0</v>
      </c>
      <c r="F288" s="22">
        <f t="shared" ref="F288:H288" si="90">SUM(F284:F287)</f>
        <v>0</v>
      </c>
      <c r="G288" s="22">
        <f t="shared" si="90"/>
        <v>0</v>
      </c>
      <c r="H288" s="24">
        <f t="shared" si="90"/>
        <v>0</v>
      </c>
      <c r="I288" s="24">
        <f>SUM(I284:I287)</f>
        <v>0</v>
      </c>
      <c r="J288" s="24">
        <f t="shared" ref="J288:L288" si="91">SUM(J284:J287)</f>
        <v>0</v>
      </c>
      <c r="K288" s="24">
        <f t="shared" si="91"/>
        <v>0</v>
      </c>
      <c r="L288" s="24">
        <f t="shared" si="91"/>
        <v>0</v>
      </c>
      <c r="M288" s="4"/>
      <c r="N288" s="4"/>
    </row>
    <row r="289" spans="1:14">
      <c r="A289" s="4"/>
      <c r="B289" s="19"/>
      <c r="C289" s="19"/>
      <c r="D289" s="25" t="s">
        <v>17</v>
      </c>
      <c r="E289" s="41" t="s">
        <v>25</v>
      </c>
      <c r="F289" s="41" t="s">
        <v>25</v>
      </c>
      <c r="G289" s="41" t="s">
        <v>25</v>
      </c>
      <c r="H289" s="41" t="s">
        <v>25</v>
      </c>
      <c r="I289" s="41" t="s">
        <v>25</v>
      </c>
      <c r="J289" s="41" t="s">
        <v>25</v>
      </c>
      <c r="K289" s="41" t="s">
        <v>25</v>
      </c>
      <c r="L289" s="41" t="s">
        <v>25</v>
      </c>
      <c r="M289" s="4"/>
      <c r="N289" s="4"/>
    </row>
    <row r="290" spans="1:14">
      <c r="A290" s="4"/>
      <c r="B290" s="26"/>
      <c r="C290" s="26"/>
      <c r="D290" s="25" t="s">
        <v>18</v>
      </c>
      <c r="E290" s="41" t="s">
        <v>25</v>
      </c>
      <c r="F290" s="41" t="s">
        <v>25</v>
      </c>
      <c r="G290" s="41" t="s">
        <v>25</v>
      </c>
      <c r="H290" s="41" t="s">
        <v>25</v>
      </c>
      <c r="I290" s="41" t="s">
        <v>25</v>
      </c>
      <c r="J290" s="41" t="s">
        <v>25</v>
      </c>
      <c r="K290" s="41" t="s">
        <v>25</v>
      </c>
      <c r="L290" s="41" t="s">
        <v>25</v>
      </c>
      <c r="M290" s="4"/>
      <c r="N290" s="4"/>
    </row>
    <row r="291" spans="1:14">
      <c r="A291" s="4"/>
      <c r="B291" s="76">
        <v>14</v>
      </c>
      <c r="C291" s="76" t="s">
        <v>40</v>
      </c>
      <c r="D291" s="29" t="s">
        <v>12</v>
      </c>
      <c r="E291" s="85">
        <v>5</v>
      </c>
      <c r="F291" s="85">
        <v>1</v>
      </c>
      <c r="G291" s="104">
        <v>0</v>
      </c>
      <c r="H291" s="104">
        <v>0</v>
      </c>
      <c r="I291" s="78">
        <v>159182082</v>
      </c>
      <c r="J291" s="78">
        <v>11617363</v>
      </c>
      <c r="K291" s="86">
        <v>0</v>
      </c>
      <c r="L291" s="86">
        <v>0</v>
      </c>
      <c r="M291" s="4"/>
      <c r="N291" s="4"/>
    </row>
    <row r="292" spans="1:14">
      <c r="A292" s="4"/>
      <c r="B292" s="81"/>
      <c r="C292" s="81"/>
      <c r="D292" s="29" t="s">
        <v>13</v>
      </c>
      <c r="E292" s="85">
        <v>3</v>
      </c>
      <c r="F292" s="86">
        <v>0</v>
      </c>
      <c r="G292" s="86">
        <v>0</v>
      </c>
      <c r="H292" s="86">
        <v>0</v>
      </c>
      <c r="I292" s="78">
        <v>9541168</v>
      </c>
      <c r="J292" s="78">
        <v>0</v>
      </c>
      <c r="K292" s="86">
        <v>0</v>
      </c>
      <c r="L292" s="86">
        <v>0</v>
      </c>
      <c r="M292" s="4"/>
      <c r="N292" s="4"/>
    </row>
    <row r="293" spans="1:14" ht="21">
      <c r="A293" s="4"/>
      <c r="B293" s="81"/>
      <c r="C293" s="81"/>
      <c r="D293" s="29" t="s">
        <v>14</v>
      </c>
      <c r="E293" s="86">
        <v>0</v>
      </c>
      <c r="F293" s="86">
        <v>0</v>
      </c>
      <c r="G293" s="86">
        <v>0</v>
      </c>
      <c r="H293" s="86">
        <v>0</v>
      </c>
      <c r="I293" s="86">
        <v>0</v>
      </c>
      <c r="J293" s="86">
        <v>0</v>
      </c>
      <c r="K293" s="86">
        <v>0</v>
      </c>
      <c r="L293" s="86">
        <v>0</v>
      </c>
      <c r="M293" s="4"/>
      <c r="N293" s="4"/>
    </row>
    <row r="294" spans="1:14">
      <c r="A294" s="4"/>
      <c r="B294" s="81"/>
      <c r="C294" s="81"/>
      <c r="D294" s="29" t="s">
        <v>15</v>
      </c>
      <c r="E294" s="86">
        <v>0</v>
      </c>
      <c r="F294" s="86">
        <v>0</v>
      </c>
      <c r="G294" s="86">
        <v>0</v>
      </c>
      <c r="H294" s="86">
        <v>0</v>
      </c>
      <c r="I294" s="86">
        <v>0</v>
      </c>
      <c r="J294" s="86">
        <v>0</v>
      </c>
      <c r="K294" s="86">
        <v>0</v>
      </c>
      <c r="L294" s="86">
        <v>0</v>
      </c>
      <c r="M294" s="4"/>
      <c r="N294" s="4"/>
    </row>
    <row r="295" spans="1:14">
      <c r="A295" s="4"/>
      <c r="B295" s="81"/>
      <c r="C295" s="81"/>
      <c r="D295" s="33" t="s">
        <v>16</v>
      </c>
      <c r="E295" s="105">
        <f>SUM(E291:E294)</f>
        <v>8</v>
      </c>
      <c r="F295" s="106">
        <f t="shared" ref="F295:H296" si="92">SUM(F291:F294)</f>
        <v>1</v>
      </c>
      <c r="G295" s="106">
        <f t="shared" si="92"/>
        <v>0</v>
      </c>
      <c r="H295" s="80">
        <f t="shared" si="92"/>
        <v>0</v>
      </c>
      <c r="I295" s="80">
        <f>SUM(I291:I294)</f>
        <v>168723250</v>
      </c>
      <c r="J295" s="80">
        <f t="shared" ref="J295:L295" si="93">SUM(J291:J294)</f>
        <v>11617363</v>
      </c>
      <c r="K295" s="80">
        <f t="shared" si="93"/>
        <v>0</v>
      </c>
      <c r="L295" s="80">
        <f t="shared" si="93"/>
        <v>0</v>
      </c>
      <c r="M295" s="4"/>
      <c r="N295" s="4"/>
    </row>
    <row r="296" spans="1:14">
      <c r="A296" s="4"/>
      <c r="B296" s="81"/>
      <c r="C296" s="81"/>
      <c r="D296" s="35" t="s">
        <v>17</v>
      </c>
      <c r="E296" s="85">
        <v>8</v>
      </c>
      <c r="F296" s="85">
        <v>1</v>
      </c>
      <c r="G296" s="85">
        <v>0</v>
      </c>
      <c r="H296" s="80">
        <f t="shared" si="92"/>
        <v>0</v>
      </c>
      <c r="I296" s="107">
        <f>+I295</f>
        <v>168723250</v>
      </c>
      <c r="J296" s="107">
        <f>+J295</f>
        <v>11617363</v>
      </c>
      <c r="K296" s="107">
        <f>+K295</f>
        <v>0</v>
      </c>
      <c r="L296" s="107">
        <f>+L295</f>
        <v>0</v>
      </c>
      <c r="M296" s="4"/>
      <c r="N296" s="4"/>
    </row>
    <row r="297" spans="1:14">
      <c r="A297" s="4"/>
      <c r="B297" s="88"/>
      <c r="C297" s="88"/>
      <c r="D297" s="35" t="s">
        <v>18</v>
      </c>
      <c r="E297" s="86">
        <v>0</v>
      </c>
      <c r="F297" s="86">
        <v>0</v>
      </c>
      <c r="G297" s="86">
        <v>0</v>
      </c>
      <c r="H297" s="86">
        <v>0</v>
      </c>
      <c r="I297" s="86">
        <v>0</v>
      </c>
      <c r="J297" s="86">
        <v>0</v>
      </c>
      <c r="K297" s="86">
        <v>0</v>
      </c>
      <c r="L297" s="86">
        <v>0</v>
      </c>
      <c r="M297" s="4"/>
      <c r="N297" s="4"/>
    </row>
    <row r="298" spans="1:14">
      <c r="A298" s="4"/>
      <c r="B298" s="76">
        <v>14</v>
      </c>
      <c r="C298" s="76" t="s">
        <v>40</v>
      </c>
      <c r="D298" s="29" t="s">
        <v>12</v>
      </c>
      <c r="E298" s="86">
        <v>0</v>
      </c>
      <c r="F298" s="86">
        <v>0</v>
      </c>
      <c r="G298" s="86">
        <v>0</v>
      </c>
      <c r="H298" s="86">
        <v>0</v>
      </c>
      <c r="I298" s="86">
        <v>0</v>
      </c>
      <c r="J298" s="86">
        <v>0</v>
      </c>
      <c r="K298" s="86">
        <v>0</v>
      </c>
      <c r="L298" s="86">
        <v>0</v>
      </c>
      <c r="M298" s="4"/>
      <c r="N298" s="4"/>
    </row>
    <row r="299" spans="1:14">
      <c r="A299" s="4"/>
      <c r="B299" s="81"/>
      <c r="C299" s="81"/>
      <c r="D299" s="29" t="s">
        <v>13</v>
      </c>
      <c r="E299" s="86">
        <v>0</v>
      </c>
      <c r="F299" s="86">
        <v>0</v>
      </c>
      <c r="G299" s="86">
        <v>0</v>
      </c>
      <c r="H299" s="86">
        <v>0</v>
      </c>
      <c r="I299" s="86">
        <v>0</v>
      </c>
      <c r="J299" s="86">
        <v>0</v>
      </c>
      <c r="K299" s="86">
        <v>0</v>
      </c>
      <c r="L299" s="86">
        <v>0</v>
      </c>
      <c r="M299" s="4"/>
      <c r="N299" s="4"/>
    </row>
    <row r="300" spans="1:14" ht="21">
      <c r="A300" s="4"/>
      <c r="B300" s="81"/>
      <c r="C300" s="81"/>
      <c r="D300" s="29" t="s">
        <v>14</v>
      </c>
      <c r="E300" s="86">
        <v>0</v>
      </c>
      <c r="F300" s="86">
        <v>0</v>
      </c>
      <c r="G300" s="86">
        <v>0</v>
      </c>
      <c r="H300" s="86">
        <v>0</v>
      </c>
      <c r="I300" s="86">
        <v>0</v>
      </c>
      <c r="J300" s="86">
        <v>0</v>
      </c>
      <c r="K300" s="86">
        <v>0</v>
      </c>
      <c r="L300" s="86">
        <v>0</v>
      </c>
      <c r="M300" s="4"/>
      <c r="N300" s="4"/>
    </row>
    <row r="301" spans="1:14">
      <c r="A301" s="4"/>
      <c r="B301" s="81"/>
      <c r="C301" s="81"/>
      <c r="D301" s="29" t="s">
        <v>15</v>
      </c>
      <c r="E301" s="86">
        <v>0</v>
      </c>
      <c r="F301" s="86">
        <v>0</v>
      </c>
      <c r="G301" s="86">
        <v>0</v>
      </c>
      <c r="H301" s="86">
        <v>0</v>
      </c>
      <c r="I301" s="86">
        <v>0</v>
      </c>
      <c r="J301" s="86">
        <v>0</v>
      </c>
      <c r="K301" s="86">
        <v>0</v>
      </c>
      <c r="L301" s="86">
        <v>0</v>
      </c>
      <c r="M301" s="4"/>
      <c r="N301" s="4"/>
    </row>
    <row r="302" spans="1:14">
      <c r="A302" s="4"/>
      <c r="B302" s="81"/>
      <c r="C302" s="81"/>
      <c r="D302" s="33" t="s">
        <v>16</v>
      </c>
      <c r="E302" s="105">
        <f>SUM(E298:E301)</f>
        <v>0</v>
      </c>
      <c r="F302" s="106">
        <f t="shared" ref="F302:H302" si="94">SUM(F298:F301)</f>
        <v>0</v>
      </c>
      <c r="G302" s="106">
        <f t="shared" si="94"/>
        <v>0</v>
      </c>
      <c r="H302" s="80">
        <f t="shared" si="94"/>
        <v>0</v>
      </c>
      <c r="I302" s="80">
        <f>SUM(I298:I301)</f>
        <v>0</v>
      </c>
      <c r="J302" s="80">
        <f t="shared" ref="J302:L302" si="95">SUM(J298:J301)</f>
        <v>0</v>
      </c>
      <c r="K302" s="80">
        <f t="shared" si="95"/>
        <v>0</v>
      </c>
      <c r="L302" s="80">
        <f t="shared" si="95"/>
        <v>0</v>
      </c>
      <c r="M302" s="4"/>
      <c r="N302" s="4"/>
    </row>
    <row r="303" spans="1:14">
      <c r="A303" s="4"/>
      <c r="B303" s="81"/>
      <c r="C303" s="81"/>
      <c r="D303" s="35" t="s">
        <v>17</v>
      </c>
      <c r="E303" s="86">
        <v>0</v>
      </c>
      <c r="F303" s="86">
        <v>0</v>
      </c>
      <c r="G303" s="86">
        <v>0</v>
      </c>
      <c r="H303" s="86">
        <v>0</v>
      </c>
      <c r="I303" s="86">
        <v>0</v>
      </c>
      <c r="J303" s="86">
        <v>0</v>
      </c>
      <c r="K303" s="86">
        <v>0</v>
      </c>
      <c r="L303" s="86">
        <v>0</v>
      </c>
      <c r="M303" s="4"/>
      <c r="N303" s="4"/>
    </row>
    <row r="304" spans="1:14">
      <c r="A304" s="4"/>
      <c r="B304" s="88"/>
      <c r="C304" s="88"/>
      <c r="D304" s="35" t="s">
        <v>18</v>
      </c>
      <c r="E304" s="86">
        <v>0</v>
      </c>
      <c r="F304" s="86">
        <v>0</v>
      </c>
      <c r="G304" s="86">
        <v>0</v>
      </c>
      <c r="H304" s="86">
        <v>0</v>
      </c>
      <c r="I304" s="86">
        <v>0</v>
      </c>
      <c r="J304" s="86">
        <v>0</v>
      </c>
      <c r="K304" s="86">
        <v>0</v>
      </c>
      <c r="L304" s="86">
        <v>0</v>
      </c>
      <c r="M304" s="4"/>
      <c r="N304" s="4"/>
    </row>
    <row r="305" spans="1:14">
      <c r="A305" s="4"/>
      <c r="B305" s="15">
        <v>15</v>
      </c>
      <c r="C305" s="15" t="s">
        <v>41</v>
      </c>
      <c r="D305" s="16" t="s">
        <v>12</v>
      </c>
      <c r="E305" s="41">
        <v>1</v>
      </c>
      <c r="F305" s="90">
        <v>0</v>
      </c>
      <c r="G305" s="54">
        <v>4</v>
      </c>
      <c r="H305" s="90">
        <v>0</v>
      </c>
      <c r="I305" s="18">
        <v>81594782</v>
      </c>
      <c r="J305" s="90">
        <v>0</v>
      </c>
      <c r="K305" s="18">
        <v>568041033</v>
      </c>
      <c r="L305" s="90">
        <v>0</v>
      </c>
      <c r="M305" s="4"/>
      <c r="N305" s="4"/>
    </row>
    <row r="306" spans="1:14">
      <c r="A306" s="4"/>
      <c r="B306" s="19"/>
      <c r="C306" s="19"/>
      <c r="D306" s="16" t="s">
        <v>13</v>
      </c>
      <c r="E306" s="41">
        <v>7</v>
      </c>
      <c r="F306" s="54">
        <v>4</v>
      </c>
      <c r="G306" s="90">
        <v>0</v>
      </c>
      <c r="H306" s="90">
        <v>0</v>
      </c>
      <c r="I306" s="49">
        <v>62903003</v>
      </c>
      <c r="J306" s="49">
        <v>125973673</v>
      </c>
      <c r="K306" s="90">
        <v>0</v>
      </c>
      <c r="L306" s="90">
        <v>0</v>
      </c>
      <c r="M306" s="4"/>
      <c r="N306" s="4"/>
    </row>
    <row r="307" spans="1:14" ht="21">
      <c r="A307" s="4"/>
      <c r="B307" s="19"/>
      <c r="C307" s="19"/>
      <c r="D307" s="16" t="s">
        <v>14</v>
      </c>
      <c r="E307" s="41">
        <v>13</v>
      </c>
      <c r="F307" s="54">
        <v>1</v>
      </c>
      <c r="G307" s="90">
        <v>0</v>
      </c>
      <c r="H307" s="90">
        <v>0</v>
      </c>
      <c r="I307" s="18">
        <v>40669580</v>
      </c>
      <c r="J307" s="18">
        <v>4889795</v>
      </c>
      <c r="K307" s="90">
        <v>0</v>
      </c>
      <c r="L307" s="90">
        <v>0</v>
      </c>
      <c r="M307" s="4"/>
      <c r="N307" s="4"/>
    </row>
    <row r="308" spans="1:14">
      <c r="A308" s="4"/>
      <c r="B308" s="19"/>
      <c r="C308" s="19"/>
      <c r="D308" s="16" t="s">
        <v>15</v>
      </c>
      <c r="E308" s="41">
        <v>388</v>
      </c>
      <c r="F308" s="54">
        <v>6</v>
      </c>
      <c r="G308" s="90">
        <v>1</v>
      </c>
      <c r="H308" s="90">
        <v>0</v>
      </c>
      <c r="I308" s="18">
        <v>168356728</v>
      </c>
      <c r="J308" s="18">
        <v>13551723</v>
      </c>
      <c r="K308" s="90">
        <v>0</v>
      </c>
      <c r="L308" s="90">
        <v>0</v>
      </c>
      <c r="M308" s="4"/>
      <c r="N308" s="4"/>
    </row>
    <row r="309" spans="1:14">
      <c r="A309" s="4"/>
      <c r="B309" s="19"/>
      <c r="C309" s="19"/>
      <c r="D309" s="20" t="s">
        <v>16</v>
      </c>
      <c r="E309" s="21">
        <f>SUM(E305:E308)</f>
        <v>409</v>
      </c>
      <c r="F309" s="22">
        <f t="shared" ref="F309:H309" si="96">SUM(F305:F308)</f>
        <v>11</v>
      </c>
      <c r="G309" s="22">
        <f t="shared" si="96"/>
        <v>5</v>
      </c>
      <c r="H309" s="23">
        <f t="shared" si="96"/>
        <v>0</v>
      </c>
      <c r="I309" s="24">
        <f>SUM(I305:I308)</f>
        <v>353524093</v>
      </c>
      <c r="J309" s="24">
        <f t="shared" ref="J309:L309" si="97">SUM(J305:J308)</f>
        <v>144415191</v>
      </c>
      <c r="K309" s="24">
        <f t="shared" si="97"/>
        <v>568041033</v>
      </c>
      <c r="L309" s="24">
        <f t="shared" si="97"/>
        <v>0</v>
      </c>
      <c r="M309" s="4"/>
      <c r="N309" s="4"/>
    </row>
    <row r="310" spans="1:14">
      <c r="A310" s="4"/>
      <c r="B310" s="19"/>
      <c r="C310" s="19"/>
      <c r="D310" s="25" t="s">
        <v>17</v>
      </c>
      <c r="E310" s="41">
        <f>+E309</f>
        <v>409</v>
      </c>
      <c r="F310" s="54">
        <f t="shared" ref="F310:L310" si="98">+F309</f>
        <v>11</v>
      </c>
      <c r="G310" s="54">
        <f t="shared" si="98"/>
        <v>5</v>
      </c>
      <c r="H310" s="55">
        <f t="shared" si="98"/>
        <v>0</v>
      </c>
      <c r="I310" s="18">
        <f t="shared" si="98"/>
        <v>353524093</v>
      </c>
      <c r="J310" s="18">
        <f t="shared" si="98"/>
        <v>144415191</v>
      </c>
      <c r="K310" s="18">
        <f t="shared" si="98"/>
        <v>568041033</v>
      </c>
      <c r="L310" s="18">
        <f t="shared" si="98"/>
        <v>0</v>
      </c>
      <c r="M310" s="4"/>
      <c r="N310" s="4"/>
    </row>
    <row r="311" spans="1:14">
      <c r="A311" s="4"/>
      <c r="B311" s="26"/>
      <c r="C311" s="26"/>
      <c r="D311" s="25" t="s">
        <v>18</v>
      </c>
      <c r="E311" s="41">
        <v>0</v>
      </c>
      <c r="F311" s="54">
        <v>0</v>
      </c>
      <c r="G311" s="90">
        <v>0</v>
      </c>
      <c r="H311" s="90">
        <v>0</v>
      </c>
      <c r="I311" s="18">
        <v>0</v>
      </c>
      <c r="J311" s="18">
        <v>0</v>
      </c>
      <c r="K311" s="18">
        <v>0</v>
      </c>
      <c r="L311" s="18">
        <v>0</v>
      </c>
      <c r="M311" s="4"/>
      <c r="N311" s="4"/>
    </row>
    <row r="312" spans="1:14">
      <c r="A312" s="4"/>
      <c r="B312" s="15">
        <v>15</v>
      </c>
      <c r="C312" s="15" t="s">
        <v>41</v>
      </c>
      <c r="D312" s="16" t="s">
        <v>12</v>
      </c>
      <c r="E312" s="41">
        <v>2</v>
      </c>
      <c r="F312" s="54">
        <v>0</v>
      </c>
      <c r="G312" s="54">
        <v>0</v>
      </c>
      <c r="H312" s="55">
        <v>0</v>
      </c>
      <c r="I312" s="18">
        <v>14534373</v>
      </c>
      <c r="J312" s="18">
        <v>0</v>
      </c>
      <c r="K312" s="18">
        <v>0</v>
      </c>
      <c r="L312" s="18">
        <v>0</v>
      </c>
      <c r="M312" s="4"/>
      <c r="N312" s="4"/>
    </row>
    <row r="313" spans="1:14">
      <c r="B313" s="19"/>
      <c r="C313" s="19"/>
      <c r="D313" s="16" t="s">
        <v>13</v>
      </c>
      <c r="E313" s="103">
        <v>0</v>
      </c>
      <c r="F313" s="90">
        <v>0</v>
      </c>
      <c r="G313" s="90">
        <v>0</v>
      </c>
      <c r="H313" s="90">
        <v>0</v>
      </c>
      <c r="I313" s="102">
        <v>0</v>
      </c>
      <c r="J313" s="102">
        <v>0</v>
      </c>
      <c r="K313" s="102">
        <v>0</v>
      </c>
      <c r="L313" s="102">
        <v>0</v>
      </c>
    </row>
    <row r="314" spans="1:14" ht="21">
      <c r="B314" s="19"/>
      <c r="C314" s="19"/>
      <c r="D314" s="16" t="s">
        <v>14</v>
      </c>
      <c r="E314" s="41">
        <v>0</v>
      </c>
      <c r="F314" s="54">
        <v>0</v>
      </c>
      <c r="G314" s="90">
        <v>0</v>
      </c>
      <c r="H314" s="90">
        <v>0</v>
      </c>
      <c r="I314" s="18">
        <v>0</v>
      </c>
      <c r="J314" s="18">
        <v>0</v>
      </c>
      <c r="K314" s="102">
        <v>0</v>
      </c>
      <c r="L314" s="102">
        <v>0</v>
      </c>
    </row>
    <row r="315" spans="1:14">
      <c r="B315" s="19"/>
      <c r="C315" s="19"/>
      <c r="D315" s="16" t="s">
        <v>15</v>
      </c>
      <c r="E315" s="41">
        <v>0</v>
      </c>
      <c r="F315" s="54">
        <v>0</v>
      </c>
      <c r="G315" s="90">
        <v>0</v>
      </c>
      <c r="H315" s="90">
        <v>0</v>
      </c>
      <c r="I315" s="18">
        <v>0</v>
      </c>
      <c r="J315" s="18">
        <v>0</v>
      </c>
      <c r="K315" s="102">
        <v>0</v>
      </c>
      <c r="L315" s="102">
        <v>0</v>
      </c>
    </row>
    <row r="316" spans="1:14">
      <c r="B316" s="19"/>
      <c r="C316" s="19"/>
      <c r="D316" s="20" t="s">
        <v>16</v>
      </c>
      <c r="E316" s="21">
        <f>SUM(E312:E315)</f>
        <v>2</v>
      </c>
      <c r="F316" s="22">
        <f t="shared" ref="F316:H316" si="99">SUM(F312:F315)</f>
        <v>0</v>
      </c>
      <c r="G316" s="22">
        <f t="shared" si="99"/>
        <v>0</v>
      </c>
      <c r="H316" s="23">
        <f t="shared" si="99"/>
        <v>0</v>
      </c>
      <c r="I316" s="24">
        <f>SUM(I312:I315)</f>
        <v>14534373</v>
      </c>
      <c r="J316" s="24">
        <f t="shared" ref="J316:L316" si="100">SUM(J312:J315)</f>
        <v>0</v>
      </c>
      <c r="K316" s="24">
        <f t="shared" si="100"/>
        <v>0</v>
      </c>
      <c r="L316" s="24">
        <f t="shared" si="100"/>
        <v>0</v>
      </c>
    </row>
    <row r="317" spans="1:14">
      <c r="B317" s="19"/>
      <c r="C317" s="19"/>
      <c r="D317" s="25" t="s">
        <v>17</v>
      </c>
      <c r="E317" s="41">
        <v>0</v>
      </c>
      <c r="F317" s="54">
        <v>0</v>
      </c>
      <c r="G317" s="54">
        <v>0</v>
      </c>
      <c r="H317" s="55">
        <v>0</v>
      </c>
      <c r="I317" s="18">
        <v>0</v>
      </c>
      <c r="J317" s="18">
        <v>0</v>
      </c>
      <c r="K317" s="18">
        <v>0</v>
      </c>
      <c r="L317" s="18">
        <v>0</v>
      </c>
    </row>
    <row r="318" spans="1:14">
      <c r="B318" s="26"/>
      <c r="C318" s="26"/>
      <c r="D318" s="25" t="s">
        <v>18</v>
      </c>
      <c r="E318" s="51">
        <v>2</v>
      </c>
      <c r="F318" s="17">
        <v>0</v>
      </c>
      <c r="G318" s="90">
        <v>0</v>
      </c>
      <c r="H318" s="90">
        <v>0</v>
      </c>
      <c r="I318" s="18">
        <f>+I316</f>
        <v>14534373</v>
      </c>
      <c r="J318" s="102">
        <v>0</v>
      </c>
      <c r="K318" s="102">
        <v>0</v>
      </c>
      <c r="L318" s="102">
        <v>0</v>
      </c>
    </row>
    <row r="319" spans="1:14">
      <c r="B319" s="76">
        <v>16</v>
      </c>
      <c r="C319" s="76" t="s">
        <v>42</v>
      </c>
      <c r="D319" s="29" t="s">
        <v>12</v>
      </c>
      <c r="E319" s="85">
        <v>9</v>
      </c>
      <c r="F319" s="108">
        <v>0</v>
      </c>
      <c r="G319" s="108">
        <v>0</v>
      </c>
      <c r="H319" s="108">
        <v>0</v>
      </c>
      <c r="I319" s="78">
        <v>309711845</v>
      </c>
      <c r="J319" s="78">
        <v>0</v>
      </c>
      <c r="K319" s="78">
        <v>0</v>
      </c>
      <c r="L319" s="78">
        <v>0</v>
      </c>
    </row>
    <row r="320" spans="1:14">
      <c r="B320" s="81"/>
      <c r="C320" s="81"/>
      <c r="D320" s="29" t="s">
        <v>13</v>
      </c>
      <c r="E320" s="85">
        <v>5</v>
      </c>
      <c r="F320" s="108">
        <v>1</v>
      </c>
      <c r="G320" s="108">
        <v>0</v>
      </c>
      <c r="H320" s="108">
        <v>0</v>
      </c>
      <c r="I320" s="78">
        <v>108873090</v>
      </c>
      <c r="J320" s="78">
        <v>21474661</v>
      </c>
      <c r="K320" s="78">
        <v>0</v>
      </c>
      <c r="L320" s="78">
        <v>0</v>
      </c>
    </row>
    <row r="321" spans="2:12" ht="21">
      <c r="B321" s="81"/>
      <c r="C321" s="81"/>
      <c r="D321" s="29" t="s">
        <v>14</v>
      </c>
      <c r="E321" s="85">
        <v>8</v>
      </c>
      <c r="F321" s="108">
        <v>0</v>
      </c>
      <c r="G321" s="108">
        <v>0</v>
      </c>
      <c r="H321" s="108">
        <v>0</v>
      </c>
      <c r="I321" s="78">
        <v>156434083</v>
      </c>
      <c r="J321" s="78">
        <v>0</v>
      </c>
      <c r="K321" s="78">
        <v>0</v>
      </c>
      <c r="L321" s="78">
        <v>0</v>
      </c>
    </row>
    <row r="322" spans="2:12">
      <c r="B322" s="81"/>
      <c r="C322" s="81"/>
      <c r="D322" s="29" t="s">
        <v>15</v>
      </c>
      <c r="E322" s="85">
        <v>16</v>
      </c>
      <c r="F322" s="79">
        <v>1</v>
      </c>
      <c r="G322" s="108">
        <v>0</v>
      </c>
      <c r="H322" s="108">
        <v>0</v>
      </c>
      <c r="I322" s="78">
        <v>159510237</v>
      </c>
      <c r="J322" s="78">
        <v>12411185</v>
      </c>
      <c r="K322" s="78">
        <v>0</v>
      </c>
      <c r="L322" s="78">
        <v>0</v>
      </c>
    </row>
    <row r="323" spans="2:12">
      <c r="B323" s="81"/>
      <c r="C323" s="81"/>
      <c r="D323" s="33" t="s">
        <v>16</v>
      </c>
      <c r="E323" s="105">
        <f>SUM(E319:E322)</f>
        <v>38</v>
      </c>
      <c r="F323" s="106">
        <f t="shared" ref="F323:H323" si="101">SUM(F319:F322)</f>
        <v>2</v>
      </c>
      <c r="G323" s="106">
        <f t="shared" si="101"/>
        <v>0</v>
      </c>
      <c r="H323" s="109">
        <f t="shared" si="101"/>
        <v>0</v>
      </c>
      <c r="I323" s="80">
        <f>SUM(I319:I322)</f>
        <v>734529255</v>
      </c>
      <c r="J323" s="80">
        <f t="shared" ref="J323:L323" si="102">SUM(J319:J322)</f>
        <v>33885846</v>
      </c>
      <c r="K323" s="80">
        <f t="shared" si="102"/>
        <v>0</v>
      </c>
      <c r="L323" s="80">
        <f t="shared" si="102"/>
        <v>0</v>
      </c>
    </row>
    <row r="324" spans="2:12">
      <c r="B324" s="81"/>
      <c r="C324" s="81"/>
      <c r="D324" s="35" t="s">
        <v>17</v>
      </c>
      <c r="E324" s="85">
        <f>+E323</f>
        <v>38</v>
      </c>
      <c r="F324" s="79">
        <v>2</v>
      </c>
      <c r="G324" s="78">
        <v>0</v>
      </c>
      <c r="H324" s="78">
        <v>0</v>
      </c>
      <c r="I324" s="78">
        <f>+I323</f>
        <v>734529255</v>
      </c>
      <c r="J324" s="78">
        <f>+J323</f>
        <v>33885846</v>
      </c>
      <c r="K324" s="78">
        <v>0</v>
      </c>
      <c r="L324" s="78">
        <v>0</v>
      </c>
    </row>
    <row r="325" spans="2:12">
      <c r="B325" s="88"/>
      <c r="C325" s="88"/>
      <c r="D325" s="35" t="s">
        <v>18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</row>
    <row r="326" spans="2:12">
      <c r="B326" s="76">
        <v>16</v>
      </c>
      <c r="C326" s="76" t="s">
        <v>42</v>
      </c>
      <c r="D326" s="29" t="s">
        <v>12</v>
      </c>
      <c r="E326" s="85">
        <v>0</v>
      </c>
      <c r="F326" s="108">
        <v>0</v>
      </c>
      <c r="G326" s="108">
        <v>0</v>
      </c>
      <c r="H326" s="108">
        <v>0</v>
      </c>
      <c r="I326" s="78">
        <v>0</v>
      </c>
      <c r="J326" s="78">
        <v>0</v>
      </c>
      <c r="K326" s="78">
        <v>0</v>
      </c>
      <c r="L326" s="78">
        <v>0</v>
      </c>
    </row>
    <row r="327" spans="2:12">
      <c r="B327" s="81"/>
      <c r="C327" s="81"/>
      <c r="D327" s="29" t="s">
        <v>13</v>
      </c>
      <c r="E327" s="85">
        <v>6</v>
      </c>
      <c r="F327" s="85">
        <v>2</v>
      </c>
      <c r="G327" s="108">
        <v>0</v>
      </c>
      <c r="H327" s="108">
        <v>0</v>
      </c>
      <c r="I327" s="78">
        <v>73466955</v>
      </c>
      <c r="J327" s="78">
        <v>0</v>
      </c>
      <c r="K327" s="78">
        <v>0</v>
      </c>
      <c r="L327" s="78">
        <v>0</v>
      </c>
    </row>
    <row r="328" spans="2:12" ht="21">
      <c r="B328" s="81"/>
      <c r="C328" s="81"/>
      <c r="D328" s="29" t="s">
        <v>14</v>
      </c>
      <c r="E328" s="85">
        <v>0</v>
      </c>
      <c r="F328" s="79">
        <v>0</v>
      </c>
      <c r="G328" s="108">
        <v>0</v>
      </c>
      <c r="H328" s="108">
        <v>0</v>
      </c>
      <c r="I328" s="78">
        <v>0</v>
      </c>
      <c r="J328" s="78">
        <v>0</v>
      </c>
      <c r="K328" s="78">
        <v>0</v>
      </c>
      <c r="L328" s="78">
        <v>0</v>
      </c>
    </row>
    <row r="329" spans="2:12">
      <c r="B329" s="81"/>
      <c r="C329" s="81"/>
      <c r="D329" s="29" t="s">
        <v>15</v>
      </c>
      <c r="E329" s="85">
        <v>23</v>
      </c>
      <c r="F329" s="79">
        <v>0</v>
      </c>
      <c r="G329" s="108">
        <v>0</v>
      </c>
      <c r="H329" s="108">
        <v>0</v>
      </c>
      <c r="I329" s="78">
        <v>196922014</v>
      </c>
      <c r="J329" s="78">
        <v>0</v>
      </c>
      <c r="K329" s="78">
        <v>0</v>
      </c>
      <c r="L329" s="78">
        <v>0</v>
      </c>
    </row>
    <row r="330" spans="2:12">
      <c r="B330" s="81"/>
      <c r="C330" s="81"/>
      <c r="D330" s="33" t="s">
        <v>16</v>
      </c>
      <c r="E330" s="105">
        <f>SUM(E326:E329)</f>
        <v>29</v>
      </c>
      <c r="F330" s="106">
        <f t="shared" ref="F330:H330" si="103">SUM(F326:F329)</f>
        <v>2</v>
      </c>
      <c r="G330" s="106">
        <f t="shared" si="103"/>
        <v>0</v>
      </c>
      <c r="H330" s="109">
        <f t="shared" si="103"/>
        <v>0</v>
      </c>
      <c r="I330" s="80">
        <f>SUM(I326:I329)</f>
        <v>270388969</v>
      </c>
      <c r="J330" s="80">
        <f t="shared" ref="J330:L330" si="104">SUM(J326:J329)</f>
        <v>0</v>
      </c>
      <c r="K330" s="80">
        <f t="shared" si="104"/>
        <v>0</v>
      </c>
      <c r="L330" s="80">
        <f t="shared" si="104"/>
        <v>0</v>
      </c>
    </row>
    <row r="331" spans="2:12">
      <c r="B331" s="81"/>
      <c r="C331" s="81"/>
      <c r="D331" s="35" t="s">
        <v>17</v>
      </c>
      <c r="E331" s="85">
        <v>0</v>
      </c>
      <c r="F331" s="79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</row>
    <row r="332" spans="2:12">
      <c r="B332" s="88"/>
      <c r="C332" s="88"/>
      <c r="D332" s="35" t="s">
        <v>18</v>
      </c>
      <c r="E332" s="78">
        <f>+E330</f>
        <v>29</v>
      </c>
      <c r="F332" s="78">
        <f>+F330</f>
        <v>2</v>
      </c>
      <c r="G332" s="78">
        <v>0</v>
      </c>
      <c r="H332" s="78">
        <v>0</v>
      </c>
      <c r="I332" s="78">
        <f>+I330</f>
        <v>270388969</v>
      </c>
      <c r="J332" s="78">
        <v>0</v>
      </c>
      <c r="K332" s="78">
        <v>0</v>
      </c>
      <c r="L332" s="78">
        <v>0</v>
      </c>
    </row>
    <row r="333" spans="2:12">
      <c r="B333" s="15">
        <v>17</v>
      </c>
      <c r="C333" s="15" t="s">
        <v>43</v>
      </c>
      <c r="D333" s="16" t="s">
        <v>12</v>
      </c>
      <c r="E333" s="41">
        <v>14</v>
      </c>
      <c r="F333" s="41">
        <v>1</v>
      </c>
      <c r="G333" s="90">
        <v>0</v>
      </c>
      <c r="H333" s="90">
        <v>0</v>
      </c>
      <c r="I333" s="18">
        <v>459063815</v>
      </c>
      <c r="J333" s="90">
        <v>0</v>
      </c>
      <c r="K333" s="90">
        <v>0</v>
      </c>
      <c r="L333" s="90">
        <v>0</v>
      </c>
    </row>
    <row r="334" spans="2:12">
      <c r="B334" s="19"/>
      <c r="C334" s="19"/>
      <c r="D334" s="16" t="s">
        <v>13</v>
      </c>
      <c r="E334" s="41">
        <v>5</v>
      </c>
      <c r="F334" s="41">
        <v>1</v>
      </c>
      <c r="G334" s="90">
        <v>0</v>
      </c>
      <c r="H334" s="90">
        <v>0</v>
      </c>
      <c r="I334" s="18">
        <v>53224273</v>
      </c>
      <c r="J334" s="90">
        <v>0</v>
      </c>
      <c r="K334" s="90">
        <v>0</v>
      </c>
      <c r="L334" s="90">
        <v>0</v>
      </c>
    </row>
    <row r="335" spans="2:12" ht="21">
      <c r="B335" s="19"/>
      <c r="C335" s="19"/>
      <c r="D335" s="16" t="s">
        <v>14</v>
      </c>
      <c r="E335" s="41">
        <v>29</v>
      </c>
      <c r="F335" s="41">
        <v>1</v>
      </c>
      <c r="G335" s="90">
        <v>0</v>
      </c>
      <c r="H335" s="90">
        <v>0</v>
      </c>
      <c r="I335" s="18">
        <v>153051341</v>
      </c>
      <c r="J335" s="90">
        <v>0</v>
      </c>
      <c r="K335" s="90">
        <v>0</v>
      </c>
      <c r="L335" s="90">
        <v>0</v>
      </c>
    </row>
    <row r="336" spans="2:12">
      <c r="B336" s="19"/>
      <c r="C336" s="19"/>
      <c r="D336" s="16" t="s">
        <v>15</v>
      </c>
      <c r="E336" s="41">
        <v>68</v>
      </c>
      <c r="F336" s="90">
        <v>0</v>
      </c>
      <c r="G336" s="90">
        <v>0</v>
      </c>
      <c r="H336" s="90">
        <v>0</v>
      </c>
      <c r="I336" s="18">
        <v>103161844</v>
      </c>
      <c r="J336" s="90">
        <v>0</v>
      </c>
      <c r="K336" s="90">
        <v>0</v>
      </c>
      <c r="L336" s="90">
        <v>0</v>
      </c>
    </row>
    <row r="337" spans="2:12">
      <c r="B337" s="19"/>
      <c r="C337" s="19"/>
      <c r="D337" s="20" t="s">
        <v>16</v>
      </c>
      <c r="E337" s="21">
        <f>SUM(E333:E336)</f>
        <v>116</v>
      </c>
      <c r="F337" s="22">
        <f t="shared" ref="F337:H337" si="105">SUM(F333:F336)</f>
        <v>3</v>
      </c>
      <c r="G337" s="22">
        <f t="shared" si="105"/>
        <v>0</v>
      </c>
      <c r="H337" s="23">
        <f t="shared" si="105"/>
        <v>0</v>
      </c>
      <c r="I337" s="24">
        <f>SUM(I333:I336)</f>
        <v>768501273</v>
      </c>
      <c r="J337" s="24">
        <f t="shared" ref="J337:L337" si="106">SUM(J333:J336)</f>
        <v>0</v>
      </c>
      <c r="K337" s="24">
        <f t="shared" si="106"/>
        <v>0</v>
      </c>
      <c r="L337" s="24">
        <f t="shared" si="106"/>
        <v>0</v>
      </c>
    </row>
    <row r="338" spans="2:12">
      <c r="B338" s="19"/>
      <c r="C338" s="19"/>
      <c r="D338" s="25" t="s">
        <v>17</v>
      </c>
      <c r="E338" s="41">
        <v>50</v>
      </c>
      <c r="F338" s="41">
        <v>2</v>
      </c>
      <c r="G338" s="90">
        <v>0</v>
      </c>
      <c r="H338" s="90">
        <v>0</v>
      </c>
      <c r="I338" s="18">
        <v>610377457</v>
      </c>
      <c r="J338" s="90">
        <v>0</v>
      </c>
      <c r="K338" s="90">
        <v>0</v>
      </c>
      <c r="L338" s="90">
        <v>0</v>
      </c>
    </row>
    <row r="339" spans="2:12">
      <c r="B339" s="26"/>
      <c r="C339" s="26"/>
      <c r="D339" s="25" t="s">
        <v>18</v>
      </c>
      <c r="E339" s="41">
        <v>66</v>
      </c>
      <c r="F339" s="41">
        <v>1</v>
      </c>
      <c r="G339" s="90">
        <v>0</v>
      </c>
      <c r="H339" s="90">
        <v>0</v>
      </c>
      <c r="I339" s="18">
        <v>158123816</v>
      </c>
      <c r="J339" s="90">
        <v>0</v>
      </c>
      <c r="K339" s="90">
        <v>0</v>
      </c>
      <c r="L339" s="90">
        <v>0</v>
      </c>
    </row>
    <row r="340" spans="2:12">
      <c r="B340" s="15">
        <v>17</v>
      </c>
      <c r="C340" s="15" t="s">
        <v>43</v>
      </c>
      <c r="D340" s="16" t="s">
        <v>12</v>
      </c>
      <c r="E340" s="90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</row>
    <row r="341" spans="2:12">
      <c r="B341" s="19"/>
      <c r="C341" s="19"/>
      <c r="D341" s="16" t="s">
        <v>13</v>
      </c>
      <c r="E341" s="90">
        <v>0</v>
      </c>
      <c r="F341" s="90">
        <v>0</v>
      </c>
      <c r="G341" s="90">
        <v>0</v>
      </c>
      <c r="H341" s="90">
        <v>0</v>
      </c>
      <c r="I341" s="90">
        <v>0</v>
      </c>
      <c r="J341" s="90">
        <v>0</v>
      </c>
      <c r="K341" s="90">
        <v>0</v>
      </c>
      <c r="L341" s="90">
        <v>0</v>
      </c>
    </row>
    <row r="342" spans="2:12" ht="21">
      <c r="B342" s="19"/>
      <c r="C342" s="19"/>
      <c r="D342" s="16" t="s">
        <v>14</v>
      </c>
      <c r="E342" s="90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</row>
    <row r="343" spans="2:12">
      <c r="B343" s="19"/>
      <c r="C343" s="19"/>
      <c r="D343" s="16" t="s">
        <v>15</v>
      </c>
      <c r="E343" s="90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</row>
    <row r="344" spans="2:12">
      <c r="B344" s="19"/>
      <c r="C344" s="19"/>
      <c r="D344" s="20" t="s">
        <v>16</v>
      </c>
      <c r="E344" s="21">
        <f>SUM(E340:E343)</f>
        <v>0</v>
      </c>
      <c r="F344" s="22">
        <f t="shared" ref="F344:H344" si="107">SUM(F340:F343)</f>
        <v>0</v>
      </c>
      <c r="G344" s="22">
        <f t="shared" si="107"/>
        <v>0</v>
      </c>
      <c r="H344" s="23">
        <f t="shared" si="107"/>
        <v>0</v>
      </c>
      <c r="I344" s="24">
        <f>SUM(I340:I343)</f>
        <v>0</v>
      </c>
      <c r="J344" s="24">
        <f t="shared" ref="J344:L344" si="108">SUM(J340:J343)</f>
        <v>0</v>
      </c>
      <c r="K344" s="24">
        <f t="shared" si="108"/>
        <v>0</v>
      </c>
      <c r="L344" s="24">
        <f t="shared" si="108"/>
        <v>0</v>
      </c>
    </row>
    <row r="345" spans="2:12">
      <c r="B345" s="19"/>
      <c r="C345" s="19"/>
      <c r="D345" s="25" t="s">
        <v>17</v>
      </c>
      <c r="E345" s="90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</row>
    <row r="346" spans="2:12">
      <c r="B346" s="26"/>
      <c r="C346" s="26"/>
      <c r="D346" s="25" t="s">
        <v>18</v>
      </c>
      <c r="E346" s="90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</row>
    <row r="347" spans="2:12">
      <c r="B347" s="76">
        <v>18</v>
      </c>
      <c r="C347" s="76" t="s">
        <v>44</v>
      </c>
      <c r="D347" s="29" t="s">
        <v>12</v>
      </c>
      <c r="E347" s="86">
        <v>0</v>
      </c>
      <c r="F347" s="86">
        <v>0</v>
      </c>
      <c r="G347" s="86">
        <v>0</v>
      </c>
      <c r="H347" s="86">
        <v>0</v>
      </c>
      <c r="I347" s="78">
        <v>0</v>
      </c>
      <c r="J347" s="78">
        <v>0</v>
      </c>
      <c r="K347" s="78">
        <v>0</v>
      </c>
      <c r="L347" s="78">
        <v>0</v>
      </c>
    </row>
    <row r="348" spans="2:12">
      <c r="B348" s="81"/>
      <c r="C348" s="81"/>
      <c r="D348" s="29" t="s">
        <v>13</v>
      </c>
      <c r="E348" s="85">
        <v>5</v>
      </c>
      <c r="F348" s="79">
        <v>3</v>
      </c>
      <c r="G348" s="86">
        <v>0</v>
      </c>
      <c r="H348" s="86">
        <v>0</v>
      </c>
      <c r="I348" s="86">
        <v>53833166</v>
      </c>
      <c r="J348" s="86">
        <v>39790858</v>
      </c>
      <c r="K348" s="86">
        <v>0</v>
      </c>
      <c r="L348" s="86">
        <v>0</v>
      </c>
    </row>
    <row r="349" spans="2:12" ht="21">
      <c r="B349" s="81"/>
      <c r="C349" s="81"/>
      <c r="D349" s="29" t="s">
        <v>14</v>
      </c>
      <c r="E349" s="85">
        <v>15</v>
      </c>
      <c r="F349" s="79">
        <v>3</v>
      </c>
      <c r="G349" s="86">
        <v>0</v>
      </c>
      <c r="H349" s="86">
        <v>0</v>
      </c>
      <c r="I349" s="78">
        <v>113454877</v>
      </c>
      <c r="J349" s="78">
        <v>15430517</v>
      </c>
      <c r="K349" s="86">
        <v>0</v>
      </c>
      <c r="L349" s="86">
        <v>0</v>
      </c>
    </row>
    <row r="350" spans="2:12">
      <c r="B350" s="81"/>
      <c r="C350" s="81"/>
      <c r="D350" s="29" t="s">
        <v>15</v>
      </c>
      <c r="E350" s="85">
        <v>20</v>
      </c>
      <c r="F350" s="79">
        <v>1</v>
      </c>
      <c r="G350" s="86">
        <v>0</v>
      </c>
      <c r="H350" s="86">
        <v>0</v>
      </c>
      <c r="I350" s="78">
        <v>133206307</v>
      </c>
      <c r="J350" s="78">
        <v>4377814</v>
      </c>
      <c r="K350" s="86">
        <v>0</v>
      </c>
      <c r="L350" s="86">
        <v>0</v>
      </c>
    </row>
    <row r="351" spans="2:12">
      <c r="B351" s="81"/>
      <c r="C351" s="81"/>
      <c r="D351" s="33" t="s">
        <v>16</v>
      </c>
      <c r="E351" s="82">
        <f>SUM(E347:E350)</f>
        <v>40</v>
      </c>
      <c r="F351" s="82">
        <f t="shared" ref="F351:H351" si="109">SUM(F347:F350)</f>
        <v>7</v>
      </c>
      <c r="G351" s="82">
        <f t="shared" si="109"/>
        <v>0</v>
      </c>
      <c r="H351" s="82">
        <f t="shared" si="109"/>
        <v>0</v>
      </c>
      <c r="I351" s="84">
        <f>SUM(I347:I350)</f>
        <v>300494350</v>
      </c>
      <c r="J351" s="84">
        <f t="shared" ref="J351:L351" si="110">SUM(J347:J350)</f>
        <v>59599189</v>
      </c>
      <c r="K351" s="84">
        <f t="shared" si="110"/>
        <v>0</v>
      </c>
      <c r="L351" s="84">
        <f t="shared" si="110"/>
        <v>0</v>
      </c>
    </row>
    <row r="352" spans="2:12">
      <c r="B352" s="81"/>
      <c r="C352" s="81"/>
      <c r="D352" s="35" t="s">
        <v>17</v>
      </c>
      <c r="E352" s="85">
        <f>+E351</f>
        <v>40</v>
      </c>
      <c r="F352" s="79">
        <f t="shared" ref="F352:L352" si="111">+F351</f>
        <v>7</v>
      </c>
      <c r="G352" s="86">
        <f t="shared" si="111"/>
        <v>0</v>
      </c>
      <c r="H352" s="86">
        <f t="shared" si="111"/>
        <v>0</v>
      </c>
      <c r="I352" s="78">
        <f t="shared" si="111"/>
        <v>300494350</v>
      </c>
      <c r="J352" s="78">
        <f t="shared" si="111"/>
        <v>59599189</v>
      </c>
      <c r="K352" s="78">
        <f t="shared" si="111"/>
        <v>0</v>
      </c>
      <c r="L352" s="86">
        <f t="shared" si="111"/>
        <v>0</v>
      </c>
    </row>
    <row r="353" spans="2:12">
      <c r="B353" s="88"/>
      <c r="C353" s="88"/>
      <c r="D353" s="35" t="s">
        <v>18</v>
      </c>
      <c r="E353" s="86">
        <v>0</v>
      </c>
      <c r="F353" s="86">
        <v>0</v>
      </c>
      <c r="G353" s="86">
        <v>0</v>
      </c>
      <c r="H353" s="86">
        <v>0</v>
      </c>
      <c r="I353" s="86">
        <v>0</v>
      </c>
      <c r="J353" s="86">
        <v>0</v>
      </c>
      <c r="K353" s="86">
        <v>0</v>
      </c>
      <c r="L353" s="86">
        <v>0</v>
      </c>
    </row>
    <row r="354" spans="2:12">
      <c r="B354" s="76">
        <v>18</v>
      </c>
      <c r="C354" s="76" t="s">
        <v>44</v>
      </c>
      <c r="D354" s="29" t="s">
        <v>12</v>
      </c>
      <c r="E354" s="85">
        <v>1</v>
      </c>
      <c r="F354" s="86">
        <v>0</v>
      </c>
      <c r="G354" s="86">
        <v>0</v>
      </c>
      <c r="H354" s="86">
        <v>0</v>
      </c>
      <c r="I354" s="78">
        <v>20231578</v>
      </c>
      <c r="J354" s="78">
        <v>0</v>
      </c>
      <c r="K354" s="78">
        <v>0</v>
      </c>
      <c r="L354" s="78">
        <v>0</v>
      </c>
    </row>
    <row r="355" spans="2:12">
      <c r="B355" s="81"/>
      <c r="C355" s="81"/>
      <c r="D355" s="29" t="s">
        <v>13</v>
      </c>
      <c r="E355" s="85">
        <v>1</v>
      </c>
      <c r="F355" s="86">
        <v>0</v>
      </c>
      <c r="G355" s="86">
        <v>0</v>
      </c>
      <c r="H355" s="86">
        <v>0</v>
      </c>
      <c r="I355" s="86">
        <v>11773684</v>
      </c>
      <c r="J355" s="86">
        <v>0</v>
      </c>
      <c r="K355" s="86">
        <v>0</v>
      </c>
      <c r="L355" s="86">
        <v>0</v>
      </c>
    </row>
    <row r="356" spans="2:12" ht="21">
      <c r="B356" s="81"/>
      <c r="C356" s="81"/>
      <c r="D356" s="29" t="s">
        <v>14</v>
      </c>
      <c r="E356" s="85">
        <v>3</v>
      </c>
      <c r="F356" s="86">
        <v>0</v>
      </c>
      <c r="G356" s="86">
        <v>0</v>
      </c>
      <c r="H356" s="86">
        <v>0</v>
      </c>
      <c r="I356" s="78">
        <v>7217222</v>
      </c>
      <c r="J356" s="78">
        <v>0</v>
      </c>
      <c r="K356" s="86">
        <v>0</v>
      </c>
      <c r="L356" s="86">
        <v>0</v>
      </c>
    </row>
    <row r="357" spans="2:12">
      <c r="B357" s="81"/>
      <c r="C357" s="81"/>
      <c r="D357" s="29" t="s">
        <v>15</v>
      </c>
      <c r="E357" s="86">
        <v>0</v>
      </c>
      <c r="F357" s="79">
        <v>1</v>
      </c>
      <c r="G357" s="86">
        <v>0</v>
      </c>
      <c r="H357" s="86">
        <v>0</v>
      </c>
      <c r="I357" s="78">
        <v>810524</v>
      </c>
      <c r="J357" s="78">
        <v>0</v>
      </c>
      <c r="K357" s="86">
        <v>0</v>
      </c>
      <c r="L357" s="86">
        <v>0</v>
      </c>
    </row>
    <row r="358" spans="2:12">
      <c r="B358" s="81"/>
      <c r="C358" s="81"/>
      <c r="D358" s="33" t="s">
        <v>16</v>
      </c>
      <c r="E358" s="82">
        <f>SUM(E354:E357)</f>
        <v>5</v>
      </c>
      <c r="F358" s="82">
        <f t="shared" ref="F358:H358" si="112">SUM(F354:F357)</f>
        <v>1</v>
      </c>
      <c r="G358" s="82">
        <f t="shared" si="112"/>
        <v>0</v>
      </c>
      <c r="H358" s="82">
        <f t="shared" si="112"/>
        <v>0</v>
      </c>
      <c r="I358" s="84">
        <f>SUM(I354:I357)</f>
        <v>40033008</v>
      </c>
      <c r="J358" s="84">
        <f t="shared" ref="J358:L358" si="113">SUM(J354:J357)</f>
        <v>0</v>
      </c>
      <c r="K358" s="84">
        <f t="shared" si="113"/>
        <v>0</v>
      </c>
      <c r="L358" s="84">
        <f t="shared" si="113"/>
        <v>0</v>
      </c>
    </row>
    <row r="359" spans="2:12">
      <c r="B359" s="81"/>
      <c r="C359" s="81"/>
      <c r="D359" s="35" t="s">
        <v>17</v>
      </c>
      <c r="E359" s="86">
        <v>0</v>
      </c>
      <c r="F359" s="86">
        <v>0</v>
      </c>
      <c r="G359" s="86">
        <v>0</v>
      </c>
      <c r="H359" s="86">
        <v>0</v>
      </c>
      <c r="I359" s="78">
        <v>0</v>
      </c>
      <c r="J359" s="78">
        <v>0</v>
      </c>
      <c r="K359" s="78">
        <v>0</v>
      </c>
      <c r="L359" s="86">
        <v>0</v>
      </c>
    </row>
    <row r="360" spans="2:12">
      <c r="B360" s="88"/>
      <c r="C360" s="88"/>
      <c r="D360" s="35" t="s">
        <v>18</v>
      </c>
      <c r="E360" s="85">
        <f>+E358</f>
        <v>5</v>
      </c>
      <c r="F360" s="85">
        <f>+F358</f>
        <v>1</v>
      </c>
      <c r="G360" s="86">
        <v>0</v>
      </c>
      <c r="H360" s="86">
        <v>0</v>
      </c>
      <c r="I360" s="86">
        <f>+I358</f>
        <v>40033008</v>
      </c>
      <c r="J360" s="86">
        <v>0</v>
      </c>
      <c r="K360" s="86">
        <v>0</v>
      </c>
      <c r="L360" s="86">
        <v>0</v>
      </c>
    </row>
    <row r="361" spans="2:12">
      <c r="B361" s="15">
        <v>19</v>
      </c>
      <c r="C361" s="15" t="s">
        <v>45</v>
      </c>
      <c r="D361" s="16" t="s">
        <v>12</v>
      </c>
      <c r="E361" s="41" t="s">
        <v>25</v>
      </c>
      <c r="F361" s="41" t="s">
        <v>25</v>
      </c>
      <c r="G361" s="41" t="s">
        <v>25</v>
      </c>
      <c r="H361" s="41" t="s">
        <v>25</v>
      </c>
      <c r="I361" s="41" t="s">
        <v>25</v>
      </c>
      <c r="J361" s="41" t="s">
        <v>25</v>
      </c>
      <c r="K361" s="41" t="s">
        <v>25</v>
      </c>
      <c r="L361" s="41" t="s">
        <v>25</v>
      </c>
    </row>
    <row r="362" spans="2:12">
      <c r="B362" s="19"/>
      <c r="C362" s="19"/>
      <c r="D362" s="16" t="s">
        <v>13</v>
      </c>
      <c r="E362" s="41" t="s">
        <v>25</v>
      </c>
      <c r="F362" s="41" t="s">
        <v>25</v>
      </c>
      <c r="G362" s="41" t="s">
        <v>25</v>
      </c>
      <c r="H362" s="41" t="s">
        <v>25</v>
      </c>
      <c r="I362" s="41" t="s">
        <v>25</v>
      </c>
      <c r="J362" s="41" t="s">
        <v>25</v>
      </c>
      <c r="K362" s="41" t="s">
        <v>25</v>
      </c>
      <c r="L362" s="41" t="s">
        <v>25</v>
      </c>
    </row>
    <row r="363" spans="2:12" ht="21">
      <c r="B363" s="19"/>
      <c r="C363" s="19"/>
      <c r="D363" s="16" t="s">
        <v>14</v>
      </c>
      <c r="E363" s="41" t="s">
        <v>25</v>
      </c>
      <c r="F363" s="41" t="s">
        <v>25</v>
      </c>
      <c r="G363" s="41" t="s">
        <v>25</v>
      </c>
      <c r="H363" s="41" t="s">
        <v>25</v>
      </c>
      <c r="I363" s="41" t="s">
        <v>25</v>
      </c>
      <c r="J363" s="41" t="s">
        <v>25</v>
      </c>
      <c r="K363" s="41" t="s">
        <v>25</v>
      </c>
      <c r="L363" s="41" t="s">
        <v>25</v>
      </c>
    </row>
    <row r="364" spans="2:12">
      <c r="B364" s="19"/>
      <c r="C364" s="19"/>
      <c r="D364" s="16" t="s">
        <v>15</v>
      </c>
      <c r="E364" s="41" t="s">
        <v>25</v>
      </c>
      <c r="F364" s="41" t="s">
        <v>25</v>
      </c>
      <c r="G364" s="41" t="s">
        <v>25</v>
      </c>
      <c r="H364" s="41" t="s">
        <v>25</v>
      </c>
      <c r="I364" s="41" t="s">
        <v>25</v>
      </c>
      <c r="J364" s="41" t="s">
        <v>25</v>
      </c>
      <c r="K364" s="41" t="s">
        <v>25</v>
      </c>
      <c r="L364" s="41" t="s">
        <v>25</v>
      </c>
    </row>
    <row r="365" spans="2:12">
      <c r="B365" s="19"/>
      <c r="C365" s="19"/>
      <c r="D365" s="20" t="s">
        <v>16</v>
      </c>
      <c r="E365" s="21">
        <f>SUM(E361:E364)</f>
        <v>0</v>
      </c>
      <c r="F365" s="22">
        <f t="shared" ref="F365:H365" si="114">SUM(F361:F364)</f>
        <v>0</v>
      </c>
      <c r="G365" s="22">
        <f t="shared" si="114"/>
        <v>0</v>
      </c>
      <c r="H365" s="23">
        <f t="shared" si="114"/>
        <v>0</v>
      </c>
      <c r="I365" s="24">
        <f>SUM(I361:I364)</f>
        <v>0</v>
      </c>
      <c r="J365" s="24">
        <f t="shared" ref="J365:L365" si="115">SUM(J361:J364)</f>
        <v>0</v>
      </c>
      <c r="K365" s="24">
        <f t="shared" si="115"/>
        <v>0</v>
      </c>
      <c r="L365" s="24">
        <f t="shared" si="115"/>
        <v>0</v>
      </c>
    </row>
    <row r="366" spans="2:12">
      <c r="B366" s="19"/>
      <c r="C366" s="19"/>
      <c r="D366" s="25" t="s">
        <v>17</v>
      </c>
      <c r="E366" s="41" t="s">
        <v>25</v>
      </c>
      <c r="F366" s="41" t="s">
        <v>25</v>
      </c>
      <c r="G366" s="41" t="s">
        <v>25</v>
      </c>
      <c r="H366" s="41" t="s">
        <v>25</v>
      </c>
      <c r="I366" s="41" t="s">
        <v>25</v>
      </c>
      <c r="J366" s="41" t="s">
        <v>25</v>
      </c>
      <c r="K366" s="41" t="s">
        <v>25</v>
      </c>
      <c r="L366" s="41" t="s">
        <v>25</v>
      </c>
    </row>
    <row r="367" spans="2:12">
      <c r="B367" s="26"/>
      <c r="C367" s="26"/>
      <c r="D367" s="25" t="s">
        <v>18</v>
      </c>
      <c r="E367" s="41" t="s">
        <v>25</v>
      </c>
      <c r="F367" s="41" t="s">
        <v>25</v>
      </c>
      <c r="G367" s="41" t="s">
        <v>25</v>
      </c>
      <c r="H367" s="41" t="s">
        <v>25</v>
      </c>
      <c r="I367" s="41" t="s">
        <v>25</v>
      </c>
      <c r="J367" s="41" t="s">
        <v>25</v>
      </c>
      <c r="K367" s="41" t="s">
        <v>25</v>
      </c>
      <c r="L367" s="41" t="s">
        <v>25</v>
      </c>
    </row>
    <row r="368" spans="2:12">
      <c r="B368" s="15">
        <v>19</v>
      </c>
      <c r="C368" s="15" t="s">
        <v>45</v>
      </c>
      <c r="D368" s="16" t="s">
        <v>12</v>
      </c>
      <c r="E368" s="41" t="s">
        <v>25</v>
      </c>
      <c r="F368" s="41" t="s">
        <v>25</v>
      </c>
      <c r="G368" s="41" t="s">
        <v>25</v>
      </c>
      <c r="H368" s="41" t="s">
        <v>25</v>
      </c>
      <c r="I368" s="41" t="s">
        <v>25</v>
      </c>
      <c r="J368" s="41" t="s">
        <v>25</v>
      </c>
      <c r="K368" s="41" t="s">
        <v>25</v>
      </c>
      <c r="L368" s="41" t="s">
        <v>25</v>
      </c>
    </row>
    <row r="369" spans="2:12">
      <c r="B369" s="19"/>
      <c r="C369" s="19"/>
      <c r="D369" s="16" t="s">
        <v>13</v>
      </c>
      <c r="E369" s="41" t="s">
        <v>25</v>
      </c>
      <c r="F369" s="41" t="s">
        <v>25</v>
      </c>
      <c r="G369" s="41" t="s">
        <v>25</v>
      </c>
      <c r="H369" s="41" t="s">
        <v>25</v>
      </c>
      <c r="I369" s="41" t="s">
        <v>25</v>
      </c>
      <c r="J369" s="41" t="s">
        <v>25</v>
      </c>
      <c r="K369" s="41" t="s">
        <v>25</v>
      </c>
      <c r="L369" s="41" t="s">
        <v>25</v>
      </c>
    </row>
    <row r="370" spans="2:12" ht="21">
      <c r="B370" s="19"/>
      <c r="C370" s="19"/>
      <c r="D370" s="16" t="s">
        <v>14</v>
      </c>
      <c r="E370" s="41" t="s">
        <v>25</v>
      </c>
      <c r="F370" s="41" t="s">
        <v>25</v>
      </c>
      <c r="G370" s="41" t="s">
        <v>25</v>
      </c>
      <c r="H370" s="41" t="s">
        <v>25</v>
      </c>
      <c r="I370" s="41" t="s">
        <v>25</v>
      </c>
      <c r="J370" s="41" t="s">
        <v>25</v>
      </c>
      <c r="K370" s="41" t="s">
        <v>25</v>
      </c>
      <c r="L370" s="41" t="s">
        <v>25</v>
      </c>
    </row>
    <row r="371" spans="2:12">
      <c r="B371" s="19"/>
      <c r="C371" s="19"/>
      <c r="D371" s="16" t="s">
        <v>15</v>
      </c>
      <c r="E371" s="41" t="s">
        <v>25</v>
      </c>
      <c r="F371" s="41" t="s">
        <v>25</v>
      </c>
      <c r="G371" s="41" t="s">
        <v>25</v>
      </c>
      <c r="H371" s="41" t="s">
        <v>25</v>
      </c>
      <c r="I371" s="41" t="s">
        <v>25</v>
      </c>
      <c r="J371" s="41" t="s">
        <v>25</v>
      </c>
      <c r="K371" s="41" t="s">
        <v>25</v>
      </c>
      <c r="L371" s="41" t="s">
        <v>25</v>
      </c>
    </row>
    <row r="372" spans="2:12">
      <c r="B372" s="19"/>
      <c r="C372" s="19"/>
      <c r="D372" s="20" t="s">
        <v>16</v>
      </c>
      <c r="E372" s="21">
        <f>SUM(E368:E371)</f>
        <v>0</v>
      </c>
      <c r="F372" s="22">
        <f t="shared" ref="F372:H372" si="116">SUM(F368:F371)</f>
        <v>0</v>
      </c>
      <c r="G372" s="22">
        <f t="shared" si="116"/>
        <v>0</v>
      </c>
      <c r="H372" s="23">
        <f t="shared" si="116"/>
        <v>0</v>
      </c>
      <c r="I372" s="24">
        <f>SUM(I368:I371)</f>
        <v>0</v>
      </c>
      <c r="J372" s="24">
        <f t="shared" ref="J372:L372" si="117">SUM(J368:J371)</f>
        <v>0</v>
      </c>
      <c r="K372" s="24">
        <f t="shared" si="117"/>
        <v>0</v>
      </c>
      <c r="L372" s="24">
        <f t="shared" si="117"/>
        <v>0</v>
      </c>
    </row>
    <row r="373" spans="2:12">
      <c r="B373" s="19"/>
      <c r="C373" s="19"/>
      <c r="D373" s="25" t="s">
        <v>17</v>
      </c>
      <c r="E373" s="41" t="s">
        <v>25</v>
      </c>
      <c r="F373" s="41" t="s">
        <v>25</v>
      </c>
      <c r="G373" s="41" t="s">
        <v>25</v>
      </c>
      <c r="H373" s="41" t="s">
        <v>25</v>
      </c>
      <c r="I373" s="41" t="s">
        <v>25</v>
      </c>
      <c r="J373" s="41" t="s">
        <v>25</v>
      </c>
      <c r="K373" s="41" t="s">
        <v>25</v>
      </c>
      <c r="L373" s="41" t="s">
        <v>25</v>
      </c>
    </row>
    <row r="374" spans="2:12">
      <c r="B374" s="26"/>
      <c r="C374" s="26"/>
      <c r="D374" s="25" t="s">
        <v>18</v>
      </c>
      <c r="E374" s="41" t="s">
        <v>25</v>
      </c>
      <c r="F374" s="41" t="s">
        <v>25</v>
      </c>
      <c r="G374" s="41" t="s">
        <v>25</v>
      </c>
      <c r="H374" s="41" t="s">
        <v>25</v>
      </c>
      <c r="I374" s="41" t="s">
        <v>25</v>
      </c>
      <c r="J374" s="41" t="s">
        <v>25</v>
      </c>
      <c r="K374" s="41" t="s">
        <v>25</v>
      </c>
      <c r="L374" s="41" t="s">
        <v>25</v>
      </c>
    </row>
    <row r="375" spans="2:12">
      <c r="B375" s="76">
        <v>20</v>
      </c>
      <c r="C375" s="76" t="s">
        <v>46</v>
      </c>
      <c r="D375" s="29" t="s">
        <v>12</v>
      </c>
      <c r="E375" s="85">
        <v>1</v>
      </c>
      <c r="F375" s="86">
        <v>0</v>
      </c>
      <c r="G375" s="86">
        <v>0</v>
      </c>
      <c r="H375" s="86">
        <v>0</v>
      </c>
      <c r="I375" s="78">
        <v>54351684</v>
      </c>
      <c r="J375" s="86">
        <v>0</v>
      </c>
      <c r="K375" s="86">
        <v>0</v>
      </c>
      <c r="L375" s="86">
        <v>0</v>
      </c>
    </row>
    <row r="376" spans="2:12">
      <c r="B376" s="81"/>
      <c r="C376" s="81"/>
      <c r="D376" s="29" t="s">
        <v>13</v>
      </c>
      <c r="E376" s="85">
        <v>9</v>
      </c>
      <c r="F376" s="79">
        <v>1</v>
      </c>
      <c r="G376" s="79">
        <v>4</v>
      </c>
      <c r="H376" s="86">
        <v>0</v>
      </c>
      <c r="I376" s="78">
        <v>151231282</v>
      </c>
      <c r="J376" s="78">
        <v>13270325</v>
      </c>
      <c r="K376" s="86">
        <v>124614811</v>
      </c>
      <c r="L376" s="86">
        <v>0</v>
      </c>
    </row>
    <row r="377" spans="2:12" ht="21">
      <c r="B377" s="81"/>
      <c r="C377" s="81"/>
      <c r="D377" s="29" t="s">
        <v>14</v>
      </c>
      <c r="E377" s="85">
        <v>201</v>
      </c>
      <c r="F377" s="79">
        <v>9</v>
      </c>
      <c r="G377" s="79">
        <v>4</v>
      </c>
      <c r="H377" s="86">
        <v>0</v>
      </c>
      <c r="I377" s="78">
        <v>721182666</v>
      </c>
      <c r="J377" s="86">
        <v>50612268</v>
      </c>
      <c r="K377" s="86">
        <v>20562493</v>
      </c>
      <c r="L377" s="86">
        <v>0</v>
      </c>
    </row>
    <row r="378" spans="2:12">
      <c r="B378" s="81"/>
      <c r="C378" s="81"/>
      <c r="D378" s="29" t="s">
        <v>15</v>
      </c>
      <c r="E378" s="85">
        <v>483</v>
      </c>
      <c r="F378" s="79">
        <v>10</v>
      </c>
      <c r="G378" s="79">
        <v>7</v>
      </c>
      <c r="H378" s="86">
        <v>0</v>
      </c>
      <c r="I378" s="78">
        <v>750669094</v>
      </c>
      <c r="J378" s="78">
        <v>18363073</v>
      </c>
      <c r="K378" s="86">
        <v>22485199</v>
      </c>
      <c r="L378" s="86">
        <v>0</v>
      </c>
    </row>
    <row r="379" spans="2:12">
      <c r="B379" s="81"/>
      <c r="C379" s="81"/>
      <c r="D379" s="33" t="s">
        <v>16</v>
      </c>
      <c r="E379" s="82">
        <f>SUM(E375:E378)</f>
        <v>694</v>
      </c>
      <c r="F379" s="82">
        <f t="shared" ref="F379:H379" si="118">SUM(F375:F378)</f>
        <v>20</v>
      </c>
      <c r="G379" s="82">
        <f t="shared" si="118"/>
        <v>15</v>
      </c>
      <c r="H379" s="82">
        <f t="shared" si="118"/>
        <v>0</v>
      </c>
      <c r="I379" s="84">
        <f>SUM(I375:I378)</f>
        <v>1677434726</v>
      </c>
      <c r="J379" s="84">
        <f t="shared" ref="J379:L381" si="119">SUM(J375:J378)</f>
        <v>82245666</v>
      </c>
      <c r="K379" s="84">
        <f t="shared" si="119"/>
        <v>167662503</v>
      </c>
      <c r="L379" s="84">
        <f t="shared" si="119"/>
        <v>0</v>
      </c>
    </row>
    <row r="380" spans="2:12">
      <c r="B380" s="81"/>
      <c r="C380" s="81"/>
      <c r="D380" s="35" t="s">
        <v>17</v>
      </c>
      <c r="E380" s="85">
        <v>433</v>
      </c>
      <c r="F380" s="85">
        <v>17</v>
      </c>
      <c r="G380" s="86">
        <v>15</v>
      </c>
      <c r="H380" s="86">
        <v>0</v>
      </c>
      <c r="I380" s="78">
        <v>1356676073</v>
      </c>
      <c r="J380" s="78">
        <v>81408565</v>
      </c>
      <c r="K380" s="78">
        <v>167662503</v>
      </c>
      <c r="L380" s="84">
        <f t="shared" si="119"/>
        <v>0</v>
      </c>
    </row>
    <row r="381" spans="2:12">
      <c r="B381" s="88"/>
      <c r="C381" s="88"/>
      <c r="D381" s="35" t="s">
        <v>18</v>
      </c>
      <c r="E381" s="85">
        <v>261</v>
      </c>
      <c r="F381" s="85">
        <v>3</v>
      </c>
      <c r="G381" s="86">
        <v>0</v>
      </c>
      <c r="H381" s="86">
        <v>0</v>
      </c>
      <c r="I381" s="86">
        <v>320758653</v>
      </c>
      <c r="J381" s="86">
        <v>837101</v>
      </c>
      <c r="K381" s="86">
        <v>0</v>
      </c>
      <c r="L381" s="84">
        <f t="shared" si="119"/>
        <v>0</v>
      </c>
    </row>
    <row r="382" spans="2:12">
      <c r="B382" s="76">
        <v>20</v>
      </c>
      <c r="C382" s="76" t="s">
        <v>46</v>
      </c>
      <c r="D382" s="29" t="s">
        <v>12</v>
      </c>
      <c r="E382" s="85">
        <v>0</v>
      </c>
      <c r="F382" s="86">
        <v>0</v>
      </c>
      <c r="G382" s="86">
        <v>0</v>
      </c>
      <c r="H382" s="86">
        <v>0</v>
      </c>
      <c r="I382" s="78">
        <v>0</v>
      </c>
      <c r="J382" s="86">
        <v>0</v>
      </c>
      <c r="K382" s="86">
        <v>0</v>
      </c>
      <c r="L382" s="86">
        <v>0</v>
      </c>
    </row>
    <row r="383" spans="2:12">
      <c r="B383" s="81"/>
      <c r="C383" s="81"/>
      <c r="D383" s="29" t="s">
        <v>13</v>
      </c>
      <c r="E383" s="85">
        <v>0</v>
      </c>
      <c r="F383" s="79">
        <v>0</v>
      </c>
      <c r="G383" s="86">
        <v>0</v>
      </c>
      <c r="H383" s="86">
        <v>0</v>
      </c>
      <c r="I383" s="78">
        <v>0</v>
      </c>
      <c r="J383" s="78">
        <v>0</v>
      </c>
      <c r="K383" s="86">
        <v>0</v>
      </c>
      <c r="L383" s="86">
        <v>0</v>
      </c>
    </row>
    <row r="384" spans="2:12" ht="21">
      <c r="B384" s="81"/>
      <c r="C384" s="81"/>
      <c r="D384" s="29" t="s">
        <v>14</v>
      </c>
      <c r="E384" s="85">
        <v>0</v>
      </c>
      <c r="F384" s="86">
        <v>0</v>
      </c>
      <c r="G384" s="86">
        <v>0</v>
      </c>
      <c r="H384" s="86">
        <v>0</v>
      </c>
      <c r="I384" s="78">
        <v>0</v>
      </c>
      <c r="J384" s="86">
        <v>0</v>
      </c>
      <c r="K384" s="86">
        <v>0</v>
      </c>
      <c r="L384" s="86">
        <v>0</v>
      </c>
    </row>
    <row r="385" spans="2:12">
      <c r="B385" s="81"/>
      <c r="C385" s="81"/>
      <c r="D385" s="29" t="s">
        <v>15</v>
      </c>
      <c r="E385" s="85">
        <v>0</v>
      </c>
      <c r="F385" s="86">
        <v>0</v>
      </c>
      <c r="G385" s="83">
        <v>0</v>
      </c>
      <c r="H385" s="86">
        <v>0</v>
      </c>
      <c r="I385" s="78">
        <v>0</v>
      </c>
      <c r="J385" s="78">
        <v>0</v>
      </c>
      <c r="K385" s="86">
        <v>0</v>
      </c>
      <c r="L385" s="86">
        <v>0</v>
      </c>
    </row>
    <row r="386" spans="2:12">
      <c r="B386" s="81"/>
      <c r="C386" s="81"/>
      <c r="D386" s="33" t="s">
        <v>16</v>
      </c>
      <c r="E386" s="82">
        <f>SUM(E382:E385)</f>
        <v>0</v>
      </c>
      <c r="F386" s="82">
        <f t="shared" ref="F386:H386" si="120">SUM(F382:F385)</f>
        <v>0</v>
      </c>
      <c r="G386" s="82">
        <f t="shared" si="120"/>
        <v>0</v>
      </c>
      <c r="H386" s="82">
        <f t="shared" si="120"/>
        <v>0</v>
      </c>
      <c r="I386" s="84">
        <f>SUM(I382:I385)</f>
        <v>0</v>
      </c>
      <c r="J386" s="84">
        <f t="shared" ref="J386:L386" si="121">SUM(J382:J385)</f>
        <v>0</v>
      </c>
      <c r="K386" s="84">
        <f t="shared" si="121"/>
        <v>0</v>
      </c>
      <c r="L386" s="84">
        <f t="shared" si="121"/>
        <v>0</v>
      </c>
    </row>
    <row r="387" spans="2:12">
      <c r="B387" s="81"/>
      <c r="C387" s="81"/>
      <c r="D387" s="35" t="s">
        <v>17</v>
      </c>
      <c r="E387" s="85">
        <v>0</v>
      </c>
      <c r="F387" s="85">
        <v>0</v>
      </c>
      <c r="G387" s="86">
        <v>0</v>
      </c>
      <c r="H387" s="86">
        <v>0</v>
      </c>
      <c r="I387" s="78">
        <v>0</v>
      </c>
      <c r="J387" s="78">
        <v>0</v>
      </c>
      <c r="K387" s="78">
        <v>0</v>
      </c>
      <c r="L387" s="78">
        <v>0</v>
      </c>
    </row>
    <row r="388" spans="2:12">
      <c r="B388" s="88"/>
      <c r="C388" s="88"/>
      <c r="D388" s="35" t="s">
        <v>18</v>
      </c>
      <c r="E388" s="86">
        <v>0</v>
      </c>
      <c r="F388" s="86">
        <v>0</v>
      </c>
      <c r="G388" s="86">
        <v>0</v>
      </c>
      <c r="H388" s="86">
        <v>0</v>
      </c>
      <c r="I388" s="86">
        <v>0</v>
      </c>
      <c r="J388" s="86">
        <v>0</v>
      </c>
      <c r="K388" s="86">
        <v>0</v>
      </c>
      <c r="L388" s="86">
        <v>0</v>
      </c>
    </row>
    <row r="389" spans="2:12">
      <c r="B389" s="15">
        <v>21</v>
      </c>
      <c r="C389" s="15" t="s">
        <v>47</v>
      </c>
      <c r="D389" s="16" t="s">
        <v>12</v>
      </c>
      <c r="E389" s="41">
        <v>2</v>
      </c>
      <c r="F389" s="90">
        <v>0</v>
      </c>
      <c r="G389" s="54">
        <v>10</v>
      </c>
      <c r="H389" s="90">
        <v>0</v>
      </c>
      <c r="I389" s="18">
        <v>36149205</v>
      </c>
      <c r="J389" s="90">
        <v>0</v>
      </c>
      <c r="K389" s="18">
        <v>99731549</v>
      </c>
      <c r="L389" s="90">
        <v>0</v>
      </c>
    </row>
    <row r="390" spans="2:12">
      <c r="B390" s="19"/>
      <c r="C390" s="19"/>
      <c r="D390" s="16" t="s">
        <v>13</v>
      </c>
      <c r="E390" s="41">
        <v>8</v>
      </c>
      <c r="F390" s="54">
        <v>4</v>
      </c>
      <c r="G390" s="54">
        <v>1</v>
      </c>
      <c r="H390" s="90">
        <v>0</v>
      </c>
      <c r="I390" s="18">
        <v>139162654</v>
      </c>
      <c r="J390" s="18">
        <v>45976259</v>
      </c>
      <c r="K390" s="18">
        <v>5857868</v>
      </c>
      <c r="L390" s="90">
        <v>0</v>
      </c>
    </row>
    <row r="391" spans="2:12" ht="21">
      <c r="B391" s="19"/>
      <c r="C391" s="19"/>
      <c r="D391" s="16" t="s">
        <v>14</v>
      </c>
      <c r="E391" s="41">
        <v>42</v>
      </c>
      <c r="F391" s="54">
        <v>12</v>
      </c>
      <c r="G391" s="90">
        <v>0</v>
      </c>
      <c r="H391" s="90">
        <v>0</v>
      </c>
      <c r="I391" s="18">
        <v>716879320</v>
      </c>
      <c r="J391" s="18">
        <v>34100792</v>
      </c>
      <c r="K391" s="90">
        <v>0</v>
      </c>
      <c r="L391" s="90">
        <v>0</v>
      </c>
    </row>
    <row r="392" spans="2:12">
      <c r="B392" s="19"/>
      <c r="C392" s="19"/>
      <c r="D392" s="16" t="s">
        <v>15</v>
      </c>
      <c r="E392" s="41">
        <v>350</v>
      </c>
      <c r="F392" s="54">
        <v>19</v>
      </c>
      <c r="G392" s="90">
        <v>0</v>
      </c>
      <c r="H392" s="90">
        <v>0</v>
      </c>
      <c r="I392" s="18">
        <v>208094826</v>
      </c>
      <c r="J392" s="18">
        <v>59423160</v>
      </c>
      <c r="K392" s="90">
        <v>0</v>
      </c>
      <c r="L392" s="90">
        <v>0</v>
      </c>
    </row>
    <row r="393" spans="2:12">
      <c r="B393" s="19"/>
      <c r="C393" s="19"/>
      <c r="D393" s="20" t="s">
        <v>16</v>
      </c>
      <c r="E393" s="21">
        <f>SUM(E389:E392)</f>
        <v>402</v>
      </c>
      <c r="F393" s="22">
        <f t="shared" ref="F393:H393" si="122">SUM(F389:F392)</f>
        <v>35</v>
      </c>
      <c r="G393" s="22">
        <f t="shared" si="122"/>
        <v>11</v>
      </c>
      <c r="H393" s="23">
        <f t="shared" si="122"/>
        <v>0</v>
      </c>
      <c r="I393" s="24">
        <f>SUM(I389:I392)</f>
        <v>1100286005</v>
      </c>
      <c r="J393" s="24">
        <f t="shared" ref="J393:L393" si="123">SUM(J389:J392)</f>
        <v>139500211</v>
      </c>
      <c r="K393" s="24">
        <f t="shared" si="123"/>
        <v>105589417</v>
      </c>
      <c r="L393" s="24">
        <f t="shared" si="123"/>
        <v>0</v>
      </c>
    </row>
    <row r="394" spans="2:12">
      <c r="B394" s="19"/>
      <c r="C394" s="19"/>
      <c r="D394" s="25" t="s">
        <v>17</v>
      </c>
      <c r="E394" s="41">
        <v>393</v>
      </c>
      <c r="F394" s="54">
        <v>30</v>
      </c>
      <c r="G394" s="54">
        <v>11</v>
      </c>
      <c r="H394" s="90">
        <v>0</v>
      </c>
      <c r="I394" s="18">
        <v>1097338839</v>
      </c>
      <c r="J394" s="18">
        <v>134668701</v>
      </c>
      <c r="K394" s="18">
        <v>105589417</v>
      </c>
      <c r="L394" s="90">
        <v>0</v>
      </c>
    </row>
    <row r="395" spans="2:12">
      <c r="B395" s="26"/>
      <c r="C395" s="26"/>
      <c r="D395" s="25" t="s">
        <v>18</v>
      </c>
      <c r="E395" s="41">
        <v>9</v>
      </c>
      <c r="F395" s="54">
        <v>5</v>
      </c>
      <c r="G395" s="90">
        <v>0</v>
      </c>
      <c r="H395" s="90">
        <v>0</v>
      </c>
      <c r="I395" s="17">
        <v>2947166</v>
      </c>
      <c r="J395" s="17">
        <v>4831510</v>
      </c>
      <c r="K395" s="90">
        <v>0</v>
      </c>
      <c r="L395" s="90">
        <v>0</v>
      </c>
    </row>
    <row r="396" spans="2:12">
      <c r="B396" s="15">
        <v>21</v>
      </c>
      <c r="C396" s="15" t="s">
        <v>47</v>
      </c>
      <c r="D396" s="16" t="s">
        <v>12</v>
      </c>
      <c r="E396" s="90">
        <v>0</v>
      </c>
      <c r="F396" s="90">
        <v>0</v>
      </c>
      <c r="G396" s="90">
        <v>0</v>
      </c>
      <c r="H396" s="90">
        <v>0</v>
      </c>
      <c r="I396" s="18">
        <v>0</v>
      </c>
      <c r="J396" s="18">
        <v>0</v>
      </c>
      <c r="K396" s="18">
        <v>0</v>
      </c>
      <c r="L396" s="18">
        <v>0</v>
      </c>
    </row>
    <row r="397" spans="2:12">
      <c r="B397" s="19"/>
      <c r="C397" s="19"/>
      <c r="D397" s="16" t="s">
        <v>13</v>
      </c>
      <c r="E397" s="41">
        <v>0</v>
      </c>
      <c r="F397" s="54">
        <v>0</v>
      </c>
      <c r="G397" s="54">
        <v>0</v>
      </c>
      <c r="H397" s="90">
        <v>0</v>
      </c>
      <c r="I397" s="18">
        <v>0</v>
      </c>
      <c r="J397" s="18">
        <v>0</v>
      </c>
      <c r="K397" s="18">
        <v>0</v>
      </c>
      <c r="L397" s="18">
        <v>0</v>
      </c>
    </row>
    <row r="398" spans="2:12" ht="21">
      <c r="B398" s="19"/>
      <c r="C398" s="19"/>
      <c r="D398" s="16" t="s">
        <v>14</v>
      </c>
      <c r="E398" s="41">
        <v>0</v>
      </c>
      <c r="F398" s="54">
        <v>0</v>
      </c>
      <c r="G398" s="54">
        <v>0</v>
      </c>
      <c r="H398" s="90">
        <v>0</v>
      </c>
      <c r="I398" s="18">
        <v>0</v>
      </c>
      <c r="J398" s="18">
        <v>0</v>
      </c>
      <c r="K398" s="18">
        <v>0</v>
      </c>
      <c r="L398" s="18">
        <v>0</v>
      </c>
    </row>
    <row r="399" spans="2:12">
      <c r="B399" s="19"/>
      <c r="C399" s="19"/>
      <c r="D399" s="16" t="s">
        <v>15</v>
      </c>
      <c r="E399" s="41">
        <v>0</v>
      </c>
      <c r="F399" s="54">
        <v>0</v>
      </c>
      <c r="G399" s="54">
        <v>0</v>
      </c>
      <c r="H399" s="90">
        <v>0</v>
      </c>
      <c r="I399" s="18">
        <v>0</v>
      </c>
      <c r="J399" s="18">
        <v>0</v>
      </c>
      <c r="K399" s="18">
        <v>0</v>
      </c>
      <c r="L399" s="18">
        <v>0</v>
      </c>
    </row>
    <row r="400" spans="2:12">
      <c r="B400" s="19"/>
      <c r="C400" s="19"/>
      <c r="D400" s="20" t="s">
        <v>16</v>
      </c>
      <c r="E400" s="21">
        <f>SUM(E396:E399)</f>
        <v>0</v>
      </c>
      <c r="F400" s="22">
        <f t="shared" ref="F400:H400" si="124">SUM(F396:F399)</f>
        <v>0</v>
      </c>
      <c r="G400" s="22">
        <f t="shared" si="124"/>
        <v>0</v>
      </c>
      <c r="H400" s="23">
        <f t="shared" si="124"/>
        <v>0</v>
      </c>
      <c r="I400" s="24">
        <f>SUM(I396:I399)</f>
        <v>0</v>
      </c>
      <c r="J400" s="24">
        <f t="shared" ref="J400:L400" si="125">SUM(J396:J399)</f>
        <v>0</v>
      </c>
      <c r="K400" s="24">
        <f t="shared" si="125"/>
        <v>0</v>
      </c>
      <c r="L400" s="24">
        <f t="shared" si="125"/>
        <v>0</v>
      </c>
    </row>
    <row r="401" spans="2:12">
      <c r="B401" s="19"/>
      <c r="C401" s="19"/>
      <c r="D401" s="25" t="s">
        <v>17</v>
      </c>
      <c r="E401" s="41">
        <v>0</v>
      </c>
      <c r="F401" s="54">
        <v>0</v>
      </c>
      <c r="G401" s="54">
        <v>0</v>
      </c>
      <c r="H401" s="90">
        <v>0</v>
      </c>
      <c r="I401" s="18">
        <v>0</v>
      </c>
      <c r="J401" s="18">
        <v>0</v>
      </c>
      <c r="K401" s="18">
        <v>0</v>
      </c>
      <c r="L401" s="18">
        <v>0</v>
      </c>
    </row>
    <row r="402" spans="2:12">
      <c r="B402" s="26"/>
      <c r="C402" s="26"/>
      <c r="D402" s="25" t="s">
        <v>18</v>
      </c>
      <c r="E402" s="41">
        <v>0</v>
      </c>
      <c r="F402" s="54">
        <v>0</v>
      </c>
      <c r="G402" s="90">
        <v>0</v>
      </c>
      <c r="H402" s="90">
        <v>0</v>
      </c>
      <c r="I402" s="90">
        <v>0</v>
      </c>
      <c r="J402" s="90">
        <v>0</v>
      </c>
      <c r="K402" s="18">
        <v>0</v>
      </c>
      <c r="L402" s="18">
        <v>0</v>
      </c>
    </row>
    <row r="403" spans="2:12">
      <c r="B403" s="76">
        <v>22</v>
      </c>
      <c r="C403" s="76" t="s">
        <v>48</v>
      </c>
      <c r="D403" s="29" t="s">
        <v>12</v>
      </c>
      <c r="E403" s="85">
        <v>3</v>
      </c>
      <c r="F403" s="86">
        <v>0</v>
      </c>
      <c r="G403" s="86">
        <v>0</v>
      </c>
      <c r="H403" s="86">
        <v>0</v>
      </c>
      <c r="I403" s="86">
        <v>29066000</v>
      </c>
      <c r="J403" s="86">
        <v>0</v>
      </c>
      <c r="K403" s="86">
        <v>0</v>
      </c>
      <c r="L403" s="86">
        <v>0</v>
      </c>
    </row>
    <row r="404" spans="2:12">
      <c r="B404" s="81"/>
      <c r="C404" s="81"/>
      <c r="D404" s="29" t="s">
        <v>13</v>
      </c>
      <c r="E404" s="85">
        <v>8</v>
      </c>
      <c r="F404" s="86">
        <v>0</v>
      </c>
      <c r="G404" s="86">
        <v>0</v>
      </c>
      <c r="H404" s="86">
        <v>0</v>
      </c>
      <c r="I404" s="86">
        <v>25314000</v>
      </c>
      <c r="J404" s="86">
        <v>0</v>
      </c>
      <c r="K404" s="86">
        <v>0</v>
      </c>
      <c r="L404" s="86">
        <v>0</v>
      </c>
    </row>
    <row r="405" spans="2:12" ht="21">
      <c r="B405" s="81"/>
      <c r="C405" s="81"/>
      <c r="D405" s="29" t="s">
        <v>14</v>
      </c>
      <c r="E405" s="85">
        <v>22</v>
      </c>
      <c r="F405" s="86">
        <v>0</v>
      </c>
      <c r="G405" s="86">
        <v>0</v>
      </c>
      <c r="H405" s="86">
        <v>0</v>
      </c>
      <c r="I405" s="86">
        <v>55077000</v>
      </c>
      <c r="J405" s="86">
        <v>0</v>
      </c>
      <c r="K405" s="86">
        <v>0</v>
      </c>
      <c r="L405" s="86">
        <v>0</v>
      </c>
    </row>
    <row r="406" spans="2:12">
      <c r="B406" s="81"/>
      <c r="C406" s="81"/>
      <c r="D406" s="29" t="s">
        <v>15</v>
      </c>
      <c r="E406" s="85">
        <v>53</v>
      </c>
      <c r="F406" s="85">
        <v>1</v>
      </c>
      <c r="G406" s="86">
        <v>0</v>
      </c>
      <c r="H406" s="86">
        <v>0</v>
      </c>
      <c r="I406" s="86">
        <v>144095000</v>
      </c>
      <c r="J406" s="86">
        <v>1590000</v>
      </c>
      <c r="K406" s="86">
        <v>0</v>
      </c>
      <c r="L406" s="86">
        <v>0</v>
      </c>
    </row>
    <row r="407" spans="2:12">
      <c r="B407" s="81"/>
      <c r="C407" s="81"/>
      <c r="D407" s="33" t="s">
        <v>16</v>
      </c>
      <c r="E407" s="105">
        <f>SUM(E403:E406)</f>
        <v>86</v>
      </c>
      <c r="F407" s="106">
        <f t="shared" ref="F407:H407" si="126">SUM(F403:F406)</f>
        <v>1</v>
      </c>
      <c r="G407" s="106">
        <f t="shared" si="126"/>
        <v>0</v>
      </c>
      <c r="H407" s="80">
        <f t="shared" si="126"/>
        <v>0</v>
      </c>
      <c r="I407" s="80">
        <f>SUM(I403:I406)</f>
        <v>253552000</v>
      </c>
      <c r="J407" s="80">
        <f t="shared" ref="J407:L407" si="127">SUM(J403:J406)</f>
        <v>1590000</v>
      </c>
      <c r="K407" s="80">
        <f t="shared" si="127"/>
        <v>0</v>
      </c>
      <c r="L407" s="80">
        <f t="shared" si="127"/>
        <v>0</v>
      </c>
    </row>
    <row r="408" spans="2:12">
      <c r="B408" s="81"/>
      <c r="C408" s="81"/>
      <c r="D408" s="35" t="s">
        <v>17</v>
      </c>
      <c r="E408" s="85">
        <v>79</v>
      </c>
      <c r="F408" s="86">
        <v>0</v>
      </c>
      <c r="G408" s="86">
        <v>0</v>
      </c>
      <c r="H408" s="86">
        <v>0</v>
      </c>
      <c r="I408" s="86">
        <v>242417000</v>
      </c>
      <c r="J408" s="86">
        <v>0</v>
      </c>
      <c r="K408" s="86">
        <v>0</v>
      </c>
      <c r="L408" s="86">
        <v>0</v>
      </c>
    </row>
    <row r="409" spans="2:12">
      <c r="B409" s="88"/>
      <c r="C409" s="88"/>
      <c r="D409" s="35" t="s">
        <v>18</v>
      </c>
      <c r="E409" s="85">
        <v>7</v>
      </c>
      <c r="F409" s="85">
        <v>1</v>
      </c>
      <c r="G409" s="86">
        <v>0</v>
      </c>
      <c r="H409" s="86">
        <v>0</v>
      </c>
      <c r="I409" s="86">
        <v>11135000</v>
      </c>
      <c r="J409" s="86">
        <v>1590000</v>
      </c>
      <c r="K409" s="86">
        <v>0</v>
      </c>
      <c r="L409" s="86">
        <v>0</v>
      </c>
    </row>
    <row r="410" spans="2:12">
      <c r="B410" s="76">
        <v>22</v>
      </c>
      <c r="C410" s="76" t="s">
        <v>48</v>
      </c>
      <c r="D410" s="29" t="s">
        <v>12</v>
      </c>
      <c r="E410" s="86">
        <v>0</v>
      </c>
      <c r="F410" s="86">
        <v>0</v>
      </c>
      <c r="G410" s="86">
        <v>0</v>
      </c>
      <c r="H410" s="86">
        <v>0</v>
      </c>
      <c r="I410" s="86">
        <v>0</v>
      </c>
      <c r="J410" s="86">
        <v>0</v>
      </c>
      <c r="K410" s="86">
        <v>0</v>
      </c>
      <c r="L410" s="86">
        <v>0</v>
      </c>
    </row>
    <row r="411" spans="2:12">
      <c r="B411" s="81"/>
      <c r="C411" s="81"/>
      <c r="D411" s="29" t="s">
        <v>13</v>
      </c>
      <c r="E411" s="86">
        <v>0</v>
      </c>
      <c r="F411" s="86">
        <v>0</v>
      </c>
      <c r="G411" s="86">
        <v>0</v>
      </c>
      <c r="H411" s="86">
        <v>0</v>
      </c>
      <c r="I411" s="86">
        <v>0</v>
      </c>
      <c r="J411" s="86">
        <v>0</v>
      </c>
      <c r="K411" s="86">
        <v>0</v>
      </c>
      <c r="L411" s="86">
        <v>0</v>
      </c>
    </row>
    <row r="412" spans="2:12" ht="21">
      <c r="B412" s="81"/>
      <c r="C412" s="81"/>
      <c r="D412" s="29" t="s">
        <v>14</v>
      </c>
      <c r="E412" s="86">
        <v>0</v>
      </c>
      <c r="F412" s="86">
        <v>0</v>
      </c>
      <c r="G412" s="86">
        <v>0</v>
      </c>
      <c r="H412" s="86">
        <v>0</v>
      </c>
      <c r="I412" s="86">
        <v>0</v>
      </c>
      <c r="J412" s="86">
        <v>0</v>
      </c>
      <c r="K412" s="86">
        <v>0</v>
      </c>
      <c r="L412" s="86">
        <v>0</v>
      </c>
    </row>
    <row r="413" spans="2:12">
      <c r="B413" s="81"/>
      <c r="C413" s="81"/>
      <c r="D413" s="29" t="s">
        <v>15</v>
      </c>
      <c r="E413" s="86">
        <v>0</v>
      </c>
      <c r="F413" s="86">
        <v>0</v>
      </c>
      <c r="G413" s="86">
        <v>0</v>
      </c>
      <c r="H413" s="86">
        <v>0</v>
      </c>
      <c r="I413" s="86">
        <v>0</v>
      </c>
      <c r="J413" s="86">
        <v>0</v>
      </c>
      <c r="K413" s="86">
        <v>0</v>
      </c>
      <c r="L413" s="86">
        <v>0</v>
      </c>
    </row>
    <row r="414" spans="2:12">
      <c r="B414" s="81"/>
      <c r="C414" s="81"/>
      <c r="D414" s="33" t="s">
        <v>16</v>
      </c>
      <c r="E414" s="105">
        <f>SUM(E410:E413)</f>
        <v>0</v>
      </c>
      <c r="F414" s="106">
        <f t="shared" ref="F414:H414" si="128">SUM(F410:F413)</f>
        <v>0</v>
      </c>
      <c r="G414" s="106">
        <f t="shared" si="128"/>
        <v>0</v>
      </c>
      <c r="H414" s="80">
        <f t="shared" si="128"/>
        <v>0</v>
      </c>
      <c r="I414" s="80">
        <f>SUM(I410:I413)</f>
        <v>0</v>
      </c>
      <c r="J414" s="80">
        <f t="shared" ref="J414:L414" si="129">SUM(J410:J413)</f>
        <v>0</v>
      </c>
      <c r="K414" s="80">
        <f t="shared" si="129"/>
        <v>0</v>
      </c>
      <c r="L414" s="80">
        <f t="shared" si="129"/>
        <v>0</v>
      </c>
    </row>
    <row r="415" spans="2:12">
      <c r="B415" s="81"/>
      <c r="C415" s="81"/>
      <c r="D415" s="35" t="s">
        <v>17</v>
      </c>
      <c r="E415" s="86">
        <v>0</v>
      </c>
      <c r="F415" s="86">
        <v>0</v>
      </c>
      <c r="G415" s="86">
        <v>0</v>
      </c>
      <c r="H415" s="86">
        <v>0</v>
      </c>
      <c r="I415" s="86">
        <v>0</v>
      </c>
      <c r="J415" s="86">
        <v>0</v>
      </c>
      <c r="K415" s="86">
        <v>0</v>
      </c>
      <c r="L415" s="86">
        <v>0</v>
      </c>
    </row>
    <row r="416" spans="2:12">
      <c r="B416" s="88"/>
      <c r="C416" s="88"/>
      <c r="D416" s="35" t="s">
        <v>18</v>
      </c>
      <c r="E416" s="86">
        <v>0</v>
      </c>
      <c r="F416" s="86">
        <v>0</v>
      </c>
      <c r="G416" s="86">
        <v>0</v>
      </c>
      <c r="H416" s="86">
        <v>0</v>
      </c>
      <c r="I416" s="86">
        <v>0</v>
      </c>
      <c r="J416" s="86">
        <v>0</v>
      </c>
      <c r="K416" s="86">
        <v>0</v>
      </c>
      <c r="L416" s="86">
        <v>0</v>
      </c>
    </row>
  </sheetData>
  <mergeCells count="124">
    <mergeCell ref="B403:B409"/>
    <mergeCell ref="C403:C409"/>
    <mergeCell ref="B410:B416"/>
    <mergeCell ref="C410:C416"/>
    <mergeCell ref="B382:B388"/>
    <mergeCell ref="C382:C388"/>
    <mergeCell ref="B389:B395"/>
    <mergeCell ref="C389:C395"/>
    <mergeCell ref="B396:B402"/>
    <mergeCell ref="C396:C402"/>
    <mergeCell ref="B361:B367"/>
    <mergeCell ref="C361:C367"/>
    <mergeCell ref="B368:B374"/>
    <mergeCell ref="C368:C374"/>
    <mergeCell ref="B375:B381"/>
    <mergeCell ref="C375:C381"/>
    <mergeCell ref="B340:B346"/>
    <mergeCell ref="C340:C346"/>
    <mergeCell ref="B347:B353"/>
    <mergeCell ref="C347:C353"/>
    <mergeCell ref="B354:B360"/>
    <mergeCell ref="C354:C360"/>
    <mergeCell ref="B319:B325"/>
    <mergeCell ref="C319:C325"/>
    <mergeCell ref="B326:B332"/>
    <mergeCell ref="C326:C332"/>
    <mergeCell ref="B333:B339"/>
    <mergeCell ref="C333:C339"/>
    <mergeCell ref="B298:B304"/>
    <mergeCell ref="C298:C304"/>
    <mergeCell ref="B305:B311"/>
    <mergeCell ref="C305:C311"/>
    <mergeCell ref="B312:B318"/>
    <mergeCell ref="C312:C318"/>
    <mergeCell ref="B277:B283"/>
    <mergeCell ref="C277:C283"/>
    <mergeCell ref="B284:B290"/>
    <mergeCell ref="C284:C290"/>
    <mergeCell ref="B291:B297"/>
    <mergeCell ref="C291:C297"/>
    <mergeCell ref="B256:B262"/>
    <mergeCell ref="C256:C262"/>
    <mergeCell ref="B263:B269"/>
    <mergeCell ref="C263:C269"/>
    <mergeCell ref="B270:B276"/>
    <mergeCell ref="C270:C276"/>
    <mergeCell ref="B235:B241"/>
    <mergeCell ref="C235:C241"/>
    <mergeCell ref="B242:B248"/>
    <mergeCell ref="C242:C248"/>
    <mergeCell ref="B249:B255"/>
    <mergeCell ref="C249:C255"/>
    <mergeCell ref="B214:B220"/>
    <mergeCell ref="C214:C220"/>
    <mergeCell ref="B221:B227"/>
    <mergeCell ref="C221:C227"/>
    <mergeCell ref="B228:B234"/>
    <mergeCell ref="C228:C234"/>
    <mergeCell ref="B193:B199"/>
    <mergeCell ref="C193:C199"/>
    <mergeCell ref="B200:B206"/>
    <mergeCell ref="C200:C206"/>
    <mergeCell ref="B207:B213"/>
    <mergeCell ref="C207:C213"/>
    <mergeCell ref="B172:B178"/>
    <mergeCell ref="C172:C178"/>
    <mergeCell ref="B179:B185"/>
    <mergeCell ref="C179:C185"/>
    <mergeCell ref="B186:B192"/>
    <mergeCell ref="C186:C192"/>
    <mergeCell ref="B151:B157"/>
    <mergeCell ref="C151:C157"/>
    <mergeCell ref="B158:B164"/>
    <mergeCell ref="C158:C164"/>
    <mergeCell ref="B165:B171"/>
    <mergeCell ref="C165:C171"/>
    <mergeCell ref="B130:B136"/>
    <mergeCell ref="C130:C136"/>
    <mergeCell ref="B137:B143"/>
    <mergeCell ref="C137:C143"/>
    <mergeCell ref="B144:B150"/>
    <mergeCell ref="C144:C150"/>
    <mergeCell ref="B109:B115"/>
    <mergeCell ref="C109:C115"/>
    <mergeCell ref="B116:B122"/>
    <mergeCell ref="C116:C122"/>
    <mergeCell ref="B123:B129"/>
    <mergeCell ref="C123:C129"/>
    <mergeCell ref="B98:B104"/>
    <mergeCell ref="C98:C104"/>
    <mergeCell ref="E107:F107"/>
    <mergeCell ref="G107:H107"/>
    <mergeCell ref="I107:J107"/>
    <mergeCell ref="K107:L107"/>
    <mergeCell ref="B77:B83"/>
    <mergeCell ref="C77:C83"/>
    <mergeCell ref="B84:B90"/>
    <mergeCell ref="C84:C90"/>
    <mergeCell ref="B91:B97"/>
    <mergeCell ref="C91:C97"/>
    <mergeCell ref="B56:B62"/>
    <mergeCell ref="C56:C62"/>
    <mergeCell ref="B63:B69"/>
    <mergeCell ref="C63:C69"/>
    <mergeCell ref="B70:B76"/>
    <mergeCell ref="C70:C76"/>
    <mergeCell ref="B35:B41"/>
    <mergeCell ref="C35:C41"/>
    <mergeCell ref="B42:B48"/>
    <mergeCell ref="C42:C48"/>
    <mergeCell ref="B49:B55"/>
    <mergeCell ref="C49:C55"/>
    <mergeCell ref="B14:B20"/>
    <mergeCell ref="C14:C20"/>
    <mergeCell ref="B21:B27"/>
    <mergeCell ref="C21:C27"/>
    <mergeCell ref="B28:B34"/>
    <mergeCell ref="C28:C34"/>
    <mergeCell ref="E5:F5"/>
    <mergeCell ref="G5:H5"/>
    <mergeCell ref="I5:J5"/>
    <mergeCell ref="K5:L5"/>
    <mergeCell ref="B7:B13"/>
    <mergeCell ref="C7:C13"/>
  </mergeCells>
  <conditionalFormatting sqref="B7:C7">
    <cfRule type="containsText" dxfId="56" priority="55" operator="containsText" text="Not">
      <formula>NOT(ISERROR(SEARCH("Not",B7)))</formula>
    </cfRule>
  </conditionalFormatting>
  <conditionalFormatting sqref="B14:C14">
    <cfRule type="containsText" dxfId="55" priority="54" operator="containsText" text="Not">
      <formula>NOT(ISERROR(SEARCH("Not",B14)))</formula>
    </cfRule>
  </conditionalFormatting>
  <conditionalFormatting sqref="B35:C35">
    <cfRule type="containsText" dxfId="54" priority="52" operator="containsText" text="Not">
      <formula>NOT(ISERROR(SEARCH("Not",B35)))</formula>
    </cfRule>
  </conditionalFormatting>
  <conditionalFormatting sqref="B42:C42">
    <cfRule type="containsText" dxfId="53" priority="51" operator="containsText" text="Not">
      <formula>NOT(ISERROR(SEARCH("Not",B42)))</formula>
    </cfRule>
  </conditionalFormatting>
  <conditionalFormatting sqref="B109:C109">
    <cfRule type="containsText" dxfId="52" priority="46" operator="containsText" text="Not">
      <formula>NOT(ISERROR(SEARCH("Not",B109)))</formula>
    </cfRule>
  </conditionalFormatting>
  <conditionalFormatting sqref="B116:C116">
    <cfRule type="containsText" dxfId="51" priority="31" operator="containsText" text="Not">
      <formula>NOT(ISERROR(SEARCH("Not",B116)))</formula>
    </cfRule>
  </conditionalFormatting>
  <conditionalFormatting sqref="B123:C123">
    <cfRule type="containsText" dxfId="50" priority="45" operator="containsText" text="Not">
      <formula>NOT(ISERROR(SEARCH("Not",B123)))</formula>
    </cfRule>
  </conditionalFormatting>
  <conditionalFormatting sqref="B130:C130">
    <cfRule type="containsText" dxfId="49" priority="30" operator="containsText" text="Not">
      <formula>NOT(ISERROR(SEARCH("Not",B130)))</formula>
    </cfRule>
  </conditionalFormatting>
  <conditionalFormatting sqref="B137:C137">
    <cfRule type="containsText" dxfId="48" priority="44" operator="containsText" text="Not">
      <formula>NOT(ISERROR(SEARCH("Not",B137)))</formula>
    </cfRule>
  </conditionalFormatting>
  <conditionalFormatting sqref="B144:C144">
    <cfRule type="containsText" dxfId="47" priority="29" operator="containsText" text="Not">
      <formula>NOT(ISERROR(SEARCH("Not",B144)))</formula>
    </cfRule>
  </conditionalFormatting>
  <conditionalFormatting sqref="B151:C151">
    <cfRule type="containsText" dxfId="46" priority="43" operator="containsText" text="Not">
      <formula>NOT(ISERROR(SEARCH("Not",B151)))</formula>
    </cfRule>
  </conditionalFormatting>
  <conditionalFormatting sqref="B158:C158">
    <cfRule type="containsText" dxfId="45" priority="28" operator="containsText" text="Not">
      <formula>NOT(ISERROR(SEARCH("Not",B158)))</formula>
    </cfRule>
  </conditionalFormatting>
  <conditionalFormatting sqref="B165:C165">
    <cfRule type="containsText" dxfId="44" priority="42" operator="containsText" text="Not">
      <formula>NOT(ISERROR(SEARCH("Not",B165)))</formula>
    </cfRule>
  </conditionalFormatting>
  <conditionalFormatting sqref="B172:C172">
    <cfRule type="containsText" dxfId="43" priority="27" operator="containsText" text="Not">
      <formula>NOT(ISERROR(SEARCH("Not",B172)))</formula>
    </cfRule>
  </conditionalFormatting>
  <conditionalFormatting sqref="B179:C179">
    <cfRule type="containsText" dxfId="42" priority="36" operator="containsText" text="Not">
      <formula>NOT(ISERROR(SEARCH("Not",B179)))</formula>
    </cfRule>
  </conditionalFormatting>
  <conditionalFormatting sqref="B186:C186">
    <cfRule type="containsText" dxfId="41" priority="26" operator="containsText" text="Not">
      <formula>NOT(ISERROR(SEARCH("Not",B186)))</formula>
    </cfRule>
  </conditionalFormatting>
  <conditionalFormatting sqref="B193:C193">
    <cfRule type="containsText" dxfId="40" priority="35" operator="containsText" text="Not">
      <formula>NOT(ISERROR(SEARCH("Not",B193)))</formula>
    </cfRule>
  </conditionalFormatting>
  <conditionalFormatting sqref="B200:C200">
    <cfRule type="containsText" dxfId="39" priority="25" operator="containsText" text="Not">
      <formula>NOT(ISERROR(SEARCH("Not",B200)))</formula>
    </cfRule>
  </conditionalFormatting>
  <conditionalFormatting sqref="B207:C207">
    <cfRule type="containsText" dxfId="38" priority="41" operator="containsText" text="Not">
      <formula>NOT(ISERROR(SEARCH("Not",B207)))</formula>
    </cfRule>
  </conditionalFormatting>
  <conditionalFormatting sqref="B214:C214">
    <cfRule type="containsText" dxfId="37" priority="24" operator="containsText" text="Not">
      <formula>NOT(ISERROR(SEARCH("Not",B214)))</formula>
    </cfRule>
  </conditionalFormatting>
  <conditionalFormatting sqref="B221:C221">
    <cfRule type="containsText" dxfId="36" priority="40" operator="containsText" text="Not">
      <formula>NOT(ISERROR(SEARCH("Not",B221)))</formula>
    </cfRule>
  </conditionalFormatting>
  <conditionalFormatting sqref="B228:C228">
    <cfRule type="containsText" dxfId="35" priority="23" operator="containsText" text="Not">
      <formula>NOT(ISERROR(SEARCH("Not",B228)))</formula>
    </cfRule>
  </conditionalFormatting>
  <conditionalFormatting sqref="B235:C235">
    <cfRule type="containsText" dxfId="34" priority="39" operator="containsText" text="Not">
      <formula>NOT(ISERROR(SEARCH("Not",B235)))</formula>
    </cfRule>
  </conditionalFormatting>
  <conditionalFormatting sqref="B242:C242">
    <cfRule type="containsText" dxfId="33" priority="22" operator="containsText" text="Not">
      <formula>NOT(ISERROR(SEARCH("Not",B242)))</formula>
    </cfRule>
  </conditionalFormatting>
  <conditionalFormatting sqref="B249:C249">
    <cfRule type="containsText" dxfId="32" priority="18" operator="containsText" text="Not">
      <formula>NOT(ISERROR(SEARCH("Not",B249)))</formula>
    </cfRule>
  </conditionalFormatting>
  <conditionalFormatting sqref="B256:C256">
    <cfRule type="containsText" dxfId="31" priority="17" operator="containsText" text="Not">
      <formula>NOT(ISERROR(SEARCH("Not",B256)))</formula>
    </cfRule>
  </conditionalFormatting>
  <conditionalFormatting sqref="B263:C263">
    <cfRule type="containsText" dxfId="30" priority="16" operator="containsText" text="Not">
      <formula>NOT(ISERROR(SEARCH("Not",B263)))</formula>
    </cfRule>
  </conditionalFormatting>
  <conditionalFormatting sqref="B270:C270">
    <cfRule type="containsText" dxfId="29" priority="15" operator="containsText" text="Not">
      <formula>NOT(ISERROR(SEARCH("Not",B270)))</formula>
    </cfRule>
  </conditionalFormatting>
  <conditionalFormatting sqref="B277:C277">
    <cfRule type="containsText" dxfId="28" priority="12" operator="containsText" text="Not">
      <formula>NOT(ISERROR(SEARCH("Not",B277)))</formula>
    </cfRule>
  </conditionalFormatting>
  <conditionalFormatting sqref="B284:C284">
    <cfRule type="containsText" dxfId="27" priority="11" operator="containsText" text="Not">
      <formula>NOT(ISERROR(SEARCH("Not",B284)))</formula>
    </cfRule>
  </conditionalFormatting>
  <conditionalFormatting sqref="B291:C291">
    <cfRule type="containsText" dxfId="26" priority="10" operator="containsText" text="Not">
      <formula>NOT(ISERROR(SEARCH("Not",B291)))</formula>
    </cfRule>
  </conditionalFormatting>
  <conditionalFormatting sqref="B298:C298">
    <cfRule type="containsText" dxfId="25" priority="9" operator="containsText" text="Not">
      <formula>NOT(ISERROR(SEARCH("Not",B298)))</formula>
    </cfRule>
  </conditionalFormatting>
  <conditionalFormatting sqref="B305:C305">
    <cfRule type="containsText" dxfId="24" priority="14" operator="containsText" text="Not">
      <formula>NOT(ISERROR(SEARCH("Not",B305)))</formula>
    </cfRule>
  </conditionalFormatting>
  <conditionalFormatting sqref="B312:C312">
    <cfRule type="containsText" dxfId="23" priority="13" operator="containsText" text="Not">
      <formula>NOT(ISERROR(SEARCH("Not",B312)))</formula>
    </cfRule>
  </conditionalFormatting>
  <conditionalFormatting sqref="B319:C319">
    <cfRule type="containsText" dxfId="22" priority="38" operator="containsText" text="Not">
      <formula>NOT(ISERROR(SEARCH("Not",B319)))</formula>
    </cfRule>
  </conditionalFormatting>
  <conditionalFormatting sqref="B326:C326">
    <cfRule type="containsText" dxfId="21" priority="21" operator="containsText" text="Not">
      <formula>NOT(ISERROR(SEARCH("Not",B326)))</formula>
    </cfRule>
  </conditionalFormatting>
  <conditionalFormatting sqref="B333:C333">
    <cfRule type="containsText" dxfId="20" priority="8" operator="containsText" text="Not">
      <formula>NOT(ISERROR(SEARCH("Not",B333)))</formula>
    </cfRule>
  </conditionalFormatting>
  <conditionalFormatting sqref="B340:C340">
    <cfRule type="containsText" dxfId="19" priority="7" operator="containsText" text="Not">
      <formula>NOT(ISERROR(SEARCH("Not",B340)))</formula>
    </cfRule>
  </conditionalFormatting>
  <conditionalFormatting sqref="B347:C347">
    <cfRule type="containsText" dxfId="18" priority="34" operator="containsText" text="Not">
      <formula>NOT(ISERROR(SEARCH("Not",B347)))</formula>
    </cfRule>
  </conditionalFormatting>
  <conditionalFormatting sqref="B354:C354">
    <cfRule type="containsText" dxfId="17" priority="20" operator="containsText" text="Not">
      <formula>NOT(ISERROR(SEARCH("Not",B354)))</formula>
    </cfRule>
  </conditionalFormatting>
  <conditionalFormatting sqref="B361:C361">
    <cfRule type="containsText" dxfId="16" priority="33" operator="containsText" text="Not">
      <formula>NOT(ISERROR(SEARCH("Not",B361)))</formula>
    </cfRule>
  </conditionalFormatting>
  <conditionalFormatting sqref="B368:C368">
    <cfRule type="containsText" dxfId="15" priority="19" operator="containsText" text="Not">
      <formula>NOT(ISERROR(SEARCH("Not",B368)))</formula>
    </cfRule>
  </conditionalFormatting>
  <conditionalFormatting sqref="B375:C375">
    <cfRule type="containsText" dxfId="14" priority="37" operator="containsText" text="Not">
      <formula>NOT(ISERROR(SEARCH("Not",B375)))</formula>
    </cfRule>
  </conditionalFormatting>
  <conditionalFormatting sqref="B382:C382">
    <cfRule type="containsText" dxfId="13" priority="6" operator="containsText" text="Not">
      <formula>NOT(ISERROR(SEARCH("Not",B382)))</formula>
    </cfRule>
  </conditionalFormatting>
  <conditionalFormatting sqref="B389:C389">
    <cfRule type="containsText" dxfId="12" priority="32" operator="containsText" text="Not">
      <formula>NOT(ISERROR(SEARCH("Not",B389)))</formula>
    </cfRule>
  </conditionalFormatting>
  <conditionalFormatting sqref="B396:C396">
    <cfRule type="containsText" dxfId="11" priority="3" operator="containsText" text="Not">
      <formula>NOT(ISERROR(SEARCH("Not",B396)))</formula>
    </cfRule>
  </conditionalFormatting>
  <conditionalFormatting sqref="B403:C403">
    <cfRule type="containsText" dxfId="10" priority="5" operator="containsText" text="Not">
      <formula>NOT(ISERROR(SEARCH("Not",B403)))</formula>
    </cfRule>
  </conditionalFormatting>
  <conditionalFormatting sqref="B410:C410">
    <cfRule type="containsText" dxfId="9" priority="4" operator="containsText" text="Not">
      <formula>NOT(ISERROR(SEARCH("Not",B410)))</formula>
    </cfRule>
  </conditionalFormatting>
  <conditionalFormatting sqref="C21 C49 C63 C77 C91">
    <cfRule type="containsText" dxfId="8" priority="56" operator="containsText" text="Not">
      <formula>NOT(ISERROR(SEARCH("Not",C21)))</formula>
    </cfRule>
  </conditionalFormatting>
  <conditionalFormatting sqref="C28">
    <cfRule type="containsText" dxfId="7" priority="53" operator="containsText" text="Not">
      <formula>NOT(ISERROR(SEARCH("Not",C28)))</formula>
    </cfRule>
  </conditionalFormatting>
  <conditionalFormatting sqref="C56">
    <cfRule type="containsText" dxfId="6" priority="50" operator="containsText" text="Not">
      <formula>NOT(ISERROR(SEARCH("Not",C56)))</formula>
    </cfRule>
  </conditionalFormatting>
  <conditionalFormatting sqref="C70">
    <cfRule type="containsText" dxfId="5" priority="49" operator="containsText" text="Not">
      <formula>NOT(ISERROR(SEARCH("Not",C70)))</formula>
    </cfRule>
  </conditionalFormatting>
  <conditionalFormatting sqref="C84">
    <cfRule type="containsText" dxfId="4" priority="48" operator="containsText" text="Not">
      <formula>NOT(ISERROR(SEARCH("Not",C84)))</formula>
    </cfRule>
  </conditionalFormatting>
  <conditionalFormatting sqref="C98">
    <cfRule type="containsText" dxfId="3" priority="47" operator="containsText" text="Not">
      <formula>NOT(ISERROR(SEARCH("Not",C98)))</formula>
    </cfRule>
  </conditionalFormatting>
  <conditionalFormatting sqref="C105">
    <cfRule type="containsText" dxfId="2" priority="57" operator="containsText" text="Not">
      <formula>NOT(ISERROR(SEARCH("Not",C105)))</formula>
    </cfRule>
  </conditionalFormatting>
  <conditionalFormatting sqref="D7:D105">
    <cfRule type="containsText" dxfId="1" priority="2" operator="containsText" text="Not">
      <formula>NOT(ISERROR(SEARCH("Not",D7)))</formula>
    </cfRule>
  </conditionalFormatting>
  <conditionalFormatting sqref="D109:D416">
    <cfRule type="containsText" dxfId="0" priority="1" operator="containsText" text="Not">
      <formula>NOT(ISERROR(SEARCH("Not",D109)))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Annexe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2026-07-15T09:56:21Z</dcterms:created>
  <dcterms:modified xsi:type="dcterms:W3CDTF">2026-07-15T09:56:34Z</dcterms:modified>
</cp:coreProperties>
</file>