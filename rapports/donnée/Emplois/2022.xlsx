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Emplois\"/>
    </mc:Choice>
  </mc:AlternateContent>
  <xr:revisionPtr revIDLastSave="0" documentId="8_{29795383-6515-48F1-A941-0C4C88FDC289}" xr6:coauthVersionLast="47" xr6:coauthVersionMax="47" xr10:uidLastSave="{00000000-0000-0000-0000-000000000000}"/>
  <bookViews>
    <workbookView xWindow="-110" yWindow="-110" windowWidth="19420" windowHeight="10660" xr2:uid="{56C8A88F-FF8C-40B7-A391-822906B7C453}"/>
  </bookViews>
  <sheets>
    <sheet name="Annexe 5" sheetId="1" r:id="rId1"/>
  </sheets>
  <externalReferences>
    <externalReference r:id="rId2"/>
    <externalReference r:id="rId3"/>
    <externalReference r:id="rId4"/>
  </externalReferences>
  <definedNames>
    <definedName name="_xlnm._FilterDatabase" hidden="1">#REF!</definedName>
    <definedName name="_FilterDatabase1" hidden="1">#REF!</definedName>
    <definedName name="az">#REF!</definedName>
    <definedName name="_xlnm.Database">#REF!</definedName>
    <definedName name="BATNA">#REF!</definedName>
    <definedName name="BISKRA">#REF!</definedName>
    <definedName name="Compadjust">[2]Lists!$A$71:$A$79</definedName>
    <definedName name="DATA5">[3]MEM!$E$2:$E$2</definedName>
    <definedName name="FD" hidden="1">#REF!</definedName>
    <definedName name="fdb" hidden="1">#REF!</definedName>
    <definedName name="FinalDiff">[2]Lists!$A$94:$A$105</definedName>
    <definedName name="Govadjust">[2]Lists!$A$83:$A$90</definedName>
    <definedName name="JIJEL">#REF!</definedName>
    <definedName name="KHENCHELA">#REF!</definedName>
    <definedName name="MARI">#REF!</definedName>
    <definedName name="MILA">#REF!</definedName>
    <definedName name="miseenplace03prjpilotes">#REF!</definedName>
    <definedName name="MS">#REF!</definedName>
    <definedName name="msp">#REF!</definedName>
    <definedName name="P">#REF!</definedName>
    <definedName name="po">#REF!</definedName>
    <definedName name="POP">#REF!</definedName>
    <definedName name="RECAP">#REF!</definedName>
    <definedName name="SOUKAHARS">#REF!</definedName>
    <definedName name="Taxes">[2]Lists!$A$7:$A$49</definedName>
    <definedName name="TRAVAUX01">#REF!</definedName>
    <definedName name="TRAVAUX07">#REF!</definedName>
    <definedName name="TRAVAUX08">#REF!</definedName>
    <definedName name="TRAVAUX10">#REF!</definedName>
    <definedName name="TRAVAUX11">#REF!</definedName>
    <definedName name="TRAVAUX12">#REF!</definedName>
    <definedName name="TRAVAUX13">#REF!</definedName>
    <definedName name="TRAVAUX14">#REF!</definedName>
    <definedName name="TRAVAUX15">#REF!</definedName>
    <definedName name="TRAVAUX20">#REF!</definedName>
    <definedName name="TRAVAUX21">#REF!</definedName>
    <definedName name="TRAVAUX22">#REF!</definedName>
    <definedName name="TRAVAUX25">#REF!</definedName>
    <definedName name="TRAVAUX27">#REF!</definedName>
    <definedName name="TRAVAUX28">#REF!</definedName>
    <definedName name="TRAVAUX29">#REF!</definedName>
    <definedName name="TRAVAUX31">#REF!</definedName>
    <definedName name="TRAVAUX32">#REF!</definedName>
    <definedName name="TRAVAUX33">#REF!</definedName>
    <definedName name="TRAVAUX34">#REF!</definedName>
    <definedName name="TRAVAUX35">#REF!</definedName>
    <definedName name="TRAVAUX36">#REF!</definedName>
    <definedName name="TRAVAUX38">#REF!</definedName>
    <definedName name="TRAVAUX39">#REF!</definedName>
    <definedName name="TRAVAUX40">#REF!</definedName>
    <definedName name="TRAVAUX41">#REF!</definedName>
    <definedName name="TRAVAUX42">#REF!</definedName>
    <definedName name="TRAVAUX43">#REF!</definedName>
    <definedName name="TRAVAUX44">#REF!</definedName>
    <definedName name="TRAVAUX45">#REF!</definedName>
    <definedName name="TRAVAUX47">#REF!</definedName>
    <definedName name="TRAVAUX48">#REF!</definedName>
    <definedName name="TRAVAUX49">#REF!</definedName>
    <definedName name="TRAVAUX50">#REF!</definedName>
    <definedName name="TRAVAUX51">#REF!</definedName>
    <definedName name="TRAVAUX53">#REF!</definedName>
    <definedName name="TRAVAUX58">#REF!</definedName>
    <definedName name="TRAVAUX59">#REF!</definedName>
    <definedName name="TRAVAUX67">#REF!</definedName>
    <definedName name="ZI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7" i="1" l="1"/>
  <c r="J399" i="1" s="1"/>
  <c r="I397" i="1"/>
  <c r="I399" i="1" s="1"/>
  <c r="H397" i="1"/>
  <c r="H399" i="1" s="1"/>
  <c r="G397" i="1"/>
  <c r="G399" i="1" s="1"/>
  <c r="F397" i="1"/>
  <c r="F399" i="1" s="1"/>
  <c r="E397" i="1"/>
  <c r="E399" i="1" s="1"/>
  <c r="D397" i="1"/>
  <c r="D399" i="1" s="1"/>
  <c r="I384" i="1"/>
  <c r="J383" i="1"/>
  <c r="I383" i="1"/>
  <c r="G383" i="1"/>
  <c r="F383" i="1"/>
  <c r="E383" i="1"/>
  <c r="D383" i="1"/>
  <c r="H382" i="1"/>
  <c r="H381" i="1"/>
  <c r="H380" i="1"/>
  <c r="H383" i="1" s="1"/>
  <c r="J369" i="1"/>
  <c r="I369" i="1"/>
  <c r="H369" i="1"/>
  <c r="G369" i="1"/>
  <c r="F369" i="1"/>
  <c r="E369" i="1"/>
  <c r="D369" i="1"/>
  <c r="J362" i="1"/>
  <c r="I362" i="1"/>
  <c r="H362" i="1"/>
  <c r="G362" i="1"/>
  <c r="F362" i="1"/>
  <c r="E362" i="1"/>
  <c r="D362" i="1"/>
  <c r="J348" i="1"/>
  <c r="I348" i="1"/>
  <c r="H348" i="1"/>
  <c r="G348" i="1"/>
  <c r="F348" i="1"/>
  <c r="E348" i="1"/>
  <c r="D348" i="1"/>
  <c r="H347" i="1"/>
  <c r="J341" i="1"/>
  <c r="I341" i="1"/>
  <c r="I343" i="1" s="1"/>
  <c r="G341" i="1"/>
  <c r="F341" i="1"/>
  <c r="E341" i="1"/>
  <c r="D341" i="1"/>
  <c r="H340" i="1"/>
  <c r="H341" i="1" s="1"/>
  <c r="H343" i="1" s="1"/>
  <c r="J334" i="1"/>
  <c r="I334" i="1"/>
  <c r="H334" i="1"/>
  <c r="G334" i="1"/>
  <c r="F334" i="1"/>
  <c r="E334" i="1"/>
  <c r="D334" i="1"/>
  <c r="H329" i="1"/>
  <c r="F329" i="1"/>
  <c r="J327" i="1"/>
  <c r="I327" i="1"/>
  <c r="I329" i="1" s="1"/>
  <c r="H327" i="1"/>
  <c r="G327" i="1"/>
  <c r="G329" i="1" s="1"/>
  <c r="F327" i="1"/>
  <c r="E327" i="1"/>
  <c r="E329" i="1" s="1"/>
  <c r="D327" i="1"/>
  <c r="D329" i="1" s="1"/>
  <c r="J320" i="1"/>
  <c r="I320" i="1"/>
  <c r="H320" i="1"/>
  <c r="G320" i="1"/>
  <c r="F320" i="1"/>
  <c r="E320" i="1"/>
  <c r="D320" i="1"/>
  <c r="D315" i="1"/>
  <c r="J313" i="1"/>
  <c r="I313" i="1"/>
  <c r="I315" i="1" s="1"/>
  <c r="H313" i="1"/>
  <c r="H315" i="1" s="1"/>
  <c r="G313" i="1"/>
  <c r="G315" i="1" s="1"/>
  <c r="F313" i="1"/>
  <c r="F315" i="1" s="1"/>
  <c r="E313" i="1"/>
  <c r="E315" i="1" s="1"/>
  <c r="D313" i="1"/>
  <c r="I308" i="1"/>
  <c r="G308" i="1"/>
  <c r="J306" i="1"/>
  <c r="I306" i="1"/>
  <c r="H306" i="1"/>
  <c r="H308" i="1" s="1"/>
  <c r="G306" i="1"/>
  <c r="F306" i="1"/>
  <c r="F308" i="1" s="1"/>
  <c r="E306" i="1"/>
  <c r="E308" i="1" s="1"/>
  <c r="D306" i="1"/>
  <c r="D308" i="1" s="1"/>
  <c r="J292" i="1"/>
  <c r="I292" i="1"/>
  <c r="I290" i="1" s="1"/>
  <c r="H292" i="1"/>
  <c r="G292" i="1"/>
  <c r="F292" i="1"/>
  <c r="E292" i="1"/>
  <c r="D292" i="1"/>
  <c r="J287" i="1"/>
  <c r="G287" i="1"/>
  <c r="J285" i="1"/>
  <c r="I285" i="1"/>
  <c r="I287" i="1" s="1"/>
  <c r="G285" i="1"/>
  <c r="F285" i="1"/>
  <c r="F287" i="1" s="1"/>
  <c r="E285" i="1"/>
  <c r="E287" i="1" s="1"/>
  <c r="D285" i="1"/>
  <c r="D287" i="1" s="1"/>
  <c r="H283" i="1"/>
  <c r="H285" i="1" s="1"/>
  <c r="H287" i="1" s="1"/>
  <c r="H281" i="1"/>
  <c r="J278" i="1"/>
  <c r="I278" i="1"/>
  <c r="H278" i="1"/>
  <c r="G278" i="1"/>
  <c r="F278" i="1"/>
  <c r="E278" i="1"/>
  <c r="D278" i="1"/>
  <c r="K267" i="1"/>
  <c r="J267" i="1"/>
  <c r="I267" i="1"/>
  <c r="H267" i="1"/>
  <c r="G267" i="1"/>
  <c r="F267" i="1"/>
  <c r="E267" i="1"/>
  <c r="D267" i="1"/>
  <c r="K260" i="1"/>
  <c r="J260" i="1"/>
  <c r="I260" i="1"/>
  <c r="H260" i="1"/>
  <c r="G260" i="1"/>
  <c r="F260" i="1"/>
  <c r="E260" i="1"/>
  <c r="D260" i="1"/>
  <c r="K253" i="1"/>
  <c r="J253" i="1"/>
  <c r="I253" i="1"/>
  <c r="H253" i="1"/>
  <c r="G253" i="1"/>
  <c r="F253" i="1"/>
  <c r="E253" i="1"/>
  <c r="D253" i="1"/>
  <c r="K246" i="1"/>
  <c r="J246" i="1"/>
  <c r="I246" i="1"/>
  <c r="H246" i="1"/>
  <c r="G246" i="1"/>
  <c r="F246" i="1"/>
  <c r="E246" i="1"/>
  <c r="D246" i="1"/>
  <c r="K239" i="1"/>
  <c r="J239" i="1"/>
  <c r="I239" i="1"/>
  <c r="I240" i="1" s="1"/>
  <c r="H239" i="1"/>
  <c r="H240" i="1" s="1"/>
  <c r="G239" i="1"/>
  <c r="G240" i="1" s="1"/>
  <c r="F239" i="1"/>
  <c r="F240" i="1" s="1"/>
  <c r="E239" i="1"/>
  <c r="E240" i="1" s="1"/>
  <c r="D239" i="1"/>
  <c r="D240" i="1" s="1"/>
  <c r="K232" i="1"/>
  <c r="J232" i="1"/>
  <c r="I232" i="1"/>
  <c r="H232" i="1"/>
  <c r="G232" i="1"/>
  <c r="F232" i="1"/>
  <c r="E232" i="1"/>
  <c r="D232" i="1"/>
  <c r="K225" i="1"/>
  <c r="J225" i="1"/>
  <c r="I225" i="1"/>
  <c r="I226" i="1" s="1"/>
  <c r="H225" i="1"/>
  <c r="H226" i="1" s="1"/>
  <c r="G225" i="1"/>
  <c r="G226" i="1" s="1"/>
  <c r="F225" i="1"/>
  <c r="F226" i="1" s="1"/>
  <c r="E225" i="1"/>
  <c r="E226" i="1" s="1"/>
  <c r="D225" i="1"/>
  <c r="D226" i="1" s="1"/>
  <c r="H220" i="1"/>
  <c r="F218" i="1"/>
  <c r="E218" i="1"/>
  <c r="D218" i="1"/>
  <c r="I212" i="1"/>
  <c r="H212" i="1"/>
  <c r="G212" i="1"/>
  <c r="J211" i="1"/>
  <c r="F211" i="1"/>
  <c r="F212" i="1" s="1"/>
  <c r="E211" i="1"/>
  <c r="E212" i="1" s="1"/>
  <c r="D211" i="1"/>
  <c r="D212" i="1" s="1"/>
  <c r="K204" i="1"/>
  <c r="J204" i="1"/>
  <c r="I204" i="1"/>
  <c r="H204" i="1"/>
  <c r="G204" i="1"/>
  <c r="F204" i="1"/>
  <c r="E204" i="1"/>
  <c r="D204" i="1"/>
  <c r="J198" i="1"/>
  <c r="I198" i="1"/>
  <c r="H198" i="1"/>
  <c r="K197" i="1"/>
  <c r="G197" i="1"/>
  <c r="G198" i="1" s="1"/>
  <c r="F197" i="1"/>
  <c r="F198" i="1" s="1"/>
  <c r="E197" i="1"/>
  <c r="E198" i="1" s="1"/>
  <c r="D197" i="1"/>
  <c r="D198" i="1" s="1"/>
  <c r="K190" i="1"/>
  <c r="J190" i="1"/>
  <c r="I190" i="1"/>
  <c r="H190" i="1"/>
  <c r="G190" i="1"/>
  <c r="F190" i="1"/>
  <c r="E190" i="1"/>
  <c r="D190" i="1"/>
  <c r="K183" i="1"/>
  <c r="K184" i="1" s="1"/>
  <c r="J183" i="1"/>
  <c r="J184" i="1" s="1"/>
  <c r="I183" i="1"/>
  <c r="I184" i="1" s="1"/>
  <c r="H183" i="1"/>
  <c r="H184" i="1" s="1"/>
  <c r="G183" i="1"/>
  <c r="F183" i="1"/>
  <c r="E183" i="1"/>
  <c r="D183" i="1"/>
  <c r="D184" i="1" s="1"/>
  <c r="K176" i="1"/>
  <c r="J176" i="1"/>
  <c r="I176" i="1"/>
  <c r="G176" i="1"/>
  <c r="F176" i="1"/>
  <c r="E176" i="1"/>
  <c r="D176" i="1"/>
  <c r="K170" i="1"/>
  <c r="J170" i="1"/>
  <c r="I170" i="1"/>
  <c r="H170" i="1"/>
  <c r="G169" i="1"/>
  <c r="G170" i="1" s="1"/>
  <c r="F169" i="1"/>
  <c r="F170" i="1" s="1"/>
  <c r="E169" i="1"/>
  <c r="E170" i="1" s="1"/>
  <c r="D169" i="1"/>
  <c r="D170" i="1" s="1"/>
  <c r="K163" i="1"/>
  <c r="H163" i="1"/>
  <c r="G162" i="1"/>
  <c r="G163" i="1" s="1"/>
  <c r="F162" i="1"/>
  <c r="F163" i="1" s="1"/>
  <c r="E162" i="1"/>
  <c r="E163" i="1" s="1"/>
  <c r="D162" i="1"/>
  <c r="D163" i="1" s="1"/>
  <c r="K155" i="1"/>
  <c r="J155" i="1"/>
  <c r="I155" i="1"/>
  <c r="I156" i="1" s="1"/>
  <c r="H155" i="1"/>
  <c r="H156" i="1" s="1"/>
  <c r="G155" i="1"/>
  <c r="G156" i="1" s="1"/>
  <c r="F155" i="1"/>
  <c r="F156" i="1" s="1"/>
  <c r="E155" i="1"/>
  <c r="E156" i="1" s="1"/>
  <c r="D155" i="1"/>
  <c r="D156" i="1" s="1"/>
  <c r="J149" i="1"/>
  <c r="I149" i="1"/>
  <c r="H149" i="1"/>
  <c r="K148" i="1"/>
  <c r="K149" i="1" s="1"/>
  <c r="G148" i="1"/>
  <c r="G149" i="1" s="1"/>
  <c r="F148" i="1"/>
  <c r="F149" i="1" s="1"/>
  <c r="E148" i="1"/>
  <c r="E149" i="1" s="1"/>
  <c r="D148" i="1"/>
  <c r="D149" i="1" s="1"/>
  <c r="K142" i="1"/>
  <c r="J142" i="1"/>
  <c r="I142" i="1"/>
  <c r="H142" i="1"/>
  <c r="G141" i="1"/>
  <c r="G142" i="1" s="1"/>
  <c r="F141" i="1"/>
  <c r="F142" i="1" s="1"/>
  <c r="E141" i="1"/>
  <c r="E142" i="1" s="1"/>
  <c r="D141" i="1"/>
  <c r="D142" i="1" s="1"/>
  <c r="K134" i="1"/>
  <c r="K135" i="1" s="1"/>
  <c r="J134" i="1"/>
  <c r="J135" i="1" s="1"/>
  <c r="I134" i="1"/>
  <c r="I135" i="1" s="1"/>
  <c r="H134" i="1"/>
  <c r="H135" i="1" s="1"/>
  <c r="G134" i="1"/>
  <c r="G135" i="1" s="1"/>
  <c r="F134" i="1"/>
  <c r="F135" i="1" s="1"/>
  <c r="E134" i="1"/>
  <c r="E135" i="1" s="1"/>
  <c r="D134" i="1"/>
  <c r="D135" i="1" s="1"/>
  <c r="K127" i="1"/>
  <c r="K128" i="1" s="1"/>
  <c r="J127" i="1"/>
  <c r="J128" i="1" s="1"/>
  <c r="I127" i="1"/>
  <c r="I128" i="1" s="1"/>
  <c r="H127" i="1"/>
  <c r="H128" i="1" s="1"/>
  <c r="G127" i="1"/>
  <c r="G128" i="1" s="1"/>
  <c r="F127" i="1"/>
  <c r="F128" i="1" s="1"/>
  <c r="E127" i="1"/>
  <c r="E128" i="1" s="1"/>
  <c r="D127" i="1"/>
  <c r="D128" i="1" s="1"/>
  <c r="K120" i="1"/>
  <c r="J120" i="1"/>
  <c r="I120" i="1"/>
  <c r="H120" i="1"/>
  <c r="G120" i="1"/>
  <c r="F120" i="1"/>
  <c r="E120" i="1"/>
  <c r="D120" i="1"/>
  <c r="J108" i="1"/>
  <c r="I108" i="1"/>
  <c r="H108" i="1"/>
  <c r="G108" i="1"/>
  <c r="F108" i="1"/>
  <c r="E108" i="1"/>
  <c r="D108" i="1"/>
  <c r="J101" i="1"/>
  <c r="J103" i="1" s="1"/>
  <c r="I101" i="1"/>
  <c r="I103" i="1" s="1"/>
  <c r="H101" i="1"/>
  <c r="H103" i="1" s="1"/>
  <c r="G101" i="1"/>
  <c r="G103" i="1" s="1"/>
  <c r="F101" i="1"/>
  <c r="F103" i="1" s="1"/>
  <c r="E101" i="1"/>
  <c r="E103" i="1" s="1"/>
  <c r="D101" i="1"/>
  <c r="D103" i="1" s="1"/>
  <c r="J94" i="1"/>
  <c r="J96" i="1" s="1"/>
  <c r="I94" i="1"/>
  <c r="I96" i="1" s="1"/>
  <c r="H94" i="1"/>
  <c r="H96" i="1" s="1"/>
  <c r="G94" i="1"/>
  <c r="G96" i="1" s="1"/>
  <c r="F94" i="1"/>
  <c r="F96" i="1" s="1"/>
  <c r="E94" i="1"/>
  <c r="E96" i="1" s="1"/>
  <c r="D94" i="1"/>
  <c r="D96" i="1" s="1"/>
  <c r="J80" i="1"/>
  <c r="I80" i="1"/>
  <c r="I82" i="1" s="1"/>
  <c r="H80" i="1"/>
  <c r="G80" i="1"/>
  <c r="F80" i="1"/>
  <c r="E80" i="1"/>
  <c r="D80" i="1"/>
  <c r="J73" i="1"/>
  <c r="J75" i="1" s="1"/>
  <c r="I73" i="1"/>
  <c r="H73" i="1"/>
  <c r="E73" i="1"/>
  <c r="D73" i="1"/>
  <c r="K56" i="1"/>
  <c r="J56" i="1"/>
  <c r="I56" i="1"/>
  <c r="H56" i="1"/>
  <c r="E56" i="1"/>
  <c r="D56" i="1"/>
  <c r="G55" i="1"/>
  <c r="G56" i="1" s="1"/>
  <c r="F55" i="1"/>
  <c r="F56" i="1" s="1"/>
  <c r="K48" i="1"/>
  <c r="K49" i="1" s="1"/>
  <c r="J48" i="1"/>
  <c r="J49" i="1" s="1"/>
  <c r="I48" i="1"/>
  <c r="I49" i="1" s="1"/>
  <c r="H48" i="1"/>
  <c r="H49" i="1" s="1"/>
  <c r="G48" i="1"/>
  <c r="G49" i="1" s="1"/>
  <c r="F48" i="1"/>
  <c r="F49" i="1" s="1"/>
  <c r="E48" i="1"/>
  <c r="E49" i="1" s="1"/>
  <c r="D48" i="1"/>
  <c r="D49" i="1" s="1"/>
  <c r="K28" i="1"/>
  <c r="J28" i="1"/>
  <c r="I28" i="1"/>
  <c r="H28" i="1"/>
  <c r="G28" i="1"/>
  <c r="F27" i="1"/>
  <c r="F28" i="1" s="1"/>
  <c r="E27" i="1"/>
  <c r="E28" i="1" s="1"/>
  <c r="D27" i="1"/>
  <c r="D28" i="1" s="1"/>
  <c r="K20" i="1"/>
  <c r="J20" i="1"/>
  <c r="H20" i="1"/>
  <c r="G20" i="1"/>
  <c r="F20" i="1"/>
  <c r="E20" i="1"/>
  <c r="D20" i="1"/>
</calcChain>
</file>

<file path=xl/sharedStrings.xml><?xml version="1.0" encoding="utf-8"?>
<sst xmlns="http://schemas.openxmlformats.org/spreadsheetml/2006/main" count="735" uniqueCount="53">
  <si>
    <t>Annexe 5 – Effectif des employés</t>
  </si>
  <si>
    <t>Secteur des hydrocarbures : Qualifcations, Effectifs, et Masse Salariale</t>
  </si>
  <si>
    <t xml:space="preserve">Effectifs des Nationaux </t>
  </si>
  <si>
    <t>Effectifs des Non nationaux</t>
  </si>
  <si>
    <t>Masse salariale des Nationaux (en FCFA)</t>
  </si>
  <si>
    <t>Masse salariale des Non Nationaux (en FCFA)</t>
  </si>
  <si>
    <t>N°</t>
  </si>
  <si>
    <t>Société</t>
  </si>
  <si>
    <t>Qualifications</t>
  </si>
  <si>
    <t>Hommes</t>
  </si>
  <si>
    <t>Femmes</t>
  </si>
  <si>
    <t>Société des Pétroles du Sénégal (PETROSEN)</t>
  </si>
  <si>
    <t>Cadres supérieurs</t>
  </si>
  <si>
    <t>Techniciens supérieurs et cadres moyens</t>
  </si>
  <si>
    <t>Techniciens, Agents de maitrise et ouvriers qualifiés</t>
  </si>
  <si>
    <t>Employés, manœuvres, ouvriers, appprentis</t>
  </si>
  <si>
    <t>Total</t>
  </si>
  <si>
    <t>Permanent</t>
  </si>
  <si>
    <t>Contractuel</t>
  </si>
  <si>
    <t>Fortesa International Senegal</t>
  </si>
  <si>
    <t xml:space="preserve">Kosmos Energy Senegal </t>
  </si>
  <si>
    <t xml:space="preserve">Oranto Petroleum </t>
  </si>
  <si>
    <t xml:space="preserve"> TOTAL E&amp;P Senegal </t>
  </si>
  <si>
    <t>BP SENEGAL INVESTMENTS LIMITED</t>
  </si>
  <si>
    <t xml:space="preserve">Woodside Energy Senegal </t>
  </si>
  <si>
    <t>Secteur des hydrocarbures : Personnel Extérieur</t>
  </si>
  <si>
    <t xml:space="preserve">Total Effectif </t>
  </si>
  <si>
    <t>Facturation à l'entité pour nationaux</t>
  </si>
  <si>
    <t xml:space="preserve">Facturation à l'entité pour non nationaux </t>
  </si>
  <si>
    <t>Secteur minier : Qualifcations, Effectifs, et Masse Salariale</t>
  </si>
  <si>
    <t>MIFERSO</t>
  </si>
  <si>
    <t>SOCOCIM</t>
  </si>
  <si>
    <t>SGO</t>
  </si>
  <si>
    <t>CDS</t>
  </si>
  <si>
    <t>GCO</t>
  </si>
  <si>
    <t>SSPT</t>
  </si>
  <si>
    <t>ICS</t>
  </si>
  <si>
    <t>DANGOTE</t>
  </si>
  <si>
    <t>PMC SA</t>
  </si>
  <si>
    <t>SOMIVA</t>
  </si>
  <si>
    <t>SORED MINES</t>
  </si>
  <si>
    <t>IAMGOLD BOTO</t>
  </si>
  <si>
    <t>G-PHOS SA</t>
  </si>
  <si>
    <t>Baobab Mining and Chemical Corp SA</t>
  </si>
  <si>
    <t>AGEM</t>
  </si>
  <si>
    <t>SABADOLA MINING COMPANY</t>
  </si>
  <si>
    <t>BARRICK GOLD</t>
  </si>
  <si>
    <t>SEPHOS SENEGAL</t>
  </si>
  <si>
    <t>AIG</t>
  </si>
  <si>
    <t>COGECA</t>
  </si>
  <si>
    <t>GECAMINES</t>
  </si>
  <si>
    <t>TALIX MINES</t>
  </si>
  <si>
    <t>Secteur minier : Personnel Extérieur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</si>
</sst>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#,##0_);\(&quot;&quot;#,##0\)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Kohinoor Devanagari"/>
    </font>
    <font>
      <sz val="8"/>
      <color theme="1"/>
      <name val="Kohinoor Devanagari"/>
    </font>
    <font>
      <sz val="12"/>
      <color theme="1"/>
      <name val="Kohinoor Devanagari"/>
    </font>
    <font>
      <sz val="8"/>
      <color rgb="FFFFFFFF"/>
      <name val="Kohinoor Devanagari"/>
    </font>
    <font>
      <sz val="8"/>
      <name val="Kohinoor Devanagari"/>
    </font>
    <font>
      <sz val="11"/>
      <color rgb="FF000000"/>
      <name val="Calibri"/>
      <family val="2"/>
    </font>
    <font>
      <b/>
      <sz val="8"/>
      <name val="Kohinoor Devanagari"/>
    </font>
    <font>
      <b/>
      <sz val="8"/>
      <color theme="1"/>
      <name val="Kohinoor Devanagari"/>
    </font>
    <font>
      <sz val="16"/>
      <color theme="1"/>
      <name val="Kohinoor Devanagari"/>
    </font>
    <font>
      <sz val="8"/>
      <color rgb="FF000000"/>
      <name val="Kohinoor Devanagari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rgb="FF2A9E9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1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165" fontId="5" fillId="3" borderId="3" xfId="1" applyNumberFormat="1" applyFont="1" applyFill="1" applyBorder="1" applyAlignment="1">
      <alignment vertical="center" wrapText="1"/>
    </xf>
    <xf numFmtId="165" fontId="5" fillId="3" borderId="4" xfId="1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166" fontId="6" fillId="4" borderId="1" xfId="2" applyNumberFormat="1" applyFont="1" applyFill="1" applyBorder="1" applyAlignment="1">
      <alignment vertical="center"/>
    </xf>
    <xf numFmtId="0" fontId="6" fillId="4" borderId="5" xfId="2" applyFont="1" applyFill="1" applyBorder="1" applyAlignment="1">
      <alignment horizontal="left" vertical="center" wrapText="1"/>
    </xf>
    <xf numFmtId="3" fontId="3" fillId="4" borderId="1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right" vertical="center"/>
    </xf>
    <xf numFmtId="3" fontId="3" fillId="4" borderId="6" xfId="1" applyNumberFormat="1" applyFont="1" applyFill="1" applyBorder="1" applyAlignment="1">
      <alignment horizontal="right" vertical="center"/>
    </xf>
    <xf numFmtId="0" fontId="6" fillId="4" borderId="1" xfId="2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/>
    </xf>
    <xf numFmtId="166" fontId="6" fillId="4" borderId="7" xfId="2" applyNumberFormat="1" applyFont="1" applyFill="1" applyBorder="1" applyAlignment="1">
      <alignment vertical="center"/>
    </xf>
    <xf numFmtId="0" fontId="6" fillId="4" borderId="7" xfId="2" applyFont="1" applyFill="1" applyBorder="1" applyAlignment="1">
      <alignment horizontal="left" vertical="center" wrapText="1"/>
    </xf>
    <xf numFmtId="3" fontId="3" fillId="4" borderId="7" xfId="1" applyNumberFormat="1" applyFont="1" applyFill="1" applyBorder="1" applyAlignment="1">
      <alignment horizontal="center" vertical="center"/>
    </xf>
    <xf numFmtId="3" fontId="3" fillId="4" borderId="7" xfId="1" applyNumberFormat="1" applyFont="1" applyFill="1" applyBorder="1" applyAlignment="1">
      <alignment horizontal="right" vertical="center"/>
    </xf>
    <xf numFmtId="3" fontId="3" fillId="4" borderId="8" xfId="1" applyNumberFormat="1" applyFont="1" applyFill="1" applyBorder="1" applyAlignment="1">
      <alignment horizontal="right" vertical="center"/>
    </xf>
    <xf numFmtId="0" fontId="8" fillId="5" borderId="9" xfId="0" applyFont="1" applyFill="1" applyBorder="1" applyAlignment="1">
      <alignment horizontal="left" vertical="center"/>
    </xf>
    <xf numFmtId="166" fontId="8" fillId="5" borderId="9" xfId="2" applyNumberFormat="1" applyFont="1" applyFill="1" applyBorder="1" applyAlignment="1">
      <alignment vertical="center"/>
    </xf>
    <xf numFmtId="0" fontId="8" fillId="5" borderId="9" xfId="2" applyFont="1" applyFill="1" applyBorder="1" applyAlignment="1">
      <alignment horizontal="left" vertical="center"/>
    </xf>
    <xf numFmtId="3" fontId="9" fillId="5" borderId="9" xfId="1" applyNumberFormat="1" applyFont="1" applyFill="1" applyBorder="1" applyAlignment="1">
      <alignment horizontal="center" vertical="center" wrapText="1"/>
    </xf>
    <xf numFmtId="3" fontId="9" fillId="5" borderId="9" xfId="1" applyNumberFormat="1" applyFont="1" applyFill="1" applyBorder="1" applyAlignment="1">
      <alignment horizontal="center" vertical="center"/>
    </xf>
    <xf numFmtId="3" fontId="9" fillId="5" borderId="9" xfId="1" applyNumberFormat="1" applyFont="1" applyFill="1" applyBorder="1" applyAlignment="1">
      <alignment horizontal="right" vertical="center"/>
    </xf>
    <xf numFmtId="3" fontId="9" fillId="5" borderId="10" xfId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4" borderId="5" xfId="0" applyFont="1" applyFill="1" applyBorder="1" applyAlignment="1">
      <alignment horizontal="left" vertical="center"/>
    </xf>
    <xf numFmtId="166" fontId="6" fillId="4" borderId="5" xfId="2" applyNumberFormat="1" applyFont="1" applyFill="1" applyBorder="1" applyAlignment="1">
      <alignment vertical="center"/>
    </xf>
    <xf numFmtId="0" fontId="6" fillId="4" borderId="5" xfId="2" applyFont="1" applyFill="1" applyBorder="1" applyAlignment="1">
      <alignment horizontal="left" vertic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4" borderId="5" xfId="1" applyNumberFormat="1" applyFont="1" applyFill="1" applyBorder="1" applyAlignment="1">
      <alignment horizontal="right" vertical="center"/>
    </xf>
    <xf numFmtId="3" fontId="3" fillId="4" borderId="11" xfId="1" applyNumberFormat="1" applyFont="1" applyFill="1" applyBorder="1" applyAlignment="1">
      <alignment horizontal="right" vertical="center"/>
    </xf>
    <xf numFmtId="0" fontId="6" fillId="4" borderId="1" xfId="2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left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7" xfId="2" applyFont="1" applyBorder="1" applyAlignment="1">
      <alignment vertical="center" wrapText="1"/>
    </xf>
    <xf numFmtId="0" fontId="6" fillId="0" borderId="7" xfId="2" applyFont="1" applyBorder="1" applyAlignment="1">
      <alignment horizontal="left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/>
    </xf>
    <xf numFmtId="3" fontId="3" fillId="0" borderId="7" xfId="1" applyNumberFormat="1" applyFont="1" applyBorder="1" applyAlignment="1">
      <alignment horizontal="center"/>
    </xf>
    <xf numFmtId="3" fontId="3" fillId="0" borderId="8" xfId="1" applyNumberFormat="1" applyFont="1" applyBorder="1" applyAlignment="1">
      <alignment horizontal="center" vertical="center" wrapText="1"/>
    </xf>
    <xf numFmtId="0" fontId="8" fillId="5" borderId="9" xfId="2" applyFont="1" applyFill="1" applyBorder="1" applyAlignment="1">
      <alignment vertical="center" wrapText="1"/>
    </xf>
    <xf numFmtId="3" fontId="9" fillId="5" borderId="9" xfId="1" applyNumberFormat="1" applyFont="1" applyFill="1" applyBorder="1" applyAlignment="1">
      <alignment horizontal="center"/>
    </xf>
    <xf numFmtId="3" fontId="9" fillId="5" borderId="10" xfId="1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2" applyFont="1" applyBorder="1" applyAlignment="1">
      <alignment vertical="center" wrapText="1"/>
    </xf>
    <xf numFmtId="0" fontId="6" fillId="0" borderId="5" xfId="2" applyFont="1" applyBorder="1" applyAlignment="1">
      <alignment horizontal="left" vertical="center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/>
    </xf>
    <xf numFmtId="3" fontId="3" fillId="0" borderId="5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/>
    </xf>
    <xf numFmtId="166" fontId="6" fillId="4" borderId="1" xfId="2" applyNumberFormat="1" applyFont="1" applyFill="1" applyBorder="1" applyAlignment="1">
      <alignment vertical="center" wrapText="1"/>
    </xf>
    <xf numFmtId="3" fontId="3" fillId="4" borderId="1" xfId="1" applyNumberFormat="1" applyFont="1" applyFill="1" applyBorder="1" applyAlignment="1">
      <alignment horizontal="center" vertical="center" wrapText="1"/>
    </xf>
    <xf numFmtId="3" fontId="3" fillId="4" borderId="6" xfId="1" applyNumberFormat="1" applyFont="1" applyFill="1" applyBorder="1" applyAlignment="1">
      <alignment horizontal="center" vertical="center" wrapText="1"/>
    </xf>
    <xf numFmtId="166" fontId="6" fillId="4" borderId="7" xfId="2" applyNumberFormat="1" applyFont="1" applyFill="1" applyBorder="1" applyAlignment="1">
      <alignment vertical="center" wrapText="1"/>
    </xf>
    <xf numFmtId="3" fontId="3" fillId="4" borderId="7" xfId="1" applyNumberFormat="1" applyFont="1" applyFill="1" applyBorder="1" applyAlignment="1">
      <alignment horizontal="center" vertical="center" wrapText="1"/>
    </xf>
    <xf numFmtId="3" fontId="3" fillId="4" borderId="8" xfId="1" applyNumberFormat="1" applyFont="1" applyFill="1" applyBorder="1" applyAlignment="1">
      <alignment horizontal="center" vertical="center" wrapText="1"/>
    </xf>
    <xf numFmtId="166" fontId="8" fillId="5" borderId="9" xfId="2" applyNumberFormat="1" applyFont="1" applyFill="1" applyBorder="1" applyAlignment="1">
      <alignment vertical="center" wrapText="1"/>
    </xf>
    <xf numFmtId="166" fontId="6" fillId="4" borderId="5" xfId="2" applyNumberFormat="1" applyFont="1" applyFill="1" applyBorder="1" applyAlignment="1">
      <alignment vertical="center" wrapText="1"/>
    </xf>
    <xf numFmtId="3" fontId="3" fillId="4" borderId="5" xfId="1" applyNumberFormat="1" applyFont="1" applyFill="1" applyBorder="1" applyAlignment="1">
      <alignment horizontal="center" vertical="center" wrapText="1"/>
    </xf>
    <xf numFmtId="3" fontId="3" fillId="4" borderId="11" xfId="1" applyNumberFormat="1" applyFont="1" applyFill="1" applyBorder="1" applyAlignment="1">
      <alignment horizontal="center" vertical="center" wrapText="1"/>
    </xf>
    <xf numFmtId="166" fontId="6" fillId="0" borderId="1" xfId="2" applyNumberFormat="1" applyFont="1" applyBorder="1" applyAlignment="1">
      <alignment vertical="center" wrapText="1"/>
    </xf>
    <xf numFmtId="3" fontId="3" fillId="0" borderId="1" xfId="1" applyNumberFormat="1" applyFont="1" applyFill="1" applyBorder="1" applyAlignment="1">
      <alignment horizontal="center" vertical="center"/>
    </xf>
    <xf numFmtId="3" fontId="3" fillId="0" borderId="6" xfId="1" applyNumberFormat="1" applyFont="1" applyFill="1" applyBorder="1" applyAlignment="1">
      <alignment horizontal="center" vertical="center"/>
    </xf>
    <xf numFmtId="3" fontId="3" fillId="0" borderId="1" xfId="1" applyNumberFormat="1" applyFont="1" applyFill="1" applyBorder="1" applyAlignment="1">
      <alignment horizontal="center" vertical="center" wrapText="1"/>
    </xf>
    <xf numFmtId="3" fontId="3" fillId="0" borderId="6" xfId="1" applyNumberFormat="1" applyFont="1" applyFill="1" applyBorder="1" applyAlignment="1">
      <alignment horizontal="center" vertical="center" wrapText="1"/>
    </xf>
    <xf numFmtId="166" fontId="6" fillId="0" borderId="7" xfId="2" applyNumberFormat="1" applyFont="1" applyBorder="1" applyAlignment="1">
      <alignment vertical="center" wrapText="1"/>
    </xf>
    <xf numFmtId="3" fontId="3" fillId="0" borderId="7" xfId="1" applyNumberFormat="1" applyFont="1" applyFill="1" applyBorder="1" applyAlignment="1">
      <alignment horizontal="center" vertical="center"/>
    </xf>
    <xf numFmtId="3" fontId="9" fillId="5" borderId="10" xfId="1" applyNumberFormat="1" applyFont="1" applyFill="1" applyBorder="1" applyAlignment="1">
      <alignment horizontal="center" vertical="center"/>
    </xf>
    <xf numFmtId="166" fontId="6" fillId="0" borderId="5" xfId="2" applyNumberFormat="1" applyFont="1" applyBorder="1" applyAlignment="1">
      <alignment vertical="center" wrapText="1"/>
    </xf>
    <xf numFmtId="3" fontId="3" fillId="0" borderId="5" xfId="1" applyNumberFormat="1" applyFont="1" applyFill="1" applyBorder="1" applyAlignment="1">
      <alignment horizontal="center" vertical="center"/>
    </xf>
    <xf numFmtId="3" fontId="3" fillId="0" borderId="11" xfId="1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166" fontId="6" fillId="4" borderId="12" xfId="2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166" fontId="6" fillId="0" borderId="1" xfId="2" applyNumberFormat="1" applyFont="1" applyBorder="1" applyAlignment="1">
      <alignment wrapText="1"/>
    </xf>
    <xf numFmtId="3" fontId="3" fillId="0" borderId="1" xfId="1" applyNumberFormat="1" applyFont="1" applyBorder="1"/>
    <xf numFmtId="3" fontId="3" fillId="0" borderId="0" xfId="1" applyNumberFormat="1" applyFont="1"/>
    <xf numFmtId="0" fontId="6" fillId="0" borderId="7" xfId="0" applyFont="1" applyBorder="1" applyAlignment="1">
      <alignment horizontal="left"/>
    </xf>
    <xf numFmtId="166" fontId="6" fillId="0" borderId="7" xfId="2" applyNumberFormat="1" applyFont="1" applyBorder="1" applyAlignment="1">
      <alignment wrapText="1"/>
    </xf>
    <xf numFmtId="3" fontId="3" fillId="0" borderId="8" xfId="1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/>
    </xf>
    <xf numFmtId="166" fontId="8" fillId="5" borderId="9" xfId="2" applyNumberFormat="1" applyFont="1" applyFill="1" applyBorder="1" applyAlignment="1">
      <alignment wrapText="1"/>
    </xf>
    <xf numFmtId="0" fontId="6" fillId="0" borderId="5" xfId="0" applyFont="1" applyBorder="1" applyAlignment="1">
      <alignment horizontal="left"/>
    </xf>
    <xf numFmtId="166" fontId="6" fillId="0" borderId="5" xfId="2" applyNumberFormat="1" applyFont="1" applyBorder="1" applyAlignment="1">
      <alignment wrapText="1"/>
    </xf>
    <xf numFmtId="3" fontId="3" fillId="0" borderId="5" xfId="1" applyNumberFormat="1" applyFont="1" applyFill="1" applyBorder="1" applyAlignment="1">
      <alignment horizontal="center" vertical="center" wrapText="1"/>
    </xf>
    <xf numFmtId="3" fontId="3" fillId="0" borderId="1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/>
    </xf>
    <xf numFmtId="166" fontId="6" fillId="4" borderId="1" xfId="2" applyNumberFormat="1" applyFont="1" applyFill="1" applyBorder="1" applyAlignment="1">
      <alignment wrapText="1"/>
    </xf>
    <xf numFmtId="0" fontId="6" fillId="4" borderId="7" xfId="0" applyFont="1" applyFill="1" applyBorder="1" applyAlignment="1">
      <alignment horizontal="left"/>
    </xf>
    <xf numFmtId="166" fontId="6" fillId="4" borderId="7" xfId="2" applyNumberFormat="1" applyFont="1" applyFill="1" applyBorder="1" applyAlignment="1">
      <alignment wrapText="1"/>
    </xf>
    <xf numFmtId="0" fontId="10" fillId="0" borderId="0" xfId="0" applyFont="1"/>
    <xf numFmtId="0" fontId="5" fillId="3" borderId="2" xfId="0" applyFont="1" applyFill="1" applyBorder="1" applyAlignment="1">
      <alignment horizontal="center" vertical="center" wrapText="1"/>
    </xf>
    <xf numFmtId="165" fontId="5" fillId="3" borderId="3" xfId="1" applyNumberFormat="1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right" vertical="center" wrapText="1"/>
    </xf>
    <xf numFmtId="3" fontId="3" fillId="4" borderId="7" xfId="1" applyNumberFormat="1" applyFont="1" applyFill="1" applyBorder="1" applyAlignment="1">
      <alignment horizontal="right" vertical="center" wrapText="1"/>
    </xf>
    <xf numFmtId="3" fontId="9" fillId="5" borderId="9" xfId="1" applyNumberFormat="1" applyFont="1" applyFill="1" applyBorder="1" applyAlignment="1">
      <alignment horizontal="right" vertical="center" wrapText="1"/>
    </xf>
    <xf numFmtId="3" fontId="3" fillId="4" borderId="5" xfId="1" applyNumberFormat="1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vertical="center" wrapText="1"/>
    </xf>
    <xf numFmtId="3" fontId="3" fillId="0" borderId="7" xfId="1" applyNumberFormat="1" applyFont="1" applyBorder="1" applyAlignment="1">
      <alignment horizontal="right" vertical="center" wrapText="1"/>
    </xf>
    <xf numFmtId="3" fontId="3" fillId="0" borderId="0" xfId="1" applyNumberFormat="1" applyFont="1" applyAlignment="1">
      <alignment horizontal="right"/>
    </xf>
    <xf numFmtId="3" fontId="3" fillId="0" borderId="5" xfId="1" applyNumberFormat="1" applyFont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right"/>
    </xf>
    <xf numFmtId="3" fontId="3" fillId="0" borderId="1" xfId="1" applyNumberFormat="1" applyFont="1" applyFill="1" applyBorder="1" applyAlignment="1">
      <alignment horizontal="right"/>
    </xf>
    <xf numFmtId="3" fontId="3" fillId="0" borderId="7" xfId="1" applyNumberFormat="1" applyFont="1" applyFill="1" applyBorder="1" applyAlignment="1">
      <alignment horizontal="right"/>
    </xf>
    <xf numFmtId="3" fontId="9" fillId="5" borderId="9" xfId="1" applyNumberFormat="1" applyFont="1" applyFill="1" applyBorder="1" applyAlignment="1">
      <alignment horizontal="right" wrapText="1"/>
    </xf>
    <xf numFmtId="3" fontId="3" fillId="0" borderId="5" xfId="1" applyNumberFormat="1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left"/>
    </xf>
    <xf numFmtId="166" fontId="6" fillId="4" borderId="5" xfId="2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6" fontId="5" fillId="3" borderId="3" xfId="1" applyNumberFormat="1" applyFont="1" applyFill="1" applyBorder="1" applyAlignment="1">
      <alignment horizontal="center" vertical="center" wrapText="1"/>
    </xf>
    <xf numFmtId="166" fontId="5" fillId="3" borderId="4" xfId="1" applyNumberFormat="1" applyFont="1" applyFill="1" applyBorder="1" applyAlignment="1">
      <alignment horizontal="center" vertical="center" wrapText="1"/>
    </xf>
    <xf numFmtId="166" fontId="6" fillId="4" borderId="7" xfId="2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6" fontId="6" fillId="4" borderId="12" xfId="2" applyNumberFormat="1" applyFont="1" applyFill="1" applyBorder="1" applyAlignment="1">
      <alignment horizontal="center" vertical="center" wrapText="1"/>
    </xf>
    <xf numFmtId="3" fontId="3" fillId="4" borderId="7" xfId="0" applyNumberFormat="1" applyFont="1" applyFill="1" applyBorder="1" applyAlignment="1">
      <alignment horizontal="center" vertical="center" wrapText="1"/>
    </xf>
    <xf numFmtId="3" fontId="3" fillId="4" borderId="5" xfId="0" applyNumberFormat="1" applyFont="1" applyFill="1" applyBorder="1" applyAlignment="1">
      <alignment horizontal="center" vertical="center"/>
    </xf>
    <xf numFmtId="3" fontId="3" fillId="4" borderId="11" xfId="0" applyNumberFormat="1" applyFont="1" applyFill="1" applyBorder="1" applyAlignment="1">
      <alignment horizontal="center" vertical="center"/>
    </xf>
    <xf numFmtId="166" fontId="6" fillId="4" borderId="5" xfId="2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166" fontId="6" fillId="0" borderId="7" xfId="2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166" fontId="6" fillId="0" borderId="12" xfId="2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 wrapText="1"/>
    </xf>
    <xf numFmtId="166" fontId="6" fillId="0" borderId="5" xfId="2" applyNumberFormat="1" applyFont="1" applyBorder="1" applyAlignment="1">
      <alignment horizontal="center" vertical="center" wrapText="1"/>
    </xf>
    <xf numFmtId="3" fontId="3" fillId="4" borderId="6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  <xf numFmtId="3" fontId="3" fillId="4" borderId="11" xfId="1" applyNumberFormat="1" applyFont="1" applyFill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 shrinkToFit="1"/>
    </xf>
    <xf numFmtId="3" fontId="11" fillId="0" borderId="13" xfId="1" applyNumberFormat="1" applyFont="1" applyFill="1" applyBorder="1" applyAlignment="1">
      <alignment horizontal="center" vertical="center" shrinkToFit="1"/>
    </xf>
    <xf numFmtId="3" fontId="11" fillId="0" borderId="14" xfId="1" applyNumberFormat="1" applyFont="1" applyFill="1" applyBorder="1" applyAlignment="1">
      <alignment horizontal="center" vertical="center" shrinkToFit="1"/>
    </xf>
    <xf numFmtId="3" fontId="11" fillId="0" borderId="15" xfId="0" applyNumberFormat="1" applyFont="1" applyBorder="1" applyAlignment="1">
      <alignment horizontal="center" vertical="center" shrinkToFit="1"/>
    </xf>
    <xf numFmtId="3" fontId="11" fillId="0" borderId="15" xfId="1" applyNumberFormat="1" applyFont="1" applyFill="1" applyBorder="1" applyAlignment="1">
      <alignment horizontal="center" vertical="center" shrinkToFit="1"/>
    </xf>
    <xf numFmtId="3" fontId="11" fillId="0" borderId="16" xfId="0" applyNumberFormat="1" applyFont="1" applyBorder="1" applyAlignment="1">
      <alignment horizontal="center" vertical="center" shrinkToFit="1"/>
    </xf>
    <xf numFmtId="3" fontId="11" fillId="0" borderId="17" xfId="0" applyNumberFormat="1" applyFont="1" applyBorder="1" applyAlignment="1">
      <alignment horizontal="center" vertical="center" shrinkToFit="1"/>
    </xf>
    <xf numFmtId="3" fontId="11" fillId="0" borderId="14" xfId="0" applyNumberFormat="1" applyFont="1" applyBorder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3" fontId="3" fillId="4" borderId="7" xfId="0" applyNumberFormat="1" applyFont="1" applyFill="1" applyBorder="1" applyAlignment="1">
      <alignment horizontal="center" vertical="center"/>
    </xf>
    <xf numFmtId="3" fontId="9" fillId="5" borderId="9" xfId="0" applyNumberFormat="1" applyFont="1" applyFill="1" applyBorder="1" applyAlignment="1">
      <alignment horizontal="center" vertical="center" wrapText="1"/>
    </xf>
    <xf numFmtId="3" fontId="9" fillId="5" borderId="9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4" borderId="8" xfId="0" applyNumberFormat="1" applyFont="1" applyFill="1" applyBorder="1" applyAlignment="1">
      <alignment horizontal="center" vertical="center" wrapText="1"/>
    </xf>
    <xf numFmtId="3" fontId="3" fillId="4" borderId="11" xfId="0" applyNumberFormat="1" applyFont="1" applyFill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3" fontId="3" fillId="4" borderId="8" xfId="0" applyNumberFormat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7" xfId="1" applyNumberFormat="1" applyFont="1" applyFill="1" applyBorder="1" applyAlignment="1">
      <alignment horizontal="center"/>
    </xf>
    <xf numFmtId="3" fontId="9" fillId="5" borderId="9" xfId="1" applyNumberFormat="1" applyFont="1" applyFill="1" applyBorder="1" applyAlignment="1">
      <alignment horizontal="center" wrapText="1"/>
    </xf>
    <xf numFmtId="3" fontId="3" fillId="0" borderId="7" xfId="1" applyNumberFormat="1" applyFont="1" applyFill="1" applyBorder="1" applyAlignment="1">
      <alignment horizontal="center" vertical="center" wrapText="1"/>
    </xf>
  </cellXfs>
  <cellStyles count="3">
    <cellStyle name="Milliers 2" xfId="1" xr:uid="{26106DEC-1DEE-401A-80CF-422CDA5D9316}"/>
    <cellStyle name="Normal" xfId="0" builtinId="0"/>
    <cellStyle name="Normal 5" xfId="2" xr:uid="{96EF6F5A-4684-474C-87D9-CFF85A08F069}"/>
  </cellStyles>
  <dxfs count="19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2\Rapport-final-ITIE-Senegal-2022-Annexes-20-12-2023-.xlsx" TargetMode="External"/><Relationship Id="rId1" Type="http://schemas.openxmlformats.org/officeDocument/2006/relationships/externalLinkPath" Target="/Users/Bmd/Documents/ISE/Cours/ISE3/Stage%20ITIE/rapports/2022/Rapport-final-ITIE-Senegal-2022-Annexes-20-12-2023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rteamtn-my.sharepoint.com/f586591ac1fcef3e/02.%20Worls%202021/04-%20BDO_Consulting/02-%20ITIE%20S&#233;n&#233;gal/03-%20Travaux/03-%20Reporting/05.Pr&#233;final%20rapport/Database_ITIE%20S&#233;n&#233;gal_2019_%20(Pr&#233;-finale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enerteamtn-my.sharepoint.com/Users/asus%20pc/Documents/Missions%20MS/2014/08-%20EITI%20Burkina%20Faso/05-%20Base%20de%20donn&#233;es/01-%20Received%20documents/Companies/38-%20BG%20International%20Ltd/TEITI%20Report%20Year%20Ended%2030%20June%202012.xlsx?C72F6352" TargetMode="External"/><Relationship Id="rId1" Type="http://schemas.openxmlformats.org/officeDocument/2006/relationships/externalLinkPath" Target="file:///\\C72F6352\TEITI%20Report%20Year%20Ended%2030%20June%20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Annexe 1"/>
      <sheetName val="Annexe 2"/>
      <sheetName val="Feuil2"/>
      <sheetName val="Annexe 3"/>
      <sheetName val="Annexe 4"/>
      <sheetName val="Annexe 5"/>
      <sheetName val="Annexe 6"/>
      <sheetName val="Annexe 7"/>
      <sheetName val="Annexe 8"/>
      <sheetName val="Annexe 9"/>
      <sheetName val="Annexe 10"/>
      <sheetName val="Annexe 11"/>
      <sheetName val="Annexe 11 - 1"/>
      <sheetName val="Annexe 11 - 2"/>
      <sheetName val="Annexe 11 - 3"/>
      <sheetName val="Annexe 11 - 4"/>
      <sheetName val="Annexe 11 - 5"/>
      <sheetName val="Annexe 11 - 6"/>
      <sheetName val="Annexe 11 - 7"/>
      <sheetName val="Annexe 11 - 8"/>
      <sheetName val="Annexe 11 - 9"/>
      <sheetName val="Annexe 11 - 10"/>
      <sheetName val="Annexe 11 - 11"/>
      <sheetName val="Annexe 11 - 12"/>
      <sheetName val="Annexe 11 - 13"/>
      <sheetName val="Annexe 11 - 14"/>
      <sheetName val="Annexe 11 - 15"/>
      <sheetName val="Annexe 11 - 16"/>
      <sheetName val="Annexe 11 - 17"/>
      <sheetName val="Annexe 11 - 18"/>
      <sheetName val="Annexe 11 - 19"/>
      <sheetName val="Annexe 11 - 20"/>
      <sheetName val="Annexe 11 - 21"/>
      <sheetName val="Annexe 11 - 22"/>
      <sheetName val="Annexe 11 - 23"/>
      <sheetName val="Annexe 11 - 24"/>
      <sheetName val="Annexe 11 - 25"/>
      <sheetName val="Annexe 11 - 26"/>
      <sheetName val="Annexe 11 - 27"/>
      <sheetName val="Annexe 11 - 28"/>
      <sheetName val="Annexe 11 - 29"/>
      <sheetName val="Annexe 12"/>
      <sheetName val="Annexe 13"/>
      <sheetName val="Annexe 14"/>
      <sheetName val="Annexe 15"/>
      <sheetName val="Annexe 16"/>
      <sheetName val="Annexe 17"/>
      <sheetName val="Annexe 18-1"/>
      <sheetName val="Annexe 18-2"/>
      <sheetName val="Annexe 19"/>
      <sheetName val="Annexe 20"/>
      <sheetName val="Annexe 21"/>
      <sheetName val="Annexe 22"/>
      <sheetName val="Annexe 23"/>
      <sheetName val="Annexe 24"/>
      <sheetName val="Annexe 25"/>
      <sheetName val="Annexe 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Identification sheet"/>
      <sheetName val="b. Reporting template"/>
      <sheetName val="c. Payment flow details"/>
      <sheetName val="d. Social payment details"/>
      <sheetName val="e. Production details"/>
      <sheetName val="f. Export details"/>
      <sheetName val="MEM"/>
      <sheetName val="TPDC"/>
      <sheetName val="WITHHOLDING TAX"/>
      <sheetName val="PAYE"/>
      <sheetName val="SDL"/>
      <sheetName val="STAMP DUTY"/>
      <sheetName val="NSSF"/>
      <sheetName val="PPF"/>
      <sheetName val="CSR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E2">
            <v>51756800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5D39-B6CE-40D5-83BA-61DC0A5CA627}">
  <sheetPr>
    <tabColor rgb="FF00B050"/>
  </sheetPr>
  <dimension ref="A1:K427"/>
  <sheetViews>
    <sheetView tabSelected="1" topLeftCell="A100" workbookViewId="0">
      <selection activeCell="D113" sqref="D113"/>
    </sheetView>
  </sheetViews>
  <sheetFormatPr baseColWidth="10" defaultColWidth="12" defaultRowHeight="10"/>
  <cols>
    <col min="1" max="1" width="3" style="2" bestFit="1" customWidth="1"/>
    <col min="2" max="2" width="32.453125" style="2" bestFit="1" customWidth="1"/>
    <col min="3" max="3" width="35.90625" style="2" bestFit="1" customWidth="1"/>
    <col min="4" max="7" width="13.36328125" style="2" customWidth="1"/>
    <col min="8" max="8" width="15" style="2" bestFit="1" customWidth="1"/>
    <col min="9" max="9" width="14.90625" style="2" bestFit="1" customWidth="1"/>
    <col min="10" max="10" width="16.7265625" style="2" bestFit="1" customWidth="1"/>
    <col min="11" max="11" width="13.453125" style="2" bestFit="1" customWidth="1"/>
    <col min="12" max="16384" width="12" style="2"/>
  </cols>
  <sheetData>
    <row r="1" spans="1:11" ht="18">
      <c r="A1" s="1" t="s">
        <v>0</v>
      </c>
    </row>
    <row r="3" spans="1:11" ht="15.5">
      <c r="A3" s="3" t="s">
        <v>1</v>
      </c>
    </row>
    <row r="7" spans="1:11" s="8" customFormat="1" ht="22.5" customHeight="1">
      <c r="A7" s="4"/>
      <c r="B7" s="5"/>
      <c r="C7" s="5"/>
      <c r="D7" s="6" t="s">
        <v>2</v>
      </c>
      <c r="E7" s="6"/>
      <c r="F7" s="6" t="s">
        <v>3</v>
      </c>
      <c r="G7" s="6"/>
      <c r="H7" s="7" t="s">
        <v>4</v>
      </c>
      <c r="I7" s="7"/>
      <c r="J7" s="7" t="s">
        <v>5</v>
      </c>
      <c r="K7" s="7"/>
    </row>
    <row r="8" spans="1:11" s="8" customFormat="1" ht="22.5" customHeight="1" thickBot="1">
      <c r="A8" s="9" t="s">
        <v>6</v>
      </c>
      <c r="B8" s="10" t="s">
        <v>7</v>
      </c>
      <c r="C8" s="11" t="s">
        <v>8</v>
      </c>
      <c r="D8" s="12" t="s">
        <v>9</v>
      </c>
      <c r="E8" s="12" t="s">
        <v>10</v>
      </c>
      <c r="F8" s="12" t="s">
        <v>9</v>
      </c>
      <c r="G8" s="12" t="s">
        <v>10</v>
      </c>
      <c r="H8" s="13" t="s">
        <v>9</v>
      </c>
      <c r="I8" s="13" t="s">
        <v>10</v>
      </c>
      <c r="J8" s="13" t="s">
        <v>9</v>
      </c>
      <c r="K8" s="14" t="s">
        <v>10</v>
      </c>
    </row>
    <row r="9" spans="1:11" s="8" customFormat="1">
      <c r="A9" s="15">
        <v>1</v>
      </c>
      <c r="B9" s="16" t="s">
        <v>11</v>
      </c>
      <c r="C9" s="17" t="s">
        <v>12</v>
      </c>
      <c r="D9" s="18">
        <v>3</v>
      </c>
      <c r="E9" s="18">
        <v>0</v>
      </c>
      <c r="F9" s="18">
        <v>0</v>
      </c>
      <c r="G9" s="18">
        <v>0</v>
      </c>
      <c r="H9" s="19">
        <v>205191219</v>
      </c>
      <c r="I9" s="19"/>
      <c r="J9" s="19">
        <v>0</v>
      </c>
      <c r="K9" s="20">
        <v>0</v>
      </c>
    </row>
    <row r="10" spans="1:11" s="8" customFormat="1">
      <c r="A10" s="15">
        <v>1</v>
      </c>
      <c r="B10" s="16" t="s">
        <v>11</v>
      </c>
      <c r="C10" s="21" t="s">
        <v>13</v>
      </c>
      <c r="D10" s="18">
        <v>9</v>
      </c>
      <c r="E10" s="18">
        <v>7</v>
      </c>
      <c r="F10" s="18">
        <v>0</v>
      </c>
      <c r="G10" s="18">
        <v>0</v>
      </c>
      <c r="H10" s="19">
        <v>322711870</v>
      </c>
      <c r="I10" s="19">
        <v>329212836</v>
      </c>
      <c r="J10" s="19">
        <v>0</v>
      </c>
      <c r="K10" s="20">
        <v>0</v>
      </c>
    </row>
    <row r="11" spans="1:11" s="8" customFormat="1">
      <c r="A11" s="15">
        <v>1</v>
      </c>
      <c r="B11" s="16" t="s">
        <v>11</v>
      </c>
      <c r="C11" s="21" t="s">
        <v>14</v>
      </c>
      <c r="D11" s="18">
        <v>7</v>
      </c>
      <c r="E11" s="18">
        <v>6</v>
      </c>
      <c r="F11" s="18">
        <v>0</v>
      </c>
      <c r="G11" s="18">
        <v>0</v>
      </c>
      <c r="H11" s="19">
        <v>70915253</v>
      </c>
      <c r="I11" s="19">
        <v>74981157</v>
      </c>
      <c r="J11" s="19">
        <v>0</v>
      </c>
      <c r="K11" s="20">
        <v>0</v>
      </c>
    </row>
    <row r="12" spans="1:11" s="8" customFormat="1" ht="10.5" thickBot="1">
      <c r="A12" s="22">
        <v>1</v>
      </c>
      <c r="B12" s="23" t="s">
        <v>11</v>
      </c>
      <c r="C12" s="24" t="s">
        <v>15</v>
      </c>
      <c r="D12" s="25">
        <v>6</v>
      </c>
      <c r="E12" s="25">
        <v>0</v>
      </c>
      <c r="F12" s="25">
        <v>0</v>
      </c>
      <c r="G12" s="25">
        <v>0</v>
      </c>
      <c r="H12" s="26">
        <v>28981771</v>
      </c>
      <c r="I12" s="26"/>
      <c r="J12" s="26">
        <v>0</v>
      </c>
      <c r="K12" s="27">
        <v>0</v>
      </c>
    </row>
    <row r="13" spans="1:11" s="35" customFormat="1" ht="11.5" thickTop="1" thickBot="1">
      <c r="A13" s="28">
        <v>1</v>
      </c>
      <c r="B13" s="29" t="s">
        <v>11</v>
      </c>
      <c r="C13" s="30" t="s">
        <v>16</v>
      </c>
      <c r="D13" s="31">
        <v>25</v>
      </c>
      <c r="E13" s="32">
        <v>13</v>
      </c>
      <c r="F13" s="32">
        <v>0</v>
      </c>
      <c r="G13" s="32">
        <v>0</v>
      </c>
      <c r="H13" s="33">
        <v>627800113</v>
      </c>
      <c r="I13" s="33">
        <v>404193993</v>
      </c>
      <c r="J13" s="33">
        <v>0</v>
      </c>
      <c r="K13" s="34">
        <v>0</v>
      </c>
    </row>
    <row r="14" spans="1:11" s="8" customFormat="1" ht="10.5" thickTop="1">
      <c r="A14" s="36">
        <v>1</v>
      </c>
      <c r="B14" s="37" t="s">
        <v>11</v>
      </c>
      <c r="C14" s="38" t="s">
        <v>17</v>
      </c>
      <c r="D14" s="39">
        <v>0</v>
      </c>
      <c r="E14" s="39"/>
      <c r="F14" s="39"/>
      <c r="G14" s="39"/>
      <c r="H14" s="40"/>
      <c r="I14" s="40"/>
      <c r="J14" s="40"/>
      <c r="K14" s="41"/>
    </row>
    <row r="15" spans="1:11" s="8" customFormat="1">
      <c r="A15" s="15">
        <v>1</v>
      </c>
      <c r="B15" s="16" t="s">
        <v>11</v>
      </c>
      <c r="C15" s="42" t="s">
        <v>18</v>
      </c>
      <c r="D15" s="18"/>
      <c r="E15" s="18"/>
      <c r="F15" s="18"/>
      <c r="G15" s="18"/>
      <c r="H15" s="19"/>
      <c r="I15" s="19"/>
      <c r="J15" s="19"/>
      <c r="K15" s="20"/>
    </row>
    <row r="16" spans="1:11" s="8" customFormat="1">
      <c r="A16" s="43">
        <v>2</v>
      </c>
      <c r="B16" s="44" t="s">
        <v>19</v>
      </c>
      <c r="C16" s="45" t="s">
        <v>12</v>
      </c>
      <c r="D16" s="46">
        <v>13</v>
      </c>
      <c r="E16" s="46">
        <v>0</v>
      </c>
      <c r="F16" s="46">
        <v>0</v>
      </c>
      <c r="G16" s="46">
        <v>0</v>
      </c>
      <c r="H16" s="47">
        <v>136533752</v>
      </c>
      <c r="I16" s="46">
        <v>0</v>
      </c>
      <c r="J16" s="46">
        <v>0</v>
      </c>
      <c r="K16" s="48">
        <v>0</v>
      </c>
    </row>
    <row r="17" spans="1:11" s="8" customFormat="1">
      <c r="A17" s="43">
        <v>2</v>
      </c>
      <c r="B17" s="44" t="s">
        <v>19</v>
      </c>
      <c r="C17" s="45" t="s">
        <v>13</v>
      </c>
      <c r="D17" s="46">
        <v>18</v>
      </c>
      <c r="E17" s="46">
        <v>3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8">
        <v>0</v>
      </c>
    </row>
    <row r="18" spans="1:11" s="8" customFormat="1">
      <c r="A18" s="43">
        <v>2</v>
      </c>
      <c r="B18" s="44" t="s">
        <v>19</v>
      </c>
      <c r="C18" s="45" t="s">
        <v>14</v>
      </c>
      <c r="D18" s="46">
        <v>18</v>
      </c>
      <c r="E18" s="46">
        <v>3</v>
      </c>
      <c r="F18" s="46">
        <v>0</v>
      </c>
      <c r="G18" s="46">
        <v>0</v>
      </c>
      <c r="H18" s="49">
        <v>6160706</v>
      </c>
      <c r="I18" s="50">
        <v>12085754</v>
      </c>
      <c r="J18" s="46">
        <v>0</v>
      </c>
      <c r="K18" s="48">
        <v>0</v>
      </c>
    </row>
    <row r="19" spans="1:11" s="8" customFormat="1" ht="10.5" thickBot="1">
      <c r="A19" s="51">
        <v>2</v>
      </c>
      <c r="B19" s="52" t="s">
        <v>19</v>
      </c>
      <c r="C19" s="53" t="s">
        <v>15</v>
      </c>
      <c r="D19" s="54">
        <v>29</v>
      </c>
      <c r="E19" s="54">
        <v>5</v>
      </c>
      <c r="F19" s="54">
        <v>0</v>
      </c>
      <c r="G19" s="54">
        <v>0</v>
      </c>
      <c r="H19" s="55">
        <v>67969154</v>
      </c>
      <c r="I19" s="56">
        <v>9735403</v>
      </c>
      <c r="J19" s="54">
        <v>0</v>
      </c>
      <c r="K19" s="57">
        <v>0</v>
      </c>
    </row>
    <row r="20" spans="1:11" s="35" customFormat="1" ht="11.5" thickTop="1" thickBot="1">
      <c r="A20" s="28">
        <v>2</v>
      </c>
      <c r="B20" s="58" t="s">
        <v>19</v>
      </c>
      <c r="C20" s="30" t="s">
        <v>16</v>
      </c>
      <c r="D20" s="31">
        <f>SUM(D16:D19)</f>
        <v>78</v>
      </c>
      <c r="E20" s="31">
        <f>SUM(E16:E19)</f>
        <v>11</v>
      </c>
      <c r="F20" s="31">
        <f t="shared" ref="F20:K20" si="0">SUM(F16:F19)</f>
        <v>0</v>
      </c>
      <c r="G20" s="31">
        <f t="shared" si="0"/>
        <v>0</v>
      </c>
      <c r="H20" s="32">
        <f>+H16+H18+H19</f>
        <v>210663612</v>
      </c>
      <c r="I20" s="59">
        <v>21821157</v>
      </c>
      <c r="J20" s="31">
        <f>SUM(J16:J19)</f>
        <v>0</v>
      </c>
      <c r="K20" s="60">
        <f t="shared" si="0"/>
        <v>0</v>
      </c>
    </row>
    <row r="21" spans="1:11" s="8" customFormat="1" ht="10.5" thickTop="1">
      <c r="A21" s="61">
        <v>2</v>
      </c>
      <c r="B21" s="62" t="s">
        <v>19</v>
      </c>
      <c r="C21" s="63" t="s">
        <v>17</v>
      </c>
      <c r="D21" s="64">
        <v>66</v>
      </c>
      <c r="E21" s="64">
        <v>10</v>
      </c>
      <c r="F21" s="64">
        <v>0</v>
      </c>
      <c r="G21" s="64">
        <v>0</v>
      </c>
      <c r="H21" s="65">
        <v>208658113.57723641</v>
      </c>
      <c r="I21" s="66">
        <v>18401646.6484401</v>
      </c>
      <c r="J21" s="64">
        <v>0</v>
      </c>
      <c r="K21" s="67">
        <v>0</v>
      </c>
    </row>
    <row r="22" spans="1:11" s="8" customFormat="1">
      <c r="A22" s="43">
        <v>2</v>
      </c>
      <c r="B22" s="44" t="s">
        <v>19</v>
      </c>
      <c r="C22" s="68" t="s">
        <v>18</v>
      </c>
      <c r="D22" s="46">
        <v>12</v>
      </c>
      <c r="E22" s="46">
        <v>1</v>
      </c>
      <c r="F22" s="46">
        <v>0</v>
      </c>
      <c r="G22" s="46">
        <v>0</v>
      </c>
      <c r="H22" s="49">
        <v>2005498.4227635963</v>
      </c>
      <c r="I22" s="50">
        <v>3419510.351559897</v>
      </c>
      <c r="J22" s="46">
        <v>0</v>
      </c>
      <c r="K22" s="48">
        <v>0</v>
      </c>
    </row>
    <row r="23" spans="1:11" s="8" customFormat="1">
      <c r="A23" s="15">
        <v>3</v>
      </c>
      <c r="B23" s="69" t="s">
        <v>20</v>
      </c>
      <c r="C23" s="21" t="s">
        <v>12</v>
      </c>
      <c r="D23" s="70">
        <v>2</v>
      </c>
      <c r="E23" s="70">
        <v>2</v>
      </c>
      <c r="F23" s="70">
        <v>1</v>
      </c>
      <c r="G23" s="70">
        <v>0</v>
      </c>
      <c r="H23" s="70">
        <v>223692073</v>
      </c>
      <c r="I23" s="70">
        <v>561260495</v>
      </c>
      <c r="J23" s="70">
        <v>99416400</v>
      </c>
      <c r="K23" s="71">
        <v>0</v>
      </c>
    </row>
    <row r="24" spans="1:11" s="8" customFormat="1">
      <c r="A24" s="15">
        <v>3</v>
      </c>
      <c r="B24" s="69" t="s">
        <v>20</v>
      </c>
      <c r="C24" s="21" t="s">
        <v>13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1">
        <v>0</v>
      </c>
    </row>
    <row r="25" spans="1:11" s="8" customFormat="1">
      <c r="A25" s="15">
        <v>3</v>
      </c>
      <c r="B25" s="69" t="s">
        <v>20</v>
      </c>
      <c r="C25" s="21" t="s">
        <v>14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1">
        <v>0</v>
      </c>
    </row>
    <row r="26" spans="1:11" s="8" customFormat="1" ht="10.5" thickBot="1">
      <c r="A26" s="22">
        <v>3</v>
      </c>
      <c r="B26" s="72" t="s">
        <v>20</v>
      </c>
      <c r="C26" s="24" t="s">
        <v>15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73">
        <v>0</v>
      </c>
      <c r="J26" s="73">
        <v>0</v>
      </c>
      <c r="K26" s="74">
        <v>0</v>
      </c>
    </row>
    <row r="27" spans="1:11" s="35" customFormat="1" ht="11.5" thickTop="1" thickBot="1">
      <c r="A27" s="28">
        <v>3</v>
      </c>
      <c r="B27" s="75" t="s">
        <v>20</v>
      </c>
      <c r="C27" s="30" t="s">
        <v>16</v>
      </c>
      <c r="D27" s="31">
        <f t="shared" ref="D27:F27" si="1">SUM(D23:D26)</f>
        <v>2</v>
      </c>
      <c r="E27" s="31">
        <f t="shared" si="1"/>
        <v>2</v>
      </c>
      <c r="F27" s="31">
        <f t="shared" si="1"/>
        <v>1</v>
      </c>
      <c r="G27" s="31">
        <v>0</v>
      </c>
      <c r="H27" s="31">
        <v>223692073</v>
      </c>
      <c r="I27" s="31">
        <v>561260495</v>
      </c>
      <c r="J27" s="31">
        <v>99416400</v>
      </c>
      <c r="K27" s="60">
        <v>0</v>
      </c>
    </row>
    <row r="28" spans="1:11" s="8" customFormat="1" ht="10.5" thickTop="1">
      <c r="A28" s="36">
        <v>3</v>
      </c>
      <c r="B28" s="76" t="s">
        <v>20</v>
      </c>
      <c r="C28" s="17" t="s">
        <v>17</v>
      </c>
      <c r="D28" s="77">
        <f>+D27</f>
        <v>2</v>
      </c>
      <c r="E28" s="77">
        <f t="shared" ref="E28:K28" si="2">+E27</f>
        <v>2</v>
      </c>
      <c r="F28" s="77">
        <f t="shared" si="2"/>
        <v>1</v>
      </c>
      <c r="G28" s="77">
        <f t="shared" si="2"/>
        <v>0</v>
      </c>
      <c r="H28" s="77">
        <f t="shared" si="2"/>
        <v>223692073</v>
      </c>
      <c r="I28" s="77">
        <f t="shared" si="2"/>
        <v>561260495</v>
      </c>
      <c r="J28" s="77">
        <f t="shared" si="2"/>
        <v>99416400</v>
      </c>
      <c r="K28" s="78">
        <f t="shared" si="2"/>
        <v>0</v>
      </c>
    </row>
    <row r="29" spans="1:11" s="8" customFormat="1">
      <c r="A29" s="15">
        <v>3</v>
      </c>
      <c r="B29" s="69" t="s">
        <v>20</v>
      </c>
      <c r="C29" s="42" t="s">
        <v>18</v>
      </c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1">
        <v>0</v>
      </c>
    </row>
    <row r="30" spans="1:11" s="8" customFormat="1">
      <c r="A30" s="43">
        <v>4</v>
      </c>
      <c r="B30" s="79" t="s">
        <v>21</v>
      </c>
      <c r="C30" s="45" t="s">
        <v>12</v>
      </c>
      <c r="D30" s="46">
        <v>1</v>
      </c>
      <c r="E30" s="80">
        <v>0</v>
      </c>
      <c r="F30" s="80">
        <v>1</v>
      </c>
      <c r="G30" s="80">
        <v>0</v>
      </c>
      <c r="H30" s="80">
        <v>0</v>
      </c>
      <c r="I30" s="80">
        <v>0</v>
      </c>
      <c r="J30" s="80">
        <v>0</v>
      </c>
      <c r="K30" s="81">
        <v>0</v>
      </c>
    </row>
    <row r="31" spans="1:11" s="8" customFormat="1">
      <c r="A31" s="43">
        <v>4</v>
      </c>
      <c r="B31" s="79" t="s">
        <v>21</v>
      </c>
      <c r="C31" s="45" t="s">
        <v>13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3">
        <v>0</v>
      </c>
    </row>
    <row r="32" spans="1:11" s="8" customFormat="1">
      <c r="A32" s="43">
        <v>4</v>
      </c>
      <c r="B32" s="79" t="s">
        <v>21</v>
      </c>
      <c r="C32" s="45" t="s">
        <v>14</v>
      </c>
      <c r="D32" s="82">
        <v>0</v>
      </c>
      <c r="E32" s="82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3">
        <v>0</v>
      </c>
    </row>
    <row r="33" spans="1:11" s="8" customFormat="1" ht="10.5" thickBot="1">
      <c r="A33" s="51">
        <v>4</v>
      </c>
      <c r="B33" s="84" t="s">
        <v>21</v>
      </c>
      <c r="C33" s="53" t="s">
        <v>15</v>
      </c>
      <c r="D33" s="54">
        <v>4</v>
      </c>
      <c r="E33" s="85">
        <v>0</v>
      </c>
      <c r="F33" s="85">
        <v>3</v>
      </c>
      <c r="G33" s="85">
        <v>1</v>
      </c>
      <c r="H33" s="54">
        <v>0</v>
      </c>
      <c r="I33" s="54">
        <v>0</v>
      </c>
      <c r="J33" s="54">
        <v>0</v>
      </c>
      <c r="K33" s="57">
        <v>0</v>
      </c>
    </row>
    <row r="34" spans="1:11" s="35" customFormat="1" ht="11.5" thickTop="1" thickBot="1">
      <c r="A34" s="28">
        <v>4</v>
      </c>
      <c r="B34" s="75" t="s">
        <v>21</v>
      </c>
      <c r="C34" s="30" t="s">
        <v>16</v>
      </c>
      <c r="D34" s="31">
        <v>5</v>
      </c>
      <c r="E34" s="31">
        <v>0</v>
      </c>
      <c r="F34" s="31">
        <v>4</v>
      </c>
      <c r="G34" s="31">
        <v>1</v>
      </c>
      <c r="H34" s="31">
        <v>0</v>
      </c>
      <c r="I34" s="32">
        <v>0</v>
      </c>
      <c r="J34" s="32">
        <v>0</v>
      </c>
      <c r="K34" s="86">
        <v>0</v>
      </c>
    </row>
    <row r="35" spans="1:11" s="8" customFormat="1" ht="10.5" thickTop="1">
      <c r="A35" s="61">
        <v>4</v>
      </c>
      <c r="B35" s="87" t="s">
        <v>21</v>
      </c>
      <c r="C35" s="63" t="s">
        <v>17</v>
      </c>
      <c r="D35" s="64">
        <v>1</v>
      </c>
      <c r="E35" s="88">
        <v>0</v>
      </c>
      <c r="F35" s="88">
        <v>4</v>
      </c>
      <c r="G35" s="88">
        <v>1</v>
      </c>
      <c r="H35" s="88">
        <v>0</v>
      </c>
      <c r="I35" s="88">
        <v>0</v>
      </c>
      <c r="J35" s="88">
        <v>0</v>
      </c>
      <c r="K35" s="89">
        <v>0</v>
      </c>
    </row>
    <row r="36" spans="1:11" s="8" customFormat="1">
      <c r="A36" s="43">
        <v>4</v>
      </c>
      <c r="B36" s="79" t="s">
        <v>21</v>
      </c>
      <c r="C36" s="68" t="s">
        <v>18</v>
      </c>
      <c r="D36" s="46">
        <v>4</v>
      </c>
      <c r="E36" s="80">
        <v>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81">
        <v>0</v>
      </c>
    </row>
    <row r="37" spans="1:11" s="8" customFormat="1">
      <c r="A37" s="22">
        <v>5</v>
      </c>
      <c r="B37" s="72" t="s">
        <v>22</v>
      </c>
      <c r="C37" s="21" t="s">
        <v>12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1">
        <v>0</v>
      </c>
    </row>
    <row r="38" spans="1:11" s="8" customFormat="1">
      <c r="A38" s="22">
        <v>5</v>
      </c>
      <c r="B38" s="72" t="s">
        <v>22</v>
      </c>
      <c r="C38" s="21" t="s">
        <v>13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1">
        <v>0</v>
      </c>
    </row>
    <row r="39" spans="1:11" s="8" customFormat="1">
      <c r="A39" s="22">
        <v>5</v>
      </c>
      <c r="B39" s="72" t="s">
        <v>22</v>
      </c>
      <c r="C39" s="21" t="s">
        <v>14</v>
      </c>
      <c r="D39" s="70">
        <v>0</v>
      </c>
      <c r="E39" s="70">
        <v>0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1">
        <v>0</v>
      </c>
    </row>
    <row r="40" spans="1:11" s="8" customFormat="1" ht="10.5" thickBot="1">
      <c r="A40" s="22">
        <v>5</v>
      </c>
      <c r="B40" s="72" t="s">
        <v>22</v>
      </c>
      <c r="C40" s="24" t="s">
        <v>15</v>
      </c>
      <c r="D40" s="73">
        <v>0</v>
      </c>
      <c r="E40" s="73">
        <v>0</v>
      </c>
      <c r="F40" s="73">
        <v>0</v>
      </c>
      <c r="G40" s="73">
        <v>0</v>
      </c>
      <c r="H40" s="73">
        <v>0</v>
      </c>
      <c r="I40" s="73">
        <v>0</v>
      </c>
      <c r="J40" s="73">
        <v>0</v>
      </c>
      <c r="K40" s="74">
        <v>0</v>
      </c>
    </row>
    <row r="41" spans="1:11" s="35" customFormat="1" ht="11.5" thickTop="1" thickBot="1">
      <c r="A41" s="28">
        <v>5</v>
      </c>
      <c r="B41" s="75" t="s">
        <v>22</v>
      </c>
      <c r="C41" s="30" t="s">
        <v>16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60">
        <v>0</v>
      </c>
    </row>
    <row r="42" spans="1:11" s="8" customFormat="1" ht="10.5" thickTop="1">
      <c r="A42" s="90">
        <v>5</v>
      </c>
      <c r="B42" s="91" t="s">
        <v>22</v>
      </c>
      <c r="C42" s="38" t="s">
        <v>17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8">
        <v>0</v>
      </c>
    </row>
    <row r="43" spans="1:11" s="8" customFormat="1">
      <c r="A43" s="22">
        <v>5</v>
      </c>
      <c r="B43" s="72" t="s">
        <v>22</v>
      </c>
      <c r="C43" s="42" t="s">
        <v>18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1">
        <v>0</v>
      </c>
    </row>
    <row r="44" spans="1:11" s="8" customFormat="1">
      <c r="A44" s="92">
        <v>6</v>
      </c>
      <c r="B44" s="93" t="s">
        <v>23</v>
      </c>
      <c r="C44" s="45" t="s">
        <v>12</v>
      </c>
      <c r="D44" s="46">
        <v>6</v>
      </c>
      <c r="E44" s="46">
        <v>11</v>
      </c>
      <c r="F44" s="49">
        <v>48</v>
      </c>
      <c r="G44" s="80">
        <v>2</v>
      </c>
      <c r="H44" s="94">
        <v>519896765</v>
      </c>
      <c r="I44" s="94">
        <v>489765219</v>
      </c>
      <c r="J44" s="94">
        <v>6767292555</v>
      </c>
      <c r="K44" s="95">
        <v>208840463</v>
      </c>
    </row>
    <row r="45" spans="1:11" s="8" customFormat="1">
      <c r="A45" s="92">
        <v>6</v>
      </c>
      <c r="B45" s="93" t="s">
        <v>23</v>
      </c>
      <c r="C45" s="45" t="s">
        <v>13</v>
      </c>
      <c r="D45" s="46">
        <v>21</v>
      </c>
      <c r="E45" s="46">
        <v>3</v>
      </c>
      <c r="F45" s="80">
        <v>1</v>
      </c>
      <c r="G45" s="80">
        <v>0</v>
      </c>
      <c r="H45" s="94">
        <v>500783440</v>
      </c>
      <c r="I45" s="94">
        <v>72467999</v>
      </c>
      <c r="J45" s="94">
        <v>22688859</v>
      </c>
      <c r="K45" s="81">
        <v>0</v>
      </c>
    </row>
    <row r="46" spans="1:11" s="8" customFormat="1">
      <c r="A46" s="92">
        <v>6</v>
      </c>
      <c r="B46" s="93" t="s">
        <v>23</v>
      </c>
      <c r="C46" s="45" t="s">
        <v>14</v>
      </c>
      <c r="D46" s="80">
        <v>0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1">
        <v>0</v>
      </c>
    </row>
    <row r="47" spans="1:11" s="8" customFormat="1" ht="10.5" thickBot="1">
      <c r="A47" s="96">
        <v>6</v>
      </c>
      <c r="B47" s="97" t="s">
        <v>23</v>
      </c>
      <c r="C47" s="53" t="s">
        <v>15</v>
      </c>
      <c r="D47" s="85">
        <v>0</v>
      </c>
      <c r="E47" s="85">
        <v>0</v>
      </c>
      <c r="F47" s="85">
        <v>0</v>
      </c>
      <c r="G47" s="85">
        <v>0</v>
      </c>
      <c r="H47" s="85">
        <v>0</v>
      </c>
      <c r="I47" s="85">
        <v>0</v>
      </c>
      <c r="J47" s="85">
        <v>0</v>
      </c>
      <c r="K47" s="98">
        <v>0</v>
      </c>
    </row>
    <row r="48" spans="1:11" s="35" customFormat="1" ht="11.5" thickTop="1" thickBot="1">
      <c r="A48" s="99">
        <v>6</v>
      </c>
      <c r="B48" s="100" t="s">
        <v>23</v>
      </c>
      <c r="C48" s="30" t="s">
        <v>16</v>
      </c>
      <c r="D48" s="31">
        <f>SUM(D44:D47)</f>
        <v>27</v>
      </c>
      <c r="E48" s="31">
        <f t="shared" ref="E48:G48" si="3">SUM(E44:E47)</f>
        <v>14</v>
      </c>
      <c r="F48" s="31">
        <f t="shared" si="3"/>
        <v>49</v>
      </c>
      <c r="G48" s="31">
        <f t="shared" si="3"/>
        <v>2</v>
      </c>
      <c r="H48" s="31">
        <f>SUM(H44:H45)</f>
        <v>1020680205</v>
      </c>
      <c r="I48" s="31">
        <f>SUM(I44:I45)</f>
        <v>562233218</v>
      </c>
      <c r="J48" s="31">
        <f>SUM(J44:J45)</f>
        <v>6789981414</v>
      </c>
      <c r="K48" s="60">
        <f>SUM(K44:K45)</f>
        <v>208840463</v>
      </c>
    </row>
    <row r="49" spans="1:11" s="8" customFormat="1" ht="10.5" thickTop="1">
      <c r="A49" s="101">
        <v>6</v>
      </c>
      <c r="B49" s="102" t="s">
        <v>23</v>
      </c>
      <c r="C49" s="63" t="s">
        <v>17</v>
      </c>
      <c r="D49" s="103">
        <f>+D48</f>
        <v>27</v>
      </c>
      <c r="E49" s="103">
        <f t="shared" ref="E49:K49" si="4">+E48</f>
        <v>14</v>
      </c>
      <c r="F49" s="103">
        <f t="shared" si="4"/>
        <v>49</v>
      </c>
      <c r="G49" s="103">
        <f t="shared" si="4"/>
        <v>2</v>
      </c>
      <c r="H49" s="103">
        <f t="shared" si="4"/>
        <v>1020680205</v>
      </c>
      <c r="I49" s="103">
        <f t="shared" si="4"/>
        <v>562233218</v>
      </c>
      <c r="J49" s="103">
        <f t="shared" si="4"/>
        <v>6789981414</v>
      </c>
      <c r="K49" s="104">
        <f t="shared" si="4"/>
        <v>208840463</v>
      </c>
    </row>
    <row r="50" spans="1:11" s="8" customFormat="1">
      <c r="A50" s="92">
        <v>6</v>
      </c>
      <c r="B50" s="93" t="s">
        <v>23</v>
      </c>
      <c r="C50" s="68" t="s">
        <v>18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1">
        <v>0</v>
      </c>
    </row>
    <row r="51" spans="1:11" s="8" customFormat="1">
      <c r="A51" s="105">
        <v>7</v>
      </c>
      <c r="B51" s="106" t="s">
        <v>24</v>
      </c>
      <c r="C51" s="21" t="s">
        <v>12</v>
      </c>
      <c r="D51" s="70">
        <v>1</v>
      </c>
      <c r="E51" s="70">
        <v>1</v>
      </c>
      <c r="F51" s="18">
        <v>42</v>
      </c>
      <c r="G51" s="18">
        <v>12</v>
      </c>
      <c r="H51" s="70">
        <v>0</v>
      </c>
      <c r="I51" s="70">
        <v>0</v>
      </c>
      <c r="J51" s="70">
        <v>0</v>
      </c>
      <c r="K51" s="71">
        <v>0</v>
      </c>
    </row>
    <row r="52" spans="1:11" s="8" customFormat="1">
      <c r="A52" s="105">
        <v>7</v>
      </c>
      <c r="B52" s="106" t="s">
        <v>24</v>
      </c>
      <c r="C52" s="21" t="s">
        <v>13</v>
      </c>
      <c r="D52" s="70">
        <v>6</v>
      </c>
      <c r="E52" s="18">
        <v>9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1">
        <v>0</v>
      </c>
    </row>
    <row r="53" spans="1:11" s="8" customFormat="1">
      <c r="A53" s="105">
        <v>7</v>
      </c>
      <c r="B53" s="106" t="s">
        <v>24</v>
      </c>
      <c r="C53" s="21" t="s">
        <v>14</v>
      </c>
      <c r="D53" s="70">
        <v>2</v>
      </c>
      <c r="E53" s="70">
        <v>2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1">
        <v>0</v>
      </c>
    </row>
    <row r="54" spans="1:11" s="8" customFormat="1" ht="10.5" thickBot="1">
      <c r="A54" s="107">
        <v>7</v>
      </c>
      <c r="B54" s="108" t="s">
        <v>24</v>
      </c>
      <c r="C54" s="24" t="s">
        <v>15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74">
        <v>0</v>
      </c>
    </row>
    <row r="55" spans="1:11" s="35" customFormat="1" ht="11.5" thickTop="1" thickBot="1">
      <c r="A55" s="99">
        <v>7</v>
      </c>
      <c r="B55" s="100" t="s">
        <v>24</v>
      </c>
      <c r="C55" s="30" t="s">
        <v>16</v>
      </c>
      <c r="D55" s="31">
        <v>9</v>
      </c>
      <c r="E55" s="31">
        <v>12</v>
      </c>
      <c r="F55" s="31">
        <f>+F51</f>
        <v>42</v>
      </c>
      <c r="G55" s="31">
        <f>+G51</f>
        <v>12</v>
      </c>
      <c r="H55" s="31">
        <v>0</v>
      </c>
      <c r="I55" s="31">
        <v>0</v>
      </c>
      <c r="J55" s="31">
        <v>0</v>
      </c>
      <c r="K55" s="60">
        <v>0</v>
      </c>
    </row>
    <row r="56" spans="1:11" s="8" customFormat="1" ht="10.5" thickTop="1">
      <c r="A56" s="36">
        <v>7</v>
      </c>
      <c r="B56" s="76" t="s">
        <v>24</v>
      </c>
      <c r="C56" s="17" t="s">
        <v>17</v>
      </c>
      <c r="D56" s="77">
        <f>+D55</f>
        <v>9</v>
      </c>
      <c r="E56" s="77">
        <f t="shared" ref="E56:K56" si="5">+E55</f>
        <v>12</v>
      </c>
      <c r="F56" s="77">
        <f t="shared" si="5"/>
        <v>42</v>
      </c>
      <c r="G56" s="77">
        <f t="shared" si="5"/>
        <v>12</v>
      </c>
      <c r="H56" s="77">
        <f t="shared" si="5"/>
        <v>0</v>
      </c>
      <c r="I56" s="77">
        <f t="shared" si="5"/>
        <v>0</v>
      </c>
      <c r="J56" s="77">
        <f t="shared" si="5"/>
        <v>0</v>
      </c>
      <c r="K56" s="78">
        <f t="shared" si="5"/>
        <v>0</v>
      </c>
    </row>
    <row r="57" spans="1:11" s="8" customFormat="1">
      <c r="A57" s="105">
        <v>7</v>
      </c>
      <c r="B57" s="106" t="s">
        <v>24</v>
      </c>
      <c r="C57" s="42" t="s">
        <v>18</v>
      </c>
      <c r="D57" s="70">
        <v>0</v>
      </c>
      <c r="E57" s="70">
        <v>0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1">
        <v>0</v>
      </c>
    </row>
    <row r="59" spans="1:11" ht="20">
      <c r="A59" s="109" t="s">
        <v>25</v>
      </c>
    </row>
    <row r="61" spans="1:11" s="8" customFormat="1" ht="20.5" thickBot="1">
      <c r="A61" s="9" t="s">
        <v>6</v>
      </c>
      <c r="B61" s="110" t="s">
        <v>7</v>
      </c>
      <c r="C61" s="110" t="s">
        <v>8</v>
      </c>
      <c r="D61" s="12" t="s">
        <v>9</v>
      </c>
      <c r="E61" s="12" t="s">
        <v>10</v>
      </c>
      <c r="F61" s="12" t="s">
        <v>9</v>
      </c>
      <c r="G61" s="12" t="s">
        <v>10</v>
      </c>
      <c r="H61" s="111" t="s">
        <v>26</v>
      </c>
      <c r="I61" s="111" t="s">
        <v>27</v>
      </c>
      <c r="J61" s="111" t="s">
        <v>28</v>
      </c>
    </row>
    <row r="62" spans="1:11" s="8" customFormat="1">
      <c r="A62" s="15">
        <v>1</v>
      </c>
      <c r="B62" s="16" t="s">
        <v>11</v>
      </c>
      <c r="C62" s="17" t="s">
        <v>12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</row>
    <row r="63" spans="1:11" s="8" customFormat="1">
      <c r="A63" s="15">
        <v>1</v>
      </c>
      <c r="B63" s="16" t="s">
        <v>11</v>
      </c>
      <c r="C63" s="21" t="s">
        <v>13</v>
      </c>
      <c r="D63" s="112">
        <v>0</v>
      </c>
      <c r="E63" s="112">
        <v>0</v>
      </c>
      <c r="F63" s="112">
        <v>0</v>
      </c>
      <c r="G63" s="112">
        <v>0</v>
      </c>
      <c r="H63" s="112">
        <v>0</v>
      </c>
      <c r="I63" s="112">
        <v>0</v>
      </c>
      <c r="J63" s="112">
        <v>0</v>
      </c>
    </row>
    <row r="64" spans="1:11" s="8" customFormat="1">
      <c r="A64" s="15">
        <v>1</v>
      </c>
      <c r="B64" s="16" t="s">
        <v>11</v>
      </c>
      <c r="C64" s="21" t="s">
        <v>14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</row>
    <row r="65" spans="1:11" s="8" customFormat="1" ht="10.5" thickBot="1">
      <c r="A65" s="22">
        <v>1</v>
      </c>
      <c r="B65" s="23" t="s">
        <v>11</v>
      </c>
      <c r="C65" s="24" t="s">
        <v>15</v>
      </c>
      <c r="D65" s="113">
        <v>0</v>
      </c>
      <c r="E65" s="113">
        <v>0</v>
      </c>
      <c r="F65" s="113">
        <v>0</v>
      </c>
      <c r="G65" s="113">
        <v>0</v>
      </c>
      <c r="H65" s="113">
        <v>0</v>
      </c>
      <c r="I65" s="113">
        <v>0</v>
      </c>
      <c r="J65" s="113">
        <v>0</v>
      </c>
    </row>
    <row r="66" spans="1:11" s="35" customFormat="1" ht="11.5" thickTop="1" thickBot="1">
      <c r="A66" s="28">
        <v>1</v>
      </c>
      <c r="B66" s="29" t="s">
        <v>11</v>
      </c>
      <c r="C66" s="30" t="s">
        <v>16</v>
      </c>
      <c r="D66" s="114">
        <v>0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8"/>
    </row>
    <row r="67" spans="1:11" s="8" customFormat="1" ht="10.5" thickTop="1">
      <c r="A67" s="36">
        <v>1</v>
      </c>
      <c r="B67" s="37" t="s">
        <v>11</v>
      </c>
      <c r="C67" s="38" t="s">
        <v>17</v>
      </c>
      <c r="D67" s="115">
        <v>0</v>
      </c>
      <c r="E67" s="115">
        <v>0</v>
      </c>
      <c r="F67" s="115">
        <v>0</v>
      </c>
      <c r="G67" s="115">
        <v>0</v>
      </c>
      <c r="H67" s="115">
        <v>0</v>
      </c>
      <c r="I67" s="115">
        <v>0</v>
      </c>
      <c r="J67" s="115">
        <v>0</v>
      </c>
    </row>
    <row r="68" spans="1:11" s="8" customFormat="1">
      <c r="A68" s="15">
        <v>1</v>
      </c>
      <c r="B68" s="16" t="s">
        <v>11</v>
      </c>
      <c r="C68" s="42" t="s">
        <v>18</v>
      </c>
      <c r="D68" s="112">
        <v>0</v>
      </c>
      <c r="E68" s="112">
        <v>0</v>
      </c>
      <c r="F68" s="112">
        <v>0</v>
      </c>
      <c r="G68" s="112">
        <v>0</v>
      </c>
      <c r="H68" s="112">
        <v>0</v>
      </c>
      <c r="I68" s="112">
        <v>0</v>
      </c>
      <c r="J68" s="112">
        <v>0</v>
      </c>
    </row>
    <row r="69" spans="1:11" s="8" customFormat="1">
      <c r="A69" s="43">
        <v>2</v>
      </c>
      <c r="B69" s="44" t="s">
        <v>19</v>
      </c>
      <c r="C69" s="45" t="s">
        <v>12</v>
      </c>
      <c r="D69" s="116">
        <v>0</v>
      </c>
      <c r="E69" s="116">
        <v>0</v>
      </c>
      <c r="F69" s="116">
        <v>0</v>
      </c>
      <c r="G69" s="116">
        <v>0</v>
      </c>
      <c r="H69" s="116">
        <v>0</v>
      </c>
      <c r="I69" s="116">
        <v>0</v>
      </c>
      <c r="J69" s="116">
        <v>0</v>
      </c>
    </row>
    <row r="70" spans="1:11" s="8" customFormat="1">
      <c r="A70" s="43">
        <v>2</v>
      </c>
      <c r="B70" s="44" t="s">
        <v>19</v>
      </c>
      <c r="C70" s="45" t="s">
        <v>13</v>
      </c>
      <c r="D70" s="116">
        <v>0</v>
      </c>
      <c r="E70" s="116">
        <v>0</v>
      </c>
      <c r="F70" s="116">
        <v>0</v>
      </c>
      <c r="G70" s="116">
        <v>0</v>
      </c>
      <c r="H70" s="116">
        <v>0</v>
      </c>
      <c r="I70" s="116">
        <v>0</v>
      </c>
      <c r="J70" s="116">
        <v>0</v>
      </c>
    </row>
    <row r="71" spans="1:11" s="8" customFormat="1">
      <c r="A71" s="43">
        <v>2</v>
      </c>
      <c r="B71" s="44" t="s">
        <v>19</v>
      </c>
      <c r="C71" s="45" t="s">
        <v>14</v>
      </c>
      <c r="D71" s="116">
        <v>0</v>
      </c>
      <c r="E71" s="116">
        <v>0</v>
      </c>
      <c r="F71" s="116">
        <v>0</v>
      </c>
      <c r="G71" s="116">
        <v>0</v>
      </c>
      <c r="H71" s="116">
        <v>0</v>
      </c>
      <c r="I71" s="116">
        <v>0</v>
      </c>
      <c r="J71" s="116">
        <v>0</v>
      </c>
    </row>
    <row r="72" spans="1:11" s="8" customFormat="1" ht="10.5" thickBot="1">
      <c r="A72" s="51">
        <v>2</v>
      </c>
      <c r="B72" s="52" t="s">
        <v>19</v>
      </c>
      <c r="C72" s="53" t="s">
        <v>15</v>
      </c>
      <c r="D72" s="117">
        <v>27</v>
      </c>
      <c r="E72" s="117">
        <v>5</v>
      </c>
      <c r="F72" s="117">
        <v>0</v>
      </c>
      <c r="G72" s="117">
        <v>0</v>
      </c>
      <c r="H72" s="117">
        <v>32</v>
      </c>
      <c r="I72" s="118">
        <v>53084220</v>
      </c>
      <c r="J72" s="117">
        <v>0</v>
      </c>
    </row>
    <row r="73" spans="1:11" s="35" customFormat="1" ht="11.5" thickTop="1" thickBot="1">
      <c r="A73" s="28">
        <v>2</v>
      </c>
      <c r="B73" s="58" t="s">
        <v>19</v>
      </c>
      <c r="C73" s="30" t="s">
        <v>16</v>
      </c>
      <c r="D73" s="114">
        <f>SUM(D69:D72)</f>
        <v>27</v>
      </c>
      <c r="E73" s="114">
        <f>SUM(E69:E72)</f>
        <v>5</v>
      </c>
      <c r="F73" s="114">
        <v>0</v>
      </c>
      <c r="G73" s="114">
        <v>0</v>
      </c>
      <c r="H73" s="114">
        <f t="shared" ref="H73:J73" si="6">SUM(H69:H72)</f>
        <v>32</v>
      </c>
      <c r="I73" s="114">
        <f t="shared" si="6"/>
        <v>53084220</v>
      </c>
      <c r="J73" s="114">
        <f t="shared" si="6"/>
        <v>0</v>
      </c>
      <c r="K73" s="8"/>
    </row>
    <row r="74" spans="1:11" s="8" customFormat="1" ht="10.5" thickTop="1">
      <c r="A74" s="61">
        <v>2</v>
      </c>
      <c r="B74" s="62" t="s">
        <v>19</v>
      </c>
      <c r="C74" s="63" t="s">
        <v>17</v>
      </c>
      <c r="D74" s="119">
        <v>27</v>
      </c>
      <c r="E74" s="119">
        <v>5</v>
      </c>
      <c r="F74" s="119">
        <v>0</v>
      </c>
      <c r="G74" s="119">
        <v>0</v>
      </c>
      <c r="H74" s="119">
        <v>32</v>
      </c>
      <c r="I74" s="118">
        <v>53084220</v>
      </c>
      <c r="J74" s="119">
        <v>0</v>
      </c>
    </row>
    <row r="75" spans="1:11" s="8" customFormat="1">
      <c r="A75" s="43">
        <v>2</v>
      </c>
      <c r="B75" s="44" t="s">
        <v>19</v>
      </c>
      <c r="C75" s="68" t="s">
        <v>18</v>
      </c>
      <c r="D75" s="116">
        <v>0</v>
      </c>
      <c r="E75" s="116">
        <v>0</v>
      </c>
      <c r="F75" s="116">
        <v>0</v>
      </c>
      <c r="G75" s="116">
        <v>0</v>
      </c>
      <c r="H75" s="116">
        <v>0</v>
      </c>
      <c r="I75" s="116">
        <v>0</v>
      </c>
      <c r="J75" s="116">
        <f>+J73</f>
        <v>0</v>
      </c>
    </row>
    <row r="76" spans="1:11" s="8" customFormat="1">
      <c r="A76" s="15">
        <v>3</v>
      </c>
      <c r="B76" s="69" t="s">
        <v>20</v>
      </c>
      <c r="C76" s="21" t="s">
        <v>12</v>
      </c>
      <c r="D76" s="112">
        <v>0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</row>
    <row r="77" spans="1:11" s="8" customFormat="1">
      <c r="A77" s="15">
        <v>3</v>
      </c>
      <c r="B77" s="69" t="s">
        <v>20</v>
      </c>
      <c r="C77" s="21" t="s">
        <v>13</v>
      </c>
      <c r="D77" s="112">
        <v>0</v>
      </c>
      <c r="E77" s="112">
        <v>0</v>
      </c>
      <c r="F77" s="112">
        <v>0</v>
      </c>
      <c r="G77" s="112">
        <v>0</v>
      </c>
      <c r="H77" s="112">
        <v>0</v>
      </c>
      <c r="I77" s="112">
        <v>0</v>
      </c>
      <c r="J77" s="112">
        <v>0</v>
      </c>
    </row>
    <row r="78" spans="1:11" s="8" customFormat="1">
      <c r="A78" s="15">
        <v>3</v>
      </c>
      <c r="B78" s="69" t="s">
        <v>20</v>
      </c>
      <c r="C78" s="21" t="s">
        <v>14</v>
      </c>
      <c r="D78" s="112">
        <v>0</v>
      </c>
      <c r="E78" s="112">
        <v>0</v>
      </c>
      <c r="F78" s="112">
        <v>0</v>
      </c>
      <c r="G78" s="112">
        <v>0</v>
      </c>
      <c r="H78" s="112">
        <v>0</v>
      </c>
      <c r="I78" s="112">
        <v>0</v>
      </c>
      <c r="J78" s="112">
        <v>0</v>
      </c>
    </row>
    <row r="79" spans="1:11" s="8" customFormat="1" ht="10.5" thickBot="1">
      <c r="A79" s="22">
        <v>3</v>
      </c>
      <c r="B79" s="72" t="s">
        <v>20</v>
      </c>
      <c r="C79" s="24" t="s">
        <v>15</v>
      </c>
      <c r="D79" s="113">
        <v>3</v>
      </c>
      <c r="E79" s="113">
        <v>1</v>
      </c>
      <c r="F79" s="113">
        <v>0</v>
      </c>
      <c r="G79" s="113">
        <v>0</v>
      </c>
      <c r="H79" s="113">
        <v>4</v>
      </c>
      <c r="I79" s="113">
        <v>20079857</v>
      </c>
      <c r="J79" s="113">
        <v>0</v>
      </c>
    </row>
    <row r="80" spans="1:11" s="35" customFormat="1" ht="11.5" thickTop="1" thickBot="1">
      <c r="A80" s="28">
        <v>3</v>
      </c>
      <c r="B80" s="75" t="s">
        <v>20</v>
      </c>
      <c r="C80" s="30" t="s">
        <v>16</v>
      </c>
      <c r="D80" s="114">
        <f t="shared" ref="D80:J80" si="7">SUM(D76:D79)</f>
        <v>3</v>
      </c>
      <c r="E80" s="114">
        <f t="shared" si="7"/>
        <v>1</v>
      </c>
      <c r="F80" s="114">
        <f t="shared" si="7"/>
        <v>0</v>
      </c>
      <c r="G80" s="114">
        <f t="shared" si="7"/>
        <v>0</v>
      </c>
      <c r="H80" s="114">
        <f t="shared" si="7"/>
        <v>4</v>
      </c>
      <c r="I80" s="114">
        <f t="shared" si="7"/>
        <v>20079857</v>
      </c>
      <c r="J80" s="114">
        <f t="shared" si="7"/>
        <v>0</v>
      </c>
      <c r="K80" s="8"/>
    </row>
    <row r="81" spans="1:11" s="8" customFormat="1" ht="10.5" thickTop="1">
      <c r="A81" s="36">
        <v>3</v>
      </c>
      <c r="B81" s="76" t="s">
        <v>20</v>
      </c>
      <c r="C81" s="38" t="s">
        <v>17</v>
      </c>
      <c r="D81" s="115">
        <v>0</v>
      </c>
      <c r="E81" s="115">
        <v>0</v>
      </c>
      <c r="F81" s="115">
        <v>0</v>
      </c>
      <c r="G81" s="115">
        <v>0</v>
      </c>
      <c r="H81" s="115">
        <v>0</v>
      </c>
      <c r="I81" s="115">
        <v>0</v>
      </c>
      <c r="J81" s="115">
        <v>0</v>
      </c>
    </row>
    <row r="82" spans="1:11" s="8" customFormat="1">
      <c r="A82" s="15">
        <v>3</v>
      </c>
      <c r="B82" s="69" t="s">
        <v>20</v>
      </c>
      <c r="C82" s="42" t="s">
        <v>18</v>
      </c>
      <c r="D82" s="112">
        <v>3</v>
      </c>
      <c r="E82" s="112">
        <v>1</v>
      </c>
      <c r="F82" s="112">
        <v>0</v>
      </c>
      <c r="G82" s="112">
        <v>0</v>
      </c>
      <c r="H82" s="112">
        <v>4</v>
      </c>
      <c r="I82" s="112">
        <f>+I80</f>
        <v>20079857</v>
      </c>
      <c r="J82" s="112"/>
    </row>
    <row r="83" spans="1:11" s="8" customFormat="1">
      <c r="A83" s="43">
        <v>4</v>
      </c>
      <c r="B83" s="79" t="s">
        <v>21</v>
      </c>
      <c r="C83" s="45" t="s">
        <v>12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</row>
    <row r="84" spans="1:11" s="8" customFormat="1">
      <c r="A84" s="43">
        <v>4</v>
      </c>
      <c r="B84" s="79" t="s">
        <v>21</v>
      </c>
      <c r="C84" s="45" t="s">
        <v>13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</row>
    <row r="85" spans="1:11" s="8" customFormat="1">
      <c r="A85" s="43">
        <v>4</v>
      </c>
      <c r="B85" s="79" t="s">
        <v>21</v>
      </c>
      <c r="C85" s="45" t="s">
        <v>14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</row>
    <row r="86" spans="1:11" s="8" customFormat="1" ht="10.5" thickBot="1">
      <c r="A86" s="51">
        <v>4</v>
      </c>
      <c r="B86" s="84" t="s">
        <v>21</v>
      </c>
      <c r="C86" s="53" t="s">
        <v>15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</row>
    <row r="87" spans="1:11" s="35" customFormat="1" ht="11.5" thickTop="1" thickBot="1">
      <c r="A87" s="28">
        <v>4</v>
      </c>
      <c r="B87" s="75" t="s">
        <v>21</v>
      </c>
      <c r="C87" s="30" t="s">
        <v>16</v>
      </c>
      <c r="D87" s="114">
        <v>0</v>
      </c>
      <c r="E87" s="114">
        <v>0</v>
      </c>
      <c r="F87" s="114">
        <v>0</v>
      </c>
      <c r="G87" s="114">
        <v>0</v>
      </c>
      <c r="H87" s="114">
        <v>0</v>
      </c>
      <c r="I87" s="114">
        <v>0</v>
      </c>
      <c r="J87" s="114">
        <v>0</v>
      </c>
      <c r="K87" s="8"/>
    </row>
    <row r="88" spans="1:11" s="8" customFormat="1" ht="10.5" thickTop="1">
      <c r="A88" s="61">
        <v>4</v>
      </c>
      <c r="B88" s="87" t="s">
        <v>21</v>
      </c>
      <c r="C88" s="63" t="s">
        <v>17</v>
      </c>
      <c r="D88" s="119">
        <v>0</v>
      </c>
      <c r="E88" s="119">
        <v>0</v>
      </c>
      <c r="F88" s="119">
        <v>0</v>
      </c>
      <c r="G88" s="119">
        <v>0</v>
      </c>
      <c r="H88" s="119">
        <v>0</v>
      </c>
      <c r="I88" s="119">
        <v>0</v>
      </c>
      <c r="J88" s="119">
        <v>0</v>
      </c>
    </row>
    <row r="89" spans="1:11" s="8" customFormat="1">
      <c r="A89" s="43">
        <v>4</v>
      </c>
      <c r="B89" s="79" t="s">
        <v>21</v>
      </c>
      <c r="C89" s="68" t="s">
        <v>18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</row>
    <row r="90" spans="1:11" s="8" customFormat="1">
      <c r="A90" s="22">
        <v>5</v>
      </c>
      <c r="B90" s="72" t="s">
        <v>22</v>
      </c>
      <c r="C90" s="21" t="s">
        <v>12</v>
      </c>
      <c r="D90" s="112">
        <v>0</v>
      </c>
      <c r="E90" s="112">
        <v>0</v>
      </c>
      <c r="F90" s="112">
        <v>1</v>
      </c>
      <c r="G90" s="112">
        <v>0</v>
      </c>
      <c r="H90" s="112">
        <v>1</v>
      </c>
      <c r="I90" s="112">
        <v>0</v>
      </c>
      <c r="J90" s="112">
        <v>17212929</v>
      </c>
    </row>
    <row r="91" spans="1:11" s="8" customFormat="1">
      <c r="A91" s="22">
        <v>5</v>
      </c>
      <c r="B91" s="72" t="s">
        <v>22</v>
      </c>
      <c r="C91" s="21" t="s">
        <v>13</v>
      </c>
      <c r="D91" s="112">
        <v>1</v>
      </c>
      <c r="E91" s="112">
        <v>0</v>
      </c>
      <c r="F91" s="112">
        <v>0</v>
      </c>
      <c r="G91" s="112">
        <v>0</v>
      </c>
      <c r="H91" s="112">
        <v>1</v>
      </c>
      <c r="I91" s="112">
        <v>38279945</v>
      </c>
      <c r="J91" s="112">
        <v>0</v>
      </c>
    </row>
    <row r="92" spans="1:11" s="8" customFormat="1">
      <c r="A92" s="22">
        <v>5</v>
      </c>
      <c r="B92" s="72" t="s">
        <v>22</v>
      </c>
      <c r="C92" s="21" t="s">
        <v>14</v>
      </c>
      <c r="D92" s="112">
        <v>0</v>
      </c>
      <c r="E92" s="112">
        <v>2</v>
      </c>
      <c r="F92" s="112">
        <v>0</v>
      </c>
      <c r="G92" s="112">
        <v>0</v>
      </c>
      <c r="H92" s="112">
        <v>2</v>
      </c>
      <c r="I92" s="112">
        <v>21204729</v>
      </c>
      <c r="J92" s="112">
        <v>0</v>
      </c>
    </row>
    <row r="93" spans="1:11" s="8" customFormat="1" ht="10.5" thickBot="1">
      <c r="A93" s="22">
        <v>5</v>
      </c>
      <c r="B93" s="72" t="s">
        <v>22</v>
      </c>
      <c r="C93" s="24" t="s">
        <v>15</v>
      </c>
      <c r="D93" s="113">
        <v>0</v>
      </c>
      <c r="E93" s="113">
        <v>0</v>
      </c>
      <c r="F93" s="113">
        <v>0</v>
      </c>
      <c r="G93" s="113">
        <v>0</v>
      </c>
      <c r="H93" s="113">
        <v>0</v>
      </c>
      <c r="I93" s="113">
        <v>0</v>
      </c>
      <c r="J93" s="113">
        <v>0</v>
      </c>
    </row>
    <row r="94" spans="1:11" s="35" customFormat="1" ht="11.5" thickTop="1" thickBot="1">
      <c r="A94" s="28">
        <v>5</v>
      </c>
      <c r="B94" s="75" t="s">
        <v>22</v>
      </c>
      <c r="C94" s="30" t="s">
        <v>16</v>
      </c>
      <c r="D94" s="114">
        <f>SUM(D90:D93)</f>
        <v>1</v>
      </c>
      <c r="E94" s="114">
        <f t="shared" ref="E94:J94" si="8">SUM(E90:E93)</f>
        <v>2</v>
      </c>
      <c r="F94" s="114">
        <f t="shared" si="8"/>
        <v>1</v>
      </c>
      <c r="G94" s="114">
        <f t="shared" si="8"/>
        <v>0</v>
      </c>
      <c r="H94" s="114">
        <f t="shared" si="8"/>
        <v>4</v>
      </c>
      <c r="I94" s="114">
        <f t="shared" si="8"/>
        <v>59484674</v>
      </c>
      <c r="J94" s="114">
        <f t="shared" si="8"/>
        <v>17212929</v>
      </c>
      <c r="K94" s="8"/>
    </row>
    <row r="95" spans="1:11" s="8" customFormat="1" ht="10.5" thickTop="1">
      <c r="A95" s="90">
        <v>5</v>
      </c>
      <c r="B95" s="91" t="s">
        <v>22</v>
      </c>
      <c r="C95" s="38" t="s">
        <v>17</v>
      </c>
      <c r="D95" s="115">
        <v>0</v>
      </c>
      <c r="E95" s="115">
        <v>0</v>
      </c>
      <c r="F95" s="115">
        <v>0</v>
      </c>
      <c r="G95" s="115">
        <v>0</v>
      </c>
      <c r="H95" s="115">
        <v>0</v>
      </c>
      <c r="I95" s="115">
        <v>0</v>
      </c>
      <c r="J95" s="115">
        <v>0</v>
      </c>
    </row>
    <row r="96" spans="1:11" s="8" customFormat="1">
      <c r="A96" s="22">
        <v>5</v>
      </c>
      <c r="B96" s="72" t="s">
        <v>22</v>
      </c>
      <c r="C96" s="42" t="s">
        <v>18</v>
      </c>
      <c r="D96" s="112">
        <f>+D94</f>
        <v>1</v>
      </c>
      <c r="E96" s="112">
        <f t="shared" ref="E96:J96" si="9">+E94</f>
        <v>2</v>
      </c>
      <c r="F96" s="112">
        <f t="shared" si="9"/>
        <v>1</v>
      </c>
      <c r="G96" s="112">
        <f t="shared" si="9"/>
        <v>0</v>
      </c>
      <c r="H96" s="112">
        <f t="shared" si="9"/>
        <v>4</v>
      </c>
      <c r="I96" s="112">
        <f t="shared" si="9"/>
        <v>59484674</v>
      </c>
      <c r="J96" s="112">
        <f t="shared" si="9"/>
        <v>17212929</v>
      </c>
    </row>
    <row r="97" spans="1:11" s="8" customFormat="1">
      <c r="A97" s="92">
        <v>6</v>
      </c>
      <c r="B97" s="93" t="s">
        <v>23</v>
      </c>
      <c r="C97" s="45" t="s">
        <v>12</v>
      </c>
      <c r="D97" s="116">
        <v>1</v>
      </c>
      <c r="E97" s="116">
        <v>4</v>
      </c>
      <c r="F97" s="120">
        <v>7</v>
      </c>
      <c r="G97" s="121">
        <v>0</v>
      </c>
      <c r="H97" s="122">
        <v>12</v>
      </c>
      <c r="I97" s="118">
        <v>12679370</v>
      </c>
      <c r="J97" s="123">
        <v>976469145</v>
      </c>
    </row>
    <row r="98" spans="1:11" s="8" customFormat="1">
      <c r="A98" s="92">
        <v>6</v>
      </c>
      <c r="B98" s="93" t="s">
        <v>23</v>
      </c>
      <c r="C98" s="45" t="s">
        <v>13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</row>
    <row r="99" spans="1:11" s="8" customFormat="1">
      <c r="A99" s="92">
        <v>6</v>
      </c>
      <c r="B99" s="93" t="s">
        <v>23</v>
      </c>
      <c r="C99" s="45" t="s">
        <v>14</v>
      </c>
      <c r="D99" s="124">
        <v>1</v>
      </c>
      <c r="E99" s="121">
        <v>0</v>
      </c>
      <c r="F99" s="121">
        <v>0</v>
      </c>
      <c r="G99" s="121">
        <v>0</v>
      </c>
      <c r="H99" s="121">
        <v>1</v>
      </c>
      <c r="I99" s="118">
        <v>8591285</v>
      </c>
      <c r="J99" s="121">
        <v>0</v>
      </c>
    </row>
    <row r="100" spans="1:11" s="8" customFormat="1" ht="10.5" thickBot="1">
      <c r="A100" s="96">
        <v>6</v>
      </c>
      <c r="B100" s="97" t="s">
        <v>23</v>
      </c>
      <c r="C100" s="53" t="s">
        <v>15</v>
      </c>
      <c r="D100" s="125">
        <v>0</v>
      </c>
      <c r="E100" s="125">
        <v>0</v>
      </c>
      <c r="F100" s="125">
        <v>0</v>
      </c>
      <c r="G100" s="125">
        <v>0</v>
      </c>
      <c r="H100" s="125">
        <v>0</v>
      </c>
      <c r="I100" s="125">
        <v>0</v>
      </c>
      <c r="J100" s="125">
        <v>0</v>
      </c>
    </row>
    <row r="101" spans="1:11" s="35" customFormat="1" ht="11.5" thickTop="1" thickBot="1">
      <c r="A101" s="99">
        <v>6</v>
      </c>
      <c r="B101" s="100" t="s">
        <v>23</v>
      </c>
      <c r="C101" s="30" t="s">
        <v>16</v>
      </c>
      <c r="D101" s="126">
        <f>SUM(D97:D100)</f>
        <v>2</v>
      </c>
      <c r="E101" s="114">
        <f t="shared" ref="E101:J101" si="10">SUM(E97:E100)</f>
        <v>4</v>
      </c>
      <c r="F101" s="114">
        <f t="shared" si="10"/>
        <v>7</v>
      </c>
      <c r="G101" s="114">
        <f t="shared" si="10"/>
        <v>0</v>
      </c>
      <c r="H101" s="114">
        <f t="shared" si="10"/>
        <v>13</v>
      </c>
      <c r="I101" s="114">
        <f t="shared" si="10"/>
        <v>21270655</v>
      </c>
      <c r="J101" s="114">
        <f t="shared" si="10"/>
        <v>976469145</v>
      </c>
      <c r="K101" s="8"/>
    </row>
    <row r="102" spans="1:11" s="8" customFormat="1" ht="10.5" thickTop="1">
      <c r="A102" s="101">
        <v>6</v>
      </c>
      <c r="B102" s="102" t="s">
        <v>23</v>
      </c>
      <c r="C102" s="63" t="s">
        <v>17</v>
      </c>
      <c r="D102" s="127">
        <v>0</v>
      </c>
      <c r="E102" s="127">
        <v>0</v>
      </c>
      <c r="F102" s="127">
        <v>0</v>
      </c>
      <c r="G102" s="127">
        <v>0</v>
      </c>
      <c r="H102" s="127">
        <v>0</v>
      </c>
      <c r="I102" s="127">
        <v>0</v>
      </c>
      <c r="J102" s="127">
        <v>0</v>
      </c>
    </row>
    <row r="103" spans="1:11" s="8" customFormat="1">
      <c r="A103" s="92">
        <v>6</v>
      </c>
      <c r="B103" s="93" t="s">
        <v>23</v>
      </c>
      <c r="C103" s="68" t="s">
        <v>18</v>
      </c>
      <c r="D103" s="122">
        <f>+D101</f>
        <v>2</v>
      </c>
      <c r="E103" s="122">
        <f t="shared" ref="E103:J103" si="11">+E101</f>
        <v>4</v>
      </c>
      <c r="F103" s="122">
        <f t="shared" si="11"/>
        <v>7</v>
      </c>
      <c r="G103" s="122">
        <f t="shared" si="11"/>
        <v>0</v>
      </c>
      <c r="H103" s="122">
        <f t="shared" si="11"/>
        <v>13</v>
      </c>
      <c r="I103" s="122">
        <f t="shared" si="11"/>
        <v>21270655</v>
      </c>
      <c r="J103" s="122">
        <f t="shared" si="11"/>
        <v>976469145</v>
      </c>
    </row>
    <row r="104" spans="1:11" s="8" customFormat="1">
      <c r="A104" s="105">
        <v>7</v>
      </c>
      <c r="B104" s="106" t="s">
        <v>24</v>
      </c>
      <c r="C104" s="21" t="s">
        <v>12</v>
      </c>
      <c r="D104" s="112">
        <v>1</v>
      </c>
      <c r="E104" s="112">
        <v>0</v>
      </c>
      <c r="F104" s="19">
        <v>15</v>
      </c>
      <c r="G104" s="19">
        <v>0</v>
      </c>
      <c r="H104" s="19">
        <v>0</v>
      </c>
      <c r="I104" s="19">
        <v>0</v>
      </c>
      <c r="J104" s="19">
        <v>0</v>
      </c>
    </row>
    <row r="105" spans="1:11" s="8" customFormat="1">
      <c r="A105" s="105">
        <v>7</v>
      </c>
      <c r="B105" s="106" t="s">
        <v>24</v>
      </c>
      <c r="C105" s="21" t="s">
        <v>13</v>
      </c>
      <c r="D105" s="112">
        <v>1</v>
      </c>
      <c r="E105" s="19">
        <v>5</v>
      </c>
      <c r="F105" s="112">
        <v>0</v>
      </c>
      <c r="G105" s="112">
        <v>0</v>
      </c>
      <c r="H105" s="112">
        <v>0</v>
      </c>
      <c r="I105" s="112">
        <v>0</v>
      </c>
      <c r="J105" s="112">
        <v>0</v>
      </c>
    </row>
    <row r="106" spans="1:11" s="8" customFormat="1">
      <c r="A106" s="105">
        <v>7</v>
      </c>
      <c r="B106" s="106" t="s">
        <v>24</v>
      </c>
      <c r="C106" s="21" t="s">
        <v>14</v>
      </c>
      <c r="D106" s="112">
        <v>0</v>
      </c>
      <c r="E106" s="112">
        <v>0</v>
      </c>
      <c r="F106" s="112">
        <v>0</v>
      </c>
      <c r="G106" s="112">
        <v>0</v>
      </c>
      <c r="H106" s="112">
        <v>0</v>
      </c>
      <c r="I106" s="112">
        <v>0</v>
      </c>
      <c r="J106" s="112">
        <v>0</v>
      </c>
    </row>
    <row r="107" spans="1:11" s="8" customFormat="1" ht="10.5" thickBot="1">
      <c r="A107" s="107">
        <v>7</v>
      </c>
      <c r="B107" s="108" t="s">
        <v>24</v>
      </c>
      <c r="C107" s="24" t="s">
        <v>15</v>
      </c>
      <c r="D107" s="113">
        <v>0</v>
      </c>
      <c r="E107" s="113">
        <v>0</v>
      </c>
      <c r="F107" s="113">
        <v>0</v>
      </c>
      <c r="G107" s="113">
        <v>0</v>
      </c>
      <c r="H107" s="113">
        <v>0</v>
      </c>
      <c r="I107" s="113">
        <v>0</v>
      </c>
      <c r="J107" s="113">
        <v>0</v>
      </c>
    </row>
    <row r="108" spans="1:11" s="35" customFormat="1" ht="11.5" thickTop="1" thickBot="1">
      <c r="A108" s="99">
        <v>7</v>
      </c>
      <c r="B108" s="100" t="s">
        <v>24</v>
      </c>
      <c r="C108" s="30" t="s">
        <v>16</v>
      </c>
      <c r="D108" s="114">
        <f>SUM(D104:D107)</f>
        <v>2</v>
      </c>
      <c r="E108" s="114">
        <f t="shared" ref="E108:J108" si="12">SUM(E104:E107)</f>
        <v>5</v>
      </c>
      <c r="F108" s="114">
        <f t="shared" si="12"/>
        <v>15</v>
      </c>
      <c r="G108" s="114">
        <f t="shared" si="12"/>
        <v>0</v>
      </c>
      <c r="H108" s="114">
        <f t="shared" si="12"/>
        <v>0</v>
      </c>
      <c r="I108" s="114">
        <f t="shared" si="12"/>
        <v>0</v>
      </c>
      <c r="J108" s="114">
        <f t="shared" si="12"/>
        <v>0</v>
      </c>
      <c r="K108" s="8"/>
    </row>
    <row r="109" spans="1:11" s="8" customFormat="1" ht="10.5" thickTop="1">
      <c r="A109" s="128">
        <v>7</v>
      </c>
      <c r="B109" s="129" t="s">
        <v>24</v>
      </c>
      <c r="C109" s="38" t="s">
        <v>17</v>
      </c>
      <c r="D109" s="115">
        <v>2</v>
      </c>
      <c r="E109" s="115">
        <v>5</v>
      </c>
      <c r="F109" s="115">
        <v>0</v>
      </c>
      <c r="G109" s="115">
        <v>0</v>
      </c>
      <c r="H109" s="115">
        <v>0</v>
      </c>
      <c r="I109" s="115">
        <v>0</v>
      </c>
      <c r="J109" s="115">
        <v>0</v>
      </c>
    </row>
    <row r="110" spans="1:11" s="8" customFormat="1">
      <c r="A110" s="105">
        <v>7</v>
      </c>
      <c r="B110" s="106" t="s">
        <v>24</v>
      </c>
      <c r="C110" s="42" t="s">
        <v>18</v>
      </c>
      <c r="D110" s="112">
        <v>0</v>
      </c>
      <c r="E110" s="112">
        <v>0</v>
      </c>
      <c r="F110" s="112">
        <v>15</v>
      </c>
      <c r="G110" s="112">
        <v>0</v>
      </c>
      <c r="H110" s="112">
        <v>0</v>
      </c>
      <c r="I110" s="112">
        <v>0</v>
      </c>
      <c r="J110" s="112">
        <v>0</v>
      </c>
    </row>
    <row r="112" spans="1:11" ht="20">
      <c r="A112" s="109" t="s">
        <v>29</v>
      </c>
    </row>
    <row r="114" spans="1:11" s="4" customFormat="1" ht="21" customHeight="1">
      <c r="B114" s="5"/>
      <c r="C114" s="5"/>
      <c r="D114" s="130" t="s">
        <v>2</v>
      </c>
      <c r="E114" s="130"/>
      <c r="F114" s="130" t="s">
        <v>3</v>
      </c>
      <c r="G114" s="130"/>
      <c r="H114" s="131" t="s">
        <v>4</v>
      </c>
      <c r="I114" s="131"/>
      <c r="J114" s="131" t="s">
        <v>5</v>
      </c>
      <c r="K114" s="131"/>
    </row>
    <row r="115" spans="1:11" s="8" customFormat="1" ht="21" customHeight="1" thickBot="1">
      <c r="A115" s="132" t="s">
        <v>6</v>
      </c>
      <c r="B115" s="11" t="s">
        <v>7</v>
      </c>
      <c r="C115" s="11" t="s">
        <v>8</v>
      </c>
      <c r="D115" s="12" t="s">
        <v>9</v>
      </c>
      <c r="E115" s="12" t="s">
        <v>10</v>
      </c>
      <c r="F115" s="12" t="s">
        <v>9</v>
      </c>
      <c r="G115" s="12" t="s">
        <v>10</v>
      </c>
      <c r="H115" s="133" t="s">
        <v>9</v>
      </c>
      <c r="I115" s="133" t="s">
        <v>10</v>
      </c>
      <c r="J115" s="133" t="s">
        <v>9</v>
      </c>
      <c r="K115" s="134" t="s">
        <v>10</v>
      </c>
    </row>
    <row r="116" spans="1:11" s="8" customFormat="1">
      <c r="A116" s="135">
        <v>1</v>
      </c>
      <c r="B116" s="135" t="s">
        <v>30</v>
      </c>
      <c r="C116" s="17" t="s">
        <v>12</v>
      </c>
      <c r="D116" s="136">
        <v>0</v>
      </c>
      <c r="E116" s="70">
        <v>0</v>
      </c>
      <c r="F116" s="70">
        <v>0</v>
      </c>
      <c r="G116" s="70">
        <v>0</v>
      </c>
      <c r="H116" s="70">
        <v>0</v>
      </c>
      <c r="I116" s="70">
        <v>0</v>
      </c>
      <c r="J116" s="70">
        <v>0</v>
      </c>
      <c r="K116" s="71">
        <v>0</v>
      </c>
    </row>
    <row r="117" spans="1:11" s="8" customFormat="1">
      <c r="A117" s="137"/>
      <c r="B117" s="137"/>
      <c r="C117" s="21" t="s">
        <v>13</v>
      </c>
      <c r="D117" s="136">
        <v>0</v>
      </c>
      <c r="E117" s="70">
        <v>0</v>
      </c>
      <c r="F117" s="70">
        <v>0</v>
      </c>
      <c r="G117" s="70">
        <v>0</v>
      </c>
      <c r="H117" s="70">
        <v>0</v>
      </c>
      <c r="I117" s="70">
        <v>0</v>
      </c>
      <c r="J117" s="70">
        <v>0</v>
      </c>
      <c r="K117" s="71">
        <v>0</v>
      </c>
    </row>
    <row r="118" spans="1:11" s="8" customFormat="1">
      <c r="A118" s="137"/>
      <c r="B118" s="137"/>
      <c r="C118" s="21" t="s">
        <v>14</v>
      </c>
      <c r="D118" s="136">
        <v>0</v>
      </c>
      <c r="E118" s="70">
        <v>0</v>
      </c>
      <c r="F118" s="70">
        <v>0</v>
      </c>
      <c r="G118" s="70">
        <v>0</v>
      </c>
      <c r="H118" s="70">
        <v>0</v>
      </c>
      <c r="I118" s="70">
        <v>0</v>
      </c>
      <c r="J118" s="70">
        <v>0</v>
      </c>
      <c r="K118" s="71">
        <v>0</v>
      </c>
    </row>
    <row r="119" spans="1:11" s="8" customFormat="1" ht="10.5" thickBot="1">
      <c r="A119" s="137"/>
      <c r="B119" s="137"/>
      <c r="C119" s="24" t="s">
        <v>15</v>
      </c>
      <c r="D119" s="138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4">
        <v>0</v>
      </c>
    </row>
    <row r="120" spans="1:11" s="35" customFormat="1" ht="11.5" thickTop="1" thickBot="1">
      <c r="A120" s="137"/>
      <c r="B120" s="137"/>
      <c r="C120" s="30" t="s">
        <v>16</v>
      </c>
      <c r="D120" s="31">
        <f>SUM(D116:D119)</f>
        <v>0</v>
      </c>
      <c r="E120" s="31">
        <f t="shared" ref="E120:G120" si="13">SUM(E116:E119)</f>
        <v>0</v>
      </c>
      <c r="F120" s="31">
        <f t="shared" si="13"/>
        <v>0</v>
      </c>
      <c r="G120" s="31">
        <f t="shared" si="13"/>
        <v>0</v>
      </c>
      <c r="H120" s="31">
        <f>SUM(H116:H119)</f>
        <v>0</v>
      </c>
      <c r="I120" s="31">
        <f>SUM(I116:I119)</f>
        <v>0</v>
      </c>
      <c r="J120" s="31">
        <f t="shared" ref="J120:K120" si="14">SUM(J116:J119)</f>
        <v>0</v>
      </c>
      <c r="K120" s="60">
        <f t="shared" si="14"/>
        <v>0</v>
      </c>
    </row>
    <row r="121" spans="1:11" s="8" customFormat="1" ht="10.5" thickTop="1">
      <c r="A121" s="137"/>
      <c r="B121" s="137"/>
      <c r="C121" s="38" t="s">
        <v>17</v>
      </c>
      <c r="D121" s="139">
        <v>0</v>
      </c>
      <c r="E121" s="139">
        <v>0</v>
      </c>
      <c r="F121" s="139">
        <v>0</v>
      </c>
      <c r="G121" s="139">
        <v>0</v>
      </c>
      <c r="H121" s="139">
        <v>0</v>
      </c>
      <c r="I121" s="139">
        <v>0</v>
      </c>
      <c r="J121" s="139">
        <v>0</v>
      </c>
      <c r="K121" s="140">
        <v>0</v>
      </c>
    </row>
    <row r="122" spans="1:11" s="8" customFormat="1">
      <c r="A122" s="141"/>
      <c r="B122" s="141"/>
      <c r="C122" s="42" t="s">
        <v>18</v>
      </c>
      <c r="D122" s="142">
        <v>0</v>
      </c>
      <c r="E122" s="142">
        <v>0</v>
      </c>
      <c r="F122" s="142">
        <v>0</v>
      </c>
      <c r="G122" s="142">
        <v>0</v>
      </c>
      <c r="H122" s="142">
        <v>0</v>
      </c>
      <c r="I122" s="142">
        <v>0</v>
      </c>
      <c r="J122" s="142">
        <v>0</v>
      </c>
      <c r="K122" s="143">
        <v>0</v>
      </c>
    </row>
    <row r="123" spans="1:11" s="8" customFormat="1">
      <c r="A123" s="144">
        <v>2</v>
      </c>
      <c r="B123" s="144" t="s">
        <v>31</v>
      </c>
      <c r="C123" s="45" t="s">
        <v>12</v>
      </c>
      <c r="D123" s="80">
        <v>11</v>
      </c>
      <c r="E123" s="80">
        <v>3</v>
      </c>
      <c r="F123" s="145">
        <v>14</v>
      </c>
      <c r="G123" s="80">
        <v>0</v>
      </c>
      <c r="H123" s="80">
        <v>720514901</v>
      </c>
      <c r="I123" s="80">
        <v>129245129</v>
      </c>
      <c r="J123" s="80">
        <v>325531797</v>
      </c>
      <c r="K123" s="81">
        <v>0</v>
      </c>
    </row>
    <row r="124" spans="1:11" s="8" customFormat="1">
      <c r="A124" s="146"/>
      <c r="B124" s="146"/>
      <c r="C124" s="45" t="s">
        <v>13</v>
      </c>
      <c r="D124" s="80">
        <v>45</v>
      </c>
      <c r="E124" s="145">
        <v>12</v>
      </c>
      <c r="F124" s="145">
        <v>3</v>
      </c>
      <c r="G124" s="80">
        <v>0</v>
      </c>
      <c r="H124" s="80">
        <v>1327056858</v>
      </c>
      <c r="I124" s="80">
        <v>354188433</v>
      </c>
      <c r="J124" s="80">
        <v>54665153</v>
      </c>
      <c r="K124" s="81">
        <v>0</v>
      </c>
    </row>
    <row r="125" spans="1:11" s="8" customFormat="1">
      <c r="A125" s="146"/>
      <c r="B125" s="146"/>
      <c r="C125" s="45" t="s">
        <v>14</v>
      </c>
      <c r="D125" s="80">
        <v>162</v>
      </c>
      <c r="E125" s="145">
        <v>15</v>
      </c>
      <c r="F125" s="80">
        <v>0</v>
      </c>
      <c r="G125" s="80">
        <v>0</v>
      </c>
      <c r="H125" s="80">
        <v>2713510130</v>
      </c>
      <c r="I125" s="80">
        <v>214074487</v>
      </c>
      <c r="J125" s="80">
        <v>0</v>
      </c>
      <c r="K125" s="81">
        <v>0</v>
      </c>
    </row>
    <row r="126" spans="1:11" s="8" customFormat="1" ht="10.5" thickBot="1">
      <c r="A126" s="146"/>
      <c r="B126" s="146"/>
      <c r="C126" s="53" t="s">
        <v>15</v>
      </c>
      <c r="D126" s="85">
        <v>93</v>
      </c>
      <c r="E126" s="147">
        <v>4</v>
      </c>
      <c r="F126" s="85">
        <v>0</v>
      </c>
      <c r="G126" s="85">
        <v>0</v>
      </c>
      <c r="H126" s="85">
        <v>1270318561</v>
      </c>
      <c r="I126" s="85">
        <v>31601169</v>
      </c>
      <c r="J126" s="85">
        <v>0</v>
      </c>
      <c r="K126" s="98">
        <v>0</v>
      </c>
    </row>
    <row r="127" spans="1:11" s="35" customFormat="1" ht="11.5" thickTop="1" thickBot="1">
      <c r="A127" s="146"/>
      <c r="B127" s="146"/>
      <c r="C127" s="30" t="s">
        <v>16</v>
      </c>
      <c r="D127" s="32">
        <f>SUM(D123:D126)</f>
        <v>311</v>
      </c>
      <c r="E127" s="32">
        <f>SUM(E123:E126)</f>
        <v>34</v>
      </c>
      <c r="F127" s="32">
        <f>SUM(F123:F126)</f>
        <v>17</v>
      </c>
      <c r="G127" s="32">
        <f>SUM(G123:G126)</f>
        <v>0</v>
      </c>
      <c r="H127" s="32">
        <f t="shared" ref="H127:K127" si="15">SUM(H123:H126)</f>
        <v>6031400450</v>
      </c>
      <c r="I127" s="32">
        <f t="shared" si="15"/>
        <v>729109218</v>
      </c>
      <c r="J127" s="32">
        <f t="shared" si="15"/>
        <v>380196950</v>
      </c>
      <c r="K127" s="86">
        <f t="shared" si="15"/>
        <v>0</v>
      </c>
    </row>
    <row r="128" spans="1:11" s="8" customFormat="1" ht="10.5" thickTop="1">
      <c r="A128" s="146"/>
      <c r="B128" s="146"/>
      <c r="C128" s="63" t="s">
        <v>17</v>
      </c>
      <c r="D128" s="64">
        <f>+D127</f>
        <v>311</v>
      </c>
      <c r="E128" s="64">
        <f>+E127</f>
        <v>34</v>
      </c>
      <c r="F128" s="64">
        <f t="shared" ref="F128:K128" si="16">+F127</f>
        <v>17</v>
      </c>
      <c r="G128" s="64">
        <f>+G127</f>
        <v>0</v>
      </c>
      <c r="H128" s="64">
        <f t="shared" si="16"/>
        <v>6031400450</v>
      </c>
      <c r="I128" s="64">
        <f t="shared" si="16"/>
        <v>729109218</v>
      </c>
      <c r="J128" s="64">
        <f t="shared" si="16"/>
        <v>380196950</v>
      </c>
      <c r="K128" s="148">
        <f t="shared" si="16"/>
        <v>0</v>
      </c>
    </row>
    <row r="129" spans="1:11" s="8" customFormat="1">
      <c r="A129" s="149"/>
      <c r="B129" s="149"/>
      <c r="C129" s="68" t="s">
        <v>18</v>
      </c>
      <c r="D129" s="80">
        <v>0</v>
      </c>
      <c r="E129" s="80">
        <v>0</v>
      </c>
      <c r="F129" s="80">
        <v>0</v>
      </c>
      <c r="G129" s="80">
        <v>0</v>
      </c>
      <c r="H129" s="80">
        <v>0</v>
      </c>
      <c r="I129" s="80">
        <v>0</v>
      </c>
      <c r="J129" s="80">
        <v>0</v>
      </c>
      <c r="K129" s="81">
        <v>0</v>
      </c>
    </row>
    <row r="130" spans="1:11" s="8" customFormat="1">
      <c r="A130" s="135">
        <v>3</v>
      </c>
      <c r="B130" s="135" t="s">
        <v>32</v>
      </c>
      <c r="C130" s="21" t="s">
        <v>12</v>
      </c>
      <c r="D130" s="18">
        <v>65</v>
      </c>
      <c r="E130" s="18">
        <v>7</v>
      </c>
      <c r="F130" s="18">
        <v>48</v>
      </c>
      <c r="G130" s="18">
        <v>1</v>
      </c>
      <c r="H130" s="18">
        <v>2939758565</v>
      </c>
      <c r="I130" s="18">
        <v>327158071</v>
      </c>
      <c r="J130" s="18">
        <v>533762695</v>
      </c>
      <c r="K130" s="150">
        <v>8861254</v>
      </c>
    </row>
    <row r="131" spans="1:11" s="8" customFormat="1">
      <c r="A131" s="137"/>
      <c r="B131" s="137"/>
      <c r="C131" s="21" t="s">
        <v>13</v>
      </c>
      <c r="D131" s="18">
        <v>101</v>
      </c>
      <c r="E131" s="18">
        <v>14</v>
      </c>
      <c r="F131" s="18">
        <v>0</v>
      </c>
      <c r="G131" s="18">
        <v>0</v>
      </c>
      <c r="H131" s="18">
        <v>2868016374</v>
      </c>
      <c r="I131" s="18">
        <v>329963083</v>
      </c>
      <c r="J131" s="18">
        <v>0</v>
      </c>
      <c r="K131" s="150">
        <v>0</v>
      </c>
    </row>
    <row r="132" spans="1:11" s="8" customFormat="1">
      <c r="A132" s="137"/>
      <c r="B132" s="137"/>
      <c r="C132" s="21" t="s">
        <v>14</v>
      </c>
      <c r="D132" s="18">
        <v>228</v>
      </c>
      <c r="E132" s="18">
        <v>21</v>
      </c>
      <c r="F132" s="18">
        <v>0</v>
      </c>
      <c r="G132" s="18">
        <v>0</v>
      </c>
      <c r="H132" s="18">
        <v>5392134978</v>
      </c>
      <c r="I132" s="18">
        <v>445715376</v>
      </c>
      <c r="J132" s="18">
        <v>0</v>
      </c>
      <c r="K132" s="150">
        <v>0</v>
      </c>
    </row>
    <row r="133" spans="1:11" s="8" customFormat="1" ht="10.5" thickBot="1">
      <c r="A133" s="137"/>
      <c r="B133" s="137"/>
      <c r="C133" s="24" t="s">
        <v>15</v>
      </c>
      <c r="D133" s="25">
        <v>570</v>
      </c>
      <c r="E133" s="25">
        <v>40</v>
      </c>
      <c r="F133" s="25">
        <v>0</v>
      </c>
      <c r="G133" s="25">
        <v>0</v>
      </c>
      <c r="H133" s="25">
        <v>8617729799</v>
      </c>
      <c r="I133" s="25">
        <v>452072981</v>
      </c>
      <c r="J133" s="25">
        <v>0</v>
      </c>
      <c r="K133" s="151">
        <v>0</v>
      </c>
    </row>
    <row r="134" spans="1:11" s="35" customFormat="1" ht="11.5" thickTop="1" thickBot="1">
      <c r="A134" s="137"/>
      <c r="B134" s="137"/>
      <c r="C134" s="30" t="s">
        <v>16</v>
      </c>
      <c r="D134" s="32">
        <f>SUM(D130:D133)</f>
        <v>964</v>
      </c>
      <c r="E134" s="32">
        <f>SUM(E130:E133)</f>
        <v>82</v>
      </c>
      <c r="F134" s="32">
        <f>SUM(F130:F133)</f>
        <v>48</v>
      </c>
      <c r="G134" s="32">
        <f>SUM(G130:G133)</f>
        <v>1</v>
      </c>
      <c r="H134" s="32">
        <f t="shared" ref="H134:K134" si="17">SUM(H130:H133)</f>
        <v>19817639716</v>
      </c>
      <c r="I134" s="32">
        <f t="shared" si="17"/>
        <v>1554909511</v>
      </c>
      <c r="J134" s="32">
        <f t="shared" si="17"/>
        <v>533762695</v>
      </c>
      <c r="K134" s="86">
        <f t="shared" si="17"/>
        <v>8861254</v>
      </c>
    </row>
    <row r="135" spans="1:11" s="8" customFormat="1" ht="10.5" thickTop="1">
      <c r="A135" s="137"/>
      <c r="B135" s="137"/>
      <c r="C135" s="38" t="s">
        <v>17</v>
      </c>
      <c r="D135" s="39">
        <f>+D134</f>
        <v>964</v>
      </c>
      <c r="E135" s="39">
        <f t="shared" ref="E135:K135" si="18">+E134</f>
        <v>82</v>
      </c>
      <c r="F135" s="39">
        <f t="shared" si="18"/>
        <v>48</v>
      </c>
      <c r="G135" s="39">
        <f t="shared" si="18"/>
        <v>1</v>
      </c>
      <c r="H135" s="39">
        <f t="shared" si="18"/>
        <v>19817639716</v>
      </c>
      <c r="I135" s="39">
        <f t="shared" si="18"/>
        <v>1554909511</v>
      </c>
      <c r="J135" s="39">
        <f t="shared" si="18"/>
        <v>533762695</v>
      </c>
      <c r="K135" s="152">
        <f t="shared" si="18"/>
        <v>8861254</v>
      </c>
    </row>
    <row r="136" spans="1:11" s="8" customFormat="1">
      <c r="A136" s="141"/>
      <c r="B136" s="141"/>
      <c r="C136" s="42" t="s">
        <v>18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50">
        <v>0</v>
      </c>
    </row>
    <row r="137" spans="1:11" s="8" customFormat="1">
      <c r="A137" s="144">
        <v>4</v>
      </c>
      <c r="B137" s="144" t="s">
        <v>33</v>
      </c>
      <c r="C137" s="45" t="s">
        <v>12</v>
      </c>
      <c r="D137" s="153">
        <v>127</v>
      </c>
      <c r="E137" s="153">
        <v>13</v>
      </c>
      <c r="F137" s="153">
        <v>20</v>
      </c>
      <c r="G137" s="153">
        <v>1</v>
      </c>
      <c r="H137" s="154">
        <v>4137042346</v>
      </c>
      <c r="I137" s="154">
        <v>130726878</v>
      </c>
      <c r="J137" s="154">
        <v>307600667</v>
      </c>
      <c r="K137" s="155">
        <v>18724687</v>
      </c>
    </row>
    <row r="138" spans="1:11" s="8" customFormat="1">
      <c r="A138" s="146"/>
      <c r="B138" s="146"/>
      <c r="C138" s="45" t="s">
        <v>13</v>
      </c>
      <c r="D138" s="153">
        <v>282</v>
      </c>
      <c r="E138" s="153">
        <v>50</v>
      </c>
      <c r="F138" s="80">
        <v>0</v>
      </c>
      <c r="G138" s="80">
        <v>0</v>
      </c>
      <c r="H138" s="154">
        <v>1350888896</v>
      </c>
      <c r="I138" s="154">
        <v>263387415</v>
      </c>
      <c r="J138" s="80">
        <v>0</v>
      </c>
      <c r="K138" s="81">
        <v>0</v>
      </c>
    </row>
    <row r="139" spans="1:11" s="8" customFormat="1">
      <c r="A139" s="146"/>
      <c r="B139" s="146"/>
      <c r="C139" s="45" t="s">
        <v>14</v>
      </c>
      <c r="D139" s="153">
        <v>576</v>
      </c>
      <c r="E139" s="153">
        <v>26</v>
      </c>
      <c r="F139" s="80">
        <v>0</v>
      </c>
      <c r="G139" s="80">
        <v>0</v>
      </c>
      <c r="H139" s="154">
        <v>1214940374</v>
      </c>
      <c r="I139" s="154">
        <v>74447927</v>
      </c>
      <c r="J139" s="80">
        <v>0</v>
      </c>
      <c r="K139" s="81">
        <v>0</v>
      </c>
    </row>
    <row r="140" spans="1:11" s="8" customFormat="1" ht="10.5" thickBot="1">
      <c r="A140" s="146"/>
      <c r="B140" s="146"/>
      <c r="C140" s="53" t="s">
        <v>15</v>
      </c>
      <c r="D140" s="156">
        <v>20</v>
      </c>
      <c r="E140" s="156">
        <v>3</v>
      </c>
      <c r="F140" s="85">
        <v>0</v>
      </c>
      <c r="G140" s="85">
        <v>0</v>
      </c>
      <c r="H140" s="157">
        <v>33160354</v>
      </c>
      <c r="I140" s="157">
        <v>5695572</v>
      </c>
      <c r="J140" s="85">
        <v>0</v>
      </c>
      <c r="K140" s="98">
        <v>0</v>
      </c>
    </row>
    <row r="141" spans="1:11" s="35" customFormat="1" ht="11.5" thickTop="1" thickBot="1">
      <c r="A141" s="146"/>
      <c r="B141" s="146"/>
      <c r="C141" s="30" t="s">
        <v>16</v>
      </c>
      <c r="D141" s="32">
        <f t="shared" ref="D141:G141" si="19">SUM(D137:D140)</f>
        <v>1005</v>
      </c>
      <c r="E141" s="32">
        <f t="shared" si="19"/>
        <v>92</v>
      </c>
      <c r="F141" s="32">
        <f t="shared" si="19"/>
        <v>20</v>
      </c>
      <c r="G141" s="32">
        <f t="shared" si="19"/>
        <v>1</v>
      </c>
      <c r="H141" s="32">
        <v>6736031970</v>
      </c>
      <c r="I141" s="32">
        <v>474257792</v>
      </c>
      <c r="J141" s="32">
        <v>307600667</v>
      </c>
      <c r="K141" s="86">
        <v>18724687</v>
      </c>
    </row>
    <row r="142" spans="1:11" s="8" customFormat="1" ht="10.5" thickTop="1">
      <c r="A142" s="146"/>
      <c r="B142" s="146"/>
      <c r="C142" s="63" t="s">
        <v>17</v>
      </c>
      <c r="D142" s="158">
        <f>+D141</f>
        <v>1005</v>
      </c>
      <c r="E142" s="158">
        <f t="shared" ref="E142:K142" si="20">+E141</f>
        <v>92</v>
      </c>
      <c r="F142" s="158">
        <f t="shared" si="20"/>
        <v>20</v>
      </c>
      <c r="G142" s="158">
        <f t="shared" si="20"/>
        <v>1</v>
      </c>
      <c r="H142" s="158">
        <f t="shared" si="20"/>
        <v>6736031970</v>
      </c>
      <c r="I142" s="158">
        <f t="shared" si="20"/>
        <v>474257792</v>
      </c>
      <c r="J142" s="158">
        <f t="shared" si="20"/>
        <v>307600667</v>
      </c>
      <c r="K142" s="159">
        <f t="shared" si="20"/>
        <v>18724687</v>
      </c>
    </row>
    <row r="143" spans="1:11" s="8" customFormat="1">
      <c r="A143" s="149"/>
      <c r="B143" s="149"/>
      <c r="C143" s="68" t="s">
        <v>18</v>
      </c>
      <c r="D143" s="153">
        <v>0</v>
      </c>
      <c r="E143" s="153">
        <v>0</v>
      </c>
      <c r="F143" s="153">
        <v>0</v>
      </c>
      <c r="G143" s="153">
        <v>0</v>
      </c>
      <c r="H143" s="153">
        <v>0</v>
      </c>
      <c r="I143" s="153">
        <v>0</v>
      </c>
      <c r="J143" s="153">
        <v>0</v>
      </c>
      <c r="K143" s="160">
        <v>0</v>
      </c>
    </row>
    <row r="144" spans="1:11" s="8" customFormat="1">
      <c r="A144" s="135">
        <v>5</v>
      </c>
      <c r="B144" s="135" t="s">
        <v>34</v>
      </c>
      <c r="C144" s="21" t="s">
        <v>12</v>
      </c>
      <c r="D144" s="18">
        <v>29</v>
      </c>
      <c r="E144" s="18">
        <v>8</v>
      </c>
      <c r="F144" s="18">
        <v>49</v>
      </c>
      <c r="G144" s="18">
        <v>0</v>
      </c>
      <c r="H144" s="18">
        <v>1278047693</v>
      </c>
      <c r="I144" s="18">
        <v>312756410</v>
      </c>
      <c r="J144" s="18">
        <v>9553678561</v>
      </c>
      <c r="K144" s="150">
        <v>0</v>
      </c>
    </row>
    <row r="145" spans="1:11" s="8" customFormat="1">
      <c r="A145" s="137"/>
      <c r="B145" s="137"/>
      <c r="C145" s="21" t="s">
        <v>13</v>
      </c>
      <c r="D145" s="18">
        <v>108</v>
      </c>
      <c r="E145" s="18">
        <v>30</v>
      </c>
      <c r="F145" s="18">
        <v>0</v>
      </c>
      <c r="G145" s="18">
        <v>0</v>
      </c>
      <c r="H145" s="18">
        <v>2184142456</v>
      </c>
      <c r="I145" s="18">
        <v>483340514</v>
      </c>
      <c r="J145" s="18">
        <v>0</v>
      </c>
      <c r="K145" s="150">
        <v>0</v>
      </c>
    </row>
    <row r="146" spans="1:11" s="8" customFormat="1">
      <c r="A146" s="137"/>
      <c r="B146" s="137"/>
      <c r="C146" s="21" t="s">
        <v>14</v>
      </c>
      <c r="D146" s="18">
        <v>299</v>
      </c>
      <c r="E146" s="18">
        <v>42</v>
      </c>
      <c r="F146" s="18">
        <v>0</v>
      </c>
      <c r="G146" s="18">
        <v>0</v>
      </c>
      <c r="H146" s="18">
        <v>3634276287</v>
      </c>
      <c r="I146" s="18">
        <v>464335433</v>
      </c>
      <c r="J146" s="18">
        <v>0</v>
      </c>
      <c r="K146" s="150">
        <v>0</v>
      </c>
    </row>
    <row r="147" spans="1:11" s="8" customFormat="1" ht="10.5" thickBot="1">
      <c r="A147" s="137"/>
      <c r="B147" s="137"/>
      <c r="C147" s="24" t="s">
        <v>15</v>
      </c>
      <c r="D147" s="25">
        <v>281</v>
      </c>
      <c r="E147" s="25">
        <v>25</v>
      </c>
      <c r="F147" s="25">
        <v>0</v>
      </c>
      <c r="G147" s="25">
        <v>0</v>
      </c>
      <c r="H147" s="25">
        <v>2248903027</v>
      </c>
      <c r="I147" s="25">
        <v>117357586</v>
      </c>
      <c r="J147" s="25">
        <v>0</v>
      </c>
      <c r="K147" s="151">
        <v>0</v>
      </c>
    </row>
    <row r="148" spans="1:11" s="35" customFormat="1" ht="11.5" thickTop="1" thickBot="1">
      <c r="A148" s="137"/>
      <c r="B148" s="137"/>
      <c r="C148" s="30" t="s">
        <v>16</v>
      </c>
      <c r="D148" s="32">
        <f>SUM(D144:D147)</f>
        <v>717</v>
      </c>
      <c r="E148" s="32">
        <f>SUM(E144:E147)</f>
        <v>105</v>
      </c>
      <c r="F148" s="32">
        <f>SUM(F144:F147)</f>
        <v>49</v>
      </c>
      <c r="G148" s="32">
        <f>SUM(G144:G147)</f>
        <v>0</v>
      </c>
      <c r="H148" s="32">
        <v>9345369463</v>
      </c>
      <c r="I148" s="32">
        <v>1377789943</v>
      </c>
      <c r="J148" s="32">
        <v>9553678561</v>
      </c>
      <c r="K148" s="86">
        <f t="shared" ref="K148" si="21">SUM(K144:K147)</f>
        <v>0</v>
      </c>
    </row>
    <row r="149" spans="1:11" s="8" customFormat="1" ht="10.5" thickTop="1">
      <c r="A149" s="137"/>
      <c r="B149" s="137"/>
      <c r="C149" s="38" t="s">
        <v>17</v>
      </c>
      <c r="D149" s="158">
        <f>+D148</f>
        <v>717</v>
      </c>
      <c r="E149" s="158">
        <f t="shared" ref="E149:K149" si="22">+E148</f>
        <v>105</v>
      </c>
      <c r="F149" s="158">
        <f t="shared" si="22"/>
        <v>49</v>
      </c>
      <c r="G149" s="158">
        <f t="shared" si="22"/>
        <v>0</v>
      </c>
      <c r="H149" s="158">
        <f t="shared" si="22"/>
        <v>9345369463</v>
      </c>
      <c r="I149" s="158">
        <f t="shared" si="22"/>
        <v>1377789943</v>
      </c>
      <c r="J149" s="158">
        <f t="shared" si="22"/>
        <v>9553678561</v>
      </c>
      <c r="K149" s="159">
        <f t="shared" si="22"/>
        <v>0</v>
      </c>
    </row>
    <row r="150" spans="1:11" s="8" customFormat="1">
      <c r="A150" s="141"/>
      <c r="B150" s="141"/>
      <c r="C150" s="42" t="s">
        <v>18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50">
        <v>0</v>
      </c>
    </row>
    <row r="151" spans="1:11" s="8" customFormat="1">
      <c r="A151" s="144">
        <v>6</v>
      </c>
      <c r="B151" s="144" t="s">
        <v>35</v>
      </c>
      <c r="C151" s="45" t="s">
        <v>12</v>
      </c>
      <c r="D151" s="161">
        <v>1</v>
      </c>
      <c r="E151" s="80">
        <v>1</v>
      </c>
      <c r="F151" s="145">
        <v>3</v>
      </c>
      <c r="G151" s="80">
        <v>0</v>
      </c>
      <c r="H151" s="80">
        <v>127096250</v>
      </c>
      <c r="I151" s="80">
        <v>25949744</v>
      </c>
      <c r="J151" s="80">
        <v>0</v>
      </c>
      <c r="K151" s="81">
        <v>0</v>
      </c>
    </row>
    <row r="152" spans="1:11" s="8" customFormat="1">
      <c r="A152" s="146"/>
      <c r="B152" s="146"/>
      <c r="C152" s="45" t="s">
        <v>13</v>
      </c>
      <c r="D152" s="161">
        <v>6</v>
      </c>
      <c r="E152" s="161">
        <v>0</v>
      </c>
      <c r="F152" s="161">
        <v>0</v>
      </c>
      <c r="G152" s="161">
        <v>1</v>
      </c>
      <c r="H152" s="161">
        <v>92742158</v>
      </c>
      <c r="I152" s="161">
        <v>10755800</v>
      </c>
      <c r="J152" s="80">
        <v>0</v>
      </c>
      <c r="K152" s="81">
        <v>0</v>
      </c>
    </row>
    <row r="153" spans="1:11" s="8" customFormat="1">
      <c r="A153" s="146"/>
      <c r="B153" s="146"/>
      <c r="C153" s="45" t="s">
        <v>14</v>
      </c>
      <c r="D153" s="161">
        <v>15</v>
      </c>
      <c r="E153" s="145">
        <v>3</v>
      </c>
      <c r="F153" s="80">
        <v>0</v>
      </c>
      <c r="G153" s="80">
        <v>1</v>
      </c>
      <c r="H153" s="80">
        <v>112233975</v>
      </c>
      <c r="I153" s="80">
        <v>27594739</v>
      </c>
      <c r="J153" s="80">
        <v>0</v>
      </c>
      <c r="K153" s="81">
        <v>0</v>
      </c>
    </row>
    <row r="154" spans="1:11" s="8" customFormat="1" ht="10.5" thickBot="1">
      <c r="A154" s="146"/>
      <c r="B154" s="146"/>
      <c r="C154" s="53" t="s">
        <v>15</v>
      </c>
      <c r="D154" s="162">
        <v>34</v>
      </c>
      <c r="E154" s="147">
        <v>3</v>
      </c>
      <c r="F154" s="85">
        <v>0</v>
      </c>
      <c r="G154" s="85">
        <v>0</v>
      </c>
      <c r="H154" s="85">
        <v>153244263</v>
      </c>
      <c r="I154" s="85">
        <v>11931162</v>
      </c>
      <c r="J154" s="85">
        <v>0</v>
      </c>
      <c r="K154" s="98">
        <v>0</v>
      </c>
    </row>
    <row r="155" spans="1:11" s="35" customFormat="1" ht="11.5" thickTop="1" thickBot="1">
      <c r="A155" s="146"/>
      <c r="B155" s="146"/>
      <c r="C155" s="30" t="s">
        <v>16</v>
      </c>
      <c r="D155" s="32">
        <f>SUM(D151:D154)</f>
        <v>56</v>
      </c>
      <c r="E155" s="32">
        <f>SUM(E151:E154)</f>
        <v>7</v>
      </c>
      <c r="F155" s="32">
        <f>SUM(F151:F154)</f>
        <v>3</v>
      </c>
      <c r="G155" s="32">
        <f>SUM(G151:G154)</f>
        <v>2</v>
      </c>
      <c r="H155" s="32">
        <f t="shared" ref="H155:K155" si="23">SUM(H151:H154)</f>
        <v>485316646</v>
      </c>
      <c r="I155" s="32">
        <f t="shared" si="23"/>
        <v>76231445</v>
      </c>
      <c r="J155" s="32">
        <f t="shared" si="23"/>
        <v>0</v>
      </c>
      <c r="K155" s="86">
        <f t="shared" si="23"/>
        <v>0</v>
      </c>
    </row>
    <row r="156" spans="1:11" s="8" customFormat="1" ht="10.5" thickTop="1">
      <c r="A156" s="146"/>
      <c r="B156" s="146"/>
      <c r="C156" s="63" t="s">
        <v>17</v>
      </c>
      <c r="D156" s="158">
        <f>+D155</f>
        <v>56</v>
      </c>
      <c r="E156" s="158">
        <f t="shared" ref="E156:I156" si="24">+E155</f>
        <v>7</v>
      </c>
      <c r="F156" s="158">
        <f t="shared" si="24"/>
        <v>3</v>
      </c>
      <c r="G156" s="158">
        <f t="shared" si="24"/>
        <v>2</v>
      </c>
      <c r="H156" s="158">
        <f t="shared" si="24"/>
        <v>485316646</v>
      </c>
      <c r="I156" s="158">
        <f t="shared" si="24"/>
        <v>76231445</v>
      </c>
      <c r="J156" s="88">
        <v>0</v>
      </c>
      <c r="K156" s="89">
        <v>0</v>
      </c>
    </row>
    <row r="157" spans="1:11" s="8" customFormat="1">
      <c r="A157" s="149"/>
      <c r="B157" s="149"/>
      <c r="C157" s="68" t="s">
        <v>18</v>
      </c>
      <c r="D157" s="80">
        <v>0</v>
      </c>
      <c r="E157" s="80">
        <v>0</v>
      </c>
      <c r="F157" s="80">
        <v>0</v>
      </c>
      <c r="G157" s="80">
        <v>0</v>
      </c>
      <c r="H157" s="80">
        <v>0</v>
      </c>
      <c r="I157" s="80">
        <v>0</v>
      </c>
      <c r="J157" s="80">
        <v>0</v>
      </c>
      <c r="K157" s="81">
        <v>0</v>
      </c>
    </row>
    <row r="158" spans="1:11" s="8" customFormat="1">
      <c r="A158" s="135">
        <v>7</v>
      </c>
      <c r="B158" s="135" t="s">
        <v>36</v>
      </c>
      <c r="C158" s="21" t="s">
        <v>12</v>
      </c>
      <c r="D158" s="136">
        <v>9</v>
      </c>
      <c r="E158" s="18">
        <v>0</v>
      </c>
      <c r="F158" s="136">
        <v>60</v>
      </c>
      <c r="G158" s="18">
        <v>1</v>
      </c>
      <c r="H158" s="18">
        <v>687356577</v>
      </c>
      <c r="I158" s="18">
        <v>0</v>
      </c>
      <c r="J158" s="18">
        <v>2574160620</v>
      </c>
      <c r="K158" s="150">
        <v>45768600</v>
      </c>
    </row>
    <row r="159" spans="1:11" s="8" customFormat="1">
      <c r="A159" s="137"/>
      <c r="B159" s="137"/>
      <c r="C159" s="21" t="s">
        <v>13</v>
      </c>
      <c r="D159" s="136">
        <v>176</v>
      </c>
      <c r="E159" s="136">
        <v>26</v>
      </c>
      <c r="F159" s="18">
        <v>0</v>
      </c>
      <c r="G159" s="18">
        <v>0</v>
      </c>
      <c r="H159" s="18">
        <v>2402035841</v>
      </c>
      <c r="I159" s="18">
        <v>388613740</v>
      </c>
      <c r="J159" s="18">
        <v>0</v>
      </c>
      <c r="K159" s="150">
        <v>0</v>
      </c>
    </row>
    <row r="160" spans="1:11" s="8" customFormat="1">
      <c r="A160" s="137"/>
      <c r="B160" s="137"/>
      <c r="C160" s="21" t="s">
        <v>14</v>
      </c>
      <c r="D160" s="136">
        <v>963</v>
      </c>
      <c r="E160" s="136">
        <v>24</v>
      </c>
      <c r="F160" s="136">
        <v>1</v>
      </c>
      <c r="G160" s="18">
        <v>0</v>
      </c>
      <c r="H160" s="18">
        <v>9401108110</v>
      </c>
      <c r="I160" s="18">
        <v>189756279</v>
      </c>
      <c r="J160" s="18">
        <v>11700564</v>
      </c>
      <c r="K160" s="150">
        <v>0</v>
      </c>
    </row>
    <row r="161" spans="1:11" s="8" customFormat="1" ht="10.5" thickBot="1">
      <c r="A161" s="137"/>
      <c r="B161" s="137"/>
      <c r="C161" s="24" t="s">
        <v>15</v>
      </c>
      <c r="D161" s="138">
        <v>9</v>
      </c>
      <c r="E161" s="25">
        <v>0</v>
      </c>
      <c r="F161" s="25">
        <v>0</v>
      </c>
      <c r="G161" s="25">
        <v>0</v>
      </c>
      <c r="H161" s="25">
        <v>61198013</v>
      </c>
      <c r="I161" s="25">
        <v>0</v>
      </c>
      <c r="J161" s="25">
        <v>0</v>
      </c>
      <c r="K161" s="151">
        <v>0</v>
      </c>
    </row>
    <row r="162" spans="1:11" s="35" customFormat="1" ht="11.5" thickTop="1" thickBot="1">
      <c r="A162" s="137"/>
      <c r="B162" s="137"/>
      <c r="C162" s="30" t="s">
        <v>16</v>
      </c>
      <c r="D162" s="31">
        <f>SUM(D158:D161)</f>
        <v>1157</v>
      </c>
      <c r="E162" s="32">
        <f>SUM(E158:E161)</f>
        <v>50</v>
      </c>
      <c r="F162" s="32">
        <f>SUM(F158:F161)</f>
        <v>61</v>
      </c>
      <c r="G162" s="32">
        <f>SUM(G158:G161)</f>
        <v>1</v>
      </c>
      <c r="H162" s="32">
        <v>12551698541</v>
      </c>
      <c r="I162" s="32">
        <v>578370019</v>
      </c>
      <c r="J162" s="32">
        <v>2585861184</v>
      </c>
      <c r="K162" s="86">
        <v>45768600</v>
      </c>
    </row>
    <row r="163" spans="1:11" s="8" customFormat="1" ht="10.5" thickTop="1">
      <c r="A163" s="137"/>
      <c r="B163" s="137"/>
      <c r="C163" s="38" t="s">
        <v>17</v>
      </c>
      <c r="D163" s="158">
        <f>+D162</f>
        <v>1157</v>
      </c>
      <c r="E163" s="158">
        <f t="shared" ref="E163:G163" si="25">+E162</f>
        <v>50</v>
      </c>
      <c r="F163" s="158">
        <f t="shared" si="25"/>
        <v>61</v>
      </c>
      <c r="G163" s="158">
        <f t="shared" si="25"/>
        <v>1</v>
      </c>
      <c r="H163" s="39">
        <f>H162</f>
        <v>12551698541</v>
      </c>
      <c r="I163" s="39">
        <v>578370019</v>
      </c>
      <c r="J163" s="39">
        <v>2585861184.1156998</v>
      </c>
      <c r="K163" s="152">
        <f>+K162</f>
        <v>45768600</v>
      </c>
    </row>
    <row r="164" spans="1:11" s="8" customFormat="1">
      <c r="A164" s="141"/>
      <c r="B164" s="141"/>
      <c r="C164" s="42" t="s">
        <v>18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50">
        <v>0</v>
      </c>
    </row>
    <row r="165" spans="1:11" s="8" customFormat="1">
      <c r="A165" s="144">
        <v>8</v>
      </c>
      <c r="B165" s="144" t="s">
        <v>37</v>
      </c>
      <c r="C165" s="45" t="s">
        <v>12</v>
      </c>
      <c r="D165" s="161">
        <v>15</v>
      </c>
      <c r="E165" s="145">
        <v>1</v>
      </c>
      <c r="F165" s="145">
        <v>9</v>
      </c>
      <c r="G165" s="80">
        <v>2</v>
      </c>
      <c r="H165" s="80">
        <v>514119589</v>
      </c>
      <c r="I165" s="80">
        <v>28588704</v>
      </c>
      <c r="J165" s="80">
        <v>1023282951</v>
      </c>
      <c r="K165" s="81">
        <v>0</v>
      </c>
    </row>
    <row r="166" spans="1:11" s="8" customFormat="1">
      <c r="A166" s="146"/>
      <c r="B166" s="146"/>
      <c r="C166" s="45" t="s">
        <v>13</v>
      </c>
      <c r="D166" s="161">
        <v>38</v>
      </c>
      <c r="E166" s="145">
        <v>2</v>
      </c>
      <c r="F166" s="80">
        <v>0</v>
      </c>
      <c r="G166" s="80">
        <v>0</v>
      </c>
      <c r="H166" s="80">
        <v>682065793</v>
      </c>
      <c r="I166" s="80">
        <v>41578183</v>
      </c>
      <c r="J166" s="80">
        <v>0</v>
      </c>
      <c r="K166" s="81">
        <v>0</v>
      </c>
    </row>
    <row r="167" spans="1:11" s="8" customFormat="1">
      <c r="A167" s="146"/>
      <c r="B167" s="146"/>
      <c r="C167" s="45" t="s">
        <v>14</v>
      </c>
      <c r="D167" s="161">
        <v>194</v>
      </c>
      <c r="E167" s="145">
        <v>30</v>
      </c>
      <c r="F167" s="80">
        <v>0</v>
      </c>
      <c r="G167" s="80">
        <v>0</v>
      </c>
      <c r="H167" s="80">
        <v>1668230519</v>
      </c>
      <c r="I167" s="80">
        <v>200708924</v>
      </c>
      <c r="J167" s="80">
        <v>0</v>
      </c>
      <c r="K167" s="81">
        <v>0</v>
      </c>
    </row>
    <row r="168" spans="1:11" s="8" customFormat="1" ht="10.5" thickBot="1">
      <c r="A168" s="146"/>
      <c r="B168" s="146"/>
      <c r="C168" s="53" t="s">
        <v>15</v>
      </c>
      <c r="D168" s="162">
        <v>113</v>
      </c>
      <c r="E168" s="147">
        <v>1</v>
      </c>
      <c r="F168" s="85">
        <v>0</v>
      </c>
      <c r="G168" s="85">
        <v>0</v>
      </c>
      <c r="H168" s="85">
        <v>666661080</v>
      </c>
      <c r="I168" s="85">
        <v>8509289</v>
      </c>
      <c r="J168" s="85">
        <v>0</v>
      </c>
      <c r="K168" s="98">
        <v>0</v>
      </c>
    </row>
    <row r="169" spans="1:11" s="35" customFormat="1" ht="11.5" thickTop="1" thickBot="1">
      <c r="A169" s="146"/>
      <c r="B169" s="146"/>
      <c r="C169" s="30" t="s">
        <v>16</v>
      </c>
      <c r="D169" s="32">
        <f>SUM(D165:D168)</f>
        <v>360</v>
      </c>
      <c r="E169" s="32">
        <f>SUM(E165:E168)</f>
        <v>34</v>
      </c>
      <c r="F169" s="32">
        <f>SUM(F165:F168)</f>
        <v>9</v>
      </c>
      <c r="G169" s="32">
        <f>SUM(G165:G168)</f>
        <v>2</v>
      </c>
      <c r="H169" s="32">
        <v>3531076981</v>
      </c>
      <c r="I169" s="32">
        <v>279385100</v>
      </c>
      <c r="J169" s="32">
        <v>1023282951</v>
      </c>
      <c r="K169" s="86">
        <v>0</v>
      </c>
    </row>
    <row r="170" spans="1:11" s="8" customFormat="1" ht="10.5" thickTop="1">
      <c r="A170" s="146"/>
      <c r="B170" s="146"/>
      <c r="C170" s="63" t="s">
        <v>17</v>
      </c>
      <c r="D170" s="158">
        <f>+D169</f>
        <v>360</v>
      </c>
      <c r="E170" s="158">
        <f t="shared" ref="E170:K170" si="26">+E169</f>
        <v>34</v>
      </c>
      <c r="F170" s="158">
        <f t="shared" si="26"/>
        <v>9</v>
      </c>
      <c r="G170" s="158">
        <f t="shared" si="26"/>
        <v>2</v>
      </c>
      <c r="H170" s="158">
        <f t="shared" si="26"/>
        <v>3531076981</v>
      </c>
      <c r="I170" s="158">
        <f t="shared" si="26"/>
        <v>279385100</v>
      </c>
      <c r="J170" s="158">
        <f t="shared" si="26"/>
        <v>1023282951</v>
      </c>
      <c r="K170" s="159">
        <f t="shared" si="26"/>
        <v>0</v>
      </c>
    </row>
    <row r="171" spans="1:11" s="8" customFormat="1">
      <c r="A171" s="149"/>
      <c r="B171" s="149"/>
      <c r="C171" s="68" t="s">
        <v>18</v>
      </c>
      <c r="D171" s="80">
        <v>0</v>
      </c>
      <c r="E171" s="80">
        <v>0</v>
      </c>
      <c r="F171" s="80">
        <v>0</v>
      </c>
      <c r="G171" s="80">
        <v>0</v>
      </c>
      <c r="H171" s="80">
        <v>0</v>
      </c>
      <c r="I171" s="80">
        <v>0</v>
      </c>
      <c r="J171" s="80">
        <v>0</v>
      </c>
      <c r="K171" s="81">
        <v>0</v>
      </c>
    </row>
    <row r="172" spans="1:11" s="8" customFormat="1">
      <c r="A172" s="135">
        <v>9</v>
      </c>
      <c r="B172" s="135" t="s">
        <v>38</v>
      </c>
      <c r="C172" s="21" t="s">
        <v>12</v>
      </c>
      <c r="D172" s="136">
        <v>37</v>
      </c>
      <c r="E172" s="142">
        <v>3</v>
      </c>
      <c r="F172" s="142">
        <v>45</v>
      </c>
      <c r="G172" s="18">
        <v>2</v>
      </c>
      <c r="H172" s="18">
        <v>1479000000</v>
      </c>
      <c r="I172" s="18">
        <v>84000000</v>
      </c>
      <c r="J172" s="18">
        <v>4799000000</v>
      </c>
      <c r="K172" s="150">
        <v>117000000</v>
      </c>
    </row>
    <row r="173" spans="1:11" s="8" customFormat="1">
      <c r="A173" s="137"/>
      <c r="B173" s="137"/>
      <c r="C173" s="21" t="s">
        <v>13</v>
      </c>
      <c r="D173" s="70">
        <v>12</v>
      </c>
      <c r="E173" s="18">
        <v>0</v>
      </c>
      <c r="F173" s="18">
        <v>0</v>
      </c>
      <c r="G173" s="18">
        <v>0</v>
      </c>
      <c r="H173" s="18">
        <v>217000000</v>
      </c>
      <c r="I173" s="18">
        <v>0</v>
      </c>
      <c r="J173" s="18"/>
      <c r="K173" s="150"/>
    </row>
    <row r="174" spans="1:11" s="8" customFormat="1">
      <c r="A174" s="137"/>
      <c r="B174" s="137"/>
      <c r="C174" s="21" t="s">
        <v>14</v>
      </c>
      <c r="D174" s="136">
        <v>169</v>
      </c>
      <c r="E174" s="142">
        <v>20</v>
      </c>
      <c r="F174" s="18">
        <v>0</v>
      </c>
      <c r="G174" s="18">
        <v>0</v>
      </c>
      <c r="H174" s="18">
        <v>1465000000</v>
      </c>
      <c r="I174" s="18">
        <v>175000000</v>
      </c>
      <c r="J174" s="18"/>
      <c r="K174" s="150"/>
    </row>
    <row r="175" spans="1:11" s="8" customFormat="1" ht="10.5" thickBot="1">
      <c r="A175" s="137"/>
      <c r="B175" s="137"/>
      <c r="C175" s="24" t="s">
        <v>15</v>
      </c>
      <c r="D175" s="138">
        <v>27</v>
      </c>
      <c r="E175" s="163">
        <v>3</v>
      </c>
      <c r="F175" s="25">
        <v>0</v>
      </c>
      <c r="G175" s="25">
        <v>0</v>
      </c>
      <c r="H175" s="25">
        <v>138000000</v>
      </c>
      <c r="I175" s="25">
        <v>15000000</v>
      </c>
      <c r="J175" s="25"/>
      <c r="K175" s="151"/>
    </row>
    <row r="176" spans="1:11" s="35" customFormat="1" ht="11.5" thickTop="1" thickBot="1">
      <c r="A176" s="137"/>
      <c r="B176" s="137"/>
      <c r="C176" s="30" t="s">
        <v>16</v>
      </c>
      <c r="D176" s="164">
        <f>SUM(D172:D175)</f>
        <v>245</v>
      </c>
      <c r="E176" s="165">
        <f>SUM(E172:E175)</f>
        <v>26</v>
      </c>
      <c r="F176" s="165">
        <f>SUM(F172:F175)</f>
        <v>45</v>
      </c>
      <c r="G176" s="32">
        <f>SUM(G172:G175)</f>
        <v>2</v>
      </c>
      <c r="H176" s="32">
        <v>3299000000</v>
      </c>
      <c r="I176" s="32">
        <f t="shared" ref="I176:K176" si="27">SUM(I172:I175)</f>
        <v>274000000</v>
      </c>
      <c r="J176" s="32">
        <f>SUM(J172:J175)</f>
        <v>4799000000</v>
      </c>
      <c r="K176" s="86">
        <f t="shared" si="27"/>
        <v>117000000</v>
      </c>
    </row>
    <row r="177" spans="1:11" s="8" customFormat="1" ht="10.5" thickTop="1">
      <c r="A177" s="137"/>
      <c r="B177" s="137"/>
      <c r="C177" s="38" t="s">
        <v>17</v>
      </c>
      <c r="D177" s="166">
        <v>245</v>
      </c>
      <c r="E177" s="166">
        <v>26</v>
      </c>
      <c r="F177" s="166">
        <v>45</v>
      </c>
      <c r="G177" s="166">
        <v>2</v>
      </c>
      <c r="H177" s="39">
        <v>3299000000</v>
      </c>
      <c r="I177" s="77">
        <v>274000000</v>
      </c>
      <c r="J177" s="77">
        <v>4799000000</v>
      </c>
      <c r="K177" s="78">
        <v>117000000</v>
      </c>
    </row>
    <row r="178" spans="1:11" s="8" customFormat="1">
      <c r="A178" s="141"/>
      <c r="B178" s="141"/>
      <c r="C178" s="42" t="s">
        <v>18</v>
      </c>
      <c r="D178" s="136">
        <v>0</v>
      </c>
      <c r="E178" s="136">
        <v>0</v>
      </c>
      <c r="F178" s="136">
        <v>0</v>
      </c>
      <c r="G178" s="136">
        <v>0</v>
      </c>
      <c r="H178" s="136">
        <v>0</v>
      </c>
      <c r="I178" s="136">
        <v>0</v>
      </c>
      <c r="J178" s="136">
        <v>0</v>
      </c>
      <c r="K178" s="167">
        <v>0</v>
      </c>
    </row>
    <row r="179" spans="1:11" s="8" customFormat="1">
      <c r="A179" s="144">
        <v>10</v>
      </c>
      <c r="B179" s="144" t="s">
        <v>39</v>
      </c>
      <c r="C179" s="45" t="s">
        <v>12</v>
      </c>
      <c r="D179" s="161">
        <v>6</v>
      </c>
      <c r="E179" s="145">
        <v>5</v>
      </c>
      <c r="F179" s="145">
        <v>6</v>
      </c>
      <c r="G179" s="80">
        <v>1</v>
      </c>
      <c r="H179" s="80">
        <v>0</v>
      </c>
      <c r="I179" s="80">
        <v>0</v>
      </c>
      <c r="J179" s="80">
        <v>158618451</v>
      </c>
      <c r="K179" s="81">
        <v>22235972</v>
      </c>
    </row>
    <row r="180" spans="1:11" s="8" customFormat="1">
      <c r="A180" s="146"/>
      <c r="B180" s="146"/>
      <c r="C180" s="45" t="s">
        <v>13</v>
      </c>
      <c r="D180" s="80">
        <v>0</v>
      </c>
      <c r="E180" s="80">
        <v>0</v>
      </c>
      <c r="F180" s="80">
        <v>0</v>
      </c>
      <c r="G180" s="80">
        <v>0</v>
      </c>
      <c r="H180" s="80">
        <v>0</v>
      </c>
      <c r="I180" s="80">
        <v>0</v>
      </c>
      <c r="J180" s="80">
        <v>0</v>
      </c>
      <c r="K180" s="81"/>
    </row>
    <row r="181" spans="1:11" s="8" customFormat="1">
      <c r="A181" s="146"/>
      <c r="B181" s="146"/>
      <c r="C181" s="45" t="s">
        <v>14</v>
      </c>
      <c r="D181" s="161">
        <v>30</v>
      </c>
      <c r="E181" s="145">
        <v>5</v>
      </c>
      <c r="F181" s="80">
        <v>0</v>
      </c>
      <c r="G181" s="80">
        <v>0</v>
      </c>
      <c r="H181" s="80">
        <v>184164648</v>
      </c>
      <c r="I181" s="80">
        <v>46041162</v>
      </c>
      <c r="J181" s="80">
        <v>0</v>
      </c>
      <c r="K181" s="81">
        <v>0</v>
      </c>
    </row>
    <row r="182" spans="1:11" s="8" customFormat="1" ht="10.5" thickBot="1">
      <c r="A182" s="146"/>
      <c r="B182" s="146"/>
      <c r="C182" s="53" t="s">
        <v>15</v>
      </c>
      <c r="D182" s="162">
        <v>115</v>
      </c>
      <c r="E182" s="147">
        <v>22</v>
      </c>
      <c r="F182" s="85">
        <v>0</v>
      </c>
      <c r="G182" s="85">
        <v>0</v>
      </c>
      <c r="H182" s="85">
        <v>351307882</v>
      </c>
      <c r="I182" s="85">
        <v>87826970</v>
      </c>
      <c r="J182" s="85">
        <v>0</v>
      </c>
      <c r="K182" s="98">
        <v>0</v>
      </c>
    </row>
    <row r="183" spans="1:11" s="35" customFormat="1" ht="11.5" thickTop="1" thickBot="1">
      <c r="A183" s="146"/>
      <c r="B183" s="146"/>
      <c r="C183" s="30" t="s">
        <v>16</v>
      </c>
      <c r="D183" s="32">
        <f>SUM(D179:D182)</f>
        <v>151</v>
      </c>
      <c r="E183" s="32">
        <f>SUM(E179:E182)</f>
        <v>32</v>
      </c>
      <c r="F183" s="32">
        <f>SUM(F179:F182)</f>
        <v>6</v>
      </c>
      <c r="G183" s="32">
        <f>SUM(G179:G182)</f>
        <v>1</v>
      </c>
      <c r="H183" s="32">
        <f t="shared" ref="H183:K183" si="28">SUM(H179:H182)</f>
        <v>535472530</v>
      </c>
      <c r="I183" s="32">
        <f t="shared" si="28"/>
        <v>133868132</v>
      </c>
      <c r="J183" s="32">
        <f t="shared" si="28"/>
        <v>158618451</v>
      </c>
      <c r="K183" s="86">
        <f t="shared" si="28"/>
        <v>22235972</v>
      </c>
    </row>
    <row r="184" spans="1:11" s="8" customFormat="1" ht="10.5" thickTop="1">
      <c r="A184" s="146"/>
      <c r="B184" s="146"/>
      <c r="C184" s="63" t="s">
        <v>17</v>
      </c>
      <c r="D184" s="168">
        <f>+D183</f>
        <v>151</v>
      </c>
      <c r="E184" s="168">
        <v>32</v>
      </c>
      <c r="F184" s="168">
        <v>6</v>
      </c>
      <c r="G184" s="168">
        <v>1</v>
      </c>
      <c r="H184" s="103">
        <f>+H183</f>
        <v>535472530</v>
      </c>
      <c r="I184" s="103">
        <f>+I183</f>
        <v>133868132</v>
      </c>
      <c r="J184" s="103">
        <f>+J183</f>
        <v>158618451</v>
      </c>
      <c r="K184" s="104">
        <f>+K183</f>
        <v>22235972</v>
      </c>
    </row>
    <row r="185" spans="1:11" s="8" customFormat="1">
      <c r="A185" s="149"/>
      <c r="B185" s="149"/>
      <c r="C185" s="68" t="s">
        <v>18</v>
      </c>
      <c r="D185" s="80"/>
      <c r="E185" s="80"/>
      <c r="F185" s="80">
        <v>0</v>
      </c>
      <c r="G185" s="80">
        <v>0</v>
      </c>
      <c r="H185" s="80"/>
      <c r="I185" s="80"/>
      <c r="J185" s="80">
        <v>0</v>
      </c>
      <c r="K185" s="81">
        <v>0</v>
      </c>
    </row>
    <row r="186" spans="1:11" s="8" customFormat="1">
      <c r="A186" s="135">
        <v>11</v>
      </c>
      <c r="B186" s="135" t="s">
        <v>40</v>
      </c>
      <c r="C186" s="21" t="s">
        <v>12</v>
      </c>
      <c r="D186" s="136"/>
      <c r="E186" s="142"/>
      <c r="F186" s="142"/>
      <c r="G186" s="18"/>
      <c r="H186" s="18"/>
      <c r="I186" s="18"/>
      <c r="J186" s="18"/>
      <c r="K186" s="150"/>
    </row>
    <row r="187" spans="1:11" s="8" customFormat="1">
      <c r="A187" s="137"/>
      <c r="B187" s="137"/>
      <c r="C187" s="21" t="s">
        <v>13</v>
      </c>
      <c r="D187" s="136"/>
      <c r="E187" s="142"/>
      <c r="F187" s="142"/>
      <c r="G187" s="18"/>
      <c r="H187" s="18"/>
      <c r="I187" s="18"/>
      <c r="J187" s="18"/>
      <c r="K187" s="150"/>
    </row>
    <row r="188" spans="1:11" s="8" customFormat="1">
      <c r="A188" s="137"/>
      <c r="B188" s="137"/>
      <c r="C188" s="21" t="s">
        <v>14</v>
      </c>
      <c r="D188" s="136"/>
      <c r="E188" s="142"/>
      <c r="F188" s="18"/>
      <c r="G188" s="18"/>
      <c r="H188" s="18"/>
      <c r="I188" s="18"/>
      <c r="J188" s="18"/>
      <c r="K188" s="150"/>
    </row>
    <row r="189" spans="1:11" s="8" customFormat="1" ht="10.5" thickBot="1">
      <c r="A189" s="137"/>
      <c r="B189" s="137"/>
      <c r="C189" s="24" t="s">
        <v>15</v>
      </c>
      <c r="D189" s="138"/>
      <c r="E189" s="163"/>
      <c r="F189" s="25"/>
      <c r="G189" s="25"/>
      <c r="H189" s="25"/>
      <c r="I189" s="25"/>
      <c r="J189" s="25"/>
      <c r="K189" s="151"/>
    </row>
    <row r="190" spans="1:11" s="35" customFormat="1" ht="11.5" thickTop="1" thickBot="1">
      <c r="A190" s="137"/>
      <c r="B190" s="137"/>
      <c r="C190" s="30" t="s">
        <v>16</v>
      </c>
      <c r="D190" s="164">
        <f>SUM(D186:D189)</f>
        <v>0</v>
      </c>
      <c r="E190" s="165">
        <f>SUM(E186:E189)</f>
        <v>0</v>
      </c>
      <c r="F190" s="165">
        <f>SUM(F186:F189)</f>
        <v>0</v>
      </c>
      <c r="G190" s="32">
        <f t="shared" ref="G190:K190" si="29">SUM(G186:G189)</f>
        <v>0</v>
      </c>
      <c r="H190" s="32">
        <f t="shared" si="29"/>
        <v>0</v>
      </c>
      <c r="I190" s="32">
        <f t="shared" si="29"/>
        <v>0</v>
      </c>
      <c r="J190" s="32">
        <f t="shared" si="29"/>
        <v>0</v>
      </c>
      <c r="K190" s="86">
        <f t="shared" si="29"/>
        <v>0</v>
      </c>
    </row>
    <row r="191" spans="1:11" s="8" customFormat="1" ht="10.5" thickTop="1">
      <c r="A191" s="137"/>
      <c r="B191" s="137"/>
      <c r="C191" s="38" t="s">
        <v>17</v>
      </c>
      <c r="D191" s="166"/>
      <c r="E191" s="139"/>
      <c r="F191" s="139"/>
      <c r="G191" s="39"/>
      <c r="H191" s="39"/>
      <c r="I191" s="39"/>
      <c r="J191" s="39"/>
      <c r="K191" s="152"/>
    </row>
    <row r="192" spans="1:11" s="8" customFormat="1">
      <c r="A192" s="141"/>
      <c r="B192" s="141"/>
      <c r="C192" s="42" t="s">
        <v>18</v>
      </c>
      <c r="D192" s="136"/>
      <c r="E192" s="142"/>
      <c r="F192" s="142"/>
      <c r="G192" s="18"/>
      <c r="H192" s="18"/>
      <c r="I192" s="18"/>
      <c r="J192" s="18"/>
      <c r="K192" s="150"/>
    </row>
    <row r="193" spans="1:11" s="8" customFormat="1">
      <c r="A193" s="144">
        <v>12</v>
      </c>
      <c r="B193" s="144" t="s">
        <v>41</v>
      </c>
      <c r="C193" s="45" t="s">
        <v>12</v>
      </c>
      <c r="D193" s="161">
        <v>2</v>
      </c>
      <c r="E193" s="145">
        <v>2</v>
      </c>
      <c r="F193" s="145">
        <v>5</v>
      </c>
      <c r="G193" s="80">
        <v>0</v>
      </c>
      <c r="H193" s="80">
        <v>119560233</v>
      </c>
      <c r="I193" s="80">
        <v>57796381</v>
      </c>
      <c r="J193" s="80">
        <v>236234744</v>
      </c>
      <c r="K193" s="81">
        <v>0</v>
      </c>
    </row>
    <row r="194" spans="1:11" s="8" customFormat="1">
      <c r="A194" s="146"/>
      <c r="B194" s="146"/>
      <c r="C194" s="45" t="s">
        <v>13</v>
      </c>
      <c r="D194" s="161">
        <v>8</v>
      </c>
      <c r="E194" s="145">
        <v>1</v>
      </c>
      <c r="F194" s="145">
        <v>2</v>
      </c>
      <c r="G194" s="80">
        <v>0</v>
      </c>
      <c r="H194" s="80">
        <v>250236947</v>
      </c>
      <c r="I194" s="80">
        <v>48766302</v>
      </c>
      <c r="J194" s="80">
        <v>74940166</v>
      </c>
      <c r="K194" s="81">
        <v>0</v>
      </c>
    </row>
    <row r="195" spans="1:11" s="8" customFormat="1">
      <c r="A195" s="146"/>
      <c r="B195" s="146"/>
      <c r="C195" s="45" t="s">
        <v>14</v>
      </c>
      <c r="D195" s="161">
        <v>3</v>
      </c>
      <c r="E195" s="80">
        <v>0</v>
      </c>
      <c r="F195" s="145">
        <v>0</v>
      </c>
      <c r="G195" s="80">
        <v>0</v>
      </c>
      <c r="H195" s="80">
        <v>10448496</v>
      </c>
      <c r="I195" s="80">
        <v>0</v>
      </c>
      <c r="J195" s="80">
        <v>0</v>
      </c>
      <c r="K195" s="81">
        <v>0</v>
      </c>
    </row>
    <row r="196" spans="1:11" s="8" customFormat="1" ht="10.5" thickBot="1">
      <c r="A196" s="146"/>
      <c r="B196" s="146"/>
      <c r="C196" s="53" t="s">
        <v>15</v>
      </c>
      <c r="D196" s="162">
        <v>30</v>
      </c>
      <c r="E196" s="147">
        <v>3</v>
      </c>
      <c r="F196" s="85">
        <v>0</v>
      </c>
      <c r="G196" s="85">
        <v>0</v>
      </c>
      <c r="H196" s="85">
        <v>126973762</v>
      </c>
      <c r="I196" s="85">
        <v>11961960</v>
      </c>
      <c r="J196" s="85">
        <v>0</v>
      </c>
      <c r="K196" s="98">
        <v>0</v>
      </c>
    </row>
    <row r="197" spans="1:11" s="35" customFormat="1" ht="11.5" thickTop="1" thickBot="1">
      <c r="A197" s="146"/>
      <c r="B197" s="146"/>
      <c r="C197" s="30" t="s">
        <v>16</v>
      </c>
      <c r="D197" s="32">
        <f>SUM(D193:D196)</f>
        <v>43</v>
      </c>
      <c r="E197" s="32">
        <f>SUM(E193:E196)</f>
        <v>6</v>
      </c>
      <c r="F197" s="32">
        <f>SUM(F193:F196)</f>
        <v>7</v>
      </c>
      <c r="G197" s="32">
        <f>SUM(G193:G196)</f>
        <v>0</v>
      </c>
      <c r="H197" s="32">
        <v>507219438</v>
      </c>
      <c r="I197" s="32">
        <v>118524643</v>
      </c>
      <c r="J197" s="32">
        <v>311174910</v>
      </c>
      <c r="K197" s="86">
        <f t="shared" ref="K197" si="30">SUM(K193:K196)</f>
        <v>0</v>
      </c>
    </row>
    <row r="198" spans="1:11" s="8" customFormat="1" ht="10.5" thickTop="1">
      <c r="A198" s="146"/>
      <c r="B198" s="146"/>
      <c r="C198" s="63" t="s">
        <v>17</v>
      </c>
      <c r="D198" s="158">
        <f>+D197</f>
        <v>43</v>
      </c>
      <c r="E198" s="158">
        <f t="shared" ref="E198:J198" si="31">+E197</f>
        <v>6</v>
      </c>
      <c r="F198" s="158">
        <f t="shared" si="31"/>
        <v>7</v>
      </c>
      <c r="G198" s="158">
        <f t="shared" si="31"/>
        <v>0</v>
      </c>
      <c r="H198" s="158">
        <f t="shared" si="31"/>
        <v>507219438</v>
      </c>
      <c r="I198" s="158">
        <f t="shared" si="31"/>
        <v>118524643</v>
      </c>
      <c r="J198" s="158">
        <f t="shared" si="31"/>
        <v>311174910</v>
      </c>
      <c r="K198" s="148">
        <v>0</v>
      </c>
    </row>
    <row r="199" spans="1:11" s="8" customFormat="1">
      <c r="A199" s="149"/>
      <c r="B199" s="149"/>
      <c r="C199" s="68" t="s">
        <v>18</v>
      </c>
      <c r="D199" s="161">
        <v>0</v>
      </c>
      <c r="E199" s="161">
        <v>0</v>
      </c>
      <c r="F199" s="161">
        <v>0</v>
      </c>
      <c r="G199" s="161">
        <v>0</v>
      </c>
      <c r="H199" s="161">
        <v>0</v>
      </c>
      <c r="I199" s="161">
        <v>0</v>
      </c>
      <c r="J199" s="161">
        <v>0</v>
      </c>
      <c r="K199" s="169">
        <v>0</v>
      </c>
    </row>
    <row r="200" spans="1:11" s="8" customFormat="1">
      <c r="A200" s="135">
        <v>13</v>
      </c>
      <c r="B200" s="135" t="s">
        <v>42</v>
      </c>
      <c r="C200" s="21" t="s">
        <v>12</v>
      </c>
      <c r="D200" s="136">
        <v>0</v>
      </c>
      <c r="E200" s="136">
        <v>0</v>
      </c>
      <c r="F200" s="136">
        <v>0</v>
      </c>
      <c r="G200" s="136">
        <v>0</v>
      </c>
      <c r="H200" s="136">
        <v>0</v>
      </c>
      <c r="I200" s="136">
        <v>0</v>
      </c>
      <c r="J200" s="136">
        <v>0</v>
      </c>
      <c r="K200" s="167">
        <v>0</v>
      </c>
    </row>
    <row r="201" spans="1:11" s="8" customFormat="1">
      <c r="A201" s="137"/>
      <c r="B201" s="137"/>
      <c r="C201" s="21" t="s">
        <v>13</v>
      </c>
      <c r="D201" s="136">
        <v>0</v>
      </c>
      <c r="E201" s="136">
        <v>0</v>
      </c>
      <c r="F201" s="136">
        <v>0</v>
      </c>
      <c r="G201" s="136">
        <v>0</v>
      </c>
      <c r="H201" s="136">
        <v>0</v>
      </c>
      <c r="I201" s="136">
        <v>0</v>
      </c>
      <c r="J201" s="136">
        <v>0</v>
      </c>
      <c r="K201" s="167">
        <v>0</v>
      </c>
    </row>
    <row r="202" spans="1:11" s="8" customFormat="1">
      <c r="A202" s="137"/>
      <c r="B202" s="137"/>
      <c r="C202" s="21" t="s">
        <v>14</v>
      </c>
      <c r="D202" s="136">
        <v>0</v>
      </c>
      <c r="E202" s="136">
        <v>0</v>
      </c>
      <c r="F202" s="136">
        <v>0</v>
      </c>
      <c r="G202" s="136">
        <v>0</v>
      </c>
      <c r="H202" s="136">
        <v>0</v>
      </c>
      <c r="I202" s="136">
        <v>0</v>
      </c>
      <c r="J202" s="136">
        <v>0</v>
      </c>
      <c r="K202" s="167">
        <v>0</v>
      </c>
    </row>
    <row r="203" spans="1:11" s="8" customFormat="1" ht="10.5" thickBot="1">
      <c r="A203" s="137"/>
      <c r="B203" s="137"/>
      <c r="C203" s="24" t="s">
        <v>15</v>
      </c>
      <c r="D203" s="138">
        <v>0</v>
      </c>
      <c r="E203" s="138">
        <v>0</v>
      </c>
      <c r="F203" s="138">
        <v>0</v>
      </c>
      <c r="G203" s="138">
        <v>0</v>
      </c>
      <c r="H203" s="138">
        <v>0</v>
      </c>
      <c r="I203" s="138">
        <v>0</v>
      </c>
      <c r="J203" s="138">
        <v>0</v>
      </c>
      <c r="K203" s="170">
        <v>0</v>
      </c>
    </row>
    <row r="204" spans="1:11" s="35" customFormat="1" ht="11.5" thickTop="1" thickBot="1">
      <c r="A204" s="137"/>
      <c r="B204" s="137"/>
      <c r="C204" s="30" t="s">
        <v>16</v>
      </c>
      <c r="D204" s="164">
        <f>SUM(D200:D203)</f>
        <v>0</v>
      </c>
      <c r="E204" s="165">
        <f>SUM(E200:E203)</f>
        <v>0</v>
      </c>
      <c r="F204" s="165">
        <f>SUM(F200:F203)</f>
        <v>0</v>
      </c>
      <c r="G204" s="32">
        <f>SUM(G200:G203)</f>
        <v>0</v>
      </c>
      <c r="H204" s="32">
        <f t="shared" ref="H204:K204" si="32">SUM(H200:H203)</f>
        <v>0</v>
      </c>
      <c r="I204" s="32">
        <f t="shared" si="32"/>
        <v>0</v>
      </c>
      <c r="J204" s="32">
        <f t="shared" si="32"/>
        <v>0</v>
      </c>
      <c r="K204" s="86">
        <f t="shared" si="32"/>
        <v>0</v>
      </c>
    </row>
    <row r="205" spans="1:11" s="8" customFormat="1" ht="10.5" thickTop="1">
      <c r="A205" s="137"/>
      <c r="B205" s="137"/>
      <c r="C205" s="38" t="s">
        <v>17</v>
      </c>
      <c r="D205" s="166">
        <v>0</v>
      </c>
      <c r="E205" s="166">
        <v>0</v>
      </c>
      <c r="F205" s="166">
        <v>0</v>
      </c>
      <c r="G205" s="166">
        <v>0</v>
      </c>
      <c r="H205" s="166">
        <v>0</v>
      </c>
      <c r="I205" s="166">
        <v>0</v>
      </c>
      <c r="J205" s="166">
        <v>0</v>
      </c>
      <c r="K205" s="171">
        <v>0</v>
      </c>
    </row>
    <row r="206" spans="1:11" s="8" customFormat="1">
      <c r="A206" s="141"/>
      <c r="B206" s="141"/>
      <c r="C206" s="42" t="s">
        <v>18</v>
      </c>
      <c r="D206" s="136">
        <v>0</v>
      </c>
      <c r="E206" s="136">
        <v>0</v>
      </c>
      <c r="F206" s="136">
        <v>0</v>
      </c>
      <c r="G206" s="136">
        <v>0</v>
      </c>
      <c r="H206" s="136">
        <v>0</v>
      </c>
      <c r="I206" s="136">
        <v>0</v>
      </c>
      <c r="J206" s="136">
        <v>0</v>
      </c>
      <c r="K206" s="167">
        <v>0</v>
      </c>
    </row>
    <row r="207" spans="1:11" s="8" customFormat="1">
      <c r="A207" s="144">
        <v>14</v>
      </c>
      <c r="B207" s="144" t="s">
        <v>43</v>
      </c>
      <c r="C207" s="45" t="s">
        <v>12</v>
      </c>
      <c r="D207" s="161">
        <v>3</v>
      </c>
      <c r="E207" s="80">
        <v>2</v>
      </c>
      <c r="F207" s="80">
        <v>0</v>
      </c>
      <c r="G207" s="80">
        <v>0</v>
      </c>
      <c r="H207" s="80">
        <v>12223898</v>
      </c>
      <c r="I207" s="80">
        <v>3244244</v>
      </c>
      <c r="J207" s="80">
        <v>0</v>
      </c>
      <c r="K207" s="81">
        <v>0</v>
      </c>
    </row>
    <row r="208" spans="1:11" s="8" customFormat="1">
      <c r="A208" s="146"/>
      <c r="B208" s="146"/>
      <c r="C208" s="45" t="s">
        <v>13</v>
      </c>
      <c r="D208" s="161">
        <v>4</v>
      </c>
      <c r="E208" s="145">
        <v>0</v>
      </c>
      <c r="F208" s="145">
        <v>0</v>
      </c>
      <c r="G208" s="145">
        <v>0</v>
      </c>
      <c r="H208" s="80">
        <v>3082188</v>
      </c>
      <c r="I208" s="80">
        <v>0</v>
      </c>
      <c r="J208" s="80">
        <v>0</v>
      </c>
      <c r="K208" s="81">
        <v>0</v>
      </c>
    </row>
    <row r="209" spans="1:11" s="8" customFormat="1">
      <c r="A209" s="146"/>
      <c r="B209" s="146"/>
      <c r="C209" s="45" t="s">
        <v>14</v>
      </c>
      <c r="D209" s="161">
        <v>0</v>
      </c>
      <c r="E209" s="161">
        <v>0</v>
      </c>
      <c r="F209" s="161">
        <v>0</v>
      </c>
      <c r="G209" s="161">
        <v>0</v>
      </c>
      <c r="H209" s="161">
        <v>0</v>
      </c>
      <c r="I209" s="161">
        <v>0</v>
      </c>
      <c r="J209" s="161">
        <v>0</v>
      </c>
      <c r="K209" s="169">
        <v>0</v>
      </c>
    </row>
    <row r="210" spans="1:11" s="8" customFormat="1" ht="10.5" thickBot="1">
      <c r="A210" s="146"/>
      <c r="B210" s="146"/>
      <c r="C210" s="53" t="s">
        <v>15</v>
      </c>
      <c r="D210" s="162">
        <v>0</v>
      </c>
      <c r="E210" s="162">
        <v>0</v>
      </c>
      <c r="F210" s="162">
        <v>0</v>
      </c>
      <c r="G210" s="162">
        <v>0</v>
      </c>
      <c r="H210" s="162">
        <v>0</v>
      </c>
      <c r="I210" s="162">
        <v>0</v>
      </c>
      <c r="J210" s="162">
        <v>0</v>
      </c>
      <c r="K210" s="172">
        <v>0</v>
      </c>
    </row>
    <row r="211" spans="1:11" s="35" customFormat="1" ht="11.5" thickTop="1" thickBot="1">
      <c r="A211" s="146"/>
      <c r="B211" s="146"/>
      <c r="C211" s="30" t="s">
        <v>16</v>
      </c>
      <c r="D211" s="32">
        <f>SUM(D207:D210)</f>
        <v>7</v>
      </c>
      <c r="E211" s="32">
        <f>SUM(E207:E210)</f>
        <v>2</v>
      </c>
      <c r="F211" s="32">
        <f t="shared" ref="F211" si="33">SUM(F207:F210)</f>
        <v>0</v>
      </c>
      <c r="G211" s="32">
        <v>0</v>
      </c>
      <c r="H211" s="32">
        <v>15306086</v>
      </c>
      <c r="I211" s="32">
        <v>3244244</v>
      </c>
      <c r="J211" s="32">
        <f t="shared" ref="J211" si="34">SUM(J207:J210)</f>
        <v>0</v>
      </c>
      <c r="K211" s="86">
        <v>0</v>
      </c>
    </row>
    <row r="212" spans="1:11" s="8" customFormat="1" ht="10.5" thickTop="1">
      <c r="A212" s="146"/>
      <c r="B212" s="146"/>
      <c r="C212" s="63" t="s">
        <v>17</v>
      </c>
      <c r="D212" s="158">
        <f>+D211</f>
        <v>7</v>
      </c>
      <c r="E212" s="158">
        <f t="shared" ref="E212:I212" si="35">+E211</f>
        <v>2</v>
      </c>
      <c r="F212" s="158">
        <f t="shared" si="35"/>
        <v>0</v>
      </c>
      <c r="G212" s="158">
        <f t="shared" si="35"/>
        <v>0</v>
      </c>
      <c r="H212" s="158">
        <f t="shared" si="35"/>
        <v>15306086</v>
      </c>
      <c r="I212" s="158">
        <f t="shared" si="35"/>
        <v>3244244</v>
      </c>
      <c r="J212" s="168">
        <v>0</v>
      </c>
      <c r="K212" s="148">
        <v>0</v>
      </c>
    </row>
    <row r="213" spans="1:11" s="8" customFormat="1">
      <c r="A213" s="149"/>
      <c r="B213" s="149"/>
      <c r="C213" s="68" t="s">
        <v>18</v>
      </c>
      <c r="D213" s="80">
        <v>0</v>
      </c>
      <c r="E213" s="80">
        <v>0</v>
      </c>
      <c r="F213" s="80">
        <v>0</v>
      </c>
      <c r="G213" s="80">
        <v>0</v>
      </c>
      <c r="H213" s="80">
        <v>0</v>
      </c>
      <c r="I213" s="80">
        <v>0</v>
      </c>
      <c r="J213" s="80">
        <v>0</v>
      </c>
      <c r="K213" s="81">
        <v>0</v>
      </c>
    </row>
    <row r="214" spans="1:11" s="8" customFormat="1">
      <c r="A214" s="135">
        <v>15</v>
      </c>
      <c r="B214" s="135" t="s">
        <v>44</v>
      </c>
      <c r="C214" s="21" t="s">
        <v>12</v>
      </c>
      <c r="D214" s="18">
        <v>2</v>
      </c>
      <c r="E214" s="18">
        <v>0</v>
      </c>
      <c r="F214" s="18">
        <v>4</v>
      </c>
      <c r="G214" s="18">
        <v>0</v>
      </c>
      <c r="H214" s="18">
        <v>121266019</v>
      </c>
      <c r="I214" s="18">
        <v>0</v>
      </c>
      <c r="J214" s="18">
        <v>680168350</v>
      </c>
      <c r="K214" s="150">
        <v>0</v>
      </c>
    </row>
    <row r="215" spans="1:11" s="8" customFormat="1">
      <c r="A215" s="137"/>
      <c r="B215" s="137"/>
      <c r="C215" s="21" t="s">
        <v>13</v>
      </c>
      <c r="D215" s="18">
        <v>7</v>
      </c>
      <c r="E215" s="18">
        <v>4</v>
      </c>
      <c r="F215" s="18">
        <v>0</v>
      </c>
      <c r="G215" s="18">
        <v>0</v>
      </c>
      <c r="H215" s="18">
        <v>89378995</v>
      </c>
      <c r="I215" s="18">
        <v>66811745</v>
      </c>
      <c r="J215" s="18">
        <v>0</v>
      </c>
      <c r="K215" s="150">
        <v>0</v>
      </c>
    </row>
    <row r="216" spans="1:11" s="8" customFormat="1">
      <c r="A216" s="137"/>
      <c r="B216" s="137"/>
      <c r="C216" s="21" t="s">
        <v>14</v>
      </c>
      <c r="D216" s="18">
        <v>6</v>
      </c>
      <c r="E216" s="18">
        <v>1</v>
      </c>
      <c r="F216" s="18">
        <v>0</v>
      </c>
      <c r="G216" s="18">
        <v>0</v>
      </c>
      <c r="H216" s="18">
        <v>32119300</v>
      </c>
      <c r="I216" s="18">
        <v>1705231</v>
      </c>
      <c r="J216" s="18">
        <v>0</v>
      </c>
      <c r="K216" s="150">
        <v>0</v>
      </c>
    </row>
    <row r="217" spans="1:11" s="8" customFormat="1" ht="10.5" thickBot="1">
      <c r="A217" s="137"/>
      <c r="B217" s="137"/>
      <c r="C217" s="24" t="s">
        <v>15</v>
      </c>
      <c r="D217" s="25">
        <v>256</v>
      </c>
      <c r="E217" s="25">
        <v>35</v>
      </c>
      <c r="F217" s="25">
        <v>1</v>
      </c>
      <c r="G217" s="25">
        <v>0</v>
      </c>
      <c r="H217" s="25">
        <v>126746040</v>
      </c>
      <c r="I217" s="25">
        <v>11371558</v>
      </c>
      <c r="J217" s="25">
        <v>211000</v>
      </c>
      <c r="K217" s="151">
        <v>0</v>
      </c>
    </row>
    <row r="218" spans="1:11" s="35" customFormat="1" ht="11.5" thickTop="1" thickBot="1">
      <c r="A218" s="137"/>
      <c r="B218" s="137"/>
      <c r="C218" s="30" t="s">
        <v>16</v>
      </c>
      <c r="D218" s="31">
        <f>SUM(D214:D217)</f>
        <v>271</v>
      </c>
      <c r="E218" s="32">
        <f>SUM(E214:E217)</f>
        <v>40</v>
      </c>
      <c r="F218" s="32">
        <f>SUM(F214:F217)</f>
        <v>5</v>
      </c>
      <c r="G218" s="32">
        <v>0</v>
      </c>
      <c r="H218" s="32">
        <v>369510354</v>
      </c>
      <c r="I218" s="32">
        <v>79888534</v>
      </c>
      <c r="J218" s="32">
        <v>680379350</v>
      </c>
      <c r="K218" s="86">
        <v>0</v>
      </c>
    </row>
    <row r="219" spans="1:11" s="8" customFormat="1" ht="10.5" thickTop="1">
      <c r="A219" s="137"/>
      <c r="B219" s="137"/>
      <c r="C219" s="38" t="s">
        <v>17</v>
      </c>
      <c r="D219" s="39">
        <v>100</v>
      </c>
      <c r="E219" s="39">
        <v>14</v>
      </c>
      <c r="F219" s="39">
        <v>5</v>
      </c>
      <c r="G219" s="39">
        <v>0</v>
      </c>
      <c r="H219" s="39">
        <v>365184972</v>
      </c>
      <c r="I219" s="39">
        <v>76500611</v>
      </c>
      <c r="J219" s="39">
        <v>680379350</v>
      </c>
      <c r="K219" s="152">
        <v>0</v>
      </c>
    </row>
    <row r="220" spans="1:11" s="8" customFormat="1">
      <c r="A220" s="141"/>
      <c r="B220" s="141"/>
      <c r="C220" s="42" t="s">
        <v>18</v>
      </c>
      <c r="D220" s="18">
        <v>171</v>
      </c>
      <c r="E220" s="18">
        <v>26</v>
      </c>
      <c r="F220" s="18">
        <v>0</v>
      </c>
      <c r="G220" s="18">
        <v>0</v>
      </c>
      <c r="H220" s="18">
        <f>+H218-H219</f>
        <v>4325382</v>
      </c>
      <c r="I220" s="18">
        <v>3387923</v>
      </c>
      <c r="J220" s="18">
        <v>0</v>
      </c>
      <c r="K220" s="150">
        <v>0</v>
      </c>
    </row>
    <row r="221" spans="1:11" s="8" customFormat="1">
      <c r="A221" s="144">
        <v>16</v>
      </c>
      <c r="B221" s="144" t="s">
        <v>45</v>
      </c>
      <c r="C221" s="45" t="s">
        <v>12</v>
      </c>
      <c r="D221" s="161">
        <v>6</v>
      </c>
      <c r="E221" s="80">
        <v>0</v>
      </c>
      <c r="F221" s="80">
        <v>0</v>
      </c>
      <c r="G221" s="80">
        <v>0</v>
      </c>
      <c r="H221" s="80">
        <v>252889536</v>
      </c>
      <c r="I221" s="80"/>
      <c r="J221" s="80">
        <v>0</v>
      </c>
      <c r="K221" s="81">
        <v>0</v>
      </c>
    </row>
    <row r="222" spans="1:11" s="8" customFormat="1">
      <c r="A222" s="146"/>
      <c r="B222" s="146"/>
      <c r="C222" s="45" t="s">
        <v>13</v>
      </c>
      <c r="D222" s="161">
        <v>6</v>
      </c>
      <c r="E222" s="145">
        <v>1</v>
      </c>
      <c r="F222" s="80">
        <v>0</v>
      </c>
      <c r="G222" s="80">
        <v>0</v>
      </c>
      <c r="H222" s="80">
        <v>165833860</v>
      </c>
      <c r="I222" s="80">
        <v>22887017</v>
      </c>
      <c r="J222" s="80">
        <v>0</v>
      </c>
      <c r="K222" s="81">
        <v>0</v>
      </c>
    </row>
    <row r="223" spans="1:11" s="8" customFormat="1">
      <c r="A223" s="146"/>
      <c r="B223" s="146"/>
      <c r="C223" s="45" t="s">
        <v>14</v>
      </c>
      <c r="D223" s="161">
        <v>8</v>
      </c>
      <c r="E223" s="80">
        <v>0</v>
      </c>
      <c r="F223" s="80">
        <v>0</v>
      </c>
      <c r="G223" s="80">
        <v>0</v>
      </c>
      <c r="H223" s="80">
        <v>182909038</v>
      </c>
      <c r="I223" s="80"/>
      <c r="J223" s="80">
        <v>0</v>
      </c>
      <c r="K223" s="81">
        <v>0</v>
      </c>
    </row>
    <row r="224" spans="1:11" s="8" customFormat="1" ht="10.5" thickBot="1">
      <c r="A224" s="146"/>
      <c r="B224" s="146"/>
      <c r="C224" s="53" t="s">
        <v>15</v>
      </c>
      <c r="D224" s="162">
        <v>16</v>
      </c>
      <c r="E224" s="85">
        <v>1</v>
      </c>
      <c r="F224" s="85">
        <v>0</v>
      </c>
      <c r="G224" s="85">
        <v>0</v>
      </c>
      <c r="H224" s="85">
        <v>185425610</v>
      </c>
      <c r="I224" s="85">
        <v>8681436</v>
      </c>
      <c r="J224" s="85">
        <v>0</v>
      </c>
      <c r="K224" s="98">
        <v>0</v>
      </c>
    </row>
    <row r="225" spans="1:11" s="35" customFormat="1" ht="11.5" thickTop="1" thickBot="1">
      <c r="A225" s="146"/>
      <c r="B225" s="146"/>
      <c r="C225" s="30" t="s">
        <v>16</v>
      </c>
      <c r="D225" s="32">
        <f>SUM(D221:D224)</f>
        <v>36</v>
      </c>
      <c r="E225" s="32">
        <f>SUM(E221:E224)</f>
        <v>2</v>
      </c>
      <c r="F225" s="32">
        <f>SUM(F221:F224)</f>
        <v>0</v>
      </c>
      <c r="G225" s="32">
        <f>SUM(G221:G224)</f>
        <v>0</v>
      </c>
      <c r="H225" s="32">
        <f>SUM(H221:H224)</f>
        <v>787058044</v>
      </c>
      <c r="I225" s="32">
        <f t="shared" ref="I225:K225" si="36">SUM(I221:I224)</f>
        <v>31568453</v>
      </c>
      <c r="J225" s="32">
        <f t="shared" si="36"/>
        <v>0</v>
      </c>
      <c r="K225" s="86">
        <f t="shared" si="36"/>
        <v>0</v>
      </c>
    </row>
    <row r="226" spans="1:11" s="8" customFormat="1" ht="10.5" thickTop="1">
      <c r="A226" s="146"/>
      <c r="B226" s="146"/>
      <c r="C226" s="63" t="s">
        <v>17</v>
      </c>
      <c r="D226" s="168">
        <f>+D225</f>
        <v>36</v>
      </c>
      <c r="E226" s="168">
        <f t="shared" ref="E226:I226" si="37">+E225</f>
        <v>2</v>
      </c>
      <c r="F226" s="168">
        <f t="shared" si="37"/>
        <v>0</v>
      </c>
      <c r="G226" s="168">
        <f t="shared" si="37"/>
        <v>0</v>
      </c>
      <c r="H226" s="64">
        <f t="shared" si="37"/>
        <v>787058044</v>
      </c>
      <c r="I226" s="64">
        <f t="shared" si="37"/>
        <v>31568453</v>
      </c>
      <c r="J226" s="88">
        <v>0</v>
      </c>
      <c r="K226" s="89">
        <v>0</v>
      </c>
    </row>
    <row r="227" spans="1:11" s="8" customFormat="1">
      <c r="A227" s="149"/>
      <c r="B227" s="149"/>
      <c r="C227" s="68" t="s">
        <v>18</v>
      </c>
      <c r="D227" s="80">
        <v>0</v>
      </c>
      <c r="E227" s="80">
        <v>0</v>
      </c>
      <c r="F227" s="80">
        <v>0</v>
      </c>
      <c r="G227" s="80">
        <v>0</v>
      </c>
      <c r="H227" s="80">
        <v>0</v>
      </c>
      <c r="I227" s="80">
        <v>0</v>
      </c>
      <c r="J227" s="80">
        <v>0</v>
      </c>
      <c r="K227" s="81">
        <v>0</v>
      </c>
    </row>
    <row r="228" spans="1:11" s="8" customFormat="1">
      <c r="A228" s="135">
        <v>17</v>
      </c>
      <c r="B228" s="135" t="s">
        <v>46</v>
      </c>
      <c r="C228" s="21" t="s">
        <v>12</v>
      </c>
      <c r="D228" s="142">
        <v>5</v>
      </c>
      <c r="E228" s="142">
        <v>0</v>
      </c>
      <c r="F228" s="142">
        <v>0</v>
      </c>
      <c r="G228" s="142">
        <v>0</v>
      </c>
      <c r="H228" s="18">
        <v>275962982</v>
      </c>
      <c r="I228" s="142">
        <v>0</v>
      </c>
      <c r="J228" s="142">
        <v>0</v>
      </c>
      <c r="K228" s="143">
        <v>0</v>
      </c>
    </row>
    <row r="229" spans="1:11" s="8" customFormat="1">
      <c r="A229" s="137"/>
      <c r="B229" s="137"/>
      <c r="C229" s="21" t="s">
        <v>13</v>
      </c>
      <c r="D229" s="142">
        <v>3</v>
      </c>
      <c r="E229" s="142">
        <v>1</v>
      </c>
      <c r="F229" s="142">
        <v>0</v>
      </c>
      <c r="G229" s="142">
        <v>0</v>
      </c>
      <c r="H229" s="18">
        <v>42137242</v>
      </c>
      <c r="I229" s="142">
        <v>0</v>
      </c>
      <c r="J229" s="142">
        <v>0</v>
      </c>
      <c r="K229" s="143">
        <v>0</v>
      </c>
    </row>
    <row r="230" spans="1:11" s="8" customFormat="1">
      <c r="A230" s="137"/>
      <c r="B230" s="137"/>
      <c r="C230" s="21" t="s">
        <v>14</v>
      </c>
      <c r="D230" s="142">
        <v>20</v>
      </c>
      <c r="E230" s="142">
        <v>1</v>
      </c>
      <c r="F230" s="142">
        <v>0</v>
      </c>
      <c r="G230" s="142">
        <v>0</v>
      </c>
      <c r="H230" s="18">
        <v>111977515</v>
      </c>
      <c r="I230" s="142">
        <v>0</v>
      </c>
      <c r="J230" s="142">
        <v>0</v>
      </c>
      <c r="K230" s="143">
        <v>0</v>
      </c>
    </row>
    <row r="231" spans="1:11" s="8" customFormat="1" ht="10.5" thickBot="1">
      <c r="A231" s="137"/>
      <c r="B231" s="137"/>
      <c r="C231" s="24" t="s">
        <v>15</v>
      </c>
      <c r="D231" s="163">
        <v>83</v>
      </c>
      <c r="E231" s="163">
        <v>0</v>
      </c>
      <c r="F231" s="163">
        <v>0</v>
      </c>
      <c r="G231" s="163">
        <v>0</v>
      </c>
      <c r="H231" s="25">
        <v>114811113</v>
      </c>
      <c r="I231" s="163">
        <v>0</v>
      </c>
      <c r="J231" s="163">
        <v>0</v>
      </c>
      <c r="K231" s="173">
        <v>0</v>
      </c>
    </row>
    <row r="232" spans="1:11" s="35" customFormat="1" ht="11.5" thickTop="1" thickBot="1">
      <c r="A232" s="137"/>
      <c r="B232" s="137"/>
      <c r="C232" s="30" t="s">
        <v>16</v>
      </c>
      <c r="D232" s="31">
        <f>SUM(D228:D231)</f>
        <v>111</v>
      </c>
      <c r="E232" s="31">
        <f t="shared" ref="E232:K232" si="38">SUM(E228:E231)</f>
        <v>2</v>
      </c>
      <c r="F232" s="31">
        <f t="shared" si="38"/>
        <v>0</v>
      </c>
      <c r="G232" s="31">
        <f t="shared" si="38"/>
        <v>0</v>
      </c>
      <c r="H232" s="31">
        <f t="shared" si="38"/>
        <v>544888852</v>
      </c>
      <c r="I232" s="32">
        <f t="shared" si="38"/>
        <v>0</v>
      </c>
      <c r="J232" s="32">
        <f t="shared" si="38"/>
        <v>0</v>
      </c>
      <c r="K232" s="86">
        <f t="shared" si="38"/>
        <v>0</v>
      </c>
    </row>
    <row r="233" spans="1:11" s="8" customFormat="1" ht="10.5" thickTop="1">
      <c r="A233" s="137"/>
      <c r="B233" s="137"/>
      <c r="C233" s="38" t="s">
        <v>17</v>
      </c>
      <c r="D233" s="139">
        <v>28</v>
      </c>
      <c r="E233" s="139">
        <v>2</v>
      </c>
      <c r="F233" s="139">
        <v>0</v>
      </c>
      <c r="G233" s="139">
        <v>0</v>
      </c>
      <c r="H233" s="39">
        <v>433199038</v>
      </c>
      <c r="I233" s="139">
        <v>0</v>
      </c>
      <c r="J233" s="139">
        <v>0</v>
      </c>
      <c r="K233" s="140">
        <v>0</v>
      </c>
    </row>
    <row r="234" spans="1:11" s="8" customFormat="1">
      <c r="A234" s="141"/>
      <c r="B234" s="141"/>
      <c r="C234" s="42" t="s">
        <v>18</v>
      </c>
      <c r="D234" s="142">
        <v>83</v>
      </c>
      <c r="E234" s="142">
        <v>0</v>
      </c>
      <c r="F234" s="142">
        <v>0</v>
      </c>
      <c r="G234" s="142">
        <v>0</v>
      </c>
      <c r="H234" s="18">
        <v>111689814</v>
      </c>
      <c r="I234" s="142">
        <v>0</v>
      </c>
      <c r="J234" s="142">
        <v>0</v>
      </c>
      <c r="K234" s="143">
        <v>0</v>
      </c>
    </row>
    <row r="235" spans="1:11" s="8" customFormat="1">
      <c r="A235" s="144">
        <v>18</v>
      </c>
      <c r="B235" s="144" t="s">
        <v>47</v>
      </c>
      <c r="C235" s="45" t="s">
        <v>12</v>
      </c>
      <c r="D235" s="161">
        <v>0</v>
      </c>
      <c r="E235" s="161">
        <v>0</v>
      </c>
      <c r="F235" s="161">
        <v>0</v>
      </c>
      <c r="G235" s="161">
        <v>0</v>
      </c>
      <c r="H235" s="161">
        <v>0</v>
      </c>
      <c r="I235" s="161">
        <v>0</v>
      </c>
      <c r="J235" s="161">
        <v>0</v>
      </c>
      <c r="K235" s="169">
        <v>0</v>
      </c>
    </row>
    <row r="236" spans="1:11" s="8" customFormat="1">
      <c r="A236" s="146"/>
      <c r="B236" s="146"/>
      <c r="C236" s="45" t="s">
        <v>13</v>
      </c>
      <c r="D236" s="161">
        <v>5</v>
      </c>
      <c r="E236" s="145">
        <v>2</v>
      </c>
      <c r="F236" s="161">
        <v>0</v>
      </c>
      <c r="G236" s="161">
        <v>0</v>
      </c>
      <c r="H236" s="80">
        <v>42243083</v>
      </c>
      <c r="I236" s="80">
        <v>25955614</v>
      </c>
      <c r="J236" s="161">
        <v>0</v>
      </c>
      <c r="K236" s="169">
        <v>0</v>
      </c>
    </row>
    <row r="237" spans="1:11" s="8" customFormat="1">
      <c r="A237" s="146"/>
      <c r="B237" s="146"/>
      <c r="C237" s="45" t="s">
        <v>14</v>
      </c>
      <c r="D237" s="161">
        <v>19</v>
      </c>
      <c r="E237" s="145">
        <v>2</v>
      </c>
      <c r="F237" s="161">
        <v>0</v>
      </c>
      <c r="G237" s="161">
        <v>0</v>
      </c>
      <c r="H237" s="80">
        <v>160271166</v>
      </c>
      <c r="I237" s="80">
        <v>15946777</v>
      </c>
      <c r="J237" s="161">
        <v>0</v>
      </c>
      <c r="K237" s="169">
        <v>0</v>
      </c>
    </row>
    <row r="238" spans="1:11" s="8" customFormat="1" ht="10.5" thickBot="1">
      <c r="A238" s="146"/>
      <c r="B238" s="146"/>
      <c r="C238" s="53" t="s">
        <v>15</v>
      </c>
      <c r="D238" s="162">
        <v>19</v>
      </c>
      <c r="E238" s="147">
        <v>1</v>
      </c>
      <c r="F238" s="162">
        <v>0</v>
      </c>
      <c r="G238" s="162">
        <v>0</v>
      </c>
      <c r="H238" s="85">
        <v>121836497</v>
      </c>
      <c r="I238" s="85">
        <v>4949664</v>
      </c>
      <c r="J238" s="162">
        <v>0</v>
      </c>
      <c r="K238" s="172">
        <v>0</v>
      </c>
    </row>
    <row r="239" spans="1:11" s="35" customFormat="1" ht="11.5" thickTop="1" thickBot="1">
      <c r="A239" s="146"/>
      <c r="B239" s="146"/>
      <c r="C239" s="30" t="s">
        <v>16</v>
      </c>
      <c r="D239" s="32">
        <f>SUM(D235:D238)</f>
        <v>43</v>
      </c>
      <c r="E239" s="32">
        <f>SUM(E235:E238)</f>
        <v>5</v>
      </c>
      <c r="F239" s="32">
        <f>SUM(F235:F238)</f>
        <v>0</v>
      </c>
      <c r="G239" s="32">
        <f>SUM(G235:G238)</f>
        <v>0</v>
      </c>
      <c r="H239" s="32">
        <f t="shared" ref="H239:K239" si="39">SUM(H235:H238)</f>
        <v>324350746</v>
      </c>
      <c r="I239" s="32">
        <f t="shared" si="39"/>
        <v>46852055</v>
      </c>
      <c r="J239" s="32">
        <f t="shared" si="39"/>
        <v>0</v>
      </c>
      <c r="K239" s="86">
        <f t="shared" si="39"/>
        <v>0</v>
      </c>
    </row>
    <row r="240" spans="1:11" s="8" customFormat="1" ht="10.5" thickTop="1">
      <c r="A240" s="146"/>
      <c r="B240" s="146"/>
      <c r="C240" s="63" t="s">
        <v>17</v>
      </c>
      <c r="D240" s="158">
        <f>+D239</f>
        <v>43</v>
      </c>
      <c r="E240" s="158">
        <f t="shared" ref="E240:I240" si="40">+E239</f>
        <v>5</v>
      </c>
      <c r="F240" s="158">
        <f t="shared" si="40"/>
        <v>0</v>
      </c>
      <c r="G240" s="158">
        <f t="shared" si="40"/>
        <v>0</v>
      </c>
      <c r="H240" s="158">
        <f t="shared" si="40"/>
        <v>324350746</v>
      </c>
      <c r="I240" s="158">
        <f t="shared" si="40"/>
        <v>46852055</v>
      </c>
      <c r="J240" s="88">
        <v>0</v>
      </c>
      <c r="K240" s="89">
        <v>0</v>
      </c>
    </row>
    <row r="241" spans="1:11" s="8" customFormat="1">
      <c r="A241" s="149"/>
      <c r="B241" s="149"/>
      <c r="C241" s="68" t="s">
        <v>18</v>
      </c>
      <c r="D241" s="80">
        <v>0</v>
      </c>
      <c r="E241" s="80">
        <v>0</v>
      </c>
      <c r="F241" s="80">
        <v>0</v>
      </c>
      <c r="G241" s="80">
        <v>0</v>
      </c>
      <c r="H241" s="80">
        <v>0</v>
      </c>
      <c r="I241" s="80">
        <v>0</v>
      </c>
      <c r="J241" s="80">
        <v>0</v>
      </c>
      <c r="K241" s="81">
        <v>0</v>
      </c>
    </row>
    <row r="242" spans="1:11" s="8" customFormat="1">
      <c r="A242" s="135">
        <v>19</v>
      </c>
      <c r="B242" s="135" t="s">
        <v>48</v>
      </c>
      <c r="C242" s="21" t="s">
        <v>12</v>
      </c>
      <c r="D242" s="136"/>
      <c r="E242" s="18"/>
      <c r="F242" s="142"/>
      <c r="G242" s="18"/>
      <c r="H242" s="18"/>
      <c r="I242" s="18"/>
      <c r="J242" s="18"/>
      <c r="K242" s="150"/>
    </row>
    <row r="243" spans="1:11" s="8" customFormat="1">
      <c r="A243" s="137"/>
      <c r="B243" s="137"/>
      <c r="C243" s="21" t="s">
        <v>13</v>
      </c>
      <c r="D243" s="136"/>
      <c r="E243" s="142"/>
      <c r="F243" s="18"/>
      <c r="G243" s="18"/>
      <c r="H243" s="18"/>
      <c r="I243" s="18"/>
      <c r="J243" s="18"/>
      <c r="K243" s="150"/>
    </row>
    <row r="244" spans="1:11" s="8" customFormat="1">
      <c r="A244" s="137"/>
      <c r="B244" s="137"/>
      <c r="C244" s="21" t="s">
        <v>14</v>
      </c>
      <c r="D244" s="136"/>
      <c r="E244" s="142"/>
      <c r="F244" s="18"/>
      <c r="G244" s="18"/>
      <c r="H244" s="18"/>
      <c r="I244" s="18"/>
      <c r="J244" s="18"/>
      <c r="K244" s="150"/>
    </row>
    <row r="245" spans="1:11" s="8" customFormat="1" ht="10.5" thickBot="1">
      <c r="A245" s="137"/>
      <c r="B245" s="137"/>
      <c r="C245" s="24" t="s">
        <v>15</v>
      </c>
      <c r="D245" s="138"/>
      <c r="E245" s="163"/>
      <c r="F245" s="25"/>
      <c r="G245" s="25"/>
      <c r="H245" s="25"/>
      <c r="I245" s="25"/>
      <c r="J245" s="25"/>
      <c r="K245" s="151"/>
    </row>
    <row r="246" spans="1:11" s="35" customFormat="1" ht="11.5" thickTop="1" thickBot="1">
      <c r="A246" s="137"/>
      <c r="B246" s="137"/>
      <c r="C246" s="30" t="s">
        <v>16</v>
      </c>
      <c r="D246" s="32">
        <f>SUM(D242:D245)</f>
        <v>0</v>
      </c>
      <c r="E246" s="32">
        <f>SUM(E242:E245)</f>
        <v>0</v>
      </c>
      <c r="F246" s="32">
        <f>SUM(F242:F245)</f>
        <v>0</v>
      </c>
      <c r="G246" s="32">
        <f>SUM(G242:G245)</f>
        <v>0</v>
      </c>
      <c r="H246" s="32">
        <f t="shared" ref="H246:K246" si="41">SUM(H242:H245)</f>
        <v>0</v>
      </c>
      <c r="I246" s="32">
        <f t="shared" si="41"/>
        <v>0</v>
      </c>
      <c r="J246" s="32">
        <f t="shared" si="41"/>
        <v>0</v>
      </c>
      <c r="K246" s="86">
        <f t="shared" si="41"/>
        <v>0</v>
      </c>
    </row>
    <row r="247" spans="1:11" s="8" customFormat="1" ht="10.5" thickTop="1">
      <c r="A247" s="137"/>
      <c r="B247" s="137"/>
      <c r="C247" s="38" t="s">
        <v>17</v>
      </c>
      <c r="D247" s="166"/>
      <c r="E247" s="139"/>
      <c r="F247" s="139"/>
      <c r="G247" s="39"/>
      <c r="H247" s="39"/>
      <c r="I247" s="39"/>
      <c r="J247" s="39"/>
      <c r="K247" s="152"/>
    </row>
    <row r="248" spans="1:11" s="8" customFormat="1">
      <c r="A248" s="141"/>
      <c r="B248" s="141"/>
      <c r="C248" s="42" t="s">
        <v>18</v>
      </c>
      <c r="D248" s="18"/>
      <c r="E248" s="18"/>
      <c r="F248" s="18"/>
      <c r="G248" s="18"/>
      <c r="H248" s="18"/>
      <c r="I248" s="18"/>
      <c r="J248" s="18"/>
      <c r="K248" s="150"/>
    </row>
    <row r="249" spans="1:11" s="8" customFormat="1">
      <c r="A249" s="144">
        <v>20</v>
      </c>
      <c r="B249" s="144" t="s">
        <v>49</v>
      </c>
      <c r="C249" s="45" t="s">
        <v>12</v>
      </c>
      <c r="D249" s="161"/>
      <c r="E249" s="80"/>
      <c r="F249" s="145"/>
      <c r="G249" s="80"/>
      <c r="H249" s="80"/>
      <c r="I249" s="80"/>
      <c r="J249" s="80"/>
      <c r="K249" s="81"/>
    </row>
    <row r="250" spans="1:11" s="8" customFormat="1">
      <c r="A250" s="146"/>
      <c r="B250" s="146"/>
      <c r="C250" s="45" t="s">
        <v>13</v>
      </c>
      <c r="D250" s="161"/>
      <c r="E250" s="145"/>
      <c r="F250" s="80"/>
      <c r="G250" s="80"/>
      <c r="H250" s="80"/>
      <c r="I250" s="80"/>
      <c r="J250" s="80"/>
      <c r="K250" s="81"/>
    </row>
    <row r="251" spans="1:11" s="8" customFormat="1">
      <c r="A251" s="146"/>
      <c r="B251" s="146"/>
      <c r="C251" s="45" t="s">
        <v>14</v>
      </c>
      <c r="D251" s="161"/>
      <c r="E251" s="145"/>
      <c r="F251" s="80"/>
      <c r="G251" s="80"/>
      <c r="H251" s="80"/>
      <c r="I251" s="80"/>
      <c r="J251" s="80"/>
      <c r="K251" s="81"/>
    </row>
    <row r="252" spans="1:11" s="8" customFormat="1" ht="10.5" thickBot="1">
      <c r="A252" s="146"/>
      <c r="B252" s="146"/>
      <c r="C252" s="53" t="s">
        <v>15</v>
      </c>
      <c r="D252" s="162"/>
      <c r="E252" s="147"/>
      <c r="F252" s="85"/>
      <c r="G252" s="85"/>
      <c r="H252" s="85"/>
      <c r="I252" s="85"/>
      <c r="J252" s="85"/>
      <c r="K252" s="98"/>
    </row>
    <row r="253" spans="1:11" s="35" customFormat="1" ht="11.5" thickTop="1" thickBot="1">
      <c r="A253" s="146"/>
      <c r="B253" s="146"/>
      <c r="C253" s="30" t="s">
        <v>16</v>
      </c>
      <c r="D253" s="32">
        <f>SUM(D249:D252)</f>
        <v>0</v>
      </c>
      <c r="E253" s="32">
        <f>SUM(E249:E252)</f>
        <v>0</v>
      </c>
      <c r="F253" s="32">
        <f>SUM(F249:F252)</f>
        <v>0</v>
      </c>
      <c r="G253" s="32">
        <f>SUM(G249:G252)</f>
        <v>0</v>
      </c>
      <c r="H253" s="32">
        <f t="shared" ref="H253:K253" si="42">SUM(H249:H252)</f>
        <v>0</v>
      </c>
      <c r="I253" s="32">
        <f t="shared" si="42"/>
        <v>0</v>
      </c>
      <c r="J253" s="32">
        <f t="shared" si="42"/>
        <v>0</v>
      </c>
      <c r="K253" s="86">
        <f t="shared" si="42"/>
        <v>0</v>
      </c>
    </row>
    <row r="254" spans="1:11" s="8" customFormat="1" ht="10.5" thickTop="1">
      <c r="A254" s="146"/>
      <c r="B254" s="146"/>
      <c r="C254" s="63" t="s">
        <v>17</v>
      </c>
      <c r="D254" s="168"/>
      <c r="E254" s="174"/>
      <c r="F254" s="174"/>
      <c r="G254" s="88"/>
      <c r="H254" s="88"/>
      <c r="I254" s="88"/>
      <c r="J254" s="88"/>
      <c r="K254" s="89"/>
    </row>
    <row r="255" spans="1:11" s="8" customFormat="1">
      <c r="A255" s="149"/>
      <c r="B255" s="149"/>
      <c r="C255" s="68" t="s">
        <v>18</v>
      </c>
      <c r="D255" s="161"/>
      <c r="E255" s="161"/>
      <c r="F255" s="80"/>
      <c r="G255" s="80"/>
      <c r="H255" s="80"/>
      <c r="I255" s="80"/>
      <c r="J255" s="80"/>
      <c r="K255" s="81"/>
    </row>
    <row r="256" spans="1:11" s="8" customFormat="1">
      <c r="A256" s="135">
        <v>21</v>
      </c>
      <c r="B256" s="135" t="s">
        <v>50</v>
      </c>
      <c r="C256" s="21" t="s">
        <v>12</v>
      </c>
      <c r="D256" s="136">
        <v>0</v>
      </c>
      <c r="E256" s="136">
        <v>0</v>
      </c>
      <c r="F256" s="136">
        <v>0</v>
      </c>
      <c r="G256" s="136">
        <v>0</v>
      </c>
      <c r="H256" s="136">
        <v>0</v>
      </c>
      <c r="I256" s="136">
        <v>0</v>
      </c>
      <c r="J256" s="136">
        <v>0</v>
      </c>
      <c r="K256" s="167">
        <v>0</v>
      </c>
    </row>
    <row r="257" spans="1:11" s="8" customFormat="1">
      <c r="A257" s="137"/>
      <c r="B257" s="137"/>
      <c r="C257" s="21" t="s">
        <v>13</v>
      </c>
      <c r="D257" s="136">
        <v>0</v>
      </c>
      <c r="E257" s="136">
        <v>0</v>
      </c>
      <c r="F257" s="136">
        <v>0</v>
      </c>
      <c r="G257" s="136">
        <v>0</v>
      </c>
      <c r="H257" s="136">
        <v>0</v>
      </c>
      <c r="I257" s="136">
        <v>0</v>
      </c>
      <c r="J257" s="136">
        <v>0</v>
      </c>
      <c r="K257" s="167">
        <v>0</v>
      </c>
    </row>
    <row r="258" spans="1:11" s="8" customFormat="1">
      <c r="A258" s="137"/>
      <c r="B258" s="137"/>
      <c r="C258" s="21" t="s">
        <v>14</v>
      </c>
      <c r="D258" s="136">
        <v>0</v>
      </c>
      <c r="E258" s="136">
        <v>0</v>
      </c>
      <c r="F258" s="136">
        <v>0</v>
      </c>
      <c r="G258" s="136">
        <v>0</v>
      </c>
      <c r="H258" s="136">
        <v>0</v>
      </c>
      <c r="I258" s="136">
        <v>0</v>
      </c>
      <c r="J258" s="136">
        <v>0</v>
      </c>
      <c r="K258" s="167">
        <v>0</v>
      </c>
    </row>
    <row r="259" spans="1:11" s="8" customFormat="1" ht="10.5" thickBot="1">
      <c r="A259" s="137"/>
      <c r="B259" s="137"/>
      <c r="C259" s="24" t="s">
        <v>15</v>
      </c>
      <c r="D259" s="138">
        <v>0</v>
      </c>
      <c r="E259" s="138">
        <v>0</v>
      </c>
      <c r="F259" s="138">
        <v>0</v>
      </c>
      <c r="G259" s="138">
        <v>0</v>
      </c>
      <c r="H259" s="138">
        <v>0</v>
      </c>
      <c r="I259" s="138">
        <v>0</v>
      </c>
      <c r="J259" s="138">
        <v>0</v>
      </c>
      <c r="K259" s="170">
        <v>0</v>
      </c>
    </row>
    <row r="260" spans="1:11" s="35" customFormat="1" ht="11.5" thickTop="1" thickBot="1">
      <c r="A260" s="137"/>
      <c r="B260" s="137"/>
      <c r="C260" s="30" t="s">
        <v>16</v>
      </c>
      <c r="D260" s="32">
        <f>SUM(D256:D259)</f>
        <v>0</v>
      </c>
      <c r="E260" s="32">
        <f>SUM(E256:E259)</f>
        <v>0</v>
      </c>
      <c r="F260" s="32">
        <f>SUM(F256:F259)</f>
        <v>0</v>
      </c>
      <c r="G260" s="32">
        <f>SUM(G256:G259)</f>
        <v>0</v>
      </c>
      <c r="H260" s="32">
        <f t="shared" ref="H260:K260" si="43">SUM(H256:H259)</f>
        <v>0</v>
      </c>
      <c r="I260" s="32">
        <f t="shared" si="43"/>
        <v>0</v>
      </c>
      <c r="J260" s="32">
        <f t="shared" si="43"/>
        <v>0</v>
      </c>
      <c r="K260" s="86">
        <f t="shared" si="43"/>
        <v>0</v>
      </c>
    </row>
    <row r="261" spans="1:11" s="8" customFormat="1" ht="10.5" thickTop="1">
      <c r="A261" s="137"/>
      <c r="B261" s="137"/>
      <c r="C261" s="38" t="s">
        <v>17</v>
      </c>
      <c r="D261" s="166">
        <v>0</v>
      </c>
      <c r="E261" s="139">
        <v>0</v>
      </c>
      <c r="F261" s="139">
        <v>0</v>
      </c>
      <c r="G261" s="139">
        <v>0</v>
      </c>
      <c r="H261" s="139">
        <v>0</v>
      </c>
      <c r="I261" s="139">
        <v>0</v>
      </c>
      <c r="J261" s="139">
        <v>0</v>
      </c>
      <c r="K261" s="140">
        <v>0</v>
      </c>
    </row>
    <row r="262" spans="1:11" s="8" customFormat="1">
      <c r="A262" s="141"/>
      <c r="B262" s="141"/>
      <c r="C262" s="42" t="s">
        <v>18</v>
      </c>
      <c r="D262" s="136">
        <v>0</v>
      </c>
      <c r="E262" s="136">
        <v>0</v>
      </c>
      <c r="F262" s="136">
        <v>0</v>
      </c>
      <c r="G262" s="136">
        <v>0</v>
      </c>
      <c r="H262" s="136">
        <v>0</v>
      </c>
      <c r="I262" s="136">
        <v>0</v>
      </c>
      <c r="J262" s="136">
        <v>0</v>
      </c>
      <c r="K262" s="167">
        <v>0</v>
      </c>
    </row>
    <row r="263" spans="1:11" s="8" customFormat="1">
      <c r="A263" s="144">
        <v>22</v>
      </c>
      <c r="B263" s="144" t="s">
        <v>51</v>
      </c>
      <c r="C263" s="45" t="s">
        <v>12</v>
      </c>
      <c r="D263" s="161"/>
      <c r="E263" s="80"/>
      <c r="F263" s="145"/>
      <c r="G263" s="80"/>
      <c r="H263" s="80"/>
      <c r="I263" s="80"/>
      <c r="J263" s="80"/>
      <c r="K263" s="81"/>
    </row>
    <row r="264" spans="1:11" s="8" customFormat="1">
      <c r="A264" s="146"/>
      <c r="B264" s="146"/>
      <c r="C264" s="45" t="s">
        <v>13</v>
      </c>
      <c r="D264" s="161"/>
      <c r="E264" s="145"/>
      <c r="F264" s="80"/>
      <c r="G264" s="80"/>
      <c r="H264" s="80"/>
      <c r="I264" s="80"/>
      <c r="J264" s="80"/>
      <c r="K264" s="81"/>
    </row>
    <row r="265" spans="1:11" s="8" customFormat="1">
      <c r="A265" s="146"/>
      <c r="B265" s="146"/>
      <c r="C265" s="45" t="s">
        <v>14</v>
      </c>
      <c r="D265" s="161"/>
      <c r="E265" s="145"/>
      <c r="F265" s="80"/>
      <c r="G265" s="80"/>
      <c r="H265" s="80"/>
      <c r="I265" s="80"/>
      <c r="J265" s="80"/>
      <c r="K265" s="81"/>
    </row>
    <row r="266" spans="1:11" s="8" customFormat="1" ht="10.5" thickBot="1">
      <c r="A266" s="146"/>
      <c r="B266" s="146"/>
      <c r="C266" s="53" t="s">
        <v>15</v>
      </c>
      <c r="D266" s="162"/>
      <c r="E266" s="147"/>
      <c r="F266" s="85"/>
      <c r="G266" s="85"/>
      <c r="H266" s="85"/>
      <c r="I266" s="85"/>
      <c r="J266" s="85"/>
      <c r="K266" s="98"/>
    </row>
    <row r="267" spans="1:11" s="35" customFormat="1" ht="11.5" thickTop="1" thickBot="1">
      <c r="A267" s="146"/>
      <c r="B267" s="146"/>
      <c r="C267" s="30" t="s">
        <v>16</v>
      </c>
      <c r="D267" s="32">
        <f>SUM(D263:D266)</f>
        <v>0</v>
      </c>
      <c r="E267" s="32">
        <f>SUM(E263:E266)</f>
        <v>0</v>
      </c>
      <c r="F267" s="32">
        <f>SUM(F263:F266)</f>
        <v>0</v>
      </c>
      <c r="G267" s="32">
        <f>SUM(G263:G266)</f>
        <v>0</v>
      </c>
      <c r="H267" s="32">
        <f t="shared" ref="H267:K267" si="44">SUM(H263:H266)</f>
        <v>0</v>
      </c>
      <c r="I267" s="32">
        <f t="shared" si="44"/>
        <v>0</v>
      </c>
      <c r="J267" s="32">
        <f t="shared" si="44"/>
        <v>0</v>
      </c>
      <c r="K267" s="86">
        <f t="shared" si="44"/>
        <v>0</v>
      </c>
    </row>
    <row r="268" spans="1:11" s="8" customFormat="1" ht="10.5" thickTop="1">
      <c r="A268" s="146"/>
      <c r="B268" s="146"/>
      <c r="C268" s="63" t="s">
        <v>17</v>
      </c>
      <c r="D268" s="168"/>
      <c r="E268" s="174"/>
      <c r="F268" s="174"/>
      <c r="G268" s="88"/>
      <c r="H268" s="88"/>
      <c r="I268" s="88"/>
      <c r="J268" s="88"/>
      <c r="K268" s="89"/>
    </row>
    <row r="269" spans="1:11" s="8" customFormat="1">
      <c r="A269" s="149"/>
      <c r="B269" s="149"/>
      <c r="C269" s="68" t="s">
        <v>18</v>
      </c>
      <c r="D269" s="80"/>
      <c r="E269" s="80"/>
      <c r="F269" s="80"/>
      <c r="G269" s="80"/>
      <c r="H269" s="80"/>
      <c r="I269" s="80"/>
      <c r="J269" s="80"/>
      <c r="K269" s="81"/>
    </row>
    <row r="271" spans="1:11" ht="20">
      <c r="A271" s="109" t="s">
        <v>52</v>
      </c>
    </row>
    <row r="273" spans="1:11" s="8" customFormat="1" ht="20.5" thickBot="1">
      <c r="A273" s="110" t="s">
        <v>6</v>
      </c>
      <c r="B273" s="110" t="s">
        <v>7</v>
      </c>
      <c r="C273" s="110" t="s">
        <v>8</v>
      </c>
      <c r="D273" s="12" t="s">
        <v>9</v>
      </c>
      <c r="E273" s="12" t="s">
        <v>10</v>
      </c>
      <c r="F273" s="12" t="s">
        <v>9</v>
      </c>
      <c r="G273" s="12" t="s">
        <v>10</v>
      </c>
      <c r="H273" s="111" t="s">
        <v>26</v>
      </c>
      <c r="I273" s="111" t="s">
        <v>27</v>
      </c>
      <c r="J273" s="111" t="s">
        <v>28</v>
      </c>
    </row>
    <row r="274" spans="1:11" s="8" customFormat="1">
      <c r="A274" s="15">
        <v>1</v>
      </c>
      <c r="B274" s="16" t="s">
        <v>30</v>
      </c>
      <c r="C274" s="17" t="s">
        <v>12</v>
      </c>
      <c r="D274" s="70">
        <v>0</v>
      </c>
      <c r="E274" s="70">
        <v>0</v>
      </c>
      <c r="F274" s="70">
        <v>0</v>
      </c>
      <c r="G274" s="70">
        <v>0</v>
      </c>
      <c r="H274" s="70">
        <v>0</v>
      </c>
      <c r="I274" s="70">
        <v>0</v>
      </c>
      <c r="J274" s="70">
        <v>0</v>
      </c>
    </row>
    <row r="275" spans="1:11" s="8" customFormat="1">
      <c r="A275" s="15">
        <v>1</v>
      </c>
      <c r="B275" s="16" t="s">
        <v>30</v>
      </c>
      <c r="C275" s="21" t="s">
        <v>13</v>
      </c>
      <c r="D275" s="70">
        <v>0</v>
      </c>
      <c r="E275" s="70">
        <v>0</v>
      </c>
      <c r="F275" s="70">
        <v>0</v>
      </c>
      <c r="G275" s="70">
        <v>0</v>
      </c>
      <c r="H275" s="70">
        <v>0</v>
      </c>
      <c r="I275" s="70">
        <v>0</v>
      </c>
      <c r="J275" s="70">
        <v>0</v>
      </c>
    </row>
    <row r="276" spans="1:11" s="8" customFormat="1">
      <c r="A276" s="15">
        <v>1</v>
      </c>
      <c r="B276" s="16" t="s">
        <v>30</v>
      </c>
      <c r="C276" s="21" t="s">
        <v>14</v>
      </c>
      <c r="D276" s="70">
        <v>0</v>
      </c>
      <c r="E276" s="70">
        <v>0</v>
      </c>
      <c r="F276" s="70">
        <v>0</v>
      </c>
      <c r="G276" s="70">
        <v>0</v>
      </c>
      <c r="H276" s="70">
        <v>0</v>
      </c>
      <c r="I276" s="70">
        <v>0</v>
      </c>
      <c r="J276" s="70">
        <v>0</v>
      </c>
    </row>
    <row r="277" spans="1:11" s="8" customFormat="1" ht="10.5" thickBot="1">
      <c r="A277" s="22">
        <v>1</v>
      </c>
      <c r="B277" s="23" t="s">
        <v>30</v>
      </c>
      <c r="C277" s="24" t="s">
        <v>15</v>
      </c>
      <c r="D277" s="73">
        <v>0</v>
      </c>
      <c r="E277" s="73">
        <v>0</v>
      </c>
      <c r="F277" s="73">
        <v>0</v>
      </c>
      <c r="G277" s="73">
        <v>0</v>
      </c>
      <c r="H277" s="73">
        <v>0</v>
      </c>
      <c r="I277" s="73">
        <v>0</v>
      </c>
      <c r="J277" s="73">
        <v>0</v>
      </c>
    </row>
    <row r="278" spans="1:11" s="35" customFormat="1" ht="11.5" thickTop="1" thickBot="1">
      <c r="A278" s="28">
        <v>1</v>
      </c>
      <c r="B278" s="29" t="s">
        <v>30</v>
      </c>
      <c r="C278" s="30" t="s">
        <v>16</v>
      </c>
      <c r="D278" s="31">
        <f>SUM(D274:D277)</f>
        <v>0</v>
      </c>
      <c r="E278" s="31">
        <f t="shared" ref="E278:J278" si="45">SUM(E274:E277)</f>
        <v>0</v>
      </c>
      <c r="F278" s="31">
        <f t="shared" si="45"/>
        <v>0</v>
      </c>
      <c r="G278" s="31">
        <f t="shared" si="45"/>
        <v>0</v>
      </c>
      <c r="H278" s="31">
        <f t="shared" si="45"/>
        <v>0</v>
      </c>
      <c r="I278" s="31">
        <f t="shared" si="45"/>
        <v>0</v>
      </c>
      <c r="J278" s="31">
        <f t="shared" si="45"/>
        <v>0</v>
      </c>
      <c r="K278" s="8"/>
    </row>
    <row r="279" spans="1:11" s="8" customFormat="1" ht="10.5" thickTop="1">
      <c r="A279" s="36">
        <v>1</v>
      </c>
      <c r="B279" s="37" t="s">
        <v>30</v>
      </c>
      <c r="C279" s="38" t="s">
        <v>17</v>
      </c>
      <c r="D279" s="77">
        <v>0</v>
      </c>
      <c r="E279" s="77">
        <v>0</v>
      </c>
      <c r="F279" s="77">
        <v>0</v>
      </c>
      <c r="G279" s="77">
        <v>0</v>
      </c>
      <c r="H279" s="77">
        <v>0</v>
      </c>
      <c r="I279" s="77">
        <v>0</v>
      </c>
      <c r="J279" s="77">
        <v>0</v>
      </c>
    </row>
    <row r="280" spans="1:11" s="8" customFormat="1">
      <c r="A280" s="15">
        <v>1</v>
      </c>
      <c r="B280" s="16" t="s">
        <v>30</v>
      </c>
      <c r="C280" s="42" t="s">
        <v>18</v>
      </c>
      <c r="D280" s="70">
        <v>0</v>
      </c>
      <c r="E280" s="70">
        <v>0</v>
      </c>
      <c r="F280" s="70">
        <v>0</v>
      </c>
      <c r="G280" s="70">
        <v>0</v>
      </c>
      <c r="H280" s="70">
        <v>0</v>
      </c>
      <c r="I280" s="70">
        <v>0</v>
      </c>
      <c r="J280" s="70">
        <v>0</v>
      </c>
    </row>
    <row r="281" spans="1:11" s="8" customFormat="1">
      <c r="A281" s="43">
        <v>2</v>
      </c>
      <c r="B281" s="79" t="s">
        <v>31</v>
      </c>
      <c r="C281" s="45" t="s">
        <v>12</v>
      </c>
      <c r="D281" s="46">
        <v>0</v>
      </c>
      <c r="E281" s="46">
        <v>0</v>
      </c>
      <c r="F281" s="46">
        <v>1</v>
      </c>
      <c r="G281" s="46">
        <v>0</v>
      </c>
      <c r="H281" s="46">
        <f>+F281</f>
        <v>1</v>
      </c>
      <c r="I281" s="46">
        <v>0</v>
      </c>
      <c r="J281" s="46">
        <v>27228223</v>
      </c>
    </row>
    <row r="282" spans="1:11" s="8" customFormat="1">
      <c r="A282" s="43">
        <v>2</v>
      </c>
      <c r="B282" s="79" t="s">
        <v>31</v>
      </c>
      <c r="C282" s="45" t="s">
        <v>13</v>
      </c>
      <c r="D282" s="46">
        <v>0</v>
      </c>
      <c r="E282" s="46">
        <v>0</v>
      </c>
      <c r="F282" s="46">
        <v>0</v>
      </c>
      <c r="G282" s="46">
        <v>0</v>
      </c>
      <c r="H282" s="46">
        <v>0</v>
      </c>
      <c r="I282" s="46">
        <v>0</v>
      </c>
      <c r="J282" s="46">
        <v>0</v>
      </c>
    </row>
    <row r="283" spans="1:11" s="8" customFormat="1">
      <c r="A283" s="43">
        <v>2</v>
      </c>
      <c r="B283" s="79" t="s">
        <v>31</v>
      </c>
      <c r="C283" s="45" t="s">
        <v>14</v>
      </c>
      <c r="D283" s="46">
        <v>310</v>
      </c>
      <c r="E283" s="46">
        <v>13</v>
      </c>
      <c r="F283" s="46">
        <v>0</v>
      </c>
      <c r="G283" s="46">
        <v>0</v>
      </c>
      <c r="H283" s="46">
        <f>+D283+E283</f>
        <v>323</v>
      </c>
      <c r="I283" s="46">
        <v>2658485809</v>
      </c>
      <c r="J283" s="46">
        <v>0</v>
      </c>
    </row>
    <row r="284" spans="1:11" s="8" customFormat="1" ht="10.5" thickBot="1">
      <c r="A284" s="51">
        <v>2</v>
      </c>
      <c r="B284" s="84" t="s">
        <v>31</v>
      </c>
      <c r="C284" s="53" t="s">
        <v>15</v>
      </c>
      <c r="D284" s="54">
        <v>0</v>
      </c>
      <c r="E284" s="54">
        <v>0</v>
      </c>
      <c r="F284" s="54">
        <v>0</v>
      </c>
      <c r="G284" s="54">
        <v>0</v>
      </c>
      <c r="H284" s="54">
        <v>0</v>
      </c>
      <c r="I284" s="54">
        <v>0</v>
      </c>
      <c r="J284" s="54">
        <v>0</v>
      </c>
    </row>
    <row r="285" spans="1:11" s="35" customFormat="1" ht="11.5" thickTop="1" thickBot="1">
      <c r="A285" s="28">
        <v>2</v>
      </c>
      <c r="B285" s="75" t="s">
        <v>31</v>
      </c>
      <c r="C285" s="30" t="s">
        <v>16</v>
      </c>
      <c r="D285" s="31">
        <f>SUM(D281:D284)</f>
        <v>310</v>
      </c>
      <c r="E285" s="31">
        <f>SUM(E281:E284)</f>
        <v>13</v>
      </c>
      <c r="F285" s="31">
        <f t="shared" ref="F285:H285" si="46">SUM(F281:F284)</f>
        <v>1</v>
      </c>
      <c r="G285" s="31">
        <f t="shared" si="46"/>
        <v>0</v>
      </c>
      <c r="H285" s="31">
        <f t="shared" si="46"/>
        <v>324</v>
      </c>
      <c r="I285" s="31">
        <f>SUM(I281:I284)</f>
        <v>2658485809</v>
      </c>
      <c r="J285" s="31">
        <f>SUM(J281:J284)</f>
        <v>27228223</v>
      </c>
      <c r="K285" s="8"/>
    </row>
    <row r="286" spans="1:11" s="8" customFormat="1" ht="10.5" thickTop="1">
      <c r="A286" s="61">
        <v>2</v>
      </c>
      <c r="B286" s="87" t="s">
        <v>31</v>
      </c>
      <c r="C286" s="63" t="s">
        <v>17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</row>
    <row r="287" spans="1:11" s="8" customFormat="1">
      <c r="A287" s="43">
        <v>2</v>
      </c>
      <c r="B287" s="79" t="s">
        <v>31</v>
      </c>
      <c r="C287" s="68" t="s">
        <v>18</v>
      </c>
      <c r="D287" s="46">
        <f>+D285</f>
        <v>310</v>
      </c>
      <c r="E287" s="46">
        <f t="shared" ref="E287:J287" si="47">+E285</f>
        <v>13</v>
      </c>
      <c r="F287" s="46">
        <f t="shared" si="47"/>
        <v>1</v>
      </c>
      <c r="G287" s="46">
        <f t="shared" si="47"/>
        <v>0</v>
      </c>
      <c r="H287" s="46">
        <f t="shared" si="47"/>
        <v>324</v>
      </c>
      <c r="I287" s="46">
        <f t="shared" si="47"/>
        <v>2658485809</v>
      </c>
      <c r="J287" s="46">
        <f t="shared" si="47"/>
        <v>27228223</v>
      </c>
    </row>
    <row r="288" spans="1:11" s="8" customFormat="1">
      <c r="A288" s="15">
        <v>3</v>
      </c>
      <c r="B288" s="69" t="s">
        <v>32</v>
      </c>
      <c r="C288" s="21" t="s">
        <v>12</v>
      </c>
      <c r="D288" s="70">
        <v>50</v>
      </c>
      <c r="E288" s="70">
        <v>0</v>
      </c>
      <c r="F288" s="70">
        <v>0</v>
      </c>
      <c r="G288" s="70">
        <v>0</v>
      </c>
      <c r="H288" s="70">
        <v>50</v>
      </c>
      <c r="I288" s="70">
        <v>0</v>
      </c>
      <c r="J288" s="70">
        <v>0</v>
      </c>
    </row>
    <row r="289" spans="1:11" s="8" customFormat="1">
      <c r="A289" s="15">
        <v>3</v>
      </c>
      <c r="B289" s="69" t="s">
        <v>32</v>
      </c>
      <c r="C289" s="21" t="s">
        <v>13</v>
      </c>
      <c r="D289" s="70">
        <v>42</v>
      </c>
      <c r="E289" s="70">
        <v>3</v>
      </c>
      <c r="F289" s="70">
        <v>0</v>
      </c>
      <c r="G289" s="70">
        <v>0</v>
      </c>
      <c r="H289" s="70">
        <v>45</v>
      </c>
      <c r="I289" s="70">
        <v>0</v>
      </c>
      <c r="J289" s="70">
        <v>0</v>
      </c>
    </row>
    <row r="290" spans="1:11" s="8" customFormat="1">
      <c r="A290" s="15">
        <v>3</v>
      </c>
      <c r="B290" s="69" t="s">
        <v>32</v>
      </c>
      <c r="C290" s="21" t="s">
        <v>14</v>
      </c>
      <c r="D290" s="70">
        <v>59</v>
      </c>
      <c r="E290" s="70">
        <v>11</v>
      </c>
      <c r="F290" s="70">
        <v>0</v>
      </c>
      <c r="G290" s="70">
        <v>0</v>
      </c>
      <c r="H290" s="70">
        <v>70</v>
      </c>
      <c r="I290" s="70">
        <f>+I292</f>
        <v>11478627845</v>
      </c>
      <c r="J290" s="70">
        <v>0</v>
      </c>
    </row>
    <row r="291" spans="1:11" s="8" customFormat="1" ht="10.5" thickBot="1">
      <c r="A291" s="22">
        <v>3</v>
      </c>
      <c r="B291" s="72" t="s">
        <v>32</v>
      </c>
      <c r="C291" s="24" t="s">
        <v>15</v>
      </c>
      <c r="D291" s="73">
        <v>916</v>
      </c>
      <c r="E291" s="73">
        <v>76</v>
      </c>
      <c r="F291" s="73">
        <v>0</v>
      </c>
      <c r="G291" s="73">
        <v>0</v>
      </c>
      <c r="H291" s="73">
        <v>992</v>
      </c>
      <c r="I291" s="73">
        <v>0</v>
      </c>
      <c r="J291" s="73">
        <v>0</v>
      </c>
    </row>
    <row r="292" spans="1:11" s="35" customFormat="1" ht="11.5" thickTop="1" thickBot="1">
      <c r="A292" s="28">
        <v>3</v>
      </c>
      <c r="B292" s="75" t="s">
        <v>32</v>
      </c>
      <c r="C292" s="30" t="s">
        <v>16</v>
      </c>
      <c r="D292" s="31">
        <f t="shared" ref="D292:J292" si="48">SUM(D288:D291)</f>
        <v>1067</v>
      </c>
      <c r="E292" s="31">
        <f t="shared" si="48"/>
        <v>90</v>
      </c>
      <c r="F292" s="31">
        <f t="shared" si="48"/>
        <v>0</v>
      </c>
      <c r="G292" s="31">
        <f t="shared" si="48"/>
        <v>0</v>
      </c>
      <c r="H292" s="31">
        <f t="shared" si="48"/>
        <v>1157</v>
      </c>
      <c r="I292" s="31">
        <f>+I293+I294</f>
        <v>11478627845</v>
      </c>
      <c r="J292" s="31">
        <f t="shared" si="48"/>
        <v>0</v>
      </c>
      <c r="K292" s="8"/>
    </row>
    <row r="293" spans="1:11" s="8" customFormat="1" ht="10.5" thickTop="1">
      <c r="A293" s="36">
        <v>3</v>
      </c>
      <c r="B293" s="76" t="s">
        <v>32</v>
      </c>
      <c r="C293" s="38" t="s">
        <v>17</v>
      </c>
      <c r="D293" s="77">
        <v>771</v>
      </c>
      <c r="E293" s="77">
        <v>90</v>
      </c>
      <c r="F293" s="77">
        <v>0</v>
      </c>
      <c r="G293" s="77">
        <v>0</v>
      </c>
      <c r="H293" s="77">
        <v>861</v>
      </c>
      <c r="I293" s="77">
        <v>11222542135</v>
      </c>
      <c r="J293" s="77">
        <v>0</v>
      </c>
    </row>
    <row r="294" spans="1:11" s="8" customFormat="1">
      <c r="A294" s="15">
        <v>3</v>
      </c>
      <c r="B294" s="69" t="s">
        <v>32</v>
      </c>
      <c r="C294" s="42" t="s">
        <v>18</v>
      </c>
      <c r="D294" s="70">
        <v>296</v>
      </c>
      <c r="E294" s="70">
        <v>0</v>
      </c>
      <c r="F294" s="70">
        <v>0</v>
      </c>
      <c r="G294" s="70">
        <v>0</v>
      </c>
      <c r="H294" s="70">
        <v>296</v>
      </c>
      <c r="I294" s="70">
        <v>256085710</v>
      </c>
      <c r="J294" s="70">
        <v>0</v>
      </c>
    </row>
    <row r="295" spans="1:11" s="8" customFormat="1">
      <c r="A295" s="43">
        <v>4</v>
      </c>
      <c r="B295" s="79" t="s">
        <v>33</v>
      </c>
      <c r="C295" s="45" t="s">
        <v>12</v>
      </c>
      <c r="D295" s="46">
        <v>0</v>
      </c>
      <c r="E295" s="46">
        <v>0</v>
      </c>
      <c r="F295" s="46">
        <v>0</v>
      </c>
      <c r="G295" s="46">
        <v>0</v>
      </c>
      <c r="H295" s="46">
        <v>0</v>
      </c>
      <c r="I295" s="46">
        <v>0</v>
      </c>
      <c r="J295" s="46">
        <v>0</v>
      </c>
    </row>
    <row r="296" spans="1:11" s="8" customFormat="1">
      <c r="A296" s="43">
        <v>4</v>
      </c>
      <c r="B296" s="79" t="s">
        <v>33</v>
      </c>
      <c r="C296" s="45" t="s">
        <v>13</v>
      </c>
      <c r="D296" s="46">
        <v>0</v>
      </c>
      <c r="E296" s="46">
        <v>0</v>
      </c>
      <c r="F296" s="46">
        <v>0</v>
      </c>
      <c r="G296" s="46">
        <v>0</v>
      </c>
      <c r="H296" s="46">
        <v>0</v>
      </c>
      <c r="I296" s="46">
        <v>0</v>
      </c>
      <c r="J296" s="46">
        <v>0</v>
      </c>
    </row>
    <row r="297" spans="1:11" s="8" customFormat="1">
      <c r="A297" s="43">
        <v>4</v>
      </c>
      <c r="B297" s="79" t="s">
        <v>33</v>
      </c>
      <c r="C297" s="45" t="s">
        <v>14</v>
      </c>
      <c r="D297" s="46">
        <v>0</v>
      </c>
      <c r="E297" s="46">
        <v>0</v>
      </c>
      <c r="F297" s="46">
        <v>0</v>
      </c>
      <c r="G297" s="46">
        <v>0</v>
      </c>
      <c r="H297" s="46">
        <v>0</v>
      </c>
      <c r="I297" s="46">
        <v>0</v>
      </c>
      <c r="J297" s="46">
        <v>0</v>
      </c>
    </row>
    <row r="298" spans="1:11" s="8" customFormat="1" ht="10.5" thickBot="1">
      <c r="A298" s="51">
        <v>4</v>
      </c>
      <c r="B298" s="84" t="s">
        <v>33</v>
      </c>
      <c r="C298" s="53" t="s">
        <v>15</v>
      </c>
      <c r="D298" s="54">
        <v>0</v>
      </c>
      <c r="E298" s="54">
        <v>0</v>
      </c>
      <c r="F298" s="54">
        <v>0</v>
      </c>
      <c r="G298" s="54">
        <v>0</v>
      </c>
      <c r="H298" s="54">
        <v>0</v>
      </c>
      <c r="I298" s="54">
        <v>0</v>
      </c>
      <c r="J298" s="54">
        <v>0</v>
      </c>
    </row>
    <row r="299" spans="1:11" s="35" customFormat="1" ht="11.5" thickTop="1" thickBot="1">
      <c r="A299" s="28">
        <v>4</v>
      </c>
      <c r="B299" s="75" t="s">
        <v>33</v>
      </c>
      <c r="C299" s="30" t="s">
        <v>16</v>
      </c>
      <c r="D299" s="31">
        <v>0</v>
      </c>
      <c r="E299" s="31">
        <v>0</v>
      </c>
      <c r="F299" s="31">
        <v>0</v>
      </c>
      <c r="G299" s="31">
        <v>0</v>
      </c>
      <c r="H299" s="31">
        <v>0</v>
      </c>
      <c r="I299" s="31">
        <v>0</v>
      </c>
      <c r="J299" s="31">
        <v>0</v>
      </c>
      <c r="K299" s="8"/>
    </row>
    <row r="300" spans="1:11" s="8" customFormat="1" ht="10.5" thickTop="1">
      <c r="A300" s="61">
        <v>4</v>
      </c>
      <c r="B300" s="87" t="s">
        <v>33</v>
      </c>
      <c r="C300" s="63" t="s">
        <v>17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</row>
    <row r="301" spans="1:11" s="8" customFormat="1">
      <c r="A301" s="43">
        <v>4</v>
      </c>
      <c r="B301" s="79" t="s">
        <v>33</v>
      </c>
      <c r="C301" s="68" t="s">
        <v>18</v>
      </c>
      <c r="D301" s="46">
        <v>0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0</v>
      </c>
    </row>
    <row r="302" spans="1:11" s="8" customFormat="1">
      <c r="A302" s="22">
        <v>5</v>
      </c>
      <c r="B302" s="72" t="s">
        <v>34</v>
      </c>
      <c r="C302" s="21" t="s">
        <v>12</v>
      </c>
      <c r="D302" s="70">
        <v>0</v>
      </c>
      <c r="E302" s="70">
        <v>0</v>
      </c>
      <c r="F302" s="70">
        <v>0</v>
      </c>
      <c r="G302" s="70">
        <v>0</v>
      </c>
      <c r="H302" s="70">
        <v>0</v>
      </c>
      <c r="I302" s="70">
        <v>0</v>
      </c>
      <c r="J302" s="70">
        <v>0</v>
      </c>
    </row>
    <row r="303" spans="1:11" s="8" customFormat="1">
      <c r="A303" s="22">
        <v>5</v>
      </c>
      <c r="B303" s="72" t="s">
        <v>34</v>
      </c>
      <c r="C303" s="21" t="s">
        <v>13</v>
      </c>
      <c r="D303" s="70">
        <v>2</v>
      </c>
      <c r="E303" s="70">
        <v>1</v>
      </c>
      <c r="F303" s="70">
        <v>0</v>
      </c>
      <c r="G303" s="70">
        <v>0</v>
      </c>
      <c r="H303" s="70">
        <v>3</v>
      </c>
      <c r="I303" s="70">
        <v>10656980</v>
      </c>
      <c r="J303" s="70">
        <v>0</v>
      </c>
    </row>
    <row r="304" spans="1:11" s="8" customFormat="1">
      <c r="A304" s="22">
        <v>5</v>
      </c>
      <c r="B304" s="72" t="s">
        <v>34</v>
      </c>
      <c r="C304" s="21" t="s">
        <v>14</v>
      </c>
      <c r="D304" s="70">
        <v>17</v>
      </c>
      <c r="E304" s="70">
        <v>4</v>
      </c>
      <c r="F304" s="70">
        <v>0</v>
      </c>
      <c r="G304" s="70">
        <v>0</v>
      </c>
      <c r="H304" s="70">
        <v>21</v>
      </c>
      <c r="I304" s="70">
        <v>98085781</v>
      </c>
      <c r="J304" s="70">
        <v>0</v>
      </c>
    </row>
    <row r="305" spans="1:11" s="8" customFormat="1" ht="10.5" thickBot="1">
      <c r="A305" s="22">
        <v>5</v>
      </c>
      <c r="B305" s="72" t="s">
        <v>34</v>
      </c>
      <c r="C305" s="24" t="s">
        <v>15</v>
      </c>
      <c r="D305" s="73">
        <v>159</v>
      </c>
      <c r="E305" s="73">
        <v>19</v>
      </c>
      <c r="F305" s="73">
        <v>0</v>
      </c>
      <c r="G305" s="73">
        <v>0</v>
      </c>
      <c r="H305" s="73">
        <v>178</v>
      </c>
      <c r="I305" s="73">
        <v>626988358</v>
      </c>
      <c r="J305" s="73">
        <v>0</v>
      </c>
    </row>
    <row r="306" spans="1:11" s="35" customFormat="1" ht="11.5" thickTop="1" thickBot="1">
      <c r="A306" s="28">
        <v>5</v>
      </c>
      <c r="B306" s="75" t="s">
        <v>34</v>
      </c>
      <c r="C306" s="30" t="s">
        <v>16</v>
      </c>
      <c r="D306" s="31">
        <f>SUM(D302:D305)</f>
        <v>178</v>
      </c>
      <c r="E306" s="31">
        <f t="shared" ref="E306:J306" si="49">SUM(E302:E305)</f>
        <v>24</v>
      </c>
      <c r="F306" s="31">
        <f t="shared" si="49"/>
        <v>0</v>
      </c>
      <c r="G306" s="31">
        <f t="shared" si="49"/>
        <v>0</v>
      </c>
      <c r="H306" s="31">
        <f t="shared" si="49"/>
        <v>202</v>
      </c>
      <c r="I306" s="31">
        <f t="shared" si="49"/>
        <v>735731119</v>
      </c>
      <c r="J306" s="31">
        <f t="shared" si="49"/>
        <v>0</v>
      </c>
      <c r="K306" s="8"/>
    </row>
    <row r="307" spans="1:11" s="8" customFormat="1" ht="10.5" thickTop="1">
      <c r="A307" s="90">
        <v>5</v>
      </c>
      <c r="B307" s="91" t="s">
        <v>34</v>
      </c>
      <c r="C307" s="38" t="s">
        <v>17</v>
      </c>
      <c r="D307" s="77">
        <v>0</v>
      </c>
      <c r="E307" s="77">
        <v>0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</row>
    <row r="308" spans="1:11" s="8" customFormat="1">
      <c r="A308" s="22">
        <v>5</v>
      </c>
      <c r="B308" s="72" t="s">
        <v>34</v>
      </c>
      <c r="C308" s="42" t="s">
        <v>18</v>
      </c>
      <c r="D308" s="70">
        <f>+D306</f>
        <v>178</v>
      </c>
      <c r="E308" s="70">
        <f>+E306</f>
        <v>24</v>
      </c>
      <c r="F308" s="70">
        <f t="shared" ref="F308:I308" si="50">+F306</f>
        <v>0</v>
      </c>
      <c r="G308" s="70">
        <f t="shared" si="50"/>
        <v>0</v>
      </c>
      <c r="H308" s="70">
        <f t="shared" si="50"/>
        <v>202</v>
      </c>
      <c r="I308" s="70">
        <f t="shared" si="50"/>
        <v>735731119</v>
      </c>
      <c r="J308" s="70">
        <v>0</v>
      </c>
    </row>
    <row r="309" spans="1:11" s="8" customFormat="1">
      <c r="A309" s="92">
        <v>6</v>
      </c>
      <c r="B309" s="93" t="s">
        <v>35</v>
      </c>
      <c r="C309" s="45" t="s">
        <v>12</v>
      </c>
      <c r="D309" s="80">
        <v>0</v>
      </c>
      <c r="E309" s="80">
        <v>0</v>
      </c>
      <c r="F309" s="80">
        <v>0</v>
      </c>
      <c r="G309" s="80">
        <v>0</v>
      </c>
      <c r="H309" s="80">
        <v>0</v>
      </c>
      <c r="I309" s="80">
        <v>0</v>
      </c>
      <c r="J309" s="80">
        <v>0</v>
      </c>
    </row>
    <row r="310" spans="1:11" s="8" customFormat="1">
      <c r="A310" s="92">
        <v>6</v>
      </c>
      <c r="B310" s="93" t="s">
        <v>35</v>
      </c>
      <c r="C310" s="45" t="s">
        <v>13</v>
      </c>
      <c r="D310" s="80">
        <v>0</v>
      </c>
      <c r="E310" s="80">
        <v>0</v>
      </c>
      <c r="F310" s="80">
        <v>0</v>
      </c>
      <c r="G310" s="80">
        <v>0</v>
      </c>
      <c r="H310" s="80">
        <v>0</v>
      </c>
      <c r="I310" s="80">
        <v>0</v>
      </c>
      <c r="J310" s="80">
        <v>0</v>
      </c>
    </row>
    <row r="311" spans="1:11" s="8" customFormat="1">
      <c r="A311" s="92">
        <v>6</v>
      </c>
      <c r="B311" s="93" t="s">
        <v>35</v>
      </c>
      <c r="C311" s="45" t="s">
        <v>14</v>
      </c>
      <c r="D311" s="80">
        <v>0</v>
      </c>
      <c r="E311" s="80">
        <v>0</v>
      </c>
      <c r="F311" s="80">
        <v>0</v>
      </c>
      <c r="G311" s="80">
        <v>0</v>
      </c>
      <c r="H311" s="80">
        <v>0</v>
      </c>
      <c r="I311" s="80">
        <v>0</v>
      </c>
      <c r="J311" s="80">
        <v>0</v>
      </c>
    </row>
    <row r="312" spans="1:11" s="8" customFormat="1" ht="10.5" thickBot="1">
      <c r="A312" s="96">
        <v>6</v>
      </c>
      <c r="B312" s="97" t="s">
        <v>35</v>
      </c>
      <c r="C312" s="53" t="s">
        <v>15</v>
      </c>
      <c r="D312" s="175">
        <v>65</v>
      </c>
      <c r="E312" s="85">
        <v>0</v>
      </c>
      <c r="F312" s="85">
        <v>0</v>
      </c>
      <c r="G312" s="85">
        <v>0</v>
      </c>
      <c r="H312" s="85">
        <v>65</v>
      </c>
      <c r="I312" s="85">
        <v>209895846</v>
      </c>
      <c r="J312" s="85">
        <v>0</v>
      </c>
    </row>
    <row r="313" spans="1:11" s="35" customFormat="1" ht="11.5" thickTop="1" thickBot="1">
      <c r="A313" s="99">
        <v>6</v>
      </c>
      <c r="B313" s="100" t="s">
        <v>35</v>
      </c>
      <c r="C313" s="30" t="s">
        <v>16</v>
      </c>
      <c r="D313" s="176">
        <f>SUM(D309:D312)</f>
        <v>65</v>
      </c>
      <c r="E313" s="31">
        <f t="shared" ref="E313:J313" si="51">SUM(E309:E312)</f>
        <v>0</v>
      </c>
      <c r="F313" s="31">
        <f t="shared" si="51"/>
        <v>0</v>
      </c>
      <c r="G313" s="31">
        <f t="shared" si="51"/>
        <v>0</v>
      </c>
      <c r="H313" s="31">
        <f t="shared" si="51"/>
        <v>65</v>
      </c>
      <c r="I313" s="31">
        <f t="shared" si="51"/>
        <v>209895846</v>
      </c>
      <c r="J313" s="31">
        <f t="shared" si="51"/>
        <v>0</v>
      </c>
      <c r="K313" s="8"/>
    </row>
    <row r="314" spans="1:11" s="8" customFormat="1" ht="10.5" thickTop="1">
      <c r="A314" s="101">
        <v>6</v>
      </c>
      <c r="B314" s="102" t="s">
        <v>35</v>
      </c>
      <c r="C314" s="63" t="s">
        <v>17</v>
      </c>
      <c r="D314" s="88">
        <v>0</v>
      </c>
      <c r="E314" s="88">
        <v>0</v>
      </c>
      <c r="F314" s="88">
        <v>0</v>
      </c>
      <c r="G314" s="88">
        <v>0</v>
      </c>
      <c r="H314" s="88">
        <v>0</v>
      </c>
      <c r="I314" s="88">
        <v>0</v>
      </c>
      <c r="J314" s="88">
        <v>0</v>
      </c>
    </row>
    <row r="315" spans="1:11" s="8" customFormat="1">
      <c r="A315" s="92">
        <v>6</v>
      </c>
      <c r="B315" s="93" t="s">
        <v>35</v>
      </c>
      <c r="C315" s="68" t="s">
        <v>18</v>
      </c>
      <c r="D315" s="80">
        <f>+D313</f>
        <v>65</v>
      </c>
      <c r="E315" s="80">
        <f>+E313</f>
        <v>0</v>
      </c>
      <c r="F315" s="80">
        <f t="shared" ref="F315:I315" si="52">+F313</f>
        <v>0</v>
      </c>
      <c r="G315" s="80">
        <f t="shared" si="52"/>
        <v>0</v>
      </c>
      <c r="H315" s="80">
        <f t="shared" si="52"/>
        <v>65</v>
      </c>
      <c r="I315" s="80">
        <f t="shared" si="52"/>
        <v>209895846</v>
      </c>
      <c r="J315" s="80">
        <v>0</v>
      </c>
    </row>
    <row r="316" spans="1:11" s="8" customFormat="1">
      <c r="A316" s="105">
        <v>7</v>
      </c>
      <c r="B316" s="106" t="s">
        <v>36</v>
      </c>
      <c r="C316" s="21" t="s">
        <v>12</v>
      </c>
      <c r="D316" s="70">
        <v>0</v>
      </c>
      <c r="E316" s="70">
        <v>0</v>
      </c>
      <c r="F316" s="70">
        <v>0</v>
      </c>
      <c r="G316" s="70">
        <v>0</v>
      </c>
      <c r="H316" s="70">
        <v>0</v>
      </c>
      <c r="I316" s="70">
        <v>0</v>
      </c>
      <c r="J316" s="70">
        <v>0</v>
      </c>
    </row>
    <row r="317" spans="1:11" s="8" customFormat="1">
      <c r="A317" s="105">
        <v>7</v>
      </c>
      <c r="B317" s="106" t="s">
        <v>36</v>
      </c>
      <c r="C317" s="21" t="s">
        <v>13</v>
      </c>
      <c r="D317" s="70">
        <v>0</v>
      </c>
      <c r="E317" s="70">
        <v>0</v>
      </c>
      <c r="F317" s="70">
        <v>0</v>
      </c>
      <c r="G317" s="70">
        <v>0</v>
      </c>
      <c r="H317" s="70">
        <v>0</v>
      </c>
      <c r="I317" s="70">
        <v>0</v>
      </c>
      <c r="J317" s="70">
        <v>0</v>
      </c>
    </row>
    <row r="318" spans="1:11" s="8" customFormat="1">
      <c r="A318" s="105">
        <v>7</v>
      </c>
      <c r="B318" s="106" t="s">
        <v>36</v>
      </c>
      <c r="C318" s="21" t="s">
        <v>14</v>
      </c>
      <c r="D318" s="70">
        <v>0</v>
      </c>
      <c r="E318" s="70">
        <v>0</v>
      </c>
      <c r="F318" s="70">
        <v>0</v>
      </c>
      <c r="G318" s="70">
        <v>0</v>
      </c>
      <c r="H318" s="70">
        <v>0</v>
      </c>
      <c r="I318" s="70">
        <v>0</v>
      </c>
      <c r="J318" s="70">
        <v>0</v>
      </c>
    </row>
    <row r="319" spans="1:11" s="8" customFormat="1" ht="10.5" thickBot="1">
      <c r="A319" s="107">
        <v>7</v>
      </c>
      <c r="B319" s="108" t="s">
        <v>36</v>
      </c>
      <c r="C319" s="24" t="s">
        <v>15</v>
      </c>
      <c r="D319" s="73">
        <v>0</v>
      </c>
      <c r="E319" s="73">
        <v>0</v>
      </c>
      <c r="F319" s="73">
        <v>0</v>
      </c>
      <c r="G319" s="73">
        <v>0</v>
      </c>
      <c r="H319" s="73">
        <v>0</v>
      </c>
      <c r="I319" s="73">
        <v>0</v>
      </c>
      <c r="J319" s="73">
        <v>0</v>
      </c>
    </row>
    <row r="320" spans="1:11" s="35" customFormat="1" ht="11.5" thickTop="1" thickBot="1">
      <c r="A320" s="99">
        <v>7</v>
      </c>
      <c r="B320" s="100" t="s">
        <v>36</v>
      </c>
      <c r="C320" s="30" t="s">
        <v>16</v>
      </c>
      <c r="D320" s="31">
        <f>SUM(D316:D319)</f>
        <v>0</v>
      </c>
      <c r="E320" s="31">
        <f t="shared" ref="E320:J320" si="53">SUM(E316:E319)</f>
        <v>0</v>
      </c>
      <c r="F320" s="31">
        <f t="shared" si="53"/>
        <v>0</v>
      </c>
      <c r="G320" s="31">
        <f t="shared" si="53"/>
        <v>0</v>
      </c>
      <c r="H320" s="31">
        <f t="shared" si="53"/>
        <v>0</v>
      </c>
      <c r="I320" s="31">
        <f t="shared" si="53"/>
        <v>0</v>
      </c>
      <c r="J320" s="31">
        <f t="shared" si="53"/>
        <v>0</v>
      </c>
      <c r="K320" s="8"/>
    </row>
    <row r="321" spans="1:11" s="8" customFormat="1" ht="10.5" thickTop="1">
      <c r="A321" s="128">
        <v>7</v>
      </c>
      <c r="B321" s="129" t="s">
        <v>36</v>
      </c>
      <c r="C321" s="38" t="s">
        <v>17</v>
      </c>
      <c r="D321" s="77">
        <v>0</v>
      </c>
      <c r="E321" s="77">
        <v>0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</row>
    <row r="322" spans="1:11" s="8" customFormat="1">
      <c r="A322" s="105">
        <v>7</v>
      </c>
      <c r="B322" s="106" t="s">
        <v>36</v>
      </c>
      <c r="C322" s="42" t="s">
        <v>18</v>
      </c>
      <c r="D322" s="70">
        <v>0</v>
      </c>
      <c r="E322" s="70">
        <v>0</v>
      </c>
      <c r="F322" s="70">
        <v>0</v>
      </c>
      <c r="G322" s="70">
        <v>0</v>
      </c>
      <c r="H322" s="70">
        <v>0</v>
      </c>
      <c r="I322" s="70">
        <v>0</v>
      </c>
      <c r="J322" s="70">
        <v>0</v>
      </c>
    </row>
    <row r="323" spans="1:11" s="8" customFormat="1">
      <c r="A323" s="92">
        <v>8</v>
      </c>
      <c r="B323" s="93" t="s">
        <v>37</v>
      </c>
      <c r="C323" s="45" t="s">
        <v>12</v>
      </c>
      <c r="D323" s="46">
        <v>0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0</v>
      </c>
    </row>
    <row r="324" spans="1:11" s="8" customFormat="1">
      <c r="A324" s="92">
        <v>8</v>
      </c>
      <c r="B324" s="93" t="s">
        <v>37</v>
      </c>
      <c r="C324" s="45" t="s">
        <v>13</v>
      </c>
      <c r="D324" s="46">
        <v>0</v>
      </c>
      <c r="E324" s="46">
        <v>0</v>
      </c>
      <c r="F324" s="46">
        <v>0</v>
      </c>
      <c r="G324" s="46">
        <v>0</v>
      </c>
      <c r="H324" s="46">
        <v>0</v>
      </c>
      <c r="I324" s="46">
        <v>0</v>
      </c>
      <c r="J324" s="46">
        <v>0</v>
      </c>
    </row>
    <row r="325" spans="1:11" s="8" customFormat="1">
      <c r="A325" s="92">
        <v>8</v>
      </c>
      <c r="B325" s="93" t="s">
        <v>37</v>
      </c>
      <c r="C325" s="45" t="s">
        <v>14</v>
      </c>
      <c r="D325" s="46">
        <v>0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</row>
    <row r="326" spans="1:11" s="8" customFormat="1" ht="10.5" thickBot="1">
      <c r="A326" s="96">
        <v>8</v>
      </c>
      <c r="B326" s="97" t="s">
        <v>37</v>
      </c>
      <c r="C326" s="53" t="s">
        <v>15</v>
      </c>
      <c r="D326" s="54">
        <v>350</v>
      </c>
      <c r="E326" s="54">
        <v>0</v>
      </c>
      <c r="F326" s="54">
        <v>0</v>
      </c>
      <c r="G326" s="54">
        <v>0</v>
      </c>
      <c r="H326" s="54">
        <v>350</v>
      </c>
      <c r="I326" s="177">
        <v>2209793094</v>
      </c>
      <c r="J326" s="54">
        <v>0</v>
      </c>
    </row>
    <row r="327" spans="1:11" s="35" customFormat="1" ht="11.5" thickTop="1" thickBot="1">
      <c r="A327" s="99">
        <v>8</v>
      </c>
      <c r="B327" s="100" t="s">
        <v>37</v>
      </c>
      <c r="C327" s="30" t="s">
        <v>16</v>
      </c>
      <c r="D327" s="31">
        <f>SUM(D323:D326)</f>
        <v>350</v>
      </c>
      <c r="E327" s="31">
        <f t="shared" ref="E327:J327" si="54">SUM(E323:E326)</f>
        <v>0</v>
      </c>
      <c r="F327" s="31">
        <f t="shared" si="54"/>
        <v>0</v>
      </c>
      <c r="G327" s="31">
        <f t="shared" si="54"/>
        <v>0</v>
      </c>
      <c r="H327" s="31">
        <f t="shared" si="54"/>
        <v>350</v>
      </c>
      <c r="I327" s="31">
        <f t="shared" si="54"/>
        <v>2209793094</v>
      </c>
      <c r="J327" s="31">
        <f t="shared" si="54"/>
        <v>0</v>
      </c>
      <c r="K327" s="8"/>
    </row>
    <row r="328" spans="1:11" s="8" customFormat="1" ht="10.5" thickTop="1">
      <c r="A328" s="101">
        <v>8</v>
      </c>
      <c r="B328" s="102" t="s">
        <v>37</v>
      </c>
      <c r="C328" s="63" t="s">
        <v>17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</row>
    <row r="329" spans="1:11" s="8" customFormat="1">
      <c r="A329" s="92">
        <v>8</v>
      </c>
      <c r="B329" s="93" t="s">
        <v>37</v>
      </c>
      <c r="C329" s="68" t="s">
        <v>18</v>
      </c>
      <c r="D329" s="80">
        <f>+D327</f>
        <v>350</v>
      </c>
      <c r="E329" s="80">
        <f>+E327</f>
        <v>0</v>
      </c>
      <c r="F329" s="80">
        <f t="shared" ref="F329:I329" si="55">+F327</f>
        <v>0</v>
      </c>
      <c r="G329" s="80">
        <f t="shared" si="55"/>
        <v>0</v>
      </c>
      <c r="H329" s="80">
        <f t="shared" si="55"/>
        <v>350</v>
      </c>
      <c r="I329" s="80">
        <f t="shared" si="55"/>
        <v>2209793094</v>
      </c>
      <c r="J329" s="80">
        <v>0</v>
      </c>
    </row>
    <row r="330" spans="1:11" s="8" customFormat="1">
      <c r="A330" s="105">
        <v>9</v>
      </c>
      <c r="B330" s="106" t="s">
        <v>38</v>
      </c>
      <c r="C330" s="21" t="s">
        <v>12</v>
      </c>
      <c r="D330" s="70">
        <v>0</v>
      </c>
      <c r="E330" s="70">
        <v>0</v>
      </c>
      <c r="F330" s="70">
        <v>0</v>
      </c>
      <c r="G330" s="70">
        <v>0</v>
      </c>
      <c r="H330" s="70">
        <v>0</v>
      </c>
      <c r="I330" s="70">
        <v>0</v>
      </c>
      <c r="J330" s="70">
        <v>0</v>
      </c>
    </row>
    <row r="331" spans="1:11" s="8" customFormat="1">
      <c r="A331" s="105">
        <v>9</v>
      </c>
      <c r="B331" s="106" t="s">
        <v>38</v>
      </c>
      <c r="C331" s="21" t="s">
        <v>13</v>
      </c>
      <c r="D331" s="70">
        <v>0</v>
      </c>
      <c r="E331" s="70">
        <v>0</v>
      </c>
      <c r="F331" s="70">
        <v>0</v>
      </c>
      <c r="G331" s="70">
        <v>0</v>
      </c>
      <c r="H331" s="70">
        <v>0</v>
      </c>
      <c r="I331" s="70">
        <v>0</v>
      </c>
      <c r="J331" s="70">
        <v>0</v>
      </c>
    </row>
    <row r="332" spans="1:11" s="8" customFormat="1">
      <c r="A332" s="105">
        <v>9</v>
      </c>
      <c r="B332" s="106" t="s">
        <v>38</v>
      </c>
      <c r="C332" s="21" t="s">
        <v>14</v>
      </c>
      <c r="D332" s="70">
        <v>0</v>
      </c>
      <c r="E332" s="70">
        <v>0</v>
      </c>
      <c r="F332" s="70">
        <v>0</v>
      </c>
      <c r="G332" s="70">
        <v>0</v>
      </c>
      <c r="H332" s="70">
        <v>0</v>
      </c>
      <c r="I332" s="70">
        <v>0</v>
      </c>
      <c r="J332" s="70">
        <v>0</v>
      </c>
    </row>
    <row r="333" spans="1:11" s="8" customFormat="1" ht="10.5" thickBot="1">
      <c r="A333" s="107">
        <v>9</v>
      </c>
      <c r="B333" s="108" t="s">
        <v>38</v>
      </c>
      <c r="C333" s="24" t="s">
        <v>15</v>
      </c>
      <c r="D333" s="73">
        <v>0</v>
      </c>
      <c r="E333" s="73">
        <v>0</v>
      </c>
      <c r="F333" s="73">
        <v>0</v>
      </c>
      <c r="G333" s="73">
        <v>0</v>
      </c>
      <c r="H333" s="73">
        <v>0</v>
      </c>
      <c r="I333" s="73">
        <v>0</v>
      </c>
      <c r="J333" s="73">
        <v>0</v>
      </c>
    </row>
    <row r="334" spans="1:11" s="35" customFormat="1" ht="11.5" thickTop="1" thickBot="1">
      <c r="A334" s="99">
        <v>9</v>
      </c>
      <c r="B334" s="100" t="s">
        <v>38</v>
      </c>
      <c r="C334" s="30" t="s">
        <v>16</v>
      </c>
      <c r="D334" s="31">
        <f>SUM(D330:D333)</f>
        <v>0</v>
      </c>
      <c r="E334" s="31">
        <f t="shared" ref="E334:J334" si="56">SUM(E330:E333)</f>
        <v>0</v>
      </c>
      <c r="F334" s="31">
        <f t="shared" si="56"/>
        <v>0</v>
      </c>
      <c r="G334" s="31">
        <f t="shared" si="56"/>
        <v>0</v>
      </c>
      <c r="H334" s="31">
        <f t="shared" si="56"/>
        <v>0</v>
      </c>
      <c r="I334" s="31">
        <f t="shared" si="56"/>
        <v>0</v>
      </c>
      <c r="J334" s="31">
        <f t="shared" si="56"/>
        <v>0</v>
      </c>
      <c r="K334" s="8"/>
    </row>
    <row r="335" spans="1:11" s="8" customFormat="1" ht="10.5" thickTop="1">
      <c r="A335" s="128">
        <v>9</v>
      </c>
      <c r="B335" s="129" t="s">
        <v>38</v>
      </c>
      <c r="C335" s="38" t="s">
        <v>17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</row>
    <row r="336" spans="1:11" s="8" customFormat="1">
      <c r="A336" s="105">
        <v>9</v>
      </c>
      <c r="B336" s="106" t="s">
        <v>38</v>
      </c>
      <c r="C336" s="42" t="s">
        <v>18</v>
      </c>
      <c r="D336" s="70">
        <v>0</v>
      </c>
      <c r="E336" s="70">
        <v>0</v>
      </c>
      <c r="F336" s="70">
        <v>0</v>
      </c>
      <c r="G336" s="70">
        <v>0</v>
      </c>
      <c r="H336" s="70">
        <v>0</v>
      </c>
      <c r="I336" s="70">
        <v>0</v>
      </c>
      <c r="J336" s="70">
        <v>0</v>
      </c>
    </row>
    <row r="337" spans="1:11" s="8" customFormat="1">
      <c r="A337" s="92">
        <v>10</v>
      </c>
      <c r="B337" s="93" t="s">
        <v>39</v>
      </c>
      <c r="C337" s="45" t="s">
        <v>12</v>
      </c>
      <c r="D337" s="46">
        <v>0</v>
      </c>
      <c r="E337" s="46">
        <v>0</v>
      </c>
      <c r="F337" s="46">
        <v>0</v>
      </c>
      <c r="G337" s="46">
        <v>0</v>
      </c>
      <c r="H337" s="46">
        <v>0</v>
      </c>
      <c r="I337" s="46">
        <v>0</v>
      </c>
      <c r="J337" s="46">
        <v>0</v>
      </c>
    </row>
    <row r="338" spans="1:11" s="8" customFormat="1">
      <c r="A338" s="92">
        <v>10</v>
      </c>
      <c r="B338" s="93" t="s">
        <v>39</v>
      </c>
      <c r="C338" s="45" t="s">
        <v>13</v>
      </c>
      <c r="D338" s="46">
        <v>0</v>
      </c>
      <c r="E338" s="49">
        <v>0</v>
      </c>
      <c r="F338" s="49">
        <v>0</v>
      </c>
      <c r="G338" s="46">
        <v>0</v>
      </c>
      <c r="H338" s="49">
        <v>0</v>
      </c>
      <c r="I338" s="49"/>
      <c r="J338" s="46">
        <v>0</v>
      </c>
    </row>
    <row r="339" spans="1:11" s="8" customFormat="1">
      <c r="A339" s="92">
        <v>10</v>
      </c>
      <c r="B339" s="93" t="s">
        <v>39</v>
      </c>
      <c r="C339" s="45" t="s">
        <v>14</v>
      </c>
      <c r="D339" s="82">
        <v>0</v>
      </c>
      <c r="E339" s="82">
        <v>0</v>
      </c>
      <c r="F339" s="82">
        <v>0</v>
      </c>
      <c r="G339" s="46">
        <v>0</v>
      </c>
      <c r="H339" s="46">
        <v>0</v>
      </c>
      <c r="I339" s="82"/>
      <c r="J339" s="46">
        <v>0</v>
      </c>
    </row>
    <row r="340" spans="1:11" s="8" customFormat="1" ht="10.5" thickBot="1">
      <c r="A340" s="96">
        <v>10</v>
      </c>
      <c r="B340" s="97" t="s">
        <v>39</v>
      </c>
      <c r="C340" s="53" t="s">
        <v>15</v>
      </c>
      <c r="D340" s="177">
        <v>14</v>
      </c>
      <c r="E340" s="177">
        <v>6</v>
      </c>
      <c r="F340" s="177">
        <v>20</v>
      </c>
      <c r="G340" s="54">
        <v>0</v>
      </c>
      <c r="H340" s="54">
        <f>+D340+E340+F340</f>
        <v>40</v>
      </c>
      <c r="I340" s="177">
        <v>81435492</v>
      </c>
      <c r="J340" s="54">
        <v>0</v>
      </c>
    </row>
    <row r="341" spans="1:11" s="35" customFormat="1" ht="11.5" thickTop="1" thickBot="1">
      <c r="A341" s="99">
        <v>10</v>
      </c>
      <c r="B341" s="100" t="s">
        <v>39</v>
      </c>
      <c r="C341" s="30" t="s">
        <v>16</v>
      </c>
      <c r="D341" s="31">
        <f>SUM(D337:D340)</f>
        <v>14</v>
      </c>
      <c r="E341" s="31">
        <f t="shared" ref="E341:J341" si="57">SUM(E337:E340)</f>
        <v>6</v>
      </c>
      <c r="F341" s="31">
        <f t="shared" si="57"/>
        <v>20</v>
      </c>
      <c r="G341" s="31">
        <f t="shared" si="57"/>
        <v>0</v>
      </c>
      <c r="H341" s="31">
        <f t="shared" si="57"/>
        <v>40</v>
      </c>
      <c r="I341" s="31">
        <f t="shared" si="57"/>
        <v>81435492</v>
      </c>
      <c r="J341" s="31">
        <f t="shared" si="57"/>
        <v>0</v>
      </c>
      <c r="K341" s="8"/>
    </row>
    <row r="342" spans="1:11" s="8" customFormat="1" ht="10.5" thickTop="1">
      <c r="A342" s="101">
        <v>10</v>
      </c>
      <c r="B342" s="102" t="s">
        <v>39</v>
      </c>
      <c r="C342" s="63" t="s">
        <v>17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</row>
    <row r="343" spans="1:11" s="8" customFormat="1">
      <c r="A343" s="92">
        <v>10</v>
      </c>
      <c r="B343" s="93" t="s">
        <v>39</v>
      </c>
      <c r="C343" s="68" t="s">
        <v>18</v>
      </c>
      <c r="D343" s="46">
        <v>14</v>
      </c>
      <c r="E343" s="46">
        <v>6</v>
      </c>
      <c r="F343" s="46">
        <v>20</v>
      </c>
      <c r="G343" s="46">
        <v>0</v>
      </c>
      <c r="H343" s="46">
        <f>+H341</f>
        <v>40</v>
      </c>
      <c r="I343" s="82">
        <f>+I341</f>
        <v>81435492</v>
      </c>
      <c r="J343" s="46">
        <v>0</v>
      </c>
    </row>
    <row r="344" spans="1:11" s="8" customFormat="1">
      <c r="A344" s="105">
        <v>11</v>
      </c>
      <c r="B344" s="106" t="s">
        <v>40</v>
      </c>
      <c r="C344" s="21" t="s">
        <v>12</v>
      </c>
      <c r="D344" s="70">
        <v>0</v>
      </c>
      <c r="E344" s="70">
        <v>0</v>
      </c>
      <c r="F344" s="70">
        <v>0</v>
      </c>
      <c r="G344" s="70">
        <v>0</v>
      </c>
      <c r="H344" s="70">
        <v>0</v>
      </c>
      <c r="I344" s="70">
        <v>0</v>
      </c>
      <c r="J344" s="70">
        <v>0</v>
      </c>
    </row>
    <row r="345" spans="1:11" s="8" customFormat="1">
      <c r="A345" s="105">
        <v>11</v>
      </c>
      <c r="B345" s="106" t="s">
        <v>40</v>
      </c>
      <c r="C345" s="21" t="s">
        <v>13</v>
      </c>
      <c r="D345" s="70">
        <v>0</v>
      </c>
      <c r="E345" s="70">
        <v>0</v>
      </c>
      <c r="F345" s="70">
        <v>0</v>
      </c>
      <c r="G345" s="70">
        <v>0</v>
      </c>
      <c r="H345" s="70">
        <v>0</v>
      </c>
      <c r="I345" s="70">
        <v>0</v>
      </c>
      <c r="J345" s="70">
        <v>0</v>
      </c>
    </row>
    <row r="346" spans="1:11" s="8" customFormat="1">
      <c r="A346" s="105">
        <v>11</v>
      </c>
      <c r="B346" s="106" t="s">
        <v>40</v>
      </c>
      <c r="C346" s="21" t="s">
        <v>14</v>
      </c>
      <c r="D346" s="70">
        <v>0</v>
      </c>
      <c r="E346" s="70">
        <v>0</v>
      </c>
      <c r="F346" s="70">
        <v>0</v>
      </c>
      <c r="G346" s="70">
        <v>0</v>
      </c>
      <c r="H346" s="70">
        <v>0</v>
      </c>
      <c r="I346" s="70">
        <v>0</v>
      </c>
      <c r="J346" s="70">
        <v>0</v>
      </c>
    </row>
    <row r="347" spans="1:11" s="8" customFormat="1" ht="10.5" thickBot="1">
      <c r="A347" s="107">
        <v>11</v>
      </c>
      <c r="B347" s="108" t="s">
        <v>40</v>
      </c>
      <c r="C347" s="24" t="s">
        <v>15</v>
      </c>
      <c r="D347" s="73">
        <v>0</v>
      </c>
      <c r="E347" s="73">
        <v>0</v>
      </c>
      <c r="F347" s="73">
        <v>0</v>
      </c>
      <c r="G347" s="73">
        <v>0</v>
      </c>
      <c r="H347" s="73">
        <f t="shared" ref="H347" si="58">+D347+E347+F347+G347</f>
        <v>0</v>
      </c>
      <c r="I347" s="73">
        <v>0</v>
      </c>
      <c r="J347" s="73">
        <v>0</v>
      </c>
    </row>
    <row r="348" spans="1:11" s="35" customFormat="1" ht="11.5" thickTop="1" thickBot="1">
      <c r="A348" s="99">
        <v>11</v>
      </c>
      <c r="B348" s="100" t="s">
        <v>40</v>
      </c>
      <c r="C348" s="30" t="s">
        <v>16</v>
      </c>
      <c r="D348" s="31">
        <f>SUM(D344:D347)</f>
        <v>0</v>
      </c>
      <c r="E348" s="31">
        <f t="shared" ref="E348:J348" si="59">SUM(E344:E347)</f>
        <v>0</v>
      </c>
      <c r="F348" s="31">
        <f t="shared" si="59"/>
        <v>0</v>
      </c>
      <c r="G348" s="31">
        <f t="shared" si="59"/>
        <v>0</v>
      </c>
      <c r="H348" s="31">
        <f t="shared" si="59"/>
        <v>0</v>
      </c>
      <c r="I348" s="31">
        <f t="shared" si="59"/>
        <v>0</v>
      </c>
      <c r="J348" s="31">
        <f t="shared" si="59"/>
        <v>0</v>
      </c>
      <c r="K348" s="8"/>
    </row>
    <row r="349" spans="1:11" s="8" customFormat="1" ht="10.5" thickTop="1">
      <c r="A349" s="128">
        <v>11</v>
      </c>
      <c r="B349" s="129" t="s">
        <v>40</v>
      </c>
      <c r="C349" s="38" t="s">
        <v>17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0</v>
      </c>
    </row>
    <row r="350" spans="1:11" s="8" customFormat="1">
      <c r="A350" s="105">
        <v>11</v>
      </c>
      <c r="B350" s="106" t="s">
        <v>40</v>
      </c>
      <c r="C350" s="42" t="s">
        <v>18</v>
      </c>
      <c r="D350" s="70">
        <v>0</v>
      </c>
      <c r="E350" s="70">
        <v>0</v>
      </c>
      <c r="F350" s="70">
        <v>0</v>
      </c>
      <c r="G350" s="70">
        <v>0</v>
      </c>
      <c r="H350" s="70">
        <v>0</v>
      </c>
      <c r="I350" s="70">
        <v>0</v>
      </c>
      <c r="J350" s="70">
        <v>0</v>
      </c>
    </row>
    <row r="351" spans="1:11" s="8" customFormat="1">
      <c r="A351" s="92">
        <v>12</v>
      </c>
      <c r="B351" s="93" t="s">
        <v>41</v>
      </c>
      <c r="C351" s="45" t="s">
        <v>12</v>
      </c>
      <c r="D351" s="46">
        <v>0</v>
      </c>
      <c r="E351" s="46">
        <v>0</v>
      </c>
      <c r="F351" s="46">
        <v>0</v>
      </c>
      <c r="G351" s="46">
        <v>0</v>
      </c>
      <c r="H351" s="46">
        <v>0</v>
      </c>
      <c r="I351" s="46">
        <v>0</v>
      </c>
      <c r="J351" s="46">
        <v>0</v>
      </c>
    </row>
    <row r="352" spans="1:11" s="8" customFormat="1">
      <c r="A352" s="92">
        <v>12</v>
      </c>
      <c r="B352" s="93" t="s">
        <v>41</v>
      </c>
      <c r="C352" s="45" t="s">
        <v>13</v>
      </c>
      <c r="D352" s="46">
        <v>0</v>
      </c>
      <c r="E352" s="46">
        <v>0</v>
      </c>
      <c r="F352" s="46">
        <v>0</v>
      </c>
      <c r="G352" s="46">
        <v>0</v>
      </c>
      <c r="H352" s="46">
        <v>0</v>
      </c>
      <c r="I352" s="46">
        <v>0</v>
      </c>
      <c r="J352" s="46">
        <v>0</v>
      </c>
    </row>
    <row r="353" spans="1:11" s="8" customFormat="1">
      <c r="A353" s="92">
        <v>12</v>
      </c>
      <c r="B353" s="93" t="s">
        <v>41</v>
      </c>
      <c r="C353" s="45" t="s">
        <v>14</v>
      </c>
      <c r="D353" s="46">
        <v>0</v>
      </c>
      <c r="E353" s="46">
        <v>0</v>
      </c>
      <c r="F353" s="46">
        <v>0</v>
      </c>
      <c r="G353" s="46">
        <v>0</v>
      </c>
      <c r="H353" s="46">
        <v>0</v>
      </c>
      <c r="I353" s="46">
        <v>0</v>
      </c>
      <c r="J353" s="46">
        <v>0</v>
      </c>
    </row>
    <row r="354" spans="1:11" s="8" customFormat="1" ht="10.5" thickBot="1">
      <c r="A354" s="96">
        <v>12</v>
      </c>
      <c r="B354" s="97" t="s">
        <v>41</v>
      </c>
      <c r="C354" s="53" t="s">
        <v>15</v>
      </c>
      <c r="D354" s="54">
        <v>0</v>
      </c>
      <c r="E354" s="54">
        <v>0</v>
      </c>
      <c r="F354" s="54">
        <v>0</v>
      </c>
      <c r="G354" s="54">
        <v>0</v>
      </c>
      <c r="H354" s="54">
        <v>0</v>
      </c>
      <c r="I354" s="54">
        <v>0</v>
      </c>
      <c r="J354" s="54">
        <v>0</v>
      </c>
    </row>
    <row r="355" spans="1:11" s="35" customFormat="1" ht="11.5" thickTop="1" thickBot="1">
      <c r="A355" s="99">
        <v>12</v>
      </c>
      <c r="B355" s="100" t="s">
        <v>41</v>
      </c>
      <c r="C355" s="30" t="s">
        <v>16</v>
      </c>
      <c r="D355" s="31">
        <v>0</v>
      </c>
      <c r="E355" s="31">
        <v>0</v>
      </c>
      <c r="F355" s="31">
        <v>0</v>
      </c>
      <c r="G355" s="31">
        <v>0</v>
      </c>
      <c r="H355" s="31">
        <v>0</v>
      </c>
      <c r="I355" s="31">
        <v>0</v>
      </c>
      <c r="J355" s="31">
        <v>0</v>
      </c>
      <c r="K355" s="8"/>
    </row>
    <row r="356" spans="1:11" s="8" customFormat="1" ht="10.5" thickTop="1">
      <c r="A356" s="101">
        <v>12</v>
      </c>
      <c r="B356" s="102" t="s">
        <v>41</v>
      </c>
      <c r="C356" s="63" t="s">
        <v>17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</row>
    <row r="357" spans="1:11" s="8" customFormat="1">
      <c r="A357" s="92">
        <v>12</v>
      </c>
      <c r="B357" s="93" t="s">
        <v>41</v>
      </c>
      <c r="C357" s="68" t="s">
        <v>18</v>
      </c>
      <c r="D357" s="46">
        <v>0</v>
      </c>
      <c r="E357" s="46">
        <v>0</v>
      </c>
      <c r="F357" s="46">
        <v>0</v>
      </c>
      <c r="G357" s="46">
        <v>0</v>
      </c>
      <c r="H357" s="46">
        <v>0</v>
      </c>
      <c r="I357" s="46">
        <v>0</v>
      </c>
      <c r="J357" s="46">
        <v>0</v>
      </c>
    </row>
    <row r="358" spans="1:11" s="8" customFormat="1">
      <c r="A358" s="105">
        <v>13</v>
      </c>
      <c r="B358" s="106" t="s">
        <v>42</v>
      </c>
      <c r="C358" s="21" t="s">
        <v>12</v>
      </c>
      <c r="D358" s="70">
        <v>0</v>
      </c>
      <c r="E358" s="70">
        <v>0</v>
      </c>
      <c r="F358" s="70">
        <v>0</v>
      </c>
      <c r="G358" s="70">
        <v>0</v>
      </c>
      <c r="H358" s="70">
        <v>0</v>
      </c>
      <c r="I358" s="70">
        <v>0</v>
      </c>
      <c r="J358" s="70">
        <v>0</v>
      </c>
    </row>
    <row r="359" spans="1:11" s="8" customFormat="1">
      <c r="A359" s="105">
        <v>13</v>
      </c>
      <c r="B359" s="106" t="s">
        <v>42</v>
      </c>
      <c r="C359" s="21" t="s">
        <v>13</v>
      </c>
      <c r="D359" s="70">
        <v>0</v>
      </c>
      <c r="E359" s="70">
        <v>0</v>
      </c>
      <c r="F359" s="70">
        <v>0</v>
      </c>
      <c r="G359" s="70">
        <v>0</v>
      </c>
      <c r="H359" s="70">
        <v>0</v>
      </c>
      <c r="I359" s="70">
        <v>0</v>
      </c>
      <c r="J359" s="70">
        <v>0</v>
      </c>
    </row>
    <row r="360" spans="1:11" s="8" customFormat="1">
      <c r="A360" s="105">
        <v>13</v>
      </c>
      <c r="B360" s="106" t="s">
        <v>42</v>
      </c>
      <c r="C360" s="21" t="s">
        <v>14</v>
      </c>
      <c r="D360" s="70">
        <v>0</v>
      </c>
      <c r="E360" s="70">
        <v>0</v>
      </c>
      <c r="F360" s="70">
        <v>0</v>
      </c>
      <c r="G360" s="70">
        <v>0</v>
      </c>
      <c r="H360" s="70">
        <v>0</v>
      </c>
      <c r="I360" s="70">
        <v>0</v>
      </c>
      <c r="J360" s="70">
        <v>0</v>
      </c>
    </row>
    <row r="361" spans="1:11" s="8" customFormat="1" ht="10.5" thickBot="1">
      <c r="A361" s="107">
        <v>13</v>
      </c>
      <c r="B361" s="108" t="s">
        <v>42</v>
      </c>
      <c r="C361" s="24" t="s">
        <v>15</v>
      </c>
      <c r="D361" s="73">
        <v>0</v>
      </c>
      <c r="E361" s="73">
        <v>0</v>
      </c>
      <c r="F361" s="73">
        <v>0</v>
      </c>
      <c r="G361" s="73">
        <v>0</v>
      </c>
      <c r="H361" s="73">
        <v>0</v>
      </c>
      <c r="I361" s="73">
        <v>0</v>
      </c>
      <c r="J361" s="73">
        <v>0</v>
      </c>
    </row>
    <row r="362" spans="1:11" s="35" customFormat="1" ht="11.5" thickTop="1" thickBot="1">
      <c r="A362" s="99">
        <v>13</v>
      </c>
      <c r="B362" s="100" t="s">
        <v>42</v>
      </c>
      <c r="C362" s="30" t="s">
        <v>16</v>
      </c>
      <c r="D362" s="31">
        <f>SUM(D358:D361)</f>
        <v>0</v>
      </c>
      <c r="E362" s="31">
        <f t="shared" ref="E362:J362" si="60">SUM(E358:E361)</f>
        <v>0</v>
      </c>
      <c r="F362" s="31">
        <f t="shared" si="60"/>
        <v>0</v>
      </c>
      <c r="G362" s="31">
        <f t="shared" si="60"/>
        <v>0</v>
      </c>
      <c r="H362" s="31">
        <f t="shared" si="60"/>
        <v>0</v>
      </c>
      <c r="I362" s="31">
        <f t="shared" si="60"/>
        <v>0</v>
      </c>
      <c r="J362" s="31">
        <f t="shared" si="60"/>
        <v>0</v>
      </c>
      <c r="K362" s="8"/>
    </row>
    <row r="363" spans="1:11" s="8" customFormat="1" ht="10.5" thickTop="1">
      <c r="A363" s="128">
        <v>13</v>
      </c>
      <c r="B363" s="129" t="s">
        <v>42</v>
      </c>
      <c r="C363" s="38" t="s">
        <v>17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</row>
    <row r="364" spans="1:11" s="8" customFormat="1">
      <c r="A364" s="105">
        <v>13</v>
      </c>
      <c r="B364" s="106" t="s">
        <v>42</v>
      </c>
      <c r="C364" s="42" t="s">
        <v>18</v>
      </c>
      <c r="D364" s="70">
        <v>0</v>
      </c>
      <c r="E364" s="70">
        <v>0</v>
      </c>
      <c r="F364" s="70">
        <v>0</v>
      </c>
      <c r="G364" s="70">
        <v>0</v>
      </c>
      <c r="H364" s="70">
        <v>0</v>
      </c>
      <c r="I364" s="70">
        <v>0</v>
      </c>
      <c r="J364" s="70">
        <v>0</v>
      </c>
    </row>
    <row r="365" spans="1:11" s="8" customFormat="1">
      <c r="A365" s="92">
        <v>14</v>
      </c>
      <c r="B365" s="93" t="s">
        <v>43</v>
      </c>
      <c r="C365" s="45" t="s">
        <v>12</v>
      </c>
      <c r="D365" s="46">
        <v>0</v>
      </c>
      <c r="E365" s="46">
        <v>0</v>
      </c>
      <c r="F365" s="46">
        <v>0</v>
      </c>
      <c r="G365" s="46">
        <v>0</v>
      </c>
      <c r="H365" s="46">
        <v>0</v>
      </c>
      <c r="I365" s="46">
        <v>0</v>
      </c>
      <c r="J365" s="46">
        <v>0</v>
      </c>
    </row>
    <row r="366" spans="1:11" s="8" customFormat="1">
      <c r="A366" s="92">
        <v>14</v>
      </c>
      <c r="B366" s="93" t="s">
        <v>43</v>
      </c>
      <c r="C366" s="45" t="s">
        <v>13</v>
      </c>
      <c r="D366" s="46">
        <v>0</v>
      </c>
      <c r="E366" s="46">
        <v>0</v>
      </c>
      <c r="F366" s="46">
        <v>0</v>
      </c>
      <c r="G366" s="46">
        <v>0</v>
      </c>
      <c r="H366" s="46">
        <v>0</v>
      </c>
      <c r="I366" s="46">
        <v>0</v>
      </c>
      <c r="J366" s="46">
        <v>0</v>
      </c>
    </row>
    <row r="367" spans="1:11" s="8" customFormat="1">
      <c r="A367" s="92">
        <v>14</v>
      </c>
      <c r="B367" s="93" t="s">
        <v>43</v>
      </c>
      <c r="C367" s="45" t="s">
        <v>14</v>
      </c>
      <c r="D367" s="46">
        <v>0</v>
      </c>
      <c r="E367" s="46">
        <v>0</v>
      </c>
      <c r="F367" s="46">
        <v>0</v>
      </c>
      <c r="G367" s="46">
        <v>0</v>
      </c>
      <c r="H367" s="46">
        <v>0</v>
      </c>
      <c r="I367" s="46">
        <v>0</v>
      </c>
      <c r="J367" s="46">
        <v>0</v>
      </c>
    </row>
    <row r="368" spans="1:11" s="8" customFormat="1" ht="10.5" thickBot="1">
      <c r="A368" s="96">
        <v>14</v>
      </c>
      <c r="B368" s="97" t="s">
        <v>43</v>
      </c>
      <c r="C368" s="53" t="s">
        <v>15</v>
      </c>
      <c r="D368" s="54">
        <v>0</v>
      </c>
      <c r="E368" s="54">
        <v>0</v>
      </c>
      <c r="F368" s="54">
        <v>0</v>
      </c>
      <c r="G368" s="54">
        <v>0</v>
      </c>
      <c r="H368" s="54">
        <v>0</v>
      </c>
      <c r="I368" s="54">
        <v>0</v>
      </c>
      <c r="J368" s="54">
        <v>0</v>
      </c>
    </row>
    <row r="369" spans="1:11" s="35" customFormat="1" ht="11.5" thickTop="1" thickBot="1">
      <c r="A369" s="99">
        <v>14</v>
      </c>
      <c r="B369" s="100" t="s">
        <v>43</v>
      </c>
      <c r="C369" s="30" t="s">
        <v>16</v>
      </c>
      <c r="D369" s="31">
        <f>SUM(D365:D368)</f>
        <v>0</v>
      </c>
      <c r="E369" s="31">
        <f t="shared" ref="E369:J369" si="61">SUM(E365:E368)</f>
        <v>0</v>
      </c>
      <c r="F369" s="31">
        <f t="shared" si="61"/>
        <v>0</v>
      </c>
      <c r="G369" s="31">
        <f t="shared" si="61"/>
        <v>0</v>
      </c>
      <c r="H369" s="31">
        <f t="shared" si="61"/>
        <v>0</v>
      </c>
      <c r="I369" s="31">
        <f t="shared" si="61"/>
        <v>0</v>
      </c>
      <c r="J369" s="31">
        <f t="shared" si="61"/>
        <v>0</v>
      </c>
      <c r="K369" s="8"/>
    </row>
    <row r="370" spans="1:11" s="8" customFormat="1" ht="10.5" thickTop="1">
      <c r="A370" s="101">
        <v>14</v>
      </c>
      <c r="B370" s="102" t="s">
        <v>43</v>
      </c>
      <c r="C370" s="63" t="s">
        <v>17</v>
      </c>
      <c r="D370" s="64">
        <v>0</v>
      </c>
      <c r="E370" s="64">
        <v>0</v>
      </c>
      <c r="F370" s="64">
        <v>0</v>
      </c>
      <c r="G370" s="64">
        <v>0</v>
      </c>
      <c r="H370" s="64">
        <v>0</v>
      </c>
      <c r="I370" s="64">
        <v>0</v>
      </c>
      <c r="J370" s="64">
        <v>0</v>
      </c>
    </row>
    <row r="371" spans="1:11" s="8" customFormat="1">
      <c r="A371" s="92">
        <v>14</v>
      </c>
      <c r="B371" s="93" t="s">
        <v>43</v>
      </c>
      <c r="C371" s="68" t="s">
        <v>18</v>
      </c>
      <c r="D371" s="46">
        <v>0</v>
      </c>
      <c r="E371" s="46">
        <v>0</v>
      </c>
      <c r="F371" s="46">
        <v>0</v>
      </c>
      <c r="G371" s="46">
        <v>0</v>
      </c>
      <c r="H371" s="46">
        <v>0</v>
      </c>
      <c r="I371" s="46">
        <v>0</v>
      </c>
      <c r="J371" s="46">
        <v>0</v>
      </c>
    </row>
    <row r="372" spans="1:11" s="8" customFormat="1">
      <c r="A372" s="105">
        <v>15</v>
      </c>
      <c r="B372" s="106" t="s">
        <v>44</v>
      </c>
      <c r="C372" s="21" t="s">
        <v>12</v>
      </c>
      <c r="D372" s="70">
        <v>0</v>
      </c>
      <c r="E372" s="70">
        <v>0</v>
      </c>
      <c r="F372" s="70">
        <v>0</v>
      </c>
      <c r="G372" s="70">
        <v>0</v>
      </c>
      <c r="H372" s="70">
        <v>0</v>
      </c>
      <c r="I372" s="70">
        <v>0</v>
      </c>
      <c r="J372" s="70">
        <v>0</v>
      </c>
    </row>
    <row r="373" spans="1:11" s="8" customFormat="1">
      <c r="A373" s="105">
        <v>15</v>
      </c>
      <c r="B373" s="106" t="s">
        <v>44</v>
      </c>
      <c r="C373" s="21" t="s">
        <v>13</v>
      </c>
      <c r="D373" s="70">
        <v>0</v>
      </c>
      <c r="E373" s="70">
        <v>0</v>
      </c>
      <c r="F373" s="70">
        <v>0</v>
      </c>
      <c r="G373" s="70">
        <v>0</v>
      </c>
      <c r="H373" s="70">
        <v>0</v>
      </c>
      <c r="I373" s="70">
        <v>0</v>
      </c>
      <c r="J373" s="70">
        <v>0</v>
      </c>
    </row>
    <row r="374" spans="1:11" s="8" customFormat="1">
      <c r="A374" s="105">
        <v>15</v>
      </c>
      <c r="B374" s="106" t="s">
        <v>44</v>
      </c>
      <c r="C374" s="21" t="s">
        <v>14</v>
      </c>
      <c r="D374" s="70">
        <v>0</v>
      </c>
      <c r="E374" s="70">
        <v>0</v>
      </c>
      <c r="F374" s="70">
        <v>0</v>
      </c>
      <c r="G374" s="70">
        <v>0</v>
      </c>
      <c r="H374" s="70">
        <v>0</v>
      </c>
      <c r="I374" s="70">
        <v>0</v>
      </c>
      <c r="J374" s="70">
        <v>0</v>
      </c>
    </row>
    <row r="375" spans="1:11" s="8" customFormat="1" ht="10.5" thickBot="1">
      <c r="A375" s="107">
        <v>15</v>
      </c>
      <c r="B375" s="108" t="s">
        <v>44</v>
      </c>
      <c r="C375" s="24" t="s">
        <v>15</v>
      </c>
      <c r="D375" s="73">
        <v>0</v>
      </c>
      <c r="E375" s="73">
        <v>0</v>
      </c>
      <c r="F375" s="73">
        <v>0</v>
      </c>
      <c r="G375" s="73">
        <v>0</v>
      </c>
      <c r="H375" s="73">
        <v>0</v>
      </c>
      <c r="I375" s="73">
        <v>0</v>
      </c>
      <c r="J375" s="73">
        <v>0</v>
      </c>
    </row>
    <row r="376" spans="1:11" s="35" customFormat="1" ht="11.5" thickTop="1" thickBot="1">
      <c r="A376" s="99">
        <v>15</v>
      </c>
      <c r="B376" s="100" t="s">
        <v>44</v>
      </c>
      <c r="C376" s="30" t="s">
        <v>16</v>
      </c>
      <c r="D376" s="31">
        <v>0</v>
      </c>
      <c r="E376" s="31">
        <v>0</v>
      </c>
      <c r="F376" s="31">
        <v>0</v>
      </c>
      <c r="G376" s="31">
        <v>0</v>
      </c>
      <c r="H376" s="31">
        <v>0</v>
      </c>
      <c r="I376" s="31">
        <v>0</v>
      </c>
      <c r="J376" s="31">
        <v>0</v>
      </c>
      <c r="K376" s="8"/>
    </row>
    <row r="377" spans="1:11" s="8" customFormat="1" ht="10.5" thickTop="1">
      <c r="A377" s="128">
        <v>15</v>
      </c>
      <c r="B377" s="129" t="s">
        <v>44</v>
      </c>
      <c r="C377" s="38" t="s">
        <v>17</v>
      </c>
      <c r="D377" s="77">
        <v>0</v>
      </c>
      <c r="E377" s="77">
        <v>0</v>
      </c>
      <c r="F377" s="77">
        <v>0</v>
      </c>
      <c r="G377" s="77">
        <v>0</v>
      </c>
      <c r="H377" s="77">
        <v>0</v>
      </c>
      <c r="I377" s="77">
        <v>0</v>
      </c>
      <c r="J377" s="77">
        <v>0</v>
      </c>
    </row>
    <row r="378" spans="1:11" s="8" customFormat="1">
      <c r="A378" s="105">
        <v>15</v>
      </c>
      <c r="B378" s="106" t="s">
        <v>44</v>
      </c>
      <c r="C378" s="42" t="s">
        <v>18</v>
      </c>
      <c r="D378" s="70">
        <v>0</v>
      </c>
      <c r="E378" s="70">
        <v>0</v>
      </c>
      <c r="F378" s="70">
        <v>0</v>
      </c>
      <c r="G378" s="70">
        <v>0</v>
      </c>
      <c r="H378" s="70">
        <v>0</v>
      </c>
      <c r="I378" s="70">
        <v>0</v>
      </c>
      <c r="J378" s="70">
        <v>0</v>
      </c>
    </row>
    <row r="379" spans="1:11" s="8" customFormat="1">
      <c r="A379" s="92">
        <v>16</v>
      </c>
      <c r="B379" s="93" t="s">
        <v>45</v>
      </c>
      <c r="C379" s="45" t="s">
        <v>12</v>
      </c>
      <c r="D379" s="46">
        <v>0</v>
      </c>
      <c r="E379" s="46">
        <v>0</v>
      </c>
      <c r="F379" s="46">
        <v>0</v>
      </c>
      <c r="G379" s="46">
        <v>0</v>
      </c>
      <c r="H379" s="46">
        <v>0</v>
      </c>
      <c r="I379" s="46">
        <v>0</v>
      </c>
      <c r="J379" s="46">
        <v>0</v>
      </c>
    </row>
    <row r="380" spans="1:11" s="8" customFormat="1">
      <c r="A380" s="92">
        <v>16</v>
      </c>
      <c r="B380" s="93" t="s">
        <v>45</v>
      </c>
      <c r="C380" s="45" t="s">
        <v>13</v>
      </c>
      <c r="D380" s="82">
        <v>10</v>
      </c>
      <c r="E380" s="80">
        <v>3</v>
      </c>
      <c r="F380" s="46">
        <v>0</v>
      </c>
      <c r="G380" s="46">
        <v>0</v>
      </c>
      <c r="H380" s="82">
        <f>+D380+E380</f>
        <v>13</v>
      </c>
      <c r="I380" s="46">
        <v>271987340</v>
      </c>
      <c r="J380" s="46">
        <v>0</v>
      </c>
    </row>
    <row r="381" spans="1:11" s="8" customFormat="1">
      <c r="A381" s="92">
        <v>16</v>
      </c>
      <c r="B381" s="93" t="s">
        <v>45</v>
      </c>
      <c r="C381" s="45" t="s">
        <v>14</v>
      </c>
      <c r="D381" s="46">
        <v>0</v>
      </c>
      <c r="E381" s="46">
        <v>1</v>
      </c>
      <c r="F381" s="46">
        <v>0</v>
      </c>
      <c r="G381" s="46">
        <v>0</v>
      </c>
      <c r="H381" s="46">
        <f>+E381</f>
        <v>1</v>
      </c>
      <c r="I381" s="46">
        <v>2161424</v>
      </c>
      <c r="J381" s="46">
        <v>0</v>
      </c>
    </row>
    <row r="382" spans="1:11" s="8" customFormat="1" ht="10.5" thickBot="1">
      <c r="A382" s="96">
        <v>16</v>
      </c>
      <c r="B382" s="97" t="s">
        <v>45</v>
      </c>
      <c r="C382" s="53" t="s">
        <v>15</v>
      </c>
      <c r="D382" s="177">
        <v>197</v>
      </c>
      <c r="E382" s="177">
        <v>2</v>
      </c>
      <c r="F382" s="54">
        <v>0</v>
      </c>
      <c r="G382" s="54">
        <v>0</v>
      </c>
      <c r="H382" s="177">
        <f>+D382+E382</f>
        <v>199</v>
      </c>
      <c r="I382" s="54">
        <v>258708708</v>
      </c>
      <c r="J382" s="54">
        <v>0</v>
      </c>
    </row>
    <row r="383" spans="1:11" s="35" customFormat="1" ht="11.5" thickTop="1" thickBot="1">
      <c r="A383" s="99">
        <v>16</v>
      </c>
      <c r="B383" s="100" t="s">
        <v>45</v>
      </c>
      <c r="C383" s="30" t="s">
        <v>16</v>
      </c>
      <c r="D383" s="31">
        <f>SUM(D379:D382)</f>
        <v>207</v>
      </c>
      <c r="E383" s="31">
        <f t="shared" ref="E383:J383" si="62">SUM(E379:E382)</f>
        <v>6</v>
      </c>
      <c r="F383" s="31">
        <f t="shared" si="62"/>
        <v>0</v>
      </c>
      <c r="G383" s="31">
        <f t="shared" si="62"/>
        <v>0</v>
      </c>
      <c r="H383" s="31">
        <f t="shared" si="62"/>
        <v>213</v>
      </c>
      <c r="I383" s="31">
        <f t="shared" si="62"/>
        <v>532857472</v>
      </c>
      <c r="J383" s="31">
        <f t="shared" si="62"/>
        <v>0</v>
      </c>
      <c r="K383" s="8"/>
    </row>
    <row r="384" spans="1:11" s="8" customFormat="1" ht="10.5" thickTop="1">
      <c r="A384" s="101">
        <v>16</v>
      </c>
      <c r="B384" s="102" t="s">
        <v>45</v>
      </c>
      <c r="C384" s="63" t="s">
        <v>17</v>
      </c>
      <c r="D384" s="64">
        <v>40</v>
      </c>
      <c r="E384" s="64">
        <v>6</v>
      </c>
      <c r="F384" s="64">
        <v>0</v>
      </c>
      <c r="G384" s="64">
        <v>0</v>
      </c>
      <c r="H384" s="64">
        <v>46</v>
      </c>
      <c r="I384" s="64">
        <f>430751265+476</f>
        <v>430751741</v>
      </c>
      <c r="J384" s="64">
        <v>0</v>
      </c>
    </row>
    <row r="385" spans="1:11" s="8" customFormat="1">
      <c r="A385" s="92">
        <v>16</v>
      </c>
      <c r="B385" s="93" t="s">
        <v>45</v>
      </c>
      <c r="C385" s="68" t="s">
        <v>18</v>
      </c>
      <c r="D385" s="46">
        <v>167</v>
      </c>
      <c r="E385" s="47">
        <v>0</v>
      </c>
      <c r="F385" s="46">
        <v>0</v>
      </c>
      <c r="G385" s="46">
        <v>0</v>
      </c>
      <c r="H385" s="46">
        <v>167</v>
      </c>
      <c r="I385" s="46">
        <v>102105731</v>
      </c>
      <c r="J385" s="46">
        <v>0</v>
      </c>
    </row>
    <row r="386" spans="1:11" s="8" customFormat="1">
      <c r="A386" s="105">
        <v>17</v>
      </c>
      <c r="B386" s="106" t="s">
        <v>46</v>
      </c>
      <c r="C386" s="21" t="s">
        <v>12</v>
      </c>
      <c r="D386" s="70">
        <v>0</v>
      </c>
      <c r="E386" s="70">
        <v>0</v>
      </c>
      <c r="F386" s="70">
        <v>0</v>
      </c>
      <c r="G386" s="70">
        <v>0</v>
      </c>
      <c r="H386" s="70">
        <v>0</v>
      </c>
      <c r="I386" s="70">
        <v>0</v>
      </c>
      <c r="J386" s="70">
        <v>0</v>
      </c>
    </row>
    <row r="387" spans="1:11" s="8" customFormat="1">
      <c r="A387" s="105">
        <v>17</v>
      </c>
      <c r="B387" s="106" t="s">
        <v>46</v>
      </c>
      <c r="C387" s="21" t="s">
        <v>13</v>
      </c>
      <c r="D387" s="70">
        <v>0</v>
      </c>
      <c r="E387" s="70">
        <v>0</v>
      </c>
      <c r="F387" s="70">
        <v>0</v>
      </c>
      <c r="G387" s="70">
        <v>0</v>
      </c>
      <c r="H387" s="70">
        <v>0</v>
      </c>
      <c r="I387" s="70">
        <v>0</v>
      </c>
      <c r="J387" s="70">
        <v>0</v>
      </c>
    </row>
    <row r="388" spans="1:11" s="8" customFormat="1">
      <c r="A388" s="105">
        <v>17</v>
      </c>
      <c r="B388" s="106" t="s">
        <v>46</v>
      </c>
      <c r="C388" s="21" t="s">
        <v>14</v>
      </c>
      <c r="D388" s="70">
        <v>0</v>
      </c>
      <c r="E388" s="70">
        <v>0</v>
      </c>
      <c r="F388" s="70">
        <v>0</v>
      </c>
      <c r="G388" s="70">
        <v>0</v>
      </c>
      <c r="H388" s="70">
        <v>0</v>
      </c>
      <c r="I388" s="70">
        <v>0</v>
      </c>
      <c r="J388" s="70">
        <v>0</v>
      </c>
    </row>
    <row r="389" spans="1:11" s="8" customFormat="1" ht="10.5" thickBot="1">
      <c r="A389" s="107">
        <v>17</v>
      </c>
      <c r="B389" s="108" t="s">
        <v>46</v>
      </c>
      <c r="C389" s="24" t="s">
        <v>15</v>
      </c>
      <c r="D389" s="73">
        <v>0</v>
      </c>
      <c r="E389" s="73">
        <v>0</v>
      </c>
      <c r="F389" s="73">
        <v>0</v>
      </c>
      <c r="G389" s="73">
        <v>0</v>
      </c>
      <c r="H389" s="73">
        <v>0</v>
      </c>
      <c r="I389" s="73">
        <v>0</v>
      </c>
      <c r="J389" s="73">
        <v>0</v>
      </c>
    </row>
    <row r="390" spans="1:11" s="35" customFormat="1" ht="11.5" thickTop="1" thickBot="1">
      <c r="A390" s="99">
        <v>17</v>
      </c>
      <c r="B390" s="100" t="s">
        <v>46</v>
      </c>
      <c r="C390" s="30" t="s">
        <v>16</v>
      </c>
      <c r="D390" s="31">
        <v>0</v>
      </c>
      <c r="E390" s="31">
        <v>0</v>
      </c>
      <c r="F390" s="31">
        <v>0</v>
      </c>
      <c r="G390" s="31">
        <v>0</v>
      </c>
      <c r="H390" s="31">
        <v>0</v>
      </c>
      <c r="I390" s="31">
        <v>0</v>
      </c>
      <c r="J390" s="31">
        <v>0</v>
      </c>
      <c r="K390" s="8"/>
    </row>
    <row r="391" spans="1:11" s="8" customFormat="1" ht="10.5" thickTop="1">
      <c r="A391" s="128">
        <v>17</v>
      </c>
      <c r="B391" s="129" t="s">
        <v>46</v>
      </c>
      <c r="C391" s="38" t="s">
        <v>17</v>
      </c>
      <c r="D391" s="77">
        <v>0</v>
      </c>
      <c r="E391" s="77">
        <v>0</v>
      </c>
      <c r="F391" s="77">
        <v>0</v>
      </c>
      <c r="G391" s="77">
        <v>0</v>
      </c>
      <c r="H391" s="77">
        <v>0</v>
      </c>
      <c r="I391" s="77">
        <v>0</v>
      </c>
      <c r="J391" s="77">
        <v>0</v>
      </c>
    </row>
    <row r="392" spans="1:11" s="8" customFormat="1">
      <c r="A392" s="105">
        <v>17</v>
      </c>
      <c r="B392" s="106" t="s">
        <v>46</v>
      </c>
      <c r="C392" s="42" t="s">
        <v>18</v>
      </c>
      <c r="D392" s="70">
        <v>0</v>
      </c>
      <c r="E392" s="70">
        <v>0</v>
      </c>
      <c r="F392" s="70">
        <v>0</v>
      </c>
      <c r="G392" s="70">
        <v>0</v>
      </c>
      <c r="H392" s="70">
        <v>0</v>
      </c>
      <c r="I392" s="70">
        <v>0</v>
      </c>
      <c r="J392" s="70">
        <v>0</v>
      </c>
    </row>
    <row r="393" spans="1:11" s="8" customFormat="1">
      <c r="A393" s="92">
        <v>18</v>
      </c>
      <c r="B393" s="93" t="s">
        <v>47</v>
      </c>
      <c r="C393" s="45" t="s">
        <v>12</v>
      </c>
      <c r="D393" s="46">
        <v>1</v>
      </c>
      <c r="E393" s="80">
        <v>0</v>
      </c>
      <c r="F393" s="80">
        <v>0</v>
      </c>
      <c r="G393" s="80">
        <v>0</v>
      </c>
      <c r="H393" s="46">
        <v>1</v>
      </c>
      <c r="I393" s="80">
        <v>20042105</v>
      </c>
      <c r="J393" s="80">
        <v>0</v>
      </c>
    </row>
    <row r="394" spans="1:11" s="8" customFormat="1">
      <c r="A394" s="92">
        <v>18</v>
      </c>
      <c r="B394" s="93" t="s">
        <v>47</v>
      </c>
      <c r="C394" s="45" t="s">
        <v>13</v>
      </c>
      <c r="D394" s="46">
        <v>1</v>
      </c>
      <c r="E394" s="80">
        <v>0</v>
      </c>
      <c r="F394" s="80">
        <v>0</v>
      </c>
      <c r="G394" s="80">
        <v>0</v>
      </c>
      <c r="H394" s="46">
        <v>1</v>
      </c>
      <c r="I394" s="80">
        <v>11657895</v>
      </c>
      <c r="J394" s="80">
        <v>0</v>
      </c>
    </row>
    <row r="395" spans="1:11" s="8" customFormat="1">
      <c r="A395" s="92">
        <v>18</v>
      </c>
      <c r="B395" s="93" t="s">
        <v>47</v>
      </c>
      <c r="C395" s="45" t="s">
        <v>14</v>
      </c>
      <c r="D395" s="82">
        <v>1</v>
      </c>
      <c r="E395" s="80">
        <v>0</v>
      </c>
      <c r="F395" s="80">
        <v>0</v>
      </c>
      <c r="G395" s="80">
        <v>0</v>
      </c>
      <c r="H395" s="46">
        <v>1</v>
      </c>
      <c r="I395" s="80">
        <v>6423042</v>
      </c>
      <c r="J395" s="80">
        <v>0</v>
      </c>
    </row>
    <row r="396" spans="1:11" s="8" customFormat="1" ht="10.5" thickBot="1">
      <c r="A396" s="96">
        <v>18</v>
      </c>
      <c r="B396" s="97" t="s">
        <v>47</v>
      </c>
      <c r="C396" s="53" t="s">
        <v>15</v>
      </c>
      <c r="D396" s="85">
        <v>0</v>
      </c>
      <c r="E396" s="177">
        <v>1</v>
      </c>
      <c r="F396" s="85">
        <v>0</v>
      </c>
      <c r="G396" s="85">
        <v>0</v>
      </c>
      <c r="H396" s="85">
        <v>0</v>
      </c>
      <c r="I396" s="177">
        <v>0</v>
      </c>
      <c r="J396" s="85">
        <v>884208</v>
      </c>
    </row>
    <row r="397" spans="1:11" s="35" customFormat="1" ht="11.5" thickTop="1" thickBot="1">
      <c r="A397" s="99">
        <v>18</v>
      </c>
      <c r="B397" s="100" t="s">
        <v>47</v>
      </c>
      <c r="C397" s="30" t="s">
        <v>16</v>
      </c>
      <c r="D397" s="31">
        <f>SUM(D393:D396)</f>
        <v>3</v>
      </c>
      <c r="E397" s="31">
        <f t="shared" ref="E397:J397" si="63">SUM(E393:E396)</f>
        <v>1</v>
      </c>
      <c r="F397" s="31">
        <f t="shared" si="63"/>
        <v>0</v>
      </c>
      <c r="G397" s="31">
        <f t="shared" si="63"/>
        <v>0</v>
      </c>
      <c r="H397" s="31">
        <f t="shared" si="63"/>
        <v>3</v>
      </c>
      <c r="I397" s="31">
        <f t="shared" si="63"/>
        <v>38123042</v>
      </c>
      <c r="J397" s="31">
        <f t="shared" si="63"/>
        <v>884208</v>
      </c>
      <c r="K397" s="8"/>
    </row>
    <row r="398" spans="1:11" s="8" customFormat="1" ht="10.5" thickTop="1">
      <c r="A398" s="101">
        <v>18</v>
      </c>
      <c r="B398" s="102" t="s">
        <v>47</v>
      </c>
      <c r="C398" s="63" t="s">
        <v>17</v>
      </c>
      <c r="D398" s="88">
        <v>0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</row>
    <row r="399" spans="1:11" s="8" customFormat="1">
      <c r="A399" s="92">
        <v>18</v>
      </c>
      <c r="B399" s="93" t="s">
        <v>47</v>
      </c>
      <c r="C399" s="68" t="s">
        <v>18</v>
      </c>
      <c r="D399" s="80">
        <f>+D397</f>
        <v>3</v>
      </c>
      <c r="E399" s="80">
        <f>+E397</f>
        <v>1</v>
      </c>
      <c r="F399" s="80">
        <f t="shared" ref="F399:J399" si="64">+F397</f>
        <v>0</v>
      </c>
      <c r="G399" s="80">
        <f t="shared" si="64"/>
        <v>0</v>
      </c>
      <c r="H399" s="80">
        <f t="shared" si="64"/>
        <v>3</v>
      </c>
      <c r="I399" s="80">
        <f t="shared" si="64"/>
        <v>38123042</v>
      </c>
      <c r="J399" s="80">
        <f t="shared" si="64"/>
        <v>884208</v>
      </c>
    </row>
    <row r="400" spans="1:11" s="8" customFormat="1">
      <c r="A400" s="105">
        <v>19</v>
      </c>
      <c r="B400" s="106" t="s">
        <v>48</v>
      </c>
      <c r="C400" s="21" t="s">
        <v>12</v>
      </c>
      <c r="D400" s="70">
        <v>0</v>
      </c>
      <c r="E400" s="70">
        <v>0</v>
      </c>
      <c r="F400" s="18">
        <v>0</v>
      </c>
      <c r="G400" s="18">
        <v>0</v>
      </c>
      <c r="H400" s="70">
        <v>0</v>
      </c>
      <c r="I400" s="19">
        <v>0</v>
      </c>
      <c r="J400" s="70">
        <v>0</v>
      </c>
    </row>
    <row r="401" spans="1:11" s="8" customFormat="1">
      <c r="A401" s="105">
        <v>19</v>
      </c>
      <c r="B401" s="106" t="s">
        <v>48</v>
      </c>
      <c r="C401" s="21" t="s">
        <v>13</v>
      </c>
      <c r="D401" s="70">
        <v>0</v>
      </c>
      <c r="E401" s="18">
        <v>0</v>
      </c>
      <c r="F401" s="70">
        <v>0</v>
      </c>
      <c r="G401" s="70">
        <v>0</v>
      </c>
      <c r="H401" s="70">
        <v>0</v>
      </c>
      <c r="I401" s="70">
        <v>0</v>
      </c>
      <c r="J401" s="19">
        <v>0</v>
      </c>
    </row>
    <row r="402" spans="1:11" s="8" customFormat="1">
      <c r="A402" s="105">
        <v>19</v>
      </c>
      <c r="B402" s="106" t="s">
        <v>48</v>
      </c>
      <c r="C402" s="21" t="s">
        <v>14</v>
      </c>
      <c r="D402" s="70">
        <v>0</v>
      </c>
      <c r="E402" s="70">
        <v>0</v>
      </c>
      <c r="F402" s="70">
        <v>0</v>
      </c>
      <c r="G402" s="70">
        <v>0</v>
      </c>
      <c r="H402" s="70">
        <v>0</v>
      </c>
      <c r="I402" s="70">
        <v>0</v>
      </c>
      <c r="J402" s="70">
        <v>0</v>
      </c>
    </row>
    <row r="403" spans="1:11" s="8" customFormat="1" ht="10.5" thickBot="1">
      <c r="A403" s="107">
        <v>19</v>
      </c>
      <c r="B403" s="108" t="s">
        <v>48</v>
      </c>
      <c r="C403" s="24" t="s">
        <v>15</v>
      </c>
      <c r="D403" s="73">
        <v>0</v>
      </c>
      <c r="E403" s="73">
        <v>0</v>
      </c>
      <c r="F403" s="73">
        <v>0</v>
      </c>
      <c r="G403" s="73">
        <v>0</v>
      </c>
      <c r="H403" s="73">
        <v>0</v>
      </c>
      <c r="I403" s="73">
        <v>0</v>
      </c>
      <c r="J403" s="73">
        <v>0</v>
      </c>
    </row>
    <row r="404" spans="1:11" s="35" customFormat="1" ht="11.5" thickTop="1" thickBot="1">
      <c r="A404" s="99">
        <v>19</v>
      </c>
      <c r="B404" s="100" t="s">
        <v>48</v>
      </c>
      <c r="C404" s="30" t="s">
        <v>16</v>
      </c>
      <c r="D404" s="31">
        <v>0</v>
      </c>
      <c r="E404" s="31">
        <v>0</v>
      </c>
      <c r="F404" s="31">
        <v>0</v>
      </c>
      <c r="G404" s="31">
        <v>0</v>
      </c>
      <c r="H404" s="31">
        <v>0</v>
      </c>
      <c r="I404" s="31">
        <v>0</v>
      </c>
      <c r="J404" s="31">
        <v>0</v>
      </c>
      <c r="K404" s="8"/>
    </row>
    <row r="405" spans="1:11" s="8" customFormat="1" ht="10.5" thickTop="1">
      <c r="A405" s="128">
        <v>19</v>
      </c>
      <c r="B405" s="129" t="s">
        <v>48</v>
      </c>
      <c r="C405" s="38" t="s">
        <v>17</v>
      </c>
      <c r="D405" s="77">
        <v>0</v>
      </c>
      <c r="E405" s="77">
        <v>0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</row>
    <row r="406" spans="1:11" s="8" customFormat="1">
      <c r="A406" s="105">
        <v>19</v>
      </c>
      <c r="B406" s="106" t="s">
        <v>48</v>
      </c>
      <c r="C406" s="42" t="s">
        <v>18</v>
      </c>
      <c r="D406" s="70">
        <v>0</v>
      </c>
      <c r="E406" s="70">
        <v>0</v>
      </c>
      <c r="F406" s="70">
        <v>0</v>
      </c>
      <c r="G406" s="70">
        <v>0</v>
      </c>
      <c r="H406" s="70">
        <v>0</v>
      </c>
      <c r="I406" s="70">
        <v>0</v>
      </c>
      <c r="J406" s="70">
        <v>0</v>
      </c>
    </row>
    <row r="407" spans="1:11" s="8" customFormat="1">
      <c r="A407" s="92">
        <v>20</v>
      </c>
      <c r="B407" s="93" t="s">
        <v>49</v>
      </c>
      <c r="C407" s="45" t="s">
        <v>12</v>
      </c>
      <c r="D407" s="46">
        <v>0</v>
      </c>
      <c r="E407" s="82">
        <v>0</v>
      </c>
      <c r="F407" s="49">
        <v>0</v>
      </c>
      <c r="G407" s="80">
        <v>0</v>
      </c>
      <c r="H407" s="46">
        <v>0</v>
      </c>
      <c r="I407" s="80">
        <v>0</v>
      </c>
      <c r="J407" s="46">
        <v>0</v>
      </c>
    </row>
    <row r="408" spans="1:11" s="8" customFormat="1">
      <c r="A408" s="92">
        <v>20</v>
      </c>
      <c r="B408" s="93" t="s">
        <v>49</v>
      </c>
      <c r="C408" s="45" t="s">
        <v>13</v>
      </c>
      <c r="D408" s="46">
        <v>0</v>
      </c>
      <c r="E408" s="49">
        <v>0</v>
      </c>
      <c r="F408" s="82">
        <v>0</v>
      </c>
      <c r="G408" s="82">
        <v>0</v>
      </c>
      <c r="H408" s="46">
        <v>0</v>
      </c>
      <c r="I408" s="46">
        <v>0</v>
      </c>
      <c r="J408" s="80">
        <v>0</v>
      </c>
    </row>
    <row r="409" spans="1:11" s="8" customFormat="1">
      <c r="A409" s="92">
        <v>20</v>
      </c>
      <c r="B409" s="93" t="s">
        <v>49</v>
      </c>
      <c r="C409" s="45" t="s">
        <v>14</v>
      </c>
      <c r="D409" s="82">
        <v>0</v>
      </c>
      <c r="E409" s="82">
        <v>0</v>
      </c>
      <c r="F409" s="82">
        <v>0</v>
      </c>
      <c r="G409" s="82">
        <v>0</v>
      </c>
      <c r="H409" s="46">
        <v>0</v>
      </c>
      <c r="I409" s="82">
        <v>0</v>
      </c>
      <c r="J409" s="82">
        <v>0</v>
      </c>
    </row>
    <row r="410" spans="1:11" s="8" customFormat="1" ht="10.5" thickBot="1">
      <c r="A410" s="96">
        <v>20</v>
      </c>
      <c r="B410" s="97" t="s">
        <v>49</v>
      </c>
      <c r="C410" s="53" t="s">
        <v>15</v>
      </c>
      <c r="D410" s="177">
        <v>0</v>
      </c>
      <c r="E410" s="177">
        <v>0</v>
      </c>
      <c r="F410" s="177">
        <v>0</v>
      </c>
      <c r="G410" s="177">
        <v>0</v>
      </c>
      <c r="H410" s="54">
        <v>0</v>
      </c>
      <c r="I410" s="177">
        <v>0</v>
      </c>
      <c r="J410" s="177">
        <v>0</v>
      </c>
    </row>
    <row r="411" spans="1:11" s="35" customFormat="1" ht="11.5" thickTop="1" thickBot="1">
      <c r="A411" s="99">
        <v>20</v>
      </c>
      <c r="B411" s="100" t="s">
        <v>49</v>
      </c>
      <c r="C411" s="30" t="s">
        <v>16</v>
      </c>
      <c r="D411" s="31">
        <v>0</v>
      </c>
      <c r="E411" s="31">
        <v>0</v>
      </c>
      <c r="F411" s="31">
        <v>0</v>
      </c>
      <c r="G411" s="31">
        <v>0</v>
      </c>
      <c r="H411" s="31">
        <v>0</v>
      </c>
      <c r="I411" s="31">
        <v>0</v>
      </c>
      <c r="J411" s="31">
        <v>0</v>
      </c>
      <c r="K411" s="8"/>
    </row>
    <row r="412" spans="1:11" s="8" customFormat="1" ht="10.5" thickTop="1">
      <c r="A412" s="101">
        <v>20</v>
      </c>
      <c r="B412" s="102" t="s">
        <v>49</v>
      </c>
      <c r="C412" s="63" t="s">
        <v>17</v>
      </c>
      <c r="D412" s="64">
        <v>0</v>
      </c>
      <c r="E412" s="64">
        <v>0</v>
      </c>
      <c r="F412" s="64">
        <v>0</v>
      </c>
      <c r="G412" s="64">
        <v>0</v>
      </c>
      <c r="H412" s="64">
        <v>0</v>
      </c>
      <c r="I412" s="64">
        <v>0</v>
      </c>
      <c r="J412" s="64">
        <v>0</v>
      </c>
    </row>
    <row r="413" spans="1:11" s="8" customFormat="1">
      <c r="A413" s="92">
        <v>20</v>
      </c>
      <c r="B413" s="93" t="s">
        <v>49</v>
      </c>
      <c r="C413" s="68" t="s">
        <v>18</v>
      </c>
      <c r="D413" s="46">
        <v>0</v>
      </c>
      <c r="E413" s="46">
        <v>0</v>
      </c>
      <c r="F413" s="46">
        <v>0</v>
      </c>
      <c r="G413" s="46">
        <v>0</v>
      </c>
      <c r="H413" s="46">
        <v>0</v>
      </c>
      <c r="I413" s="46">
        <v>0</v>
      </c>
      <c r="J413" s="46">
        <v>0</v>
      </c>
    </row>
    <row r="414" spans="1:11" s="8" customFormat="1">
      <c r="A414" s="105">
        <v>21</v>
      </c>
      <c r="B414" s="106" t="s">
        <v>50</v>
      </c>
      <c r="C414" s="21" t="s">
        <v>12</v>
      </c>
      <c r="D414" s="70">
        <v>0</v>
      </c>
      <c r="E414" s="70">
        <v>0</v>
      </c>
      <c r="F414" s="70">
        <v>0</v>
      </c>
      <c r="G414" s="70">
        <v>0</v>
      </c>
      <c r="H414" s="70">
        <v>0</v>
      </c>
      <c r="I414" s="70">
        <v>0</v>
      </c>
      <c r="J414" s="70">
        <v>0</v>
      </c>
    </row>
    <row r="415" spans="1:11" s="8" customFormat="1">
      <c r="A415" s="105">
        <v>21</v>
      </c>
      <c r="B415" s="106" t="s">
        <v>50</v>
      </c>
      <c r="C415" s="21" t="s">
        <v>13</v>
      </c>
      <c r="D415" s="70">
        <v>0</v>
      </c>
      <c r="E415" s="70">
        <v>0</v>
      </c>
      <c r="F415" s="70">
        <v>0</v>
      </c>
      <c r="G415" s="70">
        <v>0</v>
      </c>
      <c r="H415" s="70">
        <v>0</v>
      </c>
      <c r="I415" s="70">
        <v>0</v>
      </c>
      <c r="J415" s="70">
        <v>0</v>
      </c>
    </row>
    <row r="416" spans="1:11" s="8" customFormat="1">
      <c r="A416" s="105">
        <v>21</v>
      </c>
      <c r="B416" s="106" t="s">
        <v>50</v>
      </c>
      <c r="C416" s="21" t="s">
        <v>14</v>
      </c>
      <c r="D416" s="70">
        <v>0</v>
      </c>
      <c r="E416" s="70">
        <v>0</v>
      </c>
      <c r="F416" s="70">
        <v>0</v>
      </c>
      <c r="G416" s="70">
        <v>0</v>
      </c>
      <c r="H416" s="70">
        <v>0</v>
      </c>
      <c r="I416" s="70">
        <v>0</v>
      </c>
      <c r="J416" s="70">
        <v>0</v>
      </c>
    </row>
    <row r="417" spans="1:11" s="8" customFormat="1" ht="10.5" thickBot="1">
      <c r="A417" s="107">
        <v>21</v>
      </c>
      <c r="B417" s="108" t="s">
        <v>50</v>
      </c>
      <c r="C417" s="24" t="s">
        <v>15</v>
      </c>
      <c r="D417" s="73">
        <v>0</v>
      </c>
      <c r="E417" s="73">
        <v>0</v>
      </c>
      <c r="F417" s="73">
        <v>0</v>
      </c>
      <c r="G417" s="73">
        <v>0</v>
      </c>
      <c r="H417" s="73">
        <v>0</v>
      </c>
      <c r="I417" s="73">
        <v>0</v>
      </c>
      <c r="J417" s="73">
        <v>0</v>
      </c>
    </row>
    <row r="418" spans="1:11" s="35" customFormat="1" ht="11.5" thickTop="1" thickBot="1">
      <c r="A418" s="99">
        <v>21</v>
      </c>
      <c r="B418" s="100" t="s">
        <v>50</v>
      </c>
      <c r="C418" s="30" t="s">
        <v>16</v>
      </c>
      <c r="D418" s="31">
        <v>0</v>
      </c>
      <c r="E418" s="31">
        <v>0</v>
      </c>
      <c r="F418" s="31">
        <v>0</v>
      </c>
      <c r="G418" s="31">
        <v>0</v>
      </c>
      <c r="H418" s="31">
        <v>0</v>
      </c>
      <c r="I418" s="31">
        <v>0</v>
      </c>
      <c r="J418" s="31">
        <v>0</v>
      </c>
      <c r="K418" s="8"/>
    </row>
    <row r="419" spans="1:11" s="8" customFormat="1" ht="10.5" thickTop="1">
      <c r="A419" s="128">
        <v>21</v>
      </c>
      <c r="B419" s="129" t="s">
        <v>50</v>
      </c>
      <c r="C419" s="38" t="s">
        <v>17</v>
      </c>
      <c r="D419" s="77">
        <v>0</v>
      </c>
      <c r="E419" s="77">
        <v>0</v>
      </c>
      <c r="F419" s="77">
        <v>0</v>
      </c>
      <c r="G419" s="77">
        <v>0</v>
      </c>
      <c r="H419" s="77">
        <v>0</v>
      </c>
      <c r="I419" s="77">
        <v>0</v>
      </c>
      <c r="J419" s="77">
        <v>0</v>
      </c>
    </row>
    <row r="420" spans="1:11" s="8" customFormat="1">
      <c r="A420" s="105">
        <v>21</v>
      </c>
      <c r="B420" s="106" t="s">
        <v>50</v>
      </c>
      <c r="C420" s="42" t="s">
        <v>18</v>
      </c>
      <c r="D420" s="70">
        <v>0</v>
      </c>
      <c r="E420" s="70">
        <v>0</v>
      </c>
      <c r="F420" s="70">
        <v>0</v>
      </c>
      <c r="G420" s="70">
        <v>0</v>
      </c>
      <c r="H420" s="70">
        <v>0</v>
      </c>
      <c r="I420" s="70">
        <v>0</v>
      </c>
      <c r="J420" s="70">
        <v>0</v>
      </c>
    </row>
    <row r="421" spans="1:11" s="8" customFormat="1">
      <c r="A421" s="92">
        <v>22</v>
      </c>
      <c r="B421" s="93" t="s">
        <v>51</v>
      </c>
      <c r="C421" s="45" t="s">
        <v>12</v>
      </c>
      <c r="D421" s="46">
        <v>0</v>
      </c>
      <c r="E421" s="82">
        <v>0</v>
      </c>
      <c r="F421" s="49">
        <v>0</v>
      </c>
      <c r="G421" s="80">
        <v>0</v>
      </c>
      <c r="H421" s="46">
        <v>0</v>
      </c>
      <c r="I421" s="121">
        <v>0</v>
      </c>
      <c r="J421" s="46">
        <v>0</v>
      </c>
    </row>
    <row r="422" spans="1:11" s="8" customFormat="1">
      <c r="A422" s="92">
        <v>22</v>
      </c>
      <c r="B422" s="93" t="s">
        <v>51</v>
      </c>
      <c r="C422" s="45" t="s">
        <v>13</v>
      </c>
      <c r="D422" s="46">
        <v>0</v>
      </c>
      <c r="E422" s="49">
        <v>0</v>
      </c>
      <c r="F422" s="82">
        <v>0</v>
      </c>
      <c r="G422" s="82">
        <v>0</v>
      </c>
      <c r="H422" s="46">
        <v>0</v>
      </c>
      <c r="I422" s="46">
        <v>0</v>
      </c>
      <c r="J422" s="121">
        <v>0</v>
      </c>
    </row>
    <row r="423" spans="1:11" s="8" customFormat="1">
      <c r="A423" s="92">
        <v>22</v>
      </c>
      <c r="B423" s="93" t="s">
        <v>51</v>
      </c>
      <c r="C423" s="45" t="s">
        <v>14</v>
      </c>
      <c r="D423" s="82">
        <v>0</v>
      </c>
      <c r="E423" s="82">
        <v>0</v>
      </c>
      <c r="F423" s="82">
        <v>0</v>
      </c>
      <c r="G423" s="82">
        <v>0</v>
      </c>
      <c r="H423" s="46">
        <v>0</v>
      </c>
      <c r="I423" s="82">
        <v>0</v>
      </c>
      <c r="J423" s="82">
        <v>0</v>
      </c>
    </row>
    <row r="424" spans="1:11" s="8" customFormat="1" ht="10.5" thickBot="1">
      <c r="A424" s="96">
        <v>22</v>
      </c>
      <c r="B424" s="97" t="s">
        <v>51</v>
      </c>
      <c r="C424" s="53" t="s">
        <v>15</v>
      </c>
      <c r="D424" s="177">
        <v>0</v>
      </c>
      <c r="E424" s="177">
        <v>0</v>
      </c>
      <c r="F424" s="177">
        <v>0</v>
      </c>
      <c r="G424" s="177">
        <v>0</v>
      </c>
      <c r="H424" s="54">
        <v>0</v>
      </c>
      <c r="I424" s="177">
        <v>0</v>
      </c>
      <c r="J424" s="177">
        <v>0</v>
      </c>
    </row>
    <row r="425" spans="1:11" s="35" customFormat="1" ht="11.5" thickTop="1" thickBot="1">
      <c r="A425" s="99">
        <v>22</v>
      </c>
      <c r="B425" s="100" t="s">
        <v>51</v>
      </c>
      <c r="C425" s="30" t="s">
        <v>16</v>
      </c>
      <c r="D425" s="31">
        <v>0</v>
      </c>
      <c r="E425" s="31">
        <v>0</v>
      </c>
      <c r="F425" s="31">
        <v>0</v>
      </c>
      <c r="G425" s="31">
        <v>0</v>
      </c>
      <c r="H425" s="31">
        <v>0</v>
      </c>
      <c r="I425" s="31">
        <v>0</v>
      </c>
      <c r="J425" s="31">
        <v>0</v>
      </c>
      <c r="K425" s="8"/>
    </row>
    <row r="426" spans="1:11" s="8" customFormat="1" ht="10.5" thickTop="1">
      <c r="A426" s="101">
        <v>22</v>
      </c>
      <c r="B426" s="102" t="s">
        <v>51</v>
      </c>
      <c r="C426" s="63" t="s">
        <v>17</v>
      </c>
      <c r="D426" s="64">
        <v>0</v>
      </c>
      <c r="E426" s="64">
        <v>0</v>
      </c>
      <c r="F426" s="64">
        <v>0</v>
      </c>
      <c r="G426" s="64">
        <v>0</v>
      </c>
      <c r="H426" s="64">
        <v>0</v>
      </c>
      <c r="I426" s="64">
        <v>0</v>
      </c>
      <c r="J426" s="64">
        <v>0</v>
      </c>
    </row>
    <row r="427" spans="1:11" s="8" customFormat="1">
      <c r="A427" s="92">
        <v>22</v>
      </c>
      <c r="B427" s="93" t="s">
        <v>51</v>
      </c>
      <c r="C427" s="68" t="s">
        <v>18</v>
      </c>
      <c r="D427" s="46">
        <v>0</v>
      </c>
      <c r="E427" s="46">
        <v>0</v>
      </c>
      <c r="F427" s="46">
        <v>0</v>
      </c>
      <c r="G427" s="46">
        <v>0</v>
      </c>
      <c r="H427" s="46">
        <v>0</v>
      </c>
      <c r="I427" s="46">
        <v>0</v>
      </c>
      <c r="J427" s="46">
        <v>0</v>
      </c>
    </row>
  </sheetData>
  <mergeCells count="52">
    <mergeCell ref="A263:A269"/>
    <mergeCell ref="B263:B269"/>
    <mergeCell ref="A242:A248"/>
    <mergeCell ref="B242:B248"/>
    <mergeCell ref="A249:A255"/>
    <mergeCell ref="B249:B255"/>
    <mergeCell ref="A256:A262"/>
    <mergeCell ref="B256:B262"/>
    <mergeCell ref="A221:A227"/>
    <mergeCell ref="B221:B227"/>
    <mergeCell ref="A228:A234"/>
    <mergeCell ref="B228:B234"/>
    <mergeCell ref="A235:A241"/>
    <mergeCell ref="B235:B241"/>
    <mergeCell ref="A200:A206"/>
    <mergeCell ref="B200:B206"/>
    <mergeCell ref="A207:A213"/>
    <mergeCell ref="B207:B213"/>
    <mergeCell ref="A214:A220"/>
    <mergeCell ref="B214:B220"/>
    <mergeCell ref="A179:A185"/>
    <mergeCell ref="B179:B185"/>
    <mergeCell ref="A186:A192"/>
    <mergeCell ref="B186:B192"/>
    <mergeCell ref="A193:A199"/>
    <mergeCell ref="B193:B199"/>
    <mergeCell ref="A158:A164"/>
    <mergeCell ref="B158:B164"/>
    <mergeCell ref="A165:A171"/>
    <mergeCell ref="B165:B171"/>
    <mergeCell ref="A172:A178"/>
    <mergeCell ref="B172:B178"/>
    <mergeCell ref="A137:A143"/>
    <mergeCell ref="B137:B143"/>
    <mergeCell ref="A144:A150"/>
    <mergeCell ref="B144:B150"/>
    <mergeCell ref="A151:A157"/>
    <mergeCell ref="B151:B157"/>
    <mergeCell ref="A116:A122"/>
    <mergeCell ref="B116:B122"/>
    <mergeCell ref="A123:A129"/>
    <mergeCell ref="B123:B129"/>
    <mergeCell ref="A130:A136"/>
    <mergeCell ref="B130:B136"/>
    <mergeCell ref="D7:E7"/>
    <mergeCell ref="F7:G7"/>
    <mergeCell ref="H7:I7"/>
    <mergeCell ref="J7:K7"/>
    <mergeCell ref="D114:E114"/>
    <mergeCell ref="F114:G114"/>
    <mergeCell ref="H114:I114"/>
    <mergeCell ref="J114:K114"/>
  </mergeCells>
  <conditionalFormatting sqref="A186:B186">
    <cfRule type="containsText" dxfId="18" priority="14" operator="containsText" text="Not">
      <formula>NOT(ISERROR(SEARCH("Not",A186)))</formula>
    </cfRule>
  </conditionalFormatting>
  <conditionalFormatting sqref="A193:B193">
    <cfRule type="containsText" dxfId="17" priority="13" operator="containsText" text="Not">
      <formula>NOT(ISERROR(SEARCH("Not",A193)))</formula>
    </cfRule>
  </conditionalFormatting>
  <conditionalFormatting sqref="A200:B200">
    <cfRule type="containsText" dxfId="16" priority="12" operator="containsText" text="Not">
      <formula>NOT(ISERROR(SEARCH("Not",A200)))</formula>
    </cfRule>
  </conditionalFormatting>
  <conditionalFormatting sqref="A207:B207">
    <cfRule type="containsText" dxfId="15" priority="11" operator="containsText" text="Not">
      <formula>NOT(ISERROR(SEARCH("Not",A207)))</formula>
    </cfRule>
  </conditionalFormatting>
  <conditionalFormatting sqref="A214:B214">
    <cfRule type="containsText" dxfId="14" priority="10" operator="containsText" text="Not">
      <formula>NOT(ISERROR(SEARCH("Not",A214)))</formula>
    </cfRule>
  </conditionalFormatting>
  <conditionalFormatting sqref="A221:B221">
    <cfRule type="containsText" dxfId="13" priority="9" operator="containsText" text="Not">
      <formula>NOT(ISERROR(SEARCH("Not",A221)))</formula>
    </cfRule>
  </conditionalFormatting>
  <conditionalFormatting sqref="A228:B228">
    <cfRule type="containsText" dxfId="12" priority="8" operator="containsText" text="Not">
      <formula>NOT(ISERROR(SEARCH("Not",A228)))</formula>
    </cfRule>
  </conditionalFormatting>
  <conditionalFormatting sqref="A235:B235">
    <cfRule type="containsText" dxfId="11" priority="7" operator="containsText" text="Not">
      <formula>NOT(ISERROR(SEARCH("Not",A235)))</formula>
    </cfRule>
  </conditionalFormatting>
  <conditionalFormatting sqref="A242:B242">
    <cfRule type="containsText" dxfId="10" priority="6" operator="containsText" text="Not">
      <formula>NOT(ISERROR(SEARCH("Not",A242)))</formula>
    </cfRule>
  </conditionalFormatting>
  <conditionalFormatting sqref="A249:B249">
    <cfRule type="containsText" dxfId="9" priority="5" operator="containsText" text="Not">
      <formula>NOT(ISERROR(SEARCH("Not",A249)))</formula>
    </cfRule>
  </conditionalFormatting>
  <conditionalFormatting sqref="A256:B256">
    <cfRule type="containsText" dxfId="8" priority="4" operator="containsText" text="Not">
      <formula>NOT(ISERROR(SEARCH("Not",A256)))</formula>
    </cfRule>
  </conditionalFormatting>
  <conditionalFormatting sqref="A263:B263">
    <cfRule type="containsText" dxfId="7" priority="3" operator="containsText" text="Not">
      <formula>NOT(ISERROR(SEARCH("Not",A263)))</formula>
    </cfRule>
  </conditionalFormatting>
  <conditionalFormatting sqref="A116:C116 A123:B123 A130:B130 A137:B137 A144:B144 A151:B151 A158:B158 A165:B165 A172:B172 A179:B179">
    <cfRule type="containsText" dxfId="6" priority="15" operator="containsText" text="Not">
      <formula>NOT(ISERROR(SEARCH("Not",A116)))</formula>
    </cfRule>
  </conditionalFormatting>
  <conditionalFormatting sqref="B9:C9 B16:B57">
    <cfRule type="containsText" dxfId="5" priority="19" operator="containsText" text="Not">
      <formula>NOT(ISERROR(SEARCH("Not",B9)))</formula>
    </cfRule>
  </conditionalFormatting>
  <conditionalFormatting sqref="B62:C62 B69:B110">
    <cfRule type="containsText" dxfId="4" priority="17" operator="containsText" text="Not">
      <formula>NOT(ISERROR(SEARCH("Not",B62)))</formula>
    </cfRule>
  </conditionalFormatting>
  <conditionalFormatting sqref="B274:C427">
    <cfRule type="containsText" dxfId="3" priority="1" operator="containsText" text="Not">
      <formula>NOT(ISERROR(SEARCH("Not",B274)))</formula>
    </cfRule>
  </conditionalFormatting>
  <conditionalFormatting sqref="C10:C57">
    <cfRule type="containsText" dxfId="2" priority="18" operator="containsText" text="Not">
      <formula>NOT(ISERROR(SEARCH("Not",C10)))</formula>
    </cfRule>
  </conditionalFormatting>
  <conditionalFormatting sqref="C63:C110">
    <cfRule type="containsText" dxfId="1" priority="16" operator="containsText" text="Not">
      <formula>NOT(ISERROR(SEARCH("Not",C63)))</formula>
    </cfRule>
  </conditionalFormatting>
  <conditionalFormatting sqref="C117:C269">
    <cfRule type="containsText" dxfId="0" priority="2" operator="containsText" text="Not">
      <formula>NOT(ISERROR(SEARCH("Not",C117)))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Annexe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2026-07-15T09:57:18Z</dcterms:created>
  <dcterms:modified xsi:type="dcterms:W3CDTF">2026-07-15T09:57:27Z</dcterms:modified>
</cp:coreProperties>
</file>