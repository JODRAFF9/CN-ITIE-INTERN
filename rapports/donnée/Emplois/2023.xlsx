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d\Documents\ISE\Cours\ISE3\Stage ITIE\rapports\donnée\Emplois\"/>
    </mc:Choice>
  </mc:AlternateContent>
  <xr:revisionPtr revIDLastSave="0" documentId="8_{AC7133AE-7D7A-4B3D-8F2A-A5550FF7A381}" xr6:coauthVersionLast="47" xr6:coauthVersionMax="47" xr10:uidLastSave="{00000000-0000-0000-0000-000000000000}"/>
  <bookViews>
    <workbookView xWindow="-110" yWindow="-110" windowWidth="19420" windowHeight="10660" xr2:uid="{2DE41C94-8219-4CC1-B6EC-9703CF6F0967}"/>
  </bookViews>
  <sheets>
    <sheet name="5" sheetId="1" r:id="rId1"/>
  </sheets>
  <externalReferences>
    <externalReference r:id="rId2"/>
  </externalReferences>
  <definedNames>
    <definedName name="_xlnm._FilterDatabase" hidden="1">#REF!</definedName>
    <definedName name="_FilterDatabase1" hidden="1">#REF!</definedName>
    <definedName name="az">#REF!</definedName>
    <definedName name="_xlnm.Database">#REF!</definedName>
    <definedName name="BATNA">#REF!</definedName>
    <definedName name="BISKRA">#REF!</definedName>
    <definedName name="Compadjust">#REF!</definedName>
    <definedName name="DATA5">#REF!</definedName>
    <definedName name="FD" hidden="1">#REF!</definedName>
    <definedName name="fdb" hidden="1">#REF!</definedName>
    <definedName name="FinalDiff">#REF!</definedName>
    <definedName name="Govadjust">#REF!</definedName>
    <definedName name="JIJEL">#REF!</definedName>
    <definedName name="KHENCHELA">#REF!</definedName>
    <definedName name="MARI">#REF!</definedName>
    <definedName name="MILA">#REF!</definedName>
    <definedName name="miseenplace03prjpilotes">#REF!</definedName>
    <definedName name="MS">#REF!</definedName>
    <definedName name="msp">#REF!</definedName>
    <definedName name="P">#REF!</definedName>
    <definedName name="po">#REF!</definedName>
    <definedName name="POP">#REF!</definedName>
    <definedName name="RECAP">#REF!</definedName>
    <definedName name="SOUKAHARS">#REF!</definedName>
    <definedName name="Taxes">#REF!</definedName>
    <definedName name="TRAVAUX01">#REF!</definedName>
    <definedName name="TRAVAUX07">#REF!</definedName>
    <definedName name="TRAVAUX08">#REF!</definedName>
    <definedName name="TRAVAUX10">#REF!</definedName>
    <definedName name="TRAVAUX11">#REF!</definedName>
    <definedName name="TRAVAUX12">#REF!</definedName>
    <definedName name="TRAVAUX13">#REF!</definedName>
    <definedName name="TRAVAUX14">#REF!</definedName>
    <definedName name="TRAVAUX15">#REF!</definedName>
    <definedName name="TRAVAUX20">#REF!</definedName>
    <definedName name="TRAVAUX21">#REF!</definedName>
    <definedName name="TRAVAUX22">#REF!</definedName>
    <definedName name="TRAVAUX25">#REF!</definedName>
    <definedName name="TRAVAUX27">#REF!</definedName>
    <definedName name="TRAVAUX28">#REF!</definedName>
    <definedName name="TRAVAUX29">#REF!</definedName>
    <definedName name="TRAVAUX31">#REF!</definedName>
    <definedName name="TRAVAUX32">#REF!</definedName>
    <definedName name="TRAVAUX33">#REF!</definedName>
    <definedName name="TRAVAUX34">#REF!</definedName>
    <definedName name="TRAVAUX35">#REF!</definedName>
    <definedName name="TRAVAUX36">#REF!</definedName>
    <definedName name="TRAVAUX38">#REF!</definedName>
    <definedName name="TRAVAUX39">#REF!</definedName>
    <definedName name="TRAVAUX40">#REF!</definedName>
    <definedName name="TRAVAUX41">#REF!</definedName>
    <definedName name="TRAVAUX42">#REF!</definedName>
    <definedName name="TRAVAUX43">#REF!</definedName>
    <definedName name="TRAVAUX44">#REF!</definedName>
    <definedName name="TRAVAUX45">#REF!</definedName>
    <definedName name="TRAVAUX47">#REF!</definedName>
    <definedName name="TRAVAUX48">#REF!</definedName>
    <definedName name="TRAVAUX49">#REF!</definedName>
    <definedName name="TRAVAUX50">#REF!</definedName>
    <definedName name="TRAVAUX51">#REF!</definedName>
    <definedName name="TRAVAUX53">#REF!</definedName>
    <definedName name="TRAVAUX58">#REF!</definedName>
    <definedName name="TRAVAUX59">#REF!</definedName>
    <definedName name="TRAVAUX67">#REF!</definedName>
    <definedName name="ZI">#REF!</definedName>
    <definedName name="_xlnm.Print_Are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0" i="1" l="1"/>
  <c r="J160" i="1"/>
  <c r="I160" i="1"/>
  <c r="H160" i="1"/>
  <c r="G160" i="1"/>
  <c r="F160" i="1"/>
  <c r="E160" i="1"/>
  <c r="D160" i="1"/>
  <c r="K139" i="1"/>
  <c r="J139" i="1"/>
  <c r="I139" i="1"/>
  <c r="H139" i="1"/>
  <c r="G139" i="1"/>
  <c r="F139" i="1"/>
  <c r="E139" i="1"/>
  <c r="D139" i="1"/>
  <c r="K83" i="1"/>
  <c r="J83" i="1"/>
  <c r="I83" i="1"/>
  <c r="H83" i="1"/>
  <c r="G83" i="1"/>
  <c r="F83" i="1"/>
  <c r="E83" i="1"/>
  <c r="D83" i="1"/>
  <c r="K13" i="1"/>
  <c r="J13" i="1"/>
  <c r="I13" i="1"/>
  <c r="H13" i="1"/>
  <c r="G13" i="1"/>
  <c r="F13" i="1"/>
  <c r="E13" i="1"/>
  <c r="D13" i="1"/>
</calcChain>
</file>

<file path=xl/sharedStrings.xml><?xml version="1.0" encoding="utf-8"?>
<sst xmlns="http://schemas.openxmlformats.org/spreadsheetml/2006/main" count="757" uniqueCount="68">
  <si>
    <t>Sommaire</t>
  </si>
  <si>
    <t>Annexe 5 – Effectif des employés</t>
  </si>
  <si>
    <t>Secteur Minier : Qualifcations, Effectifs, et Masse Salariale</t>
  </si>
  <si>
    <t xml:space="preserve">Effectifs des Nationaux </t>
  </si>
  <si>
    <t>Effectifs des Non nationaux</t>
  </si>
  <si>
    <t>Masse salariale des Nationaux (en FCFA)</t>
  </si>
  <si>
    <t>Masse salariale des Non Nationaux (en FCFA)</t>
  </si>
  <si>
    <t>N°</t>
  </si>
  <si>
    <t>Société</t>
  </si>
  <si>
    <t>Qualifications</t>
  </si>
  <si>
    <t>Hommes</t>
  </si>
  <si>
    <t>Femmes</t>
  </si>
  <si>
    <t>MIFERSO</t>
  </si>
  <si>
    <t>Cadres supérieurs</t>
  </si>
  <si>
    <t>Techniciens supérieurs et cadres moyens</t>
  </si>
  <si>
    <t>Techniciens Agents de maitrise et ouvriers qualifiés</t>
  </si>
  <si>
    <t>Employés manœuvres ouvriers appprentis</t>
  </si>
  <si>
    <t>Total</t>
  </si>
  <si>
    <t>Permanent</t>
  </si>
  <si>
    <t>Contractuel</t>
  </si>
  <si>
    <t>SOCOCIM</t>
  </si>
  <si>
    <t>SGO</t>
  </si>
  <si>
    <t>327471676.1</t>
  </si>
  <si>
    <t>415215247.8</t>
  </si>
  <si>
    <t>533040855.7</t>
  </si>
  <si>
    <t>1634544553.6000001</t>
  </si>
  <si>
    <t>CDS</t>
  </si>
  <si>
    <t>GCO</t>
  </si>
  <si>
    <t>SSPT</t>
  </si>
  <si>
    <t>ICS</t>
  </si>
  <si>
    <t>DANGOTE</t>
  </si>
  <si>
    <t>PMC SA</t>
  </si>
  <si>
    <t>SOMIVA</t>
  </si>
  <si>
    <t>SORED MINES</t>
  </si>
  <si>
    <t>IAMGOLD BOTO</t>
  </si>
  <si>
    <t>G-PHOS SA</t>
  </si>
  <si>
    <t>Baobab Mining and Chemical Corp SA</t>
  </si>
  <si>
    <t>AGEM</t>
  </si>
  <si>
    <t>SABADOLA MINING COMPANY</t>
  </si>
  <si>
    <t>BARRICK GOLD</t>
  </si>
  <si>
    <t>SEPHOS SENEGAL</t>
  </si>
  <si>
    <t xml:space="preserve"> </t>
  </si>
  <si>
    <t>AIG</t>
  </si>
  <si>
    <t>COGECA</t>
  </si>
  <si>
    <t>GECAMINES</t>
  </si>
  <si>
    <t>BAMBADJI SA</t>
  </si>
  <si>
    <t>Secteur minier : Personnel Extérieur</t>
  </si>
  <si>
    <t xml:space="preserve">Total Effectif </t>
  </si>
  <si>
    <t>Facturation à l'entité pour nationaux</t>
  </si>
  <si>
    <t xml:space="preserve">Facturation à l'entité pour non nationaux </t>
  </si>
  <si>
    <t>TOTAL (1+2) par saisie</t>
  </si>
  <si>
    <t>TALIX MINES</t>
  </si>
  <si>
    <t>Secteur des hydrocarbures : Qualifcations, Effectifs, et Masse Salariale</t>
  </si>
  <si>
    <t>KOSMOS ENERGY 2023</t>
  </si>
  <si>
    <t>TOTAL (1)</t>
  </si>
  <si>
    <t>Permanents</t>
  </si>
  <si>
    <t>Contractuels</t>
  </si>
  <si>
    <t>FORTESA 2023</t>
  </si>
  <si>
    <t xml:space="preserve">PETROSEN HOLDING 2023 </t>
  </si>
  <si>
    <t xml:space="preserve"> TOTAL E&amp;P Senegal </t>
  </si>
  <si>
    <t>BP SENEGAL INVESTMENTS LIMITED</t>
  </si>
  <si>
    <t xml:space="preserve">Woodside Energy Senegal </t>
  </si>
  <si>
    <t>Secteur des hydrocarbures : Personnel Extérieur</t>
  </si>
  <si>
    <t>Société des Pétroles du Sénégal (PETROSEN)</t>
  </si>
  <si>
    <t>Fortesa International Senegal</t>
  </si>
  <si>
    <t xml:space="preserve">Kosmos Energy Senegal </t>
  </si>
  <si>
    <t xml:space="preserve">Oranto Petroleum </t>
  </si>
  <si>
    <t>1306735.527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</si>
</sst>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#,##0_);\(&quot;&quot;#,##0\);_-* &quot;-&quot;??_-;_-@_-"/>
    <numFmt numFmtId="166" formatCode="_-* #,##0\ _€_-;\-* #,##0\ _€_-;_-* &quot;-&quot;??\ _€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444444"/>
      <name val="Calibri"/>
      <family val="2"/>
      <scheme val="minor"/>
    </font>
    <font>
      <sz val="8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6"/>
      <color theme="1"/>
      <name val="Calibri Light"/>
      <family val="2"/>
      <scheme val="major"/>
    </font>
    <font>
      <sz val="14"/>
      <color theme="1"/>
      <name val="Calibri Light"/>
      <family val="2"/>
      <scheme val="major"/>
    </font>
    <font>
      <sz val="8"/>
      <color rgb="FFFFFFFF"/>
      <name val="Calibri Light"/>
      <family val="2"/>
      <scheme val="major"/>
    </font>
    <font>
      <sz val="11"/>
      <color rgb="FF000000"/>
      <name val="Calibri"/>
      <family val="2"/>
    </font>
    <font>
      <sz val="8"/>
      <name val="Calibri Light"/>
      <family val="2"/>
      <scheme val="major"/>
    </font>
    <font>
      <b/>
      <sz val="8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b/>
      <sz val="8"/>
      <color rgb="FFFFFFFF"/>
      <name val="Calibri Light"/>
      <family val="2"/>
      <scheme val="major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657C91"/>
        <bgColor indexed="64"/>
      </patternFill>
    </fill>
    <fill>
      <patternFill patternType="solid">
        <fgColor rgb="FFA9ECEF"/>
        <bgColor indexed="64"/>
      </patternFill>
    </fill>
    <fill>
      <patternFill patternType="solid">
        <fgColor rgb="FF2A9E9B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9" fillId="0" borderId="0"/>
  </cellStyleXfs>
  <cellXfs count="128">
    <xf numFmtId="0" fontId="0" fillId="0" borderId="0" xfId="0"/>
    <xf numFmtId="0" fontId="3" fillId="0" borderId="0" xfId="1" applyFont="1" applyAlignment="1">
      <alignment horizontal="left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165" fontId="4" fillId="2" borderId="1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8" fillId="3" borderId="4" xfId="0" applyFont="1" applyFill="1" applyBorder="1" applyAlignment="1">
      <alignment vertical="center" wrapText="1"/>
    </xf>
    <xf numFmtId="0" fontId="8" fillId="3" borderId="5" xfId="0" applyFont="1" applyFill="1" applyBorder="1" applyAlignment="1">
      <alignment horizontal="center" vertical="center" wrapText="1"/>
    </xf>
    <xf numFmtId="165" fontId="8" fillId="3" borderId="5" xfId="2" applyNumberFormat="1" applyFont="1" applyFill="1" applyBorder="1" applyAlignment="1">
      <alignment horizontal="center" vertical="center" wrapText="1"/>
    </xf>
    <xf numFmtId="165" fontId="8" fillId="3" borderId="6" xfId="2" applyNumberFormat="1" applyFont="1" applyFill="1" applyBorder="1" applyAlignment="1">
      <alignment horizontal="center" vertical="center" wrapText="1"/>
    </xf>
    <xf numFmtId="165" fontId="10" fillId="4" borderId="7" xfId="3" applyNumberFormat="1" applyFont="1" applyFill="1" applyBorder="1" applyAlignment="1">
      <alignment horizontal="center" vertical="center" wrapText="1"/>
    </xf>
    <xf numFmtId="0" fontId="10" fillId="4" borderId="8" xfId="3" applyFont="1" applyFill="1" applyBorder="1" applyAlignment="1">
      <alignment horizontal="left" vertical="center" wrapText="1"/>
    </xf>
    <xf numFmtId="166" fontId="4" fillId="4" borderId="1" xfId="2" applyNumberFormat="1" applyFont="1" applyFill="1" applyBorder="1" applyAlignment="1">
      <alignment horizontal="center" vertical="center"/>
    </xf>
    <xf numFmtId="166" fontId="4" fillId="4" borderId="2" xfId="2" applyNumberFormat="1" applyFont="1" applyFill="1" applyBorder="1" applyAlignment="1">
      <alignment horizontal="center" vertical="center"/>
    </xf>
    <xf numFmtId="165" fontId="10" fillId="4" borderId="9" xfId="3" applyNumberFormat="1" applyFont="1" applyFill="1" applyBorder="1" applyAlignment="1">
      <alignment horizontal="center" vertical="center" wrapText="1"/>
    </xf>
    <xf numFmtId="0" fontId="10" fillId="4" borderId="1" xfId="3" applyFont="1" applyFill="1" applyBorder="1" applyAlignment="1">
      <alignment horizontal="left" vertical="center" wrapText="1"/>
    </xf>
    <xf numFmtId="0" fontId="10" fillId="4" borderId="7" xfId="3" applyFont="1" applyFill="1" applyBorder="1" applyAlignment="1">
      <alignment horizontal="left" vertical="center" wrapText="1"/>
    </xf>
    <xf numFmtId="166" fontId="4" fillId="4" borderId="7" xfId="2" applyNumberFormat="1" applyFont="1" applyFill="1" applyBorder="1" applyAlignment="1">
      <alignment horizontal="center" vertical="center"/>
    </xf>
    <xf numFmtId="166" fontId="4" fillId="4" borderId="10" xfId="2" applyNumberFormat="1" applyFont="1" applyFill="1" applyBorder="1" applyAlignment="1">
      <alignment horizontal="center" vertical="center"/>
    </xf>
    <xf numFmtId="0" fontId="11" fillId="5" borderId="11" xfId="3" applyFont="1" applyFill="1" applyBorder="1" applyAlignment="1">
      <alignment horizontal="left" vertical="center"/>
    </xf>
    <xf numFmtId="166" fontId="12" fillId="5" borderId="11" xfId="2" applyNumberFormat="1" applyFont="1" applyFill="1" applyBorder="1" applyAlignment="1">
      <alignment horizontal="center" vertical="center"/>
    </xf>
    <xf numFmtId="166" fontId="12" fillId="5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vertical="center"/>
    </xf>
    <xf numFmtId="0" fontId="10" fillId="4" borderId="8" xfId="3" applyFont="1" applyFill="1" applyBorder="1" applyAlignment="1">
      <alignment horizontal="left" vertical="center"/>
    </xf>
    <xf numFmtId="166" fontId="4" fillId="4" borderId="8" xfId="2" applyNumberFormat="1" applyFont="1" applyFill="1" applyBorder="1" applyAlignment="1">
      <alignment horizontal="center" vertical="center"/>
    </xf>
    <xf numFmtId="166" fontId="4" fillId="4" borderId="13" xfId="2" applyNumberFormat="1" applyFont="1" applyFill="1" applyBorder="1" applyAlignment="1">
      <alignment horizontal="center" vertical="center"/>
    </xf>
    <xf numFmtId="165" fontId="10" fillId="4" borderId="8" xfId="3" applyNumberFormat="1" applyFont="1" applyFill="1" applyBorder="1" applyAlignment="1">
      <alignment horizontal="center" vertical="center" wrapText="1"/>
    </xf>
    <xf numFmtId="0" fontId="10" fillId="4" borderId="1" xfId="3" applyFont="1" applyFill="1" applyBorder="1" applyAlignment="1">
      <alignment horizontal="left" vertical="center"/>
    </xf>
    <xf numFmtId="165" fontId="10" fillId="0" borderId="7" xfId="3" applyNumberFormat="1" applyFont="1" applyBorder="1" applyAlignment="1">
      <alignment horizontal="center" vertical="center" wrapText="1"/>
    </xf>
    <xf numFmtId="0" fontId="10" fillId="0" borderId="1" xfId="3" applyFont="1" applyBorder="1" applyAlignment="1">
      <alignment horizontal="left" vertical="center" wrapText="1"/>
    </xf>
    <xf numFmtId="166" fontId="4" fillId="0" borderId="1" xfId="2" applyNumberFormat="1" applyFont="1" applyFill="1" applyBorder="1" applyAlignment="1">
      <alignment horizontal="center" vertical="center"/>
    </xf>
    <xf numFmtId="166" fontId="4" fillId="0" borderId="1" xfId="2" applyNumberFormat="1" applyFont="1" applyBorder="1" applyAlignment="1">
      <alignment horizontal="center" vertical="center"/>
    </xf>
    <xf numFmtId="166" fontId="4" fillId="0" borderId="2" xfId="2" applyNumberFormat="1" applyFont="1" applyFill="1" applyBorder="1" applyAlignment="1">
      <alignment horizontal="center" vertical="center"/>
    </xf>
    <xf numFmtId="165" fontId="10" fillId="0" borderId="9" xfId="3" applyNumberFormat="1" applyFont="1" applyBorder="1" applyAlignment="1">
      <alignment horizontal="center" vertical="center" wrapText="1"/>
    </xf>
    <xf numFmtId="0" fontId="10" fillId="0" borderId="7" xfId="3" applyFont="1" applyBorder="1" applyAlignment="1">
      <alignment horizontal="left" vertical="center" wrapText="1"/>
    </xf>
    <xf numFmtId="166" fontId="4" fillId="0" borderId="7" xfId="2" applyNumberFormat="1" applyFont="1" applyFill="1" applyBorder="1" applyAlignment="1">
      <alignment horizontal="center" vertical="center"/>
    </xf>
    <xf numFmtId="166" fontId="4" fillId="0" borderId="7" xfId="2" applyNumberFormat="1" applyFont="1" applyBorder="1" applyAlignment="1">
      <alignment horizontal="center" vertical="center"/>
    </xf>
    <xf numFmtId="166" fontId="4" fillId="0" borderId="10" xfId="2" applyNumberFormat="1" applyFont="1" applyFill="1" applyBorder="1" applyAlignment="1">
      <alignment horizontal="center" vertical="center"/>
    </xf>
    <xf numFmtId="0" fontId="10" fillId="0" borderId="8" xfId="3" applyFont="1" applyBorder="1" applyAlignment="1">
      <alignment horizontal="left" vertical="center"/>
    </xf>
    <xf numFmtId="166" fontId="4" fillId="0" borderId="8" xfId="2" applyNumberFormat="1" applyFont="1" applyBorder="1" applyAlignment="1">
      <alignment horizontal="center" vertical="center"/>
    </xf>
    <xf numFmtId="166" fontId="4" fillId="0" borderId="13" xfId="2" applyNumberFormat="1" applyFont="1" applyBorder="1" applyAlignment="1">
      <alignment horizontal="center" vertical="center"/>
    </xf>
    <xf numFmtId="165" fontId="10" fillId="0" borderId="8" xfId="3" applyNumberFormat="1" applyFont="1" applyBorder="1" applyAlignment="1">
      <alignment horizontal="center" vertical="center" wrapText="1"/>
    </xf>
    <xf numFmtId="0" fontId="10" fillId="0" borderId="1" xfId="3" applyFont="1" applyBorder="1" applyAlignment="1">
      <alignment horizontal="left" vertical="center"/>
    </xf>
    <xf numFmtId="0" fontId="13" fillId="3" borderId="4" xfId="0" applyFont="1" applyFill="1" applyBorder="1" applyAlignment="1">
      <alignment horizontal="center" vertical="center" wrapText="1"/>
    </xf>
    <xf numFmtId="0" fontId="13" fillId="3" borderId="5" xfId="0" applyFont="1" applyFill="1" applyBorder="1" applyAlignment="1">
      <alignment horizontal="center" vertical="center" wrapText="1"/>
    </xf>
    <xf numFmtId="166" fontId="13" fillId="3" borderId="5" xfId="2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/>
    </xf>
    <xf numFmtId="165" fontId="10" fillId="4" borderId="1" xfId="3" applyNumberFormat="1" applyFont="1" applyFill="1" applyBorder="1" applyAlignment="1">
      <alignment vertical="center"/>
    </xf>
    <xf numFmtId="166" fontId="4" fillId="4" borderId="1" xfId="2" applyNumberFormat="1" applyFont="1" applyFill="1" applyBorder="1" applyAlignment="1">
      <alignment horizontal="center" vertical="center" wrapText="1"/>
    </xf>
    <xf numFmtId="0" fontId="10" fillId="4" borderId="7" xfId="0" applyFont="1" applyFill="1" applyBorder="1" applyAlignment="1">
      <alignment horizontal="left" vertical="center"/>
    </xf>
    <xf numFmtId="165" fontId="10" fillId="4" borderId="7" xfId="3" applyNumberFormat="1" applyFont="1" applyFill="1" applyBorder="1" applyAlignment="1">
      <alignment vertical="center"/>
    </xf>
    <xf numFmtId="0" fontId="11" fillId="5" borderId="11" xfId="0" applyFont="1" applyFill="1" applyBorder="1" applyAlignment="1">
      <alignment horizontal="left" vertical="center"/>
    </xf>
    <xf numFmtId="165" fontId="11" fillId="5" borderId="11" xfId="3" applyNumberFormat="1" applyFont="1" applyFill="1" applyBorder="1" applyAlignment="1">
      <alignment vertical="center"/>
    </xf>
    <xf numFmtId="166" fontId="11" fillId="5" borderId="11" xfId="2" applyNumberFormat="1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left" vertical="center"/>
    </xf>
    <xf numFmtId="165" fontId="10" fillId="4" borderId="8" xfId="3" applyNumberFormat="1" applyFont="1" applyFill="1" applyBorder="1" applyAlignment="1">
      <alignment vertical="center"/>
    </xf>
    <xf numFmtId="0" fontId="10" fillId="0" borderId="1" xfId="0" applyFont="1" applyBorder="1" applyAlignment="1">
      <alignment horizontal="left" vertical="center"/>
    </xf>
    <xf numFmtId="165" fontId="10" fillId="0" borderId="1" xfId="3" applyNumberFormat="1" applyFont="1" applyBorder="1" applyAlignment="1">
      <alignment vertical="center" wrapText="1"/>
    </xf>
    <xf numFmtId="166" fontId="4" fillId="0" borderId="1" xfId="2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/>
    </xf>
    <xf numFmtId="165" fontId="10" fillId="0" borderId="7" xfId="3" applyNumberFormat="1" applyFont="1" applyBorder="1" applyAlignment="1">
      <alignment vertical="center" wrapText="1"/>
    </xf>
    <xf numFmtId="166" fontId="4" fillId="0" borderId="7" xfId="2" applyNumberFormat="1" applyFont="1" applyBorder="1" applyAlignment="1">
      <alignment horizontal="center" vertical="center" wrapText="1"/>
    </xf>
    <xf numFmtId="165" fontId="11" fillId="5" borderId="11" xfId="3" applyNumberFormat="1" applyFont="1" applyFill="1" applyBorder="1" applyAlignment="1">
      <alignment vertical="center" wrapText="1"/>
    </xf>
    <xf numFmtId="166" fontId="12" fillId="5" borderId="11" xfId="2" applyNumberFormat="1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/>
    </xf>
    <xf numFmtId="165" fontId="10" fillId="0" borderId="8" xfId="3" applyNumberFormat="1" applyFont="1" applyBorder="1" applyAlignment="1">
      <alignment vertical="center" wrapText="1"/>
    </xf>
    <xf numFmtId="166" fontId="4" fillId="0" borderId="8" xfId="2" applyNumberFormat="1" applyFont="1" applyBorder="1" applyAlignment="1">
      <alignment horizontal="center" vertical="center" wrapText="1"/>
    </xf>
    <xf numFmtId="165" fontId="10" fillId="4" borderId="1" xfId="3" applyNumberFormat="1" applyFont="1" applyFill="1" applyBorder="1" applyAlignment="1">
      <alignment vertical="center" wrapText="1"/>
    </xf>
    <xf numFmtId="165" fontId="10" fillId="4" borderId="7" xfId="3" applyNumberFormat="1" applyFont="1" applyFill="1" applyBorder="1" applyAlignment="1">
      <alignment vertical="center" wrapText="1"/>
    </xf>
    <xf numFmtId="166" fontId="4" fillId="4" borderId="7" xfId="2" applyNumberFormat="1" applyFont="1" applyFill="1" applyBorder="1" applyAlignment="1">
      <alignment horizontal="center" vertical="center" wrapText="1"/>
    </xf>
    <xf numFmtId="165" fontId="10" fillId="4" borderId="8" xfId="3" applyNumberFormat="1" applyFont="1" applyFill="1" applyBorder="1" applyAlignment="1">
      <alignment vertical="center" wrapText="1"/>
    </xf>
    <xf numFmtId="166" fontId="4" fillId="4" borderId="8" xfId="2" applyNumberFormat="1" applyFont="1" applyFill="1" applyBorder="1" applyAlignment="1">
      <alignment horizontal="center" vertical="center" wrapText="1"/>
    </xf>
    <xf numFmtId="0" fontId="10" fillId="4" borderId="9" xfId="0" applyFont="1" applyFill="1" applyBorder="1" applyAlignment="1">
      <alignment horizontal="left" vertical="center"/>
    </xf>
    <xf numFmtId="165" fontId="10" fillId="4" borderId="9" xfId="3" applyNumberFormat="1" applyFont="1" applyFill="1" applyBorder="1" applyAlignment="1">
      <alignment vertical="center" wrapText="1"/>
    </xf>
    <xf numFmtId="0" fontId="10" fillId="0" borderId="1" xfId="0" applyFont="1" applyBorder="1" applyAlignment="1">
      <alignment horizontal="left"/>
    </xf>
    <xf numFmtId="165" fontId="10" fillId="0" borderId="1" xfId="3" applyNumberFormat="1" applyFont="1" applyBorder="1" applyAlignment="1">
      <alignment wrapText="1"/>
    </xf>
    <xf numFmtId="0" fontId="10" fillId="0" borderId="7" xfId="0" applyFont="1" applyBorder="1" applyAlignment="1">
      <alignment horizontal="left"/>
    </xf>
    <xf numFmtId="165" fontId="10" fillId="0" borderId="7" xfId="3" applyNumberFormat="1" applyFont="1" applyBorder="1" applyAlignment="1">
      <alignment wrapText="1"/>
    </xf>
    <xf numFmtId="166" fontId="4" fillId="0" borderId="7" xfId="2" applyNumberFormat="1" applyFont="1" applyFill="1" applyBorder="1" applyAlignment="1">
      <alignment horizontal="center"/>
    </xf>
    <xf numFmtId="0" fontId="11" fillId="5" borderId="11" xfId="0" applyFont="1" applyFill="1" applyBorder="1" applyAlignment="1">
      <alignment horizontal="left"/>
    </xf>
    <xf numFmtId="165" fontId="11" fillId="5" borderId="11" xfId="3" applyNumberFormat="1" applyFont="1" applyFill="1" applyBorder="1" applyAlignment="1">
      <alignment wrapText="1"/>
    </xf>
    <xf numFmtId="166" fontId="12" fillId="5" borderId="11" xfId="2" applyNumberFormat="1" applyFont="1" applyFill="1" applyBorder="1" applyAlignment="1">
      <alignment horizontal="center" wrapText="1"/>
    </xf>
    <xf numFmtId="0" fontId="10" fillId="0" borderId="8" xfId="0" applyFont="1" applyBorder="1" applyAlignment="1">
      <alignment horizontal="left"/>
    </xf>
    <xf numFmtId="165" fontId="10" fillId="0" borderId="8" xfId="3" applyNumberFormat="1" applyFont="1" applyBorder="1" applyAlignment="1">
      <alignment wrapText="1"/>
    </xf>
    <xf numFmtId="166" fontId="4" fillId="0" borderId="8" xfId="2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/>
    </xf>
    <xf numFmtId="165" fontId="10" fillId="4" borderId="1" xfId="3" applyNumberFormat="1" applyFont="1" applyFill="1" applyBorder="1" applyAlignment="1">
      <alignment wrapText="1"/>
    </xf>
    <xf numFmtId="0" fontId="10" fillId="4" borderId="7" xfId="0" applyFont="1" applyFill="1" applyBorder="1" applyAlignment="1">
      <alignment horizontal="left"/>
    </xf>
    <xf numFmtId="165" fontId="10" fillId="4" borderId="7" xfId="3" applyNumberFormat="1" applyFont="1" applyFill="1" applyBorder="1" applyAlignment="1">
      <alignment wrapText="1"/>
    </xf>
    <xf numFmtId="166" fontId="11" fillId="5" borderId="11" xfId="2" applyNumberFormat="1" applyFont="1" applyFill="1" applyBorder="1" applyAlignment="1">
      <alignment horizontal="left" vertical="center"/>
    </xf>
    <xf numFmtId="0" fontId="10" fillId="4" borderId="8" xfId="0" applyFont="1" applyFill="1" applyBorder="1" applyAlignment="1">
      <alignment horizontal="left"/>
    </xf>
    <xf numFmtId="165" fontId="10" fillId="4" borderId="8" xfId="3" applyNumberFormat="1" applyFont="1" applyFill="1" applyBorder="1" applyAlignment="1">
      <alignment wrapText="1"/>
    </xf>
    <xf numFmtId="166" fontId="4" fillId="0" borderId="7" xfId="2" applyNumberFormat="1" applyFont="1" applyFill="1" applyBorder="1" applyAlignment="1">
      <alignment horizontal="center" vertical="center" wrapText="1"/>
    </xf>
    <xf numFmtId="166" fontId="4" fillId="0" borderId="1" xfId="2" applyNumberFormat="1" applyFont="1" applyFill="1" applyBorder="1" applyAlignment="1">
      <alignment horizontal="center" vertical="center" wrapText="1"/>
    </xf>
    <xf numFmtId="166" fontId="4" fillId="0" borderId="0" xfId="2" applyNumberFormat="1" applyFont="1" applyAlignment="1">
      <alignment horizontal="center" vertical="center"/>
    </xf>
    <xf numFmtId="166" fontId="4" fillId="4" borderId="1" xfId="2" applyNumberFormat="1" applyFont="1" applyFill="1" applyBorder="1" applyAlignment="1">
      <alignment horizontal="right" vertical="center"/>
    </xf>
    <xf numFmtId="166" fontId="4" fillId="0" borderId="1" xfId="2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66" fontId="4" fillId="2" borderId="1" xfId="2" applyNumberFormat="1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left" vertical="center" wrapText="1"/>
    </xf>
    <xf numFmtId="0" fontId="8" fillId="3" borderId="0" xfId="0" applyFont="1" applyFill="1" applyAlignment="1">
      <alignment vertical="center" wrapText="1"/>
    </xf>
    <xf numFmtId="166" fontId="8" fillId="3" borderId="5" xfId="2" applyNumberFormat="1" applyFont="1" applyFill="1" applyBorder="1" applyAlignment="1">
      <alignment vertical="center" wrapText="1"/>
    </xf>
    <xf numFmtId="166" fontId="8" fillId="3" borderId="6" xfId="2" applyNumberFormat="1" applyFont="1" applyFill="1" applyBorder="1" applyAlignment="1">
      <alignment vertical="center" wrapText="1"/>
    </xf>
    <xf numFmtId="0" fontId="10" fillId="4" borderId="7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166" fontId="4" fillId="4" borderId="2" xfId="2" applyNumberFormat="1" applyFont="1" applyFill="1" applyBorder="1" applyAlignment="1">
      <alignment horizontal="center" vertical="center" wrapText="1"/>
    </xf>
    <xf numFmtId="166" fontId="4" fillId="4" borderId="10" xfId="2" applyNumberFormat="1" applyFont="1" applyFill="1" applyBorder="1" applyAlignment="1">
      <alignment horizontal="center" vertical="center" wrapText="1"/>
    </xf>
    <xf numFmtId="166" fontId="4" fillId="4" borderId="13" xfId="2" applyNumberFormat="1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166" fontId="8" fillId="3" borderId="5" xfId="2" applyNumberFormat="1" applyFont="1" applyFill="1" applyBorder="1" applyAlignment="1">
      <alignment horizontal="center" vertical="center" wrapText="1"/>
    </xf>
    <xf numFmtId="0" fontId="10" fillId="0" borderId="1" xfId="3" applyFont="1" applyBorder="1" applyAlignment="1">
      <alignment vertical="center" wrapText="1"/>
    </xf>
    <xf numFmtId="0" fontId="10" fillId="0" borderId="7" xfId="3" applyFont="1" applyBorder="1" applyAlignment="1">
      <alignment vertical="center" wrapText="1"/>
    </xf>
    <xf numFmtId="166" fontId="4" fillId="0" borderId="0" xfId="2" applyNumberFormat="1" applyFont="1" applyAlignment="1">
      <alignment horizontal="center"/>
    </xf>
    <xf numFmtId="0" fontId="11" fillId="5" borderId="11" xfId="3" applyFont="1" applyFill="1" applyBorder="1" applyAlignment="1">
      <alignment vertical="center" wrapText="1"/>
    </xf>
    <xf numFmtId="0" fontId="10" fillId="0" borderId="8" xfId="3" applyFont="1" applyBorder="1" applyAlignment="1">
      <alignment vertical="center" wrapText="1"/>
    </xf>
    <xf numFmtId="166" fontId="4" fillId="4" borderId="0" xfId="2" applyNumberFormat="1" applyFont="1" applyFill="1" applyBorder="1" applyAlignment="1">
      <alignment horizontal="center" vertical="center" wrapText="1"/>
    </xf>
    <xf numFmtId="166" fontId="4" fillId="0" borderId="1" xfId="2" applyNumberFormat="1" applyFont="1" applyBorder="1" applyAlignment="1">
      <alignment horizontal="center"/>
    </xf>
    <xf numFmtId="166" fontId="4" fillId="0" borderId="1" xfId="2" applyNumberFormat="1" applyFont="1" applyFill="1" applyBorder="1" applyAlignment="1">
      <alignment horizontal="center"/>
    </xf>
    <xf numFmtId="166" fontId="4" fillId="0" borderId="8" xfId="2" applyNumberFormat="1" applyFont="1" applyFill="1" applyBorder="1" applyAlignment="1">
      <alignment horizontal="center" vertical="center" wrapText="1"/>
    </xf>
  </cellXfs>
  <cellStyles count="4">
    <cellStyle name="Lien hypertexte" xfId="1" builtinId="8"/>
    <cellStyle name="Milliers 2" xfId="2" xr:uid="{3601027B-A0D2-4C01-B7C0-AFFF5876D796}"/>
    <cellStyle name="Normal" xfId="0" builtinId="0"/>
    <cellStyle name="Normal 5" xfId="3" xr:uid="{BD1D887A-1350-49E2-B37A-7331A3066E28}"/>
  </cellStyles>
  <dxfs count="21"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md\Documents\ISE\Cours\ISE3\Stage%20ITIE\rapports\2023\02-Annexe-Rapport-ITIE-2023_annexe-34-mise-a-jour.xlsx" TargetMode="External"/><Relationship Id="rId1" Type="http://schemas.openxmlformats.org/officeDocument/2006/relationships/externalLinkPath" Target="/Users/Bmd/Documents/ISE/Cours/ISE3/Stage%20ITIE/rapports/2023/02-Annexe-Rapport-ITIE-2023_annexe-34-mise-a-jou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ommaire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1-1"/>
      <sheetName val="11-2"/>
      <sheetName val="11-3"/>
      <sheetName val="11-4"/>
      <sheetName val="11-5"/>
      <sheetName val="11-6"/>
      <sheetName val="11-7"/>
      <sheetName val="11-8"/>
      <sheetName val="11-9"/>
      <sheetName val="11-10"/>
      <sheetName val="11-11"/>
      <sheetName val="11-12"/>
      <sheetName val="11-13"/>
      <sheetName val="11-14"/>
      <sheetName val="11-15"/>
      <sheetName val="11-16"/>
      <sheetName val="11-17"/>
      <sheetName val="11-18"/>
      <sheetName val="11-19"/>
      <sheetName val="11-20"/>
      <sheetName val="11-21"/>
      <sheetName val="11-22"/>
      <sheetName val="11-23"/>
      <sheetName val="11-24"/>
      <sheetName val="11-25"/>
      <sheetName val="11-26"/>
      <sheetName val="11-27"/>
      <sheetName val="11-28"/>
      <sheetName val="11-29"/>
      <sheetName val="12"/>
      <sheetName val="13"/>
      <sheetName val="14"/>
      <sheetName val="15"/>
      <sheetName val="16"/>
      <sheetName val="17"/>
      <sheetName val="18-1"/>
      <sheetName val="18-2"/>
      <sheetName val="18-3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38F1E-2CA0-418F-A960-AA5AE8FA8EED}">
  <dimension ref="A1:N437"/>
  <sheetViews>
    <sheetView tabSelected="1" workbookViewId="0">
      <selection activeCell="C18" sqref="C18"/>
    </sheetView>
  </sheetViews>
  <sheetFormatPr baseColWidth="10" defaultColWidth="12" defaultRowHeight="10.5" x14ac:dyDescent="0.35"/>
  <cols>
    <col min="1" max="1" width="5.08984375" style="2" customWidth="1"/>
    <col min="2" max="2" width="29.453125" style="2" bestFit="1" customWidth="1"/>
    <col min="3" max="3" width="44.36328125" style="2" customWidth="1"/>
    <col min="4" max="7" width="13.26953125" style="2" customWidth="1"/>
    <col min="8" max="8" width="18.1796875" style="2" bestFit="1" customWidth="1"/>
    <col min="9" max="9" width="17.6328125" style="2" bestFit="1" customWidth="1"/>
    <col min="10" max="10" width="21.08984375" style="2" bestFit="1" customWidth="1"/>
    <col min="11" max="11" width="15.6328125" style="2" bestFit="1" customWidth="1"/>
    <col min="12" max="13" width="12" style="2"/>
    <col min="14" max="14" width="12" style="2" bestFit="1" customWidth="1"/>
    <col min="15" max="16384" width="12" style="2"/>
  </cols>
  <sheetData>
    <row r="1" spans="1:11" ht="14.5" x14ac:dyDescent="0.35">
      <c r="A1" s="1" t="s">
        <v>0</v>
      </c>
      <c r="B1" s="1"/>
      <c r="C1" s="1"/>
    </row>
    <row r="2" spans="1:11" s="4" customFormat="1" ht="21" x14ac:dyDescent="0.35">
      <c r="A2" s="3" t="s">
        <v>1</v>
      </c>
    </row>
    <row r="4" spans="1:11" s="5" customFormat="1" ht="18.5" x14ac:dyDescent="0.35">
      <c r="A4" s="5" t="s">
        <v>2</v>
      </c>
    </row>
    <row r="6" spans="1:11" s="6" customFormat="1" x14ac:dyDescent="0.25"/>
    <row r="7" spans="1:11" s="7" customFormat="1" x14ac:dyDescent="0.35">
      <c r="B7" s="8"/>
      <c r="C7" s="8"/>
      <c r="D7" s="9" t="s">
        <v>3</v>
      </c>
      <c r="E7" s="9"/>
      <c r="F7" s="10" t="s">
        <v>4</v>
      </c>
      <c r="G7" s="11"/>
      <c r="H7" s="12" t="s">
        <v>5</v>
      </c>
      <c r="I7" s="12"/>
      <c r="J7" s="12" t="s">
        <v>6</v>
      </c>
      <c r="K7" s="12"/>
    </row>
    <row r="8" spans="1:11" ht="11" thickBot="1" x14ac:dyDescent="0.4">
      <c r="A8" s="13" t="s">
        <v>7</v>
      </c>
      <c r="B8" s="14" t="s">
        <v>8</v>
      </c>
      <c r="C8" s="14" t="s">
        <v>9</v>
      </c>
      <c r="D8" s="15" t="s">
        <v>10</v>
      </c>
      <c r="E8" s="15" t="s">
        <v>11</v>
      </c>
      <c r="F8" s="15" t="s">
        <v>10</v>
      </c>
      <c r="G8" s="15" t="s">
        <v>11</v>
      </c>
      <c r="H8" s="16" t="s">
        <v>10</v>
      </c>
      <c r="I8" s="16" t="s">
        <v>11</v>
      </c>
      <c r="J8" s="16" t="s">
        <v>10</v>
      </c>
      <c r="K8" s="17" t="s">
        <v>11</v>
      </c>
    </row>
    <row r="9" spans="1:11" x14ac:dyDescent="0.35">
      <c r="A9" s="18">
        <v>1</v>
      </c>
      <c r="B9" s="18" t="s">
        <v>12</v>
      </c>
      <c r="C9" s="19" t="s">
        <v>13</v>
      </c>
      <c r="D9" s="20">
        <v>0</v>
      </c>
      <c r="E9" s="20">
        <v>0</v>
      </c>
      <c r="F9" s="20">
        <v>0</v>
      </c>
      <c r="G9" s="20">
        <v>0</v>
      </c>
      <c r="H9" s="20">
        <v>0</v>
      </c>
      <c r="I9" s="20">
        <v>0</v>
      </c>
      <c r="J9" s="20">
        <v>0</v>
      </c>
      <c r="K9" s="21">
        <v>0</v>
      </c>
    </row>
    <row r="10" spans="1:11" x14ac:dyDescent="0.35">
      <c r="A10" s="22"/>
      <c r="B10" s="22"/>
      <c r="C10" s="23" t="s">
        <v>14</v>
      </c>
      <c r="D10" s="20">
        <v>0</v>
      </c>
      <c r="E10" s="20">
        <v>0</v>
      </c>
      <c r="F10" s="20">
        <v>0</v>
      </c>
      <c r="G10" s="20">
        <v>0</v>
      </c>
      <c r="H10" s="20">
        <v>0</v>
      </c>
      <c r="I10" s="20">
        <v>0</v>
      </c>
      <c r="J10" s="20">
        <v>0</v>
      </c>
      <c r="K10" s="21">
        <v>0</v>
      </c>
    </row>
    <row r="11" spans="1:11" x14ac:dyDescent="0.35">
      <c r="A11" s="22"/>
      <c r="B11" s="22"/>
      <c r="C11" s="23" t="s">
        <v>15</v>
      </c>
      <c r="D11" s="20">
        <v>0</v>
      </c>
      <c r="E11" s="20">
        <v>0</v>
      </c>
      <c r="F11" s="20">
        <v>0</v>
      </c>
      <c r="G11" s="20">
        <v>0</v>
      </c>
      <c r="H11" s="20">
        <v>0</v>
      </c>
      <c r="I11" s="20">
        <v>0</v>
      </c>
      <c r="J11" s="20">
        <v>0</v>
      </c>
      <c r="K11" s="21">
        <v>0</v>
      </c>
    </row>
    <row r="12" spans="1:11" ht="11" thickBot="1" x14ac:dyDescent="0.4">
      <c r="A12" s="22"/>
      <c r="B12" s="22"/>
      <c r="C12" s="24" t="s">
        <v>16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6">
        <v>0</v>
      </c>
    </row>
    <row r="13" spans="1:11" s="30" customFormat="1" ht="11.5" thickTop="1" thickBot="1" x14ac:dyDescent="0.4">
      <c r="A13" s="22"/>
      <c r="B13" s="22"/>
      <c r="C13" s="27" t="s">
        <v>17</v>
      </c>
      <c r="D13" s="28">
        <f>SUM(D9:D12)</f>
        <v>0</v>
      </c>
      <c r="E13" s="28">
        <f t="shared" ref="E13:G13" si="0">SUM(E9:E12)</f>
        <v>0</v>
      </c>
      <c r="F13" s="28">
        <f t="shared" si="0"/>
        <v>0</v>
      </c>
      <c r="G13" s="28">
        <f t="shared" si="0"/>
        <v>0</v>
      </c>
      <c r="H13" s="28">
        <f>SUM(H9:H12)</f>
        <v>0</v>
      </c>
      <c r="I13" s="28">
        <f>SUM(I9:I12)</f>
        <v>0</v>
      </c>
      <c r="J13" s="28">
        <f t="shared" ref="J13:K13" si="1">SUM(J9:J12)</f>
        <v>0</v>
      </c>
      <c r="K13" s="29">
        <f t="shared" si="1"/>
        <v>0</v>
      </c>
    </row>
    <row r="14" spans="1:11" ht="11" thickTop="1" x14ac:dyDescent="0.35">
      <c r="A14" s="22"/>
      <c r="B14" s="22"/>
      <c r="C14" s="31" t="s">
        <v>18</v>
      </c>
      <c r="D14" s="32">
        <v>0</v>
      </c>
      <c r="E14" s="32">
        <v>0</v>
      </c>
      <c r="F14" s="32">
        <v>0</v>
      </c>
      <c r="G14" s="32">
        <v>0</v>
      </c>
      <c r="H14" s="32">
        <v>0</v>
      </c>
      <c r="I14" s="32">
        <v>0</v>
      </c>
      <c r="J14" s="32">
        <v>0</v>
      </c>
      <c r="K14" s="33">
        <v>0</v>
      </c>
    </row>
    <row r="15" spans="1:11" x14ac:dyDescent="0.35">
      <c r="A15" s="34"/>
      <c r="B15" s="34"/>
      <c r="C15" s="35" t="s">
        <v>19</v>
      </c>
      <c r="D15" s="20">
        <v>0</v>
      </c>
      <c r="E15" s="20">
        <v>0</v>
      </c>
      <c r="F15" s="20">
        <v>0</v>
      </c>
      <c r="G15" s="20">
        <v>0</v>
      </c>
      <c r="H15" s="20">
        <v>0</v>
      </c>
      <c r="I15" s="20">
        <v>0</v>
      </c>
      <c r="J15" s="20">
        <v>0</v>
      </c>
      <c r="K15" s="21">
        <v>0</v>
      </c>
    </row>
    <row r="16" spans="1:11" x14ac:dyDescent="0.35">
      <c r="A16" s="36">
        <v>2</v>
      </c>
      <c r="B16" s="36" t="s">
        <v>20</v>
      </c>
      <c r="C16" s="37" t="s">
        <v>13</v>
      </c>
      <c r="D16" s="38">
        <v>13</v>
      </c>
      <c r="E16" s="38">
        <v>1</v>
      </c>
      <c r="F16" s="39">
        <v>11</v>
      </c>
      <c r="G16" s="38">
        <v>2</v>
      </c>
      <c r="H16" s="38">
        <v>958312241</v>
      </c>
      <c r="I16" s="38">
        <v>50466556</v>
      </c>
      <c r="J16" s="38">
        <v>328848610</v>
      </c>
      <c r="K16" s="40">
        <v>78372457</v>
      </c>
    </row>
    <row r="17" spans="1:11" x14ac:dyDescent="0.35">
      <c r="A17" s="41"/>
      <c r="B17" s="41"/>
      <c r="C17" s="37" t="s">
        <v>14</v>
      </c>
      <c r="D17" s="38">
        <v>47</v>
      </c>
      <c r="E17" s="39">
        <v>11</v>
      </c>
      <c r="F17" s="39">
        <v>8</v>
      </c>
      <c r="G17" s="38">
        <v>4</v>
      </c>
      <c r="H17" s="38">
        <v>1502904277</v>
      </c>
      <c r="I17" s="38">
        <v>351440110</v>
      </c>
      <c r="J17" s="38">
        <v>113315324</v>
      </c>
      <c r="K17" s="40">
        <v>74467285</v>
      </c>
    </row>
    <row r="18" spans="1:11" x14ac:dyDescent="0.35">
      <c r="A18" s="41"/>
      <c r="B18" s="41"/>
      <c r="C18" s="37" t="s">
        <v>15</v>
      </c>
      <c r="D18" s="38">
        <v>174</v>
      </c>
      <c r="E18" s="39">
        <v>15</v>
      </c>
      <c r="F18" s="38">
        <v>0</v>
      </c>
      <c r="G18" s="38">
        <v>0</v>
      </c>
      <c r="H18" s="38">
        <v>2847052237</v>
      </c>
      <c r="I18" s="38">
        <v>257054848</v>
      </c>
      <c r="J18" s="38">
        <v>0</v>
      </c>
      <c r="K18" s="40">
        <v>0</v>
      </c>
    </row>
    <row r="19" spans="1:11" ht="11" thickBot="1" x14ac:dyDescent="0.4">
      <c r="A19" s="41"/>
      <c r="B19" s="41"/>
      <c r="C19" s="42" t="s">
        <v>16</v>
      </c>
      <c r="D19" s="43">
        <v>88</v>
      </c>
      <c r="E19" s="44">
        <v>4</v>
      </c>
      <c r="F19" s="43">
        <v>0</v>
      </c>
      <c r="G19" s="43">
        <v>0</v>
      </c>
      <c r="H19" s="43">
        <v>1225254281</v>
      </c>
      <c r="I19" s="43">
        <v>38778013</v>
      </c>
      <c r="J19" s="43">
        <v>0</v>
      </c>
      <c r="K19" s="45">
        <v>0</v>
      </c>
    </row>
    <row r="20" spans="1:11" s="30" customFormat="1" ht="11.5" thickTop="1" thickBot="1" x14ac:dyDescent="0.4">
      <c r="A20" s="41"/>
      <c r="B20" s="41"/>
      <c r="C20" s="27" t="s">
        <v>17</v>
      </c>
      <c r="D20" s="28">
        <v>322</v>
      </c>
      <c r="E20" s="28">
        <v>31</v>
      </c>
      <c r="F20" s="28">
        <v>19</v>
      </c>
      <c r="G20" s="28">
        <v>6</v>
      </c>
      <c r="H20" s="28">
        <v>6533523036</v>
      </c>
      <c r="I20" s="28">
        <v>697739527</v>
      </c>
      <c r="J20" s="28">
        <v>442163934</v>
      </c>
      <c r="K20" s="29">
        <v>152839742</v>
      </c>
    </row>
    <row r="21" spans="1:11" ht="11" thickTop="1" x14ac:dyDescent="0.35">
      <c r="A21" s="41"/>
      <c r="B21" s="41"/>
      <c r="C21" s="46" t="s">
        <v>18</v>
      </c>
      <c r="D21" s="47">
        <v>322</v>
      </c>
      <c r="E21" s="47">
        <v>31</v>
      </c>
      <c r="F21" s="47">
        <v>19</v>
      </c>
      <c r="G21" s="47">
        <v>6</v>
      </c>
      <c r="H21" s="47">
        <v>6533523036</v>
      </c>
      <c r="I21" s="47">
        <v>697739527</v>
      </c>
      <c r="J21" s="47">
        <v>442163934</v>
      </c>
      <c r="K21" s="48">
        <v>152839742</v>
      </c>
    </row>
    <row r="22" spans="1:11" x14ac:dyDescent="0.35">
      <c r="A22" s="49"/>
      <c r="B22" s="49"/>
      <c r="C22" s="50" t="s">
        <v>19</v>
      </c>
      <c r="D22" s="38">
        <v>0</v>
      </c>
      <c r="E22" s="38">
        <v>0</v>
      </c>
      <c r="F22" s="38">
        <v>0</v>
      </c>
      <c r="G22" s="38">
        <v>0</v>
      </c>
      <c r="H22" s="38">
        <v>0</v>
      </c>
      <c r="I22" s="38">
        <v>0</v>
      </c>
      <c r="J22" s="38">
        <v>0</v>
      </c>
      <c r="K22" s="38">
        <v>0</v>
      </c>
    </row>
    <row r="23" spans="1:11" x14ac:dyDescent="0.35">
      <c r="A23" s="18">
        <v>3</v>
      </c>
      <c r="B23" s="18" t="s">
        <v>21</v>
      </c>
      <c r="C23" s="23" t="s">
        <v>13</v>
      </c>
      <c r="D23" s="20">
        <v>68</v>
      </c>
      <c r="E23" s="20">
        <v>10</v>
      </c>
      <c r="F23" s="20">
        <v>0</v>
      </c>
      <c r="G23" s="20">
        <v>0</v>
      </c>
      <c r="H23" s="20">
        <v>2759463413</v>
      </c>
      <c r="I23" s="20" t="s">
        <v>22</v>
      </c>
      <c r="J23" s="20">
        <v>0</v>
      </c>
      <c r="K23" s="21">
        <v>0</v>
      </c>
    </row>
    <row r="24" spans="1:11" x14ac:dyDescent="0.35">
      <c r="A24" s="22"/>
      <c r="B24" s="22"/>
      <c r="C24" s="23" t="s">
        <v>14</v>
      </c>
      <c r="D24" s="20">
        <v>113</v>
      </c>
      <c r="E24" s="20">
        <v>20</v>
      </c>
      <c r="F24" s="20"/>
      <c r="G24" s="20"/>
      <c r="H24" s="20">
        <v>2873255805</v>
      </c>
      <c r="I24" s="20" t="s">
        <v>23</v>
      </c>
      <c r="J24" s="20">
        <v>0</v>
      </c>
      <c r="K24" s="21">
        <v>0</v>
      </c>
    </row>
    <row r="25" spans="1:11" x14ac:dyDescent="0.35">
      <c r="A25" s="22"/>
      <c r="B25" s="22"/>
      <c r="C25" s="23" t="s">
        <v>15</v>
      </c>
      <c r="D25" s="20">
        <v>461</v>
      </c>
      <c r="E25" s="20">
        <v>30</v>
      </c>
      <c r="F25" s="20"/>
      <c r="G25" s="20"/>
      <c r="H25" s="20">
        <v>10075436730</v>
      </c>
      <c r="I25" s="20" t="s">
        <v>24</v>
      </c>
      <c r="J25" s="20">
        <v>0</v>
      </c>
      <c r="K25" s="21">
        <v>0</v>
      </c>
    </row>
    <row r="26" spans="1:11" ht="11" thickBot="1" x14ac:dyDescent="0.4">
      <c r="A26" s="22"/>
      <c r="B26" s="22"/>
      <c r="C26" s="24" t="s">
        <v>16</v>
      </c>
      <c r="D26" s="25">
        <v>428</v>
      </c>
      <c r="E26" s="25">
        <v>47</v>
      </c>
      <c r="F26" s="25"/>
      <c r="G26" s="25"/>
      <c r="H26" s="25">
        <v>5938350001</v>
      </c>
      <c r="I26" s="25">
        <v>358816774</v>
      </c>
      <c r="J26" s="25">
        <v>0</v>
      </c>
      <c r="K26" s="21">
        <v>0</v>
      </c>
    </row>
    <row r="27" spans="1:11" s="30" customFormat="1" ht="11.5" thickTop="1" thickBot="1" x14ac:dyDescent="0.4">
      <c r="A27" s="22"/>
      <c r="B27" s="22"/>
      <c r="C27" s="27" t="s">
        <v>17</v>
      </c>
      <c r="D27" s="28">
        <v>1070</v>
      </c>
      <c r="E27" s="28">
        <v>107</v>
      </c>
      <c r="F27" s="28">
        <v>0</v>
      </c>
      <c r="G27" s="28">
        <v>0</v>
      </c>
      <c r="H27" s="28">
        <v>21646505949</v>
      </c>
      <c r="I27" s="28" t="s">
        <v>25</v>
      </c>
      <c r="J27" s="28">
        <v>0</v>
      </c>
      <c r="K27" s="29">
        <v>0</v>
      </c>
    </row>
    <row r="28" spans="1:11" ht="11" thickTop="1" x14ac:dyDescent="0.35">
      <c r="A28" s="22"/>
      <c r="B28" s="22"/>
      <c r="C28" s="31" t="s">
        <v>18</v>
      </c>
      <c r="D28" s="32">
        <v>1070</v>
      </c>
      <c r="E28" s="32">
        <v>107</v>
      </c>
      <c r="F28" s="32"/>
      <c r="G28" s="32"/>
      <c r="H28" s="32">
        <v>21646505949</v>
      </c>
      <c r="I28" s="32">
        <v>1634544554</v>
      </c>
      <c r="J28" s="32">
        <v>0</v>
      </c>
      <c r="K28" s="33"/>
    </row>
    <row r="29" spans="1:11" x14ac:dyDescent="0.35">
      <c r="A29" s="34"/>
      <c r="B29" s="34"/>
      <c r="C29" s="35" t="s">
        <v>19</v>
      </c>
      <c r="D29" s="20"/>
      <c r="E29" s="20"/>
      <c r="F29" s="20"/>
      <c r="G29" s="20"/>
      <c r="H29" s="20"/>
      <c r="I29" s="20"/>
      <c r="J29" s="20"/>
      <c r="K29" s="21"/>
    </row>
    <row r="30" spans="1:11" x14ac:dyDescent="0.35">
      <c r="A30" s="36">
        <v>4</v>
      </c>
      <c r="B30" s="36" t="s">
        <v>26</v>
      </c>
      <c r="C30" s="37" t="s">
        <v>13</v>
      </c>
      <c r="D30" s="38">
        <v>132</v>
      </c>
      <c r="E30" s="38">
        <v>16</v>
      </c>
      <c r="F30" s="39">
        <v>19</v>
      </c>
      <c r="G30" s="38">
        <v>1</v>
      </c>
      <c r="H30" s="38">
        <v>4783703400</v>
      </c>
      <c r="I30" s="38">
        <v>182975615</v>
      </c>
      <c r="J30" s="38">
        <v>303378416</v>
      </c>
      <c r="K30" s="40">
        <v>18724687</v>
      </c>
    </row>
    <row r="31" spans="1:11" x14ac:dyDescent="0.35">
      <c r="A31" s="41"/>
      <c r="B31" s="41"/>
      <c r="C31" s="37" t="s">
        <v>14</v>
      </c>
      <c r="D31" s="38">
        <v>312</v>
      </c>
      <c r="E31" s="39">
        <v>56</v>
      </c>
      <c r="F31" s="39">
        <v>0</v>
      </c>
      <c r="G31" s="38">
        <v>0</v>
      </c>
      <c r="H31" s="38">
        <v>1611942401</v>
      </c>
      <c r="I31" s="38">
        <v>284087703</v>
      </c>
      <c r="J31" s="38">
        <v>0</v>
      </c>
      <c r="K31" s="40">
        <v>0</v>
      </c>
    </row>
    <row r="32" spans="1:11" x14ac:dyDescent="0.35">
      <c r="A32" s="41"/>
      <c r="B32" s="41"/>
      <c r="C32" s="37" t="s">
        <v>15</v>
      </c>
      <c r="D32" s="38">
        <v>625</v>
      </c>
      <c r="E32" s="39">
        <v>28</v>
      </c>
      <c r="F32" s="38">
        <v>0</v>
      </c>
      <c r="G32" s="38">
        <v>0</v>
      </c>
      <c r="H32" s="38">
        <v>1475669740</v>
      </c>
      <c r="I32" s="38">
        <v>88902004</v>
      </c>
      <c r="J32" s="38">
        <v>0</v>
      </c>
      <c r="K32" s="40">
        <v>0</v>
      </c>
    </row>
    <row r="33" spans="1:11" ht="11" thickBot="1" x14ac:dyDescent="0.4">
      <c r="A33" s="41"/>
      <c r="B33" s="41"/>
      <c r="C33" s="42" t="s">
        <v>16</v>
      </c>
      <c r="D33" s="43">
        <v>19</v>
      </c>
      <c r="E33" s="44">
        <v>4</v>
      </c>
      <c r="F33" s="43">
        <v>0</v>
      </c>
      <c r="G33" s="43">
        <v>0</v>
      </c>
      <c r="H33" s="43">
        <v>35364954</v>
      </c>
      <c r="I33" s="43">
        <v>7557578</v>
      </c>
      <c r="J33" s="43">
        <v>0</v>
      </c>
      <c r="K33" s="45">
        <v>0</v>
      </c>
    </row>
    <row r="34" spans="1:11" s="30" customFormat="1" ht="11.5" thickTop="1" thickBot="1" x14ac:dyDescent="0.4">
      <c r="A34" s="41"/>
      <c r="B34" s="41"/>
      <c r="C34" s="27" t="s">
        <v>17</v>
      </c>
      <c r="D34" s="28">
        <v>1088</v>
      </c>
      <c r="E34" s="28">
        <v>104</v>
      </c>
      <c r="F34" s="28">
        <v>19</v>
      </c>
      <c r="G34" s="28">
        <v>1</v>
      </c>
      <c r="H34" s="28">
        <v>7906680495</v>
      </c>
      <c r="I34" s="28">
        <v>563522900</v>
      </c>
      <c r="J34" s="28">
        <v>303378416</v>
      </c>
      <c r="K34" s="29">
        <v>18724687</v>
      </c>
    </row>
    <row r="35" spans="1:11" ht="11" thickTop="1" x14ac:dyDescent="0.35">
      <c r="A35" s="41"/>
      <c r="B35" s="41"/>
      <c r="C35" s="46" t="s">
        <v>18</v>
      </c>
      <c r="D35" s="47">
        <v>0</v>
      </c>
      <c r="E35" s="47">
        <v>0</v>
      </c>
      <c r="F35" s="47">
        <v>0</v>
      </c>
      <c r="G35" s="47">
        <v>0</v>
      </c>
      <c r="H35" s="47">
        <v>0</v>
      </c>
      <c r="I35" s="47">
        <v>0</v>
      </c>
      <c r="J35" s="47">
        <v>0</v>
      </c>
      <c r="K35" s="48">
        <v>0</v>
      </c>
    </row>
    <row r="36" spans="1:11" x14ac:dyDescent="0.35">
      <c r="A36" s="49"/>
      <c r="B36" s="49"/>
      <c r="C36" s="50" t="s">
        <v>19</v>
      </c>
      <c r="D36" s="38">
        <v>0</v>
      </c>
      <c r="E36" s="38">
        <v>0</v>
      </c>
      <c r="F36" s="38">
        <v>0</v>
      </c>
      <c r="G36" s="38">
        <v>0</v>
      </c>
      <c r="H36" s="38">
        <v>0</v>
      </c>
      <c r="I36" s="38">
        <v>0</v>
      </c>
      <c r="J36" s="38">
        <v>0</v>
      </c>
      <c r="K36" s="38">
        <v>0</v>
      </c>
    </row>
    <row r="37" spans="1:11" x14ac:dyDescent="0.35">
      <c r="A37" s="18">
        <v>5</v>
      </c>
      <c r="B37" s="18" t="s">
        <v>27</v>
      </c>
      <c r="C37" s="23" t="s">
        <v>13</v>
      </c>
      <c r="D37" s="20">
        <v>32</v>
      </c>
      <c r="E37" s="20">
        <v>9</v>
      </c>
      <c r="F37" s="20">
        <v>53</v>
      </c>
      <c r="G37" s="20">
        <v>0</v>
      </c>
      <c r="H37" s="20">
        <v>1428303060</v>
      </c>
      <c r="I37" s="20">
        <v>363179027</v>
      </c>
      <c r="J37" s="20">
        <v>9763838395</v>
      </c>
      <c r="K37" s="21">
        <v>0</v>
      </c>
    </row>
    <row r="38" spans="1:11" x14ac:dyDescent="0.35">
      <c r="A38" s="22"/>
      <c r="B38" s="22"/>
      <c r="C38" s="23" t="s">
        <v>14</v>
      </c>
      <c r="D38" s="20">
        <v>125</v>
      </c>
      <c r="E38" s="20">
        <v>34</v>
      </c>
      <c r="F38" s="20">
        <v>2</v>
      </c>
      <c r="G38" s="20">
        <v>0</v>
      </c>
      <c r="H38" s="20">
        <v>2761048137</v>
      </c>
      <c r="I38" s="20">
        <v>639255249</v>
      </c>
      <c r="J38" s="20">
        <v>39590830</v>
      </c>
      <c r="K38" s="21">
        <v>11929945</v>
      </c>
    </row>
    <row r="39" spans="1:11" x14ac:dyDescent="0.35">
      <c r="A39" s="22"/>
      <c r="B39" s="22"/>
      <c r="C39" s="23" t="s">
        <v>15</v>
      </c>
      <c r="D39" s="20">
        <v>317</v>
      </c>
      <c r="E39" s="20">
        <v>39</v>
      </c>
      <c r="F39" s="20">
        <v>1</v>
      </c>
      <c r="G39" s="20">
        <v>1</v>
      </c>
      <c r="H39" s="20">
        <v>4283939147</v>
      </c>
      <c r="I39" s="20">
        <v>466743233</v>
      </c>
      <c r="J39" s="20">
        <v>16846675</v>
      </c>
      <c r="K39" s="21">
        <v>5090832</v>
      </c>
    </row>
    <row r="40" spans="1:11" ht="11" thickBot="1" x14ac:dyDescent="0.4">
      <c r="A40" s="22"/>
      <c r="B40" s="22"/>
      <c r="C40" s="24" t="s">
        <v>16</v>
      </c>
      <c r="D40" s="25">
        <v>247</v>
      </c>
      <c r="E40" s="25">
        <v>27</v>
      </c>
      <c r="F40" s="25">
        <v>3</v>
      </c>
      <c r="G40" s="25">
        <v>4</v>
      </c>
      <c r="H40" s="25">
        <v>2351299615</v>
      </c>
      <c r="I40" s="25">
        <v>141381203</v>
      </c>
      <c r="J40" s="25">
        <v>3045972</v>
      </c>
      <c r="K40" s="26">
        <v>0</v>
      </c>
    </row>
    <row r="41" spans="1:11" s="30" customFormat="1" ht="11.5" thickTop="1" thickBot="1" x14ac:dyDescent="0.4">
      <c r="A41" s="22"/>
      <c r="B41" s="22"/>
      <c r="C41" s="27" t="s">
        <v>17</v>
      </c>
      <c r="D41" s="28">
        <v>721</v>
      </c>
      <c r="E41" s="28">
        <v>109</v>
      </c>
      <c r="F41" s="28">
        <v>59</v>
      </c>
      <c r="G41" s="28">
        <v>5</v>
      </c>
      <c r="H41" s="28">
        <v>10824589959</v>
      </c>
      <c r="I41" s="28">
        <v>1610558712</v>
      </c>
      <c r="J41" s="28">
        <v>9823321872</v>
      </c>
      <c r="K41" s="29">
        <v>17020777</v>
      </c>
    </row>
    <row r="42" spans="1:11" ht="11" thickTop="1" x14ac:dyDescent="0.35">
      <c r="A42" s="22"/>
      <c r="B42" s="22"/>
      <c r="C42" s="31" t="s">
        <v>18</v>
      </c>
      <c r="D42" s="32">
        <v>0</v>
      </c>
      <c r="E42" s="32">
        <v>0</v>
      </c>
      <c r="F42" s="32">
        <v>0</v>
      </c>
      <c r="G42" s="32">
        <v>0</v>
      </c>
      <c r="H42" s="32">
        <v>0</v>
      </c>
      <c r="I42" s="32">
        <v>0</v>
      </c>
      <c r="J42" s="32">
        <v>0</v>
      </c>
      <c r="K42" s="33">
        <v>9</v>
      </c>
    </row>
    <row r="43" spans="1:11" x14ac:dyDescent="0.35">
      <c r="A43" s="34"/>
      <c r="B43" s="34"/>
      <c r="C43" s="35" t="s">
        <v>19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1">
        <v>0</v>
      </c>
    </row>
    <row r="44" spans="1:11" x14ac:dyDescent="0.35">
      <c r="A44" s="36">
        <v>6</v>
      </c>
      <c r="B44" s="36" t="s">
        <v>28</v>
      </c>
      <c r="C44" s="37" t="s">
        <v>13</v>
      </c>
      <c r="D44" s="38">
        <v>2</v>
      </c>
      <c r="E44" s="38">
        <v>1</v>
      </c>
      <c r="F44" s="39">
        <v>3</v>
      </c>
      <c r="G44" s="38">
        <v>0</v>
      </c>
      <c r="H44" s="38">
        <v>65455270</v>
      </c>
      <c r="I44" s="38">
        <v>19132146</v>
      </c>
      <c r="J44" s="38">
        <v>197466579</v>
      </c>
      <c r="K44" s="40">
        <v>0</v>
      </c>
    </row>
    <row r="45" spans="1:11" x14ac:dyDescent="0.35">
      <c r="A45" s="41"/>
      <c r="B45" s="41"/>
      <c r="C45" s="37" t="s">
        <v>14</v>
      </c>
      <c r="D45" s="38">
        <v>5</v>
      </c>
      <c r="E45" s="39">
        <v>3</v>
      </c>
      <c r="F45" s="39">
        <v>1</v>
      </c>
      <c r="G45" s="38">
        <v>1</v>
      </c>
      <c r="H45" s="38">
        <v>81926783</v>
      </c>
      <c r="I45" s="38">
        <v>35454386</v>
      </c>
      <c r="J45" s="38">
        <v>7438265</v>
      </c>
      <c r="K45" s="40">
        <v>12789970</v>
      </c>
    </row>
    <row r="46" spans="1:11" x14ac:dyDescent="0.35">
      <c r="A46" s="41"/>
      <c r="B46" s="41"/>
      <c r="C46" s="37" t="s">
        <v>15</v>
      </c>
      <c r="D46" s="38">
        <v>11</v>
      </c>
      <c r="E46" s="39">
        <v>1</v>
      </c>
      <c r="F46" s="38">
        <v>0</v>
      </c>
      <c r="G46" s="38">
        <v>0</v>
      </c>
      <c r="H46" s="38">
        <v>121972045</v>
      </c>
      <c r="I46" s="38">
        <v>6208783</v>
      </c>
      <c r="J46" s="38">
        <v>0</v>
      </c>
      <c r="K46" s="40">
        <v>0</v>
      </c>
    </row>
    <row r="47" spans="1:11" ht="11" thickBot="1" x14ac:dyDescent="0.4">
      <c r="A47" s="41"/>
      <c r="B47" s="41"/>
      <c r="C47" s="42" t="s">
        <v>16</v>
      </c>
      <c r="D47" s="43">
        <v>48</v>
      </c>
      <c r="E47" s="44">
        <v>0</v>
      </c>
      <c r="F47" s="43">
        <v>0</v>
      </c>
      <c r="G47" s="43">
        <v>0</v>
      </c>
      <c r="H47" s="38">
        <v>232573651</v>
      </c>
      <c r="I47" s="38">
        <v>0</v>
      </c>
      <c r="J47" s="43">
        <v>0</v>
      </c>
      <c r="K47" s="45">
        <v>0</v>
      </c>
    </row>
    <row r="48" spans="1:11" s="30" customFormat="1" ht="11.5" thickTop="1" thickBot="1" x14ac:dyDescent="0.4">
      <c r="A48" s="41"/>
      <c r="B48" s="41"/>
      <c r="C48" s="27" t="s">
        <v>17</v>
      </c>
      <c r="D48" s="28">
        <v>66</v>
      </c>
      <c r="E48" s="28">
        <v>5</v>
      </c>
      <c r="F48" s="28">
        <v>4</v>
      </c>
      <c r="G48" s="28">
        <v>1</v>
      </c>
      <c r="H48" s="28">
        <v>501927749</v>
      </c>
      <c r="I48" s="28">
        <v>60795315</v>
      </c>
      <c r="J48" s="28">
        <v>204904844</v>
      </c>
      <c r="K48" s="29">
        <v>12789970</v>
      </c>
    </row>
    <row r="49" spans="1:11" ht="11" thickTop="1" x14ac:dyDescent="0.35">
      <c r="A49" s="41"/>
      <c r="B49" s="41"/>
      <c r="C49" s="46" t="s">
        <v>18</v>
      </c>
      <c r="D49" s="47">
        <v>66</v>
      </c>
      <c r="E49" s="47">
        <v>5</v>
      </c>
      <c r="F49" s="47">
        <v>4</v>
      </c>
      <c r="G49" s="47">
        <v>1</v>
      </c>
      <c r="H49" s="47"/>
      <c r="I49" s="47"/>
      <c r="J49" s="47"/>
      <c r="K49" s="48"/>
    </row>
    <row r="50" spans="1:11" x14ac:dyDescent="0.35">
      <c r="A50" s="49"/>
      <c r="B50" s="49"/>
      <c r="C50" s="50" t="s">
        <v>19</v>
      </c>
      <c r="D50" s="38"/>
      <c r="E50" s="38"/>
      <c r="F50" s="38"/>
      <c r="G50" s="38"/>
      <c r="H50" s="38"/>
      <c r="I50" s="38"/>
      <c r="J50" s="38"/>
      <c r="K50" s="38"/>
    </row>
    <row r="51" spans="1:11" x14ac:dyDescent="0.35">
      <c r="A51" s="18">
        <v>7</v>
      </c>
      <c r="B51" s="18" t="s">
        <v>29</v>
      </c>
      <c r="C51" s="23" t="s">
        <v>13</v>
      </c>
      <c r="D51" s="20">
        <v>7</v>
      </c>
      <c r="E51" s="20">
        <v>0</v>
      </c>
      <c r="F51" s="20">
        <v>14</v>
      </c>
      <c r="G51" s="20">
        <v>0</v>
      </c>
      <c r="H51" s="20">
        <v>654894354</v>
      </c>
      <c r="I51" s="20">
        <v>0</v>
      </c>
      <c r="J51" s="20">
        <v>888308607</v>
      </c>
      <c r="K51" s="21">
        <v>0</v>
      </c>
    </row>
    <row r="52" spans="1:11" x14ac:dyDescent="0.35">
      <c r="A52" s="22"/>
      <c r="B52" s="22"/>
      <c r="C52" s="23" t="s">
        <v>14</v>
      </c>
      <c r="D52" s="20">
        <v>187</v>
      </c>
      <c r="E52" s="20">
        <v>25</v>
      </c>
      <c r="F52" s="20">
        <v>54</v>
      </c>
      <c r="G52" s="20">
        <v>0</v>
      </c>
      <c r="H52" s="20">
        <v>2956271118</v>
      </c>
      <c r="I52" s="20">
        <v>392693591</v>
      </c>
      <c r="J52" s="20">
        <v>1665753319</v>
      </c>
      <c r="K52" s="21">
        <v>0</v>
      </c>
    </row>
    <row r="53" spans="1:11" x14ac:dyDescent="0.35">
      <c r="A53" s="22"/>
      <c r="B53" s="22"/>
      <c r="C53" s="23" t="s">
        <v>15</v>
      </c>
      <c r="D53" s="20">
        <v>465</v>
      </c>
      <c r="E53" s="20">
        <v>30</v>
      </c>
      <c r="F53" s="20">
        <v>2</v>
      </c>
      <c r="G53" s="20">
        <v>0</v>
      </c>
      <c r="H53" s="20">
        <v>6210960043</v>
      </c>
      <c r="I53" s="20">
        <v>232439970</v>
      </c>
      <c r="J53" s="20">
        <v>27586654</v>
      </c>
      <c r="K53" s="21">
        <v>0</v>
      </c>
    </row>
    <row r="54" spans="1:11" ht="11" thickBot="1" x14ac:dyDescent="0.4">
      <c r="A54" s="22"/>
      <c r="B54" s="22"/>
      <c r="C54" s="24" t="s">
        <v>16</v>
      </c>
      <c r="D54" s="25">
        <v>622</v>
      </c>
      <c r="E54" s="25">
        <v>9</v>
      </c>
      <c r="F54" s="25">
        <v>0</v>
      </c>
      <c r="G54" s="25">
        <v>0</v>
      </c>
      <c r="H54" s="25">
        <v>6201682878</v>
      </c>
      <c r="I54" s="25">
        <v>51302306</v>
      </c>
      <c r="J54" s="25">
        <v>0</v>
      </c>
      <c r="K54" s="26">
        <v>0</v>
      </c>
    </row>
    <row r="55" spans="1:11" s="30" customFormat="1" ht="11.5" thickTop="1" thickBot="1" x14ac:dyDescent="0.4">
      <c r="A55" s="22"/>
      <c r="B55" s="22"/>
      <c r="C55" s="27" t="s">
        <v>17</v>
      </c>
      <c r="D55" s="28">
        <v>1281</v>
      </c>
      <c r="E55" s="28">
        <v>64</v>
      </c>
      <c r="F55" s="28">
        <v>70</v>
      </c>
      <c r="G55" s="28">
        <v>0</v>
      </c>
      <c r="H55" s="28">
        <v>16023808393</v>
      </c>
      <c r="I55" s="28">
        <v>676435867</v>
      </c>
      <c r="J55" s="28">
        <v>2581648580</v>
      </c>
      <c r="K55" s="29">
        <v>0</v>
      </c>
    </row>
    <row r="56" spans="1:11" ht="11" thickTop="1" x14ac:dyDescent="0.35">
      <c r="A56" s="22"/>
      <c r="B56" s="22"/>
      <c r="C56" s="31" t="s">
        <v>18</v>
      </c>
      <c r="D56" s="32">
        <v>1281</v>
      </c>
      <c r="E56" s="32">
        <v>64</v>
      </c>
      <c r="F56" s="32">
        <v>70</v>
      </c>
      <c r="G56" s="32">
        <v>0</v>
      </c>
      <c r="H56" s="32">
        <v>16023808393</v>
      </c>
      <c r="I56" s="32">
        <v>676435867</v>
      </c>
      <c r="J56" s="32">
        <v>2581648582</v>
      </c>
      <c r="K56" s="33">
        <v>0</v>
      </c>
    </row>
    <row r="57" spans="1:11" x14ac:dyDescent="0.35">
      <c r="A57" s="34"/>
      <c r="B57" s="34"/>
      <c r="C57" s="35" t="s">
        <v>19</v>
      </c>
      <c r="D57" s="20">
        <v>0</v>
      </c>
      <c r="E57" s="20">
        <v>0</v>
      </c>
      <c r="F57" s="20"/>
      <c r="G57" s="20">
        <v>0</v>
      </c>
      <c r="H57" s="20">
        <v>0</v>
      </c>
      <c r="I57" s="20">
        <v>0</v>
      </c>
      <c r="J57" s="20">
        <v>0</v>
      </c>
      <c r="K57" s="21">
        <v>0</v>
      </c>
    </row>
    <row r="58" spans="1:11" x14ac:dyDescent="0.35">
      <c r="A58" s="36">
        <v>8</v>
      </c>
      <c r="B58" s="36" t="s">
        <v>30</v>
      </c>
      <c r="C58" s="37" t="s">
        <v>13</v>
      </c>
      <c r="D58" s="38">
        <v>15</v>
      </c>
      <c r="E58" s="38">
        <v>2</v>
      </c>
      <c r="F58" s="39">
        <v>8</v>
      </c>
      <c r="G58" s="38">
        <v>4</v>
      </c>
      <c r="H58" s="38">
        <v>291029309</v>
      </c>
      <c r="I58" s="38">
        <v>101707802</v>
      </c>
      <c r="J58" s="38">
        <v>921308549</v>
      </c>
      <c r="K58" s="40">
        <v>0</v>
      </c>
    </row>
    <row r="59" spans="1:11" x14ac:dyDescent="0.35">
      <c r="A59" s="41"/>
      <c r="B59" s="41"/>
      <c r="C59" s="37" t="s">
        <v>14</v>
      </c>
      <c r="D59" s="38">
        <v>77</v>
      </c>
      <c r="E59" s="39">
        <v>6</v>
      </c>
      <c r="F59" s="39">
        <v>3</v>
      </c>
      <c r="G59" s="38">
        <v>0</v>
      </c>
      <c r="H59" s="38">
        <v>2653265829</v>
      </c>
      <c r="I59" s="38">
        <v>171428539</v>
      </c>
      <c r="J59" s="38">
        <v>0</v>
      </c>
      <c r="K59" s="40">
        <v>0</v>
      </c>
    </row>
    <row r="60" spans="1:11" x14ac:dyDescent="0.35">
      <c r="A60" s="41"/>
      <c r="B60" s="41"/>
      <c r="C60" s="37" t="s">
        <v>15</v>
      </c>
      <c r="D60" s="38">
        <v>200</v>
      </c>
      <c r="E60" s="39">
        <v>28</v>
      </c>
      <c r="F60" s="38">
        <v>0</v>
      </c>
      <c r="G60" s="38">
        <v>0</v>
      </c>
      <c r="H60" s="38">
        <v>0</v>
      </c>
      <c r="I60" s="38">
        <v>0</v>
      </c>
      <c r="J60" s="38">
        <v>0</v>
      </c>
      <c r="K60" s="40">
        <v>0</v>
      </c>
    </row>
    <row r="61" spans="1:11" ht="11" thickBot="1" x14ac:dyDescent="0.4">
      <c r="A61" s="41"/>
      <c r="B61" s="41"/>
      <c r="C61" s="42" t="s">
        <v>16</v>
      </c>
      <c r="D61" s="43">
        <v>288</v>
      </c>
      <c r="E61" s="44">
        <v>3</v>
      </c>
      <c r="F61" s="43">
        <v>0</v>
      </c>
      <c r="G61" s="43">
        <v>0</v>
      </c>
      <c r="H61" s="43">
        <v>993507812</v>
      </c>
      <c r="I61" s="43">
        <v>22453972</v>
      </c>
      <c r="J61" s="43">
        <v>0</v>
      </c>
      <c r="K61" s="45">
        <v>0</v>
      </c>
    </row>
    <row r="62" spans="1:11" s="30" customFormat="1" ht="11.5" thickTop="1" thickBot="1" x14ac:dyDescent="0.4">
      <c r="A62" s="41"/>
      <c r="B62" s="41"/>
      <c r="C62" s="27" t="s">
        <v>17</v>
      </c>
      <c r="D62" s="28">
        <v>580</v>
      </c>
      <c r="E62" s="28">
        <v>39</v>
      </c>
      <c r="F62" s="28">
        <v>11</v>
      </c>
      <c r="G62" s="28">
        <v>4</v>
      </c>
      <c r="H62" s="28">
        <v>3937802950</v>
      </c>
      <c r="I62" s="28">
        <v>295590313</v>
      </c>
      <c r="J62" s="28">
        <v>921308549</v>
      </c>
      <c r="K62" s="29">
        <v>0</v>
      </c>
    </row>
    <row r="63" spans="1:11" ht="11" thickTop="1" x14ac:dyDescent="0.35">
      <c r="A63" s="41"/>
      <c r="B63" s="41"/>
      <c r="C63" s="46" t="s">
        <v>18</v>
      </c>
      <c r="D63" s="47">
        <v>0</v>
      </c>
      <c r="E63" s="47">
        <v>0</v>
      </c>
      <c r="F63" s="47">
        <v>0</v>
      </c>
      <c r="G63" s="47">
        <v>0</v>
      </c>
      <c r="H63" s="47">
        <v>0</v>
      </c>
      <c r="I63" s="47">
        <v>0</v>
      </c>
      <c r="J63" s="47">
        <v>0</v>
      </c>
      <c r="K63" s="48">
        <v>0</v>
      </c>
    </row>
    <row r="64" spans="1:11" x14ac:dyDescent="0.35">
      <c r="A64" s="49"/>
      <c r="B64" s="49"/>
      <c r="C64" s="50" t="s">
        <v>19</v>
      </c>
      <c r="D64" s="38">
        <v>0</v>
      </c>
      <c r="E64" s="38">
        <v>0</v>
      </c>
      <c r="F64" s="38">
        <v>0</v>
      </c>
      <c r="G64" s="38">
        <v>0</v>
      </c>
      <c r="H64" s="38">
        <v>0</v>
      </c>
      <c r="I64" s="38">
        <v>0</v>
      </c>
      <c r="J64" s="38">
        <v>0</v>
      </c>
      <c r="K64" s="38">
        <v>0</v>
      </c>
    </row>
    <row r="65" spans="1:11" x14ac:dyDescent="0.35">
      <c r="A65" s="18">
        <v>9</v>
      </c>
      <c r="B65" s="18" t="s">
        <v>31</v>
      </c>
      <c r="C65" s="23" t="s">
        <v>13</v>
      </c>
      <c r="D65" s="20">
        <v>39</v>
      </c>
      <c r="E65" s="20">
        <v>2</v>
      </c>
      <c r="F65" s="20">
        <v>39</v>
      </c>
      <c r="G65" s="20">
        <v>2</v>
      </c>
      <c r="H65" s="20">
        <v>1463000000</v>
      </c>
      <c r="I65" s="20">
        <v>68000000</v>
      </c>
      <c r="J65" s="20">
        <v>3162000000</v>
      </c>
      <c r="K65" s="21">
        <v>63000000</v>
      </c>
    </row>
    <row r="66" spans="1:11" x14ac:dyDescent="0.35">
      <c r="A66" s="22"/>
      <c r="B66" s="22"/>
      <c r="C66" s="23" t="s">
        <v>14</v>
      </c>
      <c r="D66" s="20">
        <v>30</v>
      </c>
      <c r="E66" s="20">
        <v>4</v>
      </c>
      <c r="F66" s="20">
        <v>0</v>
      </c>
      <c r="G66" s="20">
        <v>0</v>
      </c>
      <c r="H66" s="20">
        <v>674496417</v>
      </c>
      <c r="I66" s="20">
        <v>71083424</v>
      </c>
      <c r="J66" s="20">
        <v>0</v>
      </c>
      <c r="K66" s="21">
        <v>0</v>
      </c>
    </row>
    <row r="67" spans="1:11" x14ac:dyDescent="0.35">
      <c r="A67" s="22"/>
      <c r="B67" s="22"/>
      <c r="C67" s="23" t="s">
        <v>15</v>
      </c>
      <c r="D67" s="20">
        <v>97</v>
      </c>
      <c r="E67" s="20">
        <v>12</v>
      </c>
      <c r="F67" s="20">
        <v>0</v>
      </c>
      <c r="G67" s="20">
        <v>0</v>
      </c>
      <c r="H67" s="20">
        <v>945373773</v>
      </c>
      <c r="I67" s="20">
        <v>118198290</v>
      </c>
      <c r="J67" s="20">
        <v>0</v>
      </c>
      <c r="K67" s="21">
        <v>0</v>
      </c>
    </row>
    <row r="68" spans="1:11" ht="11" thickBot="1" x14ac:dyDescent="0.4">
      <c r="A68" s="22"/>
      <c r="B68" s="22"/>
      <c r="C68" s="24" t="s">
        <v>16</v>
      </c>
      <c r="D68" s="25">
        <v>91</v>
      </c>
      <c r="E68" s="25">
        <v>9</v>
      </c>
      <c r="F68" s="25">
        <v>0</v>
      </c>
      <c r="G68" s="25">
        <v>0</v>
      </c>
      <c r="H68" s="25">
        <v>617011234</v>
      </c>
      <c r="I68" s="25">
        <v>58110765</v>
      </c>
      <c r="J68" s="25">
        <v>0</v>
      </c>
      <c r="K68" s="26">
        <v>0</v>
      </c>
    </row>
    <row r="69" spans="1:11" s="30" customFormat="1" ht="11.5" thickTop="1" thickBot="1" x14ac:dyDescent="0.4">
      <c r="A69" s="22"/>
      <c r="B69" s="22"/>
      <c r="C69" s="27" t="s">
        <v>17</v>
      </c>
      <c r="D69" s="28">
        <v>257</v>
      </c>
      <c r="E69" s="28">
        <v>27</v>
      </c>
      <c r="F69" s="28">
        <v>39</v>
      </c>
      <c r="G69" s="28">
        <v>2</v>
      </c>
      <c r="H69" s="28">
        <v>3699881424</v>
      </c>
      <c r="I69" s="28">
        <v>315392479</v>
      </c>
      <c r="J69" s="28">
        <v>3162000000</v>
      </c>
      <c r="K69" s="29">
        <v>63000000</v>
      </c>
    </row>
    <row r="70" spans="1:11" ht="11" thickTop="1" x14ac:dyDescent="0.35">
      <c r="A70" s="22"/>
      <c r="B70" s="22"/>
      <c r="C70" s="31" t="s">
        <v>18</v>
      </c>
      <c r="D70" s="32">
        <v>254</v>
      </c>
      <c r="E70" s="32">
        <v>26</v>
      </c>
      <c r="F70" s="32">
        <v>0</v>
      </c>
      <c r="G70" s="32">
        <v>0</v>
      </c>
      <c r="H70" s="32">
        <v>3699881424</v>
      </c>
      <c r="I70" s="32">
        <v>301392479</v>
      </c>
      <c r="J70" s="32">
        <v>3105000000</v>
      </c>
      <c r="K70" s="33">
        <v>63000000</v>
      </c>
    </row>
    <row r="71" spans="1:11" x14ac:dyDescent="0.35">
      <c r="A71" s="34"/>
      <c r="B71" s="34"/>
      <c r="C71" s="35" t="s">
        <v>19</v>
      </c>
      <c r="D71" s="20">
        <v>3</v>
      </c>
      <c r="E71" s="20">
        <v>1</v>
      </c>
      <c r="F71" s="20">
        <v>0</v>
      </c>
      <c r="G71" s="20">
        <v>0</v>
      </c>
      <c r="H71" s="20">
        <v>57000000</v>
      </c>
      <c r="I71" s="20">
        <v>14000000</v>
      </c>
      <c r="J71" s="20">
        <v>0</v>
      </c>
      <c r="K71" s="21">
        <v>0</v>
      </c>
    </row>
    <row r="72" spans="1:11" x14ac:dyDescent="0.35">
      <c r="A72" s="36">
        <v>10</v>
      </c>
      <c r="B72" s="36" t="s">
        <v>32</v>
      </c>
      <c r="C72" s="37" t="s">
        <v>13</v>
      </c>
      <c r="D72" s="38">
        <v>2</v>
      </c>
      <c r="E72" s="38">
        <v>0</v>
      </c>
      <c r="F72" s="39">
        <v>5</v>
      </c>
      <c r="G72" s="38">
        <v>1</v>
      </c>
      <c r="H72" s="38">
        <v>371290004</v>
      </c>
      <c r="I72" s="38">
        <v>0</v>
      </c>
      <c r="J72" s="38">
        <v>409597976</v>
      </c>
      <c r="K72" s="40">
        <v>58484412</v>
      </c>
    </row>
    <row r="73" spans="1:11" x14ac:dyDescent="0.35">
      <c r="A73" s="41"/>
      <c r="B73" s="41"/>
      <c r="C73" s="37" t="s">
        <v>14</v>
      </c>
      <c r="D73" s="38">
        <v>7</v>
      </c>
      <c r="E73" s="39">
        <v>3</v>
      </c>
      <c r="F73" s="39">
        <v>0</v>
      </c>
      <c r="G73" s="38"/>
      <c r="H73" s="38">
        <v>156194069</v>
      </c>
      <c r="I73" s="38">
        <v>50074722</v>
      </c>
      <c r="J73" s="38">
        <v>0</v>
      </c>
      <c r="K73" s="40">
        <v>0</v>
      </c>
    </row>
    <row r="74" spans="1:11" x14ac:dyDescent="0.35">
      <c r="A74" s="41"/>
      <c r="B74" s="41"/>
      <c r="C74" s="37" t="s">
        <v>15</v>
      </c>
      <c r="D74" s="38">
        <v>8</v>
      </c>
      <c r="E74" s="39">
        <v>3</v>
      </c>
      <c r="F74" s="38">
        <v>0</v>
      </c>
      <c r="G74" s="38">
        <v>0</v>
      </c>
      <c r="H74" s="38">
        <v>109729090</v>
      </c>
      <c r="I74" s="38">
        <v>34543411</v>
      </c>
      <c r="J74" s="38">
        <v>0</v>
      </c>
      <c r="K74" s="40">
        <v>0</v>
      </c>
    </row>
    <row r="75" spans="1:11" ht="11" thickBot="1" x14ac:dyDescent="0.4">
      <c r="A75" s="41"/>
      <c r="B75" s="41"/>
      <c r="C75" s="42" t="s">
        <v>16</v>
      </c>
      <c r="D75" s="43">
        <v>144</v>
      </c>
      <c r="E75" s="44">
        <v>31</v>
      </c>
      <c r="F75" s="43">
        <v>0</v>
      </c>
      <c r="G75" s="43">
        <v>0</v>
      </c>
      <c r="H75" s="43">
        <v>935053534</v>
      </c>
      <c r="I75" s="43">
        <v>95388635</v>
      </c>
      <c r="J75" s="43">
        <v>0</v>
      </c>
      <c r="K75" s="45">
        <v>0</v>
      </c>
    </row>
    <row r="76" spans="1:11" s="30" customFormat="1" ht="11.5" thickTop="1" thickBot="1" x14ac:dyDescent="0.4">
      <c r="A76" s="41"/>
      <c r="B76" s="41"/>
      <c r="C76" s="27" t="s">
        <v>17</v>
      </c>
      <c r="D76" s="28">
        <v>161</v>
      </c>
      <c r="E76" s="28">
        <v>37</v>
      </c>
      <c r="F76" s="28">
        <v>5</v>
      </c>
      <c r="G76" s="28">
        <v>1</v>
      </c>
      <c r="H76" s="28">
        <v>1572266697</v>
      </c>
      <c r="I76" s="28">
        <v>180006768</v>
      </c>
      <c r="J76" s="28">
        <v>409597976</v>
      </c>
      <c r="K76" s="29">
        <v>58484412</v>
      </c>
    </row>
    <row r="77" spans="1:11" ht="11" thickTop="1" x14ac:dyDescent="0.35">
      <c r="A77" s="41"/>
      <c r="B77" s="41"/>
      <c r="C77" s="46" t="s">
        <v>18</v>
      </c>
      <c r="D77" s="47">
        <v>161</v>
      </c>
      <c r="E77" s="47">
        <v>37</v>
      </c>
      <c r="F77" s="47">
        <v>5</v>
      </c>
      <c r="G77" s="47">
        <v>1</v>
      </c>
      <c r="H77" s="47">
        <v>1572266697</v>
      </c>
      <c r="I77" s="47">
        <v>180006768</v>
      </c>
      <c r="J77" s="47">
        <v>409597976</v>
      </c>
      <c r="K77" s="48">
        <v>58484412</v>
      </c>
    </row>
    <row r="78" spans="1:11" x14ac:dyDescent="0.35">
      <c r="A78" s="49"/>
      <c r="B78" s="49"/>
      <c r="C78" s="50" t="s">
        <v>19</v>
      </c>
      <c r="D78" s="38">
        <v>1133</v>
      </c>
      <c r="E78" s="38">
        <v>274</v>
      </c>
      <c r="F78" s="38">
        <v>0</v>
      </c>
      <c r="G78" s="38">
        <v>0</v>
      </c>
      <c r="H78" s="38">
        <v>110613793</v>
      </c>
      <c r="I78" s="38">
        <v>27813659</v>
      </c>
      <c r="J78" s="38">
        <v>0</v>
      </c>
      <c r="K78" s="38">
        <v>0</v>
      </c>
    </row>
    <row r="79" spans="1:11" x14ac:dyDescent="0.35">
      <c r="A79" s="18">
        <v>11</v>
      </c>
      <c r="B79" s="18" t="s">
        <v>33</v>
      </c>
      <c r="C79" s="23" t="s">
        <v>13</v>
      </c>
      <c r="D79" s="20"/>
      <c r="E79" s="20"/>
      <c r="F79" s="20"/>
      <c r="G79" s="20"/>
      <c r="H79" s="20"/>
      <c r="I79" s="20"/>
      <c r="J79" s="20"/>
      <c r="K79" s="21"/>
    </row>
    <row r="80" spans="1:11" x14ac:dyDescent="0.35">
      <c r="A80" s="22"/>
      <c r="B80" s="22"/>
      <c r="C80" s="23" t="s">
        <v>14</v>
      </c>
      <c r="D80" s="20"/>
      <c r="E80" s="20"/>
      <c r="F80" s="20"/>
      <c r="G80" s="20"/>
      <c r="H80" s="20"/>
      <c r="I80" s="20"/>
      <c r="J80" s="20"/>
      <c r="K80" s="21"/>
    </row>
    <row r="81" spans="1:11" x14ac:dyDescent="0.35">
      <c r="A81" s="22"/>
      <c r="B81" s="22"/>
      <c r="C81" s="23" t="s">
        <v>15</v>
      </c>
      <c r="D81" s="20"/>
      <c r="E81" s="20"/>
      <c r="F81" s="20"/>
      <c r="G81" s="20"/>
      <c r="H81" s="20"/>
      <c r="I81" s="20"/>
      <c r="J81" s="20"/>
      <c r="K81" s="21"/>
    </row>
    <row r="82" spans="1:11" ht="11" thickBot="1" x14ac:dyDescent="0.4">
      <c r="A82" s="22"/>
      <c r="B82" s="22"/>
      <c r="C82" s="24" t="s">
        <v>16</v>
      </c>
      <c r="D82" s="25"/>
      <c r="E82" s="25"/>
      <c r="F82" s="25"/>
      <c r="G82" s="25"/>
      <c r="H82" s="25"/>
      <c r="I82" s="25"/>
      <c r="J82" s="25"/>
      <c r="K82" s="26"/>
    </row>
    <row r="83" spans="1:11" s="30" customFormat="1" ht="11.5" thickTop="1" thickBot="1" x14ac:dyDescent="0.4">
      <c r="A83" s="22"/>
      <c r="B83" s="22"/>
      <c r="C83" s="27" t="s">
        <v>17</v>
      </c>
      <c r="D83" s="28">
        <f>SUM(D79:D82)</f>
        <v>0</v>
      </c>
      <c r="E83" s="28">
        <f>SUM(E79:E82)</f>
        <v>0</v>
      </c>
      <c r="F83" s="28">
        <f>SUM(F79:F82)</f>
        <v>0</v>
      </c>
      <c r="G83" s="28">
        <f t="shared" ref="G83:K83" si="2">SUM(G79:G82)</f>
        <v>0</v>
      </c>
      <c r="H83" s="28">
        <f t="shared" si="2"/>
        <v>0</v>
      </c>
      <c r="I83" s="28">
        <f t="shared" si="2"/>
        <v>0</v>
      </c>
      <c r="J83" s="28">
        <f t="shared" si="2"/>
        <v>0</v>
      </c>
      <c r="K83" s="29">
        <f t="shared" si="2"/>
        <v>0</v>
      </c>
    </row>
    <row r="84" spans="1:11" ht="11" thickTop="1" x14ac:dyDescent="0.35">
      <c r="A84" s="22"/>
      <c r="B84" s="22"/>
      <c r="C84" s="31" t="s">
        <v>18</v>
      </c>
      <c r="D84" s="32"/>
      <c r="E84" s="32"/>
      <c r="F84" s="32"/>
      <c r="G84" s="32"/>
      <c r="H84" s="32"/>
      <c r="I84" s="32"/>
      <c r="J84" s="32"/>
      <c r="K84" s="33"/>
    </row>
    <row r="85" spans="1:11" x14ac:dyDescent="0.35">
      <c r="A85" s="34"/>
      <c r="B85" s="34"/>
      <c r="C85" s="35" t="s">
        <v>19</v>
      </c>
      <c r="D85" s="20"/>
      <c r="E85" s="20"/>
      <c r="F85" s="20"/>
      <c r="G85" s="20"/>
      <c r="H85" s="20"/>
      <c r="I85" s="20"/>
      <c r="J85" s="20"/>
      <c r="K85" s="21"/>
    </row>
    <row r="86" spans="1:11" x14ac:dyDescent="0.35">
      <c r="A86" s="36">
        <v>12</v>
      </c>
      <c r="B86" s="36" t="s">
        <v>34</v>
      </c>
      <c r="C86" s="37" t="s">
        <v>13</v>
      </c>
      <c r="D86" s="38">
        <v>1</v>
      </c>
      <c r="E86" s="38">
        <v>2</v>
      </c>
      <c r="F86" s="39">
        <v>3</v>
      </c>
      <c r="G86" s="38">
        <v>0</v>
      </c>
      <c r="H86" s="38">
        <v>90822682</v>
      </c>
      <c r="I86" s="38">
        <v>123136435</v>
      </c>
      <c r="J86" s="38">
        <v>348641401</v>
      </c>
      <c r="K86" s="40">
        <v>0</v>
      </c>
    </row>
    <row r="87" spans="1:11" x14ac:dyDescent="0.35">
      <c r="A87" s="41"/>
      <c r="B87" s="41"/>
      <c r="C87" s="37" t="s">
        <v>14</v>
      </c>
      <c r="D87" s="38">
        <v>12</v>
      </c>
      <c r="E87" s="39">
        <v>1</v>
      </c>
      <c r="F87" s="39">
        <v>2</v>
      </c>
      <c r="G87" s="38">
        <v>0</v>
      </c>
      <c r="H87" s="38">
        <v>379661577</v>
      </c>
      <c r="I87" s="38">
        <v>58611181</v>
      </c>
      <c r="J87" s="38">
        <v>57384532</v>
      </c>
      <c r="K87" s="40">
        <v>0</v>
      </c>
    </row>
    <row r="88" spans="1:11" x14ac:dyDescent="0.35">
      <c r="A88" s="41"/>
      <c r="B88" s="41"/>
      <c r="C88" s="37" t="s">
        <v>15</v>
      </c>
      <c r="D88" s="38">
        <v>5</v>
      </c>
      <c r="E88" s="39">
        <v>0</v>
      </c>
      <c r="F88" s="38">
        <v>1</v>
      </c>
      <c r="G88" s="38">
        <v>0</v>
      </c>
      <c r="H88" s="38">
        <v>32401424</v>
      </c>
      <c r="I88" s="38"/>
      <c r="J88" s="38">
        <v>10210259</v>
      </c>
      <c r="K88" s="40">
        <v>0</v>
      </c>
    </row>
    <row r="89" spans="1:11" ht="11" thickBot="1" x14ac:dyDescent="0.4">
      <c r="A89" s="41"/>
      <c r="B89" s="41"/>
      <c r="C89" s="42" t="s">
        <v>16</v>
      </c>
      <c r="D89" s="43">
        <v>42</v>
      </c>
      <c r="E89" s="44">
        <v>5</v>
      </c>
      <c r="F89" s="43">
        <v>0</v>
      </c>
      <c r="G89" s="43">
        <v>0</v>
      </c>
      <c r="H89" s="43">
        <v>170109796</v>
      </c>
      <c r="I89" s="43">
        <v>30826305</v>
      </c>
      <c r="J89" s="43">
        <v>0</v>
      </c>
      <c r="K89" s="45">
        <v>0</v>
      </c>
    </row>
    <row r="90" spans="1:11" s="30" customFormat="1" ht="11.5" thickTop="1" thickBot="1" x14ac:dyDescent="0.4">
      <c r="A90" s="41"/>
      <c r="B90" s="41"/>
      <c r="C90" s="27" t="s">
        <v>17</v>
      </c>
      <c r="D90" s="28">
        <v>60</v>
      </c>
      <c r="E90" s="28">
        <v>8</v>
      </c>
      <c r="F90" s="28">
        <v>6</v>
      </c>
      <c r="G90" s="28">
        <v>0</v>
      </c>
      <c r="H90" s="28">
        <v>672995479</v>
      </c>
      <c r="I90" s="28">
        <v>212573921</v>
      </c>
      <c r="J90" s="28">
        <v>416236192</v>
      </c>
      <c r="K90" s="29">
        <v>0</v>
      </c>
    </row>
    <row r="91" spans="1:11" ht="11" thickTop="1" x14ac:dyDescent="0.35">
      <c r="A91" s="41"/>
      <c r="B91" s="41"/>
      <c r="C91" s="46" t="s">
        <v>18</v>
      </c>
      <c r="D91" s="47">
        <v>0</v>
      </c>
      <c r="E91" s="47">
        <v>0</v>
      </c>
      <c r="F91" s="47">
        <v>0</v>
      </c>
      <c r="G91" s="47">
        <v>0</v>
      </c>
      <c r="H91" s="47">
        <v>0</v>
      </c>
      <c r="I91" s="47">
        <v>0</v>
      </c>
      <c r="J91" s="47">
        <v>0</v>
      </c>
      <c r="K91" s="48">
        <v>0</v>
      </c>
    </row>
    <row r="92" spans="1:11" x14ac:dyDescent="0.35">
      <c r="A92" s="49"/>
      <c r="B92" s="49"/>
      <c r="C92" s="50" t="s">
        <v>19</v>
      </c>
      <c r="D92" s="38">
        <v>0</v>
      </c>
      <c r="E92" s="38">
        <v>0</v>
      </c>
      <c r="F92" s="38">
        <v>0</v>
      </c>
      <c r="G92" s="38">
        <v>0</v>
      </c>
      <c r="H92" s="38">
        <v>0</v>
      </c>
      <c r="I92" s="38">
        <v>0</v>
      </c>
      <c r="J92" s="38">
        <v>0</v>
      </c>
      <c r="K92" s="38">
        <v>0</v>
      </c>
    </row>
    <row r="93" spans="1:11" x14ac:dyDescent="0.35">
      <c r="A93" s="18">
        <v>13</v>
      </c>
      <c r="B93" s="18" t="s">
        <v>35</v>
      </c>
      <c r="C93" s="23" t="s">
        <v>13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1">
        <v>0</v>
      </c>
    </row>
    <row r="94" spans="1:11" x14ac:dyDescent="0.35">
      <c r="A94" s="22"/>
      <c r="B94" s="22"/>
      <c r="C94" s="23" t="s">
        <v>14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1">
        <v>0</v>
      </c>
    </row>
    <row r="95" spans="1:11" x14ac:dyDescent="0.35">
      <c r="A95" s="22"/>
      <c r="B95" s="22"/>
      <c r="C95" s="23" t="s">
        <v>15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1">
        <v>0</v>
      </c>
    </row>
    <row r="96" spans="1:11" ht="11" thickBot="1" x14ac:dyDescent="0.4">
      <c r="A96" s="22"/>
      <c r="B96" s="22"/>
      <c r="C96" s="24" t="s">
        <v>16</v>
      </c>
      <c r="D96" s="25">
        <v>0</v>
      </c>
      <c r="E96" s="25">
        <v>0</v>
      </c>
      <c r="F96" s="25">
        <v>0</v>
      </c>
      <c r="G96" s="25">
        <v>0</v>
      </c>
      <c r="H96" s="25">
        <v>0</v>
      </c>
      <c r="I96" s="25">
        <v>0</v>
      </c>
      <c r="J96" s="25">
        <v>0</v>
      </c>
      <c r="K96" s="26">
        <v>0</v>
      </c>
    </row>
    <row r="97" spans="1:11" s="30" customFormat="1" ht="11.5" thickTop="1" thickBot="1" x14ac:dyDescent="0.4">
      <c r="A97" s="22"/>
      <c r="B97" s="22"/>
      <c r="C97" s="27" t="s">
        <v>17</v>
      </c>
      <c r="D97" s="28">
        <v>0</v>
      </c>
      <c r="E97" s="28">
        <v>0</v>
      </c>
      <c r="F97" s="28">
        <v>0</v>
      </c>
      <c r="G97" s="28">
        <v>0</v>
      </c>
      <c r="H97" s="28">
        <v>0</v>
      </c>
      <c r="I97" s="28">
        <v>0</v>
      </c>
      <c r="J97" s="28">
        <v>0</v>
      </c>
      <c r="K97" s="29">
        <v>0</v>
      </c>
    </row>
    <row r="98" spans="1:11" ht="11" thickTop="1" x14ac:dyDescent="0.35">
      <c r="A98" s="22"/>
      <c r="B98" s="22"/>
      <c r="C98" s="31" t="s">
        <v>18</v>
      </c>
      <c r="D98" s="32">
        <v>0</v>
      </c>
      <c r="E98" s="32">
        <v>0</v>
      </c>
      <c r="F98" s="32">
        <v>0</v>
      </c>
      <c r="G98" s="32">
        <v>0</v>
      </c>
      <c r="H98" s="32">
        <v>0</v>
      </c>
      <c r="I98" s="32">
        <v>0</v>
      </c>
      <c r="J98" s="32">
        <v>0</v>
      </c>
      <c r="K98" s="33">
        <v>0</v>
      </c>
    </row>
    <row r="99" spans="1:11" x14ac:dyDescent="0.35">
      <c r="A99" s="34"/>
      <c r="B99" s="34"/>
      <c r="C99" s="35" t="s">
        <v>19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1">
        <v>0</v>
      </c>
    </row>
    <row r="100" spans="1:11" x14ac:dyDescent="0.35">
      <c r="A100" s="36">
        <v>14</v>
      </c>
      <c r="B100" s="36" t="s">
        <v>36</v>
      </c>
      <c r="C100" s="37" t="s">
        <v>13</v>
      </c>
      <c r="D100" s="38">
        <v>1</v>
      </c>
      <c r="E100" s="38">
        <v>0</v>
      </c>
      <c r="F100" s="39">
        <v>0</v>
      </c>
      <c r="G100" s="38">
        <v>0</v>
      </c>
      <c r="H100" s="38">
        <v>140826281</v>
      </c>
      <c r="I100" s="38">
        <v>0</v>
      </c>
      <c r="J100" s="38">
        <v>0</v>
      </c>
      <c r="K100" s="40">
        <v>0</v>
      </c>
    </row>
    <row r="101" spans="1:11" x14ac:dyDescent="0.35">
      <c r="A101" s="41"/>
      <c r="B101" s="41"/>
      <c r="C101" s="37" t="s">
        <v>14</v>
      </c>
      <c r="D101" s="38">
        <v>2</v>
      </c>
      <c r="E101" s="39">
        <v>3</v>
      </c>
      <c r="F101" s="39">
        <v>3</v>
      </c>
      <c r="G101" s="38">
        <v>0</v>
      </c>
      <c r="H101" s="38">
        <v>92946893</v>
      </c>
      <c r="I101" s="38">
        <v>63176125</v>
      </c>
      <c r="J101" s="38">
        <v>27804720</v>
      </c>
      <c r="K101" s="40">
        <v>0</v>
      </c>
    </row>
    <row r="102" spans="1:11" x14ac:dyDescent="0.35">
      <c r="A102" s="41"/>
      <c r="B102" s="41"/>
      <c r="C102" s="37" t="s">
        <v>15</v>
      </c>
      <c r="D102" s="38">
        <v>11</v>
      </c>
      <c r="E102" s="39">
        <v>2</v>
      </c>
      <c r="F102" s="38">
        <v>0</v>
      </c>
      <c r="G102" s="38">
        <v>0</v>
      </c>
      <c r="H102" s="38">
        <v>75769131</v>
      </c>
      <c r="I102" s="38">
        <v>9618039</v>
      </c>
      <c r="J102" s="38">
        <v>0</v>
      </c>
      <c r="K102" s="40">
        <v>0</v>
      </c>
    </row>
    <row r="103" spans="1:11" ht="11" thickBot="1" x14ac:dyDescent="0.4">
      <c r="A103" s="41"/>
      <c r="B103" s="41"/>
      <c r="C103" s="42" t="s">
        <v>16</v>
      </c>
      <c r="D103" s="43">
        <v>4</v>
      </c>
      <c r="E103" s="44">
        <v>0</v>
      </c>
      <c r="F103" s="43">
        <v>0</v>
      </c>
      <c r="G103" s="43">
        <v>0</v>
      </c>
      <c r="H103" s="43">
        <v>9447092</v>
      </c>
      <c r="I103" s="43">
        <v>0</v>
      </c>
      <c r="J103" s="43">
        <v>0</v>
      </c>
      <c r="K103" s="45">
        <v>0</v>
      </c>
    </row>
    <row r="104" spans="1:11" s="30" customFormat="1" ht="11.5" thickTop="1" thickBot="1" x14ac:dyDescent="0.4">
      <c r="A104" s="41"/>
      <c r="B104" s="41"/>
      <c r="C104" s="27" t="s">
        <v>17</v>
      </c>
      <c r="D104" s="28">
        <v>18</v>
      </c>
      <c r="E104" s="28">
        <v>5</v>
      </c>
      <c r="F104" s="28">
        <v>3</v>
      </c>
      <c r="G104" s="28">
        <v>0</v>
      </c>
      <c r="H104" s="28">
        <v>318989397</v>
      </c>
      <c r="I104" s="28">
        <v>72794164</v>
      </c>
      <c r="J104" s="28">
        <v>27804720</v>
      </c>
      <c r="K104" s="29"/>
    </row>
    <row r="105" spans="1:11" ht="11" thickTop="1" x14ac:dyDescent="0.35">
      <c r="A105" s="41"/>
      <c r="B105" s="41"/>
      <c r="C105" s="46" t="s">
        <v>18</v>
      </c>
      <c r="D105" s="47">
        <v>18</v>
      </c>
      <c r="E105" s="47">
        <v>5</v>
      </c>
      <c r="F105" s="47">
        <v>3</v>
      </c>
      <c r="G105" s="47">
        <v>0</v>
      </c>
      <c r="H105" s="47">
        <v>0</v>
      </c>
      <c r="I105" s="47">
        <v>0</v>
      </c>
      <c r="J105" s="47">
        <v>0</v>
      </c>
      <c r="K105" s="48">
        <v>0</v>
      </c>
    </row>
    <row r="106" spans="1:11" x14ac:dyDescent="0.35">
      <c r="A106" s="49"/>
      <c r="B106" s="49"/>
      <c r="C106" s="50" t="s">
        <v>19</v>
      </c>
      <c r="D106" s="38">
        <v>0</v>
      </c>
      <c r="E106" s="38">
        <v>0</v>
      </c>
      <c r="F106" s="38">
        <v>0</v>
      </c>
      <c r="G106" s="38">
        <v>0</v>
      </c>
      <c r="H106" s="38">
        <v>0</v>
      </c>
      <c r="I106" s="38">
        <v>0</v>
      </c>
      <c r="J106" s="38">
        <v>0</v>
      </c>
      <c r="K106" s="38">
        <v>0</v>
      </c>
    </row>
    <row r="107" spans="1:11" x14ac:dyDescent="0.35">
      <c r="A107" s="18">
        <v>15</v>
      </c>
      <c r="B107" s="18" t="s">
        <v>37</v>
      </c>
      <c r="C107" s="23" t="s">
        <v>13</v>
      </c>
      <c r="D107" s="20">
        <v>2</v>
      </c>
      <c r="E107" s="20">
        <v>0</v>
      </c>
      <c r="F107" s="20">
        <v>3</v>
      </c>
      <c r="G107" s="20">
        <v>0</v>
      </c>
      <c r="H107" s="20">
        <v>192592368</v>
      </c>
      <c r="I107" s="20">
        <v>0</v>
      </c>
      <c r="J107" s="20">
        <v>251881522</v>
      </c>
      <c r="K107" s="21">
        <v>0</v>
      </c>
    </row>
    <row r="108" spans="1:11" x14ac:dyDescent="0.35">
      <c r="A108" s="22"/>
      <c r="B108" s="22"/>
      <c r="C108" s="23" t="s">
        <v>14</v>
      </c>
      <c r="D108" s="20">
        <v>4</v>
      </c>
      <c r="E108" s="20">
        <v>3</v>
      </c>
      <c r="F108" s="20">
        <v>0</v>
      </c>
      <c r="G108" s="20">
        <v>0</v>
      </c>
      <c r="H108" s="20">
        <v>94874897</v>
      </c>
      <c r="I108" s="20">
        <v>96668419</v>
      </c>
      <c r="J108" s="20">
        <v>0</v>
      </c>
      <c r="K108" s="21">
        <v>0</v>
      </c>
    </row>
    <row r="109" spans="1:11" x14ac:dyDescent="0.35">
      <c r="A109" s="22"/>
      <c r="B109" s="22"/>
      <c r="C109" s="23" t="s">
        <v>15</v>
      </c>
      <c r="D109" s="20">
        <v>6</v>
      </c>
      <c r="E109" s="20">
        <v>0</v>
      </c>
      <c r="F109" s="20">
        <v>0</v>
      </c>
      <c r="G109" s="20">
        <v>0</v>
      </c>
      <c r="H109" s="20">
        <v>64153030</v>
      </c>
      <c r="I109" s="20">
        <v>0</v>
      </c>
      <c r="J109" s="20">
        <v>0</v>
      </c>
      <c r="K109" s="21">
        <v>0</v>
      </c>
    </row>
    <row r="110" spans="1:11" ht="11" thickBot="1" x14ac:dyDescent="0.4">
      <c r="A110" s="22"/>
      <c r="B110" s="22"/>
      <c r="C110" s="24" t="s">
        <v>16</v>
      </c>
      <c r="D110" s="25">
        <v>216</v>
      </c>
      <c r="E110" s="25">
        <v>27</v>
      </c>
      <c r="F110" s="25">
        <v>0</v>
      </c>
      <c r="G110" s="25">
        <v>0</v>
      </c>
      <c r="H110" s="25">
        <v>168085197</v>
      </c>
      <c r="I110" s="25">
        <v>20275472</v>
      </c>
      <c r="J110" s="25">
        <v>0</v>
      </c>
      <c r="K110" s="26">
        <v>0</v>
      </c>
    </row>
    <row r="111" spans="1:11" s="30" customFormat="1" ht="11.5" thickTop="1" thickBot="1" x14ac:dyDescent="0.4">
      <c r="A111" s="22"/>
      <c r="B111" s="22"/>
      <c r="C111" s="27" t="s">
        <v>17</v>
      </c>
      <c r="D111" s="28">
        <v>228</v>
      </c>
      <c r="E111" s="28">
        <v>30</v>
      </c>
      <c r="F111" s="28">
        <v>3</v>
      </c>
      <c r="G111" s="28">
        <v>0</v>
      </c>
      <c r="H111" s="28">
        <v>519705492</v>
      </c>
      <c r="I111" s="28">
        <v>116943891</v>
      </c>
      <c r="J111" s="28">
        <v>251881522</v>
      </c>
      <c r="K111" s="29">
        <v>0</v>
      </c>
    </row>
    <row r="112" spans="1:11" ht="11" thickTop="1" x14ac:dyDescent="0.35">
      <c r="A112" s="22"/>
      <c r="B112" s="22"/>
      <c r="C112" s="31" t="s">
        <v>18</v>
      </c>
      <c r="D112" s="32">
        <v>42</v>
      </c>
      <c r="E112" s="32">
        <v>7</v>
      </c>
      <c r="F112" s="32">
        <v>3</v>
      </c>
      <c r="G112" s="32">
        <v>0</v>
      </c>
      <c r="H112" s="32">
        <v>0</v>
      </c>
      <c r="I112" s="32">
        <v>0</v>
      </c>
      <c r="J112" s="32">
        <v>0</v>
      </c>
      <c r="K112" s="33">
        <v>0</v>
      </c>
    </row>
    <row r="113" spans="1:11" x14ac:dyDescent="0.35">
      <c r="A113" s="34"/>
      <c r="B113" s="34"/>
      <c r="C113" s="35" t="s">
        <v>19</v>
      </c>
      <c r="D113" s="20">
        <v>19</v>
      </c>
      <c r="E113" s="20">
        <v>3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1">
        <v>0</v>
      </c>
    </row>
    <row r="114" spans="1:11" x14ac:dyDescent="0.35">
      <c r="A114" s="36">
        <v>16</v>
      </c>
      <c r="B114" s="36" t="s">
        <v>38</v>
      </c>
      <c r="C114" s="37" t="s">
        <v>13</v>
      </c>
      <c r="D114" s="38">
        <v>10</v>
      </c>
      <c r="E114" s="38">
        <v>0</v>
      </c>
      <c r="F114" s="39">
        <v>0</v>
      </c>
      <c r="G114" s="38">
        <v>0</v>
      </c>
      <c r="H114" s="38">
        <v>413910389</v>
      </c>
      <c r="I114" s="38">
        <v>0</v>
      </c>
      <c r="J114" s="38">
        <v>0</v>
      </c>
      <c r="K114" s="40">
        <v>0</v>
      </c>
    </row>
    <row r="115" spans="1:11" x14ac:dyDescent="0.35">
      <c r="A115" s="41"/>
      <c r="B115" s="41"/>
      <c r="C115" s="37" t="s">
        <v>14</v>
      </c>
      <c r="D115" s="38">
        <v>3</v>
      </c>
      <c r="E115" s="39">
        <v>1</v>
      </c>
      <c r="F115" s="39">
        <v>0</v>
      </c>
      <c r="G115" s="38">
        <v>0</v>
      </c>
      <c r="H115" s="38">
        <v>89945400</v>
      </c>
      <c r="I115" s="38">
        <v>24161037</v>
      </c>
      <c r="J115" s="38">
        <v>0</v>
      </c>
      <c r="K115" s="40">
        <v>0</v>
      </c>
    </row>
    <row r="116" spans="1:11" x14ac:dyDescent="0.35">
      <c r="A116" s="41"/>
      <c r="B116" s="41"/>
      <c r="C116" s="37" t="s">
        <v>15</v>
      </c>
      <c r="D116" s="38">
        <v>6</v>
      </c>
      <c r="E116" s="39">
        <v>0</v>
      </c>
      <c r="F116" s="38">
        <v>0</v>
      </c>
      <c r="G116" s="38">
        <v>0</v>
      </c>
      <c r="H116" s="38">
        <v>155760283</v>
      </c>
      <c r="I116" s="38">
        <v>0</v>
      </c>
      <c r="J116" s="38">
        <v>0</v>
      </c>
      <c r="K116" s="40">
        <v>0</v>
      </c>
    </row>
    <row r="117" spans="1:11" ht="11" thickBot="1" x14ac:dyDescent="0.4">
      <c r="A117" s="41"/>
      <c r="B117" s="41"/>
      <c r="C117" s="42" t="s">
        <v>16</v>
      </c>
      <c r="D117" s="43">
        <v>16</v>
      </c>
      <c r="E117" s="44">
        <v>1</v>
      </c>
      <c r="F117" s="43">
        <v>0</v>
      </c>
      <c r="G117" s="43">
        <v>0</v>
      </c>
      <c r="H117" s="43">
        <v>165744040</v>
      </c>
      <c r="I117" s="43">
        <v>10649471</v>
      </c>
      <c r="J117" s="43">
        <v>0</v>
      </c>
      <c r="K117" s="45">
        <v>0</v>
      </c>
    </row>
    <row r="118" spans="1:11" s="30" customFormat="1" ht="11.5" thickTop="1" thickBot="1" x14ac:dyDescent="0.4">
      <c r="A118" s="41"/>
      <c r="B118" s="41"/>
      <c r="C118" s="27" t="s">
        <v>17</v>
      </c>
      <c r="D118" s="28">
        <v>35</v>
      </c>
      <c r="E118" s="28">
        <v>2</v>
      </c>
      <c r="F118" s="28">
        <v>0</v>
      </c>
      <c r="G118" s="28">
        <v>0</v>
      </c>
      <c r="H118" s="28">
        <v>825360112</v>
      </c>
      <c r="I118" s="28">
        <v>34810508</v>
      </c>
      <c r="J118" s="28">
        <v>0</v>
      </c>
      <c r="K118" s="29">
        <v>0</v>
      </c>
    </row>
    <row r="119" spans="1:11" ht="11" thickTop="1" x14ac:dyDescent="0.35">
      <c r="A119" s="41"/>
      <c r="B119" s="41"/>
      <c r="C119" s="46" t="s">
        <v>18</v>
      </c>
      <c r="D119" s="47">
        <v>0</v>
      </c>
      <c r="E119" s="47">
        <v>0</v>
      </c>
      <c r="F119" s="47">
        <v>0</v>
      </c>
      <c r="G119" s="47">
        <v>0</v>
      </c>
      <c r="H119" s="47">
        <v>825360112</v>
      </c>
      <c r="I119" s="47">
        <v>34810508</v>
      </c>
      <c r="J119" s="47">
        <v>0</v>
      </c>
      <c r="K119" s="48">
        <v>0</v>
      </c>
    </row>
    <row r="120" spans="1:11" x14ac:dyDescent="0.35">
      <c r="A120" s="49"/>
      <c r="B120" s="49"/>
      <c r="C120" s="50" t="s">
        <v>19</v>
      </c>
      <c r="D120" s="38">
        <v>0</v>
      </c>
      <c r="E120" s="38">
        <v>0</v>
      </c>
      <c r="F120" s="38">
        <v>0</v>
      </c>
      <c r="G120" s="38">
        <v>0</v>
      </c>
      <c r="H120" s="38">
        <v>0</v>
      </c>
      <c r="I120" s="38">
        <v>0</v>
      </c>
      <c r="J120" s="38">
        <v>0</v>
      </c>
      <c r="K120" s="38">
        <v>0</v>
      </c>
    </row>
    <row r="121" spans="1:11" x14ac:dyDescent="0.35">
      <c r="A121" s="18">
        <v>17</v>
      </c>
      <c r="B121" s="18" t="s">
        <v>39</v>
      </c>
      <c r="C121" s="23" t="s">
        <v>13</v>
      </c>
      <c r="D121" s="20">
        <v>5</v>
      </c>
      <c r="E121" s="20">
        <v>0</v>
      </c>
      <c r="F121" s="20">
        <v>0</v>
      </c>
      <c r="G121" s="20">
        <v>0</v>
      </c>
      <c r="H121" s="20">
        <v>211194762</v>
      </c>
      <c r="I121" s="20">
        <v>0</v>
      </c>
      <c r="J121" s="20">
        <v>0</v>
      </c>
      <c r="K121" s="21">
        <v>0</v>
      </c>
    </row>
    <row r="122" spans="1:11" x14ac:dyDescent="0.35">
      <c r="A122" s="22"/>
      <c r="B122" s="22"/>
      <c r="C122" s="23" t="s">
        <v>14</v>
      </c>
      <c r="D122" s="20">
        <v>4</v>
      </c>
      <c r="E122" s="20">
        <v>1</v>
      </c>
      <c r="F122" s="20">
        <v>0</v>
      </c>
      <c r="G122" s="20">
        <v>0</v>
      </c>
      <c r="H122" s="20">
        <v>48317951</v>
      </c>
      <c r="I122" s="20">
        <v>0</v>
      </c>
      <c r="J122" s="20">
        <v>0</v>
      </c>
      <c r="K122" s="21">
        <v>0</v>
      </c>
    </row>
    <row r="123" spans="1:11" x14ac:dyDescent="0.35">
      <c r="A123" s="22"/>
      <c r="B123" s="22"/>
      <c r="C123" s="23" t="s">
        <v>15</v>
      </c>
      <c r="D123" s="20">
        <v>20</v>
      </c>
      <c r="E123" s="20">
        <v>1</v>
      </c>
      <c r="F123" s="20">
        <v>0</v>
      </c>
      <c r="G123" s="20">
        <v>0</v>
      </c>
      <c r="H123" s="20">
        <v>119992568</v>
      </c>
      <c r="I123" s="20">
        <v>0</v>
      </c>
      <c r="J123" s="20">
        <v>0</v>
      </c>
      <c r="K123" s="21">
        <v>0</v>
      </c>
    </row>
    <row r="124" spans="1:11" ht="11" thickBot="1" x14ac:dyDescent="0.4">
      <c r="A124" s="22"/>
      <c r="B124" s="22"/>
      <c r="C124" s="24" t="s">
        <v>16</v>
      </c>
      <c r="D124" s="25">
        <v>90</v>
      </c>
      <c r="E124" s="25">
        <v>0</v>
      </c>
      <c r="F124" s="25">
        <v>0</v>
      </c>
      <c r="G124" s="25">
        <v>0</v>
      </c>
      <c r="H124" s="25">
        <v>133159472</v>
      </c>
      <c r="I124" s="25">
        <v>0</v>
      </c>
      <c r="J124" s="25">
        <v>0</v>
      </c>
      <c r="K124" s="26">
        <v>0</v>
      </c>
    </row>
    <row r="125" spans="1:11" s="30" customFormat="1" ht="11.5" thickTop="1" thickBot="1" x14ac:dyDescent="0.4">
      <c r="A125" s="22"/>
      <c r="B125" s="22"/>
      <c r="C125" s="27" t="s">
        <v>17</v>
      </c>
      <c r="D125" s="28">
        <v>119</v>
      </c>
      <c r="E125" s="28">
        <v>2</v>
      </c>
      <c r="F125" s="28">
        <v>0</v>
      </c>
      <c r="G125" s="28">
        <v>0</v>
      </c>
      <c r="H125" s="28">
        <v>512664753</v>
      </c>
      <c r="I125" s="28">
        <v>0</v>
      </c>
      <c r="J125" s="28">
        <v>0</v>
      </c>
      <c r="K125" s="29">
        <v>0</v>
      </c>
    </row>
    <row r="126" spans="1:11" ht="11" thickTop="1" x14ac:dyDescent="0.35">
      <c r="A126" s="22"/>
      <c r="B126" s="22"/>
      <c r="C126" s="31" t="s">
        <v>18</v>
      </c>
      <c r="D126" s="32">
        <v>21</v>
      </c>
      <c r="E126" s="32">
        <v>2</v>
      </c>
      <c r="F126" s="32">
        <v>0</v>
      </c>
      <c r="G126" s="32">
        <v>0</v>
      </c>
      <c r="H126" s="32">
        <v>294102668</v>
      </c>
      <c r="I126" s="32">
        <v>0</v>
      </c>
      <c r="J126" s="32">
        <v>0</v>
      </c>
      <c r="K126" s="33">
        <v>0</v>
      </c>
    </row>
    <row r="127" spans="1:11" x14ac:dyDescent="0.35">
      <c r="A127" s="34"/>
      <c r="B127" s="34"/>
      <c r="C127" s="35" t="s">
        <v>19</v>
      </c>
      <c r="D127" s="20">
        <v>97</v>
      </c>
      <c r="E127" s="20">
        <v>0</v>
      </c>
      <c r="F127" s="20">
        <v>0</v>
      </c>
      <c r="G127" s="20">
        <v>0</v>
      </c>
      <c r="H127" s="20">
        <v>163436178</v>
      </c>
      <c r="I127" s="20">
        <v>0</v>
      </c>
      <c r="J127" s="20">
        <v>0</v>
      </c>
      <c r="K127" s="21">
        <v>0</v>
      </c>
    </row>
    <row r="128" spans="1:11" x14ac:dyDescent="0.35">
      <c r="A128" s="36">
        <v>18</v>
      </c>
      <c r="B128" s="36" t="s">
        <v>40</v>
      </c>
      <c r="C128" s="37" t="s">
        <v>13</v>
      </c>
      <c r="D128" s="38"/>
      <c r="E128" s="38"/>
      <c r="F128" s="39"/>
      <c r="G128" s="38"/>
      <c r="H128" s="38"/>
      <c r="I128" s="38"/>
      <c r="J128" s="38"/>
      <c r="K128" s="40"/>
    </row>
    <row r="129" spans="1:11" x14ac:dyDescent="0.35">
      <c r="A129" s="41"/>
      <c r="B129" s="41"/>
      <c r="C129" s="37" t="s">
        <v>14</v>
      </c>
      <c r="D129" s="38">
        <v>4</v>
      </c>
      <c r="E129" s="39">
        <v>2</v>
      </c>
      <c r="F129" s="39"/>
      <c r="G129" s="38"/>
      <c r="H129" s="38">
        <v>50832317</v>
      </c>
      <c r="I129" s="38">
        <v>28236727</v>
      </c>
      <c r="J129" s="38"/>
      <c r="K129" s="40"/>
    </row>
    <row r="130" spans="1:11" x14ac:dyDescent="0.35">
      <c r="A130" s="41"/>
      <c r="B130" s="41"/>
      <c r="C130" s="37" t="s">
        <v>15</v>
      </c>
      <c r="D130" s="38">
        <v>25</v>
      </c>
      <c r="E130" s="39">
        <v>3</v>
      </c>
      <c r="F130" s="38"/>
      <c r="G130" s="38"/>
      <c r="H130" s="38">
        <v>247980721</v>
      </c>
      <c r="I130" s="38">
        <v>32517497</v>
      </c>
      <c r="J130" s="38"/>
      <c r="K130" s="40"/>
    </row>
    <row r="131" spans="1:11" ht="11" thickBot="1" x14ac:dyDescent="0.4">
      <c r="A131" s="41"/>
      <c r="B131" s="41"/>
      <c r="C131" s="42" t="s">
        <v>16</v>
      </c>
      <c r="D131" s="43">
        <v>18</v>
      </c>
      <c r="E131" s="44"/>
      <c r="F131" s="43"/>
      <c r="G131" s="43"/>
      <c r="H131" s="43">
        <v>152510686</v>
      </c>
      <c r="I131" s="43"/>
      <c r="J131" s="43"/>
      <c r="K131" s="45"/>
    </row>
    <row r="132" spans="1:11" s="30" customFormat="1" ht="11.5" thickTop="1" thickBot="1" x14ac:dyDescent="0.4">
      <c r="A132" s="41"/>
      <c r="B132" s="41"/>
      <c r="C132" s="27" t="s">
        <v>17</v>
      </c>
      <c r="D132" s="28">
        <v>47</v>
      </c>
      <c r="E132" s="28">
        <v>5</v>
      </c>
      <c r="F132" s="28" t="s">
        <v>41</v>
      </c>
      <c r="G132" s="28">
        <v>0</v>
      </c>
      <c r="H132" s="28">
        <v>451323724</v>
      </c>
      <c r="I132" s="28">
        <v>60754224</v>
      </c>
      <c r="J132" s="28">
        <v>0</v>
      </c>
      <c r="K132" s="29">
        <v>0</v>
      </c>
    </row>
    <row r="133" spans="1:11" ht="11" thickTop="1" x14ac:dyDescent="0.35">
      <c r="A133" s="41"/>
      <c r="B133" s="41"/>
      <c r="C133" s="46" t="s">
        <v>18</v>
      </c>
      <c r="D133" s="47">
        <v>47</v>
      </c>
      <c r="E133" s="47">
        <v>5</v>
      </c>
      <c r="F133" s="47"/>
      <c r="G133" s="47"/>
      <c r="H133" s="47">
        <v>451323724</v>
      </c>
      <c r="I133" s="47">
        <v>60754224</v>
      </c>
      <c r="J133" s="47"/>
      <c r="K133" s="48"/>
    </row>
    <row r="134" spans="1:11" x14ac:dyDescent="0.35">
      <c r="A134" s="49"/>
      <c r="B134" s="49"/>
      <c r="C134" s="50" t="s">
        <v>19</v>
      </c>
      <c r="D134" s="38"/>
      <c r="E134" s="38"/>
      <c r="F134" s="38"/>
      <c r="G134" s="38"/>
      <c r="H134" s="38"/>
      <c r="I134" s="38"/>
      <c r="J134" s="38"/>
      <c r="K134" s="38"/>
    </row>
    <row r="135" spans="1:11" x14ac:dyDescent="0.35">
      <c r="A135" s="18">
        <v>19</v>
      </c>
      <c r="B135" s="18" t="s">
        <v>42</v>
      </c>
      <c r="C135" s="23" t="s">
        <v>13</v>
      </c>
      <c r="D135" s="20"/>
      <c r="E135" s="20"/>
      <c r="F135" s="20"/>
      <c r="G135" s="20"/>
      <c r="H135" s="20"/>
      <c r="I135" s="20"/>
      <c r="J135" s="20"/>
      <c r="K135" s="21"/>
    </row>
    <row r="136" spans="1:11" x14ac:dyDescent="0.35">
      <c r="A136" s="22"/>
      <c r="B136" s="22"/>
      <c r="C136" s="23" t="s">
        <v>14</v>
      </c>
      <c r="D136" s="20"/>
      <c r="E136" s="20"/>
      <c r="F136" s="20"/>
      <c r="G136" s="20"/>
      <c r="H136" s="20"/>
      <c r="I136" s="20"/>
      <c r="J136" s="20"/>
      <c r="K136" s="21"/>
    </row>
    <row r="137" spans="1:11" x14ac:dyDescent="0.35">
      <c r="A137" s="22"/>
      <c r="B137" s="22"/>
      <c r="C137" s="23" t="s">
        <v>15</v>
      </c>
      <c r="D137" s="20"/>
      <c r="E137" s="20"/>
      <c r="F137" s="20"/>
      <c r="G137" s="20"/>
      <c r="H137" s="20"/>
      <c r="I137" s="20"/>
      <c r="J137" s="20"/>
      <c r="K137" s="21"/>
    </row>
    <row r="138" spans="1:11" ht="11" thickBot="1" x14ac:dyDescent="0.4">
      <c r="A138" s="22"/>
      <c r="B138" s="22"/>
      <c r="C138" s="24" t="s">
        <v>16</v>
      </c>
      <c r="D138" s="25"/>
      <c r="E138" s="25"/>
      <c r="F138" s="25"/>
      <c r="G138" s="25"/>
      <c r="H138" s="25"/>
      <c r="I138" s="25"/>
      <c r="J138" s="25"/>
      <c r="K138" s="26"/>
    </row>
    <row r="139" spans="1:11" s="30" customFormat="1" ht="11.5" thickTop="1" thickBot="1" x14ac:dyDescent="0.4">
      <c r="A139" s="22"/>
      <c r="B139" s="22"/>
      <c r="C139" s="27" t="s">
        <v>17</v>
      </c>
      <c r="D139" s="28">
        <f>SUM(D135:D138)</f>
        <v>0</v>
      </c>
      <c r="E139" s="28">
        <f>SUM(E135:E138)</f>
        <v>0</v>
      </c>
      <c r="F139" s="28">
        <f>SUM(F135:F138)</f>
        <v>0</v>
      </c>
      <c r="G139" s="28">
        <f>SUM(G135:G138)</f>
        <v>0</v>
      </c>
      <c r="H139" s="28">
        <f t="shared" ref="H139:K139" si="3">SUM(H135:H138)</f>
        <v>0</v>
      </c>
      <c r="I139" s="28">
        <f t="shared" si="3"/>
        <v>0</v>
      </c>
      <c r="J139" s="28">
        <f t="shared" si="3"/>
        <v>0</v>
      </c>
      <c r="K139" s="29">
        <f t="shared" si="3"/>
        <v>0</v>
      </c>
    </row>
    <row r="140" spans="1:11" ht="11" thickTop="1" x14ac:dyDescent="0.35">
      <c r="A140" s="22"/>
      <c r="B140" s="22"/>
      <c r="C140" s="31" t="s">
        <v>18</v>
      </c>
      <c r="D140" s="32"/>
      <c r="E140" s="32"/>
      <c r="F140" s="32"/>
      <c r="G140" s="32"/>
      <c r="H140" s="32"/>
      <c r="I140" s="32"/>
      <c r="J140" s="32"/>
      <c r="K140" s="33"/>
    </row>
    <row r="141" spans="1:11" x14ac:dyDescent="0.35">
      <c r="A141" s="34"/>
      <c r="B141" s="34"/>
      <c r="C141" s="35" t="s">
        <v>19</v>
      </c>
      <c r="D141" s="20"/>
      <c r="E141" s="20"/>
      <c r="F141" s="20"/>
      <c r="G141" s="20"/>
      <c r="H141" s="20"/>
      <c r="I141" s="20"/>
      <c r="J141" s="20"/>
      <c r="K141" s="21"/>
    </row>
    <row r="142" spans="1:11" x14ac:dyDescent="0.35">
      <c r="A142" s="36">
        <v>20</v>
      </c>
      <c r="B142" s="36" t="s">
        <v>43</v>
      </c>
      <c r="C142" s="37" t="s">
        <v>13</v>
      </c>
      <c r="D142" s="38">
        <v>1</v>
      </c>
      <c r="E142" s="38">
        <v>0</v>
      </c>
      <c r="F142" s="39">
        <v>0</v>
      </c>
      <c r="G142" s="38">
        <v>0</v>
      </c>
      <c r="H142" s="38">
        <v>57636084</v>
      </c>
      <c r="I142" s="38">
        <v>0</v>
      </c>
      <c r="J142" s="38">
        <v>0</v>
      </c>
      <c r="K142" s="40">
        <v>0</v>
      </c>
    </row>
    <row r="143" spans="1:11" x14ac:dyDescent="0.35">
      <c r="A143" s="41"/>
      <c r="B143" s="41"/>
      <c r="C143" s="37" t="s">
        <v>14</v>
      </c>
      <c r="D143" s="38">
        <v>4</v>
      </c>
      <c r="E143" s="39">
        <v>1</v>
      </c>
      <c r="F143" s="39">
        <v>3</v>
      </c>
      <c r="G143" s="38">
        <v>0</v>
      </c>
      <c r="H143" s="38">
        <v>83568243</v>
      </c>
      <c r="I143" s="38">
        <v>5154594</v>
      </c>
      <c r="J143" s="38">
        <v>54006559</v>
      </c>
      <c r="K143" s="40">
        <v>0</v>
      </c>
    </row>
    <row r="144" spans="1:11" x14ac:dyDescent="0.35">
      <c r="A144" s="41"/>
      <c r="B144" s="41"/>
      <c r="C144" s="37" t="s">
        <v>15</v>
      </c>
      <c r="D144" s="38">
        <v>93</v>
      </c>
      <c r="E144" s="39">
        <v>9</v>
      </c>
      <c r="F144" s="38">
        <v>5</v>
      </c>
      <c r="G144" s="38">
        <v>0</v>
      </c>
      <c r="H144" s="38">
        <v>560804312</v>
      </c>
      <c r="I144" s="38">
        <v>63590894</v>
      </c>
      <c r="J144" s="38">
        <v>32280812</v>
      </c>
      <c r="K144" s="40">
        <v>0</v>
      </c>
    </row>
    <row r="145" spans="1:11" ht="11" thickBot="1" x14ac:dyDescent="0.4">
      <c r="A145" s="41"/>
      <c r="B145" s="41"/>
      <c r="C145" s="42" t="s">
        <v>16</v>
      </c>
      <c r="D145" s="43">
        <v>619</v>
      </c>
      <c r="E145" s="44">
        <v>6</v>
      </c>
      <c r="F145" s="43">
        <v>4</v>
      </c>
      <c r="G145" s="43">
        <v>0</v>
      </c>
      <c r="H145" s="43">
        <v>1506260426</v>
      </c>
      <c r="I145" s="43">
        <v>16086278</v>
      </c>
      <c r="J145" s="43">
        <v>9877037</v>
      </c>
      <c r="K145" s="45">
        <v>0</v>
      </c>
    </row>
    <row r="146" spans="1:11" s="30" customFormat="1" ht="11.5" thickTop="1" thickBot="1" x14ac:dyDescent="0.4">
      <c r="A146" s="41"/>
      <c r="B146" s="41"/>
      <c r="C146" s="27" t="s">
        <v>17</v>
      </c>
      <c r="D146" s="28">
        <v>717</v>
      </c>
      <c r="E146" s="28">
        <v>16</v>
      </c>
      <c r="F146" s="28">
        <v>12</v>
      </c>
      <c r="G146" s="28">
        <v>0</v>
      </c>
      <c r="H146" s="28">
        <v>2208269065</v>
      </c>
      <c r="I146" s="28">
        <v>84831766</v>
      </c>
      <c r="J146" s="28">
        <v>96164408</v>
      </c>
      <c r="K146" s="29">
        <v>0</v>
      </c>
    </row>
    <row r="147" spans="1:11" ht="11" thickTop="1" x14ac:dyDescent="0.35">
      <c r="A147" s="41"/>
      <c r="B147" s="41"/>
      <c r="C147" s="46" t="s">
        <v>18</v>
      </c>
      <c r="D147" s="47">
        <v>581</v>
      </c>
      <c r="E147" s="47">
        <v>16</v>
      </c>
      <c r="F147" s="47">
        <v>0</v>
      </c>
      <c r="G147" s="47">
        <v>0</v>
      </c>
      <c r="H147" s="47">
        <v>2029556223</v>
      </c>
      <c r="I147" s="47">
        <v>84831766</v>
      </c>
      <c r="J147" s="47">
        <v>96164408</v>
      </c>
      <c r="K147" s="48">
        <v>0</v>
      </c>
    </row>
    <row r="148" spans="1:11" x14ac:dyDescent="0.35">
      <c r="A148" s="49"/>
      <c r="B148" s="49"/>
      <c r="C148" s="50" t="s">
        <v>19</v>
      </c>
      <c r="D148" s="38">
        <v>136</v>
      </c>
      <c r="E148" s="38">
        <v>0</v>
      </c>
      <c r="F148" s="38">
        <v>0</v>
      </c>
      <c r="G148" s="38">
        <v>0</v>
      </c>
      <c r="H148" s="38">
        <v>178712842</v>
      </c>
      <c r="I148" s="38">
        <v>0</v>
      </c>
      <c r="J148" s="38">
        <v>0</v>
      </c>
      <c r="K148" s="38">
        <v>0</v>
      </c>
    </row>
    <row r="149" spans="1:11" x14ac:dyDescent="0.35">
      <c r="A149" s="18">
        <v>21</v>
      </c>
      <c r="B149" s="18" t="s">
        <v>44</v>
      </c>
      <c r="C149" s="23" t="s">
        <v>13</v>
      </c>
      <c r="D149" s="20">
        <v>2</v>
      </c>
      <c r="E149" s="20">
        <v>0</v>
      </c>
      <c r="F149" s="20">
        <v>10</v>
      </c>
      <c r="G149" s="20">
        <v>1</v>
      </c>
      <c r="H149" s="20">
        <v>49956866</v>
      </c>
      <c r="I149" s="20">
        <v>0</v>
      </c>
      <c r="J149" s="20">
        <v>265771568</v>
      </c>
      <c r="K149" s="21">
        <v>33905923</v>
      </c>
    </row>
    <row r="150" spans="1:11" x14ac:dyDescent="0.35">
      <c r="A150" s="22"/>
      <c r="B150" s="22"/>
      <c r="C150" s="23" t="s">
        <v>14</v>
      </c>
      <c r="D150" s="20">
        <v>13</v>
      </c>
      <c r="E150" s="20">
        <v>3</v>
      </c>
      <c r="F150" s="20">
        <v>5</v>
      </c>
      <c r="G150" s="20">
        <v>0</v>
      </c>
      <c r="H150" s="20">
        <v>185154613</v>
      </c>
      <c r="I150" s="20">
        <v>31736364</v>
      </c>
      <c r="J150" s="20">
        <v>70480441</v>
      </c>
      <c r="K150" s="21">
        <v>0</v>
      </c>
    </row>
    <row r="151" spans="1:11" x14ac:dyDescent="0.35">
      <c r="A151" s="22"/>
      <c r="B151" s="22"/>
      <c r="C151" s="23" t="s">
        <v>15</v>
      </c>
      <c r="D151" s="20">
        <v>230</v>
      </c>
      <c r="E151" s="20">
        <v>37</v>
      </c>
      <c r="F151" s="20">
        <v>3</v>
      </c>
      <c r="G151" s="20">
        <v>0</v>
      </c>
      <c r="H151" s="20">
        <v>728013604</v>
      </c>
      <c r="I151" s="20">
        <v>132561918</v>
      </c>
      <c r="J151" s="20">
        <v>12381886</v>
      </c>
      <c r="K151" s="21">
        <v>0</v>
      </c>
    </row>
    <row r="152" spans="1:11" ht="11" thickBot="1" x14ac:dyDescent="0.4">
      <c r="A152" s="22"/>
      <c r="B152" s="22"/>
      <c r="C152" s="24" t="s">
        <v>16</v>
      </c>
      <c r="D152" s="25">
        <v>178</v>
      </c>
      <c r="E152" s="25">
        <v>10</v>
      </c>
      <c r="F152" s="25">
        <v>0</v>
      </c>
      <c r="G152" s="25">
        <v>0</v>
      </c>
      <c r="H152" s="25">
        <v>357249127</v>
      </c>
      <c r="I152" s="25">
        <v>13484052</v>
      </c>
      <c r="J152" s="25">
        <v>0</v>
      </c>
      <c r="K152" s="26">
        <v>0</v>
      </c>
    </row>
    <row r="153" spans="1:11" s="30" customFormat="1" ht="11.5" thickTop="1" thickBot="1" x14ac:dyDescent="0.4">
      <c r="A153" s="22"/>
      <c r="B153" s="22"/>
      <c r="C153" s="27" t="s">
        <v>17</v>
      </c>
      <c r="D153" s="28">
        <v>423</v>
      </c>
      <c r="E153" s="28">
        <v>50</v>
      </c>
      <c r="F153" s="28">
        <v>18</v>
      </c>
      <c r="G153" s="28">
        <v>1</v>
      </c>
      <c r="H153" s="28">
        <v>1320374210</v>
      </c>
      <c r="I153" s="28">
        <v>177782334</v>
      </c>
      <c r="J153" s="28">
        <v>348633895</v>
      </c>
      <c r="K153" s="29">
        <v>33905923</v>
      </c>
    </row>
    <row r="154" spans="1:11" ht="11" thickTop="1" x14ac:dyDescent="0.35">
      <c r="A154" s="22"/>
      <c r="B154" s="22"/>
      <c r="C154" s="31" t="s">
        <v>18</v>
      </c>
      <c r="D154" s="32">
        <v>423</v>
      </c>
      <c r="E154" s="32">
        <v>50</v>
      </c>
      <c r="F154" s="32">
        <v>18</v>
      </c>
      <c r="G154" s="32">
        <v>1</v>
      </c>
      <c r="H154" s="32">
        <v>1320374210</v>
      </c>
      <c r="I154" s="32">
        <v>177782334</v>
      </c>
      <c r="J154" s="32">
        <v>348633895</v>
      </c>
      <c r="K154" s="33">
        <v>33905923</v>
      </c>
    </row>
    <row r="155" spans="1:11" x14ac:dyDescent="0.35">
      <c r="A155" s="34"/>
      <c r="B155" s="34"/>
      <c r="C155" s="35" t="s">
        <v>19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1">
        <v>0</v>
      </c>
    </row>
    <row r="156" spans="1:11" x14ac:dyDescent="0.35">
      <c r="A156" s="36">
        <v>22</v>
      </c>
      <c r="B156" s="36" t="s">
        <v>45</v>
      </c>
      <c r="C156" s="37" t="s">
        <v>13</v>
      </c>
      <c r="D156" s="38"/>
      <c r="E156" s="38"/>
      <c r="F156" s="39"/>
      <c r="G156" s="38"/>
      <c r="H156" s="38"/>
      <c r="I156" s="38"/>
      <c r="J156" s="38"/>
      <c r="K156" s="40"/>
    </row>
    <row r="157" spans="1:11" x14ac:dyDescent="0.35">
      <c r="A157" s="41"/>
      <c r="B157" s="41"/>
      <c r="C157" s="37" t="s">
        <v>14</v>
      </c>
      <c r="D157" s="38"/>
      <c r="E157" s="39"/>
      <c r="F157" s="39"/>
      <c r="G157" s="38"/>
      <c r="H157" s="38"/>
      <c r="I157" s="38"/>
      <c r="J157" s="38"/>
      <c r="K157" s="40"/>
    </row>
    <row r="158" spans="1:11" x14ac:dyDescent="0.35">
      <c r="A158" s="41"/>
      <c r="B158" s="41"/>
      <c r="C158" s="37" t="s">
        <v>15</v>
      </c>
      <c r="D158" s="38"/>
      <c r="E158" s="39"/>
      <c r="F158" s="38"/>
      <c r="G158" s="38"/>
      <c r="H158" s="38"/>
      <c r="I158" s="38"/>
      <c r="J158" s="38"/>
      <c r="K158" s="40"/>
    </row>
    <row r="159" spans="1:11" ht="11" thickBot="1" x14ac:dyDescent="0.4">
      <c r="A159" s="41"/>
      <c r="B159" s="41"/>
      <c r="C159" s="42" t="s">
        <v>16</v>
      </c>
      <c r="D159" s="43"/>
      <c r="E159" s="44"/>
      <c r="F159" s="43"/>
      <c r="G159" s="43"/>
      <c r="H159" s="43"/>
      <c r="I159" s="43"/>
      <c r="J159" s="43"/>
      <c r="K159" s="45"/>
    </row>
    <row r="160" spans="1:11" s="30" customFormat="1" ht="11.5" thickTop="1" thickBot="1" x14ac:dyDescent="0.4">
      <c r="A160" s="41"/>
      <c r="B160" s="41"/>
      <c r="C160" s="27" t="s">
        <v>17</v>
      </c>
      <c r="D160" s="28">
        <f>SUM(D156:D159)</f>
        <v>0</v>
      </c>
      <c r="E160" s="28">
        <f>SUM(E156:E159)</f>
        <v>0</v>
      </c>
      <c r="F160" s="28">
        <f>SUM(F156:F159)</f>
        <v>0</v>
      </c>
      <c r="G160" s="28">
        <f>SUM(G156:G159)</f>
        <v>0</v>
      </c>
      <c r="H160" s="28">
        <f t="shared" ref="H160:K160" si="4">SUM(H156:H159)</f>
        <v>0</v>
      </c>
      <c r="I160" s="28">
        <f t="shared" si="4"/>
        <v>0</v>
      </c>
      <c r="J160" s="28">
        <f t="shared" si="4"/>
        <v>0</v>
      </c>
      <c r="K160" s="29">
        <f t="shared" si="4"/>
        <v>0</v>
      </c>
    </row>
    <row r="161" spans="1:11" ht="11" thickTop="1" x14ac:dyDescent="0.35">
      <c r="A161" s="41"/>
      <c r="B161" s="41"/>
      <c r="C161" s="46" t="s">
        <v>18</v>
      </c>
      <c r="D161" s="47"/>
      <c r="E161" s="47"/>
      <c r="F161" s="47"/>
      <c r="G161" s="47"/>
      <c r="H161" s="47"/>
      <c r="I161" s="47"/>
      <c r="J161" s="47"/>
      <c r="K161" s="48"/>
    </row>
    <row r="162" spans="1:11" x14ac:dyDescent="0.35">
      <c r="A162" s="49"/>
      <c r="B162" s="49"/>
      <c r="C162" s="50" t="s">
        <v>19</v>
      </c>
      <c r="D162" s="38"/>
      <c r="E162" s="38"/>
      <c r="F162" s="38"/>
      <c r="G162" s="38"/>
      <c r="H162" s="38"/>
      <c r="I162" s="38"/>
      <c r="J162" s="38"/>
      <c r="K162" s="38"/>
    </row>
    <row r="163" spans="1:11" s="6" customFormat="1" x14ac:dyDescent="0.25"/>
    <row r="164" spans="1:11" s="5" customFormat="1" ht="18.5" x14ac:dyDescent="0.35">
      <c r="A164" s="5" t="s">
        <v>46</v>
      </c>
    </row>
    <row r="165" spans="1:11" s="6" customFormat="1" x14ac:dyDescent="0.25"/>
    <row r="166" spans="1:11" s="6" customFormat="1" x14ac:dyDescent="0.25">
      <c r="D166" s="9" t="s">
        <v>3</v>
      </c>
      <c r="E166" s="9"/>
      <c r="F166" s="9" t="s">
        <v>4</v>
      </c>
      <c r="G166" s="9"/>
    </row>
    <row r="167" spans="1:11" s="30" customFormat="1" ht="21.5" thickBot="1" x14ac:dyDescent="0.4">
      <c r="A167" s="51" t="s">
        <v>7</v>
      </c>
      <c r="B167" s="51" t="s">
        <v>8</v>
      </c>
      <c r="C167" s="51" t="s">
        <v>9</v>
      </c>
      <c r="D167" s="52" t="s">
        <v>10</v>
      </c>
      <c r="E167" s="52" t="s">
        <v>11</v>
      </c>
      <c r="F167" s="52" t="s">
        <v>10</v>
      </c>
      <c r="G167" s="52" t="s">
        <v>11</v>
      </c>
      <c r="H167" s="53" t="s">
        <v>47</v>
      </c>
      <c r="I167" s="53" t="s">
        <v>48</v>
      </c>
      <c r="J167" s="53" t="s">
        <v>49</v>
      </c>
    </row>
    <row r="168" spans="1:11" x14ac:dyDescent="0.35">
      <c r="A168" s="54">
        <v>1</v>
      </c>
      <c r="B168" s="55" t="s">
        <v>12</v>
      </c>
      <c r="C168" s="19" t="s">
        <v>13</v>
      </c>
      <c r="D168" s="56">
        <v>0</v>
      </c>
      <c r="E168" s="56">
        <v>0</v>
      </c>
      <c r="F168" s="56">
        <v>0</v>
      </c>
      <c r="G168" s="56">
        <v>0</v>
      </c>
      <c r="H168" s="56">
        <v>0</v>
      </c>
      <c r="I168" s="56">
        <v>0</v>
      </c>
      <c r="J168" s="56">
        <v>0</v>
      </c>
    </row>
    <row r="169" spans="1:11" x14ac:dyDescent="0.35">
      <c r="A169" s="54">
        <v>1</v>
      </c>
      <c r="B169" s="55" t="s">
        <v>12</v>
      </c>
      <c r="C169" s="23" t="s">
        <v>14</v>
      </c>
      <c r="D169" s="56">
        <v>0</v>
      </c>
      <c r="E169" s="56">
        <v>0</v>
      </c>
      <c r="F169" s="56">
        <v>0</v>
      </c>
      <c r="G169" s="56">
        <v>0</v>
      </c>
      <c r="H169" s="56">
        <v>0</v>
      </c>
      <c r="I169" s="56">
        <v>0</v>
      </c>
      <c r="J169" s="56">
        <v>0</v>
      </c>
    </row>
    <row r="170" spans="1:11" x14ac:dyDescent="0.35">
      <c r="A170" s="54">
        <v>1</v>
      </c>
      <c r="B170" s="55" t="s">
        <v>12</v>
      </c>
      <c r="C170" s="23" t="s">
        <v>15</v>
      </c>
      <c r="D170" s="56">
        <v>0</v>
      </c>
      <c r="E170" s="56">
        <v>0</v>
      </c>
      <c r="F170" s="56">
        <v>0</v>
      </c>
      <c r="G170" s="56">
        <v>0</v>
      </c>
      <c r="H170" s="56">
        <v>0</v>
      </c>
      <c r="I170" s="56">
        <v>0</v>
      </c>
      <c r="J170" s="56">
        <v>0</v>
      </c>
    </row>
    <row r="171" spans="1:11" ht="11" thickBot="1" x14ac:dyDescent="0.4">
      <c r="A171" s="57">
        <v>1</v>
      </c>
      <c r="B171" s="58" t="s">
        <v>12</v>
      </c>
      <c r="C171" s="24" t="s">
        <v>16</v>
      </c>
      <c r="D171" s="56">
        <v>0</v>
      </c>
      <c r="E171" s="56">
        <v>0</v>
      </c>
      <c r="F171" s="56">
        <v>0</v>
      </c>
      <c r="G171" s="56">
        <v>0</v>
      </c>
      <c r="H171" s="56">
        <v>0</v>
      </c>
      <c r="I171" s="56">
        <v>0</v>
      </c>
      <c r="J171" s="56">
        <v>0</v>
      </c>
    </row>
    <row r="172" spans="1:11" s="30" customFormat="1" ht="11.5" thickTop="1" thickBot="1" x14ac:dyDescent="0.4">
      <c r="A172" s="59">
        <v>1</v>
      </c>
      <c r="B172" s="60" t="s">
        <v>12</v>
      </c>
      <c r="C172" s="27" t="s">
        <v>17</v>
      </c>
      <c r="D172" s="61">
        <v>0</v>
      </c>
      <c r="E172" s="61">
        <v>0</v>
      </c>
      <c r="F172" s="61">
        <v>0</v>
      </c>
      <c r="G172" s="61">
        <v>0</v>
      </c>
      <c r="H172" s="61">
        <v>0</v>
      </c>
      <c r="I172" s="61">
        <v>0</v>
      </c>
      <c r="J172" s="61">
        <v>0</v>
      </c>
      <c r="K172" s="2"/>
    </row>
    <row r="173" spans="1:11" ht="11" thickTop="1" x14ac:dyDescent="0.35">
      <c r="A173" s="62">
        <v>1</v>
      </c>
      <c r="B173" s="63" t="s">
        <v>12</v>
      </c>
      <c r="C173" s="31" t="s">
        <v>18</v>
      </c>
      <c r="D173" s="56">
        <v>0</v>
      </c>
      <c r="E173" s="56">
        <v>0</v>
      </c>
      <c r="F173" s="56">
        <v>0</v>
      </c>
      <c r="G173" s="56">
        <v>0</v>
      </c>
      <c r="H173" s="56">
        <v>0</v>
      </c>
      <c r="I173" s="56">
        <v>0</v>
      </c>
      <c r="J173" s="56">
        <v>0</v>
      </c>
    </row>
    <row r="174" spans="1:11" x14ac:dyDescent="0.35">
      <c r="A174" s="54">
        <v>1</v>
      </c>
      <c r="B174" s="55" t="s">
        <v>12</v>
      </c>
      <c r="C174" s="35" t="s">
        <v>19</v>
      </c>
      <c r="D174" s="56">
        <v>0</v>
      </c>
      <c r="E174" s="56">
        <v>0</v>
      </c>
      <c r="F174" s="56">
        <v>0</v>
      </c>
      <c r="G174" s="56">
        <v>0</v>
      </c>
      <c r="H174" s="56">
        <v>0</v>
      </c>
      <c r="I174" s="56">
        <v>0</v>
      </c>
      <c r="J174" s="56">
        <v>0</v>
      </c>
    </row>
    <row r="175" spans="1:11" x14ac:dyDescent="0.35">
      <c r="A175" s="64">
        <v>2</v>
      </c>
      <c r="B175" s="65" t="s">
        <v>20</v>
      </c>
      <c r="C175" s="37" t="s">
        <v>13</v>
      </c>
      <c r="D175" s="66"/>
      <c r="E175" s="66"/>
      <c r="F175" s="66"/>
      <c r="G175" s="66"/>
      <c r="H175" s="66"/>
      <c r="I175" s="66"/>
      <c r="J175" s="66"/>
    </row>
    <row r="176" spans="1:11" x14ac:dyDescent="0.35">
      <c r="A176" s="64">
        <v>2</v>
      </c>
      <c r="B176" s="65" t="s">
        <v>20</v>
      </c>
      <c r="C176" s="37" t="s">
        <v>14</v>
      </c>
      <c r="D176" s="66"/>
      <c r="E176" s="66"/>
      <c r="F176" s="66"/>
      <c r="G176" s="66"/>
      <c r="H176" s="66"/>
      <c r="I176" s="66"/>
      <c r="J176" s="66"/>
    </row>
    <row r="177" spans="1:11" x14ac:dyDescent="0.35">
      <c r="A177" s="64">
        <v>2</v>
      </c>
      <c r="B177" s="65" t="s">
        <v>20</v>
      </c>
      <c r="C177" s="37" t="s">
        <v>15</v>
      </c>
      <c r="D177" s="66">
        <v>370</v>
      </c>
      <c r="E177" s="66">
        <v>14</v>
      </c>
      <c r="F177" s="66"/>
      <c r="G177" s="66"/>
      <c r="H177" s="66">
        <v>384</v>
      </c>
      <c r="I177" s="66">
        <v>2390065104</v>
      </c>
      <c r="J177" s="66"/>
    </row>
    <row r="178" spans="1:11" ht="11" thickBot="1" x14ac:dyDescent="0.4">
      <c r="A178" s="67">
        <v>2</v>
      </c>
      <c r="B178" s="68" t="s">
        <v>20</v>
      </c>
      <c r="C178" s="42" t="s">
        <v>16</v>
      </c>
      <c r="D178" s="69"/>
      <c r="E178" s="69"/>
      <c r="F178" s="69"/>
      <c r="G178" s="69"/>
      <c r="H178" s="69"/>
      <c r="I178" s="69"/>
      <c r="J178" s="69"/>
    </row>
    <row r="179" spans="1:11" s="30" customFormat="1" ht="11.5" thickTop="1" thickBot="1" x14ac:dyDescent="0.4">
      <c r="A179" s="59">
        <v>2</v>
      </c>
      <c r="B179" s="70" t="s">
        <v>20</v>
      </c>
      <c r="C179" s="27" t="s">
        <v>17</v>
      </c>
      <c r="D179" s="71">
        <v>370</v>
      </c>
      <c r="E179" s="71">
        <v>14</v>
      </c>
      <c r="F179" s="71">
        <v>0</v>
      </c>
      <c r="G179" s="71">
        <v>0</v>
      </c>
      <c r="H179" s="71">
        <v>384</v>
      </c>
      <c r="I179" s="71">
        <v>2390065104</v>
      </c>
      <c r="J179" s="71">
        <v>0</v>
      </c>
      <c r="K179" s="2"/>
    </row>
    <row r="180" spans="1:11" ht="11" thickTop="1" x14ac:dyDescent="0.35">
      <c r="A180" s="72">
        <v>2</v>
      </c>
      <c r="B180" s="73" t="s">
        <v>20</v>
      </c>
      <c r="C180" s="46" t="s">
        <v>18</v>
      </c>
      <c r="D180" s="74"/>
      <c r="E180" s="74"/>
      <c r="F180" s="74"/>
      <c r="G180" s="74"/>
      <c r="H180" s="74"/>
      <c r="I180" s="74"/>
      <c r="J180" s="74"/>
    </row>
    <row r="181" spans="1:11" x14ac:dyDescent="0.35">
      <c r="A181" s="64">
        <v>2</v>
      </c>
      <c r="B181" s="65" t="s">
        <v>20</v>
      </c>
      <c r="C181" s="50" t="s">
        <v>19</v>
      </c>
      <c r="D181" s="66">
        <v>370</v>
      </c>
      <c r="E181" s="66">
        <v>14</v>
      </c>
      <c r="F181" s="66"/>
      <c r="G181" s="66"/>
      <c r="H181" s="66">
        <v>384</v>
      </c>
      <c r="I181" s="66">
        <v>2390065104</v>
      </c>
      <c r="J181" s="66"/>
    </row>
    <row r="182" spans="1:11" x14ac:dyDescent="0.35">
      <c r="A182" s="64">
        <v>2</v>
      </c>
      <c r="B182" s="65" t="s">
        <v>20</v>
      </c>
      <c r="C182" s="50" t="s">
        <v>50</v>
      </c>
      <c r="D182" s="66">
        <v>692</v>
      </c>
      <c r="E182" s="66">
        <v>44</v>
      </c>
      <c r="F182" s="66"/>
      <c r="G182" s="66"/>
      <c r="H182" s="66">
        <v>761</v>
      </c>
      <c r="I182" s="66">
        <v>9621327667</v>
      </c>
      <c r="J182" s="66">
        <v>595003676</v>
      </c>
    </row>
    <row r="183" spans="1:11" x14ac:dyDescent="0.35">
      <c r="A183" s="54">
        <v>3</v>
      </c>
      <c r="B183" s="75" t="s">
        <v>21</v>
      </c>
      <c r="C183" s="23" t="s">
        <v>13</v>
      </c>
      <c r="D183" s="56"/>
      <c r="E183" s="56"/>
      <c r="F183" s="56">
        <v>11</v>
      </c>
      <c r="G183" s="56">
        <v>1</v>
      </c>
      <c r="H183" s="56">
        <v>12</v>
      </c>
      <c r="I183" s="56">
        <v>0</v>
      </c>
      <c r="J183" s="56">
        <v>0</v>
      </c>
    </row>
    <row r="184" spans="1:11" x14ac:dyDescent="0.35">
      <c r="A184" s="54">
        <v>3</v>
      </c>
      <c r="B184" s="75" t="s">
        <v>21</v>
      </c>
      <c r="C184" s="23" t="s">
        <v>14</v>
      </c>
      <c r="D184" s="56">
        <v>36</v>
      </c>
      <c r="E184" s="56">
        <v>4</v>
      </c>
      <c r="F184" s="56">
        <v>50</v>
      </c>
      <c r="G184" s="56"/>
      <c r="H184" s="56">
        <v>90</v>
      </c>
      <c r="I184" s="56">
        <v>0</v>
      </c>
      <c r="J184" s="56">
        <v>0</v>
      </c>
    </row>
    <row r="185" spans="1:11" x14ac:dyDescent="0.35">
      <c r="A185" s="54">
        <v>3</v>
      </c>
      <c r="B185" s="75" t="s">
        <v>21</v>
      </c>
      <c r="C185" s="23" t="s">
        <v>15</v>
      </c>
      <c r="D185" s="56">
        <v>61</v>
      </c>
      <c r="E185" s="56">
        <v>15</v>
      </c>
      <c r="F185" s="56">
        <v>0</v>
      </c>
      <c r="G185" s="56">
        <v>0</v>
      </c>
      <c r="H185" s="56">
        <v>76</v>
      </c>
      <c r="I185" s="56">
        <v>0</v>
      </c>
      <c r="J185" s="56">
        <v>0</v>
      </c>
    </row>
    <row r="186" spans="1:11" ht="11" thickBot="1" x14ac:dyDescent="0.4">
      <c r="A186" s="57">
        <v>3</v>
      </c>
      <c r="B186" s="76" t="s">
        <v>21</v>
      </c>
      <c r="C186" s="24" t="s">
        <v>16</v>
      </c>
      <c r="D186" s="77">
        <v>453</v>
      </c>
      <c r="E186" s="77">
        <v>52</v>
      </c>
      <c r="F186" s="77">
        <v>0</v>
      </c>
      <c r="G186" s="77">
        <v>0</v>
      </c>
      <c r="H186" s="77">
        <v>505</v>
      </c>
      <c r="I186" s="77">
        <v>10434164502</v>
      </c>
      <c r="J186" s="77">
        <v>766619841</v>
      </c>
    </row>
    <row r="187" spans="1:11" s="30" customFormat="1" ht="11.5" thickTop="1" thickBot="1" x14ac:dyDescent="0.4">
      <c r="A187" s="59">
        <v>3</v>
      </c>
      <c r="B187" s="70" t="s">
        <v>21</v>
      </c>
      <c r="C187" s="27" t="s">
        <v>17</v>
      </c>
      <c r="D187" s="71">
        <v>550</v>
      </c>
      <c r="E187" s="71">
        <v>71</v>
      </c>
      <c r="F187" s="71">
        <v>61</v>
      </c>
      <c r="G187" s="71">
        <v>1</v>
      </c>
      <c r="H187" s="71">
        <v>683</v>
      </c>
      <c r="I187" s="71">
        <v>10434164502</v>
      </c>
      <c r="J187" s="71">
        <v>766619841</v>
      </c>
      <c r="K187" s="2"/>
    </row>
    <row r="188" spans="1:11" ht="11" thickTop="1" x14ac:dyDescent="0.35">
      <c r="A188" s="62">
        <v>3</v>
      </c>
      <c r="B188" s="78" t="s">
        <v>21</v>
      </c>
      <c r="C188" s="31" t="s">
        <v>18</v>
      </c>
      <c r="D188" s="79">
        <v>550</v>
      </c>
      <c r="E188" s="79">
        <v>71</v>
      </c>
      <c r="F188" s="79">
        <v>0</v>
      </c>
      <c r="G188" s="79">
        <v>0</v>
      </c>
      <c r="H188" s="79">
        <v>0</v>
      </c>
      <c r="I188" s="79">
        <v>0</v>
      </c>
      <c r="J188" s="79">
        <v>0</v>
      </c>
    </row>
    <row r="189" spans="1:11" x14ac:dyDescent="0.35">
      <c r="A189" s="54">
        <v>3</v>
      </c>
      <c r="B189" s="75" t="s">
        <v>21</v>
      </c>
      <c r="C189" s="35" t="s">
        <v>19</v>
      </c>
      <c r="D189" s="56">
        <v>0</v>
      </c>
      <c r="E189" s="56">
        <v>0</v>
      </c>
      <c r="F189" s="56">
        <v>0</v>
      </c>
      <c r="G189" s="56">
        <v>0</v>
      </c>
      <c r="H189" s="56">
        <v>0</v>
      </c>
      <c r="I189" s="56">
        <v>0</v>
      </c>
      <c r="J189" s="56">
        <v>0</v>
      </c>
    </row>
    <row r="190" spans="1:11" x14ac:dyDescent="0.35">
      <c r="A190" s="54">
        <v>3</v>
      </c>
      <c r="B190" s="75" t="s">
        <v>21</v>
      </c>
      <c r="C190" s="35" t="s">
        <v>50</v>
      </c>
      <c r="D190" s="56">
        <v>0</v>
      </c>
      <c r="E190" s="56">
        <v>0</v>
      </c>
      <c r="F190" s="56">
        <v>0</v>
      </c>
      <c r="G190" s="56">
        <v>0</v>
      </c>
      <c r="H190" s="56">
        <v>0</v>
      </c>
      <c r="I190" s="56">
        <v>32080670452</v>
      </c>
      <c r="J190" s="56">
        <v>0</v>
      </c>
    </row>
    <row r="191" spans="1:11" x14ac:dyDescent="0.35">
      <c r="A191" s="64">
        <v>4</v>
      </c>
      <c r="B191" s="65" t="s">
        <v>26</v>
      </c>
      <c r="C191" s="37" t="s">
        <v>13</v>
      </c>
      <c r="D191" s="66"/>
      <c r="E191" s="66"/>
      <c r="F191" s="66"/>
      <c r="G191" s="66"/>
      <c r="H191" s="66"/>
      <c r="I191" s="66"/>
      <c r="J191" s="66">
        <v>0</v>
      </c>
    </row>
    <row r="192" spans="1:11" x14ac:dyDescent="0.35">
      <c r="A192" s="64">
        <v>4</v>
      </c>
      <c r="B192" s="65" t="s">
        <v>26</v>
      </c>
      <c r="C192" s="37" t="s">
        <v>14</v>
      </c>
      <c r="D192" s="66"/>
      <c r="E192" s="66"/>
      <c r="F192" s="66"/>
      <c r="G192" s="66"/>
      <c r="H192" s="66"/>
      <c r="I192" s="66"/>
      <c r="J192" s="66">
        <v>0</v>
      </c>
    </row>
    <row r="193" spans="1:11" x14ac:dyDescent="0.35">
      <c r="A193" s="64">
        <v>4</v>
      </c>
      <c r="B193" s="65" t="s">
        <v>26</v>
      </c>
      <c r="C193" s="37" t="s">
        <v>15</v>
      </c>
      <c r="D193" s="66">
        <v>0</v>
      </c>
      <c r="E193" s="66">
        <v>0</v>
      </c>
      <c r="F193" s="66">
        <v>0</v>
      </c>
      <c r="G193" s="66">
        <v>0</v>
      </c>
      <c r="H193" s="66">
        <v>0</v>
      </c>
      <c r="I193" s="66">
        <v>0</v>
      </c>
      <c r="J193" s="66">
        <v>0</v>
      </c>
    </row>
    <row r="194" spans="1:11" ht="11" thickBot="1" x14ac:dyDescent="0.4">
      <c r="A194" s="67">
        <v>4</v>
      </c>
      <c r="B194" s="68" t="s">
        <v>26</v>
      </c>
      <c r="C194" s="42" t="s">
        <v>16</v>
      </c>
      <c r="D194" s="66">
        <v>0</v>
      </c>
      <c r="E194" s="66">
        <v>0</v>
      </c>
      <c r="F194" s="66">
        <v>0</v>
      </c>
      <c r="G194" s="66">
        <v>0</v>
      </c>
      <c r="H194" s="66">
        <v>0</v>
      </c>
      <c r="I194" s="66">
        <v>0</v>
      </c>
      <c r="J194" s="66">
        <v>0</v>
      </c>
    </row>
    <row r="195" spans="1:11" s="30" customFormat="1" ht="11.5" thickTop="1" thickBot="1" x14ac:dyDescent="0.4">
      <c r="A195" s="59">
        <v>4</v>
      </c>
      <c r="B195" s="70" t="s">
        <v>26</v>
      </c>
      <c r="C195" s="27" t="s">
        <v>17</v>
      </c>
      <c r="D195" s="71">
        <v>0</v>
      </c>
      <c r="E195" s="71">
        <v>0</v>
      </c>
      <c r="F195" s="71">
        <v>0</v>
      </c>
      <c r="G195" s="71">
        <v>0</v>
      </c>
      <c r="H195" s="71">
        <v>0</v>
      </c>
      <c r="I195" s="71">
        <v>0</v>
      </c>
      <c r="J195" s="71">
        <v>0</v>
      </c>
      <c r="K195" s="2"/>
    </row>
    <row r="196" spans="1:11" ht="11" thickTop="1" x14ac:dyDescent="0.35">
      <c r="A196" s="72">
        <v>4</v>
      </c>
      <c r="B196" s="73" t="s">
        <v>26</v>
      </c>
      <c r="C196" s="46" t="s">
        <v>18</v>
      </c>
      <c r="D196" s="66">
        <v>0</v>
      </c>
      <c r="E196" s="66">
        <v>0</v>
      </c>
      <c r="F196" s="66">
        <v>0</v>
      </c>
      <c r="G196" s="66">
        <v>0</v>
      </c>
      <c r="H196" s="66">
        <v>0</v>
      </c>
      <c r="I196" s="66">
        <v>0</v>
      </c>
      <c r="J196" s="66">
        <v>0</v>
      </c>
    </row>
    <row r="197" spans="1:11" x14ac:dyDescent="0.35">
      <c r="A197" s="64">
        <v>4</v>
      </c>
      <c r="B197" s="65" t="s">
        <v>26</v>
      </c>
      <c r="C197" s="50" t="s">
        <v>19</v>
      </c>
      <c r="D197" s="66">
        <v>0</v>
      </c>
      <c r="E197" s="66">
        <v>0</v>
      </c>
      <c r="F197" s="66">
        <v>0</v>
      </c>
      <c r="G197" s="66">
        <v>0</v>
      </c>
      <c r="H197" s="66">
        <v>0</v>
      </c>
      <c r="I197" s="66">
        <v>0</v>
      </c>
      <c r="J197" s="66">
        <v>0</v>
      </c>
    </row>
    <row r="198" spans="1:11" x14ac:dyDescent="0.35">
      <c r="A198" s="57">
        <v>5</v>
      </c>
      <c r="B198" s="76" t="s">
        <v>27</v>
      </c>
      <c r="C198" s="23" t="s">
        <v>13</v>
      </c>
      <c r="D198" s="56">
        <v>0</v>
      </c>
      <c r="E198" s="56">
        <v>0</v>
      </c>
      <c r="F198" s="56">
        <v>0</v>
      </c>
      <c r="G198" s="56">
        <v>0</v>
      </c>
      <c r="H198" s="56">
        <v>0</v>
      </c>
      <c r="I198" s="56">
        <v>0</v>
      </c>
      <c r="J198" s="56">
        <v>0</v>
      </c>
    </row>
    <row r="199" spans="1:11" x14ac:dyDescent="0.35">
      <c r="A199" s="57">
        <v>5</v>
      </c>
      <c r="B199" s="76" t="s">
        <v>27</v>
      </c>
      <c r="C199" s="23" t="s">
        <v>14</v>
      </c>
      <c r="D199" s="56">
        <v>2</v>
      </c>
      <c r="E199" s="56">
        <v>2</v>
      </c>
      <c r="F199" s="56">
        <v>0</v>
      </c>
      <c r="G199" s="56">
        <v>0</v>
      </c>
      <c r="H199" s="56">
        <v>4</v>
      </c>
      <c r="I199" s="56">
        <v>27238519</v>
      </c>
      <c r="J199" s="56">
        <v>0</v>
      </c>
    </row>
    <row r="200" spans="1:11" x14ac:dyDescent="0.35">
      <c r="A200" s="57">
        <v>5</v>
      </c>
      <c r="B200" s="76" t="s">
        <v>27</v>
      </c>
      <c r="C200" s="23" t="s">
        <v>15</v>
      </c>
      <c r="D200" s="56">
        <v>21</v>
      </c>
      <c r="E200" s="56">
        <v>11</v>
      </c>
      <c r="F200" s="56">
        <v>0</v>
      </c>
      <c r="G200" s="56">
        <v>0</v>
      </c>
      <c r="H200" s="56">
        <v>32</v>
      </c>
      <c r="I200" s="56">
        <v>198152549</v>
      </c>
      <c r="J200" s="56">
        <v>0</v>
      </c>
    </row>
    <row r="201" spans="1:11" ht="11" thickBot="1" x14ac:dyDescent="0.4">
      <c r="A201" s="57">
        <v>5</v>
      </c>
      <c r="B201" s="76" t="s">
        <v>27</v>
      </c>
      <c r="C201" s="24" t="s">
        <v>16</v>
      </c>
      <c r="D201" s="77">
        <v>159</v>
      </c>
      <c r="E201" s="77">
        <v>15</v>
      </c>
      <c r="F201" s="56">
        <v>0</v>
      </c>
      <c r="G201" s="56">
        <v>0</v>
      </c>
      <c r="H201" s="77">
        <v>174</v>
      </c>
      <c r="I201" s="77">
        <v>785939324</v>
      </c>
      <c r="J201" s="56">
        <v>0</v>
      </c>
    </row>
    <row r="202" spans="1:11" s="30" customFormat="1" ht="11.5" thickTop="1" thickBot="1" x14ac:dyDescent="0.4">
      <c r="A202" s="59">
        <v>5</v>
      </c>
      <c r="B202" s="70" t="s">
        <v>27</v>
      </c>
      <c r="C202" s="27" t="s">
        <v>17</v>
      </c>
      <c r="D202" s="71">
        <v>182</v>
      </c>
      <c r="E202" s="71">
        <v>28</v>
      </c>
      <c r="F202" s="71">
        <v>0</v>
      </c>
      <c r="G202" s="71">
        <v>0</v>
      </c>
      <c r="H202" s="71">
        <v>210</v>
      </c>
      <c r="I202" s="71">
        <v>1011330392</v>
      </c>
      <c r="J202" s="71">
        <v>0</v>
      </c>
      <c r="K202" s="2"/>
    </row>
    <row r="203" spans="1:11" ht="11" thickTop="1" x14ac:dyDescent="0.35">
      <c r="A203" s="80">
        <v>5</v>
      </c>
      <c r="B203" s="81" t="s">
        <v>27</v>
      </c>
      <c r="C203" s="31" t="s">
        <v>18</v>
      </c>
      <c r="D203" s="79">
        <v>0</v>
      </c>
      <c r="E203" s="79">
        <v>0</v>
      </c>
      <c r="F203" s="79">
        <v>0</v>
      </c>
      <c r="G203" s="79">
        <v>0</v>
      </c>
      <c r="H203" s="79">
        <v>0</v>
      </c>
      <c r="I203" s="79">
        <v>0</v>
      </c>
      <c r="J203" s="79">
        <v>0</v>
      </c>
    </row>
    <row r="204" spans="1:11" x14ac:dyDescent="0.35">
      <c r="A204" s="57">
        <v>5</v>
      </c>
      <c r="B204" s="76" t="s">
        <v>27</v>
      </c>
      <c r="C204" s="35" t="s">
        <v>19</v>
      </c>
      <c r="D204" s="79">
        <v>0</v>
      </c>
      <c r="E204" s="79">
        <v>0</v>
      </c>
      <c r="F204" s="79">
        <v>0</v>
      </c>
      <c r="G204" s="79">
        <v>0</v>
      </c>
      <c r="H204" s="79">
        <v>0</v>
      </c>
      <c r="I204" s="79">
        <v>0</v>
      </c>
      <c r="J204" s="79">
        <v>0</v>
      </c>
    </row>
    <row r="205" spans="1:11" x14ac:dyDescent="0.35">
      <c r="A205" s="57">
        <v>5</v>
      </c>
      <c r="B205" s="76" t="s">
        <v>27</v>
      </c>
      <c r="C205" s="35" t="s">
        <v>50</v>
      </c>
      <c r="D205" s="56">
        <v>586</v>
      </c>
      <c r="E205" s="56">
        <v>98</v>
      </c>
      <c r="F205" s="56">
        <v>59</v>
      </c>
      <c r="G205" s="56">
        <v>5</v>
      </c>
      <c r="H205" s="56">
        <v>23286821712</v>
      </c>
      <c r="I205" s="79">
        <v>0</v>
      </c>
      <c r="J205" s="79">
        <v>0</v>
      </c>
    </row>
    <row r="206" spans="1:11" x14ac:dyDescent="0.25">
      <c r="A206" s="82">
        <v>6</v>
      </c>
      <c r="B206" s="83" t="s">
        <v>28</v>
      </c>
      <c r="C206" s="37" t="s">
        <v>13</v>
      </c>
      <c r="D206" s="38">
        <v>0</v>
      </c>
      <c r="E206" s="38">
        <v>0</v>
      </c>
      <c r="F206" s="38">
        <v>0</v>
      </c>
      <c r="G206" s="38">
        <v>0</v>
      </c>
      <c r="H206" s="38">
        <v>0</v>
      </c>
      <c r="I206" s="38">
        <v>0</v>
      </c>
      <c r="J206" s="38">
        <v>0</v>
      </c>
    </row>
    <row r="207" spans="1:11" x14ac:dyDescent="0.25">
      <c r="A207" s="82">
        <v>6</v>
      </c>
      <c r="B207" s="83" t="s">
        <v>28</v>
      </c>
      <c r="C207" s="37" t="s">
        <v>14</v>
      </c>
      <c r="D207" s="38">
        <v>0</v>
      </c>
      <c r="E207" s="38">
        <v>0</v>
      </c>
      <c r="F207" s="38">
        <v>0</v>
      </c>
      <c r="G207" s="38">
        <v>0</v>
      </c>
      <c r="H207" s="38">
        <v>0</v>
      </c>
      <c r="I207" s="38">
        <v>0</v>
      </c>
      <c r="J207" s="38">
        <v>0</v>
      </c>
    </row>
    <row r="208" spans="1:11" x14ac:dyDescent="0.25">
      <c r="A208" s="82">
        <v>6</v>
      </c>
      <c r="B208" s="83" t="s">
        <v>28</v>
      </c>
      <c r="C208" s="37" t="s">
        <v>15</v>
      </c>
      <c r="D208" s="38">
        <v>0</v>
      </c>
      <c r="E208" s="38">
        <v>0</v>
      </c>
      <c r="F208" s="38">
        <v>0</v>
      </c>
      <c r="G208" s="38">
        <v>0</v>
      </c>
      <c r="H208" s="38">
        <v>0</v>
      </c>
      <c r="I208" s="38">
        <v>0</v>
      </c>
      <c r="J208" s="38">
        <v>0</v>
      </c>
    </row>
    <row r="209" spans="1:11" ht="11" thickBot="1" x14ac:dyDescent="0.3">
      <c r="A209" s="84">
        <v>6</v>
      </c>
      <c r="B209" s="85" t="s">
        <v>28</v>
      </c>
      <c r="C209" s="42" t="s">
        <v>16</v>
      </c>
      <c r="D209" s="86">
        <v>71</v>
      </c>
      <c r="E209" s="43">
        <v>0</v>
      </c>
      <c r="F209" s="43">
        <v>0</v>
      </c>
      <c r="G209" s="43">
        <v>0</v>
      </c>
      <c r="H209" s="43">
        <v>0</v>
      </c>
      <c r="I209" s="43">
        <v>0</v>
      </c>
      <c r="J209" s="43"/>
    </row>
    <row r="210" spans="1:11" s="30" customFormat="1" ht="11.5" thickTop="1" thickBot="1" x14ac:dyDescent="0.3">
      <c r="A210" s="87">
        <v>6</v>
      </c>
      <c r="B210" s="88" t="s">
        <v>28</v>
      </c>
      <c r="C210" s="27" t="s">
        <v>17</v>
      </c>
      <c r="D210" s="89">
        <v>71</v>
      </c>
      <c r="E210" s="71">
        <v>0</v>
      </c>
      <c r="F210" s="71">
        <v>0</v>
      </c>
      <c r="G210" s="71">
        <v>0</v>
      </c>
      <c r="H210" s="71">
        <v>0</v>
      </c>
      <c r="I210" s="71">
        <v>0</v>
      </c>
      <c r="J210" s="71"/>
      <c r="K210" s="2"/>
    </row>
    <row r="211" spans="1:11" ht="11" thickTop="1" x14ac:dyDescent="0.25">
      <c r="A211" s="90">
        <v>6</v>
      </c>
      <c r="B211" s="91" t="s">
        <v>28</v>
      </c>
      <c r="C211" s="46" t="s">
        <v>18</v>
      </c>
      <c r="D211" s="92"/>
      <c r="E211" s="92"/>
      <c r="F211" s="92"/>
      <c r="G211" s="92"/>
      <c r="H211" s="92"/>
      <c r="I211" s="92"/>
      <c r="J211" s="92"/>
    </row>
    <row r="212" spans="1:11" x14ac:dyDescent="0.25">
      <c r="A212" s="82">
        <v>6</v>
      </c>
      <c r="B212" s="83" t="s">
        <v>28</v>
      </c>
      <c r="C212" s="50" t="s">
        <v>19</v>
      </c>
      <c r="D212" s="38"/>
      <c r="E212" s="38"/>
      <c r="F212" s="38"/>
      <c r="G212" s="38"/>
      <c r="H212" s="38"/>
      <c r="I212" s="38"/>
      <c r="J212" s="38"/>
    </row>
    <row r="213" spans="1:11" x14ac:dyDescent="0.25">
      <c r="A213" s="82">
        <v>6</v>
      </c>
      <c r="B213" s="83" t="s">
        <v>28</v>
      </c>
      <c r="C213" s="50" t="s">
        <v>50</v>
      </c>
      <c r="D213" s="38">
        <v>137</v>
      </c>
      <c r="E213" s="38">
        <v>5</v>
      </c>
      <c r="F213" s="38">
        <v>4</v>
      </c>
      <c r="G213" s="38">
        <v>1</v>
      </c>
      <c r="H213" s="38">
        <v>147</v>
      </c>
      <c r="I213" s="38">
        <v>1016390100</v>
      </c>
      <c r="J213" s="38"/>
    </row>
    <row r="214" spans="1:11" x14ac:dyDescent="0.25">
      <c r="A214" s="93">
        <v>7</v>
      </c>
      <c r="B214" s="94" t="s">
        <v>29</v>
      </c>
      <c r="C214" s="23" t="s">
        <v>13</v>
      </c>
      <c r="D214" s="56">
        <v>0</v>
      </c>
      <c r="E214" s="56">
        <v>0</v>
      </c>
      <c r="F214" s="56">
        <v>0</v>
      </c>
      <c r="G214" s="56">
        <v>0</v>
      </c>
      <c r="H214" s="56">
        <v>0</v>
      </c>
      <c r="I214" s="56">
        <v>0</v>
      </c>
      <c r="J214" s="56">
        <v>0</v>
      </c>
    </row>
    <row r="215" spans="1:11" x14ac:dyDescent="0.25">
      <c r="A215" s="93">
        <v>7</v>
      </c>
      <c r="B215" s="94" t="s">
        <v>29</v>
      </c>
      <c r="C215" s="23" t="s">
        <v>14</v>
      </c>
      <c r="D215" s="56">
        <v>0</v>
      </c>
      <c r="E215" s="56">
        <v>0</v>
      </c>
      <c r="F215" s="56">
        <v>0</v>
      </c>
      <c r="G215" s="56">
        <v>0</v>
      </c>
      <c r="H215" s="56">
        <v>0</v>
      </c>
      <c r="I215" s="56">
        <v>0</v>
      </c>
      <c r="J215" s="56">
        <v>0</v>
      </c>
    </row>
    <row r="216" spans="1:11" x14ac:dyDescent="0.25">
      <c r="A216" s="93">
        <v>7</v>
      </c>
      <c r="B216" s="94" t="s">
        <v>29</v>
      </c>
      <c r="C216" s="23" t="s">
        <v>15</v>
      </c>
      <c r="D216" s="56">
        <v>0</v>
      </c>
      <c r="E216" s="56">
        <v>0</v>
      </c>
      <c r="F216" s="56">
        <v>0</v>
      </c>
      <c r="G216" s="56">
        <v>0</v>
      </c>
      <c r="H216" s="56">
        <v>0</v>
      </c>
      <c r="I216" s="56">
        <v>0</v>
      </c>
      <c r="J216" s="56">
        <v>0</v>
      </c>
    </row>
    <row r="217" spans="1:11" ht="11" thickBot="1" x14ac:dyDescent="0.3">
      <c r="A217" s="95">
        <v>7</v>
      </c>
      <c r="B217" s="96" t="s">
        <v>29</v>
      </c>
      <c r="C217" s="24" t="s">
        <v>16</v>
      </c>
      <c r="D217" s="56">
        <v>0</v>
      </c>
      <c r="E217" s="56">
        <v>0</v>
      </c>
      <c r="F217" s="56">
        <v>0</v>
      </c>
      <c r="G217" s="56">
        <v>0</v>
      </c>
      <c r="H217" s="56">
        <v>0</v>
      </c>
      <c r="I217" s="56">
        <v>0</v>
      </c>
      <c r="J217" s="56">
        <v>0</v>
      </c>
    </row>
    <row r="218" spans="1:11" s="30" customFormat="1" ht="11.5" thickTop="1" thickBot="1" x14ac:dyDescent="0.3">
      <c r="A218" s="87">
        <v>7</v>
      </c>
      <c r="B218" s="88" t="s">
        <v>29</v>
      </c>
      <c r="C218" s="27" t="s">
        <v>17</v>
      </c>
      <c r="D218" s="97">
        <v>0</v>
      </c>
      <c r="E218" s="97">
        <v>0</v>
      </c>
      <c r="F218" s="97">
        <v>0</v>
      </c>
      <c r="G218" s="97">
        <v>0</v>
      </c>
      <c r="H218" s="97">
        <v>0</v>
      </c>
      <c r="I218" s="97">
        <v>0</v>
      </c>
      <c r="J218" s="97">
        <v>0</v>
      </c>
      <c r="K218" s="2"/>
    </row>
    <row r="219" spans="1:11" ht="11" thickTop="1" x14ac:dyDescent="0.25">
      <c r="A219" s="98">
        <v>7</v>
      </c>
      <c r="B219" s="99" t="s">
        <v>29</v>
      </c>
      <c r="C219" s="31" t="s">
        <v>18</v>
      </c>
      <c r="D219" s="56">
        <v>0</v>
      </c>
      <c r="E219" s="56">
        <v>0</v>
      </c>
      <c r="F219" s="56">
        <v>0</v>
      </c>
      <c r="G219" s="56">
        <v>0</v>
      </c>
      <c r="H219" s="56">
        <v>0</v>
      </c>
      <c r="I219" s="56">
        <v>0</v>
      </c>
      <c r="J219" s="56">
        <v>0</v>
      </c>
    </row>
    <row r="220" spans="1:11" x14ac:dyDescent="0.25">
      <c r="A220" s="93">
        <v>7</v>
      </c>
      <c r="B220" s="94" t="s">
        <v>29</v>
      </c>
      <c r="C220" s="35" t="s">
        <v>19</v>
      </c>
      <c r="D220" s="56">
        <v>0</v>
      </c>
      <c r="E220" s="56">
        <v>0</v>
      </c>
      <c r="F220" s="56">
        <v>0</v>
      </c>
      <c r="G220" s="56">
        <v>0</v>
      </c>
      <c r="H220" s="56">
        <v>0</v>
      </c>
      <c r="I220" s="56">
        <v>0</v>
      </c>
      <c r="J220" s="56">
        <v>0</v>
      </c>
    </row>
    <row r="221" spans="1:11" x14ac:dyDescent="0.25">
      <c r="A221" s="82">
        <v>8</v>
      </c>
      <c r="B221" s="83" t="s">
        <v>30</v>
      </c>
      <c r="C221" s="37" t="s">
        <v>13</v>
      </c>
      <c r="D221" s="66">
        <v>0</v>
      </c>
      <c r="E221" s="66">
        <v>0</v>
      </c>
      <c r="F221" s="66">
        <v>0</v>
      </c>
      <c r="G221" s="66">
        <v>0</v>
      </c>
      <c r="H221" s="66">
        <v>0</v>
      </c>
      <c r="I221" s="66">
        <v>0</v>
      </c>
      <c r="J221" s="66">
        <v>0</v>
      </c>
    </row>
    <row r="222" spans="1:11" x14ac:dyDescent="0.25">
      <c r="A222" s="82">
        <v>8</v>
      </c>
      <c r="B222" s="83" t="s">
        <v>30</v>
      </c>
      <c r="C222" s="37" t="s">
        <v>14</v>
      </c>
      <c r="D222" s="66">
        <v>0</v>
      </c>
      <c r="E222" s="66">
        <v>0</v>
      </c>
      <c r="F222" s="66">
        <v>0</v>
      </c>
      <c r="G222" s="66">
        <v>0</v>
      </c>
      <c r="H222" s="66">
        <v>0</v>
      </c>
      <c r="I222" s="66">
        <v>0</v>
      </c>
      <c r="J222" s="66">
        <v>0</v>
      </c>
    </row>
    <row r="223" spans="1:11" x14ac:dyDescent="0.25">
      <c r="A223" s="82">
        <v>8</v>
      </c>
      <c r="B223" s="83" t="s">
        <v>30</v>
      </c>
      <c r="C223" s="37" t="s">
        <v>15</v>
      </c>
      <c r="D223" s="66">
        <v>0</v>
      </c>
      <c r="E223" s="66">
        <v>0</v>
      </c>
      <c r="F223" s="66">
        <v>0</v>
      </c>
      <c r="G223" s="66">
        <v>0</v>
      </c>
      <c r="H223" s="66">
        <v>0</v>
      </c>
      <c r="I223" s="66">
        <v>0</v>
      </c>
      <c r="J223" s="66">
        <v>0</v>
      </c>
    </row>
    <row r="224" spans="1:11" ht="11" thickBot="1" x14ac:dyDescent="0.3">
      <c r="A224" s="84">
        <v>8</v>
      </c>
      <c r="B224" s="85" t="s">
        <v>30</v>
      </c>
      <c r="C224" s="42" t="s">
        <v>16</v>
      </c>
      <c r="D224" s="69">
        <v>350</v>
      </c>
      <c r="E224" s="69">
        <v>0</v>
      </c>
      <c r="F224" s="69">
        <v>0</v>
      </c>
      <c r="G224" s="69">
        <v>0</v>
      </c>
      <c r="H224" s="69">
        <v>350</v>
      </c>
      <c r="I224" s="100">
        <v>1637200948</v>
      </c>
      <c r="J224" s="69">
        <v>0</v>
      </c>
    </row>
    <row r="225" spans="1:11" s="30" customFormat="1" ht="11.5" thickTop="1" thickBot="1" x14ac:dyDescent="0.3">
      <c r="A225" s="87">
        <v>8</v>
      </c>
      <c r="B225" s="88" t="s">
        <v>30</v>
      </c>
      <c r="C225" s="27" t="s">
        <v>17</v>
      </c>
      <c r="D225" s="71">
        <v>350</v>
      </c>
      <c r="E225" s="71">
        <v>0</v>
      </c>
      <c r="F225" s="71">
        <v>0</v>
      </c>
      <c r="G225" s="71">
        <v>0</v>
      </c>
      <c r="H225" s="71">
        <v>350</v>
      </c>
      <c r="I225" s="71">
        <v>1637200948</v>
      </c>
      <c r="J225" s="71"/>
      <c r="K225" s="2"/>
    </row>
    <row r="226" spans="1:11" ht="11" thickTop="1" x14ac:dyDescent="0.25">
      <c r="A226" s="90">
        <v>8</v>
      </c>
      <c r="B226" s="91" t="s">
        <v>30</v>
      </c>
      <c r="C226" s="46" t="s">
        <v>18</v>
      </c>
      <c r="D226" s="66">
        <v>0</v>
      </c>
      <c r="E226" s="66">
        <v>0</v>
      </c>
      <c r="F226" s="66">
        <v>0</v>
      </c>
      <c r="G226" s="66">
        <v>0</v>
      </c>
      <c r="H226" s="66">
        <v>0</v>
      </c>
      <c r="I226" s="66">
        <v>0</v>
      </c>
      <c r="J226" s="66">
        <v>0</v>
      </c>
    </row>
    <row r="227" spans="1:11" x14ac:dyDescent="0.25">
      <c r="A227" s="82">
        <v>8</v>
      </c>
      <c r="B227" s="83" t="s">
        <v>30</v>
      </c>
      <c r="C227" s="50" t="s">
        <v>19</v>
      </c>
      <c r="D227" s="66">
        <v>0</v>
      </c>
      <c r="E227" s="66">
        <v>0</v>
      </c>
      <c r="F227" s="66">
        <v>0</v>
      </c>
      <c r="G227" s="66">
        <v>0</v>
      </c>
      <c r="H227" s="66">
        <v>0</v>
      </c>
      <c r="I227" s="66">
        <v>0</v>
      </c>
      <c r="J227" s="66">
        <v>0</v>
      </c>
    </row>
    <row r="228" spans="1:11" x14ac:dyDescent="0.25">
      <c r="A228" s="82">
        <v>8</v>
      </c>
      <c r="B228" s="83" t="s">
        <v>30</v>
      </c>
      <c r="C228" s="50" t="s">
        <v>50</v>
      </c>
      <c r="D228" s="66">
        <v>930</v>
      </c>
      <c r="E228" s="38">
        <v>39</v>
      </c>
      <c r="F228" s="38">
        <v>11</v>
      </c>
      <c r="G228" s="38">
        <v>4</v>
      </c>
      <c r="H228" s="38">
        <v>984</v>
      </c>
      <c r="I228" s="38">
        <v>8242350910</v>
      </c>
      <c r="J228" s="38">
        <v>0</v>
      </c>
    </row>
    <row r="229" spans="1:11" x14ac:dyDescent="0.25">
      <c r="A229" s="93">
        <v>9</v>
      </c>
      <c r="B229" s="94" t="s">
        <v>31</v>
      </c>
      <c r="C229" s="23" t="s">
        <v>13</v>
      </c>
      <c r="D229" s="56">
        <v>0</v>
      </c>
      <c r="E229" s="56">
        <v>0</v>
      </c>
      <c r="F229" s="56">
        <v>0</v>
      </c>
      <c r="G229" s="56">
        <v>0</v>
      </c>
      <c r="H229" s="56">
        <v>0</v>
      </c>
      <c r="I229" s="56">
        <v>0</v>
      </c>
      <c r="J229" s="56">
        <v>0</v>
      </c>
    </row>
    <row r="230" spans="1:11" x14ac:dyDescent="0.25">
      <c r="A230" s="93">
        <v>9</v>
      </c>
      <c r="B230" s="94" t="s">
        <v>31</v>
      </c>
      <c r="C230" s="23" t="s">
        <v>14</v>
      </c>
      <c r="D230" s="56">
        <v>0</v>
      </c>
      <c r="E230" s="56">
        <v>0</v>
      </c>
      <c r="F230" s="56">
        <v>0</v>
      </c>
      <c r="G230" s="56">
        <v>0</v>
      </c>
      <c r="H230" s="56">
        <v>0</v>
      </c>
      <c r="I230" s="56">
        <v>0</v>
      </c>
      <c r="J230" s="56">
        <v>0</v>
      </c>
    </row>
    <row r="231" spans="1:11" x14ac:dyDescent="0.25">
      <c r="A231" s="93">
        <v>9</v>
      </c>
      <c r="B231" s="94" t="s">
        <v>31</v>
      </c>
      <c r="C231" s="23" t="s">
        <v>15</v>
      </c>
      <c r="D231" s="56">
        <v>0</v>
      </c>
      <c r="E231" s="56">
        <v>0</v>
      </c>
      <c r="F231" s="56">
        <v>0</v>
      </c>
      <c r="G231" s="56">
        <v>0</v>
      </c>
      <c r="H231" s="56">
        <v>0</v>
      </c>
      <c r="I231" s="56">
        <v>0</v>
      </c>
      <c r="J231" s="56">
        <v>0</v>
      </c>
    </row>
    <row r="232" spans="1:11" ht="11" thickBot="1" x14ac:dyDescent="0.3">
      <c r="A232" s="95">
        <v>9</v>
      </c>
      <c r="B232" s="96" t="s">
        <v>31</v>
      </c>
      <c r="C232" s="24" t="s">
        <v>16</v>
      </c>
      <c r="D232" s="56">
        <v>0</v>
      </c>
      <c r="E232" s="56">
        <v>0</v>
      </c>
      <c r="F232" s="56">
        <v>0</v>
      </c>
      <c r="G232" s="56">
        <v>0</v>
      </c>
      <c r="H232" s="56">
        <v>0</v>
      </c>
      <c r="I232" s="56">
        <v>0</v>
      </c>
      <c r="J232" s="56">
        <v>0</v>
      </c>
    </row>
    <row r="233" spans="1:11" s="30" customFormat="1" ht="11.5" thickTop="1" thickBot="1" x14ac:dyDescent="0.3">
      <c r="A233" s="87">
        <v>9</v>
      </c>
      <c r="B233" s="88" t="s">
        <v>31</v>
      </c>
      <c r="C233" s="27" t="s">
        <v>17</v>
      </c>
      <c r="D233" s="61">
        <v>0</v>
      </c>
      <c r="E233" s="61">
        <v>0</v>
      </c>
      <c r="F233" s="61">
        <v>0</v>
      </c>
      <c r="G233" s="61">
        <v>0</v>
      </c>
      <c r="H233" s="61">
        <v>0</v>
      </c>
      <c r="I233" s="61">
        <v>0</v>
      </c>
      <c r="J233" s="61">
        <v>0</v>
      </c>
      <c r="K233" s="2"/>
    </row>
    <row r="234" spans="1:11" ht="11" thickTop="1" x14ac:dyDescent="0.25">
      <c r="A234" s="98">
        <v>9</v>
      </c>
      <c r="B234" s="99" t="s">
        <v>31</v>
      </c>
      <c r="C234" s="31" t="s">
        <v>18</v>
      </c>
      <c r="D234" s="56">
        <v>0</v>
      </c>
      <c r="E234" s="56">
        <v>0</v>
      </c>
      <c r="F234" s="56">
        <v>0</v>
      </c>
      <c r="G234" s="56">
        <v>0</v>
      </c>
      <c r="H234" s="56">
        <v>0</v>
      </c>
      <c r="I234" s="56">
        <v>0</v>
      </c>
      <c r="J234" s="56">
        <v>0</v>
      </c>
    </row>
    <row r="235" spans="1:11" x14ac:dyDescent="0.25">
      <c r="A235" s="93">
        <v>9</v>
      </c>
      <c r="B235" s="94" t="s">
        <v>31</v>
      </c>
      <c r="C235" s="35" t="s">
        <v>19</v>
      </c>
      <c r="D235" s="56">
        <v>0</v>
      </c>
      <c r="E235" s="56">
        <v>0</v>
      </c>
      <c r="F235" s="56">
        <v>0</v>
      </c>
      <c r="G235" s="56">
        <v>0</v>
      </c>
      <c r="H235" s="56">
        <v>0</v>
      </c>
      <c r="I235" s="56">
        <v>0</v>
      </c>
      <c r="J235" s="56">
        <v>0</v>
      </c>
    </row>
    <row r="236" spans="1:11" x14ac:dyDescent="0.25">
      <c r="A236" s="82">
        <v>10</v>
      </c>
      <c r="B236" s="83" t="s">
        <v>32</v>
      </c>
      <c r="C236" s="37" t="s">
        <v>13</v>
      </c>
      <c r="D236" s="66">
        <v>0</v>
      </c>
      <c r="E236" s="66">
        <v>0</v>
      </c>
      <c r="F236" s="66">
        <v>0</v>
      </c>
      <c r="G236" s="66">
        <v>0</v>
      </c>
      <c r="H236" s="66">
        <v>0</v>
      </c>
      <c r="I236" s="66">
        <v>0</v>
      </c>
      <c r="J236" s="66">
        <v>0</v>
      </c>
    </row>
    <row r="237" spans="1:11" x14ac:dyDescent="0.25">
      <c r="A237" s="82">
        <v>10</v>
      </c>
      <c r="B237" s="83" t="s">
        <v>32</v>
      </c>
      <c r="C237" s="37" t="s">
        <v>14</v>
      </c>
      <c r="D237" s="66"/>
      <c r="E237" s="39">
        <v>1</v>
      </c>
      <c r="F237" s="66">
        <v>0</v>
      </c>
      <c r="G237" s="66">
        <v>0</v>
      </c>
      <c r="H237" s="39">
        <v>1</v>
      </c>
      <c r="I237" s="39">
        <v>24000000</v>
      </c>
      <c r="J237" s="66"/>
    </row>
    <row r="238" spans="1:11" x14ac:dyDescent="0.25">
      <c r="A238" s="82">
        <v>10</v>
      </c>
      <c r="B238" s="83" t="s">
        <v>32</v>
      </c>
      <c r="C238" s="37" t="s">
        <v>15</v>
      </c>
      <c r="D238" s="101">
        <v>0</v>
      </c>
      <c r="E238" s="101">
        <v>0</v>
      </c>
      <c r="F238" s="66">
        <v>0</v>
      </c>
      <c r="G238" s="66">
        <v>0</v>
      </c>
      <c r="H238" s="66">
        <v>0</v>
      </c>
      <c r="I238" s="66">
        <v>0</v>
      </c>
      <c r="J238" s="66">
        <v>0</v>
      </c>
    </row>
    <row r="239" spans="1:11" ht="11" thickBot="1" x14ac:dyDescent="0.3">
      <c r="A239" s="84">
        <v>10</v>
      </c>
      <c r="B239" s="85" t="s">
        <v>32</v>
      </c>
      <c r="C239" s="42" t="s">
        <v>16</v>
      </c>
      <c r="D239" s="100">
        <v>26</v>
      </c>
      <c r="E239" s="100">
        <v>6</v>
      </c>
      <c r="F239" s="66">
        <v>0</v>
      </c>
      <c r="G239" s="66">
        <v>0</v>
      </c>
      <c r="H239" s="69">
        <v>32</v>
      </c>
      <c r="I239" s="100">
        <v>166300696</v>
      </c>
      <c r="J239" s="69"/>
    </row>
    <row r="240" spans="1:11" s="30" customFormat="1" ht="11.5" thickTop="1" thickBot="1" x14ac:dyDescent="0.3">
      <c r="A240" s="87">
        <v>10</v>
      </c>
      <c r="B240" s="88" t="s">
        <v>32</v>
      </c>
      <c r="C240" s="27" t="s">
        <v>17</v>
      </c>
      <c r="D240" s="71">
        <v>26</v>
      </c>
      <c r="E240" s="71">
        <v>7</v>
      </c>
      <c r="F240" s="71">
        <v>0</v>
      </c>
      <c r="G240" s="71">
        <v>0</v>
      </c>
      <c r="H240" s="71">
        <v>33</v>
      </c>
      <c r="I240" s="71">
        <v>190300696</v>
      </c>
      <c r="J240" s="71"/>
      <c r="K240" s="2"/>
    </row>
    <row r="241" spans="1:11" ht="11" thickTop="1" x14ac:dyDescent="0.25">
      <c r="A241" s="90">
        <v>10</v>
      </c>
      <c r="B241" s="91" t="s">
        <v>32</v>
      </c>
      <c r="C241" s="46" t="s">
        <v>18</v>
      </c>
      <c r="D241" s="74"/>
      <c r="E241" s="74"/>
      <c r="F241" s="74"/>
      <c r="G241" s="74"/>
      <c r="H241" s="74"/>
      <c r="I241" s="74"/>
      <c r="J241" s="74"/>
    </row>
    <row r="242" spans="1:11" x14ac:dyDescent="0.25">
      <c r="A242" s="82">
        <v>10</v>
      </c>
      <c r="B242" s="83" t="s">
        <v>32</v>
      </c>
      <c r="C242" s="50" t="s">
        <v>19</v>
      </c>
      <c r="D242" s="66"/>
      <c r="E242" s="66"/>
      <c r="F242" s="66"/>
      <c r="G242" s="66"/>
      <c r="H242" s="66"/>
      <c r="I242" s="101"/>
      <c r="J242" s="66"/>
    </row>
    <row r="243" spans="1:11" x14ac:dyDescent="0.25">
      <c r="A243" s="82">
        <v>10</v>
      </c>
      <c r="B243" s="83" t="s">
        <v>32</v>
      </c>
      <c r="C243" s="50" t="s">
        <v>50</v>
      </c>
      <c r="D243" s="66">
        <v>187</v>
      </c>
      <c r="E243" s="66">
        <v>44</v>
      </c>
      <c r="F243" s="66">
        <v>5</v>
      </c>
      <c r="G243" s="66">
        <v>1</v>
      </c>
      <c r="H243" s="66">
        <v>237</v>
      </c>
      <c r="I243" s="101"/>
      <c r="J243" s="66"/>
    </row>
    <row r="244" spans="1:11" x14ac:dyDescent="0.25">
      <c r="A244" s="93">
        <v>11</v>
      </c>
      <c r="B244" s="94" t="s">
        <v>33</v>
      </c>
      <c r="C244" s="23" t="s">
        <v>13</v>
      </c>
      <c r="D244" s="56"/>
      <c r="E244" s="56"/>
      <c r="F244" s="56"/>
      <c r="G244" s="56"/>
      <c r="H244" s="56"/>
      <c r="I244" s="56"/>
      <c r="J244" s="56"/>
    </row>
    <row r="245" spans="1:11" x14ac:dyDescent="0.25">
      <c r="A245" s="93">
        <v>11</v>
      </c>
      <c r="B245" s="94" t="s">
        <v>33</v>
      </c>
      <c r="C245" s="23" t="s">
        <v>14</v>
      </c>
      <c r="D245" s="56"/>
      <c r="E245" s="56"/>
      <c r="F245" s="56"/>
      <c r="G245" s="56"/>
      <c r="H245" s="56"/>
      <c r="I245" s="56"/>
      <c r="J245" s="56"/>
    </row>
    <row r="246" spans="1:11" x14ac:dyDescent="0.25">
      <c r="A246" s="93">
        <v>11</v>
      </c>
      <c r="B246" s="94" t="s">
        <v>33</v>
      </c>
      <c r="C246" s="23" t="s">
        <v>15</v>
      </c>
      <c r="D246" s="56"/>
      <c r="E246" s="56"/>
      <c r="F246" s="56"/>
      <c r="G246" s="56"/>
      <c r="H246" s="56"/>
      <c r="I246" s="56"/>
      <c r="J246" s="56"/>
    </row>
    <row r="247" spans="1:11" ht="11" thickBot="1" x14ac:dyDescent="0.3">
      <c r="A247" s="95">
        <v>11</v>
      </c>
      <c r="B247" s="96" t="s">
        <v>33</v>
      </c>
      <c r="C247" s="24" t="s">
        <v>16</v>
      </c>
      <c r="D247" s="77"/>
      <c r="E247" s="77"/>
      <c r="F247" s="77"/>
      <c r="G247" s="77"/>
      <c r="H247" s="77"/>
      <c r="I247" s="77"/>
      <c r="J247" s="77"/>
    </row>
    <row r="248" spans="1:11" s="30" customFormat="1" ht="11.5" thickTop="1" thickBot="1" x14ac:dyDescent="0.3">
      <c r="A248" s="87">
        <v>11</v>
      </c>
      <c r="B248" s="88" t="s">
        <v>33</v>
      </c>
      <c r="C248" s="27" t="s">
        <v>17</v>
      </c>
      <c r="D248" s="71"/>
      <c r="E248" s="71"/>
      <c r="F248" s="71"/>
      <c r="G248" s="71"/>
      <c r="H248" s="71"/>
      <c r="I248" s="71"/>
      <c r="J248" s="71"/>
      <c r="K248" s="2"/>
    </row>
    <row r="249" spans="1:11" ht="11" thickTop="1" x14ac:dyDescent="0.25">
      <c r="A249" s="98">
        <v>11</v>
      </c>
      <c r="B249" s="99" t="s">
        <v>33</v>
      </c>
      <c r="C249" s="31" t="s">
        <v>18</v>
      </c>
      <c r="D249" s="79"/>
      <c r="E249" s="79"/>
      <c r="F249" s="79"/>
      <c r="G249" s="79"/>
      <c r="H249" s="79"/>
      <c r="I249" s="79"/>
      <c r="J249" s="79"/>
    </row>
    <row r="250" spans="1:11" x14ac:dyDescent="0.25">
      <c r="A250" s="93">
        <v>11</v>
      </c>
      <c r="B250" s="94" t="s">
        <v>33</v>
      </c>
      <c r="C250" s="35" t="s">
        <v>19</v>
      </c>
      <c r="D250" s="56"/>
      <c r="E250" s="56"/>
      <c r="F250" s="56"/>
      <c r="G250" s="56"/>
      <c r="H250" s="56"/>
      <c r="I250" s="56"/>
      <c r="J250" s="56"/>
    </row>
    <row r="251" spans="1:11" x14ac:dyDescent="0.25">
      <c r="A251" s="82">
        <v>12</v>
      </c>
      <c r="B251" s="83" t="s">
        <v>34</v>
      </c>
      <c r="C251" s="37" t="s">
        <v>13</v>
      </c>
      <c r="D251" s="66">
        <v>0</v>
      </c>
      <c r="E251" s="66">
        <v>0</v>
      </c>
      <c r="F251" s="66">
        <v>0</v>
      </c>
      <c r="G251" s="66">
        <v>0</v>
      </c>
      <c r="H251" s="66">
        <v>0</v>
      </c>
      <c r="I251" s="66">
        <v>0</v>
      </c>
      <c r="J251" s="66">
        <v>0</v>
      </c>
    </row>
    <row r="252" spans="1:11" x14ac:dyDescent="0.25">
      <c r="A252" s="82">
        <v>12</v>
      </c>
      <c r="B252" s="83" t="s">
        <v>34</v>
      </c>
      <c r="C252" s="37" t="s">
        <v>14</v>
      </c>
      <c r="D252" s="66">
        <v>6</v>
      </c>
      <c r="E252" s="66">
        <v>0</v>
      </c>
      <c r="F252" s="66">
        <v>0</v>
      </c>
      <c r="G252" s="66">
        <v>0</v>
      </c>
      <c r="H252" s="66">
        <v>6</v>
      </c>
      <c r="I252" s="66">
        <v>30341936</v>
      </c>
      <c r="J252" s="66"/>
    </row>
    <row r="253" spans="1:11" x14ac:dyDescent="0.25">
      <c r="A253" s="82">
        <v>12</v>
      </c>
      <c r="B253" s="83" t="s">
        <v>34</v>
      </c>
      <c r="C253" s="37" t="s">
        <v>15</v>
      </c>
      <c r="D253" s="66">
        <v>0</v>
      </c>
      <c r="E253" s="66">
        <v>0</v>
      </c>
      <c r="F253" s="66">
        <v>0</v>
      </c>
      <c r="G253" s="66">
        <v>0</v>
      </c>
      <c r="H253" s="66">
        <v>0</v>
      </c>
      <c r="I253" s="66">
        <v>0</v>
      </c>
      <c r="J253" s="66">
        <v>0</v>
      </c>
    </row>
    <row r="254" spans="1:11" ht="11" thickBot="1" x14ac:dyDescent="0.3">
      <c r="A254" s="84">
        <v>12</v>
      </c>
      <c r="B254" s="85" t="s">
        <v>34</v>
      </c>
      <c r="C254" s="42" t="s">
        <v>16</v>
      </c>
      <c r="D254" s="66">
        <v>0</v>
      </c>
      <c r="E254" s="66">
        <v>0</v>
      </c>
      <c r="F254" s="66">
        <v>0</v>
      </c>
      <c r="G254" s="66">
        <v>0</v>
      </c>
      <c r="H254" s="66">
        <v>0</v>
      </c>
      <c r="I254" s="66">
        <v>0</v>
      </c>
      <c r="J254" s="66">
        <v>0</v>
      </c>
    </row>
    <row r="255" spans="1:11" s="30" customFormat="1" ht="11.5" thickTop="1" thickBot="1" x14ac:dyDescent="0.3">
      <c r="A255" s="87">
        <v>12</v>
      </c>
      <c r="B255" s="88" t="s">
        <v>34</v>
      </c>
      <c r="C255" s="27" t="s">
        <v>17</v>
      </c>
      <c r="D255" s="71">
        <v>0</v>
      </c>
      <c r="E255" s="71">
        <v>0</v>
      </c>
      <c r="F255" s="71">
        <v>0</v>
      </c>
      <c r="G255" s="71">
        <v>0</v>
      </c>
      <c r="H255" s="71">
        <v>0</v>
      </c>
      <c r="I255" s="71">
        <v>0</v>
      </c>
      <c r="J255" s="71">
        <v>0</v>
      </c>
      <c r="K255" s="2"/>
    </row>
    <row r="256" spans="1:11" ht="11" thickTop="1" x14ac:dyDescent="0.25">
      <c r="A256" s="90">
        <v>12</v>
      </c>
      <c r="B256" s="91" t="s">
        <v>34</v>
      </c>
      <c r="C256" s="46" t="s">
        <v>18</v>
      </c>
      <c r="D256" s="74"/>
      <c r="E256" s="74"/>
      <c r="F256" s="74"/>
      <c r="G256" s="74"/>
      <c r="H256" s="74"/>
      <c r="I256" s="74"/>
      <c r="J256" s="74"/>
    </row>
    <row r="257" spans="1:11" x14ac:dyDescent="0.25">
      <c r="A257" s="82">
        <v>12</v>
      </c>
      <c r="B257" s="83" t="s">
        <v>34</v>
      </c>
      <c r="C257" s="50" t="s">
        <v>19</v>
      </c>
      <c r="D257" s="66"/>
      <c r="E257" s="66"/>
      <c r="F257" s="66"/>
      <c r="G257" s="66"/>
      <c r="H257" s="66"/>
      <c r="I257" s="66"/>
      <c r="J257" s="66"/>
    </row>
    <row r="258" spans="1:11" x14ac:dyDescent="0.25">
      <c r="A258" s="93">
        <v>13</v>
      </c>
      <c r="B258" s="94" t="s">
        <v>35</v>
      </c>
      <c r="C258" s="23" t="s">
        <v>13</v>
      </c>
      <c r="D258" s="56">
        <v>0</v>
      </c>
      <c r="E258" s="56">
        <v>0</v>
      </c>
      <c r="F258" s="56">
        <v>0</v>
      </c>
      <c r="G258" s="56">
        <v>0</v>
      </c>
      <c r="H258" s="56">
        <v>0</v>
      </c>
      <c r="I258" s="56">
        <v>0</v>
      </c>
      <c r="J258" s="56">
        <v>0</v>
      </c>
    </row>
    <row r="259" spans="1:11" x14ac:dyDescent="0.25">
      <c r="A259" s="93">
        <v>13</v>
      </c>
      <c r="B259" s="94" t="s">
        <v>35</v>
      </c>
      <c r="C259" s="23" t="s">
        <v>14</v>
      </c>
      <c r="D259" s="56">
        <v>0</v>
      </c>
      <c r="E259" s="56">
        <v>0</v>
      </c>
      <c r="F259" s="56">
        <v>0</v>
      </c>
      <c r="G259" s="56">
        <v>0</v>
      </c>
      <c r="H259" s="56">
        <v>0</v>
      </c>
      <c r="I259" s="56">
        <v>0</v>
      </c>
      <c r="J259" s="56">
        <v>0</v>
      </c>
    </row>
    <row r="260" spans="1:11" x14ac:dyDescent="0.25">
      <c r="A260" s="93">
        <v>13</v>
      </c>
      <c r="B260" s="94" t="s">
        <v>35</v>
      </c>
      <c r="C260" s="23" t="s">
        <v>15</v>
      </c>
      <c r="D260" s="56">
        <v>0</v>
      </c>
      <c r="E260" s="56">
        <v>0</v>
      </c>
      <c r="F260" s="56">
        <v>0</v>
      </c>
      <c r="G260" s="56">
        <v>0</v>
      </c>
      <c r="H260" s="56">
        <v>0</v>
      </c>
      <c r="I260" s="56">
        <v>0</v>
      </c>
      <c r="J260" s="56">
        <v>0</v>
      </c>
    </row>
    <row r="261" spans="1:11" ht="11" thickBot="1" x14ac:dyDescent="0.3">
      <c r="A261" s="95">
        <v>13</v>
      </c>
      <c r="B261" s="96" t="s">
        <v>35</v>
      </c>
      <c r="C261" s="24" t="s">
        <v>16</v>
      </c>
      <c r="D261" s="56">
        <v>0</v>
      </c>
      <c r="E261" s="56">
        <v>0</v>
      </c>
      <c r="F261" s="56">
        <v>0</v>
      </c>
      <c r="G261" s="56">
        <v>0</v>
      </c>
      <c r="H261" s="56">
        <v>0</v>
      </c>
      <c r="I261" s="56">
        <v>0</v>
      </c>
      <c r="J261" s="56">
        <v>0</v>
      </c>
    </row>
    <row r="262" spans="1:11" s="30" customFormat="1" ht="11.5" thickTop="1" thickBot="1" x14ac:dyDescent="0.3">
      <c r="A262" s="87">
        <v>13</v>
      </c>
      <c r="B262" s="88" t="s">
        <v>35</v>
      </c>
      <c r="C262" s="27" t="s">
        <v>17</v>
      </c>
      <c r="D262" s="71">
        <v>0</v>
      </c>
      <c r="E262" s="71">
        <v>0</v>
      </c>
      <c r="F262" s="71">
        <v>0</v>
      </c>
      <c r="G262" s="71">
        <v>0</v>
      </c>
      <c r="H262" s="71">
        <v>0</v>
      </c>
      <c r="I262" s="71">
        <v>0</v>
      </c>
      <c r="J262" s="71">
        <v>0</v>
      </c>
      <c r="K262" s="2"/>
    </row>
    <row r="263" spans="1:11" ht="11" thickTop="1" x14ac:dyDescent="0.25">
      <c r="A263" s="98">
        <v>13</v>
      </c>
      <c r="B263" s="99" t="s">
        <v>35</v>
      </c>
      <c r="C263" s="31" t="s">
        <v>18</v>
      </c>
      <c r="D263" s="79"/>
      <c r="E263" s="79"/>
      <c r="F263" s="79"/>
      <c r="G263" s="79"/>
      <c r="H263" s="79"/>
      <c r="I263" s="79"/>
      <c r="J263" s="79"/>
    </row>
    <row r="264" spans="1:11" x14ac:dyDescent="0.25">
      <c r="A264" s="93">
        <v>13</v>
      </c>
      <c r="B264" s="94" t="s">
        <v>35</v>
      </c>
      <c r="C264" s="35" t="s">
        <v>19</v>
      </c>
      <c r="D264" s="56"/>
      <c r="E264" s="56"/>
      <c r="F264" s="56"/>
      <c r="G264" s="56"/>
      <c r="H264" s="56"/>
      <c r="I264" s="56"/>
      <c r="J264" s="56"/>
    </row>
    <row r="265" spans="1:11" x14ac:dyDescent="0.25">
      <c r="A265" s="82">
        <v>14</v>
      </c>
      <c r="B265" s="83" t="s">
        <v>36</v>
      </c>
      <c r="C265" s="37" t="s">
        <v>13</v>
      </c>
      <c r="D265" s="66">
        <v>0</v>
      </c>
      <c r="E265" s="66">
        <v>0</v>
      </c>
      <c r="F265" s="66">
        <v>0</v>
      </c>
      <c r="G265" s="66">
        <v>0</v>
      </c>
      <c r="H265" s="66">
        <v>0</v>
      </c>
      <c r="I265" s="66">
        <v>0</v>
      </c>
      <c r="J265" s="66">
        <v>0</v>
      </c>
    </row>
    <row r="266" spans="1:11" x14ac:dyDescent="0.25">
      <c r="A266" s="82">
        <v>14</v>
      </c>
      <c r="B266" s="83" t="s">
        <v>36</v>
      </c>
      <c r="C266" s="37" t="s">
        <v>14</v>
      </c>
      <c r="D266" s="66">
        <v>0</v>
      </c>
      <c r="E266" s="66">
        <v>0</v>
      </c>
      <c r="F266" s="66">
        <v>0</v>
      </c>
      <c r="G266" s="66">
        <v>0</v>
      </c>
      <c r="H266" s="66">
        <v>0</v>
      </c>
      <c r="I266" s="66">
        <v>0</v>
      </c>
      <c r="J266" s="66">
        <v>0</v>
      </c>
    </row>
    <row r="267" spans="1:11" x14ac:dyDescent="0.25">
      <c r="A267" s="82">
        <v>14</v>
      </c>
      <c r="B267" s="83" t="s">
        <v>36</v>
      </c>
      <c r="C267" s="37" t="s">
        <v>15</v>
      </c>
      <c r="D267" s="66">
        <v>195</v>
      </c>
      <c r="E267" s="66">
        <v>0</v>
      </c>
      <c r="F267" s="66">
        <v>0</v>
      </c>
      <c r="G267" s="66">
        <v>0</v>
      </c>
      <c r="H267" s="66">
        <v>195</v>
      </c>
      <c r="I267" s="66">
        <v>1129245486</v>
      </c>
      <c r="J267" s="66"/>
    </row>
    <row r="268" spans="1:11" ht="11" thickBot="1" x14ac:dyDescent="0.3">
      <c r="A268" s="84">
        <v>14</v>
      </c>
      <c r="B268" s="85" t="s">
        <v>36</v>
      </c>
      <c r="C268" s="42" t="s">
        <v>16</v>
      </c>
      <c r="D268" s="69">
        <v>0</v>
      </c>
      <c r="E268" s="69">
        <v>0</v>
      </c>
      <c r="F268" s="69">
        <v>0</v>
      </c>
      <c r="G268" s="69">
        <v>0</v>
      </c>
      <c r="H268" s="69">
        <v>0</v>
      </c>
      <c r="I268" s="69">
        <v>0</v>
      </c>
      <c r="J268" s="69">
        <v>0</v>
      </c>
    </row>
    <row r="269" spans="1:11" s="30" customFormat="1" ht="11.5" thickTop="1" thickBot="1" x14ac:dyDescent="0.3">
      <c r="A269" s="87">
        <v>14</v>
      </c>
      <c r="B269" s="88" t="s">
        <v>36</v>
      </c>
      <c r="C269" s="27" t="s">
        <v>17</v>
      </c>
      <c r="D269" s="71">
        <v>195</v>
      </c>
      <c r="E269" s="71">
        <v>0</v>
      </c>
      <c r="F269" s="71">
        <v>0</v>
      </c>
      <c r="G269" s="71">
        <v>0</v>
      </c>
      <c r="H269" s="71">
        <v>195</v>
      </c>
      <c r="I269" s="71">
        <v>1129245486</v>
      </c>
      <c r="J269" s="71"/>
      <c r="K269" s="2"/>
    </row>
    <row r="270" spans="1:11" ht="11" thickTop="1" x14ac:dyDescent="0.25">
      <c r="A270" s="90">
        <v>14</v>
      </c>
      <c r="B270" s="91" t="s">
        <v>36</v>
      </c>
      <c r="C270" s="46" t="s">
        <v>18</v>
      </c>
      <c r="D270" s="74"/>
      <c r="E270" s="74"/>
      <c r="F270" s="74"/>
      <c r="G270" s="74"/>
      <c r="H270" s="74"/>
      <c r="I270" s="74"/>
      <c r="J270" s="74"/>
    </row>
    <row r="271" spans="1:11" x14ac:dyDescent="0.25">
      <c r="A271" s="82">
        <v>14</v>
      </c>
      <c r="B271" s="83" t="s">
        <v>36</v>
      </c>
      <c r="C271" s="50" t="s">
        <v>19</v>
      </c>
      <c r="D271" s="66"/>
      <c r="E271" s="66"/>
      <c r="F271" s="66"/>
      <c r="G271" s="66"/>
      <c r="H271" s="66"/>
      <c r="I271" s="66"/>
      <c r="J271" s="66"/>
    </row>
    <row r="272" spans="1:11" x14ac:dyDescent="0.25">
      <c r="A272" s="93">
        <v>15</v>
      </c>
      <c r="B272" s="94" t="s">
        <v>37</v>
      </c>
      <c r="C272" s="23" t="s">
        <v>13</v>
      </c>
      <c r="D272" s="56"/>
      <c r="E272" s="56">
        <v>0</v>
      </c>
      <c r="F272" s="56">
        <v>0</v>
      </c>
      <c r="G272" s="56">
        <v>0</v>
      </c>
      <c r="H272" s="56">
        <v>0</v>
      </c>
      <c r="I272" s="56"/>
      <c r="J272" s="56"/>
    </row>
    <row r="273" spans="1:11" x14ac:dyDescent="0.25">
      <c r="A273" s="93">
        <v>15</v>
      </c>
      <c r="B273" s="94" t="s">
        <v>37</v>
      </c>
      <c r="C273" s="23" t="s">
        <v>14</v>
      </c>
      <c r="D273" s="56">
        <v>1</v>
      </c>
      <c r="E273" s="56">
        <v>0</v>
      </c>
      <c r="F273" s="56">
        <v>0</v>
      </c>
      <c r="G273" s="56">
        <v>0</v>
      </c>
      <c r="H273" s="56">
        <v>0</v>
      </c>
      <c r="I273" s="56"/>
      <c r="J273" s="56"/>
    </row>
    <row r="274" spans="1:11" x14ac:dyDescent="0.25">
      <c r="A274" s="93">
        <v>15</v>
      </c>
      <c r="B274" s="94" t="s">
        <v>37</v>
      </c>
      <c r="C274" s="23" t="s">
        <v>15</v>
      </c>
      <c r="D274" s="56"/>
      <c r="E274" s="56">
        <v>0</v>
      </c>
      <c r="F274" s="56">
        <v>0</v>
      </c>
      <c r="G274" s="56">
        <v>0</v>
      </c>
      <c r="H274" s="56">
        <v>0</v>
      </c>
      <c r="I274" s="56">
        <v>0</v>
      </c>
      <c r="J274" s="56"/>
    </row>
    <row r="275" spans="1:11" ht="11" thickBot="1" x14ac:dyDescent="0.3">
      <c r="A275" s="95">
        <v>15</v>
      </c>
      <c r="B275" s="96" t="s">
        <v>37</v>
      </c>
      <c r="C275" s="24" t="s">
        <v>16</v>
      </c>
      <c r="D275" s="77"/>
      <c r="E275" s="56">
        <v>0</v>
      </c>
      <c r="F275" s="56">
        <v>0</v>
      </c>
      <c r="G275" s="56">
        <v>0</v>
      </c>
      <c r="H275" s="56">
        <v>0</v>
      </c>
      <c r="I275" s="77"/>
      <c r="J275" s="77"/>
    </row>
    <row r="276" spans="1:11" s="30" customFormat="1" ht="11.5" thickTop="1" thickBot="1" x14ac:dyDescent="0.3">
      <c r="A276" s="87">
        <v>15</v>
      </c>
      <c r="B276" s="88" t="s">
        <v>37</v>
      </c>
      <c r="C276" s="27" t="s">
        <v>17</v>
      </c>
      <c r="D276" s="71">
        <v>1</v>
      </c>
      <c r="E276" s="71">
        <v>0</v>
      </c>
      <c r="F276" s="71">
        <v>0</v>
      </c>
      <c r="G276" s="71">
        <v>0</v>
      </c>
      <c r="H276" s="71">
        <v>0</v>
      </c>
      <c r="I276" s="71">
        <v>5817370</v>
      </c>
      <c r="J276" s="71"/>
      <c r="K276" s="2"/>
    </row>
    <row r="277" spans="1:11" ht="11" thickTop="1" x14ac:dyDescent="0.25">
      <c r="A277" s="98">
        <v>15</v>
      </c>
      <c r="B277" s="99" t="s">
        <v>37</v>
      </c>
      <c r="C277" s="31" t="s">
        <v>18</v>
      </c>
      <c r="D277" s="79"/>
      <c r="E277" s="79"/>
      <c r="F277" s="79"/>
      <c r="G277" s="79"/>
      <c r="H277" s="79"/>
      <c r="I277" s="79"/>
      <c r="J277" s="79"/>
    </row>
    <row r="278" spans="1:11" x14ac:dyDescent="0.25">
      <c r="A278" s="93">
        <v>15</v>
      </c>
      <c r="B278" s="94" t="s">
        <v>37</v>
      </c>
      <c r="C278" s="35" t="s">
        <v>19</v>
      </c>
      <c r="D278" s="56"/>
      <c r="E278" s="56"/>
      <c r="F278" s="56"/>
      <c r="G278" s="56"/>
      <c r="H278" s="56"/>
      <c r="I278" s="56"/>
      <c r="J278" s="56"/>
    </row>
    <row r="279" spans="1:11" x14ac:dyDescent="0.25">
      <c r="A279" s="82">
        <v>16</v>
      </c>
      <c r="B279" s="83" t="s">
        <v>38</v>
      </c>
      <c r="C279" s="37" t="s">
        <v>13</v>
      </c>
      <c r="D279" s="66"/>
      <c r="E279" s="66"/>
      <c r="F279" s="66"/>
      <c r="G279" s="66"/>
      <c r="H279" s="66"/>
      <c r="I279" s="66"/>
      <c r="J279" s="66"/>
    </row>
    <row r="280" spans="1:11" x14ac:dyDescent="0.25">
      <c r="A280" s="82">
        <v>16</v>
      </c>
      <c r="B280" s="83" t="s">
        <v>38</v>
      </c>
      <c r="C280" s="37" t="s">
        <v>14</v>
      </c>
      <c r="D280" s="101">
        <v>11</v>
      </c>
      <c r="E280" s="38">
        <v>1</v>
      </c>
      <c r="F280" s="66"/>
      <c r="G280" s="66"/>
      <c r="H280" s="101">
        <v>12</v>
      </c>
      <c r="I280" s="66">
        <v>302614172</v>
      </c>
      <c r="J280" s="66"/>
    </row>
    <row r="281" spans="1:11" x14ac:dyDescent="0.25">
      <c r="A281" s="82">
        <v>16</v>
      </c>
      <c r="B281" s="83" t="s">
        <v>38</v>
      </c>
      <c r="C281" s="37" t="s">
        <v>15</v>
      </c>
      <c r="D281" s="66">
        <v>3</v>
      </c>
      <c r="E281" s="66">
        <v>24</v>
      </c>
      <c r="F281" s="66"/>
      <c r="G281" s="66"/>
      <c r="H281" s="66">
        <v>27</v>
      </c>
      <c r="I281" s="66">
        <v>66162856</v>
      </c>
      <c r="J281" s="66"/>
    </row>
    <row r="282" spans="1:11" ht="11" thickBot="1" x14ac:dyDescent="0.3">
      <c r="A282" s="84">
        <v>16</v>
      </c>
      <c r="B282" s="85" t="s">
        <v>38</v>
      </c>
      <c r="C282" s="42" t="s">
        <v>16</v>
      </c>
      <c r="D282" s="100">
        <v>29</v>
      </c>
      <c r="E282" s="100">
        <v>2</v>
      </c>
      <c r="F282" s="69"/>
      <c r="G282" s="69"/>
      <c r="H282" s="100">
        <v>31</v>
      </c>
      <c r="I282" s="69">
        <v>248977585</v>
      </c>
      <c r="J282" s="69"/>
    </row>
    <row r="283" spans="1:11" s="30" customFormat="1" ht="11.5" thickTop="1" thickBot="1" x14ac:dyDescent="0.3">
      <c r="A283" s="87">
        <v>16</v>
      </c>
      <c r="B283" s="88" t="s">
        <v>38</v>
      </c>
      <c r="C283" s="27" t="s">
        <v>17</v>
      </c>
      <c r="D283" s="71">
        <v>43</v>
      </c>
      <c r="E283" s="71">
        <v>27</v>
      </c>
      <c r="F283" s="71"/>
      <c r="G283" s="71"/>
      <c r="H283" s="71">
        <v>70</v>
      </c>
      <c r="I283" s="71">
        <v>617754613</v>
      </c>
      <c r="J283" s="71"/>
      <c r="K283" s="2"/>
    </row>
    <row r="284" spans="1:11" ht="11" thickTop="1" x14ac:dyDescent="0.25">
      <c r="A284" s="90">
        <v>16</v>
      </c>
      <c r="B284" s="91" t="s">
        <v>38</v>
      </c>
      <c r="C284" s="46" t="s">
        <v>18</v>
      </c>
      <c r="D284" s="74"/>
      <c r="E284" s="74"/>
      <c r="F284" s="74"/>
      <c r="G284" s="74"/>
      <c r="H284" s="74"/>
      <c r="I284" s="74"/>
      <c r="J284" s="74"/>
    </row>
    <row r="285" spans="1:11" x14ac:dyDescent="0.25">
      <c r="A285" s="82">
        <v>16</v>
      </c>
      <c r="B285" s="83" t="s">
        <v>38</v>
      </c>
      <c r="C285" s="50" t="s">
        <v>19</v>
      </c>
      <c r="D285" s="66"/>
      <c r="E285" s="102"/>
      <c r="F285" s="66"/>
      <c r="G285" s="66"/>
      <c r="H285" s="66"/>
      <c r="I285" s="66"/>
      <c r="J285" s="66"/>
    </row>
    <row r="286" spans="1:11" x14ac:dyDescent="0.25">
      <c r="A286" s="82">
        <v>16</v>
      </c>
      <c r="B286" s="83" t="s">
        <v>38</v>
      </c>
      <c r="C286" s="50" t="s">
        <v>50</v>
      </c>
      <c r="D286" s="66">
        <v>78</v>
      </c>
      <c r="E286" s="102">
        <v>29</v>
      </c>
      <c r="F286" s="66"/>
      <c r="G286" s="66"/>
      <c r="H286" s="66">
        <v>107</v>
      </c>
      <c r="I286" s="66">
        <v>1477925233</v>
      </c>
      <c r="J286" s="66"/>
    </row>
    <row r="287" spans="1:11" x14ac:dyDescent="0.25">
      <c r="A287" s="93">
        <v>17</v>
      </c>
      <c r="B287" s="94" t="s">
        <v>39</v>
      </c>
      <c r="C287" s="23" t="s">
        <v>13</v>
      </c>
      <c r="D287" s="56">
        <v>0</v>
      </c>
      <c r="E287" s="56">
        <v>0</v>
      </c>
      <c r="F287" s="56">
        <v>0</v>
      </c>
      <c r="G287" s="56">
        <v>0</v>
      </c>
      <c r="H287" s="56">
        <v>0</v>
      </c>
      <c r="I287" s="56">
        <v>0</v>
      </c>
      <c r="J287" s="56">
        <v>0</v>
      </c>
    </row>
    <row r="288" spans="1:11" x14ac:dyDescent="0.25">
      <c r="A288" s="93">
        <v>17</v>
      </c>
      <c r="B288" s="94" t="s">
        <v>39</v>
      </c>
      <c r="C288" s="23" t="s">
        <v>14</v>
      </c>
      <c r="D288" s="56">
        <v>0</v>
      </c>
      <c r="E288" s="56">
        <v>0</v>
      </c>
      <c r="F288" s="56">
        <v>0</v>
      </c>
      <c r="G288" s="56">
        <v>0</v>
      </c>
      <c r="H288" s="56">
        <v>1</v>
      </c>
      <c r="I288" s="56">
        <v>0</v>
      </c>
      <c r="J288" s="56">
        <v>0</v>
      </c>
    </row>
    <row r="289" spans="1:14" x14ac:dyDescent="0.25">
      <c r="A289" s="93">
        <v>17</v>
      </c>
      <c r="B289" s="94" t="s">
        <v>39</v>
      </c>
      <c r="C289" s="23" t="s">
        <v>15</v>
      </c>
      <c r="D289" s="56">
        <v>0</v>
      </c>
      <c r="E289" s="56">
        <v>0</v>
      </c>
      <c r="F289" s="56">
        <v>0</v>
      </c>
      <c r="G289" s="56">
        <v>0</v>
      </c>
      <c r="H289" s="56">
        <v>1</v>
      </c>
      <c r="I289" s="56">
        <v>0</v>
      </c>
      <c r="J289" s="56">
        <v>0</v>
      </c>
    </row>
    <row r="290" spans="1:14" ht="11" thickBot="1" x14ac:dyDescent="0.3">
      <c r="A290" s="95">
        <v>17</v>
      </c>
      <c r="B290" s="96" t="s">
        <v>39</v>
      </c>
      <c r="C290" s="24" t="s">
        <v>16</v>
      </c>
      <c r="D290" s="56">
        <v>0</v>
      </c>
      <c r="E290" s="56">
        <v>0</v>
      </c>
      <c r="F290" s="56">
        <v>0</v>
      </c>
      <c r="G290" s="56">
        <v>0</v>
      </c>
      <c r="H290" s="77"/>
      <c r="I290" s="56">
        <v>0</v>
      </c>
      <c r="J290" s="56">
        <v>0</v>
      </c>
    </row>
    <row r="291" spans="1:14" s="30" customFormat="1" ht="11.5" thickTop="1" thickBot="1" x14ac:dyDescent="0.3">
      <c r="A291" s="87">
        <v>17</v>
      </c>
      <c r="B291" s="88" t="s">
        <v>39</v>
      </c>
      <c r="C291" s="27" t="s">
        <v>17</v>
      </c>
      <c r="D291" s="71">
        <v>0</v>
      </c>
      <c r="E291" s="71">
        <v>0</v>
      </c>
      <c r="F291" s="71">
        <v>0</v>
      </c>
      <c r="G291" s="71">
        <v>0</v>
      </c>
      <c r="H291" s="71">
        <v>0</v>
      </c>
      <c r="I291" s="71">
        <v>0</v>
      </c>
      <c r="J291" s="71">
        <v>0</v>
      </c>
      <c r="K291" s="2"/>
      <c r="N291" s="30">
        <v>0</v>
      </c>
    </row>
    <row r="292" spans="1:14" ht="11" thickTop="1" x14ac:dyDescent="0.25">
      <c r="A292" s="98">
        <v>17</v>
      </c>
      <c r="B292" s="99" t="s">
        <v>39</v>
      </c>
      <c r="C292" s="31" t="s">
        <v>18</v>
      </c>
      <c r="D292" s="79"/>
      <c r="E292" s="79"/>
      <c r="F292" s="79"/>
      <c r="G292" s="79"/>
      <c r="H292" s="79"/>
      <c r="I292" s="79"/>
      <c r="J292" s="79"/>
    </row>
    <row r="293" spans="1:14" x14ac:dyDescent="0.25">
      <c r="A293" s="93">
        <v>17</v>
      </c>
      <c r="B293" s="94" t="s">
        <v>39</v>
      </c>
      <c r="C293" s="35" t="s">
        <v>19</v>
      </c>
      <c r="D293" s="56"/>
      <c r="E293" s="56"/>
      <c r="F293" s="56"/>
      <c r="G293" s="56"/>
      <c r="H293" s="56"/>
      <c r="I293" s="56"/>
      <c r="J293" s="56"/>
    </row>
    <row r="294" spans="1:14" x14ac:dyDescent="0.25">
      <c r="A294" s="82">
        <v>18</v>
      </c>
      <c r="B294" s="83" t="s">
        <v>40</v>
      </c>
      <c r="C294" s="37" t="s">
        <v>13</v>
      </c>
      <c r="D294" s="66">
        <v>1</v>
      </c>
      <c r="E294" s="38"/>
      <c r="F294" s="38"/>
      <c r="G294" s="38"/>
      <c r="H294" s="66"/>
      <c r="I294" s="38">
        <v>20231578</v>
      </c>
      <c r="J294" s="38">
        <v>0</v>
      </c>
    </row>
    <row r="295" spans="1:14" x14ac:dyDescent="0.25">
      <c r="A295" s="82">
        <v>18</v>
      </c>
      <c r="B295" s="83" t="s">
        <v>40</v>
      </c>
      <c r="C295" s="37" t="s">
        <v>14</v>
      </c>
      <c r="D295" s="66">
        <v>2</v>
      </c>
      <c r="E295" s="38"/>
      <c r="F295" s="38"/>
      <c r="G295" s="38"/>
      <c r="H295" s="66"/>
      <c r="I295" s="38">
        <v>31392593</v>
      </c>
      <c r="J295" s="38">
        <v>0</v>
      </c>
    </row>
    <row r="296" spans="1:14" x14ac:dyDescent="0.25">
      <c r="A296" s="82">
        <v>18</v>
      </c>
      <c r="B296" s="83" t="s">
        <v>40</v>
      </c>
      <c r="C296" s="37" t="s">
        <v>15</v>
      </c>
      <c r="D296" s="101">
        <v>1</v>
      </c>
      <c r="E296" s="38"/>
      <c r="F296" s="38"/>
      <c r="G296" s="38"/>
      <c r="H296" s="66"/>
      <c r="I296" s="38">
        <v>6919143</v>
      </c>
      <c r="J296" s="38">
        <v>0</v>
      </c>
    </row>
    <row r="297" spans="1:14" ht="11" thickBot="1" x14ac:dyDescent="0.3">
      <c r="A297" s="84">
        <v>18</v>
      </c>
      <c r="B297" s="85" t="s">
        <v>40</v>
      </c>
      <c r="C297" s="42" t="s">
        <v>16</v>
      </c>
      <c r="D297" s="43"/>
      <c r="E297" s="100">
        <v>1</v>
      </c>
      <c r="F297" s="43"/>
      <c r="G297" s="43"/>
      <c r="H297" s="43"/>
      <c r="I297" s="100">
        <v>884208</v>
      </c>
      <c r="J297" s="38">
        <v>0</v>
      </c>
    </row>
    <row r="298" spans="1:14" s="30" customFormat="1" ht="11.5" thickTop="1" thickBot="1" x14ac:dyDescent="0.3">
      <c r="A298" s="87">
        <v>18</v>
      </c>
      <c r="B298" s="88" t="s">
        <v>40</v>
      </c>
      <c r="C298" s="27" t="s">
        <v>17</v>
      </c>
      <c r="D298" s="71">
        <v>4</v>
      </c>
      <c r="E298" s="71">
        <v>1</v>
      </c>
      <c r="F298" s="71"/>
      <c r="G298" s="71"/>
      <c r="H298" s="71">
        <v>0</v>
      </c>
      <c r="I298" s="71">
        <v>59427522</v>
      </c>
      <c r="J298" s="71">
        <v>0</v>
      </c>
      <c r="K298" s="2"/>
    </row>
    <row r="299" spans="1:14" ht="11" thickTop="1" x14ac:dyDescent="0.25">
      <c r="A299" s="90">
        <v>18</v>
      </c>
      <c r="B299" s="91" t="s">
        <v>40</v>
      </c>
      <c r="C299" s="46" t="s">
        <v>18</v>
      </c>
      <c r="D299" s="92">
        <v>4</v>
      </c>
      <c r="E299" s="92">
        <v>1</v>
      </c>
      <c r="F299" s="92"/>
      <c r="G299" s="92"/>
      <c r="H299" s="92"/>
      <c r="I299" s="92"/>
      <c r="J299" s="38">
        <v>0</v>
      </c>
    </row>
    <row r="300" spans="1:14" x14ac:dyDescent="0.25">
      <c r="A300" s="82">
        <v>18</v>
      </c>
      <c r="B300" s="83" t="s">
        <v>40</v>
      </c>
      <c r="C300" s="50" t="s">
        <v>19</v>
      </c>
      <c r="D300" s="38"/>
      <c r="E300" s="38"/>
      <c r="F300" s="38"/>
      <c r="G300" s="38"/>
      <c r="H300" s="38"/>
      <c r="I300" s="38"/>
      <c r="J300" s="38">
        <v>0</v>
      </c>
    </row>
    <row r="301" spans="1:14" x14ac:dyDescent="0.25">
      <c r="A301" s="82">
        <v>18</v>
      </c>
      <c r="B301" s="83" t="s">
        <v>40</v>
      </c>
      <c r="C301" s="50" t="s">
        <v>50</v>
      </c>
      <c r="D301" s="38">
        <v>51</v>
      </c>
      <c r="E301" s="38">
        <v>6</v>
      </c>
      <c r="F301" s="38"/>
      <c r="G301" s="38"/>
      <c r="H301" s="38">
        <v>57</v>
      </c>
      <c r="I301" s="38">
        <v>59427522</v>
      </c>
      <c r="J301" s="38">
        <v>0</v>
      </c>
    </row>
    <row r="302" spans="1:14" x14ac:dyDescent="0.25">
      <c r="A302" s="93">
        <v>19</v>
      </c>
      <c r="B302" s="94" t="s">
        <v>42</v>
      </c>
      <c r="C302" s="23" t="s">
        <v>13</v>
      </c>
      <c r="D302" s="56"/>
      <c r="E302" s="56"/>
      <c r="F302" s="20"/>
      <c r="G302" s="20"/>
      <c r="H302" s="56"/>
      <c r="I302" s="103"/>
      <c r="J302" s="56"/>
    </row>
    <row r="303" spans="1:14" x14ac:dyDescent="0.25">
      <c r="A303" s="93">
        <v>19</v>
      </c>
      <c r="B303" s="94" t="s">
        <v>42</v>
      </c>
      <c r="C303" s="23" t="s">
        <v>14</v>
      </c>
      <c r="D303" s="56"/>
      <c r="E303" s="20"/>
      <c r="F303" s="56"/>
      <c r="G303" s="56"/>
      <c r="H303" s="56"/>
      <c r="I303" s="56"/>
      <c r="J303" s="103"/>
    </row>
    <row r="304" spans="1:14" x14ac:dyDescent="0.25">
      <c r="A304" s="93">
        <v>19</v>
      </c>
      <c r="B304" s="94" t="s">
        <v>42</v>
      </c>
      <c r="C304" s="23" t="s">
        <v>15</v>
      </c>
      <c r="D304" s="56"/>
      <c r="E304" s="56"/>
      <c r="F304" s="56"/>
      <c r="G304" s="56"/>
      <c r="H304" s="56"/>
      <c r="I304" s="56"/>
      <c r="J304" s="56"/>
    </row>
    <row r="305" spans="1:11" ht="11" thickBot="1" x14ac:dyDescent="0.3">
      <c r="A305" s="95">
        <v>19</v>
      </c>
      <c r="B305" s="96" t="s">
        <v>42</v>
      </c>
      <c r="C305" s="24" t="s">
        <v>16</v>
      </c>
      <c r="D305" s="77"/>
      <c r="E305" s="77"/>
      <c r="F305" s="77"/>
      <c r="G305" s="77"/>
      <c r="H305" s="77"/>
      <c r="I305" s="77"/>
      <c r="J305" s="77"/>
    </row>
    <row r="306" spans="1:11" s="30" customFormat="1" ht="11.5" thickTop="1" thickBot="1" x14ac:dyDescent="0.3">
      <c r="A306" s="87">
        <v>19</v>
      </c>
      <c r="B306" s="88" t="s">
        <v>42</v>
      </c>
      <c r="C306" s="27" t="s">
        <v>17</v>
      </c>
      <c r="D306" s="71"/>
      <c r="E306" s="71"/>
      <c r="F306" s="71"/>
      <c r="G306" s="71"/>
      <c r="H306" s="71"/>
      <c r="I306" s="71"/>
      <c r="J306" s="71"/>
      <c r="K306" s="2"/>
    </row>
    <row r="307" spans="1:11" ht="11" thickTop="1" x14ac:dyDescent="0.25">
      <c r="A307" s="98">
        <v>19</v>
      </c>
      <c r="B307" s="99" t="s">
        <v>42</v>
      </c>
      <c r="C307" s="31" t="s">
        <v>18</v>
      </c>
      <c r="D307" s="79"/>
      <c r="E307" s="79"/>
      <c r="F307" s="79"/>
      <c r="G307" s="79"/>
      <c r="H307" s="79"/>
      <c r="I307" s="79"/>
      <c r="J307" s="79"/>
    </row>
    <row r="308" spans="1:11" x14ac:dyDescent="0.25">
      <c r="A308" s="93">
        <v>19</v>
      </c>
      <c r="B308" s="94" t="s">
        <v>42</v>
      </c>
      <c r="C308" s="35" t="s">
        <v>19</v>
      </c>
      <c r="D308" s="56"/>
      <c r="E308" s="56"/>
      <c r="F308" s="56"/>
      <c r="G308" s="56"/>
      <c r="H308" s="56"/>
      <c r="I308" s="56"/>
      <c r="J308" s="56"/>
    </row>
    <row r="309" spans="1:11" x14ac:dyDescent="0.25">
      <c r="A309" s="82">
        <v>20</v>
      </c>
      <c r="B309" s="83" t="s">
        <v>43</v>
      </c>
      <c r="C309" s="37" t="s">
        <v>13</v>
      </c>
      <c r="D309" s="66">
        <v>0</v>
      </c>
      <c r="E309" s="66">
        <v>0</v>
      </c>
      <c r="F309" s="66">
        <v>0</v>
      </c>
      <c r="G309" s="66">
        <v>0</v>
      </c>
      <c r="H309" s="66">
        <v>0</v>
      </c>
      <c r="I309" s="66">
        <v>0</v>
      </c>
      <c r="J309" s="66">
        <v>0</v>
      </c>
    </row>
    <row r="310" spans="1:11" x14ac:dyDescent="0.25">
      <c r="A310" s="82">
        <v>20</v>
      </c>
      <c r="B310" s="83" t="s">
        <v>43</v>
      </c>
      <c r="C310" s="37" t="s">
        <v>14</v>
      </c>
      <c r="D310" s="66">
        <v>0</v>
      </c>
      <c r="E310" s="66">
        <v>0</v>
      </c>
      <c r="F310" s="66">
        <v>0</v>
      </c>
      <c r="G310" s="66">
        <v>0</v>
      </c>
      <c r="H310" s="66">
        <v>0</v>
      </c>
      <c r="I310" s="66">
        <v>0</v>
      </c>
      <c r="J310" s="66">
        <v>0</v>
      </c>
    </row>
    <row r="311" spans="1:11" x14ac:dyDescent="0.25">
      <c r="A311" s="82">
        <v>20</v>
      </c>
      <c r="B311" s="83" t="s">
        <v>43</v>
      </c>
      <c r="C311" s="37" t="s">
        <v>15</v>
      </c>
      <c r="D311" s="66">
        <v>0</v>
      </c>
      <c r="E311" s="66">
        <v>0</v>
      </c>
      <c r="F311" s="66">
        <v>0</v>
      </c>
      <c r="G311" s="66">
        <v>0</v>
      </c>
      <c r="H311" s="66">
        <v>0</v>
      </c>
      <c r="I311" s="66">
        <v>0</v>
      </c>
      <c r="J311" s="66">
        <v>0</v>
      </c>
    </row>
    <row r="312" spans="1:11" ht="11" thickBot="1" x14ac:dyDescent="0.3">
      <c r="A312" s="84">
        <v>20</v>
      </c>
      <c r="B312" s="85" t="s">
        <v>43</v>
      </c>
      <c r="C312" s="42" t="s">
        <v>16</v>
      </c>
      <c r="D312" s="66">
        <v>0</v>
      </c>
      <c r="E312" s="66">
        <v>0</v>
      </c>
      <c r="F312" s="66">
        <v>0</v>
      </c>
      <c r="G312" s="66">
        <v>0</v>
      </c>
      <c r="H312" s="66">
        <v>0</v>
      </c>
      <c r="I312" s="66">
        <v>0</v>
      </c>
      <c r="J312" s="66">
        <v>0</v>
      </c>
    </row>
    <row r="313" spans="1:11" s="30" customFormat="1" ht="11.5" thickTop="1" thickBot="1" x14ac:dyDescent="0.3">
      <c r="A313" s="87">
        <v>20</v>
      </c>
      <c r="B313" s="88" t="s">
        <v>43</v>
      </c>
      <c r="C313" s="27" t="s">
        <v>17</v>
      </c>
      <c r="D313" s="71">
        <v>0</v>
      </c>
      <c r="E313" s="71">
        <v>0</v>
      </c>
      <c r="F313" s="71">
        <v>0</v>
      </c>
      <c r="G313" s="71">
        <v>0</v>
      </c>
      <c r="H313" s="71">
        <v>0</v>
      </c>
      <c r="I313" s="71">
        <v>0</v>
      </c>
      <c r="J313" s="71">
        <v>0</v>
      </c>
      <c r="K313" s="2"/>
    </row>
    <row r="314" spans="1:11" ht="11" thickTop="1" x14ac:dyDescent="0.25">
      <c r="A314" s="90">
        <v>20</v>
      </c>
      <c r="B314" s="91" t="s">
        <v>43</v>
      </c>
      <c r="C314" s="46" t="s">
        <v>18</v>
      </c>
      <c r="D314" s="66">
        <v>0</v>
      </c>
      <c r="E314" s="66">
        <v>0</v>
      </c>
      <c r="F314" s="66">
        <v>0</v>
      </c>
      <c r="G314" s="66">
        <v>0</v>
      </c>
      <c r="H314" s="66">
        <v>0</v>
      </c>
      <c r="I314" s="66">
        <v>0</v>
      </c>
      <c r="J314" s="66">
        <v>0</v>
      </c>
    </row>
    <row r="315" spans="1:11" x14ac:dyDescent="0.25">
      <c r="A315" s="82">
        <v>20</v>
      </c>
      <c r="B315" s="83" t="s">
        <v>43</v>
      </c>
      <c r="C315" s="50" t="s">
        <v>19</v>
      </c>
      <c r="D315" s="66">
        <v>0</v>
      </c>
      <c r="E315" s="66">
        <v>0</v>
      </c>
      <c r="F315" s="66">
        <v>0</v>
      </c>
      <c r="G315" s="66">
        <v>0</v>
      </c>
      <c r="H315" s="66">
        <v>0</v>
      </c>
      <c r="I315" s="66">
        <v>0</v>
      </c>
      <c r="J315" s="66">
        <v>0</v>
      </c>
    </row>
    <row r="316" spans="1:11" x14ac:dyDescent="0.25">
      <c r="A316" s="82">
        <v>20</v>
      </c>
      <c r="B316" s="83" t="s">
        <v>43</v>
      </c>
      <c r="C316" s="83" t="s">
        <v>50</v>
      </c>
      <c r="D316" s="66">
        <v>717</v>
      </c>
      <c r="E316" s="66">
        <v>16</v>
      </c>
      <c r="F316" s="66">
        <v>12</v>
      </c>
      <c r="G316" s="66">
        <v>0</v>
      </c>
      <c r="H316" s="66">
        <v>2208269065</v>
      </c>
      <c r="I316" s="66">
        <v>84831766</v>
      </c>
      <c r="J316" s="66">
        <v>96164408</v>
      </c>
    </row>
    <row r="317" spans="1:11" x14ac:dyDescent="0.25">
      <c r="A317" s="93">
        <v>21</v>
      </c>
      <c r="B317" s="94" t="s">
        <v>44</v>
      </c>
      <c r="C317" s="23" t="s">
        <v>13</v>
      </c>
      <c r="D317" s="56">
        <v>0</v>
      </c>
      <c r="E317" s="56">
        <v>0</v>
      </c>
      <c r="F317" s="56">
        <v>0</v>
      </c>
      <c r="G317" s="56">
        <v>0</v>
      </c>
      <c r="H317" s="56">
        <v>0</v>
      </c>
      <c r="I317" s="56">
        <v>0</v>
      </c>
      <c r="J317" s="56">
        <v>0</v>
      </c>
    </row>
    <row r="318" spans="1:11" x14ac:dyDescent="0.25">
      <c r="A318" s="93">
        <v>21</v>
      </c>
      <c r="B318" s="94" t="s">
        <v>44</v>
      </c>
      <c r="C318" s="23" t="s">
        <v>14</v>
      </c>
      <c r="D318" s="56">
        <v>0</v>
      </c>
      <c r="E318" s="56">
        <v>0</v>
      </c>
      <c r="F318" s="56">
        <v>0</v>
      </c>
      <c r="G318" s="56">
        <v>0</v>
      </c>
      <c r="H318" s="56">
        <v>0</v>
      </c>
      <c r="I318" s="56">
        <v>0</v>
      </c>
      <c r="J318" s="56">
        <v>0</v>
      </c>
    </row>
    <row r="319" spans="1:11" x14ac:dyDescent="0.25">
      <c r="A319" s="93">
        <v>21</v>
      </c>
      <c r="B319" s="94" t="s">
        <v>44</v>
      </c>
      <c r="C319" s="23" t="s">
        <v>15</v>
      </c>
      <c r="D319" s="56">
        <v>1</v>
      </c>
      <c r="E319" s="56">
        <v>2</v>
      </c>
      <c r="F319" s="56">
        <v>0</v>
      </c>
      <c r="G319" s="56">
        <v>0</v>
      </c>
      <c r="H319" s="56">
        <v>3</v>
      </c>
      <c r="I319" s="56">
        <v>4871457</v>
      </c>
      <c r="J319" s="56">
        <v>0</v>
      </c>
    </row>
    <row r="320" spans="1:11" ht="11" thickBot="1" x14ac:dyDescent="0.3">
      <c r="A320" s="95">
        <v>21</v>
      </c>
      <c r="B320" s="96" t="s">
        <v>44</v>
      </c>
      <c r="C320" s="24" t="s">
        <v>16</v>
      </c>
      <c r="D320" s="77">
        <v>14</v>
      </c>
      <c r="E320" s="77">
        <v>0</v>
      </c>
      <c r="F320" s="77">
        <v>0</v>
      </c>
      <c r="G320" s="77">
        <v>0</v>
      </c>
      <c r="H320" s="77">
        <v>14</v>
      </c>
      <c r="I320" s="77">
        <v>10211815</v>
      </c>
      <c r="J320" s="77">
        <v>0</v>
      </c>
    </row>
    <row r="321" spans="1:11" s="30" customFormat="1" ht="11.5" thickTop="1" thickBot="1" x14ac:dyDescent="0.3">
      <c r="A321" s="87">
        <v>21</v>
      </c>
      <c r="B321" s="88" t="s">
        <v>44</v>
      </c>
      <c r="C321" s="27" t="s">
        <v>17</v>
      </c>
      <c r="D321" s="71">
        <v>15</v>
      </c>
      <c r="E321" s="71">
        <v>2</v>
      </c>
      <c r="F321" s="71">
        <v>0</v>
      </c>
      <c r="G321" s="71">
        <v>0</v>
      </c>
      <c r="H321" s="71">
        <v>17</v>
      </c>
      <c r="I321" s="71">
        <v>15083272</v>
      </c>
      <c r="J321" s="71">
        <v>0</v>
      </c>
      <c r="K321" s="2"/>
    </row>
    <row r="322" spans="1:11" ht="11" thickTop="1" x14ac:dyDescent="0.25">
      <c r="A322" s="98">
        <v>21</v>
      </c>
      <c r="B322" s="99" t="s">
        <v>44</v>
      </c>
      <c r="C322" s="31" t="s">
        <v>18</v>
      </c>
      <c r="D322" s="79">
        <v>15</v>
      </c>
      <c r="E322" s="79">
        <v>2</v>
      </c>
      <c r="F322" s="79">
        <v>0</v>
      </c>
      <c r="G322" s="79">
        <v>0</v>
      </c>
      <c r="H322" s="79">
        <v>17</v>
      </c>
      <c r="I322" s="79">
        <v>15083272</v>
      </c>
      <c r="J322" s="79">
        <v>0</v>
      </c>
    </row>
    <row r="323" spans="1:11" x14ac:dyDescent="0.25">
      <c r="A323" s="93">
        <v>21</v>
      </c>
      <c r="B323" s="94" t="s">
        <v>44</v>
      </c>
      <c r="C323" s="35" t="s">
        <v>19</v>
      </c>
      <c r="D323" s="56">
        <v>0</v>
      </c>
      <c r="E323" s="56">
        <v>0</v>
      </c>
      <c r="F323" s="56">
        <v>0</v>
      </c>
      <c r="G323" s="56">
        <v>0</v>
      </c>
      <c r="H323" s="56">
        <v>0</v>
      </c>
      <c r="I323" s="56">
        <v>0</v>
      </c>
      <c r="J323" s="56">
        <v>0</v>
      </c>
    </row>
    <row r="324" spans="1:11" x14ac:dyDescent="0.25">
      <c r="A324" s="93">
        <v>21</v>
      </c>
      <c r="B324" s="94" t="s">
        <v>44</v>
      </c>
      <c r="C324" s="35" t="s">
        <v>50</v>
      </c>
      <c r="D324" s="56">
        <v>438</v>
      </c>
      <c r="E324" s="56">
        <v>52</v>
      </c>
      <c r="F324" s="56">
        <v>18</v>
      </c>
      <c r="G324" s="56">
        <v>1</v>
      </c>
      <c r="H324" s="56">
        <v>0</v>
      </c>
      <c r="I324" s="56">
        <v>1513239816</v>
      </c>
      <c r="J324" s="56">
        <v>380539818</v>
      </c>
    </row>
    <row r="325" spans="1:11" x14ac:dyDescent="0.25">
      <c r="A325" s="82">
        <v>22</v>
      </c>
      <c r="B325" s="83" t="s">
        <v>51</v>
      </c>
      <c r="C325" s="37" t="s">
        <v>13</v>
      </c>
      <c r="D325" s="66"/>
      <c r="E325" s="101"/>
      <c r="F325" s="39"/>
      <c r="G325" s="38"/>
      <c r="H325" s="66"/>
      <c r="I325" s="104"/>
      <c r="J325" s="66"/>
    </row>
    <row r="326" spans="1:11" x14ac:dyDescent="0.25">
      <c r="A326" s="82">
        <v>22</v>
      </c>
      <c r="B326" s="83" t="s">
        <v>51</v>
      </c>
      <c r="C326" s="37" t="s">
        <v>14</v>
      </c>
      <c r="D326" s="66"/>
      <c r="E326" s="39"/>
      <c r="F326" s="101"/>
      <c r="G326" s="101"/>
      <c r="H326" s="66"/>
      <c r="I326" s="66"/>
      <c r="J326" s="104"/>
    </row>
    <row r="327" spans="1:11" x14ac:dyDescent="0.25">
      <c r="A327" s="82">
        <v>22</v>
      </c>
      <c r="B327" s="83" t="s">
        <v>51</v>
      </c>
      <c r="C327" s="37" t="s">
        <v>15</v>
      </c>
      <c r="D327" s="101"/>
      <c r="E327" s="101"/>
      <c r="F327" s="101"/>
      <c r="G327" s="101"/>
      <c r="H327" s="66"/>
      <c r="I327" s="101"/>
      <c r="J327" s="101"/>
    </row>
    <row r="328" spans="1:11" ht="11" thickBot="1" x14ac:dyDescent="0.3">
      <c r="A328" s="84">
        <v>22</v>
      </c>
      <c r="B328" s="85" t="s">
        <v>51</v>
      </c>
      <c r="C328" s="42" t="s">
        <v>16</v>
      </c>
      <c r="D328" s="100"/>
      <c r="E328" s="100"/>
      <c r="F328" s="100"/>
      <c r="G328" s="100"/>
      <c r="H328" s="69"/>
      <c r="I328" s="100"/>
      <c r="J328" s="100"/>
    </row>
    <row r="329" spans="1:11" s="30" customFormat="1" ht="11.5" thickTop="1" thickBot="1" x14ac:dyDescent="0.3">
      <c r="A329" s="87">
        <v>22</v>
      </c>
      <c r="B329" s="88" t="s">
        <v>51</v>
      </c>
      <c r="C329" s="27" t="s">
        <v>17</v>
      </c>
      <c r="D329" s="71"/>
      <c r="E329" s="71"/>
      <c r="F329" s="71"/>
      <c r="G329" s="71"/>
      <c r="H329" s="71"/>
      <c r="I329" s="71"/>
      <c r="J329" s="71"/>
      <c r="K329" s="2"/>
    </row>
    <row r="330" spans="1:11" ht="11" thickTop="1" x14ac:dyDescent="0.25">
      <c r="A330" s="90">
        <v>22</v>
      </c>
      <c r="B330" s="91" t="s">
        <v>51</v>
      </c>
      <c r="C330" s="46" t="s">
        <v>18</v>
      </c>
      <c r="D330" s="74"/>
      <c r="E330" s="74"/>
      <c r="F330" s="74"/>
      <c r="G330" s="74"/>
      <c r="H330" s="74"/>
      <c r="I330" s="74"/>
      <c r="J330" s="74"/>
    </row>
    <row r="331" spans="1:11" x14ac:dyDescent="0.25">
      <c r="A331" s="82">
        <v>22</v>
      </c>
      <c r="B331" s="83" t="s">
        <v>51</v>
      </c>
      <c r="C331" s="50" t="s">
        <v>19</v>
      </c>
      <c r="D331" s="66"/>
      <c r="E331" s="66"/>
      <c r="F331" s="66"/>
      <c r="G331" s="66"/>
      <c r="H331" s="66"/>
      <c r="I331" s="66"/>
      <c r="J331" s="66"/>
    </row>
    <row r="333" spans="1:11" s="5" customFormat="1" ht="18.5" x14ac:dyDescent="0.35">
      <c r="A333" s="5" t="s">
        <v>52</v>
      </c>
    </row>
    <row r="335" spans="1:11" s="6" customFormat="1" x14ac:dyDescent="0.25"/>
    <row r="336" spans="1:11" x14ac:dyDescent="0.35">
      <c r="A336" s="7"/>
      <c r="B336" s="8"/>
      <c r="C336" s="8"/>
      <c r="D336" s="105" t="s">
        <v>3</v>
      </c>
      <c r="E336" s="105"/>
      <c r="F336" s="105" t="s">
        <v>4</v>
      </c>
      <c r="G336" s="105"/>
      <c r="H336" s="106" t="s">
        <v>5</v>
      </c>
      <c r="I336" s="106"/>
      <c r="J336" s="106" t="s">
        <v>6</v>
      </c>
      <c r="K336" s="106"/>
    </row>
    <row r="337" spans="1:11" ht="11" thickBot="1" x14ac:dyDescent="0.4">
      <c r="A337" s="107" t="s">
        <v>7</v>
      </c>
      <c r="B337" s="108" t="s">
        <v>8</v>
      </c>
      <c r="C337" s="14" t="s">
        <v>9</v>
      </c>
      <c r="D337" s="15" t="s">
        <v>10</v>
      </c>
      <c r="E337" s="15" t="s">
        <v>11</v>
      </c>
      <c r="F337" s="15" t="s">
        <v>10</v>
      </c>
      <c r="G337" s="15" t="s">
        <v>11</v>
      </c>
      <c r="H337" s="109" t="s">
        <v>10</v>
      </c>
      <c r="I337" s="109" t="s">
        <v>11</v>
      </c>
      <c r="J337" s="109" t="s">
        <v>10</v>
      </c>
      <c r="K337" s="110" t="s">
        <v>11</v>
      </c>
    </row>
    <row r="338" spans="1:11" x14ac:dyDescent="0.35">
      <c r="A338" s="111">
        <v>1</v>
      </c>
      <c r="B338" s="65" t="s">
        <v>53</v>
      </c>
      <c r="C338" s="37" t="s">
        <v>13</v>
      </c>
      <c r="D338" s="66">
        <v>2</v>
      </c>
      <c r="E338" s="38">
        <v>2</v>
      </c>
      <c r="F338" s="38">
        <v>1</v>
      </c>
      <c r="G338" s="38">
        <v>0</v>
      </c>
      <c r="H338" s="38">
        <v>243968996</v>
      </c>
      <c r="I338" s="38">
        <v>598992587</v>
      </c>
      <c r="J338" s="38">
        <v>106723362</v>
      </c>
      <c r="K338" s="38">
        <v>0</v>
      </c>
    </row>
    <row r="339" spans="1:11" x14ac:dyDescent="0.35">
      <c r="A339" s="112"/>
      <c r="B339" s="65" t="s">
        <v>53</v>
      </c>
      <c r="C339" s="37" t="s">
        <v>14</v>
      </c>
      <c r="D339" s="101">
        <v>0</v>
      </c>
      <c r="E339" s="38">
        <v>0</v>
      </c>
      <c r="F339" s="38">
        <v>0</v>
      </c>
      <c r="G339" s="38">
        <v>0</v>
      </c>
      <c r="H339" s="38">
        <v>0</v>
      </c>
      <c r="I339" s="101">
        <v>0</v>
      </c>
      <c r="J339" s="38">
        <v>0</v>
      </c>
      <c r="K339" s="38">
        <v>0</v>
      </c>
    </row>
    <row r="340" spans="1:11" x14ac:dyDescent="0.35">
      <c r="A340" s="112"/>
      <c r="B340" s="65" t="s">
        <v>53</v>
      </c>
      <c r="C340" s="37" t="s">
        <v>15</v>
      </c>
      <c r="D340" s="101">
        <v>0</v>
      </c>
      <c r="E340" s="38">
        <v>0</v>
      </c>
      <c r="F340" s="38">
        <v>0</v>
      </c>
      <c r="G340" s="38">
        <v>0</v>
      </c>
      <c r="H340" s="38">
        <v>0</v>
      </c>
      <c r="I340" s="101">
        <v>0</v>
      </c>
      <c r="J340" s="38">
        <v>0</v>
      </c>
      <c r="K340" s="38">
        <v>0</v>
      </c>
    </row>
    <row r="341" spans="1:11" ht="11" thickBot="1" x14ac:dyDescent="0.4">
      <c r="A341" s="112"/>
      <c r="B341" s="65" t="s">
        <v>53</v>
      </c>
      <c r="C341" s="42" t="s">
        <v>16</v>
      </c>
      <c r="D341" s="69">
        <v>0</v>
      </c>
      <c r="E341" s="38">
        <v>0</v>
      </c>
      <c r="F341" s="38">
        <v>0</v>
      </c>
      <c r="G341" s="38">
        <v>0</v>
      </c>
      <c r="H341" s="38">
        <v>0</v>
      </c>
      <c r="I341" s="69">
        <v>0</v>
      </c>
      <c r="J341" s="38">
        <v>0</v>
      </c>
      <c r="K341" s="38">
        <v>0</v>
      </c>
    </row>
    <row r="342" spans="1:11" s="30" customFormat="1" ht="11.5" thickTop="1" thickBot="1" x14ac:dyDescent="0.4">
      <c r="A342" s="112"/>
      <c r="B342" s="27" t="s">
        <v>53</v>
      </c>
      <c r="C342" s="27" t="s">
        <v>54</v>
      </c>
      <c r="D342" s="71">
        <v>2</v>
      </c>
      <c r="E342" s="28">
        <v>2</v>
      </c>
      <c r="F342" s="28">
        <v>1</v>
      </c>
      <c r="G342" s="28">
        <v>0</v>
      </c>
      <c r="H342" s="28">
        <v>243968996</v>
      </c>
      <c r="I342" s="28">
        <v>598992587</v>
      </c>
      <c r="J342" s="28">
        <v>106723362</v>
      </c>
      <c r="K342" s="28">
        <v>0</v>
      </c>
    </row>
    <row r="343" spans="1:11" ht="11" thickTop="1" x14ac:dyDescent="0.35">
      <c r="A343" s="112"/>
      <c r="B343" s="65" t="s">
        <v>53</v>
      </c>
      <c r="C343" s="37" t="s">
        <v>55</v>
      </c>
      <c r="D343" s="101">
        <v>2</v>
      </c>
      <c r="E343" s="38">
        <v>2</v>
      </c>
      <c r="F343" s="38">
        <v>1</v>
      </c>
      <c r="G343" s="38">
        <v>0</v>
      </c>
      <c r="H343" s="38">
        <v>0</v>
      </c>
      <c r="I343" s="101">
        <v>0</v>
      </c>
      <c r="J343" s="38">
        <v>0</v>
      </c>
      <c r="K343" s="38">
        <v>0</v>
      </c>
    </row>
    <row r="344" spans="1:11" x14ac:dyDescent="0.35">
      <c r="A344" s="113"/>
      <c r="B344" s="65" t="s">
        <v>53</v>
      </c>
      <c r="C344" s="42" t="s">
        <v>56</v>
      </c>
      <c r="D344" s="69">
        <v>0</v>
      </c>
      <c r="E344" s="38">
        <v>0</v>
      </c>
      <c r="F344" s="38">
        <v>0</v>
      </c>
      <c r="G344" s="38">
        <v>0</v>
      </c>
      <c r="H344" s="38">
        <v>0</v>
      </c>
      <c r="I344" s="69">
        <v>0</v>
      </c>
      <c r="J344" s="38">
        <v>0</v>
      </c>
      <c r="K344" s="38">
        <v>0</v>
      </c>
    </row>
    <row r="345" spans="1:11" x14ac:dyDescent="0.35">
      <c r="A345" s="111">
        <v>2</v>
      </c>
      <c r="B345" s="75" t="s">
        <v>57</v>
      </c>
      <c r="C345" s="23" t="s">
        <v>13</v>
      </c>
      <c r="D345" s="56">
        <v>11</v>
      </c>
      <c r="E345" s="56">
        <v>0</v>
      </c>
      <c r="F345" s="56">
        <v>0</v>
      </c>
      <c r="G345" s="56">
        <v>0</v>
      </c>
      <c r="H345" s="56">
        <v>97523606</v>
      </c>
      <c r="I345" s="56">
        <v>0</v>
      </c>
      <c r="J345" s="56">
        <v>0</v>
      </c>
      <c r="K345" s="114">
        <v>0</v>
      </c>
    </row>
    <row r="346" spans="1:11" x14ac:dyDescent="0.35">
      <c r="A346" s="112"/>
      <c r="B346" s="75" t="s">
        <v>57</v>
      </c>
      <c r="C346" s="23" t="s">
        <v>14</v>
      </c>
      <c r="D346" s="56">
        <v>0</v>
      </c>
      <c r="E346" s="56">
        <v>0</v>
      </c>
      <c r="F346" s="56">
        <v>0</v>
      </c>
      <c r="G346" s="56">
        <v>0</v>
      </c>
      <c r="H346" s="56">
        <v>0</v>
      </c>
      <c r="I346" s="56">
        <v>0</v>
      </c>
      <c r="J346" s="56">
        <v>0</v>
      </c>
      <c r="K346" s="114">
        <v>0</v>
      </c>
    </row>
    <row r="347" spans="1:11" x14ac:dyDescent="0.35">
      <c r="A347" s="112"/>
      <c r="B347" s="75" t="s">
        <v>57</v>
      </c>
      <c r="C347" s="23" t="s">
        <v>15</v>
      </c>
      <c r="D347" s="56">
        <v>18</v>
      </c>
      <c r="E347" s="56">
        <v>4</v>
      </c>
      <c r="F347" s="56">
        <v>0</v>
      </c>
      <c r="G347" s="56">
        <v>0</v>
      </c>
      <c r="H347" s="56">
        <v>83710953</v>
      </c>
      <c r="I347" s="103">
        <v>13695806</v>
      </c>
      <c r="J347" s="56">
        <v>0</v>
      </c>
      <c r="K347" s="114">
        <v>0</v>
      </c>
    </row>
    <row r="348" spans="1:11" ht="11" thickBot="1" x14ac:dyDescent="0.4">
      <c r="A348" s="112"/>
      <c r="B348" s="75" t="s">
        <v>57</v>
      </c>
      <c r="C348" s="24" t="s">
        <v>16</v>
      </c>
      <c r="D348" s="77">
        <v>32</v>
      </c>
      <c r="E348" s="77">
        <v>5</v>
      </c>
      <c r="F348" s="77">
        <v>0</v>
      </c>
      <c r="G348" s="77">
        <v>0</v>
      </c>
      <c r="H348" s="56">
        <v>81453022</v>
      </c>
      <c r="I348" s="103">
        <v>10678010</v>
      </c>
      <c r="J348" s="56">
        <v>0</v>
      </c>
      <c r="K348" s="115">
        <v>0</v>
      </c>
    </row>
    <row r="349" spans="1:11" s="30" customFormat="1" ht="11.5" thickTop="1" thickBot="1" x14ac:dyDescent="0.4">
      <c r="A349" s="112"/>
      <c r="B349" s="27" t="s">
        <v>57</v>
      </c>
      <c r="C349" s="27" t="s">
        <v>17</v>
      </c>
      <c r="D349" s="71">
        <v>61</v>
      </c>
      <c r="E349" s="28">
        <v>9</v>
      </c>
      <c r="F349" s="28">
        <v>0</v>
      </c>
      <c r="G349" s="28">
        <v>0</v>
      </c>
      <c r="H349" s="28">
        <v>262687581</v>
      </c>
      <c r="I349" s="28">
        <v>24373816</v>
      </c>
      <c r="J349" s="28">
        <v>0</v>
      </c>
      <c r="K349" s="28">
        <v>0</v>
      </c>
    </row>
    <row r="350" spans="1:11" ht="11" thickTop="1" x14ac:dyDescent="0.35">
      <c r="A350" s="112"/>
      <c r="B350" s="75" t="s">
        <v>57</v>
      </c>
      <c r="C350" s="19" t="s">
        <v>18</v>
      </c>
      <c r="D350" s="79">
        <v>0</v>
      </c>
      <c r="E350" s="79">
        <v>0</v>
      </c>
      <c r="F350" s="79">
        <v>0</v>
      </c>
      <c r="G350" s="79">
        <v>0</v>
      </c>
      <c r="H350" s="79">
        <v>0</v>
      </c>
      <c r="I350" s="79">
        <v>0</v>
      </c>
      <c r="J350" s="79">
        <v>0</v>
      </c>
      <c r="K350" s="116">
        <v>0</v>
      </c>
    </row>
    <row r="351" spans="1:11" x14ac:dyDescent="0.35">
      <c r="A351" s="113"/>
      <c r="B351" s="75" t="s">
        <v>57</v>
      </c>
      <c r="C351" s="35" t="s">
        <v>19</v>
      </c>
      <c r="D351" s="56">
        <v>0</v>
      </c>
      <c r="E351" s="56">
        <v>0</v>
      </c>
      <c r="F351" s="56">
        <v>0</v>
      </c>
      <c r="G351" s="56">
        <v>0</v>
      </c>
      <c r="H351" s="56">
        <v>0</v>
      </c>
      <c r="I351" s="56">
        <v>0</v>
      </c>
      <c r="J351" s="56">
        <v>0</v>
      </c>
      <c r="K351" s="114">
        <v>0</v>
      </c>
    </row>
    <row r="352" spans="1:11" x14ac:dyDescent="0.35">
      <c r="A352" s="111">
        <v>3</v>
      </c>
      <c r="B352" s="65" t="s">
        <v>58</v>
      </c>
      <c r="C352" s="37" t="s">
        <v>13</v>
      </c>
      <c r="D352" s="66">
        <v>2</v>
      </c>
      <c r="E352" s="38">
        <v>0</v>
      </c>
      <c r="F352" s="38">
        <v>0</v>
      </c>
      <c r="G352" s="38">
        <v>0</v>
      </c>
      <c r="H352" s="38">
        <v>268193785</v>
      </c>
      <c r="I352" s="38"/>
      <c r="J352" s="38">
        <v>0</v>
      </c>
      <c r="K352" s="38">
        <v>0</v>
      </c>
    </row>
    <row r="353" spans="1:11" x14ac:dyDescent="0.35">
      <c r="A353" s="112"/>
      <c r="B353" s="65" t="s">
        <v>58</v>
      </c>
      <c r="C353" s="37" t="s">
        <v>14</v>
      </c>
      <c r="D353" s="101">
        <v>9</v>
      </c>
      <c r="E353" s="38">
        <v>6</v>
      </c>
      <c r="F353" s="38">
        <v>0</v>
      </c>
      <c r="G353" s="38">
        <v>0</v>
      </c>
      <c r="H353" s="38">
        <v>368113780</v>
      </c>
      <c r="I353" s="101">
        <v>283614044</v>
      </c>
      <c r="J353" s="38">
        <v>0</v>
      </c>
      <c r="K353" s="38">
        <v>0</v>
      </c>
    </row>
    <row r="354" spans="1:11" x14ac:dyDescent="0.35">
      <c r="A354" s="112"/>
      <c r="B354" s="65" t="s">
        <v>58</v>
      </c>
      <c r="C354" s="37" t="s">
        <v>15</v>
      </c>
      <c r="D354" s="101">
        <v>9</v>
      </c>
      <c r="E354" s="38">
        <v>9</v>
      </c>
      <c r="F354" s="38">
        <v>0</v>
      </c>
      <c r="G354" s="38">
        <v>0</v>
      </c>
      <c r="H354" s="38">
        <v>90619474</v>
      </c>
      <c r="I354" s="101">
        <v>99969078</v>
      </c>
      <c r="J354" s="38">
        <v>0</v>
      </c>
      <c r="K354" s="38">
        <v>0</v>
      </c>
    </row>
    <row r="355" spans="1:11" ht="11" thickBot="1" x14ac:dyDescent="0.4">
      <c r="A355" s="112"/>
      <c r="B355" s="65" t="s">
        <v>58</v>
      </c>
      <c r="C355" s="42" t="s">
        <v>16</v>
      </c>
      <c r="D355" s="69">
        <v>5</v>
      </c>
      <c r="E355" s="38">
        <v>0</v>
      </c>
      <c r="F355" s="38">
        <v>0</v>
      </c>
      <c r="G355" s="38">
        <v>0</v>
      </c>
      <c r="H355" s="38">
        <v>31363755</v>
      </c>
      <c r="I355" s="69"/>
      <c r="J355" s="38">
        <v>0</v>
      </c>
      <c r="K355" s="38">
        <v>0</v>
      </c>
    </row>
    <row r="356" spans="1:11" s="30" customFormat="1" ht="11.5" thickTop="1" thickBot="1" x14ac:dyDescent="0.4">
      <c r="A356" s="112"/>
      <c r="B356" s="27" t="s">
        <v>58</v>
      </c>
      <c r="C356" s="27" t="s">
        <v>17</v>
      </c>
      <c r="D356" s="71">
        <v>25</v>
      </c>
      <c r="E356" s="28">
        <v>15</v>
      </c>
      <c r="F356" s="28">
        <v>0</v>
      </c>
      <c r="G356" s="28">
        <v>0</v>
      </c>
      <c r="H356" s="28">
        <v>758290794</v>
      </c>
      <c r="I356" s="28">
        <v>383583122</v>
      </c>
      <c r="J356" s="28">
        <v>0</v>
      </c>
      <c r="K356" s="28">
        <v>0</v>
      </c>
    </row>
    <row r="357" spans="1:11" ht="11" thickTop="1" x14ac:dyDescent="0.35">
      <c r="A357" s="112"/>
      <c r="B357" s="65" t="s">
        <v>58</v>
      </c>
      <c r="C357" s="46" t="s">
        <v>18</v>
      </c>
      <c r="D357" s="101">
        <v>0</v>
      </c>
      <c r="E357" s="38">
        <v>0</v>
      </c>
      <c r="F357" s="38">
        <v>0</v>
      </c>
      <c r="G357" s="38">
        <v>0</v>
      </c>
      <c r="H357" s="38">
        <v>0</v>
      </c>
      <c r="I357" s="101">
        <v>0</v>
      </c>
      <c r="J357" s="38">
        <v>0</v>
      </c>
      <c r="K357" s="38">
        <v>0</v>
      </c>
    </row>
    <row r="358" spans="1:11" x14ac:dyDescent="0.35">
      <c r="A358" s="113"/>
      <c r="B358" s="65" t="s">
        <v>58</v>
      </c>
      <c r="C358" s="50" t="s">
        <v>19</v>
      </c>
      <c r="D358" s="69">
        <v>0</v>
      </c>
      <c r="E358" s="38">
        <v>0</v>
      </c>
      <c r="F358" s="38">
        <v>0</v>
      </c>
      <c r="G358" s="38">
        <v>0</v>
      </c>
      <c r="H358" s="38">
        <v>0</v>
      </c>
      <c r="I358" s="69">
        <v>0</v>
      </c>
      <c r="J358" s="38">
        <v>0</v>
      </c>
      <c r="K358" s="38">
        <v>0</v>
      </c>
    </row>
    <row r="359" spans="1:11" x14ac:dyDescent="0.35">
      <c r="A359" s="111">
        <v>4</v>
      </c>
      <c r="B359" s="76" t="s">
        <v>59</v>
      </c>
      <c r="C359" s="23" t="s">
        <v>13</v>
      </c>
      <c r="D359" s="56">
        <v>0</v>
      </c>
      <c r="E359" s="56">
        <v>0</v>
      </c>
      <c r="F359" s="56">
        <v>0</v>
      </c>
      <c r="G359" s="56">
        <v>0</v>
      </c>
      <c r="H359" s="56">
        <v>0</v>
      </c>
      <c r="I359" s="56">
        <v>0</v>
      </c>
      <c r="J359" s="56">
        <v>0</v>
      </c>
      <c r="K359" s="114">
        <v>0</v>
      </c>
    </row>
    <row r="360" spans="1:11" x14ac:dyDescent="0.35">
      <c r="A360" s="112"/>
      <c r="B360" s="76" t="s">
        <v>59</v>
      </c>
      <c r="C360" s="23" t="s">
        <v>14</v>
      </c>
      <c r="D360" s="56">
        <v>0</v>
      </c>
      <c r="E360" s="56">
        <v>0</v>
      </c>
      <c r="F360" s="56">
        <v>0</v>
      </c>
      <c r="G360" s="56">
        <v>0</v>
      </c>
      <c r="H360" s="56">
        <v>0</v>
      </c>
      <c r="I360" s="56">
        <v>0</v>
      </c>
      <c r="J360" s="56">
        <v>0</v>
      </c>
      <c r="K360" s="114">
        <v>0</v>
      </c>
    </row>
    <row r="361" spans="1:11" x14ac:dyDescent="0.35">
      <c r="A361" s="112"/>
      <c r="B361" s="76" t="s">
        <v>59</v>
      </c>
      <c r="C361" s="23" t="s">
        <v>15</v>
      </c>
      <c r="D361" s="56">
        <v>0</v>
      </c>
      <c r="E361" s="56">
        <v>0</v>
      </c>
      <c r="F361" s="56">
        <v>0</v>
      </c>
      <c r="G361" s="56">
        <v>0</v>
      </c>
      <c r="H361" s="56">
        <v>0</v>
      </c>
      <c r="I361" s="103">
        <v>0</v>
      </c>
      <c r="J361" s="56">
        <v>0</v>
      </c>
      <c r="K361" s="114">
        <v>0</v>
      </c>
    </row>
    <row r="362" spans="1:11" ht="11" thickBot="1" x14ac:dyDescent="0.4">
      <c r="A362" s="112"/>
      <c r="B362" s="76" t="s">
        <v>59</v>
      </c>
      <c r="C362" s="24" t="s">
        <v>16</v>
      </c>
      <c r="D362" s="77">
        <v>0</v>
      </c>
      <c r="E362" s="77">
        <v>0</v>
      </c>
      <c r="F362" s="77">
        <v>0</v>
      </c>
      <c r="G362" s="77">
        <v>0</v>
      </c>
      <c r="H362" s="56">
        <v>0</v>
      </c>
      <c r="I362" s="103">
        <v>0</v>
      </c>
      <c r="J362" s="56">
        <v>0</v>
      </c>
      <c r="K362" s="115">
        <v>0</v>
      </c>
    </row>
    <row r="363" spans="1:11" s="30" customFormat="1" ht="11.5" thickTop="1" thickBot="1" x14ac:dyDescent="0.4">
      <c r="A363" s="112"/>
      <c r="B363" s="70" t="s">
        <v>59</v>
      </c>
      <c r="C363" s="27" t="s">
        <v>17</v>
      </c>
      <c r="D363" s="71">
        <v>0</v>
      </c>
      <c r="E363" s="28">
        <v>0</v>
      </c>
      <c r="F363" s="28">
        <v>0</v>
      </c>
      <c r="G363" s="28">
        <v>0</v>
      </c>
      <c r="H363" s="28">
        <v>0</v>
      </c>
      <c r="I363" s="28">
        <v>0</v>
      </c>
      <c r="J363" s="28">
        <v>0</v>
      </c>
      <c r="K363" s="28">
        <v>0</v>
      </c>
    </row>
    <row r="364" spans="1:11" ht="11" thickTop="1" x14ac:dyDescent="0.35">
      <c r="A364" s="112"/>
      <c r="B364" s="81" t="s">
        <v>59</v>
      </c>
      <c r="C364" s="31" t="s">
        <v>18</v>
      </c>
      <c r="D364" s="79">
        <v>0</v>
      </c>
      <c r="E364" s="79">
        <v>0</v>
      </c>
      <c r="F364" s="79">
        <v>0</v>
      </c>
      <c r="G364" s="79">
        <v>0</v>
      </c>
      <c r="H364" s="79">
        <v>0</v>
      </c>
      <c r="I364" s="79">
        <v>0</v>
      </c>
      <c r="J364" s="79">
        <v>0</v>
      </c>
      <c r="K364" s="116">
        <v>0</v>
      </c>
    </row>
    <row r="365" spans="1:11" x14ac:dyDescent="0.35">
      <c r="A365" s="113"/>
      <c r="B365" s="76" t="s">
        <v>59</v>
      </c>
      <c r="C365" s="35" t="s">
        <v>19</v>
      </c>
      <c r="D365" s="56">
        <v>0</v>
      </c>
      <c r="E365" s="56">
        <v>0</v>
      </c>
      <c r="F365" s="56">
        <v>0</v>
      </c>
      <c r="G365" s="56">
        <v>0</v>
      </c>
      <c r="H365" s="56">
        <v>0</v>
      </c>
      <c r="I365" s="56">
        <v>0</v>
      </c>
      <c r="J365" s="56">
        <v>0</v>
      </c>
      <c r="K365" s="114">
        <v>0</v>
      </c>
    </row>
    <row r="366" spans="1:11" x14ac:dyDescent="0.25">
      <c r="A366" s="111">
        <v>5</v>
      </c>
      <c r="B366" s="83" t="s">
        <v>60</v>
      </c>
      <c r="C366" s="37" t="s">
        <v>13</v>
      </c>
      <c r="D366" s="66">
        <v>8</v>
      </c>
      <c r="E366" s="38">
        <v>15</v>
      </c>
      <c r="F366" s="38">
        <v>60</v>
      </c>
      <c r="G366" s="38">
        <v>6</v>
      </c>
      <c r="H366" s="38">
        <v>620609695</v>
      </c>
      <c r="I366" s="38">
        <v>718466960</v>
      </c>
      <c r="J366" s="38">
        <v>15457391433</v>
      </c>
      <c r="K366" s="38">
        <v>512615391</v>
      </c>
    </row>
    <row r="367" spans="1:11" x14ac:dyDescent="0.25">
      <c r="A367" s="112"/>
      <c r="B367" s="83" t="s">
        <v>60</v>
      </c>
      <c r="C367" s="37" t="s">
        <v>14</v>
      </c>
      <c r="D367" s="101">
        <v>20</v>
      </c>
      <c r="E367" s="38">
        <v>3</v>
      </c>
      <c r="F367" s="38">
        <v>1</v>
      </c>
      <c r="G367" s="38">
        <v>0</v>
      </c>
      <c r="H367" s="38">
        <v>1501609840</v>
      </c>
      <c r="I367" s="101">
        <v>252829578</v>
      </c>
      <c r="J367" s="38">
        <v>74085456</v>
      </c>
      <c r="K367" s="38">
        <v>0</v>
      </c>
    </row>
    <row r="368" spans="1:11" x14ac:dyDescent="0.25">
      <c r="A368" s="112"/>
      <c r="B368" s="83" t="s">
        <v>60</v>
      </c>
      <c r="C368" s="37" t="s">
        <v>15</v>
      </c>
      <c r="D368" s="101">
        <v>0</v>
      </c>
      <c r="E368" s="38">
        <v>0</v>
      </c>
      <c r="F368" s="38">
        <v>0</v>
      </c>
      <c r="G368" s="38">
        <v>0</v>
      </c>
      <c r="H368" s="38">
        <v>0</v>
      </c>
      <c r="I368" s="101">
        <v>0</v>
      </c>
      <c r="J368" s="38">
        <v>0</v>
      </c>
      <c r="K368" s="38">
        <v>0</v>
      </c>
    </row>
    <row r="369" spans="1:11" ht="11" thickBot="1" x14ac:dyDescent="0.3">
      <c r="A369" s="112"/>
      <c r="B369" s="85" t="s">
        <v>60</v>
      </c>
      <c r="C369" s="42" t="s">
        <v>16</v>
      </c>
      <c r="D369" s="69">
        <v>0</v>
      </c>
      <c r="E369" s="38">
        <v>0</v>
      </c>
      <c r="F369" s="38">
        <v>0</v>
      </c>
      <c r="G369" s="38">
        <v>0</v>
      </c>
      <c r="H369" s="38">
        <v>0</v>
      </c>
      <c r="I369" s="69">
        <v>0</v>
      </c>
      <c r="J369" s="38">
        <v>0</v>
      </c>
      <c r="K369" s="38">
        <v>0</v>
      </c>
    </row>
    <row r="370" spans="1:11" s="30" customFormat="1" ht="11.5" thickTop="1" thickBot="1" x14ac:dyDescent="0.3">
      <c r="A370" s="112"/>
      <c r="B370" s="88" t="s">
        <v>60</v>
      </c>
      <c r="C370" s="27" t="s">
        <v>17</v>
      </c>
      <c r="D370" s="71">
        <v>28</v>
      </c>
      <c r="E370" s="28">
        <v>18</v>
      </c>
      <c r="F370" s="28">
        <v>61</v>
      </c>
      <c r="G370" s="28">
        <v>6</v>
      </c>
      <c r="H370" s="28">
        <v>2122219535</v>
      </c>
      <c r="I370" s="28">
        <v>971296538</v>
      </c>
      <c r="J370" s="28">
        <v>15531476889</v>
      </c>
      <c r="K370" s="28">
        <v>512615391</v>
      </c>
    </row>
    <row r="371" spans="1:11" ht="11" thickTop="1" x14ac:dyDescent="0.25">
      <c r="A371" s="112"/>
      <c r="B371" s="91" t="s">
        <v>60</v>
      </c>
      <c r="C371" s="46" t="s">
        <v>18</v>
      </c>
      <c r="D371" s="101">
        <v>28</v>
      </c>
      <c r="E371" s="38">
        <v>18</v>
      </c>
      <c r="F371" s="38">
        <v>61</v>
      </c>
      <c r="G371" s="38">
        <v>6</v>
      </c>
      <c r="H371" s="38">
        <v>2122219535</v>
      </c>
      <c r="I371" s="101">
        <v>971296538</v>
      </c>
      <c r="J371" s="38">
        <v>15531476889</v>
      </c>
      <c r="K371" s="38">
        <v>512615391</v>
      </c>
    </row>
    <row r="372" spans="1:11" x14ac:dyDescent="0.25">
      <c r="A372" s="113"/>
      <c r="B372" s="83" t="s">
        <v>60</v>
      </c>
      <c r="C372" s="50" t="s">
        <v>19</v>
      </c>
      <c r="D372" s="69">
        <v>0</v>
      </c>
      <c r="E372" s="38">
        <v>0</v>
      </c>
      <c r="F372" s="38">
        <v>0</v>
      </c>
      <c r="G372" s="38">
        <v>0</v>
      </c>
      <c r="H372" s="38">
        <v>0</v>
      </c>
      <c r="I372" s="69">
        <v>0</v>
      </c>
      <c r="J372" s="38">
        <v>0</v>
      </c>
      <c r="K372" s="38">
        <v>0</v>
      </c>
    </row>
    <row r="373" spans="1:11" x14ac:dyDescent="0.25">
      <c r="A373" s="111">
        <v>6</v>
      </c>
      <c r="B373" s="94" t="s">
        <v>61</v>
      </c>
      <c r="C373" s="23" t="s">
        <v>13</v>
      </c>
      <c r="D373" s="56">
        <v>13</v>
      </c>
      <c r="E373" s="56">
        <v>11</v>
      </c>
      <c r="F373" s="56">
        <v>55</v>
      </c>
      <c r="G373" s="56">
        <v>14</v>
      </c>
      <c r="H373" s="56">
        <v>0</v>
      </c>
      <c r="I373" s="56">
        <v>0</v>
      </c>
      <c r="J373" s="56">
        <v>0</v>
      </c>
      <c r="K373" s="114">
        <v>0</v>
      </c>
    </row>
    <row r="374" spans="1:11" x14ac:dyDescent="0.25">
      <c r="A374" s="112"/>
      <c r="B374" s="94" t="s">
        <v>61</v>
      </c>
      <c r="C374" s="23" t="s">
        <v>14</v>
      </c>
      <c r="D374" s="56">
        <v>0</v>
      </c>
      <c r="E374" s="56">
        <v>0</v>
      </c>
      <c r="F374" s="56">
        <v>0</v>
      </c>
      <c r="G374" s="56">
        <v>0</v>
      </c>
      <c r="H374" s="56">
        <v>0</v>
      </c>
      <c r="I374" s="56">
        <v>0</v>
      </c>
      <c r="J374" s="56">
        <v>0</v>
      </c>
      <c r="K374" s="114">
        <v>0</v>
      </c>
    </row>
    <row r="375" spans="1:11" x14ac:dyDescent="0.25">
      <c r="A375" s="112"/>
      <c r="B375" s="94" t="s">
        <v>61</v>
      </c>
      <c r="C375" s="23" t="s">
        <v>15</v>
      </c>
      <c r="D375" s="56">
        <v>1</v>
      </c>
      <c r="E375" s="56">
        <v>2</v>
      </c>
      <c r="F375" s="56">
        <v>0</v>
      </c>
      <c r="G375" s="56">
        <v>0</v>
      </c>
      <c r="H375" s="56">
        <v>0</v>
      </c>
      <c r="I375" s="103">
        <v>0</v>
      </c>
      <c r="J375" s="56">
        <v>0</v>
      </c>
      <c r="K375" s="114">
        <v>0</v>
      </c>
    </row>
    <row r="376" spans="1:11" ht="11" thickBot="1" x14ac:dyDescent="0.3">
      <c r="A376" s="112"/>
      <c r="B376" s="96" t="s">
        <v>61</v>
      </c>
      <c r="C376" s="24" t="s">
        <v>16</v>
      </c>
      <c r="D376" s="77">
        <v>0</v>
      </c>
      <c r="E376" s="77">
        <v>2</v>
      </c>
      <c r="F376" s="77">
        <v>0</v>
      </c>
      <c r="G376" s="77">
        <v>0</v>
      </c>
      <c r="H376" s="56">
        <v>0</v>
      </c>
      <c r="I376" s="103">
        <v>0</v>
      </c>
      <c r="J376" s="56">
        <v>0</v>
      </c>
      <c r="K376" s="115">
        <v>0</v>
      </c>
    </row>
    <row r="377" spans="1:11" s="30" customFormat="1" ht="11.5" thickTop="1" thickBot="1" x14ac:dyDescent="0.3">
      <c r="A377" s="112"/>
      <c r="B377" s="88" t="s">
        <v>61</v>
      </c>
      <c r="C377" s="27" t="s">
        <v>17</v>
      </c>
      <c r="D377" s="71">
        <v>14</v>
      </c>
      <c r="E377" s="28">
        <v>15</v>
      </c>
      <c r="F377" s="28">
        <v>55</v>
      </c>
      <c r="G377" s="28">
        <v>14</v>
      </c>
      <c r="H377" s="28">
        <v>0</v>
      </c>
      <c r="I377" s="28">
        <v>0</v>
      </c>
      <c r="J377" s="28">
        <v>0</v>
      </c>
      <c r="K377" s="28">
        <v>0</v>
      </c>
    </row>
    <row r="378" spans="1:11" ht="11" thickTop="1" x14ac:dyDescent="0.35">
      <c r="A378" s="112"/>
      <c r="B378" s="78" t="s">
        <v>61</v>
      </c>
      <c r="C378" s="19" t="s">
        <v>18</v>
      </c>
      <c r="D378" s="79">
        <v>14</v>
      </c>
      <c r="E378" s="79">
        <v>15</v>
      </c>
      <c r="F378" s="79">
        <v>55</v>
      </c>
      <c r="G378" s="79">
        <v>14</v>
      </c>
      <c r="H378" s="79">
        <v>0</v>
      </c>
      <c r="I378" s="79">
        <v>0</v>
      </c>
      <c r="J378" s="79">
        <v>0</v>
      </c>
      <c r="K378" s="116">
        <v>0</v>
      </c>
    </row>
    <row r="379" spans="1:11" x14ac:dyDescent="0.25">
      <c r="A379" s="113"/>
      <c r="B379" s="94" t="s">
        <v>61</v>
      </c>
      <c r="C379" s="35" t="s">
        <v>19</v>
      </c>
      <c r="D379" s="56">
        <v>0</v>
      </c>
      <c r="E379" s="56">
        <v>0</v>
      </c>
      <c r="F379" s="56">
        <v>0</v>
      </c>
      <c r="G379" s="56">
        <v>0</v>
      </c>
      <c r="H379" s="56">
        <v>0</v>
      </c>
      <c r="I379" s="56">
        <v>0</v>
      </c>
      <c r="J379" s="56">
        <v>0</v>
      </c>
      <c r="K379" s="114">
        <v>0</v>
      </c>
    </row>
    <row r="381" spans="1:11" s="5" customFormat="1" ht="18.5" x14ac:dyDescent="0.35">
      <c r="A381" s="5" t="s">
        <v>62</v>
      </c>
    </row>
    <row r="382" spans="1:11" s="6" customFormat="1" x14ac:dyDescent="0.25"/>
    <row r="383" spans="1:11" s="6" customFormat="1" x14ac:dyDescent="0.25">
      <c r="D383" s="9" t="s">
        <v>3</v>
      </c>
      <c r="E383" s="9"/>
      <c r="F383" s="9" t="s">
        <v>4</v>
      </c>
      <c r="G383" s="9"/>
    </row>
    <row r="384" spans="1:11" ht="21.5" thickBot="1" x14ac:dyDescent="0.4">
      <c r="A384" s="107" t="s">
        <v>7</v>
      </c>
      <c r="B384" s="117" t="s">
        <v>8</v>
      </c>
      <c r="C384" s="117" t="s">
        <v>9</v>
      </c>
      <c r="D384" s="15" t="s">
        <v>10</v>
      </c>
      <c r="E384" s="15" t="s">
        <v>11</v>
      </c>
      <c r="F384" s="15" t="s">
        <v>10</v>
      </c>
      <c r="G384" s="15" t="s">
        <v>11</v>
      </c>
      <c r="H384" s="118" t="s">
        <v>47</v>
      </c>
      <c r="I384" s="118" t="s">
        <v>48</v>
      </c>
      <c r="J384" s="118" t="s">
        <v>49</v>
      </c>
    </row>
    <row r="385" spans="1:11" x14ac:dyDescent="0.35">
      <c r="A385" s="54">
        <v>1</v>
      </c>
      <c r="B385" s="55" t="s">
        <v>63</v>
      </c>
      <c r="C385" s="19" t="s">
        <v>13</v>
      </c>
      <c r="D385" s="56">
        <v>0</v>
      </c>
      <c r="E385" s="56">
        <v>0</v>
      </c>
      <c r="F385" s="56">
        <v>0</v>
      </c>
      <c r="G385" s="56">
        <v>0</v>
      </c>
      <c r="H385" s="56">
        <v>0</v>
      </c>
      <c r="I385" s="56">
        <v>0</v>
      </c>
      <c r="J385" s="56">
        <v>0</v>
      </c>
      <c r="K385" s="7"/>
    </row>
    <row r="386" spans="1:11" x14ac:dyDescent="0.35">
      <c r="A386" s="54">
        <v>1</v>
      </c>
      <c r="B386" s="55" t="s">
        <v>63</v>
      </c>
      <c r="C386" s="23" t="s">
        <v>14</v>
      </c>
      <c r="D386" s="56">
        <v>0</v>
      </c>
      <c r="E386" s="56">
        <v>0</v>
      </c>
      <c r="F386" s="56">
        <v>0</v>
      </c>
      <c r="G386" s="56">
        <v>0</v>
      </c>
      <c r="H386" s="56">
        <v>0</v>
      </c>
      <c r="I386" s="56">
        <v>0</v>
      </c>
      <c r="J386" s="56">
        <v>0</v>
      </c>
      <c r="K386" s="7"/>
    </row>
    <row r="387" spans="1:11" x14ac:dyDescent="0.35">
      <c r="A387" s="54">
        <v>1</v>
      </c>
      <c r="B387" s="55" t="s">
        <v>63</v>
      </c>
      <c r="C387" s="23" t="s">
        <v>15</v>
      </c>
      <c r="D387" s="56">
        <v>0</v>
      </c>
      <c r="E387" s="56">
        <v>0</v>
      </c>
      <c r="F387" s="56">
        <v>0</v>
      </c>
      <c r="G387" s="56">
        <v>0</v>
      </c>
      <c r="H387" s="56">
        <v>0</v>
      </c>
      <c r="I387" s="56">
        <v>0</v>
      </c>
      <c r="J387" s="56">
        <v>0</v>
      </c>
      <c r="K387" s="7"/>
    </row>
    <row r="388" spans="1:11" ht="11" thickBot="1" x14ac:dyDescent="0.4">
      <c r="A388" s="57">
        <v>1</v>
      </c>
      <c r="B388" s="58" t="s">
        <v>63</v>
      </c>
      <c r="C388" s="24" t="s">
        <v>16</v>
      </c>
      <c r="D388" s="56">
        <v>0</v>
      </c>
      <c r="E388" s="56">
        <v>0</v>
      </c>
      <c r="F388" s="56">
        <v>0</v>
      </c>
      <c r="G388" s="56">
        <v>0</v>
      </c>
      <c r="H388" s="56">
        <v>0</v>
      </c>
      <c r="I388" s="56">
        <v>0</v>
      </c>
      <c r="J388" s="56">
        <v>0</v>
      </c>
      <c r="K388" s="7"/>
    </row>
    <row r="389" spans="1:11" s="30" customFormat="1" ht="11.5" thickTop="1" thickBot="1" x14ac:dyDescent="0.4">
      <c r="A389" s="59">
        <v>1</v>
      </c>
      <c r="B389" s="60" t="s">
        <v>63</v>
      </c>
      <c r="C389" s="27" t="s">
        <v>17</v>
      </c>
      <c r="D389" s="61">
        <v>0</v>
      </c>
      <c r="E389" s="61">
        <v>0</v>
      </c>
      <c r="F389" s="61">
        <v>0</v>
      </c>
      <c r="G389" s="61">
        <v>0</v>
      </c>
      <c r="H389" s="61">
        <v>0</v>
      </c>
      <c r="I389" s="61">
        <v>0</v>
      </c>
      <c r="J389" s="61">
        <v>0</v>
      </c>
      <c r="K389" s="7"/>
    </row>
    <row r="390" spans="1:11" ht="11" thickTop="1" x14ac:dyDescent="0.35">
      <c r="A390" s="62">
        <v>1</v>
      </c>
      <c r="B390" s="63" t="s">
        <v>63</v>
      </c>
      <c r="C390" s="31" t="s">
        <v>18</v>
      </c>
      <c r="D390" s="56">
        <v>0</v>
      </c>
      <c r="E390" s="56">
        <v>0</v>
      </c>
      <c r="F390" s="56">
        <v>0</v>
      </c>
      <c r="G390" s="56">
        <v>0</v>
      </c>
      <c r="H390" s="56">
        <v>0</v>
      </c>
      <c r="I390" s="56">
        <v>0</v>
      </c>
      <c r="J390" s="56">
        <v>0</v>
      </c>
      <c r="K390" s="7"/>
    </row>
    <row r="391" spans="1:11" x14ac:dyDescent="0.35">
      <c r="A391" s="54">
        <v>1</v>
      </c>
      <c r="B391" s="55" t="s">
        <v>63</v>
      </c>
      <c r="C391" s="35" t="s">
        <v>19</v>
      </c>
      <c r="D391" s="56">
        <v>0</v>
      </c>
      <c r="E391" s="56">
        <v>0</v>
      </c>
      <c r="F391" s="56">
        <v>0</v>
      </c>
      <c r="G391" s="56">
        <v>0</v>
      </c>
      <c r="H391" s="56">
        <v>0</v>
      </c>
      <c r="I391" s="56">
        <v>0</v>
      </c>
      <c r="J391" s="56">
        <v>0</v>
      </c>
      <c r="K391" s="7"/>
    </row>
    <row r="392" spans="1:11" x14ac:dyDescent="0.35">
      <c r="A392" s="54"/>
      <c r="B392" s="55"/>
      <c r="C392" s="35" t="s">
        <v>50</v>
      </c>
      <c r="D392" s="56">
        <v>25</v>
      </c>
      <c r="E392" s="56">
        <v>15</v>
      </c>
      <c r="F392" s="56">
        <v>0</v>
      </c>
      <c r="G392" s="56">
        <v>0</v>
      </c>
      <c r="H392" s="56">
        <v>758290794</v>
      </c>
      <c r="I392" s="56">
        <v>383583122</v>
      </c>
      <c r="J392" s="56"/>
      <c r="K392" s="7"/>
    </row>
    <row r="393" spans="1:11" x14ac:dyDescent="0.35">
      <c r="A393" s="64">
        <v>2</v>
      </c>
      <c r="B393" s="119" t="s">
        <v>64</v>
      </c>
      <c r="C393" s="37" t="s">
        <v>13</v>
      </c>
      <c r="D393" s="66">
        <v>0</v>
      </c>
      <c r="E393" s="66">
        <v>0</v>
      </c>
      <c r="F393" s="66">
        <v>0</v>
      </c>
      <c r="G393" s="66">
        <v>0</v>
      </c>
      <c r="H393" s="66">
        <v>0</v>
      </c>
      <c r="I393" s="66">
        <v>0</v>
      </c>
      <c r="J393" s="66">
        <v>0</v>
      </c>
    </row>
    <row r="394" spans="1:11" x14ac:dyDescent="0.35">
      <c r="A394" s="64">
        <v>2</v>
      </c>
      <c r="B394" s="119" t="s">
        <v>64</v>
      </c>
      <c r="C394" s="37" t="s">
        <v>14</v>
      </c>
      <c r="D394" s="66">
        <v>0</v>
      </c>
      <c r="E394" s="66">
        <v>0</v>
      </c>
      <c r="F394" s="66">
        <v>0</v>
      </c>
      <c r="G394" s="66">
        <v>0</v>
      </c>
      <c r="H394" s="66">
        <v>0</v>
      </c>
      <c r="I394" s="66">
        <v>0</v>
      </c>
      <c r="J394" s="66">
        <v>0</v>
      </c>
    </row>
    <row r="395" spans="1:11" x14ac:dyDescent="0.35">
      <c r="A395" s="64">
        <v>2</v>
      </c>
      <c r="B395" s="119" t="s">
        <v>64</v>
      </c>
      <c r="C395" s="37" t="s">
        <v>15</v>
      </c>
      <c r="D395" s="66">
        <v>0</v>
      </c>
      <c r="E395" s="66">
        <v>0</v>
      </c>
      <c r="F395" s="66">
        <v>0</v>
      </c>
      <c r="G395" s="66">
        <v>0</v>
      </c>
      <c r="H395" s="66">
        <v>0</v>
      </c>
      <c r="I395" s="66">
        <v>0</v>
      </c>
      <c r="J395" s="66">
        <v>0</v>
      </c>
    </row>
    <row r="396" spans="1:11" ht="11" thickBot="1" x14ac:dyDescent="0.3">
      <c r="A396" s="67">
        <v>2</v>
      </c>
      <c r="B396" s="120" t="s">
        <v>64</v>
      </c>
      <c r="C396" s="42" t="s">
        <v>16</v>
      </c>
      <c r="D396" s="69">
        <v>26</v>
      </c>
      <c r="E396" s="69">
        <v>5</v>
      </c>
      <c r="F396" s="66">
        <v>0</v>
      </c>
      <c r="G396" s="66">
        <v>0</v>
      </c>
      <c r="H396" s="69">
        <v>32</v>
      </c>
      <c r="I396" s="121">
        <v>53084220</v>
      </c>
      <c r="J396" s="66">
        <v>0</v>
      </c>
    </row>
    <row r="397" spans="1:11" s="30" customFormat="1" ht="11.5" thickTop="1" thickBot="1" x14ac:dyDescent="0.4">
      <c r="A397" s="59">
        <v>2</v>
      </c>
      <c r="B397" s="122" t="s">
        <v>64</v>
      </c>
      <c r="C397" s="27" t="s">
        <v>17</v>
      </c>
      <c r="D397" s="71">
        <v>26</v>
      </c>
      <c r="E397" s="71">
        <v>5</v>
      </c>
      <c r="F397" s="71">
        <v>0</v>
      </c>
      <c r="G397" s="71">
        <v>0</v>
      </c>
      <c r="H397" s="71">
        <v>32</v>
      </c>
      <c r="I397" s="71">
        <v>53084220</v>
      </c>
      <c r="J397" s="71"/>
      <c r="K397" s="2"/>
    </row>
    <row r="398" spans="1:11" ht="11" thickTop="1" x14ac:dyDescent="0.35">
      <c r="A398" s="72">
        <v>2</v>
      </c>
      <c r="B398" s="123" t="s">
        <v>64</v>
      </c>
      <c r="C398" s="46" t="s">
        <v>18</v>
      </c>
      <c r="D398" s="74">
        <v>27</v>
      </c>
      <c r="E398" s="74">
        <v>5</v>
      </c>
      <c r="F398" s="74">
        <v>0</v>
      </c>
      <c r="G398" s="74">
        <v>0</v>
      </c>
      <c r="H398" s="74">
        <v>0</v>
      </c>
      <c r="I398" s="74">
        <v>0</v>
      </c>
      <c r="J398" s="74">
        <v>0</v>
      </c>
    </row>
    <row r="399" spans="1:11" x14ac:dyDescent="0.35">
      <c r="A399" s="64">
        <v>2</v>
      </c>
      <c r="B399" s="119" t="s">
        <v>64</v>
      </c>
      <c r="C399" s="50" t="s">
        <v>19</v>
      </c>
      <c r="D399" s="66">
        <v>0</v>
      </c>
      <c r="E399" s="66">
        <v>0</v>
      </c>
      <c r="F399" s="74">
        <v>0</v>
      </c>
      <c r="G399" s="74">
        <v>0</v>
      </c>
      <c r="H399" s="74">
        <v>0</v>
      </c>
      <c r="I399" s="74">
        <v>0</v>
      </c>
      <c r="J399" s="74">
        <v>0</v>
      </c>
    </row>
    <row r="400" spans="1:11" x14ac:dyDescent="0.35">
      <c r="A400" s="64">
        <v>2</v>
      </c>
      <c r="B400" s="119" t="s">
        <v>64</v>
      </c>
      <c r="C400" s="50" t="s">
        <v>50</v>
      </c>
      <c r="D400" s="66">
        <v>88</v>
      </c>
      <c r="E400" s="66">
        <v>0</v>
      </c>
      <c r="F400" s="74">
        <v>0</v>
      </c>
      <c r="G400" s="74">
        <v>0</v>
      </c>
      <c r="H400" s="74">
        <v>0</v>
      </c>
      <c r="I400" s="74">
        <v>0</v>
      </c>
      <c r="J400" s="74">
        <v>0</v>
      </c>
    </row>
    <row r="401" spans="1:11" x14ac:dyDescent="0.35">
      <c r="A401" s="54">
        <v>3</v>
      </c>
      <c r="B401" s="75" t="s">
        <v>65</v>
      </c>
      <c r="C401" s="23" t="s">
        <v>13</v>
      </c>
      <c r="D401" s="56"/>
      <c r="E401" s="56"/>
      <c r="F401" s="56"/>
      <c r="G401" s="56"/>
      <c r="H401" s="56"/>
      <c r="I401" s="56"/>
      <c r="J401" s="56"/>
    </row>
    <row r="402" spans="1:11" x14ac:dyDescent="0.35">
      <c r="A402" s="54">
        <v>3</v>
      </c>
      <c r="B402" s="75" t="s">
        <v>65</v>
      </c>
      <c r="C402" s="23" t="s">
        <v>14</v>
      </c>
      <c r="D402" s="56"/>
      <c r="E402" s="56"/>
      <c r="F402" s="56"/>
      <c r="G402" s="56"/>
      <c r="H402" s="56"/>
      <c r="I402" s="56"/>
      <c r="J402" s="56"/>
    </row>
    <row r="403" spans="1:11" x14ac:dyDescent="0.35">
      <c r="A403" s="54">
        <v>3</v>
      </c>
      <c r="B403" s="75" t="s">
        <v>65</v>
      </c>
      <c r="C403" s="23" t="s">
        <v>15</v>
      </c>
      <c r="D403" s="56"/>
      <c r="E403" s="56">
        <v>1</v>
      </c>
      <c r="F403" s="56"/>
      <c r="G403" s="56"/>
      <c r="H403" s="56">
        <v>1</v>
      </c>
      <c r="I403" s="56">
        <v>4824083</v>
      </c>
      <c r="J403" s="56"/>
    </row>
    <row r="404" spans="1:11" ht="11" thickBot="1" x14ac:dyDescent="0.4">
      <c r="A404" s="57">
        <v>3</v>
      </c>
      <c r="B404" s="76" t="s">
        <v>65</v>
      </c>
      <c r="C404" s="24" t="s">
        <v>16</v>
      </c>
      <c r="D404" s="77">
        <v>2</v>
      </c>
      <c r="E404" s="77">
        <v>3</v>
      </c>
      <c r="F404" s="77">
        <v>1</v>
      </c>
      <c r="G404" s="77">
        <v>0</v>
      </c>
      <c r="H404" s="77">
        <v>6</v>
      </c>
      <c r="I404" s="77">
        <v>42929740</v>
      </c>
      <c r="J404" s="77"/>
    </row>
    <row r="405" spans="1:11" s="30" customFormat="1" ht="11.5" thickTop="1" thickBot="1" x14ac:dyDescent="0.4">
      <c r="A405" s="59">
        <v>3</v>
      </c>
      <c r="B405" s="70" t="s">
        <v>65</v>
      </c>
      <c r="C405" s="27" t="s">
        <v>17</v>
      </c>
      <c r="D405" s="71">
        <v>2</v>
      </c>
      <c r="E405" s="71">
        <v>4</v>
      </c>
      <c r="F405" s="71">
        <v>1</v>
      </c>
      <c r="G405" s="71">
        <v>0</v>
      </c>
      <c r="H405" s="71">
        <v>7</v>
      </c>
      <c r="I405" s="71">
        <v>47753823</v>
      </c>
      <c r="J405" s="71"/>
      <c r="K405" s="2"/>
    </row>
    <row r="406" spans="1:11" ht="11" thickTop="1" x14ac:dyDescent="0.35">
      <c r="A406" s="62">
        <v>3</v>
      </c>
      <c r="B406" s="78" t="s">
        <v>65</v>
      </c>
      <c r="C406" s="31" t="s">
        <v>18</v>
      </c>
      <c r="D406" s="79"/>
      <c r="E406" s="79"/>
      <c r="F406" s="79"/>
      <c r="G406" s="79"/>
      <c r="H406" s="79"/>
      <c r="I406" s="79"/>
      <c r="J406" s="79"/>
    </row>
    <row r="407" spans="1:11" x14ac:dyDescent="0.35">
      <c r="A407" s="54">
        <v>3</v>
      </c>
      <c r="B407" s="75" t="s">
        <v>65</v>
      </c>
      <c r="C407" s="35" t="s">
        <v>19</v>
      </c>
      <c r="D407" s="56">
        <v>2</v>
      </c>
      <c r="E407" s="56">
        <v>4</v>
      </c>
      <c r="F407" s="56">
        <v>1</v>
      </c>
      <c r="G407" s="56">
        <v>0</v>
      </c>
      <c r="H407" s="56">
        <v>1</v>
      </c>
      <c r="I407" s="56">
        <v>47753823</v>
      </c>
      <c r="J407" s="56"/>
    </row>
    <row r="408" spans="1:11" x14ac:dyDescent="0.35">
      <c r="A408" s="54">
        <v>3</v>
      </c>
      <c r="B408" s="75" t="s">
        <v>65</v>
      </c>
      <c r="C408" s="35" t="s">
        <v>50</v>
      </c>
      <c r="D408" s="56">
        <v>2</v>
      </c>
      <c r="E408" s="56">
        <v>4</v>
      </c>
      <c r="F408" s="56">
        <v>1</v>
      </c>
      <c r="G408" s="56">
        <v>0</v>
      </c>
      <c r="H408" s="56">
        <v>1</v>
      </c>
      <c r="I408" s="56">
        <v>47753823</v>
      </c>
      <c r="J408" s="56"/>
    </row>
    <row r="409" spans="1:11" x14ac:dyDescent="0.35">
      <c r="A409" s="64">
        <v>4</v>
      </c>
      <c r="B409" s="65" t="s">
        <v>66</v>
      </c>
      <c r="C409" s="37" t="s">
        <v>13</v>
      </c>
      <c r="D409" s="66"/>
      <c r="E409" s="66"/>
      <c r="F409" s="66"/>
      <c r="G409" s="66"/>
      <c r="H409" s="66"/>
      <c r="I409" s="66"/>
      <c r="J409" s="66"/>
    </row>
    <row r="410" spans="1:11" x14ac:dyDescent="0.35">
      <c r="A410" s="64">
        <v>4</v>
      </c>
      <c r="B410" s="65" t="s">
        <v>66</v>
      </c>
      <c r="C410" s="37" t="s">
        <v>14</v>
      </c>
      <c r="D410" s="66"/>
      <c r="E410" s="66"/>
      <c r="F410" s="66"/>
      <c r="G410" s="66"/>
      <c r="H410" s="66"/>
      <c r="I410" s="66"/>
      <c r="J410" s="66"/>
    </row>
    <row r="411" spans="1:11" x14ac:dyDescent="0.35">
      <c r="A411" s="64">
        <v>4</v>
      </c>
      <c r="B411" s="65" t="s">
        <v>66</v>
      </c>
      <c r="C411" s="37" t="s">
        <v>15</v>
      </c>
      <c r="D411" s="66"/>
      <c r="E411" s="66"/>
      <c r="F411" s="66"/>
      <c r="G411" s="66"/>
      <c r="H411" s="66"/>
      <c r="I411" s="66"/>
      <c r="J411" s="66"/>
    </row>
    <row r="412" spans="1:11" ht="11" thickBot="1" x14ac:dyDescent="0.4">
      <c r="A412" s="67">
        <v>4</v>
      </c>
      <c r="B412" s="68" t="s">
        <v>66</v>
      </c>
      <c r="C412" s="42" t="s">
        <v>16</v>
      </c>
      <c r="D412" s="69"/>
      <c r="E412" s="69"/>
      <c r="F412" s="69"/>
      <c r="G412" s="69"/>
      <c r="H412" s="69"/>
      <c r="I412" s="69"/>
      <c r="J412" s="69"/>
    </row>
    <row r="413" spans="1:11" s="30" customFormat="1" ht="11.5" thickTop="1" thickBot="1" x14ac:dyDescent="0.4">
      <c r="A413" s="59">
        <v>4</v>
      </c>
      <c r="B413" s="70" t="s">
        <v>66</v>
      </c>
      <c r="C413" s="27" t="s">
        <v>17</v>
      </c>
      <c r="D413" s="71"/>
      <c r="E413" s="71"/>
      <c r="F413" s="71"/>
      <c r="G413" s="71"/>
      <c r="H413" s="71"/>
      <c r="I413" s="71"/>
      <c r="J413" s="71"/>
      <c r="K413" s="2"/>
    </row>
    <row r="414" spans="1:11" ht="11" thickTop="1" x14ac:dyDescent="0.35">
      <c r="A414" s="72">
        <v>4</v>
      </c>
      <c r="B414" s="73" t="s">
        <v>66</v>
      </c>
      <c r="C414" s="46" t="s">
        <v>18</v>
      </c>
      <c r="D414" s="74"/>
      <c r="E414" s="74"/>
      <c r="F414" s="74"/>
      <c r="G414" s="74"/>
      <c r="H414" s="74"/>
      <c r="I414" s="74"/>
      <c r="J414" s="74"/>
    </row>
    <row r="415" spans="1:11" x14ac:dyDescent="0.35">
      <c r="A415" s="64">
        <v>4</v>
      </c>
      <c r="B415" s="65" t="s">
        <v>66</v>
      </c>
      <c r="C415" s="50" t="s">
        <v>19</v>
      </c>
      <c r="D415" s="66"/>
      <c r="E415" s="66"/>
      <c r="F415" s="66"/>
      <c r="G415" s="66"/>
      <c r="H415" s="66"/>
      <c r="I415" s="66"/>
      <c r="J415" s="66"/>
    </row>
    <row r="416" spans="1:11" x14ac:dyDescent="0.35">
      <c r="A416" s="57">
        <v>5</v>
      </c>
      <c r="B416" s="76" t="s">
        <v>59</v>
      </c>
      <c r="C416" s="23" t="s">
        <v>13</v>
      </c>
      <c r="D416" s="56"/>
      <c r="E416" s="56"/>
      <c r="F416" s="56">
        <v>0</v>
      </c>
      <c r="G416" s="56">
        <v>0</v>
      </c>
      <c r="H416" s="56"/>
      <c r="I416" s="56"/>
      <c r="J416" s="56"/>
    </row>
    <row r="417" spans="1:11" x14ac:dyDescent="0.35">
      <c r="A417" s="57">
        <v>5</v>
      </c>
      <c r="B417" s="76" t="s">
        <v>59</v>
      </c>
      <c r="C417" s="23" t="s">
        <v>14</v>
      </c>
      <c r="D417" s="56">
        <v>1</v>
      </c>
      <c r="E417" s="56"/>
      <c r="F417" s="56">
        <v>0</v>
      </c>
      <c r="G417" s="56">
        <v>0</v>
      </c>
      <c r="H417" s="56">
        <v>1</v>
      </c>
      <c r="I417" s="56">
        <v>3620471000</v>
      </c>
      <c r="J417" s="56"/>
    </row>
    <row r="418" spans="1:11" x14ac:dyDescent="0.35">
      <c r="A418" s="57">
        <v>5</v>
      </c>
      <c r="B418" s="76" t="s">
        <v>59</v>
      </c>
      <c r="C418" s="23" t="s">
        <v>15</v>
      </c>
      <c r="D418" s="56"/>
      <c r="E418" s="56">
        <v>1</v>
      </c>
      <c r="F418" s="56">
        <v>0</v>
      </c>
      <c r="G418" s="56">
        <v>0</v>
      </c>
      <c r="H418" s="56">
        <v>1</v>
      </c>
      <c r="I418" s="56">
        <v>926966900</v>
      </c>
      <c r="J418" s="56"/>
    </row>
    <row r="419" spans="1:11" ht="11" thickBot="1" x14ac:dyDescent="0.4">
      <c r="A419" s="57">
        <v>5</v>
      </c>
      <c r="B419" s="76" t="s">
        <v>59</v>
      </c>
      <c r="C419" s="24" t="s">
        <v>16</v>
      </c>
      <c r="D419" s="77"/>
      <c r="E419" s="77"/>
      <c r="F419" s="56">
        <v>0</v>
      </c>
      <c r="G419" s="56">
        <v>0</v>
      </c>
      <c r="H419" s="77"/>
      <c r="I419" s="77"/>
      <c r="J419" s="77"/>
    </row>
    <row r="420" spans="1:11" s="30" customFormat="1" ht="11.5" thickTop="1" thickBot="1" x14ac:dyDescent="0.4">
      <c r="A420" s="59">
        <v>5</v>
      </c>
      <c r="B420" s="70" t="s">
        <v>59</v>
      </c>
      <c r="C420" s="27" t="s">
        <v>17</v>
      </c>
      <c r="D420" s="71">
        <v>1</v>
      </c>
      <c r="E420" s="71">
        <v>1</v>
      </c>
      <c r="F420" s="71">
        <v>0</v>
      </c>
      <c r="G420" s="71">
        <v>0</v>
      </c>
      <c r="H420" s="71">
        <v>2</v>
      </c>
      <c r="I420" s="71">
        <v>0</v>
      </c>
      <c r="J420" s="71"/>
      <c r="K420" s="2"/>
    </row>
    <row r="421" spans="1:11" ht="11" thickTop="1" x14ac:dyDescent="0.35">
      <c r="A421" s="80">
        <v>5</v>
      </c>
      <c r="B421" s="81" t="s">
        <v>59</v>
      </c>
      <c r="C421" s="31" t="s">
        <v>18</v>
      </c>
      <c r="D421" s="79"/>
      <c r="E421" s="79"/>
      <c r="F421" s="79"/>
      <c r="G421" s="79"/>
      <c r="H421" s="79"/>
      <c r="I421" s="79"/>
      <c r="J421" s="79"/>
    </row>
    <row r="422" spans="1:11" x14ac:dyDescent="0.35">
      <c r="A422" s="57">
        <v>5</v>
      </c>
      <c r="B422" s="76" t="s">
        <v>59</v>
      </c>
      <c r="C422" s="35" t="s">
        <v>19</v>
      </c>
      <c r="D422" s="56"/>
      <c r="E422" s="56"/>
      <c r="F422" s="56"/>
      <c r="G422" s="56"/>
      <c r="H422" s="56"/>
      <c r="I422" s="56"/>
      <c r="J422" s="56"/>
    </row>
    <row r="423" spans="1:11" x14ac:dyDescent="0.35">
      <c r="A423" s="57"/>
      <c r="B423" s="76"/>
      <c r="C423" s="35"/>
      <c r="D423" s="56">
        <v>1</v>
      </c>
      <c r="E423" s="56">
        <v>1</v>
      </c>
      <c r="F423" s="56"/>
      <c r="G423" s="56"/>
      <c r="H423" s="56">
        <v>2</v>
      </c>
      <c r="I423" s="124">
        <v>4547437900</v>
      </c>
      <c r="J423" s="56"/>
    </row>
    <row r="424" spans="1:11" x14ac:dyDescent="0.25">
      <c r="A424" s="82">
        <v>6</v>
      </c>
      <c r="B424" s="83" t="s">
        <v>60</v>
      </c>
      <c r="C424" s="37" t="s">
        <v>13</v>
      </c>
      <c r="D424" s="66">
        <v>9</v>
      </c>
      <c r="E424" s="66">
        <v>3</v>
      </c>
      <c r="F424" s="39">
        <v>5</v>
      </c>
      <c r="G424" s="38">
        <v>0</v>
      </c>
      <c r="H424" s="101">
        <v>17</v>
      </c>
      <c r="I424" s="121">
        <v>0</v>
      </c>
      <c r="J424" s="125">
        <v>0</v>
      </c>
    </row>
    <row r="425" spans="1:11" x14ac:dyDescent="0.25">
      <c r="A425" s="82">
        <v>6</v>
      </c>
      <c r="B425" s="83" t="s">
        <v>60</v>
      </c>
      <c r="C425" s="37" t="s">
        <v>14</v>
      </c>
      <c r="D425" s="66">
        <v>0</v>
      </c>
      <c r="E425" s="66">
        <v>0</v>
      </c>
      <c r="F425" s="66">
        <v>0</v>
      </c>
      <c r="G425" s="66">
        <v>0</v>
      </c>
      <c r="H425" s="66">
        <v>0</v>
      </c>
      <c r="I425" s="66">
        <v>0</v>
      </c>
      <c r="J425" s="66">
        <v>0</v>
      </c>
    </row>
    <row r="426" spans="1:11" x14ac:dyDescent="0.25">
      <c r="A426" s="82">
        <v>6</v>
      </c>
      <c r="B426" s="83" t="s">
        <v>60</v>
      </c>
      <c r="C426" s="37" t="s">
        <v>15</v>
      </c>
      <c r="D426" s="126">
        <v>0</v>
      </c>
      <c r="E426" s="126">
        <v>0</v>
      </c>
      <c r="F426" s="126">
        <v>0</v>
      </c>
      <c r="G426" s="126">
        <v>0</v>
      </c>
      <c r="H426" s="126">
        <v>0</v>
      </c>
      <c r="I426" s="126">
        <v>0</v>
      </c>
      <c r="J426" s="126">
        <v>0</v>
      </c>
    </row>
    <row r="427" spans="1:11" ht="11" thickBot="1" x14ac:dyDescent="0.3">
      <c r="A427" s="84">
        <v>6</v>
      </c>
      <c r="B427" s="85" t="s">
        <v>60</v>
      </c>
      <c r="C427" s="42" t="s">
        <v>16</v>
      </c>
      <c r="D427" s="86">
        <v>1</v>
      </c>
      <c r="E427" s="86"/>
      <c r="F427" s="86"/>
      <c r="G427" s="86"/>
      <c r="H427" s="86">
        <v>1</v>
      </c>
      <c r="I427" s="86">
        <v>1330000</v>
      </c>
      <c r="J427" s="86" t="s">
        <v>67</v>
      </c>
    </row>
    <row r="428" spans="1:11" s="30" customFormat="1" ht="11.5" thickTop="1" thickBot="1" x14ac:dyDescent="0.3">
      <c r="A428" s="87">
        <v>6</v>
      </c>
      <c r="B428" s="88" t="s">
        <v>60</v>
      </c>
      <c r="C428" s="27" t="s">
        <v>17</v>
      </c>
      <c r="D428" s="89">
        <v>10</v>
      </c>
      <c r="E428" s="71">
        <v>3</v>
      </c>
      <c r="F428" s="71">
        <v>5</v>
      </c>
      <c r="G428" s="71"/>
      <c r="H428" s="71">
        <v>18</v>
      </c>
      <c r="I428" s="71">
        <v>1330000</v>
      </c>
      <c r="J428" s="71">
        <v>1306735527</v>
      </c>
      <c r="K428" s="2"/>
    </row>
    <row r="429" spans="1:11" ht="11" thickTop="1" x14ac:dyDescent="0.25">
      <c r="A429" s="90">
        <v>6</v>
      </c>
      <c r="B429" s="91" t="s">
        <v>60</v>
      </c>
      <c r="C429" s="46" t="s">
        <v>18</v>
      </c>
      <c r="D429" s="127">
        <v>0</v>
      </c>
      <c r="E429" s="127">
        <v>0</v>
      </c>
      <c r="F429" s="127">
        <v>0</v>
      </c>
      <c r="G429" s="127">
        <v>0</v>
      </c>
      <c r="H429" s="127">
        <v>0</v>
      </c>
      <c r="I429" s="127">
        <v>0</v>
      </c>
      <c r="J429" s="127">
        <v>0</v>
      </c>
    </row>
    <row r="430" spans="1:11" x14ac:dyDescent="0.25">
      <c r="A430" s="82">
        <v>6</v>
      </c>
      <c r="B430" s="83" t="s">
        <v>60</v>
      </c>
      <c r="C430" s="50" t="s">
        <v>19</v>
      </c>
      <c r="D430" s="127">
        <v>0</v>
      </c>
      <c r="E430" s="127">
        <v>0</v>
      </c>
      <c r="F430" s="127">
        <v>0</v>
      </c>
      <c r="G430" s="127">
        <v>0</v>
      </c>
      <c r="H430" s="127">
        <v>0</v>
      </c>
      <c r="I430" s="127">
        <v>0</v>
      </c>
      <c r="J430" s="127">
        <v>0</v>
      </c>
    </row>
    <row r="431" spans="1:11" x14ac:dyDescent="0.25">
      <c r="A431" s="93">
        <v>7</v>
      </c>
      <c r="B431" s="94" t="s">
        <v>61</v>
      </c>
      <c r="C431" s="23" t="s">
        <v>13</v>
      </c>
      <c r="D431" s="56">
        <v>1</v>
      </c>
      <c r="E431" s="56"/>
      <c r="F431" s="20">
        <v>14</v>
      </c>
      <c r="G431" s="20">
        <v>0</v>
      </c>
      <c r="H431" s="20">
        <v>0</v>
      </c>
      <c r="I431" s="20">
        <v>0</v>
      </c>
      <c r="J431" s="20">
        <v>0</v>
      </c>
    </row>
    <row r="432" spans="1:11" x14ac:dyDescent="0.25">
      <c r="A432" s="93">
        <v>7</v>
      </c>
      <c r="B432" s="94" t="s">
        <v>61</v>
      </c>
      <c r="C432" s="23" t="s">
        <v>14</v>
      </c>
      <c r="D432" s="56"/>
      <c r="E432" s="20">
        <v>1</v>
      </c>
      <c r="F432" s="56"/>
      <c r="G432" s="20">
        <v>0</v>
      </c>
      <c r="H432" s="20">
        <v>0</v>
      </c>
      <c r="I432" s="20">
        <v>0</v>
      </c>
      <c r="J432" s="20">
        <v>0</v>
      </c>
    </row>
    <row r="433" spans="1:11" x14ac:dyDescent="0.25">
      <c r="A433" s="93">
        <v>7</v>
      </c>
      <c r="B433" s="94" t="s">
        <v>61</v>
      </c>
      <c r="C433" s="23" t="s">
        <v>15</v>
      </c>
      <c r="D433" s="56"/>
      <c r="E433" s="56"/>
      <c r="F433" s="56"/>
      <c r="G433" s="20">
        <v>0</v>
      </c>
      <c r="H433" s="20">
        <v>0</v>
      </c>
      <c r="I433" s="20">
        <v>0</v>
      </c>
      <c r="J433" s="20">
        <v>0</v>
      </c>
    </row>
    <row r="434" spans="1:11" ht="11" thickBot="1" x14ac:dyDescent="0.3">
      <c r="A434" s="95">
        <v>7</v>
      </c>
      <c r="B434" s="96" t="s">
        <v>61</v>
      </c>
      <c r="C434" s="24" t="s">
        <v>16</v>
      </c>
      <c r="D434" s="77"/>
      <c r="E434" s="77"/>
      <c r="F434" s="77"/>
      <c r="G434" s="20">
        <v>0</v>
      </c>
      <c r="H434" s="20">
        <v>0</v>
      </c>
      <c r="I434" s="20">
        <v>0</v>
      </c>
      <c r="J434" s="20">
        <v>0</v>
      </c>
    </row>
    <row r="435" spans="1:11" s="30" customFormat="1" ht="11.5" thickTop="1" thickBot="1" x14ac:dyDescent="0.3">
      <c r="A435" s="87">
        <v>7</v>
      </c>
      <c r="B435" s="88" t="s">
        <v>61</v>
      </c>
      <c r="C435" s="27" t="s">
        <v>17</v>
      </c>
      <c r="D435" s="71">
        <v>1</v>
      </c>
      <c r="E435" s="71">
        <v>1</v>
      </c>
      <c r="F435" s="71">
        <v>14</v>
      </c>
      <c r="G435" s="71">
        <v>0</v>
      </c>
      <c r="H435" s="71">
        <v>0</v>
      </c>
      <c r="I435" s="71">
        <v>0</v>
      </c>
      <c r="J435" s="71">
        <v>0</v>
      </c>
      <c r="K435" s="2"/>
    </row>
    <row r="436" spans="1:11" ht="11" thickTop="1" x14ac:dyDescent="0.25">
      <c r="A436" s="98">
        <v>7</v>
      </c>
      <c r="B436" s="99" t="s">
        <v>61</v>
      </c>
      <c r="C436" s="31" t="s">
        <v>18</v>
      </c>
      <c r="D436" s="79">
        <v>1</v>
      </c>
      <c r="E436" s="79">
        <v>1</v>
      </c>
      <c r="F436" s="79"/>
      <c r="G436" s="20">
        <v>0</v>
      </c>
      <c r="H436" s="20">
        <v>0</v>
      </c>
      <c r="I436" s="20">
        <v>0</v>
      </c>
      <c r="J436" s="20">
        <v>0</v>
      </c>
    </row>
    <row r="437" spans="1:11" x14ac:dyDescent="0.25">
      <c r="A437" s="93">
        <v>7</v>
      </c>
      <c r="B437" s="94" t="s">
        <v>61</v>
      </c>
      <c r="C437" s="35" t="s">
        <v>19</v>
      </c>
      <c r="D437" s="56"/>
      <c r="E437" s="56"/>
      <c r="F437" s="56">
        <v>14</v>
      </c>
      <c r="G437" s="20">
        <v>0</v>
      </c>
      <c r="H437" s="20">
        <v>0</v>
      </c>
      <c r="I437" s="20">
        <v>0</v>
      </c>
      <c r="J437" s="20">
        <v>0</v>
      </c>
    </row>
  </sheetData>
  <mergeCells count="63">
    <mergeCell ref="D383:E383"/>
    <mergeCell ref="F383:G383"/>
    <mergeCell ref="A338:A344"/>
    <mergeCell ref="A345:A351"/>
    <mergeCell ref="A352:A358"/>
    <mergeCell ref="A359:A365"/>
    <mergeCell ref="A366:A372"/>
    <mergeCell ref="A373:A379"/>
    <mergeCell ref="D166:E166"/>
    <mergeCell ref="F166:G166"/>
    <mergeCell ref="D336:E336"/>
    <mergeCell ref="F336:G336"/>
    <mergeCell ref="H336:I336"/>
    <mergeCell ref="J336:K336"/>
    <mergeCell ref="A142:A148"/>
    <mergeCell ref="B142:B148"/>
    <mergeCell ref="A149:A155"/>
    <mergeCell ref="B149:B155"/>
    <mergeCell ref="A156:A162"/>
    <mergeCell ref="B156:B162"/>
    <mergeCell ref="A121:A127"/>
    <mergeCell ref="B121:B127"/>
    <mergeCell ref="A128:A134"/>
    <mergeCell ref="B128:B134"/>
    <mergeCell ref="A135:A141"/>
    <mergeCell ref="B135:B141"/>
    <mergeCell ref="A100:A106"/>
    <mergeCell ref="B100:B106"/>
    <mergeCell ref="A107:A113"/>
    <mergeCell ref="B107:B113"/>
    <mergeCell ref="A114:A120"/>
    <mergeCell ref="B114:B120"/>
    <mergeCell ref="A79:A85"/>
    <mergeCell ref="B79:B85"/>
    <mergeCell ref="A86:A92"/>
    <mergeCell ref="B86:B92"/>
    <mergeCell ref="A93:A99"/>
    <mergeCell ref="B93:B99"/>
    <mergeCell ref="A58:A64"/>
    <mergeCell ref="B58:B64"/>
    <mergeCell ref="A65:A71"/>
    <mergeCell ref="B65:B71"/>
    <mergeCell ref="A72:A78"/>
    <mergeCell ref="B72:B78"/>
    <mergeCell ref="A37:A43"/>
    <mergeCell ref="B37:B43"/>
    <mergeCell ref="A44:A50"/>
    <mergeCell ref="B44:B50"/>
    <mergeCell ref="A51:A57"/>
    <mergeCell ref="B51:B57"/>
    <mergeCell ref="A16:A22"/>
    <mergeCell ref="B16:B22"/>
    <mergeCell ref="A23:A29"/>
    <mergeCell ref="B23:B29"/>
    <mergeCell ref="A30:A36"/>
    <mergeCell ref="B30:B36"/>
    <mergeCell ref="A1:C1"/>
    <mergeCell ref="D7:E7"/>
    <mergeCell ref="F7:G7"/>
    <mergeCell ref="H7:I7"/>
    <mergeCell ref="J7:K7"/>
    <mergeCell ref="A9:A15"/>
    <mergeCell ref="B9:B15"/>
  </mergeCells>
  <conditionalFormatting sqref="A79:B79">
    <cfRule type="containsText" dxfId="20" priority="20" operator="containsText" text="Not">
      <formula>NOT(ISERROR(SEARCH("Not",A79)))</formula>
    </cfRule>
  </conditionalFormatting>
  <conditionalFormatting sqref="A86:B86 B168:C332">
    <cfRule type="containsText" dxfId="19" priority="19" operator="containsText" text="Not">
      <formula>NOT(ISERROR(SEARCH("Not",A86)))</formula>
    </cfRule>
  </conditionalFormatting>
  <conditionalFormatting sqref="A93:B93">
    <cfRule type="containsText" dxfId="18" priority="18" operator="containsText" text="Not">
      <formula>NOT(ISERROR(SEARCH("Not",A93)))</formula>
    </cfRule>
  </conditionalFormatting>
  <conditionalFormatting sqref="A100:B100">
    <cfRule type="containsText" dxfId="17" priority="17" operator="containsText" text="Not">
      <formula>NOT(ISERROR(SEARCH("Not",A100)))</formula>
    </cfRule>
  </conditionalFormatting>
  <conditionalFormatting sqref="A107:B107">
    <cfRule type="containsText" dxfId="16" priority="16" operator="containsText" text="Not">
      <formula>NOT(ISERROR(SEARCH("Not",A107)))</formula>
    </cfRule>
  </conditionalFormatting>
  <conditionalFormatting sqref="A114:B114">
    <cfRule type="containsText" dxfId="15" priority="15" operator="containsText" text="Not">
      <formula>NOT(ISERROR(SEARCH("Not",A114)))</formula>
    </cfRule>
  </conditionalFormatting>
  <conditionalFormatting sqref="A121:B121">
    <cfRule type="containsText" dxfId="14" priority="14" operator="containsText" text="Not">
      <formula>NOT(ISERROR(SEARCH("Not",A121)))</formula>
    </cfRule>
  </conditionalFormatting>
  <conditionalFormatting sqref="A128:B128">
    <cfRule type="containsText" dxfId="13" priority="13" operator="containsText" text="Not">
      <formula>NOT(ISERROR(SEARCH("Not",A128)))</formula>
    </cfRule>
  </conditionalFormatting>
  <conditionalFormatting sqref="A135:B135">
    <cfRule type="containsText" dxfId="12" priority="12" operator="containsText" text="Not">
      <formula>NOT(ISERROR(SEARCH("Not",A135)))</formula>
    </cfRule>
  </conditionalFormatting>
  <conditionalFormatting sqref="A142:B142">
    <cfRule type="containsText" dxfId="11" priority="11" operator="containsText" text="Not">
      <formula>NOT(ISERROR(SEARCH("Not",A142)))</formula>
    </cfRule>
  </conditionalFormatting>
  <conditionalFormatting sqref="A149:B149">
    <cfRule type="containsText" dxfId="10" priority="10" operator="containsText" text="Not">
      <formula>NOT(ISERROR(SEARCH("Not",A149)))</formula>
    </cfRule>
  </conditionalFormatting>
  <conditionalFormatting sqref="A156:B156">
    <cfRule type="containsText" dxfId="9" priority="9" operator="containsText" text="Not">
      <formula>NOT(ISERROR(SEARCH("Not",A156)))</formula>
    </cfRule>
  </conditionalFormatting>
  <conditionalFormatting sqref="A9:C9 A16:B16 A23:B23 A30:B30 A37:B37 A44:B44 A51:B51 A58:B58 A65:B65 A72:B72">
    <cfRule type="containsText" dxfId="8" priority="21" operator="containsText" text="Not">
      <formula>NOT(ISERROR(SEARCH("Not",A9)))</formula>
    </cfRule>
  </conditionalFormatting>
  <conditionalFormatting sqref="B338:C379">
    <cfRule type="containsText" dxfId="7" priority="4" operator="containsText" text="Not">
      <formula>NOT(ISERROR(SEARCH("Not",B338)))</formula>
    </cfRule>
  </conditionalFormatting>
  <conditionalFormatting sqref="B385:C385 B393:B437">
    <cfRule type="containsText" dxfId="6" priority="3" operator="containsText" text="Not">
      <formula>NOT(ISERROR(SEARCH("Not",B385)))</formula>
    </cfRule>
  </conditionalFormatting>
  <conditionalFormatting sqref="C10:C162">
    <cfRule type="containsText" dxfId="5" priority="8" operator="containsText" text="Not">
      <formula>NOT(ISERROR(SEARCH("Not",C10)))</formula>
    </cfRule>
  </conditionalFormatting>
  <conditionalFormatting sqref="C386:C437">
    <cfRule type="containsText" dxfId="4" priority="2" operator="containsText" text="Not">
      <formula>NOT(ISERROR(SEARCH("Not",C386)))</formula>
    </cfRule>
  </conditionalFormatting>
  <conditionalFormatting sqref="D172:J172">
    <cfRule type="containsText" dxfId="3" priority="6" operator="containsText" text="Not">
      <formula>NOT(ISERROR(SEARCH("Not",D172)))</formula>
    </cfRule>
  </conditionalFormatting>
  <conditionalFormatting sqref="D218:J218">
    <cfRule type="containsText" dxfId="2" priority="7" operator="containsText" text="Not">
      <formula>NOT(ISERROR(SEARCH("Not",D218)))</formula>
    </cfRule>
  </conditionalFormatting>
  <conditionalFormatting sqref="D233:J233">
    <cfRule type="containsText" dxfId="1" priority="5" operator="containsText" text="Not">
      <formula>NOT(ISERROR(SEARCH("Not",D233)))</formula>
    </cfRule>
  </conditionalFormatting>
  <conditionalFormatting sqref="D389:J389">
    <cfRule type="containsText" dxfId="0" priority="1" operator="containsText" text="Not">
      <formula>NOT(ISERROR(SEARCH("Not",D389)))</formula>
    </cfRule>
  </conditionalFormatting>
  <hyperlinks>
    <hyperlink ref="A1:C1" location="Sommaire!A1" display="Sommaire!A1" xr:uid="{87A50F37-9BCF-4036-BA7F-85B552236B2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sie rachid traore</dc:creator>
  <cp:lastModifiedBy>sie rachid traore</cp:lastModifiedBy>
  <dcterms:created xsi:type="dcterms:W3CDTF">2026-07-15T09:58:12Z</dcterms:created>
  <dcterms:modified xsi:type="dcterms:W3CDTF">2026-07-15T09:58:25Z</dcterms:modified>
</cp:coreProperties>
</file>