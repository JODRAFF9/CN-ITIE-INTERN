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apports\donnée\Emplois\"/>
    </mc:Choice>
  </mc:AlternateContent>
  <xr:revisionPtr revIDLastSave="0" documentId="8_{191D6CA8-958F-4889-8516-4385E2FD1A50}" xr6:coauthVersionLast="47" xr6:coauthVersionMax="47" xr10:uidLastSave="{00000000-0000-0000-0000-000000000000}"/>
  <bookViews>
    <workbookView xWindow="-110" yWindow="-110" windowWidth="19420" windowHeight="10660" xr2:uid="{6A50BFAB-3430-4F49-A0E8-01DAF34B5C6D}"/>
  </bookViews>
  <sheets>
    <sheet name="5" sheetId="1" r:id="rId1"/>
  </sheets>
  <externalReferences>
    <externalReference r:id="rId2"/>
  </externalReferences>
  <definedNames>
    <definedName name="_xlnm._FilterDatabase" hidden="1">#REF!</definedName>
    <definedName name="_FilterDatabase1" hidden="1">#REF!</definedName>
    <definedName name="az">#REF!</definedName>
    <definedName name="_xlnm.Database">#REF!</definedName>
    <definedName name="BATNA">#REF!</definedName>
    <definedName name="BISKRA">#REF!</definedName>
    <definedName name="Compadjust">#REF!</definedName>
    <definedName name="DATA5">#REF!</definedName>
    <definedName name="FD" hidden="1">#REF!</definedName>
    <definedName name="fdb" hidden="1">#REF!</definedName>
    <definedName name="FinalDiff">#REF!</definedName>
    <definedName name="Govadjust">#REF!</definedName>
    <definedName name="JIJEL">#REF!</definedName>
    <definedName name="KHENCHELA">#REF!</definedName>
    <definedName name="MARI">#REF!</definedName>
    <definedName name="MILA">#REF!</definedName>
    <definedName name="miseenplace03prjpilotes">#REF!</definedName>
    <definedName name="MS">#REF!</definedName>
    <definedName name="msp">#REF!</definedName>
    <definedName name="P">#REF!</definedName>
    <definedName name="po">#REF!</definedName>
    <definedName name="POP">#REF!</definedName>
    <definedName name="RECAP">#REF!</definedName>
    <definedName name="SOUKAHARS">#REF!</definedName>
    <definedName name="Taxes">#REF!</definedName>
    <definedName name="TRAVAUX01">#REF!</definedName>
    <definedName name="TRAVAUX07">#REF!</definedName>
    <definedName name="TRAVAUX08">#REF!</definedName>
    <definedName name="TRAVAUX10">#REF!</definedName>
    <definedName name="TRAVAUX11">#REF!</definedName>
    <definedName name="TRAVAUX12">#REF!</definedName>
    <definedName name="TRAVAUX13">#REF!</definedName>
    <definedName name="TRAVAUX14">#REF!</definedName>
    <definedName name="TRAVAUX15">#REF!</definedName>
    <definedName name="TRAVAUX20">#REF!</definedName>
    <definedName name="TRAVAUX21">#REF!</definedName>
    <definedName name="TRAVAUX22">#REF!</definedName>
    <definedName name="TRAVAUX25">#REF!</definedName>
    <definedName name="TRAVAUX27">#REF!</definedName>
    <definedName name="TRAVAUX28">#REF!</definedName>
    <definedName name="TRAVAUX29">#REF!</definedName>
    <definedName name="TRAVAUX31">#REF!</definedName>
    <definedName name="TRAVAUX32">#REF!</definedName>
    <definedName name="TRAVAUX33">#REF!</definedName>
    <definedName name="TRAVAUX34">#REF!</definedName>
    <definedName name="TRAVAUX35">#REF!</definedName>
    <definedName name="TRAVAUX36">#REF!</definedName>
    <definedName name="TRAVAUX38">#REF!</definedName>
    <definedName name="TRAVAUX39">#REF!</definedName>
    <definedName name="TRAVAUX40">#REF!</definedName>
    <definedName name="TRAVAUX41">#REF!</definedName>
    <definedName name="TRAVAUX42">#REF!</definedName>
    <definedName name="TRAVAUX43">#REF!</definedName>
    <definedName name="TRAVAUX44">#REF!</definedName>
    <definedName name="TRAVAUX45">#REF!</definedName>
    <definedName name="TRAVAUX47">#REF!</definedName>
    <definedName name="TRAVAUX48">#REF!</definedName>
    <definedName name="TRAVAUX49">#REF!</definedName>
    <definedName name="TRAVAUX50">#REF!</definedName>
    <definedName name="TRAVAUX51">#REF!</definedName>
    <definedName name="TRAVAUX53">#REF!</definedName>
    <definedName name="TRAVAUX58">#REF!</definedName>
    <definedName name="TRAVAUX59">#REF!</definedName>
    <definedName name="TRAVAUX67">#REF!</definedName>
    <definedName name="ZI">#REF!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4" i="1" l="1"/>
  <c r="G533" i="1"/>
  <c r="F532" i="1"/>
  <c r="E531" i="1"/>
  <c r="K529" i="1"/>
  <c r="H526" i="1"/>
  <c r="E520" i="1"/>
  <c r="K518" i="1"/>
  <c r="H515" i="1"/>
  <c r="F513" i="1"/>
  <c r="E512" i="1"/>
  <c r="E516" i="1" s="1"/>
  <c r="K506" i="1"/>
  <c r="J506" i="1"/>
  <c r="I506" i="1"/>
  <c r="H506" i="1"/>
  <c r="G506" i="1"/>
  <c r="F506" i="1"/>
  <c r="E506" i="1"/>
  <c r="K505" i="1"/>
  <c r="J505" i="1"/>
  <c r="H505" i="1"/>
  <c r="G505" i="1"/>
  <c r="F505" i="1"/>
  <c r="E505" i="1"/>
  <c r="J504" i="1"/>
  <c r="K503" i="1"/>
  <c r="J503" i="1"/>
  <c r="K534" i="1" s="1"/>
  <c r="I503" i="1"/>
  <c r="H503" i="1"/>
  <c r="G503" i="1"/>
  <c r="G534" i="1" s="1"/>
  <c r="F503" i="1"/>
  <c r="F534" i="1" s="1"/>
  <c r="E503" i="1"/>
  <c r="E534" i="1" s="1"/>
  <c r="I534" i="1" s="1"/>
  <c r="K502" i="1"/>
  <c r="J502" i="1"/>
  <c r="K533" i="1" s="1"/>
  <c r="H502" i="1"/>
  <c r="H533" i="1" s="1"/>
  <c r="G502" i="1"/>
  <c r="F502" i="1"/>
  <c r="F533" i="1" s="1"/>
  <c r="E502" i="1"/>
  <c r="E533" i="1" s="1"/>
  <c r="K501" i="1"/>
  <c r="J501" i="1"/>
  <c r="K532" i="1" s="1"/>
  <c r="H501" i="1"/>
  <c r="H532" i="1" s="1"/>
  <c r="G501" i="1"/>
  <c r="G532" i="1" s="1"/>
  <c r="F501" i="1"/>
  <c r="E501" i="1"/>
  <c r="E532" i="1" s="1"/>
  <c r="I532" i="1" s="1"/>
  <c r="K500" i="1"/>
  <c r="J500" i="1"/>
  <c r="K531" i="1" s="1"/>
  <c r="H500" i="1"/>
  <c r="H531" i="1" s="1"/>
  <c r="G500" i="1"/>
  <c r="G531" i="1" s="1"/>
  <c r="G535" i="1" s="1"/>
  <c r="F500" i="1"/>
  <c r="F531" i="1" s="1"/>
  <c r="F535" i="1" s="1"/>
  <c r="E500" i="1"/>
  <c r="K494" i="1"/>
  <c r="J494" i="1"/>
  <c r="H494" i="1"/>
  <c r="G494" i="1"/>
  <c r="F494" i="1"/>
  <c r="E494" i="1"/>
  <c r="K491" i="1"/>
  <c r="J491" i="1"/>
  <c r="K520" i="1" s="1"/>
  <c r="H491" i="1"/>
  <c r="H520" i="1" s="1"/>
  <c r="G491" i="1"/>
  <c r="G520" i="1" s="1"/>
  <c r="F491" i="1"/>
  <c r="F520" i="1" s="1"/>
  <c r="E491" i="1"/>
  <c r="K490" i="1"/>
  <c r="J490" i="1"/>
  <c r="K519" i="1" s="1"/>
  <c r="H490" i="1"/>
  <c r="H519" i="1" s="1"/>
  <c r="G490" i="1"/>
  <c r="G519" i="1" s="1"/>
  <c r="F490" i="1"/>
  <c r="F519" i="1" s="1"/>
  <c r="E490" i="1"/>
  <c r="E519" i="1" s="1"/>
  <c r="I519" i="1" s="1"/>
  <c r="K489" i="1"/>
  <c r="J489" i="1"/>
  <c r="H489" i="1"/>
  <c r="H518" i="1" s="1"/>
  <c r="G489" i="1"/>
  <c r="G518" i="1" s="1"/>
  <c r="F489" i="1"/>
  <c r="F518" i="1" s="1"/>
  <c r="E489" i="1"/>
  <c r="E518" i="1" s="1"/>
  <c r="K488" i="1"/>
  <c r="J488" i="1"/>
  <c r="K517" i="1" s="1"/>
  <c r="K521" i="1" s="1"/>
  <c r="H488" i="1"/>
  <c r="H517" i="1" s="1"/>
  <c r="G488" i="1"/>
  <c r="G517" i="1" s="1"/>
  <c r="F488" i="1"/>
  <c r="F517" i="1" s="1"/>
  <c r="E488" i="1"/>
  <c r="E517" i="1" s="1"/>
  <c r="L482" i="1"/>
  <c r="K482" i="1"/>
  <c r="J482" i="1"/>
  <c r="I482" i="1"/>
  <c r="H482" i="1"/>
  <c r="G482" i="1"/>
  <c r="F482" i="1"/>
  <c r="E482" i="1"/>
  <c r="L481" i="1"/>
  <c r="K481" i="1"/>
  <c r="J481" i="1"/>
  <c r="I481" i="1"/>
  <c r="H481" i="1"/>
  <c r="G481" i="1"/>
  <c r="F481" i="1"/>
  <c r="E481" i="1"/>
  <c r="G480" i="1"/>
  <c r="L479" i="1"/>
  <c r="K479" i="1"/>
  <c r="J479" i="1"/>
  <c r="I479" i="1"/>
  <c r="H479" i="1"/>
  <c r="H529" i="1" s="1"/>
  <c r="G479" i="1"/>
  <c r="G529" i="1" s="1"/>
  <c r="F479" i="1"/>
  <c r="F529" i="1" s="1"/>
  <c r="E479" i="1"/>
  <c r="E529" i="1" s="1"/>
  <c r="I529" i="1" s="1"/>
  <c r="L478" i="1"/>
  <c r="K478" i="1"/>
  <c r="K528" i="1" s="1"/>
  <c r="J478" i="1"/>
  <c r="I478" i="1"/>
  <c r="H478" i="1"/>
  <c r="H528" i="1" s="1"/>
  <c r="G478" i="1"/>
  <c r="G528" i="1" s="1"/>
  <c r="F478" i="1"/>
  <c r="F528" i="1" s="1"/>
  <c r="E478" i="1"/>
  <c r="E528" i="1" s="1"/>
  <c r="I528" i="1" s="1"/>
  <c r="L477" i="1"/>
  <c r="K477" i="1"/>
  <c r="K527" i="1" s="1"/>
  <c r="J477" i="1"/>
  <c r="I477" i="1"/>
  <c r="H477" i="1"/>
  <c r="H527" i="1" s="1"/>
  <c r="G477" i="1"/>
  <c r="G527" i="1" s="1"/>
  <c r="F477" i="1"/>
  <c r="F527" i="1" s="1"/>
  <c r="E477" i="1"/>
  <c r="E527" i="1" s="1"/>
  <c r="I527" i="1" s="1"/>
  <c r="L476" i="1"/>
  <c r="K476" i="1"/>
  <c r="K526" i="1" s="1"/>
  <c r="K530" i="1" s="1"/>
  <c r="J476" i="1"/>
  <c r="I476" i="1"/>
  <c r="H476" i="1"/>
  <c r="G476" i="1"/>
  <c r="G526" i="1" s="1"/>
  <c r="G530" i="1" s="1"/>
  <c r="F476" i="1"/>
  <c r="F526" i="1" s="1"/>
  <c r="F530" i="1" s="1"/>
  <c r="F536" i="1" s="1"/>
  <c r="E476" i="1"/>
  <c r="E526" i="1" s="1"/>
  <c r="L472" i="1"/>
  <c r="K472" i="1"/>
  <c r="J472" i="1"/>
  <c r="I472" i="1"/>
  <c r="H472" i="1"/>
  <c r="G472" i="1"/>
  <c r="F472" i="1"/>
  <c r="E472" i="1"/>
  <c r="G470" i="1"/>
  <c r="L469" i="1"/>
  <c r="K469" i="1"/>
  <c r="K515" i="1" s="1"/>
  <c r="J469" i="1"/>
  <c r="I469" i="1"/>
  <c r="H469" i="1"/>
  <c r="G469" i="1"/>
  <c r="G515" i="1" s="1"/>
  <c r="F469" i="1"/>
  <c r="F515" i="1" s="1"/>
  <c r="E469" i="1"/>
  <c r="E515" i="1" s="1"/>
  <c r="L468" i="1"/>
  <c r="K468" i="1"/>
  <c r="K514" i="1" s="1"/>
  <c r="J468" i="1"/>
  <c r="I468" i="1"/>
  <c r="H468" i="1"/>
  <c r="H514" i="1" s="1"/>
  <c r="G468" i="1"/>
  <c r="G514" i="1" s="1"/>
  <c r="F468" i="1"/>
  <c r="F514" i="1" s="1"/>
  <c r="E468" i="1"/>
  <c r="E514" i="1" s="1"/>
  <c r="L467" i="1"/>
  <c r="K467" i="1"/>
  <c r="K513" i="1" s="1"/>
  <c r="J467" i="1"/>
  <c r="I467" i="1"/>
  <c r="H467" i="1"/>
  <c r="H513" i="1" s="1"/>
  <c r="G467" i="1"/>
  <c r="G513" i="1" s="1"/>
  <c r="F467" i="1"/>
  <c r="E467" i="1"/>
  <c r="E513" i="1" s="1"/>
  <c r="L466" i="1"/>
  <c r="K466" i="1"/>
  <c r="K512" i="1" s="1"/>
  <c r="K516" i="1" s="1"/>
  <c r="K522" i="1" s="1"/>
  <c r="J466" i="1"/>
  <c r="I466" i="1"/>
  <c r="H466" i="1"/>
  <c r="H512" i="1" s="1"/>
  <c r="H516" i="1" s="1"/>
  <c r="G466" i="1"/>
  <c r="G512" i="1" s="1"/>
  <c r="G516" i="1" s="1"/>
  <c r="F466" i="1"/>
  <c r="F512" i="1" s="1"/>
  <c r="F516" i="1" s="1"/>
  <c r="E466" i="1"/>
  <c r="K461" i="1"/>
  <c r="J461" i="1"/>
  <c r="I461" i="1"/>
  <c r="H461" i="1"/>
  <c r="G461" i="1"/>
  <c r="F461" i="1"/>
  <c r="E461" i="1"/>
  <c r="K453" i="1"/>
  <c r="J453" i="1"/>
  <c r="I453" i="1"/>
  <c r="H453" i="1"/>
  <c r="G453" i="1"/>
  <c r="F453" i="1"/>
  <c r="E453" i="1"/>
  <c r="K445" i="1"/>
  <c r="J445" i="1"/>
  <c r="I445" i="1"/>
  <c r="H445" i="1"/>
  <c r="G445" i="1"/>
  <c r="F445" i="1"/>
  <c r="E445" i="1"/>
  <c r="K440" i="1"/>
  <c r="I438" i="1"/>
  <c r="I505" i="1" s="1"/>
  <c r="K437" i="1"/>
  <c r="J437" i="1"/>
  <c r="H437" i="1"/>
  <c r="G437" i="1"/>
  <c r="F437" i="1"/>
  <c r="E437" i="1"/>
  <c r="I436" i="1"/>
  <c r="I435" i="1"/>
  <c r="I502" i="1" s="1"/>
  <c r="I434" i="1"/>
  <c r="I501" i="1" s="1"/>
  <c r="I433" i="1"/>
  <c r="I500" i="1" s="1"/>
  <c r="H432" i="1"/>
  <c r="K429" i="1"/>
  <c r="J429" i="1"/>
  <c r="I429" i="1"/>
  <c r="H429" i="1"/>
  <c r="G429" i="1"/>
  <c r="F429" i="1"/>
  <c r="E429" i="1"/>
  <c r="F424" i="1"/>
  <c r="K421" i="1"/>
  <c r="K504" i="1" s="1"/>
  <c r="J421" i="1"/>
  <c r="I421" i="1"/>
  <c r="H421" i="1"/>
  <c r="H504" i="1" s="1"/>
  <c r="G421" i="1"/>
  <c r="G504" i="1" s="1"/>
  <c r="F421" i="1"/>
  <c r="F504" i="1" s="1"/>
  <c r="E421" i="1"/>
  <c r="E504" i="1" s="1"/>
  <c r="L409" i="1"/>
  <c r="K409" i="1"/>
  <c r="J409" i="1"/>
  <c r="I409" i="1"/>
  <c r="H409" i="1"/>
  <c r="G409" i="1"/>
  <c r="F409" i="1"/>
  <c r="E409" i="1"/>
  <c r="L402" i="1"/>
  <c r="K402" i="1"/>
  <c r="J402" i="1"/>
  <c r="I402" i="1"/>
  <c r="H402" i="1"/>
  <c r="G402" i="1"/>
  <c r="F402" i="1"/>
  <c r="E402" i="1"/>
  <c r="L395" i="1"/>
  <c r="K395" i="1"/>
  <c r="J395" i="1"/>
  <c r="I395" i="1"/>
  <c r="H395" i="1"/>
  <c r="G395" i="1"/>
  <c r="F395" i="1"/>
  <c r="E395" i="1"/>
  <c r="L388" i="1"/>
  <c r="K388" i="1"/>
  <c r="K424" i="1" s="1"/>
  <c r="J388" i="1"/>
  <c r="I388" i="1"/>
  <c r="J424" i="1" s="1"/>
  <c r="H388" i="1"/>
  <c r="H424" i="1" s="1"/>
  <c r="G388" i="1"/>
  <c r="G424" i="1" s="1"/>
  <c r="F388" i="1"/>
  <c r="E388" i="1"/>
  <c r="E424" i="1" s="1"/>
  <c r="L381" i="1"/>
  <c r="K381" i="1"/>
  <c r="J381" i="1"/>
  <c r="I381" i="1"/>
  <c r="J432" i="1" s="1"/>
  <c r="H381" i="1"/>
  <c r="G381" i="1"/>
  <c r="G432" i="1" s="1"/>
  <c r="F381" i="1"/>
  <c r="F432" i="1" s="1"/>
  <c r="E381" i="1"/>
  <c r="E432" i="1" s="1"/>
  <c r="L374" i="1"/>
  <c r="L480" i="1" s="1"/>
  <c r="K374" i="1"/>
  <c r="K480" i="1" s="1"/>
  <c r="J374" i="1"/>
  <c r="J480" i="1" s="1"/>
  <c r="I374" i="1"/>
  <c r="J440" i="1" s="1"/>
  <c r="H374" i="1"/>
  <c r="H480" i="1" s="1"/>
  <c r="G374" i="1"/>
  <c r="F374" i="1"/>
  <c r="F480" i="1" s="1"/>
  <c r="E374" i="1"/>
  <c r="E480" i="1" s="1"/>
  <c r="L361" i="1"/>
  <c r="K361" i="1"/>
  <c r="J361" i="1"/>
  <c r="I361" i="1"/>
  <c r="H361" i="1"/>
  <c r="G361" i="1"/>
  <c r="F361" i="1"/>
  <c r="E361" i="1"/>
  <c r="L354" i="1"/>
  <c r="K354" i="1"/>
  <c r="J354" i="1"/>
  <c r="I354" i="1"/>
  <c r="H354" i="1"/>
  <c r="G354" i="1"/>
  <c r="F354" i="1"/>
  <c r="E354" i="1"/>
  <c r="L347" i="1"/>
  <c r="K347" i="1"/>
  <c r="J347" i="1"/>
  <c r="I347" i="1"/>
  <c r="H347" i="1"/>
  <c r="G347" i="1"/>
  <c r="F347" i="1"/>
  <c r="E347" i="1"/>
  <c r="I341" i="1"/>
  <c r="I494" i="1" s="1"/>
  <c r="L339" i="1"/>
  <c r="L340" i="1" s="1"/>
  <c r="K339" i="1"/>
  <c r="K340" i="1" s="1"/>
  <c r="J339" i="1"/>
  <c r="J340" i="1" s="1"/>
  <c r="H339" i="1"/>
  <c r="H340" i="1" s="1"/>
  <c r="G339" i="1"/>
  <c r="G340" i="1" s="1"/>
  <c r="F339" i="1"/>
  <c r="F340" i="1" s="1"/>
  <c r="E339" i="1"/>
  <c r="E340" i="1" s="1"/>
  <c r="I338" i="1"/>
  <c r="I337" i="1"/>
  <c r="I336" i="1"/>
  <c r="I335" i="1"/>
  <c r="I339" i="1" s="1"/>
  <c r="L331" i="1"/>
  <c r="K331" i="1"/>
  <c r="J331" i="1"/>
  <c r="I331" i="1"/>
  <c r="H331" i="1"/>
  <c r="G331" i="1"/>
  <c r="F331" i="1"/>
  <c r="E331" i="1"/>
  <c r="L324" i="1"/>
  <c r="K324" i="1"/>
  <c r="J324" i="1"/>
  <c r="I324" i="1"/>
  <c r="H324" i="1"/>
  <c r="G324" i="1"/>
  <c r="F324" i="1"/>
  <c r="E324" i="1"/>
  <c r="L316" i="1"/>
  <c r="K316" i="1"/>
  <c r="J316" i="1"/>
  <c r="I316" i="1"/>
  <c r="H316" i="1"/>
  <c r="G316" i="1"/>
  <c r="F316" i="1"/>
  <c r="E316" i="1"/>
  <c r="L309" i="1"/>
  <c r="K309" i="1"/>
  <c r="J309" i="1"/>
  <c r="I309" i="1"/>
  <c r="H309" i="1"/>
  <c r="G309" i="1"/>
  <c r="F309" i="1"/>
  <c r="E309" i="1"/>
  <c r="L301" i="1"/>
  <c r="K301" i="1"/>
  <c r="J301" i="1"/>
  <c r="I301" i="1"/>
  <c r="H301" i="1"/>
  <c r="G301" i="1"/>
  <c r="F301" i="1"/>
  <c r="E301" i="1"/>
  <c r="L294" i="1"/>
  <c r="K294" i="1"/>
  <c r="J294" i="1"/>
  <c r="I294" i="1"/>
  <c r="H294" i="1"/>
  <c r="G294" i="1"/>
  <c r="F294" i="1"/>
  <c r="E294" i="1"/>
  <c r="L287" i="1"/>
  <c r="K287" i="1"/>
  <c r="J287" i="1"/>
  <c r="I287" i="1"/>
  <c r="H287" i="1"/>
  <c r="G287" i="1"/>
  <c r="F287" i="1"/>
  <c r="E287" i="1"/>
  <c r="H282" i="1"/>
  <c r="L279" i="1"/>
  <c r="K279" i="1"/>
  <c r="K282" i="1" s="1"/>
  <c r="J279" i="1"/>
  <c r="H279" i="1"/>
  <c r="G279" i="1"/>
  <c r="F279" i="1"/>
  <c r="E279" i="1"/>
  <c r="I278" i="1"/>
  <c r="I277" i="1"/>
  <c r="I276" i="1"/>
  <c r="I275" i="1"/>
  <c r="I279" i="1" s="1"/>
  <c r="K274" i="1"/>
  <c r="L271" i="1"/>
  <c r="K271" i="1"/>
  <c r="J271" i="1"/>
  <c r="H271" i="1"/>
  <c r="G271" i="1"/>
  <c r="F271" i="1"/>
  <c r="E271" i="1"/>
  <c r="I270" i="1"/>
  <c r="I269" i="1"/>
  <c r="I490" i="1" s="1"/>
  <c r="I268" i="1"/>
  <c r="I267" i="1"/>
  <c r="I271" i="1" s="1"/>
  <c r="L263" i="1"/>
  <c r="K263" i="1"/>
  <c r="J263" i="1"/>
  <c r="I263" i="1"/>
  <c r="H263" i="1"/>
  <c r="G263" i="1"/>
  <c r="F263" i="1"/>
  <c r="E263" i="1"/>
  <c r="L255" i="1"/>
  <c r="K255" i="1"/>
  <c r="J255" i="1"/>
  <c r="I255" i="1"/>
  <c r="H255" i="1"/>
  <c r="G255" i="1"/>
  <c r="F255" i="1"/>
  <c r="E255" i="1"/>
  <c r="L247" i="1"/>
  <c r="K247" i="1"/>
  <c r="J247" i="1"/>
  <c r="I247" i="1"/>
  <c r="H247" i="1"/>
  <c r="G247" i="1"/>
  <c r="F247" i="1"/>
  <c r="E247" i="1"/>
  <c r="I246" i="1"/>
  <c r="L242" i="1"/>
  <c r="K242" i="1"/>
  <c r="J242" i="1"/>
  <c r="I242" i="1"/>
  <c r="H242" i="1"/>
  <c r="G242" i="1"/>
  <c r="F242" i="1"/>
  <c r="E242" i="1"/>
  <c r="L239" i="1"/>
  <c r="K239" i="1"/>
  <c r="J239" i="1"/>
  <c r="I239" i="1"/>
  <c r="H239" i="1"/>
  <c r="G239" i="1"/>
  <c r="F239" i="1"/>
  <c r="E239" i="1"/>
  <c r="L232" i="1"/>
  <c r="K232" i="1"/>
  <c r="J232" i="1"/>
  <c r="H232" i="1"/>
  <c r="G232" i="1"/>
  <c r="F232" i="1"/>
  <c r="E232" i="1"/>
  <c r="I231" i="1"/>
  <c r="I230" i="1"/>
  <c r="I229" i="1"/>
  <c r="I228" i="1"/>
  <c r="I232" i="1" s="1"/>
  <c r="L224" i="1"/>
  <c r="K224" i="1"/>
  <c r="K492" i="1" s="1"/>
  <c r="J224" i="1"/>
  <c r="I224" i="1"/>
  <c r="H224" i="1"/>
  <c r="G224" i="1"/>
  <c r="F224" i="1"/>
  <c r="E224" i="1"/>
  <c r="L216" i="1"/>
  <c r="L217" i="1" s="1"/>
  <c r="K216" i="1"/>
  <c r="K217" i="1" s="1"/>
  <c r="K493" i="1" s="1"/>
  <c r="J216" i="1"/>
  <c r="J217" i="1" s="1"/>
  <c r="H216" i="1"/>
  <c r="H217" i="1" s="1"/>
  <c r="G216" i="1"/>
  <c r="G217" i="1" s="1"/>
  <c r="F216" i="1"/>
  <c r="F217" i="1" s="1"/>
  <c r="F493" i="1" s="1"/>
  <c r="E216" i="1"/>
  <c r="E217" i="1" s="1"/>
  <c r="I215" i="1"/>
  <c r="I491" i="1" s="1"/>
  <c r="I214" i="1"/>
  <c r="I213" i="1"/>
  <c r="I489" i="1" s="1"/>
  <c r="I212" i="1"/>
  <c r="I216" i="1" s="1"/>
  <c r="I217" i="1" s="1"/>
  <c r="L209" i="1"/>
  <c r="K209" i="1"/>
  <c r="J209" i="1"/>
  <c r="I209" i="1"/>
  <c r="H209" i="1"/>
  <c r="G209" i="1"/>
  <c r="F209" i="1"/>
  <c r="E209" i="1"/>
  <c r="L201" i="1"/>
  <c r="K201" i="1"/>
  <c r="J201" i="1"/>
  <c r="I201" i="1"/>
  <c r="H201" i="1"/>
  <c r="G201" i="1"/>
  <c r="F201" i="1"/>
  <c r="E201" i="1"/>
  <c r="L193" i="1"/>
  <c r="K193" i="1"/>
  <c r="J193" i="1"/>
  <c r="I193" i="1"/>
  <c r="H193" i="1"/>
  <c r="G193" i="1"/>
  <c r="F193" i="1"/>
  <c r="E193" i="1"/>
  <c r="L186" i="1"/>
  <c r="K186" i="1"/>
  <c r="J186" i="1"/>
  <c r="J492" i="1" s="1"/>
  <c r="I186" i="1"/>
  <c r="H186" i="1"/>
  <c r="H492" i="1" s="1"/>
  <c r="G186" i="1"/>
  <c r="G492" i="1" s="1"/>
  <c r="F186" i="1"/>
  <c r="F492" i="1" s="1"/>
  <c r="E186" i="1"/>
  <c r="E492" i="1" s="1"/>
  <c r="L174" i="1"/>
  <c r="K174" i="1"/>
  <c r="J174" i="1"/>
  <c r="I174" i="1"/>
  <c r="H174" i="1"/>
  <c r="G174" i="1"/>
  <c r="F174" i="1"/>
  <c r="E174" i="1"/>
  <c r="L167" i="1"/>
  <c r="K167" i="1"/>
  <c r="J167" i="1"/>
  <c r="I167" i="1"/>
  <c r="H167" i="1"/>
  <c r="G167" i="1"/>
  <c r="F167" i="1"/>
  <c r="E167" i="1"/>
  <c r="L160" i="1"/>
  <c r="K160" i="1"/>
  <c r="J160" i="1"/>
  <c r="I160" i="1"/>
  <c r="H160" i="1"/>
  <c r="G160" i="1"/>
  <c r="F160" i="1"/>
  <c r="E160" i="1"/>
  <c r="L153" i="1"/>
  <c r="L154" i="1" s="1"/>
  <c r="K153" i="1"/>
  <c r="K154" i="1" s="1"/>
  <c r="K342" i="1" s="1"/>
  <c r="J153" i="1"/>
  <c r="J154" i="1" s="1"/>
  <c r="I153" i="1"/>
  <c r="I154" i="1" s="1"/>
  <c r="H153" i="1"/>
  <c r="H342" i="1" s="1"/>
  <c r="G153" i="1"/>
  <c r="G342" i="1" s="1"/>
  <c r="F153" i="1"/>
  <c r="F154" i="1" s="1"/>
  <c r="E153" i="1"/>
  <c r="E154" i="1" s="1"/>
  <c r="L146" i="1"/>
  <c r="K146" i="1"/>
  <c r="J146" i="1"/>
  <c r="I146" i="1"/>
  <c r="H146" i="1"/>
  <c r="G146" i="1"/>
  <c r="F146" i="1"/>
  <c r="E146" i="1"/>
  <c r="L139" i="1"/>
  <c r="K139" i="1"/>
  <c r="J139" i="1"/>
  <c r="I139" i="1"/>
  <c r="H139" i="1"/>
  <c r="G139" i="1"/>
  <c r="F139" i="1"/>
  <c r="E139" i="1"/>
  <c r="L132" i="1"/>
  <c r="K132" i="1"/>
  <c r="J132" i="1"/>
  <c r="I132" i="1"/>
  <c r="H132" i="1"/>
  <c r="G132" i="1"/>
  <c r="F132" i="1"/>
  <c r="E132" i="1"/>
  <c r="L125" i="1"/>
  <c r="K125" i="1"/>
  <c r="J125" i="1"/>
  <c r="I125" i="1"/>
  <c r="H125" i="1"/>
  <c r="G125" i="1"/>
  <c r="F125" i="1"/>
  <c r="E125" i="1"/>
  <c r="L118" i="1"/>
  <c r="K118" i="1"/>
  <c r="J118" i="1"/>
  <c r="I118" i="1"/>
  <c r="H118" i="1"/>
  <c r="G118" i="1"/>
  <c r="F118" i="1"/>
  <c r="E118" i="1"/>
  <c r="L111" i="1"/>
  <c r="K111" i="1"/>
  <c r="J111" i="1"/>
  <c r="I111" i="1"/>
  <c r="H111" i="1"/>
  <c r="G111" i="1"/>
  <c r="F111" i="1"/>
  <c r="E111" i="1"/>
  <c r="L104" i="1"/>
  <c r="K104" i="1"/>
  <c r="J104" i="1"/>
  <c r="I104" i="1"/>
  <c r="H104" i="1"/>
  <c r="G104" i="1"/>
  <c r="F104" i="1"/>
  <c r="E104" i="1"/>
  <c r="L97" i="1"/>
  <c r="K97" i="1"/>
  <c r="J97" i="1"/>
  <c r="I97" i="1"/>
  <c r="J282" i="1" s="1"/>
  <c r="H97" i="1"/>
  <c r="G97" i="1"/>
  <c r="G282" i="1" s="1"/>
  <c r="F97" i="1"/>
  <c r="F282" i="1" s="1"/>
  <c r="E97" i="1"/>
  <c r="E282" i="1" s="1"/>
  <c r="L90" i="1"/>
  <c r="K90" i="1"/>
  <c r="J90" i="1"/>
  <c r="I90" i="1"/>
  <c r="J274" i="1" s="1"/>
  <c r="H90" i="1"/>
  <c r="H274" i="1" s="1"/>
  <c r="G90" i="1"/>
  <c r="G274" i="1" s="1"/>
  <c r="F90" i="1"/>
  <c r="F274" i="1" s="1"/>
  <c r="E90" i="1"/>
  <c r="E274" i="1" s="1"/>
  <c r="L83" i="1"/>
  <c r="K83" i="1"/>
  <c r="J83" i="1"/>
  <c r="I83" i="1"/>
  <c r="H83" i="1"/>
  <c r="G83" i="1"/>
  <c r="F83" i="1"/>
  <c r="E83" i="1"/>
  <c r="L76" i="1"/>
  <c r="K76" i="1"/>
  <c r="J76" i="1"/>
  <c r="I76" i="1"/>
  <c r="H76" i="1"/>
  <c r="G76" i="1"/>
  <c r="F76" i="1"/>
  <c r="E76" i="1"/>
  <c r="L69" i="1"/>
  <c r="L70" i="1" s="1"/>
  <c r="K69" i="1"/>
  <c r="K250" i="1" s="1"/>
  <c r="J69" i="1"/>
  <c r="J70" i="1" s="1"/>
  <c r="I69" i="1"/>
  <c r="J250" i="1" s="1"/>
  <c r="H69" i="1"/>
  <c r="H250" i="1" s="1"/>
  <c r="G69" i="1"/>
  <c r="G250" i="1" s="1"/>
  <c r="F69" i="1"/>
  <c r="F70" i="1" s="1"/>
  <c r="E69" i="1"/>
  <c r="E250" i="1" s="1"/>
  <c r="L62" i="1"/>
  <c r="K62" i="1"/>
  <c r="J62" i="1"/>
  <c r="I62" i="1"/>
  <c r="H62" i="1"/>
  <c r="G62" i="1"/>
  <c r="F62" i="1"/>
  <c r="E62" i="1"/>
  <c r="L55" i="1"/>
  <c r="K55" i="1"/>
  <c r="J55" i="1"/>
  <c r="I55" i="1"/>
  <c r="H55" i="1"/>
  <c r="G55" i="1"/>
  <c r="F55" i="1"/>
  <c r="E55" i="1"/>
  <c r="L48" i="1"/>
  <c r="K48" i="1"/>
  <c r="J48" i="1"/>
  <c r="I48" i="1"/>
  <c r="H48" i="1"/>
  <c r="G48" i="1"/>
  <c r="F48" i="1"/>
  <c r="E48" i="1"/>
  <c r="L41" i="1"/>
  <c r="L42" i="1" s="1"/>
  <c r="L471" i="1" s="1"/>
  <c r="K41" i="1"/>
  <c r="K42" i="1" s="1"/>
  <c r="J41" i="1"/>
  <c r="J42" i="1" s="1"/>
  <c r="J471" i="1" s="1"/>
  <c r="I41" i="1"/>
  <c r="I42" i="1" s="1"/>
  <c r="H41" i="1"/>
  <c r="H219" i="1" s="1"/>
  <c r="G41" i="1"/>
  <c r="G219" i="1" s="1"/>
  <c r="F41" i="1"/>
  <c r="F219" i="1" s="1"/>
  <c r="E41" i="1"/>
  <c r="E42" i="1" s="1"/>
  <c r="L34" i="1"/>
  <c r="K34" i="1"/>
  <c r="J34" i="1"/>
  <c r="I34" i="1"/>
  <c r="H34" i="1"/>
  <c r="G34" i="1"/>
  <c r="F34" i="1"/>
  <c r="E34" i="1"/>
  <c r="L27" i="1"/>
  <c r="K27" i="1"/>
  <c r="J27" i="1"/>
  <c r="I27" i="1"/>
  <c r="H27" i="1"/>
  <c r="G27" i="1"/>
  <c r="F27" i="1"/>
  <c r="E27" i="1"/>
  <c r="L20" i="1"/>
  <c r="K20" i="1"/>
  <c r="J20" i="1"/>
  <c r="I20" i="1"/>
  <c r="H20" i="1"/>
  <c r="G20" i="1"/>
  <c r="F20" i="1"/>
  <c r="E20" i="1"/>
  <c r="L13" i="1"/>
  <c r="L470" i="1" s="1"/>
  <c r="K13" i="1"/>
  <c r="K470" i="1" s="1"/>
  <c r="J13" i="1"/>
  <c r="J470" i="1" s="1"/>
  <c r="I13" i="1"/>
  <c r="I470" i="1" s="1"/>
  <c r="H13" i="1"/>
  <c r="H470" i="1" s="1"/>
  <c r="G13" i="1"/>
  <c r="F13" i="1"/>
  <c r="F470" i="1" s="1"/>
  <c r="E13" i="1"/>
  <c r="E470" i="1" s="1"/>
  <c r="H493" i="1" l="1"/>
  <c r="I504" i="1"/>
  <c r="H522" i="1"/>
  <c r="H538" i="1" s="1"/>
  <c r="G536" i="1"/>
  <c r="F521" i="1"/>
  <c r="H535" i="1"/>
  <c r="I520" i="1"/>
  <c r="E530" i="1"/>
  <c r="E536" i="1" s="1"/>
  <c r="I526" i="1"/>
  <c r="G493" i="1"/>
  <c r="E521" i="1"/>
  <c r="I517" i="1"/>
  <c r="I274" i="1"/>
  <c r="I282" i="1"/>
  <c r="I493" i="1"/>
  <c r="J493" i="1"/>
  <c r="G521" i="1"/>
  <c r="G522" i="1" s="1"/>
  <c r="G538" i="1" s="1"/>
  <c r="K535" i="1"/>
  <c r="I533" i="1"/>
  <c r="H530" i="1"/>
  <c r="H536" i="1" s="1"/>
  <c r="K219" i="1"/>
  <c r="H521" i="1"/>
  <c r="E535" i="1"/>
  <c r="I340" i="1"/>
  <c r="I432" i="1"/>
  <c r="I424" i="1"/>
  <c r="K536" i="1"/>
  <c r="K538" i="1" s="1"/>
  <c r="E522" i="1"/>
  <c r="E538" i="1" s="1"/>
  <c r="J219" i="1"/>
  <c r="J342" i="1"/>
  <c r="I492" i="1"/>
  <c r="E493" i="1"/>
  <c r="I513" i="1"/>
  <c r="I514" i="1"/>
  <c r="I515" i="1"/>
  <c r="I518" i="1"/>
  <c r="F522" i="1"/>
  <c r="F538" i="1" s="1"/>
  <c r="G42" i="1"/>
  <c r="G70" i="1"/>
  <c r="G154" i="1"/>
  <c r="E342" i="1"/>
  <c r="H42" i="1"/>
  <c r="H70" i="1"/>
  <c r="H154" i="1"/>
  <c r="F342" i="1"/>
  <c r="I480" i="1"/>
  <c r="I488" i="1"/>
  <c r="F42" i="1"/>
  <c r="F471" i="1" s="1"/>
  <c r="I70" i="1"/>
  <c r="I471" i="1" s="1"/>
  <c r="E219" i="1"/>
  <c r="I219" i="1" s="1"/>
  <c r="I437" i="1"/>
  <c r="F250" i="1"/>
  <c r="I250" i="1" s="1"/>
  <c r="I512" i="1"/>
  <c r="I531" i="1"/>
  <c r="K70" i="1"/>
  <c r="K471" i="1" s="1"/>
  <c r="E70" i="1"/>
  <c r="E471" i="1" s="1"/>
  <c r="I535" i="1" l="1"/>
  <c r="H471" i="1"/>
  <c r="G471" i="1"/>
  <c r="I516" i="1"/>
  <c r="I342" i="1"/>
  <c r="I521" i="1"/>
  <c r="I530" i="1"/>
  <c r="I536" i="1" l="1"/>
  <c r="J530" i="1"/>
  <c r="J535" i="1"/>
  <c r="I522" i="1"/>
  <c r="J516" i="1"/>
  <c r="J522" i="1" l="1"/>
  <c r="I538" i="1"/>
  <c r="J519" i="1"/>
  <c r="J518" i="1"/>
  <c r="J514" i="1"/>
  <c r="J520" i="1"/>
  <c r="J517" i="1"/>
  <c r="J512" i="1"/>
  <c r="J515" i="1"/>
  <c r="J513" i="1"/>
  <c r="J521" i="1"/>
  <c r="J536" i="1"/>
  <c r="J527" i="1"/>
  <c r="J528" i="1"/>
  <c r="J534" i="1"/>
  <c r="J529" i="1"/>
  <c r="J532" i="1"/>
  <c r="J531" i="1"/>
  <c r="J526" i="1"/>
  <c r="J533" i="1"/>
</calcChain>
</file>

<file path=xl/sharedStrings.xml><?xml version="1.0" encoding="utf-8"?>
<sst xmlns="http://schemas.openxmlformats.org/spreadsheetml/2006/main" count="1490" uniqueCount="87">
  <si>
    <t>Sommaire</t>
  </si>
  <si>
    <t>Annexe 5 – Effectif des employés</t>
  </si>
  <si>
    <t>Secteur Minier : Qualifcations, Effectifs, et Masse Salariale</t>
  </si>
  <si>
    <t xml:space="preserve">Effectifs des Nationaux </t>
  </si>
  <si>
    <t>Effectifs des Non nationaux</t>
  </si>
  <si>
    <t>Masse salariale des Nationaux (en FCFA)</t>
  </si>
  <si>
    <t>Masse salariale des Non Nationaux (en FCFA)</t>
  </si>
  <si>
    <t>N°</t>
  </si>
  <si>
    <t>Régions</t>
  </si>
  <si>
    <t>Société</t>
  </si>
  <si>
    <t>Qualifications</t>
  </si>
  <si>
    <t>Hommes</t>
  </si>
  <si>
    <t>Femmes</t>
  </si>
  <si>
    <t>NC</t>
  </si>
  <si>
    <t>MIFERSO</t>
  </si>
  <si>
    <t>Cadres supérieurs</t>
  </si>
  <si>
    <t>Techniciens supérieurs et cadres moyens</t>
  </si>
  <si>
    <t>Techniciens Agents de maitrise et ouvriers qualifiés</t>
  </si>
  <si>
    <t>Employés manœuvres ouvriers appprentis</t>
  </si>
  <si>
    <t>Total</t>
  </si>
  <si>
    <t>Permanent</t>
  </si>
  <si>
    <t>Contractuel</t>
  </si>
  <si>
    <t>Dakar</t>
  </si>
  <si>
    <t>SOCOCIM</t>
  </si>
  <si>
    <t>Kédougou</t>
  </si>
  <si>
    <t>SGO</t>
  </si>
  <si>
    <t>Thiès</t>
  </si>
  <si>
    <t>CDS</t>
  </si>
  <si>
    <t>GCO</t>
  </si>
  <si>
    <t>SSPT</t>
  </si>
  <si>
    <t>ICS</t>
  </si>
  <si>
    <t>DANGOTE</t>
  </si>
  <si>
    <t>PMC SA</t>
  </si>
  <si>
    <t>Matam</t>
  </si>
  <si>
    <t>SOMIVA</t>
  </si>
  <si>
    <t>SORED MINES</t>
  </si>
  <si>
    <t>BOTO SA</t>
  </si>
  <si>
    <t>G-PHOS SA</t>
  </si>
  <si>
    <t>Diourbel</t>
  </si>
  <si>
    <t>Baobab Mining and Chemical Corp SA</t>
  </si>
  <si>
    <t>AGEM</t>
  </si>
  <si>
    <t>SABADOLA MINING COMPANY</t>
  </si>
  <si>
    <t>BARRICK GOLD</t>
  </si>
  <si>
    <t>SEPHOS SENEGAL</t>
  </si>
  <si>
    <t>AIG</t>
  </si>
  <si>
    <t>COGECA</t>
  </si>
  <si>
    <t>GECAMINES</t>
  </si>
  <si>
    <t>BAMBADJI SA</t>
  </si>
  <si>
    <t>BOYA SA</t>
  </si>
  <si>
    <t>Tambacounda</t>
  </si>
  <si>
    <t>CSE GRANULATS</t>
  </si>
  <si>
    <t>Secteur minier : Personnel Extérieur</t>
  </si>
  <si>
    <t xml:space="preserve">Total Effectif </t>
  </si>
  <si>
    <t>Facturation à l'entité pour nationaux</t>
  </si>
  <si>
    <t xml:space="preserve">Facturation à l'entité pour non nationaux </t>
  </si>
  <si>
    <t>TOTAL (1+2) par saisie</t>
  </si>
  <si>
    <t>IAMGOLD BOTO</t>
  </si>
  <si>
    <t>TALIX MINES</t>
  </si>
  <si>
    <t>Secteur des hydrocarbures : Qualifcations, Effectifs, et Masse Salariale</t>
  </si>
  <si>
    <t>Saint-Louis</t>
  </si>
  <si>
    <t>KOSMOS ENERGY 2023</t>
  </si>
  <si>
    <t>TOTAL (1)</t>
  </si>
  <si>
    <t>Permanents</t>
  </si>
  <si>
    <t>Contractuels</t>
  </si>
  <si>
    <t>FORTESA 2023</t>
  </si>
  <si>
    <t xml:space="preserve">PETROSEN HOLDING 2023 </t>
  </si>
  <si>
    <t xml:space="preserve"> TOTAL E&amp;P Senegal </t>
  </si>
  <si>
    <t>BP SENEGAL INVESTMENTS LIMITED</t>
  </si>
  <si>
    <t>Fatick</t>
  </si>
  <si>
    <t xml:space="preserve">Woodside Energy Senegal </t>
  </si>
  <si>
    <t>Secteur des hydrocarbures : Personnel Extérieur</t>
  </si>
  <si>
    <t>Société des Pétroles du Sénégal (PETROSEN)</t>
  </si>
  <si>
    <t>Fortesa International Senegal</t>
  </si>
  <si>
    <t xml:space="preserve">Kosmos Energy Senegal </t>
  </si>
  <si>
    <t>Secteur Minier</t>
  </si>
  <si>
    <t>Secteur des hydrocarbures</t>
  </si>
  <si>
    <t>Secteur
Minier</t>
  </si>
  <si>
    <t>Total des 
effectifs</t>
  </si>
  <si>
    <t>Total des 
effectifs en %</t>
  </si>
  <si>
    <t>Masse salariale
(en FCFA)</t>
  </si>
  <si>
    <t>Total Salarié</t>
  </si>
  <si>
    <t>Total Personnel extérieur</t>
  </si>
  <si>
    <t>Total du secteur minier</t>
  </si>
  <si>
    <t>Secteur des
Hydrocarbures</t>
  </si>
  <si>
    <t>Total salarié</t>
  </si>
  <si>
    <t>Total du secteur des hydrocarbures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</si>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</sst>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#,##0_);\(&quot;&quot;#,##0\);_-* &quot;-&quot;??_-;_-@_-"/>
    <numFmt numFmtId="166" formatCode="_-* #,##0\ _€_-;\-* #,##0\ _€_-;_-* &quot;-&quot;??\ _€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444444"/>
      <name val="Calibri"/>
      <family val="2"/>
      <scheme val="minor"/>
    </font>
    <font>
      <sz val="8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8"/>
      <color rgb="FFFFFFFF"/>
      <name val="Calibri Light"/>
      <family val="2"/>
      <scheme val="major"/>
    </font>
    <font>
      <sz val="11"/>
      <color rgb="FF000000"/>
      <name val="Calibri"/>
      <family val="2"/>
    </font>
    <font>
      <sz val="8"/>
      <name val="Calibri Light"/>
      <family val="2"/>
      <scheme val="major"/>
    </font>
    <font>
      <b/>
      <sz val="8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b/>
      <sz val="8"/>
      <color rgb="FFFFFFFF"/>
      <name val="Calibri Light"/>
      <family val="2"/>
      <scheme val="major"/>
    </font>
    <font>
      <b/>
      <sz val="8"/>
      <color theme="0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657C91"/>
        <bgColor indexed="64"/>
      </patternFill>
    </fill>
    <fill>
      <patternFill patternType="solid">
        <fgColor rgb="FFA9ECEF"/>
        <bgColor indexed="64"/>
      </patternFill>
    </fill>
    <fill>
      <patternFill patternType="solid">
        <fgColor rgb="FF2A9E9B"/>
        <bgColor indexed="64"/>
      </patternFill>
    </fill>
    <fill>
      <patternFill patternType="solid">
        <fgColor rgb="FFA4E7E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444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</cellStyleXfs>
  <cellXfs count="173">
    <xf numFmtId="0" fontId="0" fillId="0" borderId="0" xfId="0"/>
    <xf numFmtId="0" fontId="3" fillId="0" borderId="0" xfId="2" applyFont="1" applyAlignme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65" fontId="4" fillId="2" borderId="1" xfId="3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horizontal="center" vertical="center" wrapText="1"/>
    </xf>
    <xf numFmtId="165" fontId="8" fillId="3" borderId="5" xfId="3" applyNumberFormat="1" applyFont="1" applyFill="1" applyBorder="1" applyAlignment="1">
      <alignment horizontal="center" vertical="center" wrapText="1"/>
    </xf>
    <xf numFmtId="165" fontId="8" fillId="3" borderId="6" xfId="3" applyNumberFormat="1" applyFont="1" applyFill="1" applyBorder="1" applyAlignment="1">
      <alignment horizontal="center" vertical="center" wrapText="1"/>
    </xf>
    <xf numFmtId="165" fontId="10" fillId="4" borderId="7" xfId="4" applyNumberFormat="1" applyFont="1" applyFill="1" applyBorder="1" applyAlignment="1">
      <alignment vertical="center" wrapText="1"/>
    </xf>
    <xf numFmtId="0" fontId="10" fillId="4" borderId="8" xfId="4" applyFont="1" applyFill="1" applyBorder="1" applyAlignment="1">
      <alignment horizontal="left" vertical="center" wrapText="1"/>
    </xf>
    <xf numFmtId="166" fontId="4" fillId="4" borderId="1" xfId="3" applyNumberFormat="1" applyFont="1" applyFill="1" applyBorder="1" applyAlignment="1">
      <alignment horizontal="center" vertical="center"/>
    </xf>
    <xf numFmtId="166" fontId="4" fillId="4" borderId="2" xfId="3" applyNumberFormat="1" applyFont="1" applyFill="1" applyBorder="1" applyAlignment="1">
      <alignment horizontal="center" vertical="center"/>
    </xf>
    <xf numFmtId="165" fontId="10" fillId="4" borderId="9" xfId="4" applyNumberFormat="1" applyFont="1" applyFill="1" applyBorder="1" applyAlignment="1">
      <alignment vertical="center" wrapText="1"/>
    </xf>
    <xf numFmtId="0" fontId="10" fillId="4" borderId="1" xfId="4" applyFont="1" applyFill="1" applyBorder="1" applyAlignment="1">
      <alignment horizontal="left" vertical="center" wrapText="1"/>
    </xf>
    <xf numFmtId="0" fontId="10" fillId="4" borderId="7" xfId="4" applyFont="1" applyFill="1" applyBorder="1" applyAlignment="1">
      <alignment horizontal="left" vertical="center" wrapText="1"/>
    </xf>
    <xf numFmtId="166" fontId="4" fillId="4" borderId="7" xfId="3" applyNumberFormat="1" applyFont="1" applyFill="1" applyBorder="1" applyAlignment="1">
      <alignment horizontal="center" vertical="center"/>
    </xf>
    <xf numFmtId="166" fontId="4" fillId="4" borderId="10" xfId="3" applyNumberFormat="1" applyFont="1" applyFill="1" applyBorder="1" applyAlignment="1">
      <alignment horizontal="center" vertical="center"/>
    </xf>
    <xf numFmtId="0" fontId="11" fillId="5" borderId="11" xfId="4" applyFont="1" applyFill="1" applyBorder="1" applyAlignment="1">
      <alignment horizontal="left" vertical="center"/>
    </xf>
    <xf numFmtId="166" fontId="12" fillId="5" borderId="11" xfId="3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0" fillId="4" borderId="8" xfId="4" applyFont="1" applyFill="1" applyBorder="1" applyAlignment="1">
      <alignment horizontal="left" vertical="center"/>
    </xf>
    <xf numFmtId="166" fontId="4" fillId="4" borderId="8" xfId="3" applyNumberFormat="1" applyFont="1" applyFill="1" applyBorder="1" applyAlignment="1">
      <alignment horizontal="center" vertical="center"/>
    </xf>
    <xf numFmtId="166" fontId="4" fillId="4" borderId="12" xfId="3" applyNumberFormat="1" applyFont="1" applyFill="1" applyBorder="1" applyAlignment="1">
      <alignment horizontal="center" vertical="center"/>
    </xf>
    <xf numFmtId="165" fontId="10" fillId="4" borderId="8" xfId="4" applyNumberFormat="1" applyFont="1" applyFill="1" applyBorder="1" applyAlignment="1">
      <alignment vertical="center" wrapText="1"/>
    </xf>
    <xf numFmtId="0" fontId="10" fillId="4" borderId="1" xfId="4" applyFont="1" applyFill="1" applyBorder="1" applyAlignment="1">
      <alignment horizontal="left" vertical="center"/>
    </xf>
    <xf numFmtId="165" fontId="10" fillId="0" borderId="7" xfId="4" applyNumberFormat="1" applyFont="1" applyBorder="1" applyAlignment="1">
      <alignment vertical="center" wrapText="1"/>
    </xf>
    <xf numFmtId="0" fontId="10" fillId="0" borderId="1" xfId="4" applyFont="1" applyBorder="1" applyAlignment="1">
      <alignment horizontal="left" vertical="center" wrapText="1"/>
    </xf>
    <xf numFmtId="166" fontId="4" fillId="0" borderId="1" xfId="3" applyNumberFormat="1" applyFont="1" applyFill="1" applyBorder="1" applyAlignment="1">
      <alignment horizontal="center" vertical="center"/>
    </xf>
    <xf numFmtId="166" fontId="4" fillId="0" borderId="1" xfId="3" applyNumberFormat="1" applyFont="1" applyBorder="1" applyAlignment="1">
      <alignment horizontal="center" vertical="center"/>
    </xf>
    <xf numFmtId="166" fontId="4" fillId="0" borderId="2" xfId="3" applyNumberFormat="1" applyFont="1" applyFill="1" applyBorder="1" applyAlignment="1">
      <alignment horizontal="center" vertical="center"/>
    </xf>
    <xf numFmtId="165" fontId="10" fillId="0" borderId="9" xfId="4" applyNumberFormat="1" applyFont="1" applyBorder="1" applyAlignment="1">
      <alignment vertical="center" wrapText="1"/>
    </xf>
    <xf numFmtId="0" fontId="10" fillId="0" borderId="7" xfId="4" applyFont="1" applyBorder="1" applyAlignment="1">
      <alignment horizontal="left" vertical="center" wrapText="1"/>
    </xf>
    <xf numFmtId="166" fontId="4" fillId="0" borderId="7" xfId="3" applyNumberFormat="1" applyFont="1" applyFill="1" applyBorder="1" applyAlignment="1">
      <alignment horizontal="center" vertical="center"/>
    </xf>
    <xf numFmtId="166" fontId="4" fillId="0" borderId="7" xfId="3" applyNumberFormat="1" applyFont="1" applyBorder="1" applyAlignment="1">
      <alignment horizontal="center" vertical="center"/>
    </xf>
    <xf numFmtId="166" fontId="4" fillId="0" borderId="10" xfId="3" applyNumberFormat="1" applyFont="1" applyFill="1" applyBorder="1" applyAlignment="1">
      <alignment horizontal="center" vertical="center"/>
    </xf>
    <xf numFmtId="0" fontId="10" fillId="0" borderId="8" xfId="4" applyFont="1" applyBorder="1" applyAlignment="1">
      <alignment horizontal="left" vertical="center"/>
    </xf>
    <xf numFmtId="166" fontId="4" fillId="0" borderId="8" xfId="3" applyNumberFormat="1" applyFont="1" applyBorder="1" applyAlignment="1">
      <alignment horizontal="center" vertical="center"/>
    </xf>
    <xf numFmtId="166" fontId="4" fillId="0" borderId="12" xfId="3" applyNumberFormat="1" applyFont="1" applyBorder="1" applyAlignment="1">
      <alignment horizontal="center" vertical="center"/>
    </xf>
    <xf numFmtId="165" fontId="10" fillId="0" borderId="8" xfId="4" applyNumberFormat="1" applyFont="1" applyBorder="1" applyAlignment="1">
      <alignment vertical="center" wrapText="1"/>
    </xf>
    <xf numFmtId="0" fontId="10" fillId="0" borderId="1" xfId="4" applyFont="1" applyBorder="1" applyAlignment="1">
      <alignment horizontal="left" vertical="center"/>
    </xf>
    <xf numFmtId="166" fontId="4" fillId="0" borderId="0" xfId="3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166" fontId="13" fillId="3" borderId="5" xfId="3" applyNumberFormat="1" applyFont="1" applyFill="1" applyBorder="1" applyAlignment="1">
      <alignment horizontal="center" vertical="center" wrapText="1"/>
    </xf>
    <xf numFmtId="166" fontId="13" fillId="3" borderId="6" xfId="3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165" fontId="10" fillId="4" borderId="1" xfId="4" applyNumberFormat="1" applyFont="1" applyFill="1" applyBorder="1" applyAlignment="1">
      <alignment vertical="center"/>
    </xf>
    <xf numFmtId="166" fontId="4" fillId="4" borderId="1" xfId="3" applyNumberFormat="1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left" vertical="center"/>
    </xf>
    <xf numFmtId="165" fontId="10" fillId="4" borderId="7" xfId="4" applyNumberFormat="1" applyFont="1" applyFill="1" applyBorder="1" applyAlignment="1">
      <alignment vertical="center"/>
    </xf>
    <xf numFmtId="0" fontId="11" fillId="5" borderId="11" xfId="0" applyFont="1" applyFill="1" applyBorder="1" applyAlignment="1">
      <alignment horizontal="left" vertical="center"/>
    </xf>
    <xf numFmtId="165" fontId="11" fillId="5" borderId="11" xfId="4" applyNumberFormat="1" applyFont="1" applyFill="1" applyBorder="1" applyAlignment="1">
      <alignment vertical="center"/>
    </xf>
    <xf numFmtId="166" fontId="11" fillId="5" borderId="11" xfId="3" applyNumberFormat="1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left" vertical="center"/>
    </xf>
    <xf numFmtId="165" fontId="10" fillId="4" borderId="8" xfId="4" applyNumberFormat="1" applyFont="1" applyFill="1" applyBorder="1" applyAlignment="1">
      <alignment vertical="center"/>
    </xf>
    <xf numFmtId="166" fontId="4" fillId="4" borderId="2" xfId="3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165" fontId="10" fillId="0" borderId="1" xfId="4" applyNumberFormat="1" applyFont="1" applyBorder="1" applyAlignment="1">
      <alignment vertical="center" wrapText="1"/>
    </xf>
    <xf numFmtId="166" fontId="4" fillId="0" borderId="1" xfId="3" applyNumberFormat="1" applyFont="1" applyBorder="1" applyAlignment="1">
      <alignment horizontal="center" vertical="center" wrapText="1"/>
    </xf>
    <xf numFmtId="166" fontId="4" fillId="0" borderId="2" xfId="3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/>
    </xf>
    <xf numFmtId="166" fontId="4" fillId="0" borderId="7" xfId="3" applyNumberFormat="1" applyFont="1" applyBorder="1" applyAlignment="1">
      <alignment horizontal="center" vertical="center" wrapText="1"/>
    </xf>
    <xf numFmtId="166" fontId="4" fillId="0" borderId="10" xfId="3" applyNumberFormat="1" applyFont="1" applyBorder="1" applyAlignment="1">
      <alignment horizontal="center" vertical="center" wrapText="1"/>
    </xf>
    <xf numFmtId="165" fontId="11" fillId="5" borderId="11" xfId="4" applyNumberFormat="1" applyFont="1" applyFill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166" fontId="4" fillId="0" borderId="8" xfId="3" applyNumberFormat="1" applyFont="1" applyBorder="1" applyAlignment="1">
      <alignment horizontal="center" vertical="center" wrapText="1"/>
    </xf>
    <xf numFmtId="166" fontId="4" fillId="0" borderId="12" xfId="3" applyNumberFormat="1" applyFont="1" applyBorder="1" applyAlignment="1">
      <alignment horizontal="center" vertical="center" wrapText="1"/>
    </xf>
    <xf numFmtId="165" fontId="10" fillId="4" borderId="1" xfId="4" applyNumberFormat="1" applyFont="1" applyFill="1" applyBorder="1" applyAlignment="1">
      <alignment vertical="center" wrapText="1"/>
    </xf>
    <xf numFmtId="166" fontId="4" fillId="4" borderId="7" xfId="3" applyNumberFormat="1" applyFont="1" applyFill="1" applyBorder="1" applyAlignment="1">
      <alignment horizontal="center" vertical="center" wrapText="1"/>
    </xf>
    <xf numFmtId="166" fontId="4" fillId="4" borderId="10" xfId="3" applyNumberFormat="1" applyFont="1" applyFill="1" applyBorder="1" applyAlignment="1">
      <alignment horizontal="center" vertical="center" wrapText="1"/>
    </xf>
    <xf numFmtId="166" fontId="4" fillId="4" borderId="8" xfId="3" applyNumberFormat="1" applyFont="1" applyFill="1" applyBorder="1" applyAlignment="1">
      <alignment horizontal="center" vertical="center" wrapText="1"/>
    </xf>
    <xf numFmtId="166" fontId="4" fillId="4" borderId="12" xfId="3" applyNumberFormat="1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165" fontId="10" fillId="0" borderId="1" xfId="4" applyNumberFormat="1" applyFont="1" applyBorder="1" applyAlignment="1">
      <alignment wrapText="1"/>
    </xf>
    <xf numFmtId="0" fontId="10" fillId="0" borderId="7" xfId="0" applyFont="1" applyBorder="1" applyAlignment="1">
      <alignment horizontal="left"/>
    </xf>
    <xf numFmtId="165" fontId="10" fillId="0" borderId="7" xfId="4" applyNumberFormat="1" applyFont="1" applyBorder="1" applyAlignment="1">
      <alignment wrapText="1"/>
    </xf>
    <xf numFmtId="166" fontId="4" fillId="0" borderId="7" xfId="3" applyNumberFormat="1" applyFont="1" applyFill="1" applyBorder="1" applyAlignment="1">
      <alignment horizontal="center"/>
    </xf>
    <xf numFmtId="0" fontId="11" fillId="5" borderId="11" xfId="0" applyFont="1" applyFill="1" applyBorder="1" applyAlignment="1">
      <alignment horizontal="left"/>
    </xf>
    <xf numFmtId="165" fontId="11" fillId="5" borderId="11" xfId="4" applyNumberFormat="1" applyFont="1" applyFill="1" applyBorder="1" applyAlignment="1">
      <alignment wrapText="1"/>
    </xf>
    <xf numFmtId="0" fontId="10" fillId="0" borderId="8" xfId="0" applyFont="1" applyBorder="1" applyAlignment="1">
      <alignment horizontal="left"/>
    </xf>
    <xf numFmtId="165" fontId="10" fillId="0" borderId="8" xfId="4" applyNumberFormat="1" applyFont="1" applyBorder="1" applyAlignment="1">
      <alignment wrapText="1"/>
    </xf>
    <xf numFmtId="166" fontId="4" fillId="0" borderId="8" xfId="3" applyNumberFormat="1" applyFont="1" applyFill="1" applyBorder="1" applyAlignment="1">
      <alignment horizontal="center" vertical="center"/>
    </xf>
    <xf numFmtId="166" fontId="4" fillId="0" borderId="12" xfId="3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/>
    </xf>
    <xf numFmtId="165" fontId="10" fillId="4" borderId="1" xfId="4" applyNumberFormat="1" applyFont="1" applyFill="1" applyBorder="1" applyAlignment="1">
      <alignment wrapText="1"/>
    </xf>
    <xf numFmtId="0" fontId="10" fillId="4" borderId="7" xfId="0" applyFont="1" applyFill="1" applyBorder="1" applyAlignment="1">
      <alignment horizontal="left"/>
    </xf>
    <xf numFmtId="165" fontId="10" fillId="4" borderId="7" xfId="4" applyNumberFormat="1" applyFont="1" applyFill="1" applyBorder="1" applyAlignment="1">
      <alignment wrapText="1"/>
    </xf>
    <xf numFmtId="0" fontId="10" fillId="4" borderId="8" xfId="0" applyFont="1" applyFill="1" applyBorder="1" applyAlignment="1">
      <alignment horizontal="left"/>
    </xf>
    <xf numFmtId="165" fontId="10" fillId="4" borderId="8" xfId="4" applyNumberFormat="1" applyFont="1" applyFill="1" applyBorder="1" applyAlignment="1">
      <alignment wrapText="1"/>
    </xf>
    <xf numFmtId="166" fontId="4" fillId="0" borderId="7" xfId="3" applyNumberFormat="1" applyFont="1" applyFill="1" applyBorder="1" applyAlignment="1">
      <alignment horizontal="center" vertical="center" wrapText="1"/>
    </xf>
    <xf numFmtId="166" fontId="4" fillId="0" borderId="1" xfId="3" applyNumberFormat="1" applyFont="1" applyFill="1" applyBorder="1" applyAlignment="1">
      <alignment horizontal="center" vertical="center" wrapText="1"/>
    </xf>
    <xf numFmtId="166" fontId="4" fillId="0" borderId="0" xfId="3" applyNumberFormat="1" applyFont="1" applyAlignment="1">
      <alignment horizontal="center" vertical="center"/>
    </xf>
    <xf numFmtId="166" fontId="4" fillId="4" borderId="1" xfId="3" applyNumberFormat="1" applyFont="1" applyFill="1" applyBorder="1" applyAlignment="1">
      <alignment horizontal="right" vertical="center"/>
    </xf>
    <xf numFmtId="166" fontId="4" fillId="4" borderId="2" xfId="3" applyNumberFormat="1" applyFont="1" applyFill="1" applyBorder="1" applyAlignment="1">
      <alignment horizontal="right" vertical="center"/>
    </xf>
    <xf numFmtId="166" fontId="4" fillId="0" borderId="1" xfId="3" applyNumberFormat="1" applyFont="1" applyFill="1" applyBorder="1" applyAlignment="1">
      <alignment horizontal="right" vertical="center"/>
    </xf>
    <xf numFmtId="166" fontId="4" fillId="0" borderId="2" xfId="3" applyNumberFormat="1" applyFont="1" applyFill="1" applyBorder="1" applyAlignment="1">
      <alignment horizontal="right" vertical="center"/>
    </xf>
    <xf numFmtId="166" fontId="4" fillId="0" borderId="2" xfId="3" applyNumberFormat="1" applyFont="1" applyFill="1" applyBorder="1" applyAlignment="1">
      <alignment horizontal="center" vertical="center" wrapText="1"/>
    </xf>
    <xf numFmtId="166" fontId="4" fillId="0" borderId="10" xfId="3" applyNumberFormat="1" applyFont="1" applyFill="1" applyBorder="1" applyAlignment="1">
      <alignment horizontal="center" vertical="center" wrapText="1"/>
    </xf>
    <xf numFmtId="165" fontId="10" fillId="4" borderId="7" xfId="4" applyNumberFormat="1" applyFont="1" applyFill="1" applyBorder="1" applyAlignment="1">
      <alignment horizontal="center" vertical="center" wrapText="1"/>
    </xf>
    <xf numFmtId="165" fontId="10" fillId="4" borderId="9" xfId="4" applyNumberFormat="1" applyFont="1" applyFill="1" applyBorder="1" applyAlignment="1">
      <alignment horizontal="center" vertical="center" wrapText="1"/>
    </xf>
    <xf numFmtId="165" fontId="10" fillId="4" borderId="8" xfId="4" applyNumberFormat="1" applyFont="1" applyFill="1" applyBorder="1" applyAlignment="1">
      <alignment horizontal="center" vertical="center" wrapText="1"/>
    </xf>
    <xf numFmtId="165" fontId="10" fillId="0" borderId="7" xfId="4" applyNumberFormat="1" applyFont="1" applyBorder="1" applyAlignment="1">
      <alignment horizontal="center" vertical="center" wrapText="1"/>
    </xf>
    <xf numFmtId="165" fontId="10" fillId="0" borderId="9" xfId="4" applyNumberFormat="1" applyFont="1" applyBorder="1" applyAlignment="1">
      <alignment horizontal="center" vertical="center" wrapText="1"/>
    </xf>
    <xf numFmtId="165" fontId="10" fillId="0" borderId="8" xfId="4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6" fontId="4" fillId="2" borderId="1" xfId="3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vertical="center" wrapText="1"/>
    </xf>
    <xf numFmtId="166" fontId="8" fillId="3" borderId="5" xfId="3" applyNumberFormat="1" applyFont="1" applyFill="1" applyBorder="1" applyAlignment="1">
      <alignment vertical="center" wrapText="1"/>
    </xf>
    <xf numFmtId="166" fontId="8" fillId="3" borderId="6" xfId="3" applyNumberFormat="1" applyFont="1" applyFill="1" applyBorder="1" applyAlignment="1">
      <alignment vertical="center" wrapText="1"/>
    </xf>
    <xf numFmtId="0" fontId="10" fillId="4" borderId="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vertical="center"/>
    </xf>
    <xf numFmtId="166" fontId="4" fillId="0" borderId="0" xfId="3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166" fontId="8" fillId="3" borderId="5" xfId="3" applyNumberFormat="1" applyFont="1" applyFill="1" applyBorder="1" applyAlignment="1">
      <alignment horizontal="center" vertical="center" wrapText="1"/>
    </xf>
    <xf numFmtId="166" fontId="8" fillId="3" borderId="6" xfId="3" applyNumberFormat="1" applyFont="1" applyFill="1" applyBorder="1" applyAlignment="1">
      <alignment horizontal="center" vertical="center" wrapText="1"/>
    </xf>
    <xf numFmtId="0" fontId="10" fillId="0" borderId="1" xfId="4" applyFont="1" applyBorder="1" applyAlignment="1">
      <alignment vertical="center" wrapText="1"/>
    </xf>
    <xf numFmtId="0" fontId="10" fillId="0" borderId="7" xfId="4" applyFont="1" applyBorder="1" applyAlignment="1">
      <alignment vertical="center" wrapText="1"/>
    </xf>
    <xf numFmtId="166" fontId="4" fillId="0" borderId="0" xfId="3" applyNumberFormat="1" applyFont="1" applyAlignment="1">
      <alignment horizontal="center"/>
    </xf>
    <xf numFmtId="0" fontId="11" fillId="5" borderId="11" xfId="4" applyFont="1" applyFill="1" applyBorder="1" applyAlignment="1">
      <alignment vertical="center" wrapText="1"/>
    </xf>
    <xf numFmtId="166" fontId="12" fillId="0" borderId="0" xfId="3" applyNumberFormat="1" applyFont="1" applyFill="1" applyBorder="1" applyAlignment="1">
      <alignment horizontal="center" vertical="center" wrapText="1"/>
    </xf>
    <xf numFmtId="0" fontId="10" fillId="0" borderId="8" xfId="4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10" fillId="6" borderId="8" xfId="4" applyFont="1" applyFill="1" applyBorder="1" applyAlignment="1">
      <alignment horizontal="left" vertical="center" wrapText="1"/>
    </xf>
    <xf numFmtId="166" fontId="4" fillId="6" borderId="0" xfId="0" applyNumberFormat="1" applyFont="1" applyFill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10" fillId="7" borderId="1" xfId="4" applyFont="1" applyFill="1" applyBorder="1" applyAlignment="1">
      <alignment horizontal="left" vertical="center" wrapText="1"/>
    </xf>
    <xf numFmtId="166" fontId="4" fillId="7" borderId="0" xfId="0" applyNumberFormat="1" applyFont="1" applyFill="1" applyAlignment="1">
      <alignment vertical="center"/>
    </xf>
    <xf numFmtId="0" fontId="14" fillId="5" borderId="11" xfId="4" applyFont="1" applyFill="1" applyBorder="1" applyAlignment="1">
      <alignment horizontal="left" vertical="center"/>
    </xf>
    <xf numFmtId="166" fontId="14" fillId="5" borderId="0" xfId="0" applyNumberFormat="1" applyFont="1" applyFill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10" fillId="7" borderId="0" xfId="4" applyFont="1" applyFill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165" fontId="14" fillId="3" borderId="13" xfId="3" applyNumberFormat="1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165" fontId="14" fillId="3" borderId="14" xfId="3" applyNumberFormat="1" applyFont="1" applyFill="1" applyBorder="1" applyAlignment="1">
      <alignment horizontal="center" vertical="center" wrapText="1"/>
    </xf>
    <xf numFmtId="0" fontId="10" fillId="6" borderId="0" xfId="4" applyFont="1" applyFill="1" applyAlignment="1">
      <alignment horizontal="left" vertical="center" wrapText="1"/>
    </xf>
    <xf numFmtId="166" fontId="4" fillId="6" borderId="14" xfId="0" applyNumberFormat="1" applyFont="1" applyFill="1" applyBorder="1" applyAlignment="1">
      <alignment vertical="center"/>
    </xf>
    <xf numFmtId="10" fontId="4" fillId="6" borderId="14" xfId="1" applyNumberFormat="1" applyFont="1" applyFill="1" applyBorder="1" applyAlignment="1">
      <alignment vertical="center"/>
    </xf>
    <xf numFmtId="166" fontId="4" fillId="7" borderId="14" xfId="0" applyNumberFormat="1" applyFont="1" applyFill="1" applyBorder="1" applyAlignment="1">
      <alignment vertical="center"/>
    </xf>
    <xf numFmtId="10" fontId="4" fillId="7" borderId="14" xfId="1" applyNumberFormat="1" applyFont="1" applyFill="1" applyBorder="1" applyAlignment="1">
      <alignment vertical="center"/>
    </xf>
    <xf numFmtId="0" fontId="14" fillId="5" borderId="0" xfId="4" applyFont="1" applyFill="1" applyAlignment="1">
      <alignment horizontal="left" vertical="center"/>
    </xf>
    <xf numFmtId="166" fontId="14" fillId="5" borderId="14" xfId="0" applyNumberFormat="1" applyFont="1" applyFill="1" applyBorder="1" applyAlignment="1">
      <alignment vertical="center"/>
    </xf>
    <xf numFmtId="10" fontId="14" fillId="5" borderId="14" xfId="1" applyNumberFormat="1" applyFont="1" applyFill="1" applyBorder="1" applyAlignment="1">
      <alignment vertical="center"/>
    </xf>
    <xf numFmtId="166" fontId="14" fillId="5" borderId="15" xfId="0" applyNumberFormat="1" applyFont="1" applyFill="1" applyBorder="1" applyAlignment="1">
      <alignment vertical="center"/>
    </xf>
    <xf numFmtId="10" fontId="14" fillId="5" borderId="15" xfId="1" applyNumberFormat="1" applyFont="1" applyFill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14" fillId="8" borderId="0" xfId="0" applyFont="1" applyFill="1" applyAlignment="1">
      <alignment vertical="center"/>
    </xf>
    <xf numFmtId="166" fontId="14" fillId="8" borderId="0" xfId="0" applyNumberFormat="1" applyFont="1" applyFill="1" applyAlignment="1">
      <alignment vertical="center"/>
    </xf>
    <xf numFmtId="9" fontId="14" fillId="8" borderId="0" xfId="1" applyFont="1" applyFill="1" applyAlignment="1">
      <alignment vertical="center"/>
    </xf>
    <xf numFmtId="0" fontId="14" fillId="3" borderId="0" xfId="0" applyFont="1" applyFill="1" applyAlignment="1">
      <alignment vertical="center"/>
    </xf>
    <xf numFmtId="166" fontId="14" fillId="3" borderId="0" xfId="0" applyNumberFormat="1" applyFont="1" applyFill="1" applyAlignment="1">
      <alignment vertical="center"/>
    </xf>
    <xf numFmtId="166" fontId="4" fillId="0" borderId="0" xfId="0" applyNumberFormat="1" applyFont="1" applyAlignment="1">
      <alignment vertical="center"/>
    </xf>
    <xf numFmtId="166" fontId="4" fillId="0" borderId="0" xfId="1" applyNumberFormat="1" applyFont="1" applyAlignment="1">
      <alignment vertical="center"/>
    </xf>
    <xf numFmtId="9" fontId="4" fillId="0" borderId="0" xfId="1" applyFont="1" applyAlignment="1">
      <alignment vertical="center"/>
    </xf>
  </cellXfs>
  <cellStyles count="5">
    <cellStyle name="Lien hypertexte" xfId="2" builtinId="8"/>
    <cellStyle name="Milliers 2" xfId="3" xr:uid="{88513188-C17E-42CD-9E05-24854B60F1AA}"/>
    <cellStyle name="Normal" xfId="0" builtinId="0"/>
    <cellStyle name="Normal 5" xfId="4" xr:uid="{16EEB862-39CA-4259-8F11-746733C1B926}"/>
    <cellStyle name="Pourcentage" xfId="1" builtinId="5"/>
  </cellStyles>
  <dxfs count="63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md\Documents\ISE\Cours\ISE3\Stage%20ITIE\rapports\2024\Rapport-final-ITIE-Senegal-2024-Version-Finale-annexes-VF221225.xlsx" TargetMode="External"/><Relationship Id="rId1" Type="http://schemas.openxmlformats.org/officeDocument/2006/relationships/externalLinkPath" Target="/Users/Bmd/Documents/ISE/Cours/ISE3/Stage%20ITIE/rapports/2024/Rapport-final-ITIE-Senegal-2024-Version-Finale-annexes-VF2212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mmair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-1"/>
      <sheetName val="18-2"/>
      <sheetName val="18-3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CD67-0596-437A-B037-5D37677F15BA}">
  <sheetPr>
    <tabColor rgb="FF00B050"/>
  </sheetPr>
  <dimension ref="A1:O542"/>
  <sheetViews>
    <sheetView tabSelected="1" workbookViewId="0">
      <selection activeCell="D15" sqref="D15"/>
    </sheetView>
  </sheetViews>
  <sheetFormatPr baseColWidth="10" defaultColWidth="12" defaultRowHeight="10.5" x14ac:dyDescent="0.35"/>
  <cols>
    <col min="1" max="1" width="12" style="2"/>
    <col min="2" max="2" width="11.08984375" style="2" customWidth="1"/>
    <col min="3" max="3" width="11.36328125" style="2" customWidth="1"/>
    <col min="4" max="4" width="38.453125" style="2" bestFit="1" customWidth="1"/>
    <col min="5" max="5" width="7.90625" style="2" bestFit="1" customWidth="1"/>
    <col min="6" max="8" width="6.90625" style="2" bestFit="1" customWidth="1"/>
    <col min="9" max="9" width="15.6328125" style="2" bestFit="1" customWidth="1"/>
    <col min="10" max="10" width="27.54296875" style="2" bestFit="1" customWidth="1"/>
    <col min="11" max="11" width="19.90625" style="2" bestFit="1" customWidth="1"/>
    <col min="12" max="12" width="13.1796875" style="2" bestFit="1" customWidth="1"/>
    <col min="13" max="14" width="12" style="2"/>
    <col min="15" max="15" width="1.7265625" style="2" bestFit="1" customWidth="1"/>
    <col min="16" max="16384" width="12" style="2"/>
  </cols>
  <sheetData>
    <row r="1" spans="1:12" ht="14.5" x14ac:dyDescent="0.35">
      <c r="A1" s="1" t="s">
        <v>0</v>
      </c>
      <c r="B1" s="1"/>
      <c r="C1" s="1"/>
      <c r="D1" s="1"/>
    </row>
    <row r="2" spans="1:12" s="4" customFormat="1" ht="21" x14ac:dyDescent="0.35">
      <c r="A2" s="3" t="s">
        <v>1</v>
      </c>
      <c r="B2" s="3"/>
    </row>
    <row r="4" spans="1:12" s="5" customFormat="1" ht="18.5" x14ac:dyDescent="0.35">
      <c r="A4" s="5" t="s">
        <v>2</v>
      </c>
    </row>
    <row r="6" spans="1:12" s="6" customFormat="1" x14ac:dyDescent="0.25"/>
    <row r="7" spans="1:12" s="7" customFormat="1" x14ac:dyDescent="0.35">
      <c r="C7" s="8"/>
      <c r="D7" s="8"/>
      <c r="E7" s="9" t="s">
        <v>3</v>
      </c>
      <c r="F7" s="9"/>
      <c r="G7" s="10" t="s">
        <v>4</v>
      </c>
      <c r="H7" s="11"/>
      <c r="I7" s="12" t="s">
        <v>5</v>
      </c>
      <c r="J7" s="12"/>
      <c r="K7" s="12" t="s">
        <v>6</v>
      </c>
      <c r="L7" s="12"/>
    </row>
    <row r="8" spans="1:12" ht="11" thickBot="1" x14ac:dyDescent="0.4">
      <c r="A8" s="13" t="s">
        <v>7</v>
      </c>
      <c r="B8" s="13" t="s">
        <v>8</v>
      </c>
      <c r="C8" s="14" t="s">
        <v>9</v>
      </c>
      <c r="D8" s="14" t="s">
        <v>10</v>
      </c>
      <c r="E8" s="15" t="s">
        <v>11</v>
      </c>
      <c r="F8" s="15" t="s">
        <v>12</v>
      </c>
      <c r="G8" s="15" t="s">
        <v>11</v>
      </c>
      <c r="H8" s="15" t="s">
        <v>12</v>
      </c>
      <c r="I8" s="16" t="s">
        <v>11</v>
      </c>
      <c r="J8" s="16" t="s">
        <v>12</v>
      </c>
      <c r="K8" s="17" t="s">
        <v>11</v>
      </c>
      <c r="L8" s="17" t="s">
        <v>12</v>
      </c>
    </row>
    <row r="9" spans="1:12" x14ac:dyDescent="0.35">
      <c r="A9" s="18">
        <v>1</v>
      </c>
      <c r="B9" s="18" t="s">
        <v>13</v>
      </c>
      <c r="C9" s="18" t="s">
        <v>14</v>
      </c>
      <c r="D9" s="19" t="s">
        <v>15</v>
      </c>
      <c r="E9" s="20">
        <v>1</v>
      </c>
      <c r="F9" s="20">
        <v>0</v>
      </c>
      <c r="G9" s="20">
        <v>0</v>
      </c>
      <c r="H9" s="20">
        <v>0</v>
      </c>
      <c r="I9" s="20">
        <v>76582450</v>
      </c>
      <c r="J9" s="20">
        <v>0</v>
      </c>
      <c r="K9" s="21"/>
      <c r="L9" s="21"/>
    </row>
    <row r="10" spans="1:12" x14ac:dyDescent="0.35">
      <c r="A10" s="18">
        <v>1</v>
      </c>
      <c r="B10" s="22" t="s">
        <v>13</v>
      </c>
      <c r="C10" s="18" t="s">
        <v>14</v>
      </c>
      <c r="D10" s="23" t="s">
        <v>16</v>
      </c>
      <c r="E10" s="20">
        <v>6</v>
      </c>
      <c r="F10" s="20">
        <v>3</v>
      </c>
      <c r="G10" s="20">
        <v>0</v>
      </c>
      <c r="H10" s="20">
        <v>0</v>
      </c>
      <c r="I10" s="20">
        <v>76428547</v>
      </c>
      <c r="J10" s="20">
        <v>38920091</v>
      </c>
      <c r="K10" s="21"/>
      <c r="L10" s="21"/>
    </row>
    <row r="11" spans="1:12" x14ac:dyDescent="0.35">
      <c r="A11" s="18">
        <v>1</v>
      </c>
      <c r="B11" s="22" t="s">
        <v>13</v>
      </c>
      <c r="C11" s="18" t="s">
        <v>14</v>
      </c>
      <c r="D11" s="23" t="s">
        <v>17</v>
      </c>
      <c r="E11" s="20">
        <v>2</v>
      </c>
      <c r="F11" s="20">
        <v>3</v>
      </c>
      <c r="G11" s="20">
        <v>0</v>
      </c>
      <c r="H11" s="20">
        <v>0</v>
      </c>
      <c r="I11" s="20">
        <v>13902769</v>
      </c>
      <c r="J11" s="20">
        <v>15067063</v>
      </c>
      <c r="K11" s="21"/>
      <c r="L11" s="21"/>
    </row>
    <row r="12" spans="1:12" ht="11" thickBot="1" x14ac:dyDescent="0.4">
      <c r="A12" s="18">
        <v>1</v>
      </c>
      <c r="B12" s="22" t="s">
        <v>13</v>
      </c>
      <c r="C12" s="18" t="s">
        <v>14</v>
      </c>
      <c r="D12" s="24" t="s">
        <v>18</v>
      </c>
      <c r="E12" s="25">
        <v>8</v>
      </c>
      <c r="F12" s="25">
        <v>0</v>
      </c>
      <c r="G12" s="20">
        <v>0</v>
      </c>
      <c r="H12" s="20">
        <v>0</v>
      </c>
      <c r="I12" s="25">
        <v>33149992</v>
      </c>
      <c r="J12" s="25">
        <v>0</v>
      </c>
      <c r="K12" s="26"/>
      <c r="L12" s="26"/>
    </row>
    <row r="13" spans="1:12" s="29" customFormat="1" ht="11.5" thickTop="1" thickBot="1" x14ac:dyDescent="0.4">
      <c r="A13" s="18">
        <v>1</v>
      </c>
      <c r="B13" s="22" t="s">
        <v>13</v>
      </c>
      <c r="C13" s="18" t="s">
        <v>14</v>
      </c>
      <c r="D13" s="27" t="s">
        <v>19</v>
      </c>
      <c r="E13" s="28">
        <f>+SUM(E9:E12)</f>
        <v>17</v>
      </c>
      <c r="F13" s="28">
        <f t="shared" ref="F13:L13" si="0">+SUM(F9:F12)</f>
        <v>6</v>
      </c>
      <c r="G13" s="28">
        <f t="shared" si="0"/>
        <v>0</v>
      </c>
      <c r="H13" s="28">
        <f t="shared" si="0"/>
        <v>0</v>
      </c>
      <c r="I13" s="28">
        <f t="shared" si="0"/>
        <v>200063758</v>
      </c>
      <c r="J13" s="28">
        <f t="shared" si="0"/>
        <v>53987154</v>
      </c>
      <c r="K13" s="28">
        <f t="shared" si="0"/>
        <v>0</v>
      </c>
      <c r="L13" s="28">
        <f t="shared" si="0"/>
        <v>0</v>
      </c>
    </row>
    <row r="14" spans="1:12" ht="11" thickTop="1" x14ac:dyDescent="0.35">
      <c r="A14" s="18">
        <v>1</v>
      </c>
      <c r="B14" s="22" t="s">
        <v>13</v>
      </c>
      <c r="C14" s="18" t="s">
        <v>14</v>
      </c>
      <c r="D14" s="30" t="s">
        <v>20</v>
      </c>
      <c r="E14" s="31"/>
      <c r="F14" s="31"/>
      <c r="G14" s="31"/>
      <c r="H14" s="31"/>
      <c r="I14" s="31"/>
      <c r="J14" s="31"/>
      <c r="K14" s="32"/>
      <c r="L14" s="32"/>
    </row>
    <row r="15" spans="1:12" x14ac:dyDescent="0.35">
      <c r="A15" s="18">
        <v>1</v>
      </c>
      <c r="B15" s="33" t="s">
        <v>13</v>
      </c>
      <c r="C15" s="18" t="s">
        <v>14</v>
      </c>
      <c r="D15" s="34" t="s">
        <v>21</v>
      </c>
      <c r="E15" s="20"/>
      <c r="F15" s="20"/>
      <c r="G15" s="20"/>
      <c r="H15" s="20"/>
      <c r="I15" s="20"/>
      <c r="J15" s="20"/>
      <c r="K15" s="21"/>
      <c r="L15" s="21"/>
    </row>
    <row r="16" spans="1:12" x14ac:dyDescent="0.35">
      <c r="A16" s="35">
        <v>2</v>
      </c>
      <c r="B16" s="35" t="s">
        <v>22</v>
      </c>
      <c r="C16" s="35" t="s">
        <v>23</v>
      </c>
      <c r="D16" s="36" t="s">
        <v>15</v>
      </c>
      <c r="E16" s="37">
        <v>11</v>
      </c>
      <c r="F16" s="37">
        <v>4</v>
      </c>
      <c r="G16" s="38">
        <v>12</v>
      </c>
      <c r="H16" s="37">
        <v>0</v>
      </c>
      <c r="I16" s="37">
        <v>815914956</v>
      </c>
      <c r="J16" s="37">
        <v>296696347</v>
      </c>
      <c r="K16" s="39">
        <v>348385677</v>
      </c>
      <c r="L16" s="39">
        <v>0</v>
      </c>
    </row>
    <row r="17" spans="1:12" x14ac:dyDescent="0.35">
      <c r="A17" s="35">
        <v>2</v>
      </c>
      <c r="B17" s="40" t="s">
        <v>22</v>
      </c>
      <c r="C17" s="35" t="s">
        <v>23</v>
      </c>
      <c r="D17" s="36" t="s">
        <v>16</v>
      </c>
      <c r="E17" s="37">
        <v>54</v>
      </c>
      <c r="F17" s="38">
        <v>13</v>
      </c>
      <c r="G17" s="38">
        <v>2</v>
      </c>
      <c r="H17" s="37">
        <v>1</v>
      </c>
      <c r="I17" s="37">
        <v>1824616406</v>
      </c>
      <c r="J17" s="37">
        <v>439259505</v>
      </c>
      <c r="K17" s="39">
        <v>68890608</v>
      </c>
      <c r="L17" s="39">
        <v>34445304</v>
      </c>
    </row>
    <row r="18" spans="1:12" x14ac:dyDescent="0.35">
      <c r="A18" s="35">
        <v>2</v>
      </c>
      <c r="B18" s="40" t="s">
        <v>22</v>
      </c>
      <c r="C18" s="35" t="s">
        <v>23</v>
      </c>
      <c r="D18" s="36" t="s">
        <v>17</v>
      </c>
      <c r="E18" s="37">
        <v>178</v>
      </c>
      <c r="F18" s="38">
        <v>17</v>
      </c>
      <c r="G18" s="37">
        <v>0</v>
      </c>
      <c r="H18" s="37">
        <v>0</v>
      </c>
      <c r="I18" s="37">
        <v>3433777346</v>
      </c>
      <c r="J18" s="37">
        <v>327945027</v>
      </c>
      <c r="K18" s="39">
        <v>0</v>
      </c>
      <c r="L18" s="39">
        <v>0</v>
      </c>
    </row>
    <row r="19" spans="1:12" ht="11" thickBot="1" x14ac:dyDescent="0.4">
      <c r="A19" s="35">
        <v>2</v>
      </c>
      <c r="B19" s="40" t="s">
        <v>22</v>
      </c>
      <c r="C19" s="35" t="s">
        <v>23</v>
      </c>
      <c r="D19" s="41" t="s">
        <v>18</v>
      </c>
      <c r="E19" s="42">
        <v>77</v>
      </c>
      <c r="F19" s="43">
        <v>5</v>
      </c>
      <c r="G19" s="42">
        <v>0</v>
      </c>
      <c r="H19" s="42">
        <v>0</v>
      </c>
      <c r="I19" s="42">
        <v>1192795727</v>
      </c>
      <c r="J19" s="42">
        <v>77454267</v>
      </c>
      <c r="K19" s="44">
        <v>0</v>
      </c>
      <c r="L19" s="44">
        <v>0</v>
      </c>
    </row>
    <row r="20" spans="1:12" s="29" customFormat="1" ht="11.5" thickTop="1" thickBot="1" x14ac:dyDescent="0.4">
      <c r="A20" s="35">
        <v>2</v>
      </c>
      <c r="B20" s="40" t="s">
        <v>22</v>
      </c>
      <c r="C20" s="35" t="s">
        <v>23</v>
      </c>
      <c r="D20" s="27" t="s">
        <v>19</v>
      </c>
      <c r="E20" s="28">
        <f>SUM(E16:E19)</f>
        <v>320</v>
      </c>
      <c r="F20" s="28">
        <f t="shared" ref="F20:L20" si="1">SUM(F16:F19)</f>
        <v>39</v>
      </c>
      <c r="G20" s="28">
        <f t="shared" si="1"/>
        <v>14</v>
      </c>
      <c r="H20" s="28">
        <f t="shared" si="1"/>
        <v>1</v>
      </c>
      <c r="I20" s="28">
        <f t="shared" si="1"/>
        <v>7267104435</v>
      </c>
      <c r="J20" s="28">
        <f t="shared" si="1"/>
        <v>1141355146</v>
      </c>
      <c r="K20" s="28">
        <f t="shared" si="1"/>
        <v>417276285</v>
      </c>
      <c r="L20" s="28">
        <f t="shared" si="1"/>
        <v>34445304</v>
      </c>
    </row>
    <row r="21" spans="1:12" ht="11" thickTop="1" x14ac:dyDescent="0.35">
      <c r="A21" s="35">
        <v>2</v>
      </c>
      <c r="B21" s="40" t="s">
        <v>22</v>
      </c>
      <c r="C21" s="35" t="s">
        <v>23</v>
      </c>
      <c r="D21" s="45" t="s">
        <v>20</v>
      </c>
      <c r="E21" s="46">
        <v>320</v>
      </c>
      <c r="F21" s="46">
        <v>39</v>
      </c>
      <c r="G21" s="46">
        <v>14</v>
      </c>
      <c r="H21" s="46">
        <v>1</v>
      </c>
      <c r="I21" s="46">
        <v>7267104435</v>
      </c>
      <c r="J21" s="46">
        <v>1141355146</v>
      </c>
      <c r="K21" s="47">
        <v>417276285</v>
      </c>
      <c r="L21" s="47">
        <v>34445304</v>
      </c>
    </row>
    <row r="22" spans="1:12" x14ac:dyDescent="0.35">
      <c r="A22" s="35">
        <v>2</v>
      </c>
      <c r="B22" s="48" t="s">
        <v>22</v>
      </c>
      <c r="C22" s="35" t="s">
        <v>23</v>
      </c>
      <c r="D22" s="49" t="s">
        <v>21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9">
        <v>0</v>
      </c>
      <c r="L22" s="39">
        <v>0</v>
      </c>
    </row>
    <row r="23" spans="1:12" x14ac:dyDescent="0.35">
      <c r="A23" s="18">
        <v>3</v>
      </c>
      <c r="B23" s="18" t="s">
        <v>24</v>
      </c>
      <c r="C23" s="18" t="s">
        <v>25</v>
      </c>
      <c r="D23" s="23" t="s">
        <v>15</v>
      </c>
      <c r="E23" s="20">
        <v>104</v>
      </c>
      <c r="F23" s="20">
        <v>12</v>
      </c>
      <c r="G23" s="20">
        <v>0</v>
      </c>
      <c r="H23" s="20">
        <v>0</v>
      </c>
      <c r="I23" s="20">
        <v>5320455371</v>
      </c>
      <c r="J23" s="20">
        <v>540589985</v>
      </c>
      <c r="K23" s="21">
        <v>0</v>
      </c>
      <c r="L23" s="21">
        <v>0</v>
      </c>
    </row>
    <row r="24" spans="1:12" x14ac:dyDescent="0.35">
      <c r="A24" s="18">
        <v>3</v>
      </c>
      <c r="B24" s="22" t="s">
        <v>24</v>
      </c>
      <c r="C24" s="18" t="s">
        <v>25</v>
      </c>
      <c r="D24" s="23" t="s">
        <v>16</v>
      </c>
      <c r="E24" s="20">
        <v>137</v>
      </c>
      <c r="F24" s="20">
        <v>12</v>
      </c>
      <c r="G24" s="20">
        <v>0</v>
      </c>
      <c r="H24" s="20">
        <v>0</v>
      </c>
      <c r="I24" s="20">
        <v>5125639170</v>
      </c>
      <c r="J24" s="20">
        <v>415998629</v>
      </c>
      <c r="K24" s="21">
        <v>0</v>
      </c>
      <c r="L24" s="21">
        <v>0</v>
      </c>
    </row>
    <row r="25" spans="1:12" x14ac:dyDescent="0.35">
      <c r="A25" s="18">
        <v>3</v>
      </c>
      <c r="B25" s="22" t="s">
        <v>24</v>
      </c>
      <c r="C25" s="18" t="s">
        <v>25</v>
      </c>
      <c r="D25" s="23" t="s">
        <v>17</v>
      </c>
      <c r="E25" s="20">
        <v>508</v>
      </c>
      <c r="F25" s="20">
        <v>32</v>
      </c>
      <c r="G25" s="20"/>
      <c r="H25" s="20"/>
      <c r="I25" s="20">
        <v>14018281921</v>
      </c>
      <c r="J25" s="20">
        <v>816571775</v>
      </c>
      <c r="K25" s="21"/>
      <c r="L25" s="21"/>
    </row>
    <row r="26" spans="1:12" ht="11" thickBot="1" x14ac:dyDescent="0.4">
      <c r="A26" s="18">
        <v>3</v>
      </c>
      <c r="B26" s="22" t="s">
        <v>24</v>
      </c>
      <c r="C26" s="18" t="s">
        <v>25</v>
      </c>
      <c r="D26" s="24" t="s">
        <v>18</v>
      </c>
      <c r="E26" s="25">
        <v>400</v>
      </c>
      <c r="F26" s="25">
        <v>60</v>
      </c>
      <c r="G26" s="25"/>
      <c r="H26" s="25"/>
      <c r="I26" s="25">
        <v>6408751907</v>
      </c>
      <c r="J26" s="25">
        <v>734260760</v>
      </c>
      <c r="K26" s="26"/>
      <c r="L26" s="26"/>
    </row>
    <row r="27" spans="1:12" s="29" customFormat="1" ht="11.5" thickTop="1" thickBot="1" x14ac:dyDescent="0.4">
      <c r="A27" s="18">
        <v>3</v>
      </c>
      <c r="B27" s="22" t="s">
        <v>24</v>
      </c>
      <c r="C27" s="18" t="s">
        <v>25</v>
      </c>
      <c r="D27" s="27" t="s">
        <v>19</v>
      </c>
      <c r="E27" s="28">
        <f>SUM(E23:E26)</f>
        <v>1149</v>
      </c>
      <c r="F27" s="28">
        <f t="shared" ref="F27:L27" si="2">SUM(F23:F26)</f>
        <v>116</v>
      </c>
      <c r="G27" s="28">
        <f t="shared" si="2"/>
        <v>0</v>
      </c>
      <c r="H27" s="28">
        <f t="shared" si="2"/>
        <v>0</v>
      </c>
      <c r="I27" s="28">
        <f t="shared" si="2"/>
        <v>30873128369</v>
      </c>
      <c r="J27" s="28">
        <f t="shared" si="2"/>
        <v>2507421149</v>
      </c>
      <c r="K27" s="28">
        <f t="shared" si="2"/>
        <v>0</v>
      </c>
      <c r="L27" s="28">
        <f t="shared" si="2"/>
        <v>0</v>
      </c>
    </row>
    <row r="28" spans="1:12" ht="11" thickTop="1" x14ac:dyDescent="0.35">
      <c r="A28" s="18">
        <v>3</v>
      </c>
      <c r="B28" s="22" t="s">
        <v>24</v>
      </c>
      <c r="C28" s="18" t="s">
        <v>25</v>
      </c>
      <c r="D28" s="30" t="s">
        <v>20</v>
      </c>
      <c r="E28" s="31">
        <v>1149</v>
      </c>
      <c r="F28" s="31">
        <v>116</v>
      </c>
      <c r="G28" s="31"/>
      <c r="H28" s="31"/>
      <c r="I28" s="31">
        <v>30873128369</v>
      </c>
      <c r="J28" s="31">
        <v>2507421149</v>
      </c>
      <c r="K28" s="32"/>
      <c r="L28" s="32"/>
    </row>
    <row r="29" spans="1:12" x14ac:dyDescent="0.35">
      <c r="A29" s="18">
        <v>3</v>
      </c>
      <c r="B29" s="33" t="s">
        <v>24</v>
      </c>
      <c r="C29" s="18" t="s">
        <v>25</v>
      </c>
      <c r="D29" s="34" t="s">
        <v>21</v>
      </c>
      <c r="E29" s="20"/>
      <c r="F29" s="20"/>
      <c r="G29" s="20"/>
      <c r="H29" s="20"/>
      <c r="I29" s="20"/>
      <c r="J29" s="20"/>
      <c r="K29" s="21"/>
      <c r="L29" s="21"/>
    </row>
    <row r="30" spans="1:12" x14ac:dyDescent="0.35">
      <c r="A30" s="35">
        <v>4</v>
      </c>
      <c r="B30" s="35" t="s">
        <v>26</v>
      </c>
      <c r="C30" s="35" t="s">
        <v>27</v>
      </c>
      <c r="D30" s="36" t="s">
        <v>15</v>
      </c>
      <c r="E30" s="37">
        <v>145</v>
      </c>
      <c r="F30" s="37">
        <v>5</v>
      </c>
      <c r="G30" s="38">
        <v>17</v>
      </c>
      <c r="H30" s="37">
        <v>1</v>
      </c>
      <c r="I30" s="37">
        <v>5100328893</v>
      </c>
      <c r="J30" s="37">
        <v>223456905</v>
      </c>
      <c r="K30" s="39">
        <v>338034712</v>
      </c>
      <c r="L30" s="50">
        <v>18724687</v>
      </c>
    </row>
    <row r="31" spans="1:12" x14ac:dyDescent="0.35">
      <c r="A31" s="35">
        <v>4</v>
      </c>
      <c r="B31" s="40" t="s">
        <v>26</v>
      </c>
      <c r="C31" s="35" t="s">
        <v>27</v>
      </c>
      <c r="D31" s="36" t="s">
        <v>16</v>
      </c>
      <c r="E31" s="37">
        <v>378</v>
      </c>
      <c r="F31" s="38">
        <v>31</v>
      </c>
      <c r="G31" s="38">
        <v>0</v>
      </c>
      <c r="H31" s="37">
        <v>0</v>
      </c>
      <c r="I31" s="37">
        <v>1919041513</v>
      </c>
      <c r="J31" s="37">
        <v>360584281</v>
      </c>
      <c r="K31" s="39">
        <v>0</v>
      </c>
      <c r="L31" s="50">
        <v>0</v>
      </c>
    </row>
    <row r="32" spans="1:12" x14ac:dyDescent="0.35">
      <c r="A32" s="35">
        <v>4</v>
      </c>
      <c r="B32" s="40" t="s">
        <v>26</v>
      </c>
      <c r="C32" s="35" t="s">
        <v>27</v>
      </c>
      <c r="D32" s="36" t="s">
        <v>17</v>
      </c>
      <c r="E32" s="37">
        <v>644</v>
      </c>
      <c r="F32" s="38">
        <v>69</v>
      </c>
      <c r="G32" s="37">
        <v>0</v>
      </c>
      <c r="H32" s="37">
        <v>0</v>
      </c>
      <c r="I32" s="37">
        <v>1851235061</v>
      </c>
      <c r="J32" s="37">
        <v>101834687</v>
      </c>
      <c r="K32" s="39">
        <v>0</v>
      </c>
      <c r="L32" s="50">
        <v>0</v>
      </c>
    </row>
    <row r="33" spans="1:12" ht="11" thickBot="1" x14ac:dyDescent="0.4">
      <c r="A33" s="35">
        <v>4</v>
      </c>
      <c r="B33" s="40" t="s">
        <v>26</v>
      </c>
      <c r="C33" s="35" t="s">
        <v>27</v>
      </c>
      <c r="D33" s="41" t="s">
        <v>18</v>
      </c>
      <c r="E33" s="42">
        <v>20</v>
      </c>
      <c r="F33" s="43">
        <v>2</v>
      </c>
      <c r="G33" s="42">
        <v>0</v>
      </c>
      <c r="H33" s="42">
        <v>0</v>
      </c>
      <c r="I33" s="42">
        <v>38705553</v>
      </c>
      <c r="J33" s="42">
        <v>9067524</v>
      </c>
      <c r="K33" s="44"/>
      <c r="L33" s="50"/>
    </row>
    <row r="34" spans="1:12" s="29" customFormat="1" ht="11.5" thickTop="1" thickBot="1" x14ac:dyDescent="0.4">
      <c r="A34" s="35">
        <v>4</v>
      </c>
      <c r="B34" s="40" t="s">
        <v>26</v>
      </c>
      <c r="C34" s="35" t="s">
        <v>27</v>
      </c>
      <c r="D34" s="27" t="s">
        <v>19</v>
      </c>
      <c r="E34" s="28">
        <f>SUM(E30:E33)</f>
        <v>1187</v>
      </c>
      <c r="F34" s="28">
        <f t="shared" ref="F34:L34" si="3">SUM(F30:F33)</f>
        <v>107</v>
      </c>
      <c r="G34" s="28">
        <f t="shared" si="3"/>
        <v>17</v>
      </c>
      <c r="H34" s="28">
        <f t="shared" si="3"/>
        <v>1</v>
      </c>
      <c r="I34" s="28">
        <f t="shared" si="3"/>
        <v>8909311020</v>
      </c>
      <c r="J34" s="28">
        <f t="shared" si="3"/>
        <v>694943397</v>
      </c>
      <c r="K34" s="28">
        <f t="shared" si="3"/>
        <v>338034712</v>
      </c>
      <c r="L34" s="28">
        <f t="shared" si="3"/>
        <v>18724687</v>
      </c>
    </row>
    <row r="35" spans="1:12" ht="11" thickTop="1" x14ac:dyDescent="0.35">
      <c r="A35" s="35">
        <v>4</v>
      </c>
      <c r="B35" s="40" t="s">
        <v>26</v>
      </c>
      <c r="C35" s="35" t="s">
        <v>27</v>
      </c>
      <c r="D35" s="45" t="s">
        <v>20</v>
      </c>
      <c r="E35" s="46"/>
      <c r="F35" s="46"/>
      <c r="G35" s="46"/>
      <c r="H35" s="46"/>
      <c r="I35" s="46"/>
      <c r="J35" s="46"/>
      <c r="K35" s="47"/>
      <c r="L35" s="47"/>
    </row>
    <row r="36" spans="1:12" x14ac:dyDescent="0.35">
      <c r="A36" s="35">
        <v>4</v>
      </c>
      <c r="B36" s="48" t="s">
        <v>26</v>
      </c>
      <c r="C36" s="35" t="s">
        <v>27</v>
      </c>
      <c r="D36" s="49" t="s">
        <v>21</v>
      </c>
      <c r="E36" s="37"/>
      <c r="F36" s="37"/>
      <c r="G36" s="37"/>
      <c r="H36" s="37"/>
      <c r="I36" s="37"/>
      <c r="J36" s="37"/>
      <c r="K36" s="39"/>
      <c r="L36" s="39"/>
    </row>
    <row r="37" spans="1:12" x14ac:dyDescent="0.35">
      <c r="A37" s="18">
        <v>5</v>
      </c>
      <c r="B37" s="18" t="s">
        <v>26</v>
      </c>
      <c r="C37" s="18" t="s">
        <v>28</v>
      </c>
      <c r="D37" s="23" t="s">
        <v>15</v>
      </c>
      <c r="E37" s="20">
        <v>35</v>
      </c>
      <c r="F37" s="20">
        <v>7</v>
      </c>
      <c r="G37" s="20">
        <v>58</v>
      </c>
      <c r="H37" s="20">
        <v>3</v>
      </c>
      <c r="I37" s="20">
        <v>1866646954</v>
      </c>
      <c r="J37" s="20">
        <v>350984871</v>
      </c>
      <c r="K37" s="21">
        <v>9949325373</v>
      </c>
      <c r="L37" s="21">
        <v>366097470</v>
      </c>
    </row>
    <row r="38" spans="1:12" x14ac:dyDescent="0.35">
      <c r="A38" s="18">
        <v>5</v>
      </c>
      <c r="B38" s="22" t="s">
        <v>26</v>
      </c>
      <c r="C38" s="18" t="s">
        <v>28</v>
      </c>
      <c r="D38" s="23" t="s">
        <v>16</v>
      </c>
      <c r="E38" s="20">
        <v>124</v>
      </c>
      <c r="F38" s="20">
        <v>39</v>
      </c>
      <c r="G38" s="20">
        <v>2</v>
      </c>
      <c r="H38" s="20">
        <v>0</v>
      </c>
      <c r="I38" s="20">
        <v>3062911830</v>
      </c>
      <c r="J38" s="20">
        <v>802106285</v>
      </c>
      <c r="K38" s="21">
        <v>53624870</v>
      </c>
      <c r="L38" s="21"/>
    </row>
    <row r="39" spans="1:12" x14ac:dyDescent="0.35">
      <c r="A39" s="18">
        <v>5</v>
      </c>
      <c r="B39" s="22" t="s">
        <v>26</v>
      </c>
      <c r="C39" s="18" t="s">
        <v>28</v>
      </c>
      <c r="D39" s="23" t="s">
        <v>17</v>
      </c>
      <c r="E39" s="20">
        <v>318</v>
      </c>
      <c r="F39" s="20">
        <v>39</v>
      </c>
      <c r="G39" s="20">
        <v>1</v>
      </c>
      <c r="H39" s="20">
        <v>1</v>
      </c>
      <c r="I39" s="20">
        <v>4929341704</v>
      </c>
      <c r="J39" s="20">
        <v>549659718</v>
      </c>
      <c r="K39" s="21">
        <v>16821859</v>
      </c>
      <c r="L39" s="21">
        <v>13537784</v>
      </c>
    </row>
    <row r="40" spans="1:12" ht="11" thickBot="1" x14ac:dyDescent="0.4">
      <c r="A40" s="18">
        <v>5</v>
      </c>
      <c r="B40" s="22" t="s">
        <v>26</v>
      </c>
      <c r="C40" s="18" t="s">
        <v>28</v>
      </c>
      <c r="D40" s="24" t="s">
        <v>18</v>
      </c>
      <c r="E40" s="25">
        <v>239</v>
      </c>
      <c r="F40" s="25">
        <v>25</v>
      </c>
      <c r="G40" s="25">
        <v>3</v>
      </c>
      <c r="H40" s="25">
        <v>4</v>
      </c>
      <c r="I40" s="25">
        <v>2731312518</v>
      </c>
      <c r="J40" s="25">
        <v>152162176</v>
      </c>
      <c r="K40" s="26">
        <v>1696621</v>
      </c>
      <c r="L40" s="26">
        <v>2600000</v>
      </c>
    </row>
    <row r="41" spans="1:12" s="29" customFormat="1" ht="11.5" thickTop="1" thickBot="1" x14ac:dyDescent="0.4">
      <c r="A41" s="18">
        <v>5</v>
      </c>
      <c r="B41" s="22" t="s">
        <v>26</v>
      </c>
      <c r="C41" s="18" t="s">
        <v>28</v>
      </c>
      <c r="D41" s="27" t="s">
        <v>19</v>
      </c>
      <c r="E41" s="28">
        <f>SUM(E37:E40)</f>
        <v>716</v>
      </c>
      <c r="F41" s="28">
        <f t="shared" ref="F41:L41" si="4">SUM(F37:F40)</f>
        <v>110</v>
      </c>
      <c r="G41" s="28">
        <f t="shared" si="4"/>
        <v>64</v>
      </c>
      <c r="H41" s="28">
        <f t="shared" si="4"/>
        <v>8</v>
      </c>
      <c r="I41" s="28">
        <f t="shared" si="4"/>
        <v>12590213006</v>
      </c>
      <c r="J41" s="28">
        <f t="shared" si="4"/>
        <v>1854913050</v>
      </c>
      <c r="K41" s="28">
        <f t="shared" si="4"/>
        <v>10021468723</v>
      </c>
      <c r="L41" s="28">
        <f t="shared" si="4"/>
        <v>382235254</v>
      </c>
    </row>
    <row r="42" spans="1:12" ht="11" thickTop="1" x14ac:dyDescent="0.35">
      <c r="A42" s="18">
        <v>5</v>
      </c>
      <c r="B42" s="22" t="s">
        <v>26</v>
      </c>
      <c r="C42" s="18" t="s">
        <v>28</v>
      </c>
      <c r="D42" s="30" t="s">
        <v>20</v>
      </c>
      <c r="E42" s="31">
        <f>+E41</f>
        <v>716</v>
      </c>
      <c r="F42" s="31">
        <f t="shared" ref="F42:L42" si="5">+F41</f>
        <v>110</v>
      </c>
      <c r="G42" s="31">
        <f t="shared" si="5"/>
        <v>64</v>
      </c>
      <c r="H42" s="31">
        <f t="shared" si="5"/>
        <v>8</v>
      </c>
      <c r="I42" s="31">
        <f t="shared" si="5"/>
        <v>12590213006</v>
      </c>
      <c r="J42" s="31">
        <f t="shared" si="5"/>
        <v>1854913050</v>
      </c>
      <c r="K42" s="31">
        <f t="shared" si="5"/>
        <v>10021468723</v>
      </c>
      <c r="L42" s="31">
        <f t="shared" si="5"/>
        <v>382235254</v>
      </c>
    </row>
    <row r="43" spans="1:12" x14ac:dyDescent="0.35">
      <c r="A43" s="18">
        <v>5</v>
      </c>
      <c r="B43" s="33" t="s">
        <v>26</v>
      </c>
      <c r="C43" s="18" t="s">
        <v>28</v>
      </c>
      <c r="D43" s="34" t="s">
        <v>21</v>
      </c>
      <c r="E43" s="20"/>
      <c r="F43" s="20"/>
      <c r="G43" s="20"/>
      <c r="H43" s="20"/>
      <c r="I43" s="20"/>
      <c r="J43" s="20"/>
      <c r="K43" s="21"/>
      <c r="L43" s="21"/>
    </row>
    <row r="44" spans="1:12" x14ac:dyDescent="0.35">
      <c r="A44" s="35">
        <v>6</v>
      </c>
      <c r="B44" s="35" t="s">
        <v>26</v>
      </c>
      <c r="C44" s="35" t="s">
        <v>29</v>
      </c>
      <c r="D44" s="36" t="s">
        <v>15</v>
      </c>
      <c r="E44" s="37">
        <v>1</v>
      </c>
      <c r="F44" s="37">
        <v>1</v>
      </c>
      <c r="G44" s="38">
        <v>3</v>
      </c>
      <c r="H44" s="37">
        <v>0</v>
      </c>
      <c r="I44" s="37">
        <v>42849630</v>
      </c>
      <c r="J44" s="37">
        <v>24608583</v>
      </c>
      <c r="K44" s="39">
        <v>208909144</v>
      </c>
      <c r="L44" s="39">
        <v>0</v>
      </c>
    </row>
    <row r="45" spans="1:12" x14ac:dyDescent="0.35">
      <c r="A45" s="35">
        <v>6</v>
      </c>
      <c r="B45" s="40" t="s">
        <v>26</v>
      </c>
      <c r="C45" s="35" t="s">
        <v>29</v>
      </c>
      <c r="D45" s="36" t="s">
        <v>16</v>
      </c>
      <c r="E45" s="37">
        <v>6</v>
      </c>
      <c r="F45" s="38">
        <v>0</v>
      </c>
      <c r="G45" s="38">
        <v>0</v>
      </c>
      <c r="H45" s="37">
        <v>1</v>
      </c>
      <c r="I45" s="37">
        <v>92345306</v>
      </c>
      <c r="J45" s="37">
        <v>0</v>
      </c>
      <c r="K45" s="39">
        <v>0</v>
      </c>
      <c r="L45" s="39">
        <v>11136809</v>
      </c>
    </row>
    <row r="46" spans="1:12" x14ac:dyDescent="0.35">
      <c r="A46" s="35">
        <v>6</v>
      </c>
      <c r="B46" s="40" t="s">
        <v>26</v>
      </c>
      <c r="C46" s="35" t="s">
        <v>29</v>
      </c>
      <c r="D46" s="36" t="s">
        <v>17</v>
      </c>
      <c r="E46" s="37">
        <v>20</v>
      </c>
      <c r="F46" s="38">
        <v>4</v>
      </c>
      <c r="G46" s="37">
        <v>0</v>
      </c>
      <c r="H46" s="37">
        <v>0</v>
      </c>
      <c r="I46" s="37">
        <v>128213699</v>
      </c>
      <c r="J46" s="37">
        <v>31366336</v>
      </c>
      <c r="K46" s="39">
        <v>0</v>
      </c>
      <c r="L46" s="39">
        <v>0</v>
      </c>
    </row>
    <row r="47" spans="1:12" ht="11" thickBot="1" x14ac:dyDescent="0.4">
      <c r="A47" s="35">
        <v>6</v>
      </c>
      <c r="B47" s="40" t="s">
        <v>26</v>
      </c>
      <c r="C47" s="35" t="s">
        <v>29</v>
      </c>
      <c r="D47" s="41" t="s">
        <v>18</v>
      </c>
      <c r="E47" s="42">
        <v>35</v>
      </c>
      <c r="F47" s="43">
        <v>2</v>
      </c>
      <c r="G47" s="42">
        <v>0</v>
      </c>
      <c r="H47" s="42">
        <v>0</v>
      </c>
      <c r="I47" s="37">
        <v>126070783</v>
      </c>
      <c r="J47" s="37">
        <v>8221598</v>
      </c>
      <c r="K47" s="44">
        <v>0</v>
      </c>
      <c r="L47" s="44">
        <v>0</v>
      </c>
    </row>
    <row r="48" spans="1:12" s="29" customFormat="1" ht="11.5" thickTop="1" thickBot="1" x14ac:dyDescent="0.4">
      <c r="A48" s="35">
        <v>6</v>
      </c>
      <c r="B48" s="40" t="s">
        <v>26</v>
      </c>
      <c r="C48" s="35" t="s">
        <v>29</v>
      </c>
      <c r="D48" s="27" t="s">
        <v>19</v>
      </c>
      <c r="E48" s="28">
        <f>SUM(E44:E47)</f>
        <v>62</v>
      </c>
      <c r="F48" s="28">
        <f t="shared" ref="F48:L48" si="6">SUM(F44:F47)</f>
        <v>7</v>
      </c>
      <c r="G48" s="28">
        <f t="shared" si="6"/>
        <v>3</v>
      </c>
      <c r="H48" s="28">
        <f t="shared" si="6"/>
        <v>1</v>
      </c>
      <c r="I48" s="28">
        <f t="shared" si="6"/>
        <v>389479418</v>
      </c>
      <c r="J48" s="28">
        <f t="shared" si="6"/>
        <v>64196517</v>
      </c>
      <c r="K48" s="28">
        <f t="shared" si="6"/>
        <v>208909144</v>
      </c>
      <c r="L48" s="28">
        <f t="shared" si="6"/>
        <v>11136809</v>
      </c>
    </row>
    <row r="49" spans="1:12" ht="11" thickTop="1" x14ac:dyDescent="0.35">
      <c r="A49" s="35">
        <v>6</v>
      </c>
      <c r="B49" s="40" t="s">
        <v>26</v>
      </c>
      <c r="C49" s="35" t="s">
        <v>29</v>
      </c>
      <c r="D49" s="45" t="s">
        <v>20</v>
      </c>
      <c r="E49" s="46"/>
      <c r="F49" s="46"/>
      <c r="G49" s="46"/>
      <c r="H49" s="46"/>
      <c r="I49" s="46"/>
      <c r="J49" s="46"/>
      <c r="K49" s="47"/>
      <c r="L49" s="47"/>
    </row>
    <row r="50" spans="1:12" x14ac:dyDescent="0.35">
      <c r="A50" s="35">
        <v>6</v>
      </c>
      <c r="B50" s="48" t="s">
        <v>26</v>
      </c>
      <c r="C50" s="35" t="s">
        <v>29</v>
      </c>
      <c r="D50" s="49" t="s">
        <v>21</v>
      </c>
      <c r="E50" s="37"/>
      <c r="F50" s="37"/>
      <c r="G50" s="37"/>
      <c r="H50" s="37"/>
      <c r="I50" s="37"/>
      <c r="J50" s="37"/>
      <c r="K50" s="39"/>
      <c r="L50" s="39"/>
    </row>
    <row r="51" spans="1:12" x14ac:dyDescent="0.35">
      <c r="A51" s="18">
        <v>7</v>
      </c>
      <c r="B51" s="18" t="s">
        <v>26</v>
      </c>
      <c r="C51" s="18" t="s">
        <v>30</v>
      </c>
      <c r="D51" s="23" t="s">
        <v>15</v>
      </c>
      <c r="E51" s="20">
        <v>8</v>
      </c>
      <c r="F51" s="20">
        <v>0</v>
      </c>
      <c r="G51" s="20">
        <v>12</v>
      </c>
      <c r="H51" s="20">
        <v>0</v>
      </c>
      <c r="I51" s="20">
        <v>1148907367</v>
      </c>
      <c r="J51" s="20">
        <v>0</v>
      </c>
      <c r="K51" s="20">
        <v>976274186</v>
      </c>
      <c r="L51" s="20">
        <v>0</v>
      </c>
    </row>
    <row r="52" spans="1:12" x14ac:dyDescent="0.35">
      <c r="A52" s="18">
        <v>7</v>
      </c>
      <c r="B52" s="22" t="s">
        <v>26</v>
      </c>
      <c r="C52" s="18" t="s">
        <v>30</v>
      </c>
      <c r="D52" s="23" t="s">
        <v>16</v>
      </c>
      <c r="E52" s="20">
        <v>182</v>
      </c>
      <c r="F52" s="20">
        <v>23</v>
      </c>
      <c r="G52" s="20">
        <v>56</v>
      </c>
      <c r="H52" s="20">
        <v>0</v>
      </c>
      <c r="I52" s="20">
        <v>3113472139</v>
      </c>
      <c r="J52" s="20">
        <v>508777773</v>
      </c>
      <c r="K52" s="20">
        <v>1920344252</v>
      </c>
      <c r="L52" s="20">
        <v>0</v>
      </c>
    </row>
    <row r="53" spans="1:12" x14ac:dyDescent="0.35">
      <c r="A53" s="18">
        <v>7</v>
      </c>
      <c r="B53" s="22" t="s">
        <v>26</v>
      </c>
      <c r="C53" s="18" t="s">
        <v>30</v>
      </c>
      <c r="D53" s="23" t="s">
        <v>17</v>
      </c>
      <c r="E53" s="20">
        <v>464</v>
      </c>
      <c r="F53" s="20">
        <v>34</v>
      </c>
      <c r="G53" s="20">
        <v>3</v>
      </c>
      <c r="H53" s="20">
        <v>0</v>
      </c>
      <c r="I53" s="20">
        <v>6328911057</v>
      </c>
      <c r="J53" s="20">
        <v>314596861</v>
      </c>
      <c r="K53" s="20">
        <v>30451345</v>
      </c>
      <c r="L53" s="20">
        <v>0</v>
      </c>
    </row>
    <row r="54" spans="1:12" ht="11" thickBot="1" x14ac:dyDescent="0.4">
      <c r="A54" s="18">
        <v>7</v>
      </c>
      <c r="B54" s="22" t="s">
        <v>26</v>
      </c>
      <c r="C54" s="18" t="s">
        <v>30</v>
      </c>
      <c r="D54" s="24" t="s">
        <v>18</v>
      </c>
      <c r="E54" s="25">
        <v>740</v>
      </c>
      <c r="F54" s="25">
        <v>11</v>
      </c>
      <c r="G54" s="25">
        <v>0</v>
      </c>
      <c r="H54" s="25">
        <v>0</v>
      </c>
      <c r="I54" s="25">
        <v>7320944688</v>
      </c>
      <c r="J54" s="25">
        <v>68784581</v>
      </c>
      <c r="K54" s="25">
        <v>0</v>
      </c>
      <c r="L54" s="25">
        <v>0</v>
      </c>
    </row>
    <row r="55" spans="1:12" s="29" customFormat="1" ht="11.5" thickTop="1" thickBot="1" x14ac:dyDescent="0.4">
      <c r="A55" s="18">
        <v>7</v>
      </c>
      <c r="B55" s="22" t="s">
        <v>26</v>
      </c>
      <c r="C55" s="18" t="s">
        <v>30</v>
      </c>
      <c r="D55" s="27" t="s">
        <v>19</v>
      </c>
      <c r="E55" s="28">
        <f>SUM(E51:E54)</f>
        <v>1394</v>
      </c>
      <c r="F55" s="28">
        <f t="shared" ref="F55:L55" si="7">SUM(F51:F54)</f>
        <v>68</v>
      </c>
      <c r="G55" s="28">
        <f t="shared" si="7"/>
        <v>71</v>
      </c>
      <c r="H55" s="28">
        <f t="shared" si="7"/>
        <v>0</v>
      </c>
      <c r="I55" s="28">
        <f t="shared" si="7"/>
        <v>17912235251</v>
      </c>
      <c r="J55" s="28">
        <f t="shared" si="7"/>
        <v>892159215</v>
      </c>
      <c r="K55" s="28">
        <f t="shared" si="7"/>
        <v>2927069783</v>
      </c>
      <c r="L55" s="28">
        <f t="shared" si="7"/>
        <v>0</v>
      </c>
    </row>
    <row r="56" spans="1:12" ht="11" thickTop="1" x14ac:dyDescent="0.35">
      <c r="A56" s="18">
        <v>7</v>
      </c>
      <c r="B56" s="22" t="s">
        <v>26</v>
      </c>
      <c r="C56" s="18" t="s">
        <v>30</v>
      </c>
      <c r="D56" s="30" t="s">
        <v>20</v>
      </c>
      <c r="E56" s="31">
        <v>1394</v>
      </c>
      <c r="F56" s="31">
        <v>68</v>
      </c>
      <c r="G56" s="31">
        <v>71</v>
      </c>
      <c r="H56" s="31">
        <v>0</v>
      </c>
      <c r="I56" s="31">
        <v>17912235251</v>
      </c>
      <c r="J56" s="31">
        <v>892159215</v>
      </c>
      <c r="K56" s="31">
        <v>2927069783</v>
      </c>
      <c r="L56" s="31">
        <v>0</v>
      </c>
    </row>
    <row r="57" spans="1:12" x14ac:dyDescent="0.35">
      <c r="A57" s="18">
        <v>7</v>
      </c>
      <c r="B57" s="33" t="s">
        <v>26</v>
      </c>
      <c r="C57" s="18" t="s">
        <v>30</v>
      </c>
      <c r="D57" s="34" t="s">
        <v>21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</row>
    <row r="58" spans="1:12" x14ac:dyDescent="0.35">
      <c r="A58" s="35">
        <v>8</v>
      </c>
      <c r="B58" s="35" t="s">
        <v>26</v>
      </c>
      <c r="C58" s="35" t="s">
        <v>31</v>
      </c>
      <c r="D58" s="36" t="s">
        <v>15</v>
      </c>
      <c r="E58" s="37">
        <v>35</v>
      </c>
      <c r="F58" s="37">
        <v>3</v>
      </c>
      <c r="G58" s="38">
        <v>12</v>
      </c>
      <c r="H58" s="37">
        <v>3</v>
      </c>
      <c r="I58" s="37">
        <v>1204612069</v>
      </c>
      <c r="J58" s="37">
        <v>131685218</v>
      </c>
      <c r="K58" s="39">
        <v>912435244</v>
      </c>
      <c r="L58" s="39">
        <v>0</v>
      </c>
    </row>
    <row r="59" spans="1:12" x14ac:dyDescent="0.35">
      <c r="A59" s="35">
        <v>8</v>
      </c>
      <c r="B59" s="40" t="s">
        <v>26</v>
      </c>
      <c r="C59" s="35" t="s">
        <v>31</v>
      </c>
      <c r="D59" s="36" t="s">
        <v>16</v>
      </c>
      <c r="E59" s="37">
        <v>115</v>
      </c>
      <c r="F59" s="38">
        <v>11</v>
      </c>
      <c r="G59" s="38">
        <v>6</v>
      </c>
      <c r="H59" s="37">
        <v>1</v>
      </c>
      <c r="I59" s="37">
        <v>2288147511</v>
      </c>
      <c r="J59" s="37">
        <v>21805392</v>
      </c>
      <c r="K59" s="39">
        <v>80636374</v>
      </c>
      <c r="L59" s="39">
        <v>3993680</v>
      </c>
    </row>
    <row r="60" spans="1:12" x14ac:dyDescent="0.35">
      <c r="A60" s="35">
        <v>8</v>
      </c>
      <c r="B60" s="40" t="s">
        <v>26</v>
      </c>
      <c r="C60" s="35" t="s">
        <v>31</v>
      </c>
      <c r="D60" s="36" t="s">
        <v>17</v>
      </c>
      <c r="E60" s="37">
        <v>431</v>
      </c>
      <c r="F60" s="38">
        <v>27</v>
      </c>
      <c r="G60" s="37">
        <v>4</v>
      </c>
      <c r="H60" s="37">
        <v>0</v>
      </c>
      <c r="I60" s="37">
        <v>4421149307</v>
      </c>
      <c r="J60" s="37">
        <v>25799072</v>
      </c>
      <c r="K60" s="39">
        <v>6695486</v>
      </c>
      <c r="L60" s="39">
        <v>0</v>
      </c>
    </row>
    <row r="61" spans="1:12" ht="11" thickBot="1" x14ac:dyDescent="0.4">
      <c r="A61" s="35">
        <v>8</v>
      </c>
      <c r="B61" s="40" t="s">
        <v>26</v>
      </c>
      <c r="C61" s="35" t="s">
        <v>31</v>
      </c>
      <c r="D61" s="41" t="s">
        <v>18</v>
      </c>
      <c r="E61" s="42">
        <v>0</v>
      </c>
      <c r="F61" s="43">
        <v>0</v>
      </c>
      <c r="G61" s="42">
        <v>0</v>
      </c>
      <c r="H61" s="42">
        <v>0</v>
      </c>
      <c r="I61" s="42">
        <v>0</v>
      </c>
      <c r="J61" s="42">
        <v>0</v>
      </c>
      <c r="K61" s="44">
        <v>0</v>
      </c>
      <c r="L61" s="44">
        <v>0</v>
      </c>
    </row>
    <row r="62" spans="1:12" s="29" customFormat="1" ht="11.5" thickTop="1" thickBot="1" x14ac:dyDescent="0.4">
      <c r="A62" s="35">
        <v>8</v>
      </c>
      <c r="B62" s="40" t="s">
        <v>26</v>
      </c>
      <c r="C62" s="35" t="s">
        <v>31</v>
      </c>
      <c r="D62" s="27" t="s">
        <v>19</v>
      </c>
      <c r="E62" s="28">
        <f>SUM(E58:E61)</f>
        <v>581</v>
      </c>
      <c r="F62" s="28">
        <f t="shared" ref="F62:L62" si="8">SUM(F58:F61)</f>
        <v>41</v>
      </c>
      <c r="G62" s="28">
        <f t="shared" si="8"/>
        <v>22</v>
      </c>
      <c r="H62" s="28">
        <f t="shared" si="8"/>
        <v>4</v>
      </c>
      <c r="I62" s="28">
        <f t="shared" si="8"/>
        <v>7913908887</v>
      </c>
      <c r="J62" s="28">
        <f t="shared" si="8"/>
        <v>179289682</v>
      </c>
      <c r="K62" s="28">
        <f t="shared" si="8"/>
        <v>999767104</v>
      </c>
      <c r="L62" s="28">
        <f t="shared" si="8"/>
        <v>3993680</v>
      </c>
    </row>
    <row r="63" spans="1:12" ht="11" thickTop="1" x14ac:dyDescent="0.35">
      <c r="A63" s="35">
        <v>8</v>
      </c>
      <c r="B63" s="40" t="s">
        <v>26</v>
      </c>
      <c r="C63" s="35" t="s">
        <v>31</v>
      </c>
      <c r="D63" s="45" t="s">
        <v>20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</row>
    <row r="64" spans="1:12" x14ac:dyDescent="0.35">
      <c r="A64" s="35">
        <v>8</v>
      </c>
      <c r="B64" s="48" t="s">
        <v>26</v>
      </c>
      <c r="C64" s="35" t="s">
        <v>31</v>
      </c>
      <c r="D64" s="49" t="s">
        <v>21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  <c r="K64" s="37">
        <v>0</v>
      </c>
      <c r="L64" s="37">
        <v>0</v>
      </c>
    </row>
    <row r="65" spans="1:12" x14ac:dyDescent="0.35">
      <c r="A65" s="18">
        <v>9</v>
      </c>
      <c r="B65" s="18" t="s">
        <v>24</v>
      </c>
      <c r="C65" s="18" t="s">
        <v>32</v>
      </c>
      <c r="D65" s="23" t="s">
        <v>15</v>
      </c>
      <c r="E65" s="20">
        <v>34</v>
      </c>
      <c r="F65" s="20">
        <v>1</v>
      </c>
      <c r="G65" s="20">
        <v>7</v>
      </c>
      <c r="H65" s="20">
        <v>0</v>
      </c>
      <c r="I65" s="20">
        <v>1711000000</v>
      </c>
      <c r="J65" s="20">
        <v>43000000</v>
      </c>
      <c r="K65" s="21">
        <v>803000000</v>
      </c>
      <c r="L65" s="21">
        <v>0</v>
      </c>
    </row>
    <row r="66" spans="1:12" x14ac:dyDescent="0.35">
      <c r="A66" s="18">
        <v>9</v>
      </c>
      <c r="B66" s="22" t="s">
        <v>24</v>
      </c>
      <c r="C66" s="18" t="s">
        <v>32</v>
      </c>
      <c r="D66" s="23" t="s">
        <v>16</v>
      </c>
      <c r="E66" s="20">
        <v>30</v>
      </c>
      <c r="F66" s="20">
        <v>3</v>
      </c>
      <c r="G66" s="20">
        <v>0</v>
      </c>
      <c r="H66" s="20">
        <v>0</v>
      </c>
      <c r="I66" s="20">
        <v>790000000</v>
      </c>
      <c r="J66" s="20">
        <v>66000000</v>
      </c>
      <c r="K66" s="21">
        <v>0</v>
      </c>
      <c r="L66" s="21">
        <v>0</v>
      </c>
    </row>
    <row r="67" spans="1:12" x14ac:dyDescent="0.35">
      <c r="A67" s="18">
        <v>9</v>
      </c>
      <c r="B67" s="22" t="s">
        <v>24</v>
      </c>
      <c r="C67" s="18" t="s">
        <v>32</v>
      </c>
      <c r="D67" s="23" t="s">
        <v>17</v>
      </c>
      <c r="E67" s="20">
        <v>91</v>
      </c>
      <c r="F67" s="20">
        <v>12</v>
      </c>
      <c r="G67" s="20">
        <v>0</v>
      </c>
      <c r="H67" s="20">
        <v>0</v>
      </c>
      <c r="I67" s="20">
        <v>1008000000</v>
      </c>
      <c r="J67" s="20">
        <v>112000000</v>
      </c>
      <c r="K67" s="21">
        <v>0</v>
      </c>
      <c r="L67" s="21">
        <v>0</v>
      </c>
    </row>
    <row r="68" spans="1:12" ht="11" thickBot="1" x14ac:dyDescent="0.4">
      <c r="A68" s="18">
        <v>9</v>
      </c>
      <c r="B68" s="22" t="s">
        <v>24</v>
      </c>
      <c r="C68" s="18" t="s">
        <v>32</v>
      </c>
      <c r="D68" s="24" t="s">
        <v>18</v>
      </c>
      <c r="E68" s="25">
        <v>84</v>
      </c>
      <c r="F68" s="25">
        <v>8</v>
      </c>
      <c r="G68" s="25">
        <v>0</v>
      </c>
      <c r="H68" s="25">
        <v>0</v>
      </c>
      <c r="I68" s="25">
        <v>635000000</v>
      </c>
      <c r="J68" s="25">
        <v>51000000</v>
      </c>
      <c r="K68" s="26">
        <v>0</v>
      </c>
      <c r="L68" s="26">
        <v>0</v>
      </c>
    </row>
    <row r="69" spans="1:12" s="29" customFormat="1" ht="11.5" thickTop="1" thickBot="1" x14ac:dyDescent="0.4">
      <c r="A69" s="18">
        <v>9</v>
      </c>
      <c r="B69" s="22" t="s">
        <v>24</v>
      </c>
      <c r="C69" s="18" t="s">
        <v>32</v>
      </c>
      <c r="D69" s="27" t="s">
        <v>19</v>
      </c>
      <c r="E69" s="28">
        <f>SUM(E65:E68)</f>
        <v>239</v>
      </c>
      <c r="F69" s="28">
        <f t="shared" ref="F69:L69" si="9">SUM(F65:F68)</f>
        <v>24</v>
      </c>
      <c r="G69" s="28">
        <f t="shared" si="9"/>
        <v>7</v>
      </c>
      <c r="H69" s="28">
        <f t="shared" si="9"/>
        <v>0</v>
      </c>
      <c r="I69" s="28">
        <f t="shared" si="9"/>
        <v>4144000000</v>
      </c>
      <c r="J69" s="28">
        <f t="shared" si="9"/>
        <v>272000000</v>
      </c>
      <c r="K69" s="28">
        <f t="shared" si="9"/>
        <v>803000000</v>
      </c>
      <c r="L69" s="28">
        <f t="shared" si="9"/>
        <v>0</v>
      </c>
    </row>
    <row r="70" spans="1:12" ht="11" thickTop="1" x14ac:dyDescent="0.35">
      <c r="A70" s="18">
        <v>9</v>
      </c>
      <c r="B70" s="22" t="s">
        <v>24</v>
      </c>
      <c r="C70" s="18" t="s">
        <v>32</v>
      </c>
      <c r="D70" s="30" t="s">
        <v>20</v>
      </c>
      <c r="E70" s="31">
        <f>+E69</f>
        <v>239</v>
      </c>
      <c r="F70" s="31">
        <f t="shared" ref="F70:L70" si="10">+F69</f>
        <v>24</v>
      </c>
      <c r="G70" s="31">
        <f t="shared" si="10"/>
        <v>7</v>
      </c>
      <c r="H70" s="31">
        <f t="shared" si="10"/>
        <v>0</v>
      </c>
      <c r="I70" s="31">
        <f t="shared" si="10"/>
        <v>4144000000</v>
      </c>
      <c r="J70" s="31">
        <f t="shared" si="10"/>
        <v>272000000</v>
      </c>
      <c r="K70" s="31">
        <f t="shared" si="10"/>
        <v>803000000</v>
      </c>
      <c r="L70" s="31">
        <f t="shared" si="10"/>
        <v>0</v>
      </c>
    </row>
    <row r="71" spans="1:12" x14ac:dyDescent="0.35">
      <c r="A71" s="18">
        <v>9</v>
      </c>
      <c r="B71" s="33" t="s">
        <v>24</v>
      </c>
      <c r="C71" s="18" t="s">
        <v>32</v>
      </c>
      <c r="D71" s="34" t="s">
        <v>21</v>
      </c>
      <c r="E71" s="20"/>
      <c r="F71" s="20"/>
      <c r="G71" s="20"/>
      <c r="H71" s="20"/>
      <c r="I71" s="20"/>
      <c r="J71" s="20"/>
      <c r="K71" s="21"/>
      <c r="L71" s="21"/>
    </row>
    <row r="72" spans="1:12" x14ac:dyDescent="0.35">
      <c r="A72" s="35">
        <v>10</v>
      </c>
      <c r="B72" s="35" t="s">
        <v>33</v>
      </c>
      <c r="C72" s="35" t="s">
        <v>34</v>
      </c>
      <c r="D72" s="36" t="s">
        <v>15</v>
      </c>
      <c r="E72" s="37">
        <v>2</v>
      </c>
      <c r="F72" s="37">
        <v>0</v>
      </c>
      <c r="G72" s="38">
        <v>5</v>
      </c>
      <c r="H72" s="37">
        <v>1</v>
      </c>
      <c r="I72" s="37">
        <v>238614298</v>
      </c>
      <c r="J72" s="37"/>
      <c r="K72" s="39">
        <v>581300708</v>
      </c>
      <c r="L72" s="39">
        <v>67056442</v>
      </c>
    </row>
    <row r="73" spans="1:12" x14ac:dyDescent="0.35">
      <c r="A73" s="35">
        <v>10</v>
      </c>
      <c r="B73" s="40" t="s">
        <v>33</v>
      </c>
      <c r="C73" s="35" t="s">
        <v>34</v>
      </c>
      <c r="D73" s="36" t="s">
        <v>16</v>
      </c>
      <c r="E73" s="37">
        <v>7</v>
      </c>
      <c r="F73" s="38">
        <v>3</v>
      </c>
      <c r="G73" s="38"/>
      <c r="H73" s="37"/>
      <c r="I73" s="37">
        <v>164268845</v>
      </c>
      <c r="J73" s="37">
        <v>43088693</v>
      </c>
      <c r="K73" s="39"/>
      <c r="L73" s="39"/>
    </row>
    <row r="74" spans="1:12" x14ac:dyDescent="0.35">
      <c r="A74" s="35">
        <v>10</v>
      </c>
      <c r="B74" s="40" t="s">
        <v>33</v>
      </c>
      <c r="C74" s="35" t="s">
        <v>34</v>
      </c>
      <c r="D74" s="36" t="s">
        <v>17</v>
      </c>
      <c r="E74" s="37">
        <v>11</v>
      </c>
      <c r="F74" s="38">
        <v>2</v>
      </c>
      <c r="G74" s="37"/>
      <c r="H74" s="37"/>
      <c r="I74" s="37">
        <v>123273226</v>
      </c>
      <c r="J74" s="37">
        <v>32520393</v>
      </c>
      <c r="K74" s="39"/>
      <c r="L74" s="39"/>
    </row>
    <row r="75" spans="1:12" ht="11" thickBot="1" x14ac:dyDescent="0.4">
      <c r="A75" s="35">
        <v>10</v>
      </c>
      <c r="B75" s="40" t="s">
        <v>33</v>
      </c>
      <c r="C75" s="35" t="s">
        <v>34</v>
      </c>
      <c r="D75" s="41" t="s">
        <v>18</v>
      </c>
      <c r="E75" s="42">
        <v>136</v>
      </c>
      <c r="F75" s="43">
        <v>30</v>
      </c>
      <c r="G75" s="42"/>
      <c r="H75" s="42"/>
      <c r="I75" s="42">
        <v>846973221</v>
      </c>
      <c r="J75" s="42">
        <v>146802758</v>
      </c>
      <c r="K75" s="44"/>
      <c r="L75" s="44"/>
    </row>
    <row r="76" spans="1:12" s="29" customFormat="1" ht="11.5" thickTop="1" thickBot="1" x14ac:dyDescent="0.4">
      <c r="A76" s="35">
        <v>10</v>
      </c>
      <c r="B76" s="40" t="s">
        <v>33</v>
      </c>
      <c r="C76" s="35" t="s">
        <v>34</v>
      </c>
      <c r="D76" s="27" t="s">
        <v>19</v>
      </c>
      <c r="E76" s="28">
        <f>SUM(E72:E75)</f>
        <v>156</v>
      </c>
      <c r="F76" s="28">
        <f t="shared" ref="F76:L76" si="11">SUM(F72:F75)</f>
        <v>35</v>
      </c>
      <c r="G76" s="28">
        <f t="shared" si="11"/>
        <v>5</v>
      </c>
      <c r="H76" s="28">
        <f t="shared" si="11"/>
        <v>1</v>
      </c>
      <c r="I76" s="28">
        <f t="shared" si="11"/>
        <v>1373129590</v>
      </c>
      <c r="J76" s="28">
        <f t="shared" si="11"/>
        <v>222411844</v>
      </c>
      <c r="K76" s="28">
        <f t="shared" si="11"/>
        <v>581300708</v>
      </c>
      <c r="L76" s="28">
        <f t="shared" si="11"/>
        <v>67056442</v>
      </c>
    </row>
    <row r="77" spans="1:12" ht="11" thickTop="1" x14ac:dyDescent="0.35">
      <c r="A77" s="35">
        <v>10</v>
      </c>
      <c r="B77" s="40" t="s">
        <v>33</v>
      </c>
      <c r="C77" s="35" t="s">
        <v>34</v>
      </c>
      <c r="D77" s="45" t="s">
        <v>20</v>
      </c>
      <c r="E77" s="46">
        <v>156</v>
      </c>
      <c r="F77" s="46">
        <v>35</v>
      </c>
      <c r="G77" s="46">
        <v>5</v>
      </c>
      <c r="H77" s="46">
        <v>1</v>
      </c>
      <c r="I77" s="46">
        <v>1373129590</v>
      </c>
      <c r="J77" s="46">
        <v>222411844</v>
      </c>
      <c r="K77" s="47">
        <v>581300708</v>
      </c>
      <c r="L77" s="47">
        <v>67056442</v>
      </c>
    </row>
    <row r="78" spans="1:12" x14ac:dyDescent="0.35">
      <c r="A78" s="35">
        <v>10</v>
      </c>
      <c r="B78" s="48" t="s">
        <v>33</v>
      </c>
      <c r="C78" s="35" t="s">
        <v>34</v>
      </c>
      <c r="D78" s="49" t="s">
        <v>21</v>
      </c>
      <c r="E78" s="37">
        <v>875</v>
      </c>
      <c r="F78" s="37">
        <v>239</v>
      </c>
      <c r="G78" s="37"/>
      <c r="H78" s="37"/>
      <c r="I78" s="37">
        <v>110480732</v>
      </c>
      <c r="J78" s="37">
        <v>22896353</v>
      </c>
      <c r="K78" s="39"/>
      <c r="L78" s="39"/>
    </row>
    <row r="79" spans="1:12" x14ac:dyDescent="0.35">
      <c r="A79" s="18">
        <v>11</v>
      </c>
      <c r="B79" s="18" t="s">
        <v>24</v>
      </c>
      <c r="C79" s="18" t="s">
        <v>35</v>
      </c>
      <c r="D79" s="23" t="s">
        <v>15</v>
      </c>
      <c r="E79" s="20">
        <v>4</v>
      </c>
      <c r="F79" s="20">
        <v>0</v>
      </c>
      <c r="G79" s="20">
        <v>2</v>
      </c>
      <c r="H79" s="20">
        <v>0</v>
      </c>
      <c r="I79" s="20">
        <v>11261785</v>
      </c>
      <c r="J79" s="20"/>
      <c r="K79" s="21">
        <v>53004059</v>
      </c>
      <c r="L79" s="21"/>
    </row>
    <row r="80" spans="1:12" x14ac:dyDescent="0.35">
      <c r="A80" s="18">
        <v>11</v>
      </c>
      <c r="B80" s="22" t="s">
        <v>24</v>
      </c>
      <c r="C80" s="18" t="s">
        <v>35</v>
      </c>
      <c r="D80" s="23" t="s">
        <v>16</v>
      </c>
      <c r="E80" s="20"/>
      <c r="F80" s="20"/>
      <c r="G80" s="20"/>
      <c r="H80" s="20"/>
      <c r="I80" s="20"/>
      <c r="J80" s="20"/>
      <c r="K80" s="21"/>
      <c r="L80" s="21"/>
    </row>
    <row r="81" spans="1:12" x14ac:dyDescent="0.35">
      <c r="A81" s="18">
        <v>11</v>
      </c>
      <c r="B81" s="22" t="s">
        <v>24</v>
      </c>
      <c r="C81" s="18" t="s">
        <v>35</v>
      </c>
      <c r="D81" s="23" t="s">
        <v>17</v>
      </c>
      <c r="E81" s="20">
        <v>50</v>
      </c>
      <c r="F81" s="20"/>
      <c r="G81" s="20">
        <v>1</v>
      </c>
      <c r="H81" s="20"/>
      <c r="I81" s="20">
        <v>275592092</v>
      </c>
      <c r="J81" s="20"/>
      <c r="K81" s="21">
        <v>8028103</v>
      </c>
      <c r="L81" s="21"/>
    </row>
    <row r="82" spans="1:12" ht="11" thickBot="1" x14ac:dyDescent="0.4">
      <c r="A82" s="18">
        <v>11</v>
      </c>
      <c r="B82" s="22" t="s">
        <v>24</v>
      </c>
      <c r="C82" s="18" t="s">
        <v>35</v>
      </c>
      <c r="D82" s="24" t="s">
        <v>18</v>
      </c>
      <c r="E82" s="25"/>
      <c r="F82" s="25"/>
      <c r="G82" s="25"/>
      <c r="H82" s="25"/>
      <c r="I82" s="25"/>
      <c r="J82" s="25"/>
      <c r="K82" s="26"/>
      <c r="L82" s="26"/>
    </row>
    <row r="83" spans="1:12" s="29" customFormat="1" ht="11.5" thickTop="1" thickBot="1" x14ac:dyDescent="0.4">
      <c r="A83" s="18">
        <v>11</v>
      </c>
      <c r="B83" s="22" t="s">
        <v>24</v>
      </c>
      <c r="C83" s="18" t="s">
        <v>35</v>
      </c>
      <c r="D83" s="27" t="s">
        <v>19</v>
      </c>
      <c r="E83" s="28">
        <f>SUM(E79:E82)</f>
        <v>54</v>
      </c>
      <c r="F83" s="28">
        <f t="shared" ref="F83:H83" si="12">SUM(F79:F82)</f>
        <v>0</v>
      </c>
      <c r="G83" s="28">
        <f t="shared" si="12"/>
        <v>3</v>
      </c>
      <c r="H83" s="28">
        <f t="shared" si="12"/>
        <v>0</v>
      </c>
      <c r="I83" s="28">
        <f>SUM(I79:I82)</f>
        <v>286853877</v>
      </c>
      <c r="J83" s="28">
        <f t="shared" ref="J83:L83" si="13">SUM(J79:J82)</f>
        <v>0</v>
      </c>
      <c r="K83" s="28">
        <f t="shared" si="13"/>
        <v>61032162</v>
      </c>
      <c r="L83" s="28">
        <f t="shared" si="13"/>
        <v>0</v>
      </c>
    </row>
    <row r="84" spans="1:12" ht="11" thickTop="1" x14ac:dyDescent="0.35">
      <c r="A84" s="18">
        <v>11</v>
      </c>
      <c r="B84" s="22" t="s">
        <v>24</v>
      </c>
      <c r="C84" s="18" t="s">
        <v>35</v>
      </c>
      <c r="D84" s="30" t="s">
        <v>20</v>
      </c>
      <c r="E84" s="31"/>
      <c r="F84" s="31"/>
      <c r="G84" s="31"/>
      <c r="H84" s="31"/>
      <c r="I84" s="31"/>
      <c r="J84" s="31"/>
      <c r="K84" s="32"/>
      <c r="L84" s="32"/>
    </row>
    <row r="85" spans="1:12" x14ac:dyDescent="0.35">
      <c r="A85" s="18">
        <v>11</v>
      </c>
      <c r="B85" s="33" t="s">
        <v>24</v>
      </c>
      <c r="C85" s="18" t="s">
        <v>35</v>
      </c>
      <c r="D85" s="34" t="s">
        <v>21</v>
      </c>
      <c r="E85" s="20"/>
      <c r="F85" s="20"/>
      <c r="G85" s="20"/>
      <c r="H85" s="20"/>
      <c r="I85" s="20"/>
      <c r="J85" s="20"/>
      <c r="K85" s="21"/>
      <c r="L85" s="21"/>
    </row>
    <row r="86" spans="1:12" x14ac:dyDescent="0.35">
      <c r="A86" s="35">
        <v>12</v>
      </c>
      <c r="B86" s="35" t="s">
        <v>24</v>
      </c>
      <c r="C86" s="35" t="s">
        <v>36</v>
      </c>
      <c r="D86" s="36" t="s">
        <v>15</v>
      </c>
      <c r="E86" s="37">
        <v>3</v>
      </c>
      <c r="F86" s="37">
        <v>1</v>
      </c>
      <c r="G86" s="38">
        <v>3</v>
      </c>
      <c r="H86" s="37">
        <v>0</v>
      </c>
      <c r="I86" s="37">
        <v>250741964</v>
      </c>
      <c r="J86" s="37">
        <v>73207680</v>
      </c>
      <c r="K86" s="39">
        <v>319159402</v>
      </c>
      <c r="L86" s="39"/>
    </row>
    <row r="87" spans="1:12" x14ac:dyDescent="0.35">
      <c r="A87" s="35">
        <v>12</v>
      </c>
      <c r="B87" s="40" t="s">
        <v>24</v>
      </c>
      <c r="C87" s="35" t="s">
        <v>36</v>
      </c>
      <c r="D87" s="36" t="s">
        <v>16</v>
      </c>
      <c r="E87" s="37">
        <v>6</v>
      </c>
      <c r="F87" s="38">
        <v>24</v>
      </c>
      <c r="G87" s="38">
        <v>8</v>
      </c>
      <c r="H87" s="37">
        <v>0</v>
      </c>
      <c r="I87" s="37">
        <v>783794949</v>
      </c>
      <c r="J87" s="37">
        <v>74053749</v>
      </c>
      <c r="K87" s="39">
        <v>310736375</v>
      </c>
      <c r="L87" s="39">
        <v>0</v>
      </c>
    </row>
    <row r="88" spans="1:12" x14ac:dyDescent="0.35">
      <c r="A88" s="35">
        <v>12</v>
      </c>
      <c r="B88" s="40" t="s">
        <v>24</v>
      </c>
      <c r="C88" s="35" t="s">
        <v>36</v>
      </c>
      <c r="D88" s="36" t="s">
        <v>17</v>
      </c>
      <c r="E88" s="37">
        <v>34</v>
      </c>
      <c r="F88" s="38">
        <v>4</v>
      </c>
      <c r="G88" s="37">
        <v>3</v>
      </c>
      <c r="H88" s="37">
        <v>1</v>
      </c>
      <c r="I88" s="37">
        <v>535635455</v>
      </c>
      <c r="J88" s="37">
        <v>29722530</v>
      </c>
      <c r="K88" s="39">
        <v>20639079</v>
      </c>
      <c r="L88" s="39">
        <v>2024133</v>
      </c>
    </row>
    <row r="89" spans="1:12" ht="11" thickBot="1" x14ac:dyDescent="0.4">
      <c r="A89" s="35">
        <v>12</v>
      </c>
      <c r="B89" s="40" t="s">
        <v>24</v>
      </c>
      <c r="C89" s="35" t="s">
        <v>36</v>
      </c>
      <c r="D89" s="41" t="s">
        <v>18</v>
      </c>
      <c r="E89" s="42">
        <v>64</v>
      </c>
      <c r="F89" s="43">
        <v>4</v>
      </c>
      <c r="G89" s="42">
        <v>0</v>
      </c>
      <c r="H89" s="42">
        <v>0</v>
      </c>
      <c r="I89" s="42">
        <v>498609066</v>
      </c>
      <c r="J89" s="42">
        <v>32991531</v>
      </c>
      <c r="K89" s="44">
        <v>0</v>
      </c>
      <c r="L89" s="44">
        <v>0</v>
      </c>
    </row>
    <row r="90" spans="1:12" s="29" customFormat="1" ht="11.5" thickTop="1" thickBot="1" x14ac:dyDescent="0.4">
      <c r="A90" s="35">
        <v>12</v>
      </c>
      <c r="B90" s="40" t="s">
        <v>24</v>
      </c>
      <c r="C90" s="35" t="s">
        <v>36</v>
      </c>
      <c r="D90" s="27" t="s">
        <v>19</v>
      </c>
      <c r="E90" s="28">
        <f>SUM(E86:E89)</f>
        <v>107</v>
      </c>
      <c r="F90" s="28">
        <f t="shared" ref="F90:H90" si="14">SUM(F86:F89)</f>
        <v>33</v>
      </c>
      <c r="G90" s="28">
        <f t="shared" si="14"/>
        <v>14</v>
      </c>
      <c r="H90" s="28">
        <f t="shared" si="14"/>
        <v>1</v>
      </c>
      <c r="I90" s="28">
        <f>SUM(I86:I89)</f>
        <v>2068781434</v>
      </c>
      <c r="J90" s="28">
        <f t="shared" ref="J90:L90" si="15">SUM(J86:J89)</f>
        <v>209975490</v>
      </c>
      <c r="K90" s="28">
        <f t="shared" si="15"/>
        <v>650534856</v>
      </c>
      <c r="L90" s="28">
        <f t="shared" si="15"/>
        <v>2024133</v>
      </c>
    </row>
    <row r="91" spans="1:12" ht="11" thickTop="1" x14ac:dyDescent="0.35">
      <c r="A91" s="35">
        <v>12</v>
      </c>
      <c r="B91" s="40" t="s">
        <v>24</v>
      </c>
      <c r="C91" s="35" t="s">
        <v>36</v>
      </c>
      <c r="D91" s="45" t="s">
        <v>20</v>
      </c>
      <c r="E91" s="46">
        <v>84</v>
      </c>
      <c r="F91" s="46">
        <v>33</v>
      </c>
      <c r="G91" s="46">
        <v>14</v>
      </c>
      <c r="H91" s="46">
        <v>1</v>
      </c>
      <c r="I91" s="46">
        <v>1990693087</v>
      </c>
      <c r="J91" s="46">
        <v>550534857</v>
      </c>
      <c r="K91" s="47">
        <v>2024133</v>
      </c>
      <c r="L91" s="47"/>
    </row>
    <row r="92" spans="1:12" x14ac:dyDescent="0.35">
      <c r="A92" s="35">
        <v>12</v>
      </c>
      <c r="B92" s="48" t="s">
        <v>24</v>
      </c>
      <c r="C92" s="35" t="s">
        <v>36</v>
      </c>
      <c r="D92" s="49" t="s">
        <v>21</v>
      </c>
      <c r="E92" s="37">
        <v>23</v>
      </c>
      <c r="F92" s="37">
        <v>0</v>
      </c>
      <c r="G92" s="37">
        <v>0</v>
      </c>
      <c r="H92" s="37">
        <v>0</v>
      </c>
      <c r="I92" s="37">
        <v>78088348</v>
      </c>
      <c r="J92" s="37"/>
      <c r="K92" s="39"/>
      <c r="L92" s="39"/>
    </row>
    <row r="93" spans="1:12" x14ac:dyDescent="0.35">
      <c r="A93" s="18">
        <v>13</v>
      </c>
      <c r="B93" s="18" t="s">
        <v>26</v>
      </c>
      <c r="C93" s="18" t="s">
        <v>37</v>
      </c>
      <c r="D93" s="23" t="s">
        <v>15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</row>
    <row r="94" spans="1:12" x14ac:dyDescent="0.35">
      <c r="A94" s="18">
        <v>13</v>
      </c>
      <c r="B94" s="22" t="s">
        <v>26</v>
      </c>
      <c r="C94" s="18" t="s">
        <v>37</v>
      </c>
      <c r="D94" s="23" t="s">
        <v>16</v>
      </c>
      <c r="E94" s="20">
        <v>2</v>
      </c>
      <c r="F94" s="20">
        <v>0</v>
      </c>
      <c r="G94" s="20">
        <v>0</v>
      </c>
      <c r="H94" s="20">
        <v>0</v>
      </c>
      <c r="I94" s="20">
        <v>11453129</v>
      </c>
      <c r="J94" s="20">
        <v>0</v>
      </c>
      <c r="K94" s="21">
        <v>0</v>
      </c>
      <c r="L94" s="21">
        <v>0</v>
      </c>
    </row>
    <row r="95" spans="1:12" x14ac:dyDescent="0.35">
      <c r="A95" s="18">
        <v>13</v>
      </c>
      <c r="B95" s="22" t="s">
        <v>26</v>
      </c>
      <c r="C95" s="18" t="s">
        <v>37</v>
      </c>
      <c r="D95" s="23" t="s">
        <v>17</v>
      </c>
      <c r="E95" s="20">
        <v>2</v>
      </c>
      <c r="F95" s="20">
        <v>1</v>
      </c>
      <c r="G95" s="20">
        <v>0</v>
      </c>
      <c r="H95" s="20">
        <v>0</v>
      </c>
      <c r="I95" s="20">
        <v>12712327</v>
      </c>
      <c r="J95" s="20">
        <v>3241392</v>
      </c>
      <c r="K95" s="21">
        <v>0</v>
      </c>
      <c r="L95" s="21">
        <v>0</v>
      </c>
    </row>
    <row r="96" spans="1:12" ht="11" thickBot="1" x14ac:dyDescent="0.4">
      <c r="A96" s="18">
        <v>13</v>
      </c>
      <c r="B96" s="22" t="s">
        <v>26</v>
      </c>
      <c r="C96" s="18" t="s">
        <v>37</v>
      </c>
      <c r="D96" s="24" t="s">
        <v>18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</row>
    <row r="97" spans="1:12" s="29" customFormat="1" ht="11.5" thickTop="1" thickBot="1" x14ac:dyDescent="0.4">
      <c r="A97" s="18">
        <v>13</v>
      </c>
      <c r="B97" s="22" t="s">
        <v>26</v>
      </c>
      <c r="C97" s="18" t="s">
        <v>37</v>
      </c>
      <c r="D97" s="27" t="s">
        <v>19</v>
      </c>
      <c r="E97" s="28">
        <f>SUM(E93:E96)</f>
        <v>4</v>
      </c>
      <c r="F97" s="28">
        <f t="shared" ref="F97:H97" si="16">SUM(F93:F96)</f>
        <v>1</v>
      </c>
      <c r="G97" s="28">
        <f t="shared" si="16"/>
        <v>0</v>
      </c>
      <c r="H97" s="28">
        <f t="shared" si="16"/>
        <v>0</v>
      </c>
      <c r="I97" s="28">
        <f>SUM(I93:I96)</f>
        <v>24165456</v>
      </c>
      <c r="J97" s="28">
        <f t="shared" ref="J97:L97" si="17">SUM(J93:J96)</f>
        <v>3241392</v>
      </c>
      <c r="K97" s="28">
        <f t="shared" si="17"/>
        <v>0</v>
      </c>
      <c r="L97" s="28">
        <f t="shared" si="17"/>
        <v>0</v>
      </c>
    </row>
    <row r="98" spans="1:12" ht="11" thickTop="1" x14ac:dyDescent="0.35">
      <c r="A98" s="18">
        <v>13</v>
      </c>
      <c r="B98" s="22" t="s">
        <v>26</v>
      </c>
      <c r="C98" s="18" t="s">
        <v>37</v>
      </c>
      <c r="D98" s="30" t="s">
        <v>20</v>
      </c>
      <c r="E98" s="31">
        <v>3</v>
      </c>
      <c r="F98" s="31">
        <v>0</v>
      </c>
      <c r="G98" s="31">
        <v>0</v>
      </c>
      <c r="H98" s="31">
        <v>0</v>
      </c>
      <c r="I98" s="31">
        <v>19871230</v>
      </c>
      <c r="J98" s="31">
        <v>0</v>
      </c>
      <c r="K98" s="32">
        <v>0</v>
      </c>
      <c r="L98" s="32">
        <v>0</v>
      </c>
    </row>
    <row r="99" spans="1:12" x14ac:dyDescent="0.35">
      <c r="A99" s="18">
        <v>13</v>
      </c>
      <c r="B99" s="33" t="s">
        <v>26</v>
      </c>
      <c r="C99" s="18" t="s">
        <v>37</v>
      </c>
      <c r="D99" s="34" t="s">
        <v>21</v>
      </c>
      <c r="E99" s="20">
        <v>1</v>
      </c>
      <c r="F99" s="20">
        <v>1</v>
      </c>
      <c r="G99" s="20"/>
      <c r="H99" s="20"/>
      <c r="I99" s="20">
        <v>4294226</v>
      </c>
      <c r="J99" s="20">
        <v>3241392</v>
      </c>
      <c r="K99" s="21">
        <v>0</v>
      </c>
      <c r="L99" s="21">
        <v>0</v>
      </c>
    </row>
    <row r="100" spans="1:12" ht="31.5" x14ac:dyDescent="0.35">
      <c r="A100" s="35">
        <v>14</v>
      </c>
      <c r="B100" s="35" t="s">
        <v>38</v>
      </c>
      <c r="C100" s="35" t="s">
        <v>39</v>
      </c>
      <c r="D100" s="36" t="s">
        <v>15</v>
      </c>
      <c r="E100" s="37">
        <v>0</v>
      </c>
      <c r="F100" s="37">
        <v>0</v>
      </c>
      <c r="G100" s="37">
        <v>0</v>
      </c>
      <c r="H100" s="37">
        <v>0</v>
      </c>
      <c r="I100" s="37">
        <v>0</v>
      </c>
      <c r="J100" s="37">
        <v>0</v>
      </c>
      <c r="K100" s="39">
        <v>0</v>
      </c>
      <c r="L100" s="39">
        <v>0</v>
      </c>
    </row>
    <row r="101" spans="1:12" ht="31.5" x14ac:dyDescent="0.35">
      <c r="A101" s="35">
        <v>14</v>
      </c>
      <c r="B101" s="40" t="s">
        <v>38</v>
      </c>
      <c r="C101" s="35" t="s">
        <v>39</v>
      </c>
      <c r="D101" s="36" t="s">
        <v>16</v>
      </c>
      <c r="E101" s="37">
        <v>1</v>
      </c>
      <c r="F101" s="38">
        <v>2</v>
      </c>
      <c r="G101" s="38">
        <v>2</v>
      </c>
      <c r="H101" s="37">
        <v>0</v>
      </c>
      <c r="I101" s="37">
        <v>38854846</v>
      </c>
      <c r="J101" s="37">
        <v>81237824</v>
      </c>
      <c r="K101" s="39">
        <v>100209016</v>
      </c>
      <c r="L101" s="39"/>
    </row>
    <row r="102" spans="1:12" ht="31.5" x14ac:dyDescent="0.35">
      <c r="A102" s="35">
        <v>14</v>
      </c>
      <c r="B102" s="40" t="s">
        <v>38</v>
      </c>
      <c r="C102" s="35" t="s">
        <v>39</v>
      </c>
      <c r="D102" s="36" t="s">
        <v>17</v>
      </c>
      <c r="E102" s="37">
        <v>9</v>
      </c>
      <c r="F102" s="38">
        <v>1</v>
      </c>
      <c r="G102" s="37">
        <v>1</v>
      </c>
      <c r="H102" s="37">
        <v>0</v>
      </c>
      <c r="I102" s="37">
        <v>73373702</v>
      </c>
      <c r="J102" s="37">
        <v>9699115</v>
      </c>
      <c r="K102" s="39">
        <v>27443724</v>
      </c>
      <c r="L102" s="39"/>
    </row>
    <row r="103" spans="1:12" ht="32" thickBot="1" x14ac:dyDescent="0.4">
      <c r="A103" s="35">
        <v>14</v>
      </c>
      <c r="B103" s="40" t="s">
        <v>38</v>
      </c>
      <c r="C103" s="35" t="s">
        <v>39</v>
      </c>
      <c r="D103" s="41" t="s">
        <v>18</v>
      </c>
      <c r="E103" s="42">
        <v>6</v>
      </c>
      <c r="F103" s="43">
        <v>1</v>
      </c>
      <c r="G103" s="42">
        <v>0</v>
      </c>
      <c r="H103" s="42">
        <v>0</v>
      </c>
      <c r="I103" s="42">
        <v>38843994</v>
      </c>
      <c r="J103" s="42">
        <v>8516781</v>
      </c>
      <c r="K103" s="44">
        <v>0</v>
      </c>
      <c r="L103" s="44"/>
    </row>
    <row r="104" spans="1:12" s="29" customFormat="1" ht="32.5" thickTop="1" thickBot="1" x14ac:dyDescent="0.4">
      <c r="A104" s="35">
        <v>14</v>
      </c>
      <c r="B104" s="40" t="s">
        <v>38</v>
      </c>
      <c r="C104" s="35" t="s">
        <v>39</v>
      </c>
      <c r="D104" s="27" t="s">
        <v>19</v>
      </c>
      <c r="E104" s="28">
        <f>SUM(E100:E103)</f>
        <v>16</v>
      </c>
      <c r="F104" s="28">
        <f t="shared" ref="F104:H104" si="18">SUM(F100:F103)</f>
        <v>4</v>
      </c>
      <c r="G104" s="28">
        <f t="shared" si="18"/>
        <v>3</v>
      </c>
      <c r="H104" s="28">
        <f t="shared" si="18"/>
        <v>0</v>
      </c>
      <c r="I104" s="28">
        <f>SUM(I100:I103)</f>
        <v>151072542</v>
      </c>
      <c r="J104" s="28">
        <f t="shared" ref="J104:L104" si="19">SUM(J100:J103)</f>
        <v>99453720</v>
      </c>
      <c r="K104" s="28">
        <f t="shared" si="19"/>
        <v>127652740</v>
      </c>
      <c r="L104" s="28">
        <f t="shared" si="19"/>
        <v>0</v>
      </c>
    </row>
    <row r="105" spans="1:12" ht="32" thickTop="1" x14ac:dyDescent="0.35">
      <c r="A105" s="35">
        <v>14</v>
      </c>
      <c r="B105" s="40" t="s">
        <v>38</v>
      </c>
      <c r="C105" s="35" t="s">
        <v>39</v>
      </c>
      <c r="D105" s="45" t="s">
        <v>20</v>
      </c>
      <c r="E105" s="46">
        <v>0</v>
      </c>
      <c r="F105" s="46">
        <v>0</v>
      </c>
      <c r="G105" s="46">
        <v>0</v>
      </c>
      <c r="H105" s="46">
        <v>0</v>
      </c>
      <c r="I105" s="46">
        <v>0</v>
      </c>
      <c r="J105" s="46">
        <v>0</v>
      </c>
      <c r="K105" s="47">
        <v>0</v>
      </c>
      <c r="L105" s="47">
        <v>0</v>
      </c>
    </row>
    <row r="106" spans="1:12" ht="31.5" x14ac:dyDescent="0.35">
      <c r="A106" s="35">
        <v>14</v>
      </c>
      <c r="B106" s="48" t="s">
        <v>38</v>
      </c>
      <c r="C106" s="35" t="s">
        <v>39</v>
      </c>
      <c r="D106" s="49" t="s">
        <v>21</v>
      </c>
      <c r="E106" s="37">
        <v>0</v>
      </c>
      <c r="F106" s="37">
        <v>0</v>
      </c>
      <c r="G106" s="37">
        <v>0</v>
      </c>
      <c r="H106" s="37">
        <v>0</v>
      </c>
      <c r="I106" s="37">
        <v>0</v>
      </c>
      <c r="J106" s="37">
        <v>0</v>
      </c>
      <c r="K106" s="39">
        <v>0</v>
      </c>
      <c r="L106" s="39">
        <v>0</v>
      </c>
    </row>
    <row r="107" spans="1:12" x14ac:dyDescent="0.35">
      <c r="A107" s="18">
        <v>15</v>
      </c>
      <c r="B107" s="18" t="s">
        <v>24</v>
      </c>
      <c r="C107" s="18" t="s">
        <v>40</v>
      </c>
      <c r="D107" s="23" t="s">
        <v>15</v>
      </c>
      <c r="E107" s="20">
        <v>2</v>
      </c>
      <c r="F107" s="20">
        <v>0</v>
      </c>
      <c r="G107" s="20">
        <v>1</v>
      </c>
      <c r="H107" s="20">
        <v>0</v>
      </c>
      <c r="I107" s="20">
        <v>9811610</v>
      </c>
      <c r="J107" s="20">
        <v>0</v>
      </c>
      <c r="K107" s="21">
        <v>45516100</v>
      </c>
      <c r="L107" s="21">
        <v>0</v>
      </c>
    </row>
    <row r="108" spans="1:12" x14ac:dyDescent="0.35">
      <c r="A108" s="18">
        <v>15</v>
      </c>
      <c r="B108" s="22" t="s">
        <v>24</v>
      </c>
      <c r="C108" s="18" t="s">
        <v>40</v>
      </c>
      <c r="D108" s="23" t="s">
        <v>16</v>
      </c>
      <c r="E108" s="20">
        <v>4</v>
      </c>
      <c r="F108" s="20">
        <v>3</v>
      </c>
      <c r="G108" s="20">
        <v>0</v>
      </c>
      <c r="H108" s="20">
        <v>0</v>
      </c>
      <c r="I108" s="20">
        <v>11772126</v>
      </c>
      <c r="J108" s="20">
        <v>22168041</v>
      </c>
      <c r="K108" s="21">
        <v>0</v>
      </c>
      <c r="L108" s="21">
        <v>0</v>
      </c>
    </row>
    <row r="109" spans="1:12" x14ac:dyDescent="0.35">
      <c r="A109" s="18">
        <v>15</v>
      </c>
      <c r="B109" s="22" t="s">
        <v>24</v>
      </c>
      <c r="C109" s="18" t="s">
        <v>40</v>
      </c>
      <c r="D109" s="23" t="s">
        <v>17</v>
      </c>
      <c r="E109" s="20">
        <v>7</v>
      </c>
      <c r="F109" s="20">
        <v>1</v>
      </c>
      <c r="G109" s="20">
        <v>0</v>
      </c>
      <c r="H109" s="20">
        <v>0</v>
      </c>
      <c r="I109" s="20">
        <v>10890135</v>
      </c>
      <c r="J109" s="20">
        <v>810988</v>
      </c>
      <c r="K109" s="21">
        <v>0</v>
      </c>
      <c r="L109" s="21">
        <v>0</v>
      </c>
    </row>
    <row r="110" spans="1:12" ht="11" thickBot="1" x14ac:dyDescent="0.4">
      <c r="A110" s="18">
        <v>15</v>
      </c>
      <c r="B110" s="22" t="s">
        <v>24</v>
      </c>
      <c r="C110" s="18" t="s">
        <v>40</v>
      </c>
      <c r="D110" s="24" t="s">
        <v>18</v>
      </c>
      <c r="E110" s="25">
        <v>38</v>
      </c>
      <c r="F110" s="25">
        <v>4</v>
      </c>
      <c r="G110" s="25">
        <v>0</v>
      </c>
      <c r="H110" s="25">
        <v>0</v>
      </c>
      <c r="I110" s="25">
        <v>64282604</v>
      </c>
      <c r="J110" s="25">
        <v>4570436</v>
      </c>
      <c r="K110" s="26">
        <v>0</v>
      </c>
      <c r="L110" s="26">
        <v>0</v>
      </c>
    </row>
    <row r="111" spans="1:12" s="29" customFormat="1" ht="11.5" thickTop="1" thickBot="1" x14ac:dyDescent="0.4">
      <c r="A111" s="18">
        <v>15</v>
      </c>
      <c r="B111" s="22" t="s">
        <v>24</v>
      </c>
      <c r="C111" s="18" t="s">
        <v>40</v>
      </c>
      <c r="D111" s="27" t="s">
        <v>19</v>
      </c>
      <c r="E111" s="28">
        <f>SUM(E107:E110)</f>
        <v>51</v>
      </c>
      <c r="F111" s="28">
        <f t="shared" ref="F111:H111" si="20">SUM(F107:F110)</f>
        <v>8</v>
      </c>
      <c r="G111" s="28">
        <f t="shared" si="20"/>
        <v>1</v>
      </c>
      <c r="H111" s="28">
        <f t="shared" si="20"/>
        <v>0</v>
      </c>
      <c r="I111" s="28">
        <f>SUM(I107:I110)</f>
        <v>96756475</v>
      </c>
      <c r="J111" s="28">
        <f t="shared" ref="J111:L111" si="21">SUM(J107:J110)</f>
        <v>27549465</v>
      </c>
      <c r="K111" s="28">
        <f t="shared" si="21"/>
        <v>45516100</v>
      </c>
      <c r="L111" s="28">
        <f t="shared" si="21"/>
        <v>0</v>
      </c>
    </row>
    <row r="112" spans="1:12" ht="11" thickTop="1" x14ac:dyDescent="0.35">
      <c r="A112" s="18">
        <v>15</v>
      </c>
      <c r="B112" s="22" t="s">
        <v>24</v>
      </c>
      <c r="C112" s="18" t="s">
        <v>40</v>
      </c>
      <c r="D112" s="30" t="s">
        <v>20</v>
      </c>
      <c r="E112" s="31">
        <v>38</v>
      </c>
      <c r="F112" s="31">
        <v>6</v>
      </c>
      <c r="G112" s="31">
        <v>1</v>
      </c>
      <c r="H112" s="31">
        <v>45</v>
      </c>
      <c r="I112" s="31"/>
      <c r="J112" s="31"/>
      <c r="K112" s="32"/>
      <c r="L112" s="32"/>
    </row>
    <row r="113" spans="1:12" x14ac:dyDescent="0.35">
      <c r="A113" s="18">
        <v>15</v>
      </c>
      <c r="B113" s="33" t="s">
        <v>24</v>
      </c>
      <c r="C113" s="18" t="s">
        <v>40</v>
      </c>
      <c r="D113" s="34" t="s">
        <v>21</v>
      </c>
      <c r="E113" s="20">
        <v>13</v>
      </c>
      <c r="F113" s="20">
        <v>2</v>
      </c>
      <c r="G113" s="20">
        <v>0</v>
      </c>
      <c r="H113" s="20">
        <v>15</v>
      </c>
      <c r="I113" s="20"/>
      <c r="J113" s="20"/>
      <c r="K113" s="21"/>
      <c r="L113" s="21"/>
    </row>
    <row r="114" spans="1:12" ht="31.5" x14ac:dyDescent="0.35">
      <c r="A114" s="35">
        <v>16</v>
      </c>
      <c r="B114" s="35" t="s">
        <v>24</v>
      </c>
      <c r="C114" s="35" t="s">
        <v>41</v>
      </c>
      <c r="D114" s="36" t="s">
        <v>15</v>
      </c>
      <c r="E114" s="37">
        <v>11</v>
      </c>
      <c r="F114" s="37"/>
      <c r="G114" s="38"/>
      <c r="H114" s="37"/>
      <c r="I114" s="37">
        <v>587211006</v>
      </c>
      <c r="J114" s="37"/>
      <c r="K114" s="39"/>
      <c r="L114" s="39"/>
    </row>
    <row r="115" spans="1:12" ht="31.5" x14ac:dyDescent="0.35">
      <c r="A115" s="35">
        <v>16</v>
      </c>
      <c r="B115" s="40" t="s">
        <v>24</v>
      </c>
      <c r="C115" s="35" t="s">
        <v>41</v>
      </c>
      <c r="D115" s="36" t="s">
        <v>16</v>
      </c>
      <c r="E115" s="37">
        <v>4</v>
      </c>
      <c r="F115" s="38">
        <v>1</v>
      </c>
      <c r="G115" s="38"/>
      <c r="H115" s="37"/>
      <c r="I115" s="37">
        <v>108275490</v>
      </c>
      <c r="J115" s="37">
        <v>31620701</v>
      </c>
      <c r="K115" s="39"/>
      <c r="L115" s="39"/>
    </row>
    <row r="116" spans="1:12" ht="31.5" x14ac:dyDescent="0.35">
      <c r="A116" s="35">
        <v>16</v>
      </c>
      <c r="B116" s="40" t="s">
        <v>24</v>
      </c>
      <c r="C116" s="35" t="s">
        <v>41</v>
      </c>
      <c r="D116" s="36" t="s">
        <v>17</v>
      </c>
      <c r="E116" s="37">
        <v>6</v>
      </c>
      <c r="F116" s="38"/>
      <c r="G116" s="37"/>
      <c r="H116" s="37"/>
      <c r="I116" s="37">
        <v>220645844</v>
      </c>
      <c r="J116" s="37"/>
      <c r="K116" s="39"/>
      <c r="L116" s="39"/>
    </row>
    <row r="117" spans="1:12" ht="32" thickBot="1" x14ac:dyDescent="0.4">
      <c r="A117" s="35">
        <v>16</v>
      </c>
      <c r="B117" s="40" t="s">
        <v>24</v>
      </c>
      <c r="C117" s="35" t="s">
        <v>41</v>
      </c>
      <c r="D117" s="41" t="s">
        <v>18</v>
      </c>
      <c r="E117" s="42">
        <v>16</v>
      </c>
      <c r="F117" s="43">
        <v>1</v>
      </c>
      <c r="G117" s="42"/>
      <c r="H117" s="42"/>
      <c r="I117" s="42">
        <v>342894262</v>
      </c>
      <c r="J117" s="42">
        <v>27580133</v>
      </c>
      <c r="K117" s="44"/>
      <c r="L117" s="44"/>
    </row>
    <row r="118" spans="1:12" s="29" customFormat="1" ht="32.5" thickTop="1" thickBot="1" x14ac:dyDescent="0.4">
      <c r="A118" s="35">
        <v>16</v>
      </c>
      <c r="B118" s="40" t="s">
        <v>24</v>
      </c>
      <c r="C118" s="35" t="s">
        <v>41</v>
      </c>
      <c r="D118" s="27" t="s">
        <v>19</v>
      </c>
      <c r="E118" s="28">
        <f>SUM(E114:E117)</f>
        <v>37</v>
      </c>
      <c r="F118" s="28">
        <f t="shared" ref="F118:H118" si="22">SUM(F114:F117)</f>
        <v>2</v>
      </c>
      <c r="G118" s="28">
        <f t="shared" si="22"/>
        <v>0</v>
      </c>
      <c r="H118" s="28">
        <f t="shared" si="22"/>
        <v>0</v>
      </c>
      <c r="I118" s="28">
        <f>SUM(I114:I117)</f>
        <v>1259026602</v>
      </c>
      <c r="J118" s="28">
        <f t="shared" ref="J118:L118" si="23">SUM(J114:J117)</f>
        <v>59200834</v>
      </c>
      <c r="K118" s="28">
        <f t="shared" si="23"/>
        <v>0</v>
      </c>
      <c r="L118" s="28">
        <f t="shared" si="23"/>
        <v>0</v>
      </c>
    </row>
    <row r="119" spans="1:12" ht="32" thickTop="1" x14ac:dyDescent="0.35">
      <c r="A119" s="35">
        <v>16</v>
      </c>
      <c r="B119" s="40" t="s">
        <v>24</v>
      </c>
      <c r="C119" s="35" t="s">
        <v>41</v>
      </c>
      <c r="D119" s="45" t="s">
        <v>20</v>
      </c>
      <c r="E119" s="46">
        <v>37</v>
      </c>
      <c r="F119" s="46">
        <v>2</v>
      </c>
      <c r="G119" s="46"/>
      <c r="H119" s="46"/>
      <c r="I119" s="46">
        <v>1259026602</v>
      </c>
      <c r="J119" s="46">
        <v>59200834</v>
      </c>
      <c r="K119" s="47"/>
      <c r="L119" s="47"/>
    </row>
    <row r="120" spans="1:12" ht="31.5" x14ac:dyDescent="0.35">
      <c r="A120" s="35">
        <v>16</v>
      </c>
      <c r="B120" s="48" t="s">
        <v>24</v>
      </c>
      <c r="C120" s="35" t="s">
        <v>41</v>
      </c>
      <c r="D120" s="49" t="s">
        <v>21</v>
      </c>
      <c r="E120" s="37"/>
      <c r="F120" s="37"/>
      <c r="G120" s="37"/>
      <c r="H120" s="37"/>
      <c r="I120" s="37"/>
      <c r="J120" s="37"/>
      <c r="K120" s="39"/>
      <c r="L120" s="39"/>
    </row>
    <row r="121" spans="1:12" x14ac:dyDescent="0.35">
      <c r="A121" s="18">
        <v>17</v>
      </c>
      <c r="B121" s="18" t="s">
        <v>24</v>
      </c>
      <c r="C121" s="18" t="s">
        <v>42</v>
      </c>
      <c r="D121" s="23" t="s">
        <v>15</v>
      </c>
      <c r="E121" s="20">
        <v>5</v>
      </c>
      <c r="F121" s="20">
        <v>0</v>
      </c>
      <c r="G121" s="20">
        <v>0</v>
      </c>
      <c r="H121" s="20">
        <v>0</v>
      </c>
      <c r="I121" s="20">
        <v>228428092</v>
      </c>
      <c r="J121" s="20"/>
      <c r="K121" s="21"/>
      <c r="L121" s="21"/>
    </row>
    <row r="122" spans="1:12" x14ac:dyDescent="0.35">
      <c r="A122" s="18">
        <v>17</v>
      </c>
      <c r="B122" s="22" t="s">
        <v>24</v>
      </c>
      <c r="C122" s="18" t="s">
        <v>42</v>
      </c>
      <c r="D122" s="23" t="s">
        <v>16</v>
      </c>
      <c r="E122" s="20">
        <v>4</v>
      </c>
      <c r="F122" s="20">
        <v>1</v>
      </c>
      <c r="G122" s="20">
        <v>0</v>
      </c>
      <c r="H122" s="20">
        <v>0</v>
      </c>
      <c r="I122" s="20">
        <v>49925310</v>
      </c>
      <c r="J122" s="20"/>
      <c r="K122" s="21"/>
      <c r="L122" s="21"/>
    </row>
    <row r="123" spans="1:12" x14ac:dyDescent="0.35">
      <c r="A123" s="18">
        <v>17</v>
      </c>
      <c r="B123" s="22" t="s">
        <v>24</v>
      </c>
      <c r="C123" s="18" t="s">
        <v>42</v>
      </c>
      <c r="D123" s="23" t="s">
        <v>17</v>
      </c>
      <c r="E123" s="20">
        <v>20</v>
      </c>
      <c r="F123" s="20">
        <v>1</v>
      </c>
      <c r="G123" s="20">
        <v>0</v>
      </c>
      <c r="H123" s="20">
        <v>0</v>
      </c>
      <c r="I123" s="20">
        <v>129247222</v>
      </c>
      <c r="J123" s="20"/>
      <c r="K123" s="21"/>
      <c r="L123" s="21"/>
    </row>
    <row r="124" spans="1:12" ht="11" thickBot="1" x14ac:dyDescent="0.4">
      <c r="A124" s="18">
        <v>17</v>
      </c>
      <c r="B124" s="22" t="s">
        <v>24</v>
      </c>
      <c r="C124" s="18" t="s">
        <v>42</v>
      </c>
      <c r="D124" s="24" t="s">
        <v>18</v>
      </c>
      <c r="E124" s="25">
        <v>90</v>
      </c>
      <c r="F124" s="25">
        <v>0</v>
      </c>
      <c r="G124" s="25">
        <v>0</v>
      </c>
      <c r="H124" s="25">
        <v>0</v>
      </c>
      <c r="I124" s="25">
        <v>176234418</v>
      </c>
      <c r="J124" s="25"/>
      <c r="K124" s="26"/>
      <c r="L124" s="26"/>
    </row>
    <row r="125" spans="1:12" s="29" customFormat="1" ht="11.5" thickTop="1" thickBot="1" x14ac:dyDescent="0.4">
      <c r="A125" s="18">
        <v>17</v>
      </c>
      <c r="B125" s="22" t="s">
        <v>24</v>
      </c>
      <c r="C125" s="18" t="s">
        <v>42</v>
      </c>
      <c r="D125" s="27" t="s">
        <v>19</v>
      </c>
      <c r="E125" s="28">
        <f>SUM(E121:E124)</f>
        <v>119</v>
      </c>
      <c r="F125" s="28">
        <f t="shared" ref="F125:H125" si="24">SUM(F121:F124)</f>
        <v>2</v>
      </c>
      <c r="G125" s="28">
        <f t="shared" si="24"/>
        <v>0</v>
      </c>
      <c r="H125" s="28">
        <f t="shared" si="24"/>
        <v>0</v>
      </c>
      <c r="I125" s="28">
        <f>SUM(I121:I124)</f>
        <v>583835042</v>
      </c>
      <c r="J125" s="28">
        <f t="shared" ref="J125:L125" si="25">SUM(J121:J124)</f>
        <v>0</v>
      </c>
      <c r="K125" s="28">
        <f t="shared" si="25"/>
        <v>0</v>
      </c>
      <c r="L125" s="28">
        <f t="shared" si="25"/>
        <v>0</v>
      </c>
    </row>
    <row r="126" spans="1:12" ht="11" thickTop="1" x14ac:dyDescent="0.35">
      <c r="A126" s="18">
        <v>17</v>
      </c>
      <c r="B126" s="22" t="s">
        <v>24</v>
      </c>
      <c r="C126" s="18" t="s">
        <v>42</v>
      </c>
      <c r="D126" s="30" t="s">
        <v>20</v>
      </c>
      <c r="E126" s="31"/>
      <c r="F126" s="31"/>
      <c r="G126" s="31"/>
      <c r="H126" s="31"/>
      <c r="I126" s="31"/>
      <c r="J126" s="31"/>
      <c r="K126" s="32"/>
      <c r="L126" s="32"/>
    </row>
    <row r="127" spans="1:12" x14ac:dyDescent="0.35">
      <c r="A127" s="18">
        <v>17</v>
      </c>
      <c r="B127" s="33" t="s">
        <v>24</v>
      </c>
      <c r="C127" s="18" t="s">
        <v>42</v>
      </c>
      <c r="D127" s="34" t="s">
        <v>21</v>
      </c>
      <c r="E127" s="20"/>
      <c r="F127" s="20"/>
      <c r="G127" s="20"/>
      <c r="H127" s="20"/>
      <c r="I127" s="20"/>
      <c r="J127" s="20"/>
      <c r="K127" s="21"/>
      <c r="L127" s="21"/>
    </row>
    <row r="128" spans="1:12" x14ac:dyDescent="0.35">
      <c r="A128" s="35">
        <v>18</v>
      </c>
      <c r="B128" s="35" t="s">
        <v>26</v>
      </c>
      <c r="C128" s="35" t="s">
        <v>43</v>
      </c>
      <c r="D128" s="36" t="s">
        <v>15</v>
      </c>
      <c r="E128" s="37">
        <v>0</v>
      </c>
      <c r="F128" s="37"/>
      <c r="G128" s="38"/>
      <c r="H128" s="37"/>
      <c r="I128" s="37"/>
      <c r="J128" s="37"/>
      <c r="K128" s="39"/>
      <c r="L128" s="39"/>
    </row>
    <row r="129" spans="1:12" x14ac:dyDescent="0.35">
      <c r="A129" s="35">
        <v>18</v>
      </c>
      <c r="B129" s="40" t="s">
        <v>26</v>
      </c>
      <c r="C129" s="35" t="s">
        <v>43</v>
      </c>
      <c r="D129" s="36" t="s">
        <v>16</v>
      </c>
      <c r="E129" s="37">
        <v>3</v>
      </c>
      <c r="F129" s="38">
        <v>2</v>
      </c>
      <c r="G129" s="38"/>
      <c r="H129" s="37"/>
      <c r="I129" s="37">
        <v>18769557</v>
      </c>
      <c r="J129" s="37">
        <v>13965711</v>
      </c>
      <c r="K129" s="39"/>
      <c r="L129" s="39"/>
    </row>
    <row r="130" spans="1:12" x14ac:dyDescent="0.35">
      <c r="A130" s="35">
        <v>18</v>
      </c>
      <c r="B130" s="40" t="s">
        <v>26</v>
      </c>
      <c r="C130" s="35" t="s">
        <v>43</v>
      </c>
      <c r="D130" s="36" t="s">
        <v>17</v>
      </c>
      <c r="E130" s="37">
        <v>21</v>
      </c>
      <c r="F130" s="38">
        <v>3</v>
      </c>
      <c r="G130" s="37"/>
      <c r="H130" s="37"/>
      <c r="I130" s="37">
        <v>131793664</v>
      </c>
      <c r="J130" s="37">
        <v>17969842</v>
      </c>
      <c r="K130" s="39"/>
      <c r="L130" s="39"/>
    </row>
    <row r="131" spans="1:12" ht="11" thickBot="1" x14ac:dyDescent="0.4">
      <c r="A131" s="35">
        <v>18</v>
      </c>
      <c r="B131" s="40" t="s">
        <v>26</v>
      </c>
      <c r="C131" s="35" t="s">
        <v>43</v>
      </c>
      <c r="D131" s="41" t="s">
        <v>18</v>
      </c>
      <c r="E131" s="42">
        <v>17</v>
      </c>
      <c r="F131" s="43"/>
      <c r="G131" s="42"/>
      <c r="H131" s="42"/>
      <c r="I131" s="42">
        <v>84715009</v>
      </c>
      <c r="J131" s="42"/>
      <c r="K131" s="44"/>
      <c r="L131" s="44"/>
    </row>
    <row r="132" spans="1:12" s="29" customFormat="1" ht="11.5" thickTop="1" thickBot="1" x14ac:dyDescent="0.4">
      <c r="A132" s="35">
        <v>18</v>
      </c>
      <c r="B132" s="40" t="s">
        <v>26</v>
      </c>
      <c r="C132" s="35" t="s">
        <v>43</v>
      </c>
      <c r="D132" s="27" t="s">
        <v>19</v>
      </c>
      <c r="E132" s="28">
        <f>SUM(E128:E131)</f>
        <v>41</v>
      </c>
      <c r="F132" s="28">
        <f t="shared" ref="F132:H132" si="26">SUM(F128:F131)</f>
        <v>5</v>
      </c>
      <c r="G132" s="28">
        <f t="shared" si="26"/>
        <v>0</v>
      </c>
      <c r="H132" s="28">
        <f t="shared" si="26"/>
        <v>0</v>
      </c>
      <c r="I132" s="28">
        <f>SUM(I128:I131)</f>
        <v>235278230</v>
      </c>
      <c r="J132" s="28">
        <f t="shared" ref="J132:L132" si="27">SUM(J128:J131)</f>
        <v>31935553</v>
      </c>
      <c r="K132" s="28">
        <f t="shared" si="27"/>
        <v>0</v>
      </c>
      <c r="L132" s="28">
        <f t="shared" si="27"/>
        <v>0</v>
      </c>
    </row>
    <row r="133" spans="1:12" ht="11" thickTop="1" x14ac:dyDescent="0.35">
      <c r="A133" s="35">
        <v>18</v>
      </c>
      <c r="B133" s="40" t="s">
        <v>26</v>
      </c>
      <c r="C133" s="35" t="s">
        <v>43</v>
      </c>
      <c r="D133" s="45" t="s">
        <v>20</v>
      </c>
      <c r="E133" s="46">
        <v>38</v>
      </c>
      <c r="F133" s="46">
        <v>5</v>
      </c>
      <c r="G133" s="46"/>
      <c r="H133" s="46"/>
      <c r="I133" s="46">
        <v>222844993</v>
      </c>
      <c r="J133" s="46">
        <v>31935553</v>
      </c>
      <c r="K133" s="47"/>
      <c r="L133" s="47"/>
    </row>
    <row r="134" spans="1:12" x14ac:dyDescent="0.35">
      <c r="A134" s="35">
        <v>18</v>
      </c>
      <c r="B134" s="48" t="s">
        <v>26</v>
      </c>
      <c r="C134" s="35" t="s">
        <v>43</v>
      </c>
      <c r="D134" s="49" t="s">
        <v>21</v>
      </c>
      <c r="E134" s="37">
        <v>3</v>
      </c>
      <c r="F134" s="37"/>
      <c r="G134" s="37"/>
      <c r="H134" s="37"/>
      <c r="I134" s="37">
        <v>12433237</v>
      </c>
      <c r="J134" s="37"/>
      <c r="K134" s="39"/>
      <c r="L134" s="39"/>
    </row>
    <row r="135" spans="1:12" x14ac:dyDescent="0.35">
      <c r="A135" s="18">
        <v>19</v>
      </c>
      <c r="B135" s="18" t="s">
        <v>13</v>
      </c>
      <c r="C135" s="18" t="s">
        <v>44</v>
      </c>
      <c r="D135" s="23" t="s">
        <v>15</v>
      </c>
      <c r="E135" s="20"/>
      <c r="F135" s="20"/>
      <c r="G135" s="20"/>
      <c r="H135" s="20"/>
      <c r="I135" s="20"/>
      <c r="J135" s="20"/>
      <c r="K135" s="21"/>
      <c r="L135" s="21"/>
    </row>
    <row r="136" spans="1:12" x14ac:dyDescent="0.35">
      <c r="A136" s="18">
        <v>19</v>
      </c>
      <c r="B136" s="22" t="s">
        <v>13</v>
      </c>
      <c r="C136" s="18" t="s">
        <v>44</v>
      </c>
      <c r="D136" s="23" t="s">
        <v>16</v>
      </c>
      <c r="E136" s="20"/>
      <c r="F136" s="20"/>
      <c r="G136" s="20"/>
      <c r="H136" s="20"/>
      <c r="I136" s="20"/>
      <c r="J136" s="20"/>
      <c r="K136" s="21"/>
      <c r="L136" s="21"/>
    </row>
    <row r="137" spans="1:12" x14ac:dyDescent="0.35">
      <c r="A137" s="18">
        <v>19</v>
      </c>
      <c r="B137" s="22" t="s">
        <v>13</v>
      </c>
      <c r="C137" s="18" t="s">
        <v>44</v>
      </c>
      <c r="D137" s="23" t="s">
        <v>17</v>
      </c>
      <c r="E137" s="20"/>
      <c r="F137" s="20"/>
      <c r="G137" s="20"/>
      <c r="H137" s="20"/>
      <c r="I137" s="20"/>
      <c r="J137" s="20"/>
      <c r="K137" s="21"/>
      <c r="L137" s="21"/>
    </row>
    <row r="138" spans="1:12" ht="11" thickBot="1" x14ac:dyDescent="0.4">
      <c r="A138" s="18">
        <v>19</v>
      </c>
      <c r="B138" s="22" t="s">
        <v>13</v>
      </c>
      <c r="C138" s="18" t="s">
        <v>44</v>
      </c>
      <c r="D138" s="24" t="s">
        <v>18</v>
      </c>
      <c r="E138" s="25"/>
      <c r="F138" s="25"/>
      <c r="G138" s="25"/>
      <c r="H138" s="25"/>
      <c r="I138" s="25"/>
      <c r="J138" s="25"/>
      <c r="K138" s="26"/>
      <c r="L138" s="26"/>
    </row>
    <row r="139" spans="1:12" s="29" customFormat="1" ht="11.5" thickTop="1" thickBot="1" x14ac:dyDescent="0.4">
      <c r="A139" s="18">
        <v>19</v>
      </c>
      <c r="B139" s="22" t="s">
        <v>13</v>
      </c>
      <c r="C139" s="18" t="s">
        <v>44</v>
      </c>
      <c r="D139" s="27" t="s">
        <v>19</v>
      </c>
      <c r="E139" s="28">
        <f>SUM(E135:E138)</f>
        <v>0</v>
      </c>
      <c r="F139" s="28">
        <f t="shared" ref="F139:H139" si="28">SUM(F135:F138)</f>
        <v>0</v>
      </c>
      <c r="G139" s="28">
        <f t="shared" si="28"/>
        <v>0</v>
      </c>
      <c r="H139" s="28">
        <f t="shared" si="28"/>
        <v>0</v>
      </c>
      <c r="I139" s="28">
        <f>SUM(I135:I138)</f>
        <v>0</v>
      </c>
      <c r="J139" s="28">
        <f t="shared" ref="J139:L139" si="29">SUM(J135:J138)</f>
        <v>0</v>
      </c>
      <c r="K139" s="28">
        <f t="shared" si="29"/>
        <v>0</v>
      </c>
      <c r="L139" s="28">
        <f t="shared" si="29"/>
        <v>0</v>
      </c>
    </row>
    <row r="140" spans="1:12" ht="11" thickTop="1" x14ac:dyDescent="0.35">
      <c r="A140" s="18">
        <v>19</v>
      </c>
      <c r="B140" s="22" t="s">
        <v>13</v>
      </c>
      <c r="C140" s="18" t="s">
        <v>44</v>
      </c>
      <c r="D140" s="30" t="s">
        <v>20</v>
      </c>
      <c r="E140" s="31"/>
      <c r="F140" s="31"/>
      <c r="G140" s="31"/>
      <c r="H140" s="31"/>
      <c r="I140" s="31"/>
      <c r="J140" s="31"/>
      <c r="K140" s="32"/>
      <c r="L140" s="32"/>
    </row>
    <row r="141" spans="1:12" x14ac:dyDescent="0.35">
      <c r="A141" s="18">
        <v>19</v>
      </c>
      <c r="B141" s="33" t="s">
        <v>13</v>
      </c>
      <c r="C141" s="18" t="s">
        <v>44</v>
      </c>
      <c r="D141" s="34" t="s">
        <v>21</v>
      </c>
      <c r="E141" s="20"/>
      <c r="F141" s="20"/>
      <c r="G141" s="20"/>
      <c r="H141" s="20"/>
      <c r="I141" s="20"/>
      <c r="J141" s="20"/>
      <c r="K141" s="21"/>
      <c r="L141" s="21"/>
    </row>
    <row r="142" spans="1:12" x14ac:dyDescent="0.35">
      <c r="A142" s="35">
        <v>20</v>
      </c>
      <c r="B142" s="35" t="s">
        <v>26</v>
      </c>
      <c r="C142" s="35" t="s">
        <v>45</v>
      </c>
      <c r="D142" s="36" t="s">
        <v>15</v>
      </c>
      <c r="E142" s="37">
        <v>1</v>
      </c>
      <c r="F142" s="37">
        <v>1</v>
      </c>
      <c r="G142" s="38">
        <v>0</v>
      </c>
      <c r="H142" s="37">
        <v>0</v>
      </c>
      <c r="I142" s="37">
        <v>54980576</v>
      </c>
      <c r="J142" s="37">
        <v>0</v>
      </c>
      <c r="K142" s="39">
        <v>0</v>
      </c>
      <c r="L142" s="39">
        <v>0</v>
      </c>
    </row>
    <row r="143" spans="1:12" x14ac:dyDescent="0.35">
      <c r="A143" s="35">
        <v>20</v>
      </c>
      <c r="B143" s="40" t="s">
        <v>26</v>
      </c>
      <c r="C143" s="35" t="s">
        <v>45</v>
      </c>
      <c r="D143" s="36" t="s">
        <v>16</v>
      </c>
      <c r="E143" s="37">
        <v>4</v>
      </c>
      <c r="F143" s="38">
        <v>0</v>
      </c>
      <c r="G143" s="38">
        <v>5</v>
      </c>
      <c r="H143" s="37">
        <v>0</v>
      </c>
      <c r="I143" s="37">
        <v>90981219</v>
      </c>
      <c r="J143" s="37">
        <v>0</v>
      </c>
      <c r="K143" s="39">
        <v>99550706</v>
      </c>
      <c r="L143" s="39">
        <v>0</v>
      </c>
    </row>
    <row r="144" spans="1:12" x14ac:dyDescent="0.35">
      <c r="A144" s="35">
        <v>20</v>
      </c>
      <c r="B144" s="40" t="s">
        <v>26</v>
      </c>
      <c r="C144" s="35" t="s">
        <v>45</v>
      </c>
      <c r="D144" s="36" t="s">
        <v>17</v>
      </c>
      <c r="E144" s="37">
        <v>86</v>
      </c>
      <c r="F144" s="38">
        <v>11</v>
      </c>
      <c r="G144" s="37">
        <v>3</v>
      </c>
      <c r="H144" s="37">
        <v>0</v>
      </c>
      <c r="I144" s="37">
        <v>604938646</v>
      </c>
      <c r="J144" s="37">
        <v>80948363</v>
      </c>
      <c r="K144" s="39">
        <v>29475364</v>
      </c>
      <c r="L144" s="39">
        <v>0</v>
      </c>
    </row>
    <row r="145" spans="1:12" ht="11" thickBot="1" x14ac:dyDescent="0.4">
      <c r="A145" s="35">
        <v>20</v>
      </c>
      <c r="B145" s="40" t="s">
        <v>26</v>
      </c>
      <c r="C145" s="35" t="s">
        <v>45</v>
      </c>
      <c r="D145" s="41" t="s">
        <v>18</v>
      </c>
      <c r="E145" s="42">
        <v>629</v>
      </c>
      <c r="F145" s="43">
        <v>6</v>
      </c>
      <c r="G145" s="42">
        <v>3</v>
      </c>
      <c r="H145" s="42">
        <v>0</v>
      </c>
      <c r="I145" s="42">
        <v>702936349</v>
      </c>
      <c r="J145" s="42">
        <v>15119689</v>
      </c>
      <c r="K145" s="44">
        <v>8272536</v>
      </c>
      <c r="L145" s="44">
        <v>0</v>
      </c>
    </row>
    <row r="146" spans="1:12" s="29" customFormat="1" ht="11.5" thickTop="1" thickBot="1" x14ac:dyDescent="0.4">
      <c r="A146" s="35">
        <v>20</v>
      </c>
      <c r="B146" s="40" t="s">
        <v>26</v>
      </c>
      <c r="C146" s="35" t="s">
        <v>45</v>
      </c>
      <c r="D146" s="27" t="s">
        <v>19</v>
      </c>
      <c r="E146" s="28">
        <f>SUM(E142:E145)</f>
        <v>720</v>
      </c>
      <c r="F146" s="28">
        <f t="shared" ref="F146:H146" si="30">SUM(F142:F145)</f>
        <v>18</v>
      </c>
      <c r="G146" s="28">
        <f t="shared" si="30"/>
        <v>11</v>
      </c>
      <c r="H146" s="28">
        <f t="shared" si="30"/>
        <v>0</v>
      </c>
      <c r="I146" s="28">
        <f>SUM(I142:I145)</f>
        <v>1453836790</v>
      </c>
      <c r="J146" s="28">
        <f t="shared" ref="J146:L146" si="31">SUM(J142:J145)</f>
        <v>96068052</v>
      </c>
      <c r="K146" s="28">
        <f t="shared" si="31"/>
        <v>137298606</v>
      </c>
      <c r="L146" s="28">
        <f t="shared" si="31"/>
        <v>0</v>
      </c>
    </row>
    <row r="147" spans="1:12" ht="11" thickTop="1" x14ac:dyDescent="0.35">
      <c r="A147" s="35">
        <v>20</v>
      </c>
      <c r="B147" s="40" t="s">
        <v>26</v>
      </c>
      <c r="C147" s="35" t="s">
        <v>45</v>
      </c>
      <c r="D147" s="45" t="s">
        <v>20</v>
      </c>
      <c r="E147" s="46">
        <v>574</v>
      </c>
      <c r="F147" s="46">
        <v>17</v>
      </c>
      <c r="G147" s="46">
        <v>13</v>
      </c>
      <c r="H147" s="46">
        <v>0</v>
      </c>
      <c r="I147" s="46">
        <v>166799292</v>
      </c>
      <c r="J147" s="46">
        <v>960068052</v>
      </c>
      <c r="K147" s="47">
        <v>137298606</v>
      </c>
      <c r="L147" s="47">
        <v>0</v>
      </c>
    </row>
    <row r="148" spans="1:12" x14ac:dyDescent="0.35">
      <c r="A148" s="35">
        <v>20</v>
      </c>
      <c r="B148" s="48" t="s">
        <v>26</v>
      </c>
      <c r="C148" s="35" t="s">
        <v>45</v>
      </c>
      <c r="D148" s="49" t="s">
        <v>21</v>
      </c>
      <c r="E148" s="37">
        <v>146</v>
      </c>
      <c r="F148" s="37">
        <v>0</v>
      </c>
      <c r="G148" s="37">
        <v>0</v>
      </c>
      <c r="H148" s="37">
        <v>0</v>
      </c>
      <c r="I148" s="37">
        <v>287637498</v>
      </c>
      <c r="J148" s="37">
        <v>0</v>
      </c>
      <c r="K148" s="39">
        <v>0</v>
      </c>
      <c r="L148" s="39">
        <v>0</v>
      </c>
    </row>
    <row r="149" spans="1:12" x14ac:dyDescent="0.35">
      <c r="A149" s="18">
        <v>21</v>
      </c>
      <c r="B149" s="18" t="s">
        <v>26</v>
      </c>
      <c r="C149" s="18" t="s">
        <v>46</v>
      </c>
      <c r="D149" s="23" t="s">
        <v>15</v>
      </c>
      <c r="E149" s="20">
        <v>3</v>
      </c>
      <c r="F149" s="20">
        <v>0</v>
      </c>
      <c r="G149" s="20">
        <v>11</v>
      </c>
      <c r="H149" s="20">
        <v>2</v>
      </c>
      <c r="I149" s="20">
        <v>40604186</v>
      </c>
      <c r="J149" s="20">
        <v>0</v>
      </c>
      <c r="K149" s="21">
        <v>266546607</v>
      </c>
      <c r="L149" s="21">
        <v>22894147</v>
      </c>
    </row>
    <row r="150" spans="1:12" x14ac:dyDescent="0.35">
      <c r="A150" s="18">
        <v>21</v>
      </c>
      <c r="B150" s="22" t="s">
        <v>26</v>
      </c>
      <c r="C150" s="18" t="s">
        <v>46</v>
      </c>
      <c r="D150" s="23" t="s">
        <v>16</v>
      </c>
      <c r="E150" s="20">
        <v>16</v>
      </c>
      <c r="F150" s="20">
        <v>4</v>
      </c>
      <c r="G150" s="20">
        <v>5</v>
      </c>
      <c r="H150" s="20">
        <v>0</v>
      </c>
      <c r="I150" s="20">
        <v>249855625</v>
      </c>
      <c r="J150" s="20">
        <v>53984569</v>
      </c>
      <c r="K150" s="21">
        <v>54603181</v>
      </c>
      <c r="L150" s="21">
        <v>0</v>
      </c>
    </row>
    <row r="151" spans="1:12" x14ac:dyDescent="0.35">
      <c r="A151" s="18">
        <v>21</v>
      </c>
      <c r="B151" s="22" t="s">
        <v>26</v>
      </c>
      <c r="C151" s="18" t="s">
        <v>46</v>
      </c>
      <c r="D151" s="23" t="s">
        <v>17</v>
      </c>
      <c r="E151" s="20">
        <v>52</v>
      </c>
      <c r="F151" s="20">
        <v>15</v>
      </c>
      <c r="G151" s="20">
        <v>2</v>
      </c>
      <c r="H151" s="20">
        <v>0</v>
      </c>
      <c r="I151" s="20">
        <v>300110597</v>
      </c>
      <c r="J151" s="20">
        <v>100565441</v>
      </c>
      <c r="K151" s="21">
        <v>18814604</v>
      </c>
      <c r="L151" s="21">
        <v>0</v>
      </c>
    </row>
    <row r="152" spans="1:12" ht="11" thickBot="1" x14ac:dyDescent="0.4">
      <c r="A152" s="18">
        <v>21</v>
      </c>
      <c r="B152" s="22" t="s">
        <v>26</v>
      </c>
      <c r="C152" s="18" t="s">
        <v>46</v>
      </c>
      <c r="D152" s="24" t="s">
        <v>18</v>
      </c>
      <c r="E152" s="25">
        <v>324</v>
      </c>
      <c r="F152" s="25">
        <v>33</v>
      </c>
      <c r="G152" s="25">
        <v>0</v>
      </c>
      <c r="H152" s="25">
        <v>0</v>
      </c>
      <c r="I152" s="25">
        <v>1042284127</v>
      </c>
      <c r="J152" s="25">
        <v>88924841</v>
      </c>
      <c r="K152" s="26">
        <v>0</v>
      </c>
      <c r="L152" s="26">
        <v>0</v>
      </c>
    </row>
    <row r="153" spans="1:12" s="29" customFormat="1" ht="11.5" thickTop="1" thickBot="1" x14ac:dyDescent="0.4">
      <c r="A153" s="18">
        <v>21</v>
      </c>
      <c r="B153" s="22" t="s">
        <v>26</v>
      </c>
      <c r="C153" s="18" t="s">
        <v>46</v>
      </c>
      <c r="D153" s="27" t="s">
        <v>19</v>
      </c>
      <c r="E153" s="28">
        <f>SUM(E149:E152)</f>
        <v>395</v>
      </c>
      <c r="F153" s="28">
        <f t="shared" ref="F153:H153" si="32">SUM(F149:F152)</f>
        <v>52</v>
      </c>
      <c r="G153" s="28">
        <f t="shared" si="32"/>
        <v>18</v>
      </c>
      <c r="H153" s="28">
        <f t="shared" si="32"/>
        <v>2</v>
      </c>
      <c r="I153" s="28">
        <f>SUM(I149:I152)</f>
        <v>1632854535</v>
      </c>
      <c r="J153" s="28">
        <f t="shared" ref="J153:L153" si="33">SUM(J149:J152)</f>
        <v>243474851</v>
      </c>
      <c r="K153" s="28">
        <f t="shared" si="33"/>
        <v>339964392</v>
      </c>
      <c r="L153" s="28">
        <f t="shared" si="33"/>
        <v>22894147</v>
      </c>
    </row>
    <row r="154" spans="1:12" ht="11" thickTop="1" x14ac:dyDescent="0.35">
      <c r="A154" s="18">
        <v>21</v>
      </c>
      <c r="B154" s="22" t="s">
        <v>26</v>
      </c>
      <c r="C154" s="18" t="s">
        <v>46</v>
      </c>
      <c r="D154" s="30" t="s">
        <v>20</v>
      </c>
      <c r="E154" s="31">
        <f>+E153</f>
        <v>395</v>
      </c>
      <c r="F154" s="31">
        <f t="shared" ref="F154:L154" si="34">+F153</f>
        <v>52</v>
      </c>
      <c r="G154" s="31">
        <f t="shared" si="34"/>
        <v>18</v>
      </c>
      <c r="H154" s="31">
        <f t="shared" si="34"/>
        <v>2</v>
      </c>
      <c r="I154" s="31">
        <f t="shared" si="34"/>
        <v>1632854535</v>
      </c>
      <c r="J154" s="31">
        <f t="shared" si="34"/>
        <v>243474851</v>
      </c>
      <c r="K154" s="31">
        <f t="shared" si="34"/>
        <v>339964392</v>
      </c>
      <c r="L154" s="31">
        <f t="shared" si="34"/>
        <v>22894147</v>
      </c>
    </row>
    <row r="155" spans="1:12" x14ac:dyDescent="0.35">
      <c r="A155" s="18">
        <v>21</v>
      </c>
      <c r="B155" s="33" t="s">
        <v>26</v>
      </c>
      <c r="C155" s="18" t="s">
        <v>46</v>
      </c>
      <c r="D155" s="34" t="s">
        <v>21</v>
      </c>
      <c r="E155" s="20"/>
      <c r="F155" s="20"/>
      <c r="G155" s="20"/>
      <c r="H155" s="20"/>
      <c r="I155" s="20"/>
      <c r="J155" s="20"/>
      <c r="K155" s="21"/>
      <c r="L155" s="21"/>
    </row>
    <row r="156" spans="1:12" x14ac:dyDescent="0.35">
      <c r="A156" s="35">
        <v>22</v>
      </c>
      <c r="B156" s="35" t="s">
        <v>24</v>
      </c>
      <c r="C156" s="35" t="s">
        <v>47</v>
      </c>
      <c r="D156" s="36" t="s">
        <v>15</v>
      </c>
      <c r="E156" s="37"/>
      <c r="F156" s="37"/>
      <c r="G156" s="38"/>
      <c r="H156" s="37"/>
      <c r="I156" s="37"/>
      <c r="J156" s="37"/>
      <c r="K156" s="39"/>
      <c r="L156" s="39"/>
    </row>
    <row r="157" spans="1:12" x14ac:dyDescent="0.35">
      <c r="A157" s="35">
        <v>22</v>
      </c>
      <c r="B157" s="40" t="s">
        <v>24</v>
      </c>
      <c r="C157" s="35" t="s">
        <v>47</v>
      </c>
      <c r="D157" s="36" t="s">
        <v>16</v>
      </c>
      <c r="E157" s="37"/>
      <c r="F157" s="38"/>
      <c r="G157" s="38"/>
      <c r="H157" s="37"/>
      <c r="I157" s="37"/>
      <c r="J157" s="37"/>
      <c r="K157" s="39"/>
      <c r="L157" s="39"/>
    </row>
    <row r="158" spans="1:12" x14ac:dyDescent="0.35">
      <c r="A158" s="35">
        <v>22</v>
      </c>
      <c r="B158" s="40" t="s">
        <v>24</v>
      </c>
      <c r="C158" s="35" t="s">
        <v>47</v>
      </c>
      <c r="D158" s="36" t="s">
        <v>17</v>
      </c>
      <c r="E158" s="37"/>
      <c r="F158" s="38"/>
      <c r="G158" s="37"/>
      <c r="H158" s="37"/>
      <c r="I158" s="37"/>
      <c r="J158" s="37"/>
      <c r="K158" s="39"/>
      <c r="L158" s="39"/>
    </row>
    <row r="159" spans="1:12" ht="11" thickBot="1" x14ac:dyDescent="0.4">
      <c r="A159" s="35">
        <v>22</v>
      </c>
      <c r="B159" s="40" t="s">
        <v>24</v>
      </c>
      <c r="C159" s="35" t="s">
        <v>47</v>
      </c>
      <c r="D159" s="41" t="s">
        <v>18</v>
      </c>
      <c r="E159" s="42"/>
      <c r="F159" s="43"/>
      <c r="G159" s="42"/>
      <c r="H159" s="42"/>
      <c r="I159" s="42"/>
      <c r="J159" s="42"/>
      <c r="K159" s="44"/>
      <c r="L159" s="44"/>
    </row>
    <row r="160" spans="1:12" s="29" customFormat="1" ht="11.5" thickTop="1" thickBot="1" x14ac:dyDescent="0.4">
      <c r="A160" s="35">
        <v>22</v>
      </c>
      <c r="B160" s="40" t="s">
        <v>24</v>
      </c>
      <c r="C160" s="35" t="s">
        <v>47</v>
      </c>
      <c r="D160" s="27" t="s">
        <v>19</v>
      </c>
      <c r="E160" s="28">
        <f>SUM(E156:E159)</f>
        <v>0</v>
      </c>
      <c r="F160" s="28">
        <f t="shared" ref="F160:H160" si="35">SUM(F156:F159)</f>
        <v>0</v>
      </c>
      <c r="G160" s="28">
        <f t="shared" si="35"/>
        <v>0</v>
      </c>
      <c r="H160" s="28">
        <f t="shared" si="35"/>
        <v>0</v>
      </c>
      <c r="I160" s="28">
        <f>SUM(I156:I159)</f>
        <v>0</v>
      </c>
      <c r="J160" s="28">
        <f t="shared" ref="J160:L160" si="36">SUM(J156:J159)</f>
        <v>0</v>
      </c>
      <c r="K160" s="28">
        <f t="shared" si="36"/>
        <v>0</v>
      </c>
      <c r="L160" s="28">
        <f t="shared" si="36"/>
        <v>0</v>
      </c>
    </row>
    <row r="161" spans="1:12" ht="11" thickTop="1" x14ac:dyDescent="0.35">
      <c r="A161" s="35">
        <v>22</v>
      </c>
      <c r="B161" s="40" t="s">
        <v>24</v>
      </c>
      <c r="C161" s="35" t="s">
        <v>47</v>
      </c>
      <c r="D161" s="45" t="s">
        <v>20</v>
      </c>
      <c r="E161" s="46"/>
      <c r="F161" s="46"/>
      <c r="G161" s="46"/>
      <c r="H161" s="46"/>
      <c r="I161" s="46"/>
      <c r="J161" s="46"/>
      <c r="K161" s="47"/>
      <c r="L161" s="47"/>
    </row>
    <row r="162" spans="1:12" x14ac:dyDescent="0.35">
      <c r="A162" s="35">
        <v>22</v>
      </c>
      <c r="B162" s="48" t="s">
        <v>24</v>
      </c>
      <c r="C162" s="35" t="s">
        <v>47</v>
      </c>
      <c r="D162" s="49" t="s">
        <v>21</v>
      </c>
      <c r="E162" s="37"/>
      <c r="F162" s="37"/>
      <c r="G162" s="37"/>
      <c r="H162" s="37"/>
      <c r="I162" s="37"/>
      <c r="J162" s="37"/>
      <c r="K162" s="39"/>
      <c r="L162" s="39"/>
    </row>
    <row r="163" spans="1:12" x14ac:dyDescent="0.35">
      <c r="A163" s="18">
        <v>23</v>
      </c>
      <c r="B163" s="18" t="s">
        <v>24</v>
      </c>
      <c r="C163" s="18" t="s">
        <v>48</v>
      </c>
      <c r="D163" s="23" t="s">
        <v>15</v>
      </c>
      <c r="E163" s="20"/>
      <c r="F163" s="20"/>
      <c r="G163" s="20"/>
      <c r="H163" s="20"/>
      <c r="I163" s="20"/>
      <c r="J163" s="20"/>
      <c r="K163" s="21"/>
      <c r="L163" s="21"/>
    </row>
    <row r="164" spans="1:12" x14ac:dyDescent="0.35">
      <c r="A164" s="18">
        <v>23</v>
      </c>
      <c r="B164" s="22" t="s">
        <v>24</v>
      </c>
      <c r="C164" s="18" t="s">
        <v>48</v>
      </c>
      <c r="D164" s="23" t="s">
        <v>16</v>
      </c>
      <c r="E164" s="20"/>
      <c r="F164" s="20"/>
      <c r="G164" s="20"/>
      <c r="H164" s="20"/>
      <c r="I164" s="20"/>
      <c r="J164" s="20"/>
      <c r="K164" s="21"/>
      <c r="L164" s="21"/>
    </row>
    <row r="165" spans="1:12" x14ac:dyDescent="0.35">
      <c r="A165" s="18">
        <v>23</v>
      </c>
      <c r="B165" s="22" t="s">
        <v>24</v>
      </c>
      <c r="C165" s="18" t="s">
        <v>48</v>
      </c>
      <c r="D165" s="23" t="s">
        <v>17</v>
      </c>
      <c r="E165" s="20"/>
      <c r="F165" s="20"/>
      <c r="G165" s="20"/>
      <c r="H165" s="20"/>
      <c r="I165" s="20"/>
      <c r="J165" s="20"/>
      <c r="K165" s="21"/>
      <c r="L165" s="21"/>
    </row>
    <row r="166" spans="1:12" ht="11" thickBot="1" x14ac:dyDescent="0.4">
      <c r="A166" s="18">
        <v>23</v>
      </c>
      <c r="B166" s="22" t="s">
        <v>24</v>
      </c>
      <c r="C166" s="18" t="s">
        <v>48</v>
      </c>
      <c r="D166" s="24" t="s">
        <v>18</v>
      </c>
      <c r="E166" s="25"/>
      <c r="F166" s="25"/>
      <c r="G166" s="25"/>
      <c r="H166" s="25"/>
      <c r="I166" s="25"/>
      <c r="J166" s="25"/>
      <c r="K166" s="26"/>
      <c r="L166" s="26"/>
    </row>
    <row r="167" spans="1:12" s="29" customFormat="1" ht="11.5" thickTop="1" thickBot="1" x14ac:dyDescent="0.4">
      <c r="A167" s="18">
        <v>23</v>
      </c>
      <c r="B167" s="22" t="s">
        <v>24</v>
      </c>
      <c r="C167" s="18" t="s">
        <v>48</v>
      </c>
      <c r="D167" s="27" t="s">
        <v>19</v>
      </c>
      <c r="E167" s="28">
        <f>SUM(E163:E166)</f>
        <v>0</v>
      </c>
      <c r="F167" s="28">
        <f t="shared" ref="F167:H167" si="37">SUM(F163:F166)</f>
        <v>0</v>
      </c>
      <c r="G167" s="28">
        <f t="shared" si="37"/>
        <v>0</v>
      </c>
      <c r="H167" s="28">
        <f t="shared" si="37"/>
        <v>0</v>
      </c>
      <c r="I167" s="28">
        <f>SUM(I163:I166)</f>
        <v>0</v>
      </c>
      <c r="J167" s="28">
        <f t="shared" ref="J167:L167" si="38">SUM(J163:J166)</f>
        <v>0</v>
      </c>
      <c r="K167" s="28">
        <f t="shared" si="38"/>
        <v>0</v>
      </c>
      <c r="L167" s="28">
        <f t="shared" si="38"/>
        <v>0</v>
      </c>
    </row>
    <row r="168" spans="1:12" ht="11" thickTop="1" x14ac:dyDescent="0.35">
      <c r="A168" s="18">
        <v>23</v>
      </c>
      <c r="B168" s="22" t="s">
        <v>24</v>
      </c>
      <c r="C168" s="18" t="s">
        <v>48</v>
      </c>
      <c r="D168" s="30" t="s">
        <v>20</v>
      </c>
      <c r="E168" s="31"/>
      <c r="F168" s="31"/>
      <c r="G168" s="31"/>
      <c r="H168" s="31"/>
      <c r="I168" s="31"/>
      <c r="J168" s="31"/>
      <c r="K168" s="32"/>
      <c r="L168" s="32"/>
    </row>
    <row r="169" spans="1:12" x14ac:dyDescent="0.35">
      <c r="A169" s="18">
        <v>23</v>
      </c>
      <c r="B169" s="33" t="s">
        <v>24</v>
      </c>
      <c r="C169" s="18" t="s">
        <v>48</v>
      </c>
      <c r="D169" s="34" t="s">
        <v>21</v>
      </c>
      <c r="E169" s="20"/>
      <c r="F169" s="20"/>
      <c r="G169" s="20"/>
      <c r="H169" s="20"/>
      <c r="I169" s="20"/>
      <c r="J169" s="20"/>
      <c r="K169" s="21"/>
      <c r="L169" s="21"/>
    </row>
    <row r="170" spans="1:12" x14ac:dyDescent="0.35">
      <c r="A170" s="35">
        <v>24</v>
      </c>
      <c r="B170" s="35" t="s">
        <v>49</v>
      </c>
      <c r="C170" s="35" t="s">
        <v>50</v>
      </c>
      <c r="D170" s="36" t="s">
        <v>15</v>
      </c>
      <c r="E170" s="37">
        <v>15</v>
      </c>
      <c r="F170" s="37">
        <v>3</v>
      </c>
      <c r="G170" s="38">
        <v>0</v>
      </c>
      <c r="H170" s="37">
        <v>0</v>
      </c>
      <c r="I170" s="37">
        <v>383207630</v>
      </c>
      <c r="J170" s="37">
        <v>57260910</v>
      </c>
      <c r="K170" s="39">
        <v>0</v>
      </c>
      <c r="L170" s="39">
        <v>0</v>
      </c>
    </row>
    <row r="171" spans="1:12" x14ac:dyDescent="0.35">
      <c r="A171" s="35">
        <v>24</v>
      </c>
      <c r="B171" s="40" t="s">
        <v>49</v>
      </c>
      <c r="C171" s="35" t="s">
        <v>50</v>
      </c>
      <c r="D171" s="36" t="s">
        <v>16</v>
      </c>
      <c r="E171" s="37">
        <v>0</v>
      </c>
      <c r="F171" s="37">
        <v>0</v>
      </c>
      <c r="G171" s="37">
        <v>0</v>
      </c>
      <c r="H171" s="37">
        <v>0</v>
      </c>
      <c r="I171" s="37">
        <v>0</v>
      </c>
      <c r="J171" s="37">
        <v>0</v>
      </c>
      <c r="K171" s="37">
        <v>0</v>
      </c>
      <c r="L171" s="37">
        <v>0</v>
      </c>
    </row>
    <row r="172" spans="1:12" x14ac:dyDescent="0.35">
      <c r="A172" s="35">
        <v>24</v>
      </c>
      <c r="B172" s="40" t="s">
        <v>49</v>
      </c>
      <c r="C172" s="35" t="s">
        <v>50</v>
      </c>
      <c r="D172" s="36" t="s">
        <v>17</v>
      </c>
      <c r="E172" s="37">
        <v>397</v>
      </c>
      <c r="F172" s="38">
        <v>6</v>
      </c>
      <c r="G172" s="37">
        <v>0</v>
      </c>
      <c r="H172" s="37">
        <v>0</v>
      </c>
      <c r="I172" s="37">
        <v>1896551104</v>
      </c>
      <c r="J172" s="37">
        <v>17223975</v>
      </c>
      <c r="K172" s="39">
        <v>0</v>
      </c>
      <c r="L172" s="39">
        <v>0</v>
      </c>
    </row>
    <row r="173" spans="1:12" ht="11" thickBot="1" x14ac:dyDescent="0.4">
      <c r="A173" s="35">
        <v>24</v>
      </c>
      <c r="B173" s="40" t="s">
        <v>49</v>
      </c>
      <c r="C173" s="35" t="s">
        <v>50</v>
      </c>
      <c r="D173" s="41" t="s">
        <v>18</v>
      </c>
      <c r="E173" s="42">
        <v>0</v>
      </c>
      <c r="F173" s="42">
        <v>0</v>
      </c>
      <c r="G173" s="42">
        <v>0</v>
      </c>
      <c r="H173" s="42">
        <v>0</v>
      </c>
      <c r="I173" s="42">
        <v>0</v>
      </c>
      <c r="J173" s="42">
        <v>0</v>
      </c>
      <c r="K173" s="42">
        <v>0</v>
      </c>
      <c r="L173" s="42">
        <v>0</v>
      </c>
    </row>
    <row r="174" spans="1:12" s="29" customFormat="1" ht="11.5" thickTop="1" thickBot="1" x14ac:dyDescent="0.4">
      <c r="A174" s="35">
        <v>24</v>
      </c>
      <c r="B174" s="40" t="s">
        <v>49</v>
      </c>
      <c r="C174" s="35" t="s">
        <v>50</v>
      </c>
      <c r="D174" s="27" t="s">
        <v>19</v>
      </c>
      <c r="E174" s="28">
        <f>SUM(E170:E173)</f>
        <v>412</v>
      </c>
      <c r="F174" s="28">
        <f t="shared" ref="F174:H174" si="39">SUM(F170:F173)</f>
        <v>9</v>
      </c>
      <c r="G174" s="28">
        <f t="shared" si="39"/>
        <v>0</v>
      </c>
      <c r="H174" s="28">
        <f t="shared" si="39"/>
        <v>0</v>
      </c>
      <c r="I174" s="28">
        <f>SUM(I170:I173)</f>
        <v>2279758734</v>
      </c>
      <c r="J174" s="28">
        <f t="shared" ref="J174:L174" si="40">SUM(J170:J173)</f>
        <v>74484885</v>
      </c>
      <c r="K174" s="28">
        <f t="shared" si="40"/>
        <v>0</v>
      </c>
      <c r="L174" s="28">
        <f t="shared" si="40"/>
        <v>0</v>
      </c>
    </row>
    <row r="175" spans="1:12" ht="11" thickTop="1" x14ac:dyDescent="0.35">
      <c r="A175" s="35">
        <v>24</v>
      </c>
      <c r="B175" s="40" t="s">
        <v>49</v>
      </c>
      <c r="C175" s="35" t="s">
        <v>50</v>
      </c>
      <c r="D175" s="45" t="s">
        <v>20</v>
      </c>
      <c r="E175" s="46"/>
      <c r="F175" s="46"/>
      <c r="G175" s="46"/>
      <c r="H175" s="46"/>
      <c r="I175" s="46"/>
      <c r="J175" s="46"/>
      <c r="K175" s="47"/>
      <c r="L175" s="47"/>
    </row>
    <row r="176" spans="1:12" x14ac:dyDescent="0.35">
      <c r="A176" s="35">
        <v>24</v>
      </c>
      <c r="B176" s="48" t="s">
        <v>49</v>
      </c>
      <c r="C176" s="35" t="s">
        <v>50</v>
      </c>
      <c r="D176" s="49" t="s">
        <v>21</v>
      </c>
      <c r="E176" s="37"/>
      <c r="F176" s="37"/>
      <c r="G176" s="37"/>
      <c r="H176" s="37"/>
      <c r="I176" s="37"/>
      <c r="J176" s="37"/>
      <c r="K176" s="39"/>
      <c r="L176" s="39"/>
    </row>
    <row r="177" spans="1:12" s="6" customFormat="1" x14ac:dyDescent="0.25"/>
    <row r="178" spans="1:12" s="5" customFormat="1" ht="18.5" x14ac:dyDescent="0.35">
      <c r="A178" s="5" t="s">
        <v>51</v>
      </c>
    </row>
    <row r="179" spans="1:12" s="6" customFormat="1" x14ac:dyDescent="0.25"/>
    <row r="180" spans="1:12" s="6" customFormat="1" x14ac:dyDescent="0.25">
      <c r="E180" s="9" t="s">
        <v>3</v>
      </c>
      <c r="F180" s="9"/>
      <c r="G180" s="9" t="s">
        <v>4</v>
      </c>
      <c r="H180" s="9"/>
    </row>
    <row r="181" spans="1:12" s="29" customFormat="1" ht="21.5" thickBot="1" x14ac:dyDescent="0.4">
      <c r="A181" s="51" t="s">
        <v>7</v>
      </c>
      <c r="B181" s="51" t="s">
        <v>7</v>
      </c>
      <c r="C181" s="51" t="s">
        <v>9</v>
      </c>
      <c r="D181" s="51" t="s">
        <v>10</v>
      </c>
      <c r="E181" s="52" t="s">
        <v>11</v>
      </c>
      <c r="F181" s="52" t="s">
        <v>12</v>
      </c>
      <c r="G181" s="52" t="s">
        <v>11</v>
      </c>
      <c r="H181" s="52" t="s">
        <v>12</v>
      </c>
      <c r="I181" s="53" t="s">
        <v>52</v>
      </c>
      <c r="J181" s="53" t="s">
        <v>53</v>
      </c>
      <c r="K181" s="54" t="s">
        <v>54</v>
      </c>
      <c r="L181" s="54"/>
    </row>
    <row r="182" spans="1:12" x14ac:dyDescent="0.35">
      <c r="A182" s="55">
        <v>1</v>
      </c>
      <c r="B182" s="55" t="s">
        <v>13</v>
      </c>
      <c r="C182" s="56" t="s">
        <v>14</v>
      </c>
      <c r="D182" s="19" t="s">
        <v>15</v>
      </c>
      <c r="E182" s="57"/>
      <c r="F182" s="57"/>
      <c r="G182" s="57"/>
      <c r="H182" s="57"/>
      <c r="I182" s="57"/>
      <c r="J182" s="57"/>
      <c r="K182" s="57"/>
      <c r="L182" s="57"/>
    </row>
    <row r="183" spans="1:12" x14ac:dyDescent="0.35">
      <c r="A183" s="55">
        <v>1</v>
      </c>
      <c r="B183" s="55" t="s">
        <v>13</v>
      </c>
      <c r="C183" s="56" t="s">
        <v>14</v>
      </c>
      <c r="D183" s="23" t="s">
        <v>16</v>
      </c>
      <c r="E183" s="57"/>
      <c r="F183" s="57"/>
      <c r="G183" s="57"/>
      <c r="H183" s="57"/>
      <c r="I183" s="57"/>
      <c r="J183" s="57"/>
      <c r="K183" s="57"/>
      <c r="L183" s="57"/>
    </row>
    <row r="184" spans="1:12" x14ac:dyDescent="0.35">
      <c r="A184" s="55">
        <v>1</v>
      </c>
      <c r="B184" s="55" t="s">
        <v>13</v>
      </c>
      <c r="C184" s="56" t="s">
        <v>14</v>
      </c>
      <c r="D184" s="23" t="s">
        <v>17</v>
      </c>
      <c r="E184" s="57"/>
      <c r="F184" s="57"/>
      <c r="G184" s="57"/>
      <c r="H184" s="57"/>
      <c r="I184" s="57"/>
      <c r="J184" s="57"/>
      <c r="K184" s="57"/>
      <c r="L184" s="57"/>
    </row>
    <row r="185" spans="1:12" ht="11" thickBot="1" x14ac:dyDescent="0.4">
      <c r="A185" s="58">
        <v>1</v>
      </c>
      <c r="B185" s="58" t="s">
        <v>13</v>
      </c>
      <c r="C185" s="59" t="s">
        <v>14</v>
      </c>
      <c r="D185" s="24" t="s">
        <v>18</v>
      </c>
      <c r="E185" s="57"/>
      <c r="F185" s="57"/>
      <c r="G185" s="57"/>
      <c r="H185" s="57"/>
      <c r="I185" s="57"/>
      <c r="J185" s="57"/>
      <c r="K185" s="57"/>
      <c r="L185" s="57"/>
    </row>
    <row r="186" spans="1:12" s="29" customFormat="1" ht="11.5" thickTop="1" thickBot="1" x14ac:dyDescent="0.4">
      <c r="A186" s="60">
        <v>1</v>
      </c>
      <c r="B186" s="60" t="s">
        <v>13</v>
      </c>
      <c r="C186" s="61" t="s">
        <v>14</v>
      </c>
      <c r="D186" s="27" t="s">
        <v>19</v>
      </c>
      <c r="E186" s="62">
        <f>SUM(E182:E185)</f>
        <v>0</v>
      </c>
      <c r="F186" s="62">
        <f t="shared" ref="F186:L186" si="41">SUM(F182:F185)</f>
        <v>0</v>
      </c>
      <c r="G186" s="62">
        <f t="shared" si="41"/>
        <v>0</v>
      </c>
      <c r="H186" s="62">
        <f t="shared" si="41"/>
        <v>0</v>
      </c>
      <c r="I186" s="62">
        <f t="shared" si="41"/>
        <v>0</v>
      </c>
      <c r="J186" s="62">
        <f t="shared" si="41"/>
        <v>0</v>
      </c>
      <c r="K186" s="62">
        <f t="shared" si="41"/>
        <v>0</v>
      </c>
      <c r="L186" s="62">
        <f t="shared" si="41"/>
        <v>0</v>
      </c>
    </row>
    <row r="187" spans="1:12" ht="11" thickTop="1" x14ac:dyDescent="0.35">
      <c r="A187" s="63">
        <v>1</v>
      </c>
      <c r="B187" s="63" t="s">
        <v>13</v>
      </c>
      <c r="C187" s="64" t="s">
        <v>14</v>
      </c>
      <c r="D187" s="30" t="s">
        <v>20</v>
      </c>
      <c r="E187" s="57"/>
      <c r="F187" s="57"/>
      <c r="G187" s="57"/>
      <c r="H187" s="57"/>
      <c r="I187" s="57"/>
      <c r="J187" s="57"/>
      <c r="K187" s="65"/>
      <c r="L187" s="65"/>
    </row>
    <row r="188" spans="1:12" x14ac:dyDescent="0.35">
      <c r="A188" s="55">
        <v>1</v>
      </c>
      <c r="B188" s="55" t="s">
        <v>13</v>
      </c>
      <c r="C188" s="56" t="s">
        <v>14</v>
      </c>
      <c r="D188" s="34" t="s">
        <v>21</v>
      </c>
      <c r="E188" s="57"/>
      <c r="F188" s="57"/>
      <c r="G188" s="57"/>
      <c r="H188" s="57"/>
      <c r="I188" s="57"/>
      <c r="J188" s="57"/>
      <c r="K188" s="65"/>
      <c r="L188" s="65"/>
    </row>
    <row r="189" spans="1:12" x14ac:dyDescent="0.35">
      <c r="A189" s="66">
        <v>2</v>
      </c>
      <c r="B189" s="66" t="s">
        <v>22</v>
      </c>
      <c r="C189" s="67" t="s">
        <v>23</v>
      </c>
      <c r="D189" s="36" t="s">
        <v>15</v>
      </c>
      <c r="E189" s="68"/>
      <c r="F189" s="68"/>
      <c r="G189" s="68"/>
      <c r="H189" s="68"/>
      <c r="I189" s="68"/>
      <c r="J189" s="68"/>
      <c r="K189" s="69"/>
      <c r="L189" s="69"/>
    </row>
    <row r="190" spans="1:12" x14ac:dyDescent="0.35">
      <c r="A190" s="66">
        <v>2</v>
      </c>
      <c r="B190" s="66" t="s">
        <v>22</v>
      </c>
      <c r="C190" s="67" t="s">
        <v>23</v>
      </c>
      <c r="D190" s="36" t="s">
        <v>16</v>
      </c>
      <c r="E190" s="68"/>
      <c r="F190" s="68"/>
      <c r="G190" s="68"/>
      <c r="H190" s="68"/>
      <c r="I190" s="68"/>
      <c r="J190" s="68"/>
      <c r="K190" s="69"/>
      <c r="L190" s="69"/>
    </row>
    <row r="191" spans="1:12" x14ac:dyDescent="0.35">
      <c r="A191" s="66">
        <v>2</v>
      </c>
      <c r="B191" s="66" t="s">
        <v>22</v>
      </c>
      <c r="C191" s="67" t="s">
        <v>23</v>
      </c>
      <c r="D191" s="36" t="s">
        <v>17</v>
      </c>
      <c r="E191" s="68">
        <v>426</v>
      </c>
      <c r="F191" s="68">
        <v>16</v>
      </c>
      <c r="G191" s="68"/>
      <c r="H191" s="68"/>
      <c r="I191" s="68">
        <v>442</v>
      </c>
      <c r="J191" s="68">
        <v>2627450549</v>
      </c>
      <c r="K191" s="69"/>
      <c r="L191" s="69"/>
    </row>
    <row r="192" spans="1:12" ht="11" thickBot="1" x14ac:dyDescent="0.4">
      <c r="A192" s="70">
        <v>2</v>
      </c>
      <c r="B192" s="70" t="s">
        <v>22</v>
      </c>
      <c r="C192" s="35" t="s">
        <v>23</v>
      </c>
      <c r="D192" s="41" t="s">
        <v>18</v>
      </c>
      <c r="E192" s="71"/>
      <c r="F192" s="71"/>
      <c r="G192" s="71"/>
      <c r="H192" s="71"/>
      <c r="I192" s="71"/>
      <c r="J192" s="71"/>
      <c r="K192" s="72"/>
      <c r="L192" s="72"/>
    </row>
    <row r="193" spans="1:12" s="29" customFormat="1" ht="11.5" thickTop="1" thickBot="1" x14ac:dyDescent="0.4">
      <c r="A193" s="60">
        <v>2</v>
      </c>
      <c r="B193" s="60" t="s">
        <v>22</v>
      </c>
      <c r="C193" s="73" t="s">
        <v>23</v>
      </c>
      <c r="D193" s="27" t="s">
        <v>19</v>
      </c>
      <c r="E193" s="62">
        <f>SUM(E189:E192)</f>
        <v>426</v>
      </c>
      <c r="F193" s="62">
        <f t="shared" ref="F193:L193" si="42">SUM(F189:F192)</f>
        <v>16</v>
      </c>
      <c r="G193" s="62">
        <f t="shared" si="42"/>
        <v>0</v>
      </c>
      <c r="H193" s="62">
        <f t="shared" si="42"/>
        <v>0</v>
      </c>
      <c r="I193" s="62">
        <f t="shared" si="42"/>
        <v>442</v>
      </c>
      <c r="J193" s="62">
        <f t="shared" si="42"/>
        <v>2627450549</v>
      </c>
      <c r="K193" s="62">
        <f t="shared" si="42"/>
        <v>0</v>
      </c>
      <c r="L193" s="62">
        <f t="shared" si="42"/>
        <v>0</v>
      </c>
    </row>
    <row r="194" spans="1:12" ht="11" thickTop="1" x14ac:dyDescent="0.35">
      <c r="A194" s="74">
        <v>2</v>
      </c>
      <c r="B194" s="74" t="s">
        <v>22</v>
      </c>
      <c r="C194" s="48" t="s">
        <v>23</v>
      </c>
      <c r="D194" s="45" t="s">
        <v>20</v>
      </c>
      <c r="E194" s="75"/>
      <c r="F194" s="75"/>
      <c r="G194" s="75"/>
      <c r="H194" s="75"/>
      <c r="I194" s="75"/>
      <c r="J194" s="75"/>
      <c r="K194" s="76"/>
      <c r="L194" s="76"/>
    </row>
    <row r="195" spans="1:12" x14ac:dyDescent="0.35">
      <c r="A195" s="66">
        <v>2</v>
      </c>
      <c r="B195" s="66" t="s">
        <v>22</v>
      </c>
      <c r="C195" s="67" t="s">
        <v>23</v>
      </c>
      <c r="D195" s="49" t="s">
        <v>21</v>
      </c>
      <c r="E195" s="68"/>
      <c r="F195" s="68"/>
      <c r="G195" s="68"/>
      <c r="H195" s="68"/>
      <c r="I195" s="68"/>
      <c r="J195" s="68"/>
      <c r="K195" s="69"/>
      <c r="L195" s="69"/>
    </row>
    <row r="196" spans="1:12" x14ac:dyDescent="0.35">
      <c r="A196" s="66">
        <v>2</v>
      </c>
      <c r="B196" s="66" t="s">
        <v>22</v>
      </c>
      <c r="C196" s="67" t="s">
        <v>23</v>
      </c>
      <c r="D196" s="49" t="s">
        <v>55</v>
      </c>
      <c r="E196" s="68"/>
      <c r="F196" s="68"/>
      <c r="G196" s="68"/>
      <c r="H196" s="68"/>
      <c r="I196" s="68"/>
      <c r="J196" s="68"/>
      <c r="K196" s="69"/>
      <c r="L196" s="69"/>
    </row>
    <row r="197" spans="1:12" x14ac:dyDescent="0.35">
      <c r="A197" s="55">
        <v>3</v>
      </c>
      <c r="B197" s="55" t="s">
        <v>24</v>
      </c>
      <c r="C197" s="77" t="s">
        <v>25</v>
      </c>
      <c r="D197" s="23" t="s">
        <v>15</v>
      </c>
      <c r="E197" s="57"/>
      <c r="F197" s="57"/>
      <c r="G197" s="57">
        <v>51</v>
      </c>
      <c r="H197" s="57"/>
      <c r="I197" s="57">
        <v>51</v>
      </c>
      <c r="J197" s="57"/>
      <c r="K197" s="65"/>
      <c r="L197" s="65">
        <v>0</v>
      </c>
    </row>
    <row r="198" spans="1:12" x14ac:dyDescent="0.35">
      <c r="A198" s="55">
        <v>3</v>
      </c>
      <c r="B198" s="55" t="s">
        <v>24</v>
      </c>
      <c r="C198" s="77" t="s">
        <v>25</v>
      </c>
      <c r="D198" s="23" t="s">
        <v>16</v>
      </c>
      <c r="E198" s="57">
        <v>38</v>
      </c>
      <c r="F198" s="57">
        <v>4</v>
      </c>
      <c r="G198" s="57"/>
      <c r="H198" s="57"/>
      <c r="I198" s="57">
        <v>42</v>
      </c>
      <c r="J198" s="57">
        <v>14149346738</v>
      </c>
      <c r="K198" s="65">
        <v>337936996</v>
      </c>
      <c r="L198" s="65">
        <v>0</v>
      </c>
    </row>
    <row r="199" spans="1:12" x14ac:dyDescent="0.35">
      <c r="A199" s="55">
        <v>3</v>
      </c>
      <c r="B199" s="55" t="s">
        <v>24</v>
      </c>
      <c r="C199" s="77" t="s">
        <v>25</v>
      </c>
      <c r="D199" s="23" t="s">
        <v>17</v>
      </c>
      <c r="E199" s="57">
        <v>70</v>
      </c>
      <c r="F199" s="57">
        <v>14</v>
      </c>
      <c r="G199" s="57"/>
      <c r="H199" s="57"/>
      <c r="I199" s="57">
        <v>84</v>
      </c>
      <c r="J199" s="57">
        <v>1013035938</v>
      </c>
      <c r="K199" s="65">
        <v>213025164</v>
      </c>
      <c r="L199" s="65"/>
    </row>
    <row r="200" spans="1:12" ht="11" thickBot="1" x14ac:dyDescent="0.4">
      <c r="A200" s="58">
        <v>3</v>
      </c>
      <c r="B200" s="58" t="s">
        <v>24</v>
      </c>
      <c r="C200" s="18" t="s">
        <v>25</v>
      </c>
      <c r="D200" s="24" t="s">
        <v>18</v>
      </c>
      <c r="E200" s="78">
        <v>458</v>
      </c>
      <c r="F200" s="78">
        <v>50</v>
      </c>
      <c r="G200" s="78"/>
      <c r="H200" s="78"/>
      <c r="I200" s="78">
        <v>508</v>
      </c>
      <c r="J200" s="78">
        <v>790243191</v>
      </c>
      <c r="K200" s="79">
        <v>64719037</v>
      </c>
      <c r="L200" s="79"/>
    </row>
    <row r="201" spans="1:12" s="29" customFormat="1" ht="11.5" thickTop="1" thickBot="1" x14ac:dyDescent="0.4">
      <c r="A201" s="60">
        <v>3</v>
      </c>
      <c r="B201" s="60" t="s">
        <v>24</v>
      </c>
      <c r="C201" s="73" t="s">
        <v>25</v>
      </c>
      <c r="D201" s="27" t="s">
        <v>19</v>
      </c>
      <c r="E201" s="62">
        <f>SUM(E197:E200)</f>
        <v>566</v>
      </c>
      <c r="F201" s="62">
        <f t="shared" ref="F201:L201" si="43">SUM(F197:F200)</f>
        <v>68</v>
      </c>
      <c r="G201" s="62">
        <f t="shared" si="43"/>
        <v>51</v>
      </c>
      <c r="H201" s="62">
        <f t="shared" si="43"/>
        <v>0</v>
      </c>
      <c r="I201" s="62">
        <f t="shared" si="43"/>
        <v>685</v>
      </c>
      <c r="J201" s="62">
        <f t="shared" si="43"/>
        <v>15952625867</v>
      </c>
      <c r="K201" s="62">
        <f t="shared" si="43"/>
        <v>615681197</v>
      </c>
      <c r="L201" s="62">
        <f t="shared" si="43"/>
        <v>0</v>
      </c>
    </row>
    <row r="202" spans="1:12" ht="11" thickTop="1" x14ac:dyDescent="0.35">
      <c r="A202" s="63">
        <v>3</v>
      </c>
      <c r="B202" s="63" t="s">
        <v>24</v>
      </c>
      <c r="C202" s="33" t="s">
        <v>25</v>
      </c>
      <c r="D202" s="30" t="s">
        <v>20</v>
      </c>
      <c r="E202" s="80"/>
      <c r="F202" s="80"/>
      <c r="G202" s="80"/>
      <c r="H202" s="80"/>
      <c r="I202" s="80"/>
      <c r="J202" s="80"/>
      <c r="K202" s="81"/>
      <c r="L202" s="81"/>
    </row>
    <row r="203" spans="1:12" x14ac:dyDescent="0.35">
      <c r="A203" s="55">
        <v>3</v>
      </c>
      <c r="B203" s="55" t="s">
        <v>24</v>
      </c>
      <c r="C203" s="77" t="s">
        <v>25</v>
      </c>
      <c r="D203" s="34" t="s">
        <v>21</v>
      </c>
      <c r="E203" s="57">
        <v>566</v>
      </c>
      <c r="F203" s="57">
        <v>68</v>
      </c>
      <c r="G203" s="57">
        <v>51</v>
      </c>
      <c r="H203" s="57"/>
      <c r="I203" s="57">
        <v>685</v>
      </c>
      <c r="J203" s="57">
        <v>15952625867</v>
      </c>
      <c r="K203" s="65">
        <v>615681197</v>
      </c>
      <c r="L203" s="65"/>
    </row>
    <row r="204" spans="1:12" x14ac:dyDescent="0.35">
      <c r="A204" s="55">
        <v>3</v>
      </c>
      <c r="B204" s="55" t="s">
        <v>24</v>
      </c>
      <c r="C204" s="77" t="s">
        <v>25</v>
      </c>
      <c r="D204" s="34" t="s">
        <v>55</v>
      </c>
      <c r="E204" s="57">
        <v>1715</v>
      </c>
      <c r="F204" s="57">
        <v>184</v>
      </c>
      <c r="G204" s="57">
        <v>51</v>
      </c>
      <c r="H204" s="57"/>
      <c r="I204" s="57">
        <v>1.95</v>
      </c>
      <c r="J204" s="57">
        <v>46825754235</v>
      </c>
      <c r="K204" s="65">
        <v>3123102346</v>
      </c>
      <c r="L204" s="65"/>
    </row>
    <row r="205" spans="1:12" x14ac:dyDescent="0.35">
      <c r="A205" s="66">
        <v>4</v>
      </c>
      <c r="B205" s="66" t="s">
        <v>26</v>
      </c>
      <c r="C205" s="67" t="s">
        <v>27</v>
      </c>
      <c r="D205" s="36" t="s">
        <v>15</v>
      </c>
      <c r="E205" s="68">
        <v>0</v>
      </c>
      <c r="F205" s="68">
        <v>0</v>
      </c>
      <c r="G205" s="68">
        <v>0</v>
      </c>
      <c r="H205" s="68">
        <v>0</v>
      </c>
      <c r="I205" s="68">
        <v>0</v>
      </c>
      <c r="J205" s="68">
        <v>0</v>
      </c>
      <c r="K205" s="69">
        <v>0</v>
      </c>
      <c r="L205" s="69"/>
    </row>
    <row r="206" spans="1:12" x14ac:dyDescent="0.35">
      <c r="A206" s="66">
        <v>4</v>
      </c>
      <c r="B206" s="66" t="s">
        <v>26</v>
      </c>
      <c r="C206" s="67" t="s">
        <v>27</v>
      </c>
      <c r="D206" s="36" t="s">
        <v>16</v>
      </c>
      <c r="E206" s="68">
        <v>0</v>
      </c>
      <c r="F206" s="68">
        <v>0</v>
      </c>
      <c r="G206" s="68">
        <v>0</v>
      </c>
      <c r="H206" s="68">
        <v>0</v>
      </c>
      <c r="I206" s="68">
        <v>0</v>
      </c>
      <c r="J206" s="68">
        <v>0</v>
      </c>
      <c r="K206" s="69">
        <v>0</v>
      </c>
      <c r="L206" s="69"/>
    </row>
    <row r="207" spans="1:12" x14ac:dyDescent="0.35">
      <c r="A207" s="66">
        <v>4</v>
      </c>
      <c r="B207" s="66" t="s">
        <v>26</v>
      </c>
      <c r="C207" s="67" t="s">
        <v>27</v>
      </c>
      <c r="D207" s="36" t="s">
        <v>17</v>
      </c>
      <c r="E207" s="68">
        <v>0</v>
      </c>
      <c r="F207" s="68">
        <v>0</v>
      </c>
      <c r="G207" s="68">
        <v>0</v>
      </c>
      <c r="H207" s="68">
        <v>0</v>
      </c>
      <c r="I207" s="68">
        <v>0</v>
      </c>
      <c r="J207" s="68">
        <v>0</v>
      </c>
      <c r="K207" s="69">
        <v>0</v>
      </c>
      <c r="L207" s="69"/>
    </row>
    <row r="208" spans="1:12" ht="11" thickBot="1" x14ac:dyDescent="0.4">
      <c r="A208" s="70">
        <v>4</v>
      </c>
      <c r="B208" s="70" t="s">
        <v>26</v>
      </c>
      <c r="C208" s="35" t="s">
        <v>27</v>
      </c>
      <c r="D208" s="41" t="s">
        <v>18</v>
      </c>
      <c r="E208" s="68">
        <v>0</v>
      </c>
      <c r="F208" s="68">
        <v>0</v>
      </c>
      <c r="G208" s="68">
        <v>0</v>
      </c>
      <c r="H208" s="68">
        <v>0</v>
      </c>
      <c r="I208" s="68">
        <v>0</v>
      </c>
      <c r="J208" s="68">
        <v>0</v>
      </c>
      <c r="K208" s="69">
        <v>0</v>
      </c>
      <c r="L208" s="69"/>
    </row>
    <row r="209" spans="1:12" s="29" customFormat="1" ht="11.5" thickTop="1" thickBot="1" x14ac:dyDescent="0.4">
      <c r="A209" s="60">
        <v>4</v>
      </c>
      <c r="B209" s="60" t="s">
        <v>26</v>
      </c>
      <c r="C209" s="73" t="s">
        <v>27</v>
      </c>
      <c r="D209" s="27" t="s">
        <v>19</v>
      </c>
      <c r="E209" s="62">
        <f>SUM(E205:E208)</f>
        <v>0</v>
      </c>
      <c r="F209" s="62">
        <f t="shared" ref="F209:L209" si="44">SUM(F205:F208)</f>
        <v>0</v>
      </c>
      <c r="G209" s="62">
        <f t="shared" si="44"/>
        <v>0</v>
      </c>
      <c r="H209" s="62">
        <f t="shared" si="44"/>
        <v>0</v>
      </c>
      <c r="I209" s="62">
        <f t="shared" si="44"/>
        <v>0</v>
      </c>
      <c r="J209" s="62">
        <f t="shared" si="44"/>
        <v>0</v>
      </c>
      <c r="K209" s="62">
        <f t="shared" si="44"/>
        <v>0</v>
      </c>
      <c r="L209" s="62">
        <f t="shared" si="44"/>
        <v>0</v>
      </c>
    </row>
    <row r="210" spans="1:12" ht="11" thickTop="1" x14ac:dyDescent="0.35">
      <c r="A210" s="74">
        <v>4</v>
      </c>
      <c r="B210" s="74" t="s">
        <v>26</v>
      </c>
      <c r="C210" s="48" t="s">
        <v>27</v>
      </c>
      <c r="D210" s="45" t="s">
        <v>20</v>
      </c>
      <c r="E210" s="68"/>
      <c r="F210" s="68"/>
      <c r="G210" s="68"/>
      <c r="H210" s="68"/>
      <c r="I210" s="68"/>
      <c r="J210" s="68"/>
      <c r="K210" s="69"/>
      <c r="L210" s="69"/>
    </row>
    <row r="211" spans="1:12" x14ac:dyDescent="0.35">
      <c r="A211" s="66">
        <v>4</v>
      </c>
      <c r="B211" s="66" t="s">
        <v>26</v>
      </c>
      <c r="C211" s="67" t="s">
        <v>27</v>
      </c>
      <c r="D211" s="49" t="s">
        <v>21</v>
      </c>
      <c r="E211" s="68"/>
      <c r="F211" s="68"/>
      <c r="G211" s="68"/>
      <c r="H211" s="68"/>
      <c r="I211" s="68"/>
      <c r="J211" s="68"/>
      <c r="K211" s="69"/>
      <c r="L211" s="69"/>
    </row>
    <row r="212" spans="1:12" x14ac:dyDescent="0.35">
      <c r="A212" s="58">
        <v>5</v>
      </c>
      <c r="B212" s="58" t="s">
        <v>26</v>
      </c>
      <c r="C212" s="18" t="s">
        <v>28</v>
      </c>
      <c r="D212" s="23" t="s">
        <v>15</v>
      </c>
      <c r="E212" s="57">
        <v>1</v>
      </c>
      <c r="F212" s="57">
        <v>0</v>
      </c>
      <c r="G212" s="57">
        <v>0</v>
      </c>
      <c r="H212" s="57">
        <v>0</v>
      </c>
      <c r="I212" s="57">
        <f>+SUM(E212:H212)</f>
        <v>1</v>
      </c>
      <c r="J212" s="57">
        <v>2195583</v>
      </c>
      <c r="K212" s="65"/>
      <c r="L212" s="65"/>
    </row>
    <row r="213" spans="1:12" x14ac:dyDescent="0.35">
      <c r="A213" s="58">
        <v>5</v>
      </c>
      <c r="B213" s="58" t="s">
        <v>26</v>
      </c>
      <c r="C213" s="18" t="s">
        <v>28</v>
      </c>
      <c r="D213" s="23" t="s">
        <v>16</v>
      </c>
      <c r="E213" s="57">
        <v>4</v>
      </c>
      <c r="F213" s="57">
        <v>1</v>
      </c>
      <c r="G213" s="57">
        <v>0</v>
      </c>
      <c r="H213" s="57">
        <v>0</v>
      </c>
      <c r="I213" s="57">
        <f t="shared" ref="I213:I215" si="45">+SUM(E213:H213)</f>
        <v>5</v>
      </c>
      <c r="J213" s="57">
        <v>38399381</v>
      </c>
      <c r="K213" s="65"/>
      <c r="L213" s="65"/>
    </row>
    <row r="214" spans="1:12" x14ac:dyDescent="0.35">
      <c r="A214" s="58">
        <v>5</v>
      </c>
      <c r="B214" s="58" t="s">
        <v>26</v>
      </c>
      <c r="C214" s="18" t="s">
        <v>28</v>
      </c>
      <c r="D214" s="23" t="s">
        <v>17</v>
      </c>
      <c r="E214" s="57">
        <v>32</v>
      </c>
      <c r="F214" s="57">
        <v>18</v>
      </c>
      <c r="G214" s="57">
        <v>0</v>
      </c>
      <c r="H214" s="57">
        <v>0</v>
      </c>
      <c r="I214" s="57">
        <f t="shared" si="45"/>
        <v>50</v>
      </c>
      <c r="J214" s="57">
        <v>334435906</v>
      </c>
      <c r="K214" s="65"/>
      <c r="L214" s="65"/>
    </row>
    <row r="215" spans="1:12" ht="11" thickBot="1" x14ac:dyDescent="0.4">
      <c r="A215" s="58">
        <v>5</v>
      </c>
      <c r="B215" s="58" t="s">
        <v>26</v>
      </c>
      <c r="C215" s="18" t="s">
        <v>28</v>
      </c>
      <c r="D215" s="24" t="s">
        <v>18</v>
      </c>
      <c r="E215" s="78">
        <v>192</v>
      </c>
      <c r="F215" s="78">
        <v>18</v>
      </c>
      <c r="G215" s="57">
        <v>0</v>
      </c>
      <c r="H215" s="57">
        <v>0</v>
      </c>
      <c r="I215" s="57">
        <f t="shared" si="45"/>
        <v>210</v>
      </c>
      <c r="J215" s="78">
        <v>928315840</v>
      </c>
      <c r="K215" s="65"/>
      <c r="L215" s="65"/>
    </row>
    <row r="216" spans="1:12" s="29" customFormat="1" ht="11.5" thickTop="1" thickBot="1" x14ac:dyDescent="0.4">
      <c r="A216" s="60">
        <v>5</v>
      </c>
      <c r="B216" s="60" t="s">
        <v>26</v>
      </c>
      <c r="C216" s="73" t="s">
        <v>28</v>
      </c>
      <c r="D216" s="27" t="s">
        <v>19</v>
      </c>
      <c r="E216" s="62">
        <f>SUM(E212:E215)</f>
        <v>229</v>
      </c>
      <c r="F216" s="62">
        <f t="shared" ref="F216:L216" si="46">SUM(F212:F215)</f>
        <v>37</v>
      </c>
      <c r="G216" s="62">
        <f t="shared" si="46"/>
        <v>0</v>
      </c>
      <c r="H216" s="62">
        <f t="shared" si="46"/>
        <v>0</v>
      </c>
      <c r="I216" s="62">
        <f t="shared" si="46"/>
        <v>266</v>
      </c>
      <c r="J216" s="62">
        <f t="shared" si="46"/>
        <v>1303346710</v>
      </c>
      <c r="K216" s="62">
        <f t="shared" si="46"/>
        <v>0</v>
      </c>
      <c r="L216" s="62">
        <f t="shared" si="46"/>
        <v>0</v>
      </c>
    </row>
    <row r="217" spans="1:12" ht="11" thickTop="1" x14ac:dyDescent="0.35">
      <c r="A217" s="82">
        <v>5</v>
      </c>
      <c r="B217" s="82" t="s">
        <v>26</v>
      </c>
      <c r="C217" s="22" t="s">
        <v>28</v>
      </c>
      <c r="D217" s="30" t="s">
        <v>20</v>
      </c>
      <c r="E217" s="80">
        <f>+E216</f>
        <v>229</v>
      </c>
      <c r="F217" s="80">
        <f t="shared" ref="F217:L217" si="47">+F216</f>
        <v>37</v>
      </c>
      <c r="G217" s="80">
        <f t="shared" si="47"/>
        <v>0</v>
      </c>
      <c r="H217" s="80">
        <f t="shared" si="47"/>
        <v>0</v>
      </c>
      <c r="I217" s="80">
        <f t="shared" si="47"/>
        <v>266</v>
      </c>
      <c r="J217" s="80">
        <f t="shared" si="47"/>
        <v>1303346710</v>
      </c>
      <c r="K217" s="80">
        <f t="shared" si="47"/>
        <v>0</v>
      </c>
      <c r="L217" s="80">
        <f t="shared" si="47"/>
        <v>0</v>
      </c>
    </row>
    <row r="218" spans="1:12" x14ac:dyDescent="0.35">
      <c r="A218" s="58">
        <v>5</v>
      </c>
      <c r="B218" s="58" t="s">
        <v>26</v>
      </c>
      <c r="C218" s="18" t="s">
        <v>28</v>
      </c>
      <c r="D218" s="34" t="s">
        <v>21</v>
      </c>
      <c r="E218" s="80"/>
      <c r="F218" s="80"/>
      <c r="G218" s="80"/>
      <c r="H218" s="80"/>
      <c r="I218" s="80"/>
      <c r="J218" s="80"/>
      <c r="K218" s="81"/>
      <c r="L218" s="81"/>
    </row>
    <row r="219" spans="1:12" x14ac:dyDescent="0.35">
      <c r="A219" s="58">
        <v>5</v>
      </c>
      <c r="B219" s="58" t="s">
        <v>26</v>
      </c>
      <c r="C219" s="18" t="s">
        <v>28</v>
      </c>
      <c r="D219" s="34" t="s">
        <v>55</v>
      </c>
      <c r="E219" s="57">
        <f>+E41+E216</f>
        <v>945</v>
      </c>
      <c r="F219" s="57">
        <f>+F41+F216</f>
        <v>147</v>
      </c>
      <c r="G219" s="57">
        <f t="shared" ref="G219:H219" si="48">+G41+G216</f>
        <v>64</v>
      </c>
      <c r="H219" s="57">
        <f t="shared" si="48"/>
        <v>8</v>
      </c>
      <c r="I219" s="57">
        <f>+SUM(E219:H219)</f>
        <v>1164</v>
      </c>
      <c r="J219" s="57">
        <f>+I42+J42+J216</f>
        <v>15748472766</v>
      </c>
      <c r="K219" s="57">
        <f>+K42+L42</f>
        <v>10403703977</v>
      </c>
      <c r="L219" s="57"/>
    </row>
    <row r="220" spans="1:12" x14ac:dyDescent="0.25">
      <c r="A220" s="83">
        <v>6</v>
      </c>
      <c r="B220" s="83" t="s">
        <v>26</v>
      </c>
      <c r="C220" s="84" t="s">
        <v>29</v>
      </c>
      <c r="D220" s="36" t="s">
        <v>15</v>
      </c>
      <c r="E220" s="37">
        <v>0</v>
      </c>
      <c r="F220" s="37">
        <v>0</v>
      </c>
      <c r="G220" s="37">
        <v>0</v>
      </c>
      <c r="H220" s="37">
        <v>0</v>
      </c>
      <c r="I220" s="37">
        <v>0</v>
      </c>
      <c r="J220" s="37">
        <v>0</v>
      </c>
      <c r="K220" s="39">
        <v>0</v>
      </c>
      <c r="L220" s="39"/>
    </row>
    <row r="221" spans="1:12" x14ac:dyDescent="0.25">
      <c r="A221" s="83">
        <v>6</v>
      </c>
      <c r="B221" s="83" t="s">
        <v>26</v>
      </c>
      <c r="C221" s="84" t="s">
        <v>29</v>
      </c>
      <c r="D221" s="36" t="s">
        <v>16</v>
      </c>
      <c r="E221" s="37">
        <v>0</v>
      </c>
      <c r="F221" s="37">
        <v>0</v>
      </c>
      <c r="G221" s="37">
        <v>0</v>
      </c>
      <c r="H221" s="37">
        <v>0</v>
      </c>
      <c r="I221" s="37">
        <v>0</v>
      </c>
      <c r="J221" s="37">
        <v>0</v>
      </c>
      <c r="K221" s="39">
        <v>0</v>
      </c>
      <c r="L221" s="39"/>
    </row>
    <row r="222" spans="1:12" x14ac:dyDescent="0.25">
      <c r="A222" s="83">
        <v>6</v>
      </c>
      <c r="B222" s="83" t="s">
        <v>26</v>
      </c>
      <c r="C222" s="84" t="s">
        <v>29</v>
      </c>
      <c r="D222" s="36" t="s">
        <v>17</v>
      </c>
      <c r="E222" s="37">
        <v>0</v>
      </c>
      <c r="F222" s="37">
        <v>0</v>
      </c>
      <c r="G222" s="37">
        <v>0</v>
      </c>
      <c r="H222" s="37">
        <v>0</v>
      </c>
      <c r="I222" s="37">
        <v>0</v>
      </c>
      <c r="J222" s="37">
        <v>0</v>
      </c>
      <c r="K222" s="39">
        <v>0</v>
      </c>
      <c r="L222" s="39"/>
    </row>
    <row r="223" spans="1:12" ht="11" thickBot="1" x14ac:dyDescent="0.3">
      <c r="A223" s="85">
        <v>6</v>
      </c>
      <c r="B223" s="85" t="s">
        <v>26</v>
      </c>
      <c r="C223" s="86" t="s">
        <v>29</v>
      </c>
      <c r="D223" s="41" t="s">
        <v>18</v>
      </c>
      <c r="E223" s="87">
        <v>68</v>
      </c>
      <c r="F223" s="42">
        <v>0</v>
      </c>
      <c r="G223" s="42">
        <v>0</v>
      </c>
      <c r="H223" s="42">
        <v>0</v>
      </c>
      <c r="I223" s="42">
        <v>68</v>
      </c>
      <c r="J223" s="42">
        <v>222679911</v>
      </c>
      <c r="K223" s="44">
        <v>0</v>
      </c>
      <c r="L223" s="44"/>
    </row>
    <row r="224" spans="1:12" s="29" customFormat="1" ht="11.5" thickTop="1" thickBot="1" x14ac:dyDescent="0.3">
      <c r="A224" s="88">
        <v>6</v>
      </c>
      <c r="B224" s="88" t="s">
        <v>26</v>
      </c>
      <c r="C224" s="89" t="s">
        <v>29</v>
      </c>
      <c r="D224" s="27" t="s">
        <v>19</v>
      </c>
      <c r="E224" s="62">
        <f>SUM(E220:E223)</f>
        <v>68</v>
      </c>
      <c r="F224" s="62">
        <f t="shared" ref="F224:L224" si="49">SUM(F220:F223)</f>
        <v>0</v>
      </c>
      <c r="G224" s="62">
        <f t="shared" si="49"/>
        <v>0</v>
      </c>
      <c r="H224" s="62">
        <f t="shared" si="49"/>
        <v>0</v>
      </c>
      <c r="I224" s="62">
        <f t="shared" si="49"/>
        <v>68</v>
      </c>
      <c r="J224" s="62">
        <f t="shared" si="49"/>
        <v>222679911</v>
      </c>
      <c r="K224" s="62">
        <f t="shared" si="49"/>
        <v>0</v>
      </c>
      <c r="L224" s="62">
        <f t="shared" si="49"/>
        <v>0</v>
      </c>
    </row>
    <row r="225" spans="1:12" ht="11" thickTop="1" x14ac:dyDescent="0.25">
      <c r="A225" s="90">
        <v>6</v>
      </c>
      <c r="B225" s="90" t="s">
        <v>26</v>
      </c>
      <c r="C225" s="91" t="s">
        <v>29</v>
      </c>
      <c r="D225" s="45" t="s">
        <v>20</v>
      </c>
      <c r="E225" s="92"/>
      <c r="F225" s="92"/>
      <c r="G225" s="92"/>
      <c r="H225" s="92"/>
      <c r="I225" s="92"/>
      <c r="J225" s="92"/>
      <c r="K225" s="93"/>
      <c r="L225" s="93"/>
    </row>
    <row r="226" spans="1:12" x14ac:dyDescent="0.25">
      <c r="A226" s="83">
        <v>6</v>
      </c>
      <c r="B226" s="83" t="s">
        <v>26</v>
      </c>
      <c r="C226" s="84" t="s">
        <v>29</v>
      </c>
      <c r="D226" s="49" t="s">
        <v>21</v>
      </c>
      <c r="E226" s="37"/>
      <c r="F226" s="37"/>
      <c r="G226" s="37"/>
      <c r="H226" s="37"/>
      <c r="I226" s="37"/>
      <c r="J226" s="37"/>
      <c r="K226" s="39"/>
      <c r="L226" s="39"/>
    </row>
    <row r="227" spans="1:12" x14ac:dyDescent="0.25">
      <c r="A227" s="83">
        <v>6</v>
      </c>
      <c r="B227" s="83" t="s">
        <v>26</v>
      </c>
      <c r="C227" s="84" t="s">
        <v>29</v>
      </c>
      <c r="D227" s="49" t="s">
        <v>55</v>
      </c>
      <c r="E227" s="37"/>
      <c r="F227" s="37"/>
      <c r="G227" s="37"/>
      <c r="H227" s="37"/>
      <c r="I227" s="37"/>
      <c r="J227" s="37"/>
      <c r="K227" s="39"/>
      <c r="L227" s="39"/>
    </row>
    <row r="228" spans="1:12" x14ac:dyDescent="0.25">
      <c r="A228" s="94">
        <v>7</v>
      </c>
      <c r="B228" s="94" t="s">
        <v>26</v>
      </c>
      <c r="C228" s="95" t="s">
        <v>30</v>
      </c>
      <c r="D228" s="23" t="s">
        <v>15</v>
      </c>
      <c r="E228" s="57">
        <v>0</v>
      </c>
      <c r="F228" s="57">
        <v>0</v>
      </c>
      <c r="G228" s="57">
        <v>0</v>
      </c>
      <c r="H228" s="57">
        <v>0</v>
      </c>
      <c r="I228" s="57">
        <f>+SUM(E228:H228)</f>
        <v>0</v>
      </c>
      <c r="J228" s="57"/>
      <c r="K228" s="65"/>
      <c r="L228" s="65"/>
    </row>
    <row r="229" spans="1:12" x14ac:dyDescent="0.25">
      <c r="A229" s="94">
        <v>7</v>
      </c>
      <c r="B229" s="94" t="s">
        <v>26</v>
      </c>
      <c r="C229" s="95" t="s">
        <v>30</v>
      </c>
      <c r="D229" s="23" t="s">
        <v>16</v>
      </c>
      <c r="E229" s="57">
        <v>0</v>
      </c>
      <c r="F229" s="57">
        <v>0</v>
      </c>
      <c r="G229" s="57">
        <v>0</v>
      </c>
      <c r="H229" s="57">
        <v>0</v>
      </c>
      <c r="I229" s="57">
        <f t="shared" ref="I229:I231" si="50">+SUM(E229:H229)</f>
        <v>0</v>
      </c>
      <c r="J229" s="57"/>
      <c r="K229" s="65"/>
      <c r="L229" s="65"/>
    </row>
    <row r="230" spans="1:12" x14ac:dyDescent="0.25">
      <c r="A230" s="94">
        <v>7</v>
      </c>
      <c r="B230" s="94" t="s">
        <v>26</v>
      </c>
      <c r="C230" s="95" t="s">
        <v>30</v>
      </c>
      <c r="D230" s="23" t="s">
        <v>17</v>
      </c>
      <c r="E230" s="57">
        <v>0</v>
      </c>
      <c r="F230" s="57">
        <v>0</v>
      </c>
      <c r="G230" s="57">
        <v>0</v>
      </c>
      <c r="H230" s="57">
        <v>0</v>
      </c>
      <c r="I230" s="57">
        <f t="shared" si="50"/>
        <v>0</v>
      </c>
      <c r="J230" s="57"/>
      <c r="K230" s="65"/>
      <c r="L230" s="65"/>
    </row>
    <row r="231" spans="1:12" ht="11" thickBot="1" x14ac:dyDescent="0.3">
      <c r="A231" s="96">
        <v>7</v>
      </c>
      <c r="B231" s="96" t="s">
        <v>26</v>
      </c>
      <c r="C231" s="97" t="s">
        <v>30</v>
      </c>
      <c r="D231" s="24" t="s">
        <v>18</v>
      </c>
      <c r="E231" s="57">
        <v>0</v>
      </c>
      <c r="F231" s="57">
        <v>0</v>
      </c>
      <c r="G231" s="57">
        <v>0</v>
      </c>
      <c r="H231" s="57">
        <v>0</v>
      </c>
      <c r="I231" s="57">
        <f t="shared" si="50"/>
        <v>0</v>
      </c>
      <c r="J231" s="57"/>
      <c r="K231" s="65"/>
      <c r="L231" s="65"/>
    </row>
    <row r="232" spans="1:12" s="29" customFormat="1" ht="11.5" thickTop="1" thickBot="1" x14ac:dyDescent="0.3">
      <c r="A232" s="88">
        <v>7</v>
      </c>
      <c r="B232" s="88" t="s">
        <v>26</v>
      </c>
      <c r="C232" s="89" t="s">
        <v>30</v>
      </c>
      <c r="D232" s="27" t="s">
        <v>19</v>
      </c>
      <c r="E232" s="62">
        <f>SUM(E228:E231)</f>
        <v>0</v>
      </c>
      <c r="F232" s="62">
        <f t="shared" ref="F232:L232" si="51">SUM(F228:F231)</f>
        <v>0</v>
      </c>
      <c r="G232" s="62">
        <f t="shared" si="51"/>
        <v>0</v>
      </c>
      <c r="H232" s="62">
        <f t="shared" si="51"/>
        <v>0</v>
      </c>
      <c r="I232" s="62">
        <f t="shared" si="51"/>
        <v>0</v>
      </c>
      <c r="J232" s="62">
        <f t="shared" si="51"/>
        <v>0</v>
      </c>
      <c r="K232" s="62">
        <f t="shared" si="51"/>
        <v>0</v>
      </c>
      <c r="L232" s="62">
        <f t="shared" si="51"/>
        <v>0</v>
      </c>
    </row>
    <row r="233" spans="1:12" ht="11" thickTop="1" x14ac:dyDescent="0.25">
      <c r="A233" s="98">
        <v>7</v>
      </c>
      <c r="B233" s="98" t="s">
        <v>26</v>
      </c>
      <c r="C233" s="99" t="s">
        <v>30</v>
      </c>
      <c r="D233" s="30" t="s">
        <v>20</v>
      </c>
      <c r="E233" s="57">
        <v>0</v>
      </c>
      <c r="F233" s="57">
        <v>0</v>
      </c>
      <c r="G233" s="57">
        <v>0</v>
      </c>
      <c r="H233" s="57">
        <v>0</v>
      </c>
      <c r="I233" s="57">
        <v>0</v>
      </c>
      <c r="J233" s="57">
        <v>0</v>
      </c>
      <c r="K233" s="57">
        <v>0</v>
      </c>
      <c r="L233" s="57">
        <v>0</v>
      </c>
    </row>
    <row r="234" spans="1:12" x14ac:dyDescent="0.25">
      <c r="A234" s="94">
        <v>7</v>
      </c>
      <c r="B234" s="94" t="s">
        <v>26</v>
      </c>
      <c r="C234" s="95" t="s">
        <v>30</v>
      </c>
      <c r="D234" s="34" t="s">
        <v>21</v>
      </c>
      <c r="E234" s="57">
        <v>0</v>
      </c>
      <c r="F234" s="57">
        <v>0</v>
      </c>
      <c r="G234" s="57">
        <v>0</v>
      </c>
      <c r="H234" s="57">
        <v>0</v>
      </c>
      <c r="I234" s="57">
        <v>0</v>
      </c>
      <c r="J234" s="57">
        <v>0</v>
      </c>
      <c r="K234" s="57">
        <v>0</v>
      </c>
      <c r="L234" s="57">
        <v>0</v>
      </c>
    </row>
    <row r="235" spans="1:12" x14ac:dyDescent="0.25">
      <c r="A235" s="83">
        <v>8</v>
      </c>
      <c r="B235" s="83" t="s">
        <v>26</v>
      </c>
      <c r="C235" s="84" t="s">
        <v>31</v>
      </c>
      <c r="D235" s="36" t="s">
        <v>15</v>
      </c>
      <c r="E235" s="68">
        <v>3</v>
      </c>
      <c r="F235" s="68">
        <v>0</v>
      </c>
      <c r="G235" s="68">
        <v>0</v>
      </c>
      <c r="H235" s="68">
        <v>0</v>
      </c>
      <c r="I235" s="68">
        <v>3</v>
      </c>
      <c r="J235" s="68">
        <v>0</v>
      </c>
      <c r="K235" s="69">
        <v>53845269</v>
      </c>
      <c r="L235" s="69"/>
    </row>
    <row r="236" spans="1:12" x14ac:dyDescent="0.25">
      <c r="A236" s="83">
        <v>8</v>
      </c>
      <c r="B236" s="83" t="s">
        <v>26</v>
      </c>
      <c r="C236" s="84" t="s">
        <v>31</v>
      </c>
      <c r="D236" s="36" t="s">
        <v>16</v>
      </c>
      <c r="E236" s="68">
        <v>39</v>
      </c>
      <c r="F236" s="68">
        <v>1</v>
      </c>
      <c r="G236" s="68">
        <v>0</v>
      </c>
      <c r="H236" s="68">
        <v>0</v>
      </c>
      <c r="I236" s="68">
        <v>40</v>
      </c>
      <c r="J236" s="68">
        <v>0</v>
      </c>
      <c r="K236" s="69">
        <v>63867871</v>
      </c>
      <c r="L236" s="69"/>
    </row>
    <row r="237" spans="1:12" x14ac:dyDescent="0.25">
      <c r="A237" s="83">
        <v>8</v>
      </c>
      <c r="B237" s="83" t="s">
        <v>26</v>
      </c>
      <c r="C237" s="84" t="s">
        <v>31</v>
      </c>
      <c r="D237" s="36" t="s">
        <v>17</v>
      </c>
      <c r="E237" s="68">
        <v>0</v>
      </c>
      <c r="F237" s="68">
        <v>1</v>
      </c>
      <c r="G237" s="68">
        <v>0</v>
      </c>
      <c r="H237" s="68">
        <v>0</v>
      </c>
      <c r="I237" s="68">
        <v>1</v>
      </c>
      <c r="J237" s="68">
        <v>0</v>
      </c>
      <c r="K237" s="69">
        <v>346952</v>
      </c>
      <c r="L237" s="69"/>
    </row>
    <row r="238" spans="1:12" ht="11" thickBot="1" x14ac:dyDescent="0.3">
      <c r="A238" s="85">
        <v>8</v>
      </c>
      <c r="B238" s="85" t="s">
        <v>26</v>
      </c>
      <c r="C238" s="86" t="s">
        <v>31</v>
      </c>
      <c r="D238" s="41" t="s">
        <v>18</v>
      </c>
      <c r="E238" s="71">
        <v>277</v>
      </c>
      <c r="F238" s="71">
        <v>4</v>
      </c>
      <c r="G238" s="71">
        <v>0</v>
      </c>
      <c r="H238" s="71">
        <v>0</v>
      </c>
      <c r="I238" s="71">
        <v>281</v>
      </c>
      <c r="J238" s="100">
        <v>0</v>
      </c>
      <c r="K238" s="72">
        <v>924771219</v>
      </c>
      <c r="L238" s="72"/>
    </row>
    <row r="239" spans="1:12" s="29" customFormat="1" ht="11.5" thickTop="1" thickBot="1" x14ac:dyDescent="0.3">
      <c r="A239" s="88">
        <v>8</v>
      </c>
      <c r="B239" s="88" t="s">
        <v>26</v>
      </c>
      <c r="C239" s="89" t="s">
        <v>31</v>
      </c>
      <c r="D239" s="27" t="s">
        <v>19</v>
      </c>
      <c r="E239" s="62">
        <f>SUM(E235:E238)</f>
        <v>319</v>
      </c>
      <c r="F239" s="62">
        <f t="shared" ref="F239:L239" si="52">SUM(F235:F238)</f>
        <v>6</v>
      </c>
      <c r="G239" s="62">
        <f t="shared" si="52"/>
        <v>0</v>
      </c>
      <c r="H239" s="62">
        <f t="shared" si="52"/>
        <v>0</v>
      </c>
      <c r="I239" s="62">
        <f t="shared" si="52"/>
        <v>325</v>
      </c>
      <c r="J239" s="62">
        <f t="shared" si="52"/>
        <v>0</v>
      </c>
      <c r="K239" s="62">
        <f t="shared" si="52"/>
        <v>1042831311</v>
      </c>
      <c r="L239" s="62">
        <f t="shared" si="52"/>
        <v>0</v>
      </c>
    </row>
    <row r="240" spans="1:12" ht="11" thickTop="1" x14ac:dyDescent="0.25">
      <c r="A240" s="90">
        <v>8</v>
      </c>
      <c r="B240" s="90" t="s">
        <v>26</v>
      </c>
      <c r="C240" s="91" t="s">
        <v>31</v>
      </c>
      <c r="D240" s="45" t="s">
        <v>20</v>
      </c>
      <c r="E240" s="68">
        <v>0</v>
      </c>
      <c r="F240" s="68">
        <v>0</v>
      </c>
      <c r="G240" s="68">
        <v>0</v>
      </c>
      <c r="H240" s="68">
        <v>0</v>
      </c>
      <c r="I240" s="68">
        <v>0</v>
      </c>
      <c r="J240" s="68">
        <v>0</v>
      </c>
      <c r="K240" s="68">
        <v>0</v>
      </c>
      <c r="L240" s="68">
        <v>0</v>
      </c>
    </row>
    <row r="241" spans="1:12" x14ac:dyDescent="0.25">
      <c r="A241" s="83">
        <v>8</v>
      </c>
      <c r="B241" s="83" t="s">
        <v>26</v>
      </c>
      <c r="C241" s="84" t="s">
        <v>31</v>
      </c>
      <c r="D241" s="49" t="s">
        <v>21</v>
      </c>
      <c r="E241" s="68">
        <v>0</v>
      </c>
      <c r="F241" s="68">
        <v>0</v>
      </c>
      <c r="G241" s="68">
        <v>0</v>
      </c>
      <c r="H241" s="68">
        <v>0</v>
      </c>
      <c r="I241" s="68">
        <v>0</v>
      </c>
      <c r="J241" s="68">
        <v>0</v>
      </c>
      <c r="K241" s="68">
        <v>0</v>
      </c>
      <c r="L241" s="68">
        <v>0</v>
      </c>
    </row>
    <row r="242" spans="1:12" x14ac:dyDescent="0.25">
      <c r="A242" s="83">
        <v>8</v>
      </c>
      <c r="B242" s="83" t="s">
        <v>26</v>
      </c>
      <c r="C242" s="84" t="s">
        <v>31</v>
      </c>
      <c r="D242" s="49" t="s">
        <v>55</v>
      </c>
      <c r="E242" s="68">
        <f>+SUM(E240:E241)</f>
        <v>0</v>
      </c>
      <c r="F242" s="68">
        <f t="shared" ref="F242:L242" si="53">+SUM(F240:F241)</f>
        <v>0</v>
      </c>
      <c r="G242" s="68">
        <f t="shared" si="53"/>
        <v>0</v>
      </c>
      <c r="H242" s="68">
        <f t="shared" si="53"/>
        <v>0</v>
      </c>
      <c r="I242" s="68">
        <f t="shared" si="53"/>
        <v>0</v>
      </c>
      <c r="J242" s="68">
        <f t="shared" si="53"/>
        <v>0</v>
      </c>
      <c r="K242" s="68">
        <f t="shared" si="53"/>
        <v>0</v>
      </c>
      <c r="L242" s="68">
        <f t="shared" si="53"/>
        <v>0</v>
      </c>
    </row>
    <row r="243" spans="1:12" x14ac:dyDescent="0.25">
      <c r="A243" s="94">
        <v>9</v>
      </c>
      <c r="B243" s="94" t="s">
        <v>24</v>
      </c>
      <c r="C243" s="95" t="s">
        <v>32</v>
      </c>
      <c r="D243" s="23" t="s">
        <v>15</v>
      </c>
      <c r="E243" s="57">
        <v>0</v>
      </c>
      <c r="F243" s="57">
        <v>0</v>
      </c>
      <c r="G243" s="57">
        <v>0</v>
      </c>
      <c r="H243" s="57">
        <v>0</v>
      </c>
      <c r="I243" s="57">
        <v>0</v>
      </c>
      <c r="J243" s="57">
        <v>0</v>
      </c>
      <c r="K243" s="57">
        <v>0</v>
      </c>
      <c r="L243" s="57">
        <v>0</v>
      </c>
    </row>
    <row r="244" spans="1:12" x14ac:dyDescent="0.25">
      <c r="A244" s="94">
        <v>9</v>
      </c>
      <c r="B244" s="94" t="s">
        <v>24</v>
      </c>
      <c r="C244" s="95" t="s">
        <v>32</v>
      </c>
      <c r="D244" s="23" t="s">
        <v>16</v>
      </c>
      <c r="E244" s="57">
        <v>0</v>
      </c>
      <c r="F244" s="57">
        <v>0</v>
      </c>
      <c r="G244" s="57">
        <v>0</v>
      </c>
      <c r="H244" s="57">
        <v>0</v>
      </c>
      <c r="I244" s="57">
        <v>0</v>
      </c>
      <c r="J244" s="57">
        <v>0</v>
      </c>
      <c r="K244" s="57">
        <v>0</v>
      </c>
      <c r="L244" s="57">
        <v>0</v>
      </c>
    </row>
    <row r="245" spans="1:12" x14ac:dyDescent="0.25">
      <c r="A245" s="94">
        <v>9</v>
      </c>
      <c r="B245" s="94" t="s">
        <v>24</v>
      </c>
      <c r="C245" s="95" t="s">
        <v>32</v>
      </c>
      <c r="D245" s="23" t="s">
        <v>17</v>
      </c>
      <c r="E245" s="57">
        <v>0</v>
      </c>
      <c r="F245" s="57">
        <v>0</v>
      </c>
      <c r="G245" s="57">
        <v>0</v>
      </c>
      <c r="H245" s="57">
        <v>0</v>
      </c>
      <c r="I245" s="57">
        <v>0</v>
      </c>
      <c r="J245" s="57">
        <v>0</v>
      </c>
      <c r="K245" s="57">
        <v>0</v>
      </c>
      <c r="L245" s="57">
        <v>0</v>
      </c>
    </row>
    <row r="246" spans="1:12" ht="11" thickBot="1" x14ac:dyDescent="0.3">
      <c r="A246" s="96">
        <v>9</v>
      </c>
      <c r="B246" s="96" t="s">
        <v>24</v>
      </c>
      <c r="C246" s="97" t="s">
        <v>32</v>
      </c>
      <c r="D246" s="24" t="s">
        <v>18</v>
      </c>
      <c r="E246" s="57">
        <v>113</v>
      </c>
      <c r="F246" s="57">
        <v>3</v>
      </c>
      <c r="G246" s="57">
        <v>0</v>
      </c>
      <c r="H246" s="57">
        <v>0</v>
      </c>
      <c r="I246" s="57">
        <f>+SUM(E246:H246)</f>
        <v>116</v>
      </c>
      <c r="J246" s="57">
        <v>2070000000</v>
      </c>
      <c r="K246" s="65">
        <v>90000000</v>
      </c>
      <c r="L246" s="65"/>
    </row>
    <row r="247" spans="1:12" s="29" customFormat="1" ht="11.5" thickTop="1" thickBot="1" x14ac:dyDescent="0.3">
      <c r="A247" s="88">
        <v>9</v>
      </c>
      <c r="B247" s="88" t="s">
        <v>24</v>
      </c>
      <c r="C247" s="89" t="s">
        <v>32</v>
      </c>
      <c r="D247" s="27" t="s">
        <v>19</v>
      </c>
      <c r="E247" s="62">
        <f>SUM(E243:E246)</f>
        <v>113</v>
      </c>
      <c r="F247" s="62">
        <f t="shared" ref="F247:L247" si="54">SUM(F243:F246)</f>
        <v>3</v>
      </c>
      <c r="G247" s="62">
        <f t="shared" si="54"/>
        <v>0</v>
      </c>
      <c r="H247" s="62">
        <f t="shared" si="54"/>
        <v>0</v>
      </c>
      <c r="I247" s="62">
        <f t="shared" si="54"/>
        <v>116</v>
      </c>
      <c r="J247" s="62">
        <f t="shared" si="54"/>
        <v>2070000000</v>
      </c>
      <c r="K247" s="62">
        <f t="shared" si="54"/>
        <v>90000000</v>
      </c>
      <c r="L247" s="62">
        <f t="shared" si="54"/>
        <v>0</v>
      </c>
    </row>
    <row r="248" spans="1:12" ht="11" thickTop="1" x14ac:dyDescent="0.25">
      <c r="A248" s="98">
        <v>9</v>
      </c>
      <c r="B248" s="98" t="s">
        <v>24</v>
      </c>
      <c r="C248" s="99" t="s">
        <v>32</v>
      </c>
      <c r="D248" s="30" t="s">
        <v>20</v>
      </c>
      <c r="E248" s="57"/>
      <c r="F248" s="57"/>
      <c r="G248" s="57"/>
      <c r="H248" s="57"/>
      <c r="I248" s="57"/>
      <c r="J248" s="57"/>
      <c r="K248" s="65"/>
      <c r="L248" s="65"/>
    </row>
    <row r="249" spans="1:12" x14ac:dyDescent="0.25">
      <c r="A249" s="94">
        <v>9</v>
      </c>
      <c r="B249" s="94" t="s">
        <v>24</v>
      </c>
      <c r="C249" s="95" t="s">
        <v>32</v>
      </c>
      <c r="D249" s="34" t="s">
        <v>21</v>
      </c>
      <c r="E249" s="57"/>
      <c r="F249" s="57"/>
      <c r="G249" s="57"/>
      <c r="H249" s="57"/>
      <c r="I249" s="57"/>
      <c r="J249" s="57"/>
      <c r="K249" s="65"/>
      <c r="L249" s="65"/>
    </row>
    <row r="250" spans="1:12" x14ac:dyDescent="0.25">
      <c r="A250" s="94"/>
      <c r="B250" s="94" t="s">
        <v>24</v>
      </c>
      <c r="C250" s="95" t="s">
        <v>32</v>
      </c>
      <c r="D250" s="34" t="s">
        <v>55</v>
      </c>
      <c r="E250" s="57">
        <f>E69+E247</f>
        <v>352</v>
      </c>
      <c r="F250" s="57">
        <f t="shared" ref="F250:H250" si="55">F69+F247</f>
        <v>27</v>
      </c>
      <c r="G250" s="57">
        <f t="shared" si="55"/>
        <v>7</v>
      </c>
      <c r="H250" s="57">
        <f t="shared" si="55"/>
        <v>0</v>
      </c>
      <c r="I250" s="57">
        <f>+SUM(E250:H250)</f>
        <v>386</v>
      </c>
      <c r="J250" s="57">
        <f>+I69+J69+J247</f>
        <v>6486000000</v>
      </c>
      <c r="K250" s="65">
        <f>+K69+L69+K247+L247</f>
        <v>893000000</v>
      </c>
      <c r="L250" s="65"/>
    </row>
    <row r="251" spans="1:12" x14ac:dyDescent="0.25">
      <c r="A251" s="83">
        <v>10</v>
      </c>
      <c r="B251" s="83" t="s">
        <v>33</v>
      </c>
      <c r="C251" s="84" t="s">
        <v>34</v>
      </c>
      <c r="D251" s="36" t="s">
        <v>15</v>
      </c>
      <c r="E251" s="68"/>
      <c r="F251" s="68"/>
      <c r="G251" s="68"/>
      <c r="H251" s="68"/>
      <c r="I251" s="68"/>
      <c r="J251" s="68"/>
      <c r="K251" s="68"/>
      <c r="L251" s="69"/>
    </row>
    <row r="252" spans="1:12" x14ac:dyDescent="0.25">
      <c r="A252" s="83">
        <v>10</v>
      </c>
      <c r="B252" s="83" t="s">
        <v>33</v>
      </c>
      <c r="C252" s="84" t="s">
        <v>34</v>
      </c>
      <c r="D252" s="36" t="s">
        <v>16</v>
      </c>
      <c r="E252" s="68"/>
      <c r="F252" s="68">
        <v>1</v>
      </c>
      <c r="G252" s="68"/>
      <c r="H252" s="68"/>
      <c r="I252" s="68"/>
      <c r="J252" s="68">
        <v>24000000</v>
      </c>
      <c r="K252" s="68"/>
      <c r="L252" s="69"/>
    </row>
    <row r="253" spans="1:12" x14ac:dyDescent="0.25">
      <c r="A253" s="83">
        <v>10</v>
      </c>
      <c r="B253" s="83" t="s">
        <v>33</v>
      </c>
      <c r="C253" s="84" t="s">
        <v>34</v>
      </c>
      <c r="D253" s="36" t="s">
        <v>17</v>
      </c>
      <c r="E253" s="101"/>
      <c r="F253" s="101"/>
      <c r="G253" s="101"/>
      <c r="H253" s="101"/>
      <c r="I253" s="101"/>
      <c r="J253" s="101"/>
      <c r="K253" s="101"/>
      <c r="L253" s="69"/>
    </row>
    <row r="254" spans="1:12" ht="11" thickBot="1" x14ac:dyDescent="0.3">
      <c r="A254" s="85">
        <v>10</v>
      </c>
      <c r="B254" s="85" t="s">
        <v>33</v>
      </c>
      <c r="C254" s="86" t="s">
        <v>34</v>
      </c>
      <c r="D254" s="41" t="s">
        <v>18</v>
      </c>
      <c r="E254" s="100">
        <v>19</v>
      </c>
      <c r="F254" s="100">
        <v>5</v>
      </c>
      <c r="G254" s="100"/>
      <c r="H254" s="100"/>
      <c r="I254" s="100"/>
      <c r="J254" s="100">
        <v>163779905</v>
      </c>
      <c r="K254" s="100"/>
      <c r="L254" s="72"/>
    </row>
    <row r="255" spans="1:12" s="29" customFormat="1" ht="11.5" thickTop="1" thickBot="1" x14ac:dyDescent="0.3">
      <c r="A255" s="88">
        <v>10</v>
      </c>
      <c r="B255" s="88" t="s">
        <v>33</v>
      </c>
      <c r="C255" s="89" t="s">
        <v>34</v>
      </c>
      <c r="D255" s="27" t="s">
        <v>19</v>
      </c>
      <c r="E255" s="62">
        <f>SUM(E251:E254)</f>
        <v>19</v>
      </c>
      <c r="F255" s="62">
        <f t="shared" ref="F255:L255" si="56">SUM(F251:F254)</f>
        <v>6</v>
      </c>
      <c r="G255" s="62">
        <f t="shared" si="56"/>
        <v>0</v>
      </c>
      <c r="H255" s="62">
        <f t="shared" si="56"/>
        <v>0</v>
      </c>
      <c r="I255" s="62">
        <f t="shared" si="56"/>
        <v>0</v>
      </c>
      <c r="J255" s="62">
        <f t="shared" si="56"/>
        <v>187779905</v>
      </c>
      <c r="K255" s="62">
        <f t="shared" si="56"/>
        <v>0</v>
      </c>
      <c r="L255" s="62">
        <f t="shared" si="56"/>
        <v>0</v>
      </c>
    </row>
    <row r="256" spans="1:12" ht="11" thickTop="1" x14ac:dyDescent="0.25">
      <c r="A256" s="90">
        <v>10</v>
      </c>
      <c r="B256" s="90" t="s">
        <v>33</v>
      </c>
      <c r="C256" s="91" t="s">
        <v>34</v>
      </c>
      <c r="D256" s="45" t="s">
        <v>20</v>
      </c>
      <c r="E256" s="75"/>
      <c r="F256" s="75"/>
      <c r="G256" s="75"/>
      <c r="H256" s="75"/>
      <c r="I256" s="75"/>
      <c r="J256" s="75"/>
      <c r="K256" s="75"/>
      <c r="L256" s="76"/>
    </row>
    <row r="257" spans="1:12" x14ac:dyDescent="0.25">
      <c r="A257" s="83">
        <v>10</v>
      </c>
      <c r="B257" s="83" t="s">
        <v>33</v>
      </c>
      <c r="C257" s="84" t="s">
        <v>34</v>
      </c>
      <c r="D257" s="49" t="s">
        <v>21</v>
      </c>
      <c r="E257" s="68"/>
      <c r="F257" s="68"/>
      <c r="G257" s="68"/>
      <c r="H257" s="68"/>
      <c r="I257" s="68"/>
      <c r="J257" s="68"/>
      <c r="K257" s="68"/>
      <c r="L257" s="69"/>
    </row>
    <row r="258" spans="1:12" x14ac:dyDescent="0.25">
      <c r="A258" s="83">
        <v>10</v>
      </c>
      <c r="B258" s="83" t="s">
        <v>33</v>
      </c>
      <c r="C258" s="84" t="s">
        <v>34</v>
      </c>
      <c r="D258" s="49" t="s">
        <v>55</v>
      </c>
      <c r="E258" s="68">
        <v>174</v>
      </c>
      <c r="F258" s="68">
        <v>41</v>
      </c>
      <c r="G258" s="68">
        <v>6</v>
      </c>
      <c r="H258" s="68">
        <v>1</v>
      </c>
      <c r="I258" s="68"/>
      <c r="J258" s="68"/>
      <c r="K258" s="68"/>
      <c r="L258" s="69"/>
    </row>
    <row r="259" spans="1:12" x14ac:dyDescent="0.25">
      <c r="A259" s="94">
        <v>11</v>
      </c>
      <c r="B259" s="94" t="s">
        <v>24</v>
      </c>
      <c r="C259" s="95" t="s">
        <v>35</v>
      </c>
      <c r="D259" s="23" t="s">
        <v>15</v>
      </c>
      <c r="E259" s="57">
        <v>1</v>
      </c>
      <c r="F259" s="57"/>
      <c r="G259" s="57"/>
      <c r="H259" s="57"/>
      <c r="I259" s="57">
        <v>1</v>
      </c>
      <c r="J259" s="57">
        <v>5684211</v>
      </c>
      <c r="K259" s="65"/>
      <c r="L259" s="65"/>
    </row>
    <row r="260" spans="1:12" x14ac:dyDescent="0.25">
      <c r="A260" s="94">
        <v>11</v>
      </c>
      <c r="B260" s="94" t="s">
        <v>24</v>
      </c>
      <c r="C260" s="95" t="s">
        <v>35</v>
      </c>
      <c r="D260" s="23" t="s">
        <v>16</v>
      </c>
      <c r="E260" s="57"/>
      <c r="F260" s="57"/>
      <c r="G260" s="57"/>
      <c r="H260" s="57"/>
      <c r="I260" s="57"/>
      <c r="J260" s="57"/>
      <c r="K260" s="65"/>
      <c r="L260" s="65"/>
    </row>
    <row r="261" spans="1:12" x14ac:dyDescent="0.25">
      <c r="A261" s="94">
        <v>11</v>
      </c>
      <c r="B261" s="94" t="s">
        <v>24</v>
      </c>
      <c r="C261" s="95" t="s">
        <v>35</v>
      </c>
      <c r="D261" s="23" t="s">
        <v>17</v>
      </c>
      <c r="E261" s="57">
        <v>2</v>
      </c>
      <c r="F261" s="57"/>
      <c r="G261" s="57"/>
      <c r="H261" s="57"/>
      <c r="I261" s="57">
        <v>2</v>
      </c>
      <c r="J261" s="57">
        <v>18947376</v>
      </c>
      <c r="K261" s="65"/>
      <c r="L261" s="65"/>
    </row>
    <row r="262" spans="1:12" ht="11" thickBot="1" x14ac:dyDescent="0.3">
      <c r="A262" s="96">
        <v>11</v>
      </c>
      <c r="B262" s="96" t="s">
        <v>24</v>
      </c>
      <c r="C262" s="97" t="s">
        <v>35</v>
      </c>
      <c r="D262" s="24" t="s">
        <v>18</v>
      </c>
      <c r="E262" s="78">
        <v>95</v>
      </c>
      <c r="F262" s="78"/>
      <c r="G262" s="78"/>
      <c r="H262" s="78"/>
      <c r="I262" s="78">
        <v>95</v>
      </c>
      <c r="J262" s="78">
        <v>63630225</v>
      </c>
      <c r="K262" s="79"/>
      <c r="L262" s="79"/>
    </row>
    <row r="263" spans="1:12" s="29" customFormat="1" ht="11.5" thickTop="1" thickBot="1" x14ac:dyDescent="0.3">
      <c r="A263" s="88">
        <v>11</v>
      </c>
      <c r="B263" s="88" t="s">
        <v>24</v>
      </c>
      <c r="C263" s="89" t="s">
        <v>35</v>
      </c>
      <c r="D263" s="27" t="s">
        <v>19</v>
      </c>
      <c r="E263" s="62">
        <f>SUM(E259:E262)</f>
        <v>98</v>
      </c>
      <c r="F263" s="62">
        <f t="shared" ref="F263:L263" si="57">SUM(F259:F262)</f>
        <v>0</v>
      </c>
      <c r="G263" s="62">
        <f t="shared" si="57"/>
        <v>0</v>
      </c>
      <c r="H263" s="62">
        <f t="shared" si="57"/>
        <v>0</v>
      </c>
      <c r="I263" s="62">
        <f t="shared" si="57"/>
        <v>98</v>
      </c>
      <c r="J263" s="62">
        <f t="shared" si="57"/>
        <v>88261812</v>
      </c>
      <c r="K263" s="62">
        <f t="shared" si="57"/>
        <v>0</v>
      </c>
      <c r="L263" s="62">
        <f t="shared" si="57"/>
        <v>0</v>
      </c>
    </row>
    <row r="264" spans="1:12" ht="11" thickTop="1" x14ac:dyDescent="0.25">
      <c r="A264" s="98">
        <v>11</v>
      </c>
      <c r="B264" s="98" t="s">
        <v>24</v>
      </c>
      <c r="C264" s="99" t="s">
        <v>35</v>
      </c>
      <c r="D264" s="30" t="s">
        <v>20</v>
      </c>
      <c r="E264" s="80"/>
      <c r="F264" s="80"/>
      <c r="G264" s="80"/>
      <c r="H264" s="80"/>
      <c r="I264" s="80"/>
      <c r="J264" s="80"/>
      <c r="K264" s="81"/>
      <c r="L264" s="81"/>
    </row>
    <row r="265" spans="1:12" x14ac:dyDescent="0.25">
      <c r="A265" s="94">
        <v>11</v>
      </c>
      <c r="B265" s="94" t="s">
        <v>24</v>
      </c>
      <c r="C265" s="95" t="s">
        <v>35</v>
      </c>
      <c r="D265" s="34" t="s">
        <v>21</v>
      </c>
      <c r="E265" s="57"/>
      <c r="F265" s="57"/>
      <c r="G265" s="57"/>
      <c r="H265" s="57"/>
      <c r="I265" s="57"/>
      <c r="J265" s="57"/>
      <c r="K265" s="65"/>
      <c r="L265" s="65"/>
    </row>
    <row r="266" spans="1:12" x14ac:dyDescent="0.25">
      <c r="A266" s="94">
        <v>11</v>
      </c>
      <c r="B266" s="94" t="s">
        <v>24</v>
      </c>
      <c r="C266" s="95" t="s">
        <v>35</v>
      </c>
      <c r="D266" s="34" t="s">
        <v>55</v>
      </c>
      <c r="E266" s="57">
        <v>98</v>
      </c>
      <c r="F266" s="57">
        <v>0</v>
      </c>
      <c r="G266" s="57"/>
      <c r="H266" s="57"/>
      <c r="I266" s="57">
        <v>155</v>
      </c>
      <c r="J266" s="57"/>
      <c r="K266" s="65"/>
      <c r="L266" s="65"/>
    </row>
    <row r="267" spans="1:12" x14ac:dyDescent="0.25">
      <c r="A267" s="83">
        <v>12</v>
      </c>
      <c r="B267" s="83" t="s">
        <v>24</v>
      </c>
      <c r="C267" s="84" t="s">
        <v>56</v>
      </c>
      <c r="D267" s="36" t="s">
        <v>15</v>
      </c>
      <c r="E267" s="68">
        <v>0</v>
      </c>
      <c r="F267" s="68">
        <v>0</v>
      </c>
      <c r="G267" s="68">
        <v>0</v>
      </c>
      <c r="H267" s="68">
        <v>0</v>
      </c>
      <c r="I267" s="68">
        <f>+SUM(E267:H267)</f>
        <v>0</v>
      </c>
      <c r="J267" s="68"/>
      <c r="K267" s="69"/>
      <c r="L267" s="69"/>
    </row>
    <row r="268" spans="1:12" x14ac:dyDescent="0.25">
      <c r="A268" s="83">
        <v>12</v>
      </c>
      <c r="B268" s="83" t="s">
        <v>24</v>
      </c>
      <c r="C268" s="84" t="s">
        <v>56</v>
      </c>
      <c r="D268" s="36" t="s">
        <v>16</v>
      </c>
      <c r="E268" s="68">
        <v>53</v>
      </c>
      <c r="F268" s="68"/>
      <c r="G268" s="68"/>
      <c r="H268" s="68"/>
      <c r="I268" s="68">
        <f t="shared" ref="I268:I270" si="58">+SUM(E268:H268)</f>
        <v>53</v>
      </c>
      <c r="J268" s="68">
        <v>873231248</v>
      </c>
      <c r="K268" s="69"/>
      <c r="L268" s="69"/>
    </row>
    <row r="269" spans="1:12" x14ac:dyDescent="0.25">
      <c r="A269" s="83">
        <v>12</v>
      </c>
      <c r="B269" s="83" t="s">
        <v>24</v>
      </c>
      <c r="C269" s="84" t="s">
        <v>56</v>
      </c>
      <c r="D269" s="36" t="s">
        <v>17</v>
      </c>
      <c r="E269" s="68">
        <v>0</v>
      </c>
      <c r="F269" s="68">
        <v>0</v>
      </c>
      <c r="G269" s="68">
        <v>0</v>
      </c>
      <c r="H269" s="68">
        <v>0</v>
      </c>
      <c r="I269" s="68">
        <f t="shared" si="58"/>
        <v>0</v>
      </c>
      <c r="J269" s="68"/>
      <c r="K269" s="69"/>
      <c r="L269" s="69"/>
    </row>
    <row r="270" spans="1:12" ht="11" thickBot="1" x14ac:dyDescent="0.3">
      <c r="A270" s="85">
        <v>12</v>
      </c>
      <c r="B270" s="85" t="s">
        <v>24</v>
      </c>
      <c r="C270" s="86" t="s">
        <v>56</v>
      </c>
      <c r="D270" s="41" t="s">
        <v>18</v>
      </c>
      <c r="E270" s="68">
        <v>0</v>
      </c>
      <c r="F270" s="68">
        <v>0</v>
      </c>
      <c r="G270" s="68">
        <v>0</v>
      </c>
      <c r="H270" s="68">
        <v>0</v>
      </c>
      <c r="I270" s="68">
        <f t="shared" si="58"/>
        <v>0</v>
      </c>
      <c r="J270" s="68"/>
      <c r="K270" s="69"/>
      <c r="L270" s="69"/>
    </row>
    <row r="271" spans="1:12" s="29" customFormat="1" ht="22" thickTop="1" thickBot="1" x14ac:dyDescent="0.3">
      <c r="A271" s="88">
        <v>12</v>
      </c>
      <c r="B271" s="88" t="s">
        <v>24</v>
      </c>
      <c r="C271" s="89" t="s">
        <v>56</v>
      </c>
      <c r="D271" s="27" t="s">
        <v>19</v>
      </c>
      <c r="E271" s="62">
        <f>SUM(E267:E270)</f>
        <v>53</v>
      </c>
      <c r="F271" s="62">
        <f t="shared" ref="F271:L271" si="59">SUM(F267:F270)</f>
        <v>0</v>
      </c>
      <c r="G271" s="62">
        <f t="shared" si="59"/>
        <v>0</v>
      </c>
      <c r="H271" s="62">
        <f t="shared" si="59"/>
        <v>0</v>
      </c>
      <c r="I271" s="62">
        <f t="shared" si="59"/>
        <v>53</v>
      </c>
      <c r="J271" s="62">
        <f t="shared" si="59"/>
        <v>873231248</v>
      </c>
      <c r="K271" s="62">
        <f t="shared" si="59"/>
        <v>0</v>
      </c>
      <c r="L271" s="62">
        <f t="shared" si="59"/>
        <v>0</v>
      </c>
    </row>
    <row r="272" spans="1:12" ht="11" thickTop="1" x14ac:dyDescent="0.25">
      <c r="A272" s="90">
        <v>12</v>
      </c>
      <c r="B272" s="90" t="s">
        <v>24</v>
      </c>
      <c r="C272" s="91" t="s">
        <v>56</v>
      </c>
      <c r="D272" s="45" t="s">
        <v>20</v>
      </c>
      <c r="E272" s="75"/>
      <c r="F272" s="75"/>
      <c r="G272" s="75"/>
      <c r="H272" s="75"/>
      <c r="I272" s="75"/>
      <c r="J272" s="75"/>
      <c r="K272" s="76"/>
      <c r="L272" s="76"/>
    </row>
    <row r="273" spans="1:12" x14ac:dyDescent="0.25">
      <c r="A273" s="83">
        <v>12</v>
      </c>
      <c r="B273" s="83" t="s">
        <v>24</v>
      </c>
      <c r="C273" s="84" t="s">
        <v>56</v>
      </c>
      <c r="D273" s="49" t="s">
        <v>21</v>
      </c>
      <c r="E273" s="68"/>
      <c r="F273" s="68"/>
      <c r="G273" s="68"/>
      <c r="H273" s="68"/>
      <c r="I273" s="68"/>
      <c r="J273" s="68"/>
      <c r="K273" s="69"/>
      <c r="L273" s="69"/>
    </row>
    <row r="274" spans="1:12" x14ac:dyDescent="0.25">
      <c r="A274" s="83">
        <v>13</v>
      </c>
      <c r="B274" s="83" t="s">
        <v>24</v>
      </c>
      <c r="C274" s="84" t="s">
        <v>56</v>
      </c>
      <c r="D274" s="49" t="s">
        <v>55</v>
      </c>
      <c r="E274" s="68">
        <f>+E90+E271</f>
        <v>160</v>
      </c>
      <c r="F274" s="68">
        <f t="shared" ref="F274:H274" si="60">+F90+F271</f>
        <v>33</v>
      </c>
      <c r="G274" s="68">
        <f t="shared" si="60"/>
        <v>14</v>
      </c>
      <c r="H274" s="68">
        <f t="shared" si="60"/>
        <v>1</v>
      </c>
      <c r="I274" s="68">
        <f>+SUM(E274:H274)</f>
        <v>208</v>
      </c>
      <c r="J274" s="68">
        <f>+I90+J90+J271</f>
        <v>3151988172</v>
      </c>
      <c r="K274" s="69">
        <f>+K90+K271</f>
        <v>650534856</v>
      </c>
      <c r="L274" s="69"/>
    </row>
    <row r="275" spans="1:12" x14ac:dyDescent="0.25">
      <c r="A275" s="94">
        <v>13</v>
      </c>
      <c r="B275" s="94" t="s">
        <v>26</v>
      </c>
      <c r="C275" s="95" t="s">
        <v>37</v>
      </c>
      <c r="D275" s="23" t="s">
        <v>15</v>
      </c>
      <c r="E275" s="57">
        <v>0</v>
      </c>
      <c r="F275" s="57">
        <v>0</v>
      </c>
      <c r="G275" s="57">
        <v>0</v>
      </c>
      <c r="H275" s="57">
        <v>0</v>
      </c>
      <c r="I275" s="57">
        <f>+SUM(E275:H275)</f>
        <v>0</v>
      </c>
      <c r="J275" s="57"/>
      <c r="K275" s="65">
        <v>60731344</v>
      </c>
      <c r="L275" s="65"/>
    </row>
    <row r="276" spans="1:12" x14ac:dyDescent="0.25">
      <c r="A276" s="94">
        <v>13</v>
      </c>
      <c r="B276" s="94" t="s">
        <v>26</v>
      </c>
      <c r="C276" s="95" t="s">
        <v>37</v>
      </c>
      <c r="D276" s="23" t="s">
        <v>16</v>
      </c>
      <c r="E276" s="57">
        <v>0</v>
      </c>
      <c r="F276" s="57">
        <v>0</v>
      </c>
      <c r="G276" s="57">
        <v>3</v>
      </c>
      <c r="H276" s="57">
        <v>0</v>
      </c>
      <c r="I276" s="57">
        <f t="shared" ref="I276:I278" si="61">+SUM(E276:H276)</f>
        <v>3</v>
      </c>
      <c r="J276" s="57"/>
      <c r="K276" s="65"/>
      <c r="L276" s="65"/>
    </row>
    <row r="277" spans="1:12" x14ac:dyDescent="0.25">
      <c r="A277" s="94">
        <v>13</v>
      </c>
      <c r="B277" s="94" t="s">
        <v>26</v>
      </c>
      <c r="C277" s="95" t="s">
        <v>37</v>
      </c>
      <c r="D277" s="23" t="s">
        <v>17</v>
      </c>
      <c r="E277" s="57">
        <v>0</v>
      </c>
      <c r="F277" s="57">
        <v>0</v>
      </c>
      <c r="G277" s="57">
        <v>0</v>
      </c>
      <c r="H277" s="57">
        <v>0</v>
      </c>
      <c r="I277" s="57">
        <f t="shared" si="61"/>
        <v>0</v>
      </c>
      <c r="J277" s="57"/>
      <c r="K277" s="65">
        <v>2000000</v>
      </c>
      <c r="L277" s="65"/>
    </row>
    <row r="278" spans="1:12" ht="11" thickBot="1" x14ac:dyDescent="0.3">
      <c r="A278" s="96">
        <v>13</v>
      </c>
      <c r="B278" s="96" t="s">
        <v>26</v>
      </c>
      <c r="C278" s="97" t="s">
        <v>37</v>
      </c>
      <c r="D278" s="24" t="s">
        <v>18</v>
      </c>
      <c r="E278" s="57">
        <v>0</v>
      </c>
      <c r="F278" s="57">
        <v>0</v>
      </c>
      <c r="G278" s="57">
        <v>0</v>
      </c>
      <c r="H278" s="57">
        <v>0</v>
      </c>
      <c r="I278" s="57">
        <f t="shared" si="61"/>
        <v>0</v>
      </c>
      <c r="J278" s="57"/>
      <c r="K278" s="65">
        <v>62731344</v>
      </c>
      <c r="L278" s="65"/>
    </row>
    <row r="279" spans="1:12" s="29" customFormat="1" ht="11.5" thickTop="1" thickBot="1" x14ac:dyDescent="0.3">
      <c r="A279" s="88">
        <v>13</v>
      </c>
      <c r="B279" s="88" t="s">
        <v>26</v>
      </c>
      <c r="C279" s="89" t="s">
        <v>37</v>
      </c>
      <c r="D279" s="27" t="s">
        <v>19</v>
      </c>
      <c r="E279" s="62">
        <f>SUM(E275:E278)</f>
        <v>0</v>
      </c>
      <c r="F279" s="62">
        <f t="shared" ref="F279:L279" si="62">SUM(F275:F278)</f>
        <v>0</v>
      </c>
      <c r="G279" s="62">
        <f t="shared" si="62"/>
        <v>3</v>
      </c>
      <c r="H279" s="62">
        <f t="shared" si="62"/>
        <v>0</v>
      </c>
      <c r="I279" s="62">
        <f t="shared" si="62"/>
        <v>3</v>
      </c>
      <c r="J279" s="62">
        <f t="shared" si="62"/>
        <v>0</v>
      </c>
      <c r="K279" s="62">
        <f t="shared" si="62"/>
        <v>125462688</v>
      </c>
      <c r="L279" s="62">
        <f t="shared" si="62"/>
        <v>0</v>
      </c>
    </row>
    <row r="280" spans="1:12" ht="11" thickTop="1" x14ac:dyDescent="0.25">
      <c r="A280" s="98">
        <v>13</v>
      </c>
      <c r="B280" s="98" t="s">
        <v>26</v>
      </c>
      <c r="C280" s="99" t="s">
        <v>37</v>
      </c>
      <c r="D280" s="30" t="s">
        <v>20</v>
      </c>
      <c r="E280" s="80">
        <v>0</v>
      </c>
      <c r="F280" s="80"/>
      <c r="G280" s="80"/>
      <c r="H280" s="80"/>
      <c r="I280" s="80"/>
      <c r="J280" s="80"/>
      <c r="K280" s="81"/>
      <c r="L280" s="81"/>
    </row>
    <row r="281" spans="1:12" x14ac:dyDescent="0.25">
      <c r="A281" s="94">
        <v>13</v>
      </c>
      <c r="B281" s="94" t="s">
        <v>26</v>
      </c>
      <c r="C281" s="95" t="s">
        <v>37</v>
      </c>
      <c r="D281" s="34" t="s">
        <v>21</v>
      </c>
      <c r="E281" s="57">
        <v>0</v>
      </c>
      <c r="F281" s="57"/>
      <c r="G281" s="57"/>
      <c r="H281" s="57"/>
      <c r="I281" s="57"/>
      <c r="J281" s="57"/>
      <c r="K281" s="65"/>
      <c r="L281" s="65"/>
    </row>
    <row r="282" spans="1:12" x14ac:dyDescent="0.25">
      <c r="A282" s="94">
        <v>14</v>
      </c>
      <c r="B282" s="94" t="s">
        <v>26</v>
      </c>
      <c r="C282" s="95" t="s">
        <v>37</v>
      </c>
      <c r="D282" s="95" t="s">
        <v>55</v>
      </c>
      <c r="E282" s="57">
        <f>+E97</f>
        <v>4</v>
      </c>
      <c r="F282" s="57">
        <f>+F97</f>
        <v>1</v>
      </c>
      <c r="G282" s="57">
        <f>+G97+G279</f>
        <v>3</v>
      </c>
      <c r="H282" s="57">
        <f>+H97+H279</f>
        <v>0</v>
      </c>
      <c r="I282" s="57">
        <f>+SUM(E282:H282)</f>
        <v>8</v>
      </c>
      <c r="J282" s="57">
        <f>+I97+J97</f>
        <v>27406848</v>
      </c>
      <c r="K282" s="65">
        <f>+K279</f>
        <v>125462688</v>
      </c>
      <c r="L282" s="65"/>
    </row>
    <row r="283" spans="1:12" ht="31.5" x14ac:dyDescent="0.25">
      <c r="A283" s="83">
        <v>14</v>
      </c>
      <c r="B283" s="83" t="s">
        <v>38</v>
      </c>
      <c r="C283" s="84" t="s">
        <v>39</v>
      </c>
      <c r="D283" s="36" t="s">
        <v>15</v>
      </c>
      <c r="E283" s="68">
        <v>0</v>
      </c>
      <c r="F283" s="68">
        <v>0</v>
      </c>
      <c r="G283" s="68">
        <v>0</v>
      </c>
      <c r="H283" s="68">
        <v>0</v>
      </c>
      <c r="I283" s="68">
        <v>0</v>
      </c>
      <c r="J283" s="68">
        <v>0</v>
      </c>
      <c r="K283" s="69">
        <v>0</v>
      </c>
      <c r="L283" s="69"/>
    </row>
    <row r="284" spans="1:12" ht="31.5" x14ac:dyDescent="0.25">
      <c r="A284" s="83">
        <v>14</v>
      </c>
      <c r="B284" s="83" t="s">
        <v>38</v>
      </c>
      <c r="C284" s="84" t="s">
        <v>39</v>
      </c>
      <c r="D284" s="36" t="s">
        <v>16</v>
      </c>
      <c r="E284" s="68">
        <v>0</v>
      </c>
      <c r="F284" s="68">
        <v>0</v>
      </c>
      <c r="G284" s="68">
        <v>0</v>
      </c>
      <c r="H284" s="68">
        <v>0</v>
      </c>
      <c r="I284" s="68">
        <v>0</v>
      </c>
      <c r="J284" s="68">
        <v>0</v>
      </c>
      <c r="K284" s="69">
        <v>0</v>
      </c>
      <c r="L284" s="69"/>
    </row>
    <row r="285" spans="1:12" ht="31.5" x14ac:dyDescent="0.25">
      <c r="A285" s="83">
        <v>14</v>
      </c>
      <c r="B285" s="83" t="s">
        <v>38</v>
      </c>
      <c r="C285" s="84" t="s">
        <v>39</v>
      </c>
      <c r="D285" s="36" t="s">
        <v>17</v>
      </c>
      <c r="E285" s="68">
        <v>0</v>
      </c>
      <c r="F285" s="68">
        <v>0</v>
      </c>
      <c r="G285" s="68">
        <v>0</v>
      </c>
      <c r="H285" s="68">
        <v>0</v>
      </c>
      <c r="I285" s="68">
        <v>0</v>
      </c>
      <c r="J285" s="68">
        <v>0</v>
      </c>
      <c r="K285" s="69">
        <v>0</v>
      </c>
      <c r="L285" s="69"/>
    </row>
    <row r="286" spans="1:12" ht="32" thickBot="1" x14ac:dyDescent="0.3">
      <c r="A286" s="85">
        <v>14</v>
      </c>
      <c r="B286" s="85" t="s">
        <v>38</v>
      </c>
      <c r="C286" s="86" t="s">
        <v>39</v>
      </c>
      <c r="D286" s="41" t="s">
        <v>18</v>
      </c>
      <c r="E286" s="71">
        <v>0</v>
      </c>
      <c r="F286" s="71">
        <v>0</v>
      </c>
      <c r="G286" s="71">
        <v>0</v>
      </c>
      <c r="H286" s="71">
        <v>0</v>
      </c>
      <c r="I286" s="71">
        <v>0</v>
      </c>
      <c r="J286" s="71">
        <v>0</v>
      </c>
      <c r="K286" s="72">
        <v>0</v>
      </c>
      <c r="L286" s="72"/>
    </row>
    <row r="287" spans="1:12" s="29" customFormat="1" ht="43" thickTop="1" thickBot="1" x14ac:dyDescent="0.3">
      <c r="A287" s="88">
        <v>14</v>
      </c>
      <c r="B287" s="88" t="s">
        <v>38</v>
      </c>
      <c r="C287" s="89" t="s">
        <v>39</v>
      </c>
      <c r="D287" s="27" t="s">
        <v>19</v>
      </c>
      <c r="E287" s="62">
        <f>SUM(E283:E286)</f>
        <v>0</v>
      </c>
      <c r="F287" s="62">
        <f t="shared" ref="F287:L287" si="63">SUM(F283:F286)</f>
        <v>0</v>
      </c>
      <c r="G287" s="62">
        <f t="shared" si="63"/>
        <v>0</v>
      </c>
      <c r="H287" s="62">
        <f t="shared" si="63"/>
        <v>0</v>
      </c>
      <c r="I287" s="62">
        <f t="shared" si="63"/>
        <v>0</v>
      </c>
      <c r="J287" s="62">
        <f t="shared" si="63"/>
        <v>0</v>
      </c>
      <c r="K287" s="62">
        <f t="shared" si="63"/>
        <v>0</v>
      </c>
      <c r="L287" s="62">
        <f t="shared" si="63"/>
        <v>0</v>
      </c>
    </row>
    <row r="288" spans="1:12" ht="32" thickTop="1" x14ac:dyDescent="0.25">
      <c r="A288" s="90">
        <v>14</v>
      </c>
      <c r="B288" s="90" t="s">
        <v>38</v>
      </c>
      <c r="C288" s="91" t="s">
        <v>39</v>
      </c>
      <c r="D288" s="45" t="s">
        <v>20</v>
      </c>
      <c r="E288" s="75">
        <v>0</v>
      </c>
      <c r="F288" s="75">
        <v>0</v>
      </c>
      <c r="G288" s="75">
        <v>0</v>
      </c>
      <c r="H288" s="75">
        <v>0</v>
      </c>
      <c r="I288" s="75">
        <v>0</v>
      </c>
      <c r="J288" s="75">
        <v>0</v>
      </c>
      <c r="K288" s="76">
        <v>0</v>
      </c>
      <c r="L288" s="76"/>
    </row>
    <row r="289" spans="1:12" ht="31.5" x14ac:dyDescent="0.25">
      <c r="A289" s="83">
        <v>14</v>
      </c>
      <c r="B289" s="83" t="s">
        <v>38</v>
      </c>
      <c r="C289" s="84" t="s">
        <v>39</v>
      </c>
      <c r="D289" s="49" t="s">
        <v>21</v>
      </c>
      <c r="E289" s="68">
        <v>0</v>
      </c>
      <c r="F289" s="68">
        <v>0</v>
      </c>
      <c r="G289" s="68">
        <v>0</v>
      </c>
      <c r="H289" s="68">
        <v>0</v>
      </c>
      <c r="I289" s="68">
        <v>0</v>
      </c>
      <c r="J289" s="68">
        <v>0</v>
      </c>
      <c r="K289" s="69">
        <v>0</v>
      </c>
      <c r="L289" s="69"/>
    </row>
    <row r="290" spans="1:12" x14ac:dyDescent="0.25">
      <c r="A290" s="94">
        <v>15</v>
      </c>
      <c r="B290" s="94" t="s">
        <v>24</v>
      </c>
      <c r="C290" s="95" t="s">
        <v>40</v>
      </c>
      <c r="D290" s="23" t="s">
        <v>15</v>
      </c>
      <c r="E290" s="57">
        <v>0</v>
      </c>
      <c r="F290" s="57">
        <v>0</v>
      </c>
      <c r="G290" s="57">
        <v>0</v>
      </c>
      <c r="H290" s="57">
        <v>0</v>
      </c>
      <c r="I290" s="57">
        <v>0</v>
      </c>
      <c r="J290" s="57">
        <v>0</v>
      </c>
      <c r="K290" s="65">
        <v>0</v>
      </c>
      <c r="L290" s="65"/>
    </row>
    <row r="291" spans="1:12" x14ac:dyDescent="0.25">
      <c r="A291" s="94">
        <v>15</v>
      </c>
      <c r="B291" s="94" t="s">
        <v>24</v>
      </c>
      <c r="C291" s="95" t="s">
        <v>40</v>
      </c>
      <c r="D291" s="23" t="s">
        <v>16</v>
      </c>
      <c r="E291" s="57">
        <v>1</v>
      </c>
      <c r="F291" s="57">
        <v>0</v>
      </c>
      <c r="G291" s="57">
        <v>0</v>
      </c>
      <c r="H291" s="57"/>
      <c r="I291" s="57">
        <v>1</v>
      </c>
      <c r="J291" s="57">
        <v>4530219</v>
      </c>
      <c r="K291" s="65"/>
      <c r="L291" s="65"/>
    </row>
    <row r="292" spans="1:12" x14ac:dyDescent="0.25">
      <c r="A292" s="94">
        <v>15</v>
      </c>
      <c r="B292" s="94" t="s">
        <v>24</v>
      </c>
      <c r="C292" s="95" t="s">
        <v>40</v>
      </c>
      <c r="D292" s="23" t="s">
        <v>17</v>
      </c>
      <c r="E292" s="57">
        <v>0</v>
      </c>
      <c r="F292" s="57">
        <v>0</v>
      </c>
      <c r="G292" s="57">
        <v>0</v>
      </c>
      <c r="H292" s="57">
        <v>0</v>
      </c>
      <c r="I292" s="57">
        <v>0</v>
      </c>
      <c r="J292" s="57">
        <v>0</v>
      </c>
      <c r="K292" s="65">
        <v>0</v>
      </c>
      <c r="L292" s="65"/>
    </row>
    <row r="293" spans="1:12" ht="11" thickBot="1" x14ac:dyDescent="0.3">
      <c r="A293" s="96">
        <v>15</v>
      </c>
      <c r="B293" s="96" t="s">
        <v>24</v>
      </c>
      <c r="C293" s="97" t="s">
        <v>40</v>
      </c>
      <c r="D293" s="24" t="s">
        <v>18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9">
        <v>0</v>
      </c>
      <c r="L293" s="79"/>
    </row>
    <row r="294" spans="1:12" s="29" customFormat="1" ht="11.5" thickTop="1" thickBot="1" x14ac:dyDescent="0.3">
      <c r="A294" s="88">
        <v>15</v>
      </c>
      <c r="B294" s="88" t="s">
        <v>24</v>
      </c>
      <c r="C294" s="89" t="s">
        <v>40</v>
      </c>
      <c r="D294" s="27" t="s">
        <v>19</v>
      </c>
      <c r="E294" s="62">
        <f>SUM(E290:E293)</f>
        <v>1</v>
      </c>
      <c r="F294" s="62">
        <f t="shared" ref="F294:L294" si="64">SUM(F290:F293)</f>
        <v>0</v>
      </c>
      <c r="G294" s="62">
        <f t="shared" si="64"/>
        <v>0</v>
      </c>
      <c r="H294" s="62">
        <f t="shared" si="64"/>
        <v>0</v>
      </c>
      <c r="I294" s="62">
        <f t="shared" si="64"/>
        <v>1</v>
      </c>
      <c r="J294" s="62">
        <f t="shared" si="64"/>
        <v>4530219</v>
      </c>
      <c r="K294" s="62">
        <f t="shared" si="64"/>
        <v>0</v>
      </c>
      <c r="L294" s="62">
        <f t="shared" si="64"/>
        <v>0</v>
      </c>
    </row>
    <row r="295" spans="1:12" ht="11" thickTop="1" x14ac:dyDescent="0.25">
      <c r="A295" s="98">
        <v>15</v>
      </c>
      <c r="B295" s="98" t="s">
        <v>24</v>
      </c>
      <c r="C295" s="99" t="s">
        <v>40</v>
      </c>
      <c r="D295" s="30" t="s">
        <v>20</v>
      </c>
      <c r="E295" s="80">
        <v>0</v>
      </c>
      <c r="F295" s="80">
        <v>0</v>
      </c>
      <c r="G295" s="80">
        <v>0</v>
      </c>
      <c r="H295" s="80">
        <v>0</v>
      </c>
      <c r="I295" s="80">
        <v>0</v>
      </c>
      <c r="J295" s="80">
        <v>0</v>
      </c>
      <c r="K295" s="81">
        <v>0</v>
      </c>
      <c r="L295" s="81"/>
    </row>
    <row r="296" spans="1:12" x14ac:dyDescent="0.25">
      <c r="A296" s="94">
        <v>15</v>
      </c>
      <c r="B296" s="94" t="s">
        <v>24</v>
      </c>
      <c r="C296" s="95" t="s">
        <v>40</v>
      </c>
      <c r="D296" s="34" t="s">
        <v>21</v>
      </c>
      <c r="E296" s="57">
        <v>0</v>
      </c>
      <c r="F296" s="57">
        <v>0</v>
      </c>
      <c r="G296" s="57">
        <v>0</v>
      </c>
      <c r="H296" s="57">
        <v>0</v>
      </c>
      <c r="I296" s="57">
        <v>0</v>
      </c>
      <c r="J296" s="57">
        <v>0</v>
      </c>
      <c r="K296" s="65">
        <v>0</v>
      </c>
      <c r="L296" s="65"/>
    </row>
    <row r="297" spans="1:12" ht="31.5" x14ac:dyDescent="0.25">
      <c r="A297" s="83">
        <v>16</v>
      </c>
      <c r="B297" s="83" t="s">
        <v>24</v>
      </c>
      <c r="C297" s="84" t="s">
        <v>41</v>
      </c>
      <c r="D297" s="36" t="s">
        <v>15</v>
      </c>
      <c r="E297" s="68"/>
      <c r="F297" s="68"/>
      <c r="G297" s="68"/>
      <c r="H297" s="68"/>
      <c r="I297" s="68"/>
      <c r="J297" s="68"/>
      <c r="K297" s="69"/>
      <c r="L297" s="69"/>
    </row>
    <row r="298" spans="1:12" ht="31.5" x14ac:dyDescent="0.25">
      <c r="A298" s="83">
        <v>16</v>
      </c>
      <c r="B298" s="83" t="s">
        <v>24</v>
      </c>
      <c r="C298" s="84" t="s">
        <v>41</v>
      </c>
      <c r="D298" s="36" t="s">
        <v>16</v>
      </c>
      <c r="E298" s="101">
        <v>21</v>
      </c>
      <c r="F298" s="37">
        <v>5</v>
      </c>
      <c r="G298" s="68"/>
      <c r="H298" s="68"/>
      <c r="I298" s="101">
        <v>26</v>
      </c>
      <c r="J298" s="68">
        <v>416689489</v>
      </c>
      <c r="K298" s="69">
        <v>72080902</v>
      </c>
      <c r="L298" s="69"/>
    </row>
    <row r="299" spans="1:12" ht="31.5" x14ac:dyDescent="0.25">
      <c r="A299" s="83">
        <v>16</v>
      </c>
      <c r="B299" s="83" t="s">
        <v>24</v>
      </c>
      <c r="C299" s="84" t="s">
        <v>41</v>
      </c>
      <c r="D299" s="36" t="s">
        <v>17</v>
      </c>
      <c r="E299" s="68">
        <v>6</v>
      </c>
      <c r="F299" s="68">
        <v>4</v>
      </c>
      <c r="G299" s="68"/>
      <c r="H299" s="68"/>
      <c r="I299" s="68">
        <v>10</v>
      </c>
      <c r="J299" s="68">
        <v>88616117</v>
      </c>
      <c r="K299" s="69">
        <v>74369376</v>
      </c>
      <c r="L299" s="69"/>
    </row>
    <row r="300" spans="1:12" ht="32" thickBot="1" x14ac:dyDescent="0.3">
      <c r="A300" s="85">
        <v>16</v>
      </c>
      <c r="B300" s="85" t="s">
        <v>24</v>
      </c>
      <c r="C300" s="86" t="s">
        <v>41</v>
      </c>
      <c r="D300" s="41" t="s">
        <v>18</v>
      </c>
      <c r="E300" s="100">
        <v>43</v>
      </c>
      <c r="F300" s="100">
        <v>6</v>
      </c>
      <c r="G300" s="71"/>
      <c r="H300" s="71"/>
      <c r="I300" s="100">
        <v>49</v>
      </c>
      <c r="J300" s="71">
        <v>268019443</v>
      </c>
      <c r="K300" s="72">
        <v>47417654</v>
      </c>
      <c r="L300" s="72"/>
    </row>
    <row r="301" spans="1:12" s="29" customFormat="1" ht="32.5" thickTop="1" thickBot="1" x14ac:dyDescent="0.3">
      <c r="A301" s="88">
        <v>16</v>
      </c>
      <c r="B301" s="88" t="s">
        <v>24</v>
      </c>
      <c r="C301" s="89" t="s">
        <v>41</v>
      </c>
      <c r="D301" s="27" t="s">
        <v>19</v>
      </c>
      <c r="E301" s="62">
        <f>SUM(E297:E300)</f>
        <v>70</v>
      </c>
      <c r="F301" s="62">
        <f t="shared" ref="F301:L301" si="65">SUM(F297:F300)</f>
        <v>15</v>
      </c>
      <c r="G301" s="62">
        <f t="shared" si="65"/>
        <v>0</v>
      </c>
      <c r="H301" s="62">
        <f t="shared" si="65"/>
        <v>0</v>
      </c>
      <c r="I301" s="62">
        <f t="shared" si="65"/>
        <v>85</v>
      </c>
      <c r="J301" s="62">
        <f t="shared" si="65"/>
        <v>773325049</v>
      </c>
      <c r="K301" s="62">
        <f t="shared" si="65"/>
        <v>193867932</v>
      </c>
      <c r="L301" s="62">
        <f t="shared" si="65"/>
        <v>0</v>
      </c>
    </row>
    <row r="302" spans="1:12" ht="32" thickTop="1" x14ac:dyDescent="0.25">
      <c r="A302" s="90">
        <v>16</v>
      </c>
      <c r="B302" s="90" t="s">
        <v>24</v>
      </c>
      <c r="C302" s="91" t="s">
        <v>41</v>
      </c>
      <c r="D302" s="45" t="s">
        <v>20</v>
      </c>
      <c r="E302" s="75"/>
      <c r="F302" s="75"/>
      <c r="G302" s="75"/>
      <c r="H302" s="75"/>
      <c r="I302" s="75"/>
      <c r="J302" s="75"/>
      <c r="K302" s="76"/>
      <c r="L302" s="76"/>
    </row>
    <row r="303" spans="1:12" ht="31.5" x14ac:dyDescent="0.25">
      <c r="A303" s="83">
        <v>16</v>
      </c>
      <c r="B303" s="83" t="s">
        <v>24</v>
      </c>
      <c r="C303" s="84" t="s">
        <v>41</v>
      </c>
      <c r="D303" s="49" t="s">
        <v>21</v>
      </c>
      <c r="E303" s="68">
        <v>70</v>
      </c>
      <c r="F303" s="102">
        <v>15</v>
      </c>
      <c r="G303" s="68"/>
      <c r="H303" s="68"/>
      <c r="I303" s="68">
        <v>85</v>
      </c>
      <c r="J303" s="68">
        <v>773325049</v>
      </c>
      <c r="K303" s="69">
        <v>193867932</v>
      </c>
      <c r="L303" s="69"/>
    </row>
    <row r="304" spans="1:12" ht="31.5" x14ac:dyDescent="0.25">
      <c r="A304" s="83">
        <v>16</v>
      </c>
      <c r="B304" s="83" t="s">
        <v>24</v>
      </c>
      <c r="C304" s="84" t="s">
        <v>41</v>
      </c>
      <c r="D304" s="49" t="s">
        <v>55</v>
      </c>
      <c r="E304" s="68">
        <v>107</v>
      </c>
      <c r="F304" s="102">
        <v>17</v>
      </c>
      <c r="G304" s="68"/>
      <c r="H304" s="68"/>
      <c r="I304" s="68">
        <v>124</v>
      </c>
      <c r="J304" s="68">
        <v>2091552484</v>
      </c>
      <c r="K304" s="69">
        <v>193867932</v>
      </c>
      <c r="L304" s="69"/>
    </row>
    <row r="305" spans="1:15" x14ac:dyDescent="0.25">
      <c r="A305" s="94">
        <v>17</v>
      </c>
      <c r="B305" s="94" t="s">
        <v>24</v>
      </c>
      <c r="C305" s="95" t="s">
        <v>42</v>
      </c>
      <c r="D305" s="23" t="s">
        <v>15</v>
      </c>
      <c r="E305" s="57">
        <v>0</v>
      </c>
      <c r="F305" s="57">
        <v>0</v>
      </c>
      <c r="G305" s="57">
        <v>0</v>
      </c>
      <c r="H305" s="57">
        <v>0</v>
      </c>
      <c r="I305" s="57">
        <v>0</v>
      </c>
      <c r="J305" s="57">
        <v>0</v>
      </c>
      <c r="K305" s="65">
        <v>0</v>
      </c>
      <c r="L305" s="65"/>
    </row>
    <row r="306" spans="1:15" x14ac:dyDescent="0.25">
      <c r="A306" s="94">
        <v>17</v>
      </c>
      <c r="B306" s="94" t="s">
        <v>24</v>
      </c>
      <c r="C306" s="95" t="s">
        <v>42</v>
      </c>
      <c r="D306" s="23" t="s">
        <v>16</v>
      </c>
      <c r="E306" s="57">
        <v>0</v>
      </c>
      <c r="F306" s="57">
        <v>0</v>
      </c>
      <c r="G306" s="57">
        <v>0</v>
      </c>
      <c r="H306" s="57">
        <v>0</v>
      </c>
      <c r="I306" s="57">
        <v>0</v>
      </c>
      <c r="J306" s="57">
        <v>0</v>
      </c>
      <c r="K306" s="65">
        <v>0</v>
      </c>
      <c r="L306" s="65"/>
    </row>
    <row r="307" spans="1:15" x14ac:dyDescent="0.25">
      <c r="A307" s="94">
        <v>17</v>
      </c>
      <c r="B307" s="94" t="s">
        <v>24</v>
      </c>
      <c r="C307" s="95" t="s">
        <v>42</v>
      </c>
      <c r="D307" s="23" t="s">
        <v>17</v>
      </c>
      <c r="E307" s="57">
        <v>0</v>
      </c>
      <c r="F307" s="57">
        <v>0</v>
      </c>
      <c r="G307" s="57">
        <v>0</v>
      </c>
      <c r="H307" s="57">
        <v>0</v>
      </c>
      <c r="I307" s="57">
        <v>0</v>
      </c>
      <c r="J307" s="57">
        <v>0</v>
      </c>
      <c r="K307" s="65">
        <v>0</v>
      </c>
      <c r="L307" s="65"/>
    </row>
    <row r="308" spans="1:15" ht="11" thickBot="1" x14ac:dyDescent="0.3">
      <c r="A308" s="96">
        <v>17</v>
      </c>
      <c r="B308" s="96" t="s">
        <v>24</v>
      </c>
      <c r="C308" s="97" t="s">
        <v>42</v>
      </c>
      <c r="D308" s="24" t="s">
        <v>18</v>
      </c>
      <c r="E308" s="57">
        <v>0</v>
      </c>
      <c r="F308" s="57">
        <v>0</v>
      </c>
      <c r="G308" s="57">
        <v>0</v>
      </c>
      <c r="H308" s="57">
        <v>0</v>
      </c>
      <c r="I308" s="57">
        <v>0</v>
      </c>
      <c r="J308" s="57">
        <v>0</v>
      </c>
      <c r="K308" s="65">
        <v>0</v>
      </c>
      <c r="L308" s="65"/>
    </row>
    <row r="309" spans="1:15" s="29" customFormat="1" ht="11.5" thickTop="1" thickBot="1" x14ac:dyDescent="0.3">
      <c r="A309" s="88">
        <v>17</v>
      </c>
      <c r="B309" s="88" t="s">
        <v>24</v>
      </c>
      <c r="C309" s="89" t="s">
        <v>42</v>
      </c>
      <c r="D309" s="27" t="s">
        <v>19</v>
      </c>
      <c r="E309" s="62">
        <f>SUM(E305:E308)</f>
        <v>0</v>
      </c>
      <c r="F309" s="62">
        <f t="shared" ref="F309:L309" si="66">SUM(F305:F308)</f>
        <v>0</v>
      </c>
      <c r="G309" s="62">
        <f t="shared" si="66"/>
        <v>0</v>
      </c>
      <c r="H309" s="62">
        <f t="shared" si="66"/>
        <v>0</v>
      </c>
      <c r="I309" s="62">
        <f t="shared" si="66"/>
        <v>0</v>
      </c>
      <c r="J309" s="62">
        <f t="shared" si="66"/>
        <v>0</v>
      </c>
      <c r="K309" s="62">
        <f t="shared" si="66"/>
        <v>0</v>
      </c>
      <c r="L309" s="62">
        <f t="shared" si="66"/>
        <v>0</v>
      </c>
      <c r="O309" s="29">
        <v>0</v>
      </c>
    </row>
    <row r="310" spans="1:15" ht="11" thickTop="1" x14ac:dyDescent="0.25">
      <c r="A310" s="98">
        <v>17</v>
      </c>
      <c r="B310" s="98" t="s">
        <v>24</v>
      </c>
      <c r="C310" s="99" t="s">
        <v>42</v>
      </c>
      <c r="D310" s="30" t="s">
        <v>20</v>
      </c>
      <c r="E310" s="80"/>
      <c r="F310" s="80"/>
      <c r="G310" s="80"/>
      <c r="H310" s="80"/>
      <c r="I310" s="80"/>
      <c r="J310" s="80"/>
      <c r="K310" s="81"/>
      <c r="L310" s="81"/>
    </row>
    <row r="311" spans="1:15" x14ac:dyDescent="0.25">
      <c r="A311" s="94">
        <v>17</v>
      </c>
      <c r="B311" s="94" t="s">
        <v>24</v>
      </c>
      <c r="C311" s="95" t="s">
        <v>42</v>
      </c>
      <c r="D311" s="34" t="s">
        <v>21</v>
      </c>
      <c r="E311" s="57"/>
      <c r="F311" s="57"/>
      <c r="G311" s="57"/>
      <c r="H311" s="57"/>
      <c r="I311" s="57"/>
      <c r="J311" s="57"/>
      <c r="K311" s="65"/>
      <c r="L311" s="65"/>
    </row>
    <row r="312" spans="1:15" x14ac:dyDescent="0.25">
      <c r="A312" s="83">
        <v>18</v>
      </c>
      <c r="B312" s="83" t="s">
        <v>26</v>
      </c>
      <c r="C312" s="84" t="s">
        <v>43</v>
      </c>
      <c r="D312" s="36" t="s">
        <v>15</v>
      </c>
      <c r="E312" s="68">
        <v>1</v>
      </c>
      <c r="F312" s="37">
        <v>0</v>
      </c>
      <c r="G312" s="37"/>
      <c r="H312" s="37"/>
      <c r="I312" s="68">
        <v>1</v>
      </c>
      <c r="J312" s="37">
        <v>10036842</v>
      </c>
      <c r="K312" s="39"/>
      <c r="L312" s="39"/>
    </row>
    <row r="313" spans="1:15" x14ac:dyDescent="0.25">
      <c r="A313" s="83">
        <v>18</v>
      </c>
      <c r="B313" s="83" t="s">
        <v>26</v>
      </c>
      <c r="C313" s="84" t="s">
        <v>43</v>
      </c>
      <c r="D313" s="36" t="s">
        <v>16</v>
      </c>
      <c r="E313" s="68">
        <v>1</v>
      </c>
      <c r="F313" s="37">
        <v>0</v>
      </c>
      <c r="G313" s="37">
        <v>1</v>
      </c>
      <c r="H313" s="37"/>
      <c r="I313" s="68">
        <v>2</v>
      </c>
      <c r="J313" s="37">
        <v>5821053</v>
      </c>
      <c r="K313" s="39">
        <v>16666668</v>
      </c>
      <c r="L313" s="39"/>
    </row>
    <row r="314" spans="1:15" x14ac:dyDescent="0.25">
      <c r="A314" s="83">
        <v>18</v>
      </c>
      <c r="B314" s="83" t="s">
        <v>26</v>
      </c>
      <c r="C314" s="84" t="s">
        <v>43</v>
      </c>
      <c r="D314" s="36" t="s">
        <v>17</v>
      </c>
      <c r="E314" s="101">
        <v>1</v>
      </c>
      <c r="F314" s="37">
        <v>0</v>
      </c>
      <c r="G314" s="37"/>
      <c r="H314" s="37"/>
      <c r="I314" s="68">
        <v>1</v>
      </c>
      <c r="J314" s="37">
        <v>3516055</v>
      </c>
      <c r="K314" s="39"/>
      <c r="L314" s="39"/>
    </row>
    <row r="315" spans="1:15" ht="11" thickBot="1" x14ac:dyDescent="0.3">
      <c r="A315" s="85">
        <v>18</v>
      </c>
      <c r="B315" s="85" t="s">
        <v>26</v>
      </c>
      <c r="C315" s="86" t="s">
        <v>43</v>
      </c>
      <c r="D315" s="41" t="s">
        <v>18</v>
      </c>
      <c r="E315" s="42">
        <v>0</v>
      </c>
      <c r="F315" s="100">
        <v>1</v>
      </c>
      <c r="G315" s="42"/>
      <c r="H315" s="42"/>
      <c r="I315" s="42">
        <v>1</v>
      </c>
      <c r="J315" s="100">
        <v>442104</v>
      </c>
      <c r="K315" s="39"/>
      <c r="L315" s="39"/>
    </row>
    <row r="316" spans="1:15" s="29" customFormat="1" ht="22" thickTop="1" thickBot="1" x14ac:dyDescent="0.3">
      <c r="A316" s="88">
        <v>18</v>
      </c>
      <c r="B316" s="88" t="s">
        <v>26</v>
      </c>
      <c r="C316" s="89" t="s">
        <v>43</v>
      </c>
      <c r="D316" s="27" t="s">
        <v>19</v>
      </c>
      <c r="E316" s="62">
        <f>SUM(E312:E315)</f>
        <v>3</v>
      </c>
      <c r="F316" s="62">
        <f t="shared" ref="F316:L316" si="67">SUM(F312:F315)</f>
        <v>1</v>
      </c>
      <c r="G316" s="62">
        <f t="shared" si="67"/>
        <v>1</v>
      </c>
      <c r="H316" s="62">
        <f t="shared" si="67"/>
        <v>0</v>
      </c>
      <c r="I316" s="62">
        <f t="shared" si="67"/>
        <v>5</v>
      </c>
      <c r="J316" s="62">
        <f t="shared" si="67"/>
        <v>19816054</v>
      </c>
      <c r="K316" s="62">
        <f t="shared" si="67"/>
        <v>16666668</v>
      </c>
      <c r="L316" s="62">
        <f t="shared" si="67"/>
        <v>0</v>
      </c>
    </row>
    <row r="317" spans="1:15" ht="11" thickTop="1" x14ac:dyDescent="0.25">
      <c r="A317" s="90">
        <v>18</v>
      </c>
      <c r="B317" s="90" t="s">
        <v>26</v>
      </c>
      <c r="C317" s="91" t="s">
        <v>43</v>
      </c>
      <c r="D317" s="45" t="s">
        <v>20</v>
      </c>
      <c r="E317" s="92"/>
      <c r="F317" s="92"/>
      <c r="G317" s="92"/>
      <c r="H317" s="92"/>
      <c r="I317" s="92"/>
      <c r="J317" s="92"/>
      <c r="K317" s="39"/>
      <c r="L317" s="39"/>
    </row>
    <row r="318" spans="1:15" x14ac:dyDescent="0.25">
      <c r="A318" s="83">
        <v>18</v>
      </c>
      <c r="B318" s="83" t="s">
        <v>26</v>
      </c>
      <c r="C318" s="84" t="s">
        <v>43</v>
      </c>
      <c r="D318" s="49" t="s">
        <v>21</v>
      </c>
      <c r="E318" s="37"/>
      <c r="F318" s="37"/>
      <c r="G318" s="37"/>
      <c r="H318" s="37"/>
      <c r="I318" s="37"/>
      <c r="J318" s="37"/>
      <c r="K318" s="39"/>
      <c r="L318" s="39"/>
    </row>
    <row r="319" spans="1:15" x14ac:dyDescent="0.25">
      <c r="A319" s="83">
        <v>18</v>
      </c>
      <c r="B319" s="83" t="s">
        <v>26</v>
      </c>
      <c r="C319" s="84" t="s">
        <v>43</v>
      </c>
      <c r="D319" s="49" t="s">
        <v>55</v>
      </c>
      <c r="E319" s="37">
        <v>44</v>
      </c>
      <c r="F319" s="37">
        <v>6</v>
      </c>
      <c r="G319" s="37">
        <v>1</v>
      </c>
      <c r="H319" s="37"/>
      <c r="I319" s="37">
        <v>51</v>
      </c>
      <c r="J319" s="37">
        <v>287029837</v>
      </c>
      <c r="K319" s="39">
        <v>16666668</v>
      </c>
      <c r="L319" s="39"/>
    </row>
    <row r="320" spans="1:15" x14ac:dyDescent="0.25">
      <c r="A320" s="94">
        <v>19</v>
      </c>
      <c r="B320" s="94" t="s">
        <v>13</v>
      </c>
      <c r="C320" s="95" t="s">
        <v>44</v>
      </c>
      <c r="D320" s="23" t="s">
        <v>15</v>
      </c>
      <c r="E320" s="57"/>
      <c r="F320" s="57"/>
      <c r="G320" s="20"/>
      <c r="H320" s="20"/>
      <c r="I320" s="57"/>
      <c r="J320" s="103"/>
      <c r="K320" s="65"/>
      <c r="L320" s="65"/>
    </row>
    <row r="321" spans="1:12" x14ac:dyDescent="0.25">
      <c r="A321" s="94">
        <v>19</v>
      </c>
      <c r="B321" s="94" t="s">
        <v>13</v>
      </c>
      <c r="C321" s="95" t="s">
        <v>44</v>
      </c>
      <c r="D321" s="23" t="s">
        <v>16</v>
      </c>
      <c r="E321" s="57"/>
      <c r="F321" s="20"/>
      <c r="G321" s="57"/>
      <c r="H321" s="57"/>
      <c r="I321" s="57"/>
      <c r="J321" s="57"/>
      <c r="K321" s="104"/>
      <c r="L321" s="104"/>
    </row>
    <row r="322" spans="1:12" x14ac:dyDescent="0.25">
      <c r="A322" s="94">
        <v>19</v>
      </c>
      <c r="B322" s="94" t="s">
        <v>13</v>
      </c>
      <c r="C322" s="95" t="s">
        <v>44</v>
      </c>
      <c r="D322" s="23" t="s">
        <v>17</v>
      </c>
      <c r="E322" s="57"/>
      <c r="F322" s="57"/>
      <c r="G322" s="57"/>
      <c r="H322" s="57"/>
      <c r="I322" s="57"/>
      <c r="J322" s="57"/>
      <c r="K322" s="65"/>
      <c r="L322" s="65"/>
    </row>
    <row r="323" spans="1:12" ht="11" thickBot="1" x14ac:dyDescent="0.3">
      <c r="A323" s="96">
        <v>19</v>
      </c>
      <c r="B323" s="96" t="s">
        <v>13</v>
      </c>
      <c r="C323" s="97" t="s">
        <v>44</v>
      </c>
      <c r="D323" s="24" t="s">
        <v>18</v>
      </c>
      <c r="E323" s="78"/>
      <c r="F323" s="78"/>
      <c r="G323" s="78"/>
      <c r="H323" s="78"/>
      <c r="I323" s="78"/>
      <c r="J323" s="78"/>
      <c r="K323" s="79"/>
      <c r="L323" s="79"/>
    </row>
    <row r="324" spans="1:12" s="29" customFormat="1" ht="11.5" thickTop="1" thickBot="1" x14ac:dyDescent="0.3">
      <c r="A324" s="88">
        <v>19</v>
      </c>
      <c r="B324" s="88" t="s">
        <v>13</v>
      </c>
      <c r="C324" s="89" t="s">
        <v>44</v>
      </c>
      <c r="D324" s="27" t="s">
        <v>19</v>
      </c>
      <c r="E324" s="62">
        <f>SUM(E320:E323)</f>
        <v>0</v>
      </c>
      <c r="F324" s="62">
        <f t="shared" ref="F324:L324" si="68">SUM(F320:F323)</f>
        <v>0</v>
      </c>
      <c r="G324" s="62">
        <f t="shared" si="68"/>
        <v>0</v>
      </c>
      <c r="H324" s="62">
        <f t="shared" si="68"/>
        <v>0</v>
      </c>
      <c r="I324" s="62">
        <f t="shared" si="68"/>
        <v>0</v>
      </c>
      <c r="J324" s="62">
        <f t="shared" si="68"/>
        <v>0</v>
      </c>
      <c r="K324" s="62">
        <f t="shared" si="68"/>
        <v>0</v>
      </c>
      <c r="L324" s="62">
        <f t="shared" si="68"/>
        <v>0</v>
      </c>
    </row>
    <row r="325" spans="1:12" ht="11" thickTop="1" x14ac:dyDescent="0.25">
      <c r="A325" s="98">
        <v>19</v>
      </c>
      <c r="B325" s="98" t="s">
        <v>13</v>
      </c>
      <c r="C325" s="99" t="s">
        <v>44</v>
      </c>
      <c r="D325" s="30" t="s">
        <v>20</v>
      </c>
      <c r="E325" s="80"/>
      <c r="F325" s="80"/>
      <c r="G325" s="80"/>
      <c r="H325" s="80"/>
      <c r="I325" s="80"/>
      <c r="J325" s="80"/>
      <c r="K325" s="81"/>
      <c r="L325" s="81"/>
    </row>
    <row r="326" spans="1:12" x14ac:dyDescent="0.25">
      <c r="A326" s="94">
        <v>19</v>
      </c>
      <c r="B326" s="94" t="s">
        <v>13</v>
      </c>
      <c r="C326" s="95" t="s">
        <v>44</v>
      </c>
      <c r="D326" s="34" t="s">
        <v>21</v>
      </c>
      <c r="E326" s="57"/>
      <c r="F326" s="57"/>
      <c r="G326" s="57"/>
      <c r="H326" s="57"/>
      <c r="I326" s="57"/>
      <c r="J326" s="57"/>
      <c r="K326" s="65"/>
      <c r="L326" s="65"/>
    </row>
    <row r="327" spans="1:12" x14ac:dyDescent="0.25">
      <c r="A327" s="83">
        <v>20</v>
      </c>
      <c r="B327" s="83" t="s">
        <v>26</v>
      </c>
      <c r="C327" s="84" t="s">
        <v>45</v>
      </c>
      <c r="D327" s="36" t="s">
        <v>15</v>
      </c>
      <c r="E327" s="68">
        <v>0</v>
      </c>
      <c r="F327" s="68">
        <v>0</v>
      </c>
      <c r="G327" s="68">
        <v>0</v>
      </c>
      <c r="H327" s="68">
        <v>0</v>
      </c>
      <c r="I327" s="68">
        <v>0</v>
      </c>
      <c r="J327" s="68">
        <v>0</v>
      </c>
      <c r="K327" s="69">
        <v>0</v>
      </c>
      <c r="L327" s="69"/>
    </row>
    <row r="328" spans="1:12" x14ac:dyDescent="0.25">
      <c r="A328" s="83">
        <v>20</v>
      </c>
      <c r="B328" s="83" t="s">
        <v>26</v>
      </c>
      <c r="C328" s="84" t="s">
        <v>45</v>
      </c>
      <c r="D328" s="36" t="s">
        <v>16</v>
      </c>
      <c r="E328" s="68">
        <v>0</v>
      </c>
      <c r="F328" s="68">
        <v>0</v>
      </c>
      <c r="G328" s="68">
        <v>0</v>
      </c>
      <c r="H328" s="68">
        <v>0</v>
      </c>
      <c r="I328" s="68">
        <v>0</v>
      </c>
      <c r="J328" s="68">
        <v>0</v>
      </c>
      <c r="K328" s="69">
        <v>0</v>
      </c>
      <c r="L328" s="69"/>
    </row>
    <row r="329" spans="1:12" x14ac:dyDescent="0.25">
      <c r="A329" s="83">
        <v>20</v>
      </c>
      <c r="B329" s="83" t="s">
        <v>26</v>
      </c>
      <c r="C329" s="84" t="s">
        <v>45</v>
      </c>
      <c r="D329" s="36" t="s">
        <v>17</v>
      </c>
      <c r="E329" s="68">
        <v>0</v>
      </c>
      <c r="F329" s="68">
        <v>0</v>
      </c>
      <c r="G329" s="68">
        <v>0</v>
      </c>
      <c r="H329" s="68">
        <v>0</v>
      </c>
      <c r="I329" s="68">
        <v>0</v>
      </c>
      <c r="J329" s="68">
        <v>0</v>
      </c>
      <c r="K329" s="69">
        <v>0</v>
      </c>
      <c r="L329" s="69"/>
    </row>
    <row r="330" spans="1:12" ht="11" thickBot="1" x14ac:dyDescent="0.3">
      <c r="A330" s="85">
        <v>20</v>
      </c>
      <c r="B330" s="85" t="s">
        <v>26</v>
      </c>
      <c r="C330" s="86" t="s">
        <v>45</v>
      </c>
      <c r="D330" s="41" t="s">
        <v>18</v>
      </c>
      <c r="E330" s="68">
        <v>0</v>
      </c>
      <c r="F330" s="68">
        <v>0</v>
      </c>
      <c r="G330" s="68">
        <v>0</v>
      </c>
      <c r="H330" s="68">
        <v>0</v>
      </c>
      <c r="I330" s="68">
        <v>0</v>
      </c>
      <c r="J330" s="68">
        <v>0</v>
      </c>
      <c r="K330" s="69">
        <v>0</v>
      </c>
      <c r="L330" s="69"/>
    </row>
    <row r="331" spans="1:12" s="29" customFormat="1" ht="11.5" thickTop="1" thickBot="1" x14ac:dyDescent="0.3">
      <c r="A331" s="88">
        <v>20</v>
      </c>
      <c r="B331" s="88" t="s">
        <v>26</v>
      </c>
      <c r="C331" s="89" t="s">
        <v>45</v>
      </c>
      <c r="D331" s="27" t="s">
        <v>19</v>
      </c>
      <c r="E331" s="62">
        <f>SUM(E327:E330)</f>
        <v>0</v>
      </c>
      <c r="F331" s="62">
        <f t="shared" ref="F331:L331" si="69">SUM(F327:F330)</f>
        <v>0</v>
      </c>
      <c r="G331" s="62">
        <f t="shared" si="69"/>
        <v>0</v>
      </c>
      <c r="H331" s="62">
        <f t="shared" si="69"/>
        <v>0</v>
      </c>
      <c r="I331" s="62">
        <f t="shared" si="69"/>
        <v>0</v>
      </c>
      <c r="J331" s="62">
        <f t="shared" si="69"/>
        <v>0</v>
      </c>
      <c r="K331" s="62">
        <f t="shared" si="69"/>
        <v>0</v>
      </c>
      <c r="L331" s="62">
        <f t="shared" si="69"/>
        <v>0</v>
      </c>
    </row>
    <row r="332" spans="1:12" ht="11" thickTop="1" x14ac:dyDescent="0.25">
      <c r="A332" s="90">
        <v>20</v>
      </c>
      <c r="B332" s="90" t="s">
        <v>26</v>
      </c>
      <c r="C332" s="91" t="s">
        <v>45</v>
      </c>
      <c r="D332" s="45" t="s">
        <v>20</v>
      </c>
      <c r="E332" s="68">
        <v>0</v>
      </c>
      <c r="F332" s="68">
        <v>0</v>
      </c>
      <c r="G332" s="68">
        <v>0</v>
      </c>
      <c r="H332" s="68">
        <v>0</v>
      </c>
      <c r="I332" s="68">
        <v>0</v>
      </c>
      <c r="J332" s="68">
        <v>0</v>
      </c>
      <c r="K332" s="69">
        <v>0</v>
      </c>
      <c r="L332" s="69"/>
    </row>
    <row r="333" spans="1:12" x14ac:dyDescent="0.25">
      <c r="A333" s="83">
        <v>20</v>
      </c>
      <c r="B333" s="83" t="s">
        <v>26</v>
      </c>
      <c r="C333" s="84" t="s">
        <v>45</v>
      </c>
      <c r="D333" s="49" t="s">
        <v>21</v>
      </c>
      <c r="E333" s="68">
        <v>0</v>
      </c>
      <c r="F333" s="68">
        <v>0</v>
      </c>
      <c r="G333" s="68">
        <v>0</v>
      </c>
      <c r="H333" s="68">
        <v>0</v>
      </c>
      <c r="I333" s="68">
        <v>0</v>
      </c>
      <c r="J333" s="68">
        <v>0</v>
      </c>
      <c r="K333" s="69">
        <v>0</v>
      </c>
      <c r="L333" s="69"/>
    </row>
    <row r="334" spans="1:12" x14ac:dyDescent="0.25">
      <c r="A334" s="83">
        <v>20</v>
      </c>
      <c r="B334" s="83" t="s">
        <v>26</v>
      </c>
      <c r="C334" s="84" t="s">
        <v>45</v>
      </c>
      <c r="D334" s="84" t="s">
        <v>55</v>
      </c>
      <c r="E334" s="68"/>
      <c r="F334" s="68"/>
      <c r="G334" s="68"/>
      <c r="H334" s="68"/>
      <c r="I334" s="68"/>
      <c r="J334" s="68"/>
      <c r="K334" s="69"/>
      <c r="L334" s="69"/>
    </row>
    <row r="335" spans="1:12" x14ac:dyDescent="0.25">
      <c r="A335" s="94">
        <v>21</v>
      </c>
      <c r="B335" s="94" t="s">
        <v>26</v>
      </c>
      <c r="C335" s="95" t="s">
        <v>46</v>
      </c>
      <c r="D335" s="23" t="s">
        <v>15</v>
      </c>
      <c r="E335" s="57">
        <v>0</v>
      </c>
      <c r="F335" s="57">
        <v>0</v>
      </c>
      <c r="G335" s="57">
        <v>0</v>
      </c>
      <c r="H335" s="57">
        <v>0</v>
      </c>
      <c r="I335" s="57">
        <f>+SUM(E335:H335)</f>
        <v>0</v>
      </c>
      <c r="J335" s="57">
        <v>0</v>
      </c>
      <c r="K335" s="57">
        <v>0</v>
      </c>
      <c r="L335" s="57">
        <v>0</v>
      </c>
    </row>
    <row r="336" spans="1:12" x14ac:dyDescent="0.25">
      <c r="A336" s="94">
        <v>21</v>
      </c>
      <c r="B336" s="94" t="s">
        <v>26</v>
      </c>
      <c r="C336" s="95" t="s">
        <v>46</v>
      </c>
      <c r="D336" s="23" t="s">
        <v>16</v>
      </c>
      <c r="E336" s="57">
        <v>0</v>
      </c>
      <c r="F336" s="57">
        <v>0</v>
      </c>
      <c r="G336" s="57">
        <v>0</v>
      </c>
      <c r="H336" s="57">
        <v>0</v>
      </c>
      <c r="I336" s="57">
        <f t="shared" ref="I336:I342" si="70">+SUM(E336:H336)</f>
        <v>0</v>
      </c>
      <c r="J336" s="57">
        <v>0</v>
      </c>
      <c r="K336" s="57">
        <v>0</v>
      </c>
      <c r="L336" s="57">
        <v>0</v>
      </c>
    </row>
    <row r="337" spans="1:12" x14ac:dyDescent="0.25">
      <c r="A337" s="94">
        <v>21</v>
      </c>
      <c r="B337" s="94" t="s">
        <v>26</v>
      </c>
      <c r="C337" s="95" t="s">
        <v>46</v>
      </c>
      <c r="D337" s="23" t="s">
        <v>17</v>
      </c>
      <c r="E337" s="57">
        <v>0</v>
      </c>
      <c r="F337" s="57">
        <v>0</v>
      </c>
      <c r="G337" s="57">
        <v>0</v>
      </c>
      <c r="H337" s="57">
        <v>0</v>
      </c>
      <c r="I337" s="57">
        <f t="shared" si="70"/>
        <v>0</v>
      </c>
      <c r="J337" s="57">
        <v>0</v>
      </c>
      <c r="K337" s="57">
        <v>0</v>
      </c>
      <c r="L337" s="57">
        <v>0</v>
      </c>
    </row>
    <row r="338" spans="1:12" ht="11" thickBot="1" x14ac:dyDescent="0.3">
      <c r="A338" s="96">
        <v>21</v>
      </c>
      <c r="B338" s="96" t="s">
        <v>26</v>
      </c>
      <c r="C338" s="97" t="s">
        <v>46</v>
      </c>
      <c r="D338" s="24" t="s">
        <v>18</v>
      </c>
      <c r="E338" s="78">
        <v>21</v>
      </c>
      <c r="F338" s="78">
        <v>0</v>
      </c>
      <c r="G338" s="78">
        <v>0</v>
      </c>
      <c r="H338" s="78">
        <v>0</v>
      </c>
      <c r="I338" s="57">
        <f t="shared" si="70"/>
        <v>21</v>
      </c>
      <c r="J338" s="78">
        <v>101619526</v>
      </c>
      <c r="K338" s="79">
        <v>0</v>
      </c>
      <c r="L338" s="79">
        <v>0</v>
      </c>
    </row>
    <row r="339" spans="1:12" s="29" customFormat="1" ht="11.5" thickTop="1" thickBot="1" x14ac:dyDescent="0.3">
      <c r="A339" s="88">
        <v>21</v>
      </c>
      <c r="B339" s="88" t="s">
        <v>26</v>
      </c>
      <c r="C339" s="89" t="s">
        <v>46</v>
      </c>
      <c r="D339" s="27" t="s">
        <v>19</v>
      </c>
      <c r="E339" s="62">
        <f>SUM(E335:E338)</f>
        <v>21</v>
      </c>
      <c r="F339" s="62">
        <f t="shared" ref="F339:L339" si="71">SUM(F335:F338)</f>
        <v>0</v>
      </c>
      <c r="G339" s="62">
        <f t="shared" si="71"/>
        <v>0</v>
      </c>
      <c r="H339" s="62">
        <f t="shared" si="71"/>
        <v>0</v>
      </c>
      <c r="I339" s="62">
        <f t="shared" si="71"/>
        <v>21</v>
      </c>
      <c r="J339" s="62">
        <f t="shared" si="71"/>
        <v>101619526</v>
      </c>
      <c r="K339" s="62">
        <f t="shared" si="71"/>
        <v>0</v>
      </c>
      <c r="L339" s="62">
        <f t="shared" si="71"/>
        <v>0</v>
      </c>
    </row>
    <row r="340" spans="1:12" ht="11" thickTop="1" x14ac:dyDescent="0.25">
      <c r="A340" s="98">
        <v>21</v>
      </c>
      <c r="B340" s="98" t="s">
        <v>26</v>
      </c>
      <c r="C340" s="99" t="s">
        <v>46</v>
      </c>
      <c r="D340" s="30" t="s">
        <v>20</v>
      </c>
      <c r="E340" s="80">
        <f>+E339</f>
        <v>21</v>
      </c>
      <c r="F340" s="80">
        <f t="shared" ref="F340:L340" si="72">+F339</f>
        <v>0</v>
      </c>
      <c r="G340" s="80">
        <f t="shared" si="72"/>
        <v>0</v>
      </c>
      <c r="H340" s="80">
        <f t="shared" si="72"/>
        <v>0</v>
      </c>
      <c r="I340" s="57">
        <f t="shared" si="70"/>
        <v>21</v>
      </c>
      <c r="J340" s="80">
        <f t="shared" si="72"/>
        <v>101619526</v>
      </c>
      <c r="K340" s="80">
        <f t="shared" si="72"/>
        <v>0</v>
      </c>
      <c r="L340" s="80">
        <f t="shared" si="72"/>
        <v>0</v>
      </c>
    </row>
    <row r="341" spans="1:12" x14ac:dyDescent="0.25">
      <c r="A341" s="94">
        <v>21</v>
      </c>
      <c r="B341" s="94" t="s">
        <v>26</v>
      </c>
      <c r="C341" s="95" t="s">
        <v>46</v>
      </c>
      <c r="D341" s="34" t="s">
        <v>21</v>
      </c>
      <c r="E341" s="57">
        <v>0</v>
      </c>
      <c r="F341" s="57">
        <v>0</v>
      </c>
      <c r="G341" s="57">
        <v>0</v>
      </c>
      <c r="H341" s="57">
        <v>0</v>
      </c>
      <c r="I341" s="57">
        <f t="shared" si="70"/>
        <v>0</v>
      </c>
      <c r="J341" s="57">
        <v>0</v>
      </c>
      <c r="K341" s="57">
        <v>0</v>
      </c>
      <c r="L341" s="57">
        <v>0</v>
      </c>
    </row>
    <row r="342" spans="1:12" x14ac:dyDescent="0.25">
      <c r="A342" s="94">
        <v>21</v>
      </c>
      <c r="B342" s="94" t="s">
        <v>26</v>
      </c>
      <c r="C342" s="95" t="s">
        <v>46</v>
      </c>
      <c r="D342" s="34" t="s">
        <v>55</v>
      </c>
      <c r="E342" s="57">
        <f>+E153+E339</f>
        <v>416</v>
      </c>
      <c r="F342" s="57">
        <f t="shared" ref="F342:H342" si="73">+F153+F339</f>
        <v>52</v>
      </c>
      <c r="G342" s="57">
        <f t="shared" si="73"/>
        <v>18</v>
      </c>
      <c r="H342" s="57">
        <f t="shared" si="73"/>
        <v>2</v>
      </c>
      <c r="I342" s="57">
        <f t="shared" si="70"/>
        <v>488</v>
      </c>
      <c r="J342" s="57">
        <f>+I154+J154+J339</f>
        <v>1977948912</v>
      </c>
      <c r="K342" s="65">
        <f>+K154+L154</f>
        <v>362858539</v>
      </c>
      <c r="L342" s="65"/>
    </row>
    <row r="343" spans="1:12" x14ac:dyDescent="0.25">
      <c r="A343" s="83">
        <v>22</v>
      </c>
      <c r="B343" s="83" t="s">
        <v>24</v>
      </c>
      <c r="C343" s="84" t="s">
        <v>57</v>
      </c>
      <c r="D343" s="36" t="s">
        <v>15</v>
      </c>
      <c r="E343" s="68"/>
      <c r="F343" s="101"/>
      <c r="G343" s="38"/>
      <c r="H343" s="37"/>
      <c r="I343" s="68"/>
      <c r="J343" s="105"/>
      <c r="K343" s="69"/>
      <c r="L343" s="69"/>
    </row>
    <row r="344" spans="1:12" x14ac:dyDescent="0.25">
      <c r="A344" s="83">
        <v>22</v>
      </c>
      <c r="B344" s="83" t="s">
        <v>24</v>
      </c>
      <c r="C344" s="84" t="s">
        <v>57</v>
      </c>
      <c r="D344" s="36" t="s">
        <v>16</v>
      </c>
      <c r="E344" s="68"/>
      <c r="F344" s="38"/>
      <c r="G344" s="101"/>
      <c r="H344" s="101"/>
      <c r="I344" s="68"/>
      <c r="J344" s="68"/>
      <c r="K344" s="106"/>
      <c r="L344" s="106"/>
    </row>
    <row r="345" spans="1:12" x14ac:dyDescent="0.25">
      <c r="A345" s="83">
        <v>22</v>
      </c>
      <c r="B345" s="83" t="s">
        <v>24</v>
      </c>
      <c r="C345" s="84" t="s">
        <v>57</v>
      </c>
      <c r="D345" s="36" t="s">
        <v>17</v>
      </c>
      <c r="E345" s="101"/>
      <c r="F345" s="101"/>
      <c r="G345" s="101"/>
      <c r="H345" s="101"/>
      <c r="I345" s="68"/>
      <c r="J345" s="101"/>
      <c r="K345" s="107"/>
      <c r="L345" s="107"/>
    </row>
    <row r="346" spans="1:12" ht="11" thickBot="1" x14ac:dyDescent="0.3">
      <c r="A346" s="85">
        <v>22</v>
      </c>
      <c r="B346" s="85" t="s">
        <v>24</v>
      </c>
      <c r="C346" s="86" t="s">
        <v>57</v>
      </c>
      <c r="D346" s="41" t="s">
        <v>18</v>
      </c>
      <c r="E346" s="100"/>
      <c r="F346" s="100"/>
      <c r="G346" s="100"/>
      <c r="H346" s="100"/>
      <c r="I346" s="71"/>
      <c r="J346" s="100"/>
      <c r="K346" s="108"/>
      <c r="L346" s="108"/>
    </row>
    <row r="347" spans="1:12" s="29" customFormat="1" ht="11.5" thickTop="1" thickBot="1" x14ac:dyDescent="0.3">
      <c r="A347" s="88">
        <v>22</v>
      </c>
      <c r="B347" s="88" t="s">
        <v>24</v>
      </c>
      <c r="C347" s="89" t="s">
        <v>57</v>
      </c>
      <c r="D347" s="27" t="s">
        <v>19</v>
      </c>
      <c r="E347" s="62">
        <f>SUM(E343:E346)</f>
        <v>0</v>
      </c>
      <c r="F347" s="62">
        <f t="shared" ref="F347:L347" si="74">SUM(F343:F346)</f>
        <v>0</v>
      </c>
      <c r="G347" s="62">
        <f t="shared" si="74"/>
        <v>0</v>
      </c>
      <c r="H347" s="62">
        <f t="shared" si="74"/>
        <v>0</v>
      </c>
      <c r="I347" s="62">
        <f t="shared" si="74"/>
        <v>0</v>
      </c>
      <c r="J347" s="62">
        <f t="shared" si="74"/>
        <v>0</v>
      </c>
      <c r="K347" s="62">
        <f t="shared" si="74"/>
        <v>0</v>
      </c>
      <c r="L347" s="62">
        <f t="shared" si="74"/>
        <v>0</v>
      </c>
    </row>
    <row r="348" spans="1:12" ht="11" thickTop="1" x14ac:dyDescent="0.25">
      <c r="A348" s="90">
        <v>22</v>
      </c>
      <c r="B348" s="90" t="s">
        <v>24</v>
      </c>
      <c r="C348" s="91" t="s">
        <v>57</v>
      </c>
      <c r="D348" s="45" t="s">
        <v>20</v>
      </c>
      <c r="E348" s="75"/>
      <c r="F348" s="75"/>
      <c r="G348" s="75"/>
      <c r="H348" s="75"/>
      <c r="I348" s="75"/>
      <c r="J348" s="75"/>
      <c r="K348" s="76"/>
      <c r="L348" s="76"/>
    </row>
    <row r="349" spans="1:12" x14ac:dyDescent="0.25">
      <c r="A349" s="83">
        <v>22</v>
      </c>
      <c r="B349" s="83" t="s">
        <v>24</v>
      </c>
      <c r="C349" s="84" t="s">
        <v>57</v>
      </c>
      <c r="D349" s="49" t="s">
        <v>21</v>
      </c>
      <c r="E349" s="68"/>
      <c r="F349" s="68"/>
      <c r="G349" s="68"/>
      <c r="H349" s="68"/>
      <c r="I349" s="68"/>
      <c r="J349" s="68"/>
      <c r="K349" s="69"/>
      <c r="L349" s="69"/>
    </row>
    <row r="350" spans="1:12" x14ac:dyDescent="0.35">
      <c r="A350" s="109">
        <v>23</v>
      </c>
      <c r="B350" s="18" t="s">
        <v>24</v>
      </c>
      <c r="C350" s="109" t="s">
        <v>48</v>
      </c>
      <c r="D350" s="23" t="s">
        <v>15</v>
      </c>
      <c r="E350" s="20"/>
      <c r="F350" s="20"/>
      <c r="G350" s="20"/>
      <c r="H350" s="20"/>
      <c r="I350" s="20"/>
      <c r="J350" s="20"/>
      <c r="K350" s="21"/>
      <c r="L350" s="21"/>
    </row>
    <row r="351" spans="1:12" x14ac:dyDescent="0.35">
      <c r="A351" s="110"/>
      <c r="B351" s="22" t="s">
        <v>24</v>
      </c>
      <c r="C351" s="110"/>
      <c r="D351" s="23" t="s">
        <v>16</v>
      </c>
      <c r="E351" s="20"/>
      <c r="F351" s="20"/>
      <c r="G351" s="20"/>
      <c r="H351" s="20"/>
      <c r="I351" s="20"/>
      <c r="J351" s="20"/>
      <c r="K351" s="21"/>
      <c r="L351" s="21"/>
    </row>
    <row r="352" spans="1:12" x14ac:dyDescent="0.35">
      <c r="A352" s="110"/>
      <c r="B352" s="22" t="s">
        <v>24</v>
      </c>
      <c r="C352" s="110"/>
      <c r="D352" s="23" t="s">
        <v>17</v>
      </c>
      <c r="E352" s="20"/>
      <c r="F352" s="20"/>
      <c r="G352" s="20"/>
      <c r="H352" s="20"/>
      <c r="I352" s="20"/>
      <c r="J352" s="20"/>
      <c r="K352" s="21"/>
      <c r="L352" s="21"/>
    </row>
    <row r="353" spans="1:12" ht="11" thickBot="1" x14ac:dyDescent="0.4">
      <c r="A353" s="110"/>
      <c r="B353" s="22" t="s">
        <v>24</v>
      </c>
      <c r="C353" s="110"/>
      <c r="D353" s="24" t="s">
        <v>18</v>
      </c>
      <c r="E353" s="25"/>
      <c r="F353" s="25"/>
      <c r="G353" s="25"/>
      <c r="H353" s="25"/>
      <c r="I353" s="25"/>
      <c r="J353" s="25"/>
      <c r="K353" s="26"/>
      <c r="L353" s="26"/>
    </row>
    <row r="354" spans="1:12" s="29" customFormat="1" ht="11.5" thickTop="1" thickBot="1" x14ac:dyDescent="0.4">
      <c r="A354" s="110"/>
      <c r="B354" s="22" t="s">
        <v>24</v>
      </c>
      <c r="C354" s="110"/>
      <c r="D354" s="27" t="s">
        <v>19</v>
      </c>
      <c r="E354" s="62">
        <f>SUM(E350:E353)</f>
        <v>0</v>
      </c>
      <c r="F354" s="62">
        <f t="shared" ref="F354:L354" si="75">SUM(F350:F353)</f>
        <v>0</v>
      </c>
      <c r="G354" s="62">
        <f t="shared" si="75"/>
        <v>0</v>
      </c>
      <c r="H354" s="62">
        <f t="shared" si="75"/>
        <v>0</v>
      </c>
      <c r="I354" s="62">
        <f t="shared" si="75"/>
        <v>0</v>
      </c>
      <c r="J354" s="62">
        <f t="shared" si="75"/>
        <v>0</v>
      </c>
      <c r="K354" s="62">
        <f t="shared" si="75"/>
        <v>0</v>
      </c>
      <c r="L354" s="62">
        <f t="shared" si="75"/>
        <v>0</v>
      </c>
    </row>
    <row r="355" spans="1:12" ht="11" thickTop="1" x14ac:dyDescent="0.35">
      <c r="A355" s="110"/>
      <c r="B355" s="22" t="s">
        <v>24</v>
      </c>
      <c r="C355" s="110"/>
      <c r="D355" s="30" t="s">
        <v>20</v>
      </c>
      <c r="E355" s="31"/>
      <c r="F355" s="31"/>
      <c r="G355" s="31"/>
      <c r="H355" s="31"/>
      <c r="I355" s="31"/>
      <c r="J355" s="31"/>
      <c r="K355" s="32"/>
      <c r="L355" s="32"/>
    </row>
    <row r="356" spans="1:12" x14ac:dyDescent="0.35">
      <c r="A356" s="111"/>
      <c r="B356" s="33" t="s">
        <v>24</v>
      </c>
      <c r="C356" s="111"/>
      <c r="D356" s="34" t="s">
        <v>21</v>
      </c>
      <c r="E356" s="20"/>
      <c r="F356" s="20"/>
      <c r="G356" s="20"/>
      <c r="H356" s="20"/>
      <c r="I356" s="20"/>
      <c r="J356" s="20"/>
      <c r="K356" s="21"/>
      <c r="L356" s="21"/>
    </row>
    <row r="357" spans="1:12" x14ac:dyDescent="0.35">
      <c r="A357" s="112">
        <v>24</v>
      </c>
      <c r="B357" s="35" t="s">
        <v>49</v>
      </c>
      <c r="C357" s="112" t="s">
        <v>50</v>
      </c>
      <c r="D357" s="36" t="s">
        <v>15</v>
      </c>
      <c r="E357" s="37">
        <v>0</v>
      </c>
      <c r="F357" s="37">
        <v>0</v>
      </c>
      <c r="G357" s="37">
        <v>0</v>
      </c>
      <c r="H357" s="37">
        <v>0</v>
      </c>
      <c r="I357" s="37">
        <v>0</v>
      </c>
      <c r="J357" s="37">
        <v>0</v>
      </c>
      <c r="K357" s="37">
        <v>0</v>
      </c>
      <c r="L357" s="37">
        <v>0</v>
      </c>
    </row>
    <row r="358" spans="1:12" x14ac:dyDescent="0.35">
      <c r="A358" s="113"/>
      <c r="B358" s="40" t="s">
        <v>49</v>
      </c>
      <c r="C358" s="113"/>
      <c r="D358" s="36" t="s">
        <v>16</v>
      </c>
      <c r="E358" s="37">
        <v>0</v>
      </c>
      <c r="F358" s="37">
        <v>0</v>
      </c>
      <c r="G358" s="37">
        <v>0</v>
      </c>
      <c r="H358" s="37">
        <v>0</v>
      </c>
      <c r="I358" s="37">
        <v>0</v>
      </c>
      <c r="J358" s="37">
        <v>0</v>
      </c>
      <c r="K358" s="37">
        <v>0</v>
      </c>
      <c r="L358" s="37">
        <v>0</v>
      </c>
    </row>
    <row r="359" spans="1:12" x14ac:dyDescent="0.35">
      <c r="A359" s="113"/>
      <c r="B359" s="40" t="s">
        <v>49</v>
      </c>
      <c r="C359" s="113"/>
      <c r="D359" s="36" t="s">
        <v>17</v>
      </c>
      <c r="E359" s="37">
        <v>0</v>
      </c>
      <c r="F359" s="37">
        <v>0</v>
      </c>
      <c r="G359" s="37">
        <v>0</v>
      </c>
      <c r="H359" s="37">
        <v>0</v>
      </c>
      <c r="I359" s="37">
        <v>0</v>
      </c>
      <c r="J359" s="37">
        <v>0</v>
      </c>
      <c r="K359" s="37">
        <v>0</v>
      </c>
      <c r="L359" s="37">
        <v>0</v>
      </c>
    </row>
    <row r="360" spans="1:12" ht="11" thickBot="1" x14ac:dyDescent="0.4">
      <c r="A360" s="113"/>
      <c r="B360" s="40" t="s">
        <v>49</v>
      </c>
      <c r="C360" s="113"/>
      <c r="D360" s="41" t="s">
        <v>18</v>
      </c>
      <c r="E360" s="42">
        <v>0</v>
      </c>
      <c r="F360" s="42">
        <v>0</v>
      </c>
      <c r="G360" s="42">
        <v>0</v>
      </c>
      <c r="H360" s="42">
        <v>0</v>
      </c>
      <c r="I360" s="42">
        <v>0</v>
      </c>
      <c r="J360" s="42">
        <v>0</v>
      </c>
      <c r="K360" s="42">
        <v>0</v>
      </c>
      <c r="L360" s="37">
        <v>0</v>
      </c>
    </row>
    <row r="361" spans="1:12" s="29" customFormat="1" ht="11.5" thickTop="1" thickBot="1" x14ac:dyDescent="0.4">
      <c r="A361" s="113"/>
      <c r="B361" s="40" t="s">
        <v>49</v>
      </c>
      <c r="C361" s="113"/>
      <c r="D361" s="27" t="s">
        <v>19</v>
      </c>
      <c r="E361" s="62">
        <f>SUM(E357:E360)</f>
        <v>0</v>
      </c>
      <c r="F361" s="62">
        <f t="shared" ref="F361:L361" si="76">SUM(F357:F360)</f>
        <v>0</v>
      </c>
      <c r="G361" s="62">
        <f t="shared" si="76"/>
        <v>0</v>
      </c>
      <c r="H361" s="62">
        <f t="shared" si="76"/>
        <v>0</v>
      </c>
      <c r="I361" s="62">
        <f t="shared" si="76"/>
        <v>0</v>
      </c>
      <c r="J361" s="62">
        <f t="shared" si="76"/>
        <v>0</v>
      </c>
      <c r="K361" s="62">
        <f t="shared" si="76"/>
        <v>0</v>
      </c>
      <c r="L361" s="62">
        <f t="shared" si="76"/>
        <v>0</v>
      </c>
    </row>
    <row r="362" spans="1:12" ht="11" thickTop="1" x14ac:dyDescent="0.35">
      <c r="A362" s="113"/>
      <c r="B362" s="40" t="s">
        <v>49</v>
      </c>
      <c r="C362" s="113"/>
      <c r="D362" s="45" t="s">
        <v>20</v>
      </c>
      <c r="E362" s="46">
        <v>0</v>
      </c>
      <c r="F362" s="46">
        <v>0</v>
      </c>
      <c r="G362" s="46">
        <v>0</v>
      </c>
      <c r="H362" s="46">
        <v>0</v>
      </c>
      <c r="I362" s="46">
        <v>0</v>
      </c>
      <c r="J362" s="46">
        <v>0</v>
      </c>
      <c r="K362" s="46">
        <v>0</v>
      </c>
      <c r="L362" s="46">
        <v>0</v>
      </c>
    </row>
    <row r="363" spans="1:12" x14ac:dyDescent="0.35">
      <c r="A363" s="114"/>
      <c r="B363" s="48" t="s">
        <v>49</v>
      </c>
      <c r="C363" s="114"/>
      <c r="D363" s="49" t="s">
        <v>21</v>
      </c>
      <c r="E363" s="37">
        <v>0</v>
      </c>
      <c r="F363" s="37">
        <v>0</v>
      </c>
      <c r="G363" s="37">
        <v>0</v>
      </c>
      <c r="H363" s="37">
        <v>0</v>
      </c>
      <c r="I363" s="37">
        <v>0</v>
      </c>
      <c r="J363" s="37">
        <v>0</v>
      </c>
      <c r="K363" s="37">
        <v>0</v>
      </c>
      <c r="L363" s="46">
        <v>0</v>
      </c>
    </row>
    <row r="365" spans="1:12" s="5" customFormat="1" ht="18.5" x14ac:dyDescent="0.35">
      <c r="A365" s="5" t="s">
        <v>58</v>
      </c>
      <c r="B365" s="5" t="s">
        <v>58</v>
      </c>
    </row>
    <row r="367" spans="1:12" s="6" customFormat="1" x14ac:dyDescent="0.25"/>
    <row r="368" spans="1:12" x14ac:dyDescent="0.35">
      <c r="A368" s="7"/>
      <c r="B368" s="7"/>
      <c r="C368" s="8"/>
      <c r="D368" s="8"/>
      <c r="E368" s="115" t="s">
        <v>3</v>
      </c>
      <c r="F368" s="115"/>
      <c r="G368" s="115" t="s">
        <v>4</v>
      </c>
      <c r="H368" s="115"/>
      <c r="I368" s="116" t="s">
        <v>5</v>
      </c>
      <c r="J368" s="116"/>
      <c r="K368" s="116" t="s">
        <v>6</v>
      </c>
      <c r="L368" s="116"/>
    </row>
    <row r="369" spans="1:12" ht="11" thickBot="1" x14ac:dyDescent="0.4">
      <c r="A369" s="117" t="s">
        <v>7</v>
      </c>
      <c r="B369" s="117" t="s">
        <v>7</v>
      </c>
      <c r="C369" s="118" t="s">
        <v>9</v>
      </c>
      <c r="D369" s="14" t="s">
        <v>10</v>
      </c>
      <c r="E369" s="15" t="s">
        <v>11</v>
      </c>
      <c r="F369" s="15" t="s">
        <v>12</v>
      </c>
      <c r="G369" s="15" t="s">
        <v>11</v>
      </c>
      <c r="H369" s="15" t="s">
        <v>12</v>
      </c>
      <c r="I369" s="119" t="s">
        <v>11</v>
      </c>
      <c r="J369" s="119" t="s">
        <v>12</v>
      </c>
      <c r="K369" s="120" t="s">
        <v>11</v>
      </c>
      <c r="L369" s="119" t="s">
        <v>12</v>
      </c>
    </row>
    <row r="370" spans="1:12" ht="21" x14ac:dyDescent="0.35">
      <c r="A370" s="121">
        <v>1</v>
      </c>
      <c r="B370" s="122" t="s">
        <v>59</v>
      </c>
      <c r="C370" s="67" t="s">
        <v>60</v>
      </c>
      <c r="D370" s="36" t="s">
        <v>15</v>
      </c>
      <c r="E370" s="68">
        <v>2</v>
      </c>
      <c r="F370" s="37">
        <v>2</v>
      </c>
      <c r="G370" s="37">
        <v>1</v>
      </c>
      <c r="H370" s="37">
        <v>0</v>
      </c>
      <c r="I370" s="37">
        <v>260158728</v>
      </c>
      <c r="J370" s="37">
        <v>598101561</v>
      </c>
      <c r="K370" s="39">
        <v>197045253</v>
      </c>
      <c r="L370" s="50">
        <v>0</v>
      </c>
    </row>
    <row r="371" spans="1:12" ht="21" x14ac:dyDescent="0.35">
      <c r="A371" s="123"/>
      <c r="B371" s="124" t="s">
        <v>59</v>
      </c>
      <c r="C371" s="67" t="s">
        <v>60</v>
      </c>
      <c r="D371" s="36" t="s">
        <v>16</v>
      </c>
      <c r="E371" s="101">
        <v>0</v>
      </c>
      <c r="F371" s="101">
        <v>0</v>
      </c>
      <c r="G371" s="101">
        <v>0</v>
      </c>
      <c r="H371" s="101">
        <v>0</v>
      </c>
      <c r="I371" s="101">
        <v>0</v>
      </c>
      <c r="J371" s="101">
        <v>0</v>
      </c>
      <c r="K371" s="101">
        <v>0</v>
      </c>
      <c r="L371" s="101">
        <v>0</v>
      </c>
    </row>
    <row r="372" spans="1:12" ht="21" x14ac:dyDescent="0.35">
      <c r="A372" s="123"/>
      <c r="B372" s="124" t="s">
        <v>59</v>
      </c>
      <c r="C372" s="67" t="s">
        <v>60</v>
      </c>
      <c r="D372" s="36" t="s">
        <v>17</v>
      </c>
      <c r="E372" s="101">
        <v>0</v>
      </c>
      <c r="F372" s="101">
        <v>0</v>
      </c>
      <c r="G372" s="101">
        <v>0</v>
      </c>
      <c r="H372" s="101">
        <v>0</v>
      </c>
      <c r="I372" s="101">
        <v>0</v>
      </c>
      <c r="J372" s="101">
        <v>0</v>
      </c>
      <c r="K372" s="101">
        <v>0</v>
      </c>
      <c r="L372" s="101">
        <v>0</v>
      </c>
    </row>
    <row r="373" spans="1:12" ht="21.5" thickBot="1" x14ac:dyDescent="0.4">
      <c r="A373" s="123"/>
      <c r="B373" s="124" t="s">
        <v>59</v>
      </c>
      <c r="C373" s="67" t="s">
        <v>60</v>
      </c>
      <c r="D373" s="41" t="s">
        <v>18</v>
      </c>
      <c r="E373" s="71">
        <v>0</v>
      </c>
      <c r="F373" s="71">
        <v>0</v>
      </c>
      <c r="G373" s="71">
        <v>0</v>
      </c>
      <c r="H373" s="71">
        <v>0</v>
      </c>
      <c r="I373" s="71">
        <v>0</v>
      </c>
      <c r="J373" s="71">
        <v>0</v>
      </c>
      <c r="K373" s="71">
        <v>0</v>
      </c>
      <c r="L373" s="71">
        <v>0</v>
      </c>
    </row>
    <row r="374" spans="1:12" s="29" customFormat="1" ht="11.5" thickTop="1" thickBot="1" x14ac:dyDescent="0.4">
      <c r="A374" s="123"/>
      <c r="B374" s="124" t="s">
        <v>59</v>
      </c>
      <c r="C374" s="27" t="s">
        <v>60</v>
      </c>
      <c r="D374" s="27" t="s">
        <v>61</v>
      </c>
      <c r="E374" s="62">
        <f>SUM(E370:E373)</f>
        <v>2</v>
      </c>
      <c r="F374" s="62">
        <f t="shared" ref="F374:L374" si="77">SUM(F370:F373)</f>
        <v>2</v>
      </c>
      <c r="G374" s="62">
        <f t="shared" si="77"/>
        <v>1</v>
      </c>
      <c r="H374" s="62">
        <f t="shared" si="77"/>
        <v>0</v>
      </c>
      <c r="I374" s="62">
        <f t="shared" si="77"/>
        <v>260158728</v>
      </c>
      <c r="J374" s="62">
        <f t="shared" si="77"/>
        <v>598101561</v>
      </c>
      <c r="K374" s="62">
        <f t="shared" si="77"/>
        <v>197045253</v>
      </c>
      <c r="L374" s="62">
        <f t="shared" si="77"/>
        <v>0</v>
      </c>
    </row>
    <row r="375" spans="1:12" ht="21.5" thickTop="1" x14ac:dyDescent="0.35">
      <c r="A375" s="123"/>
      <c r="B375" s="124" t="s">
        <v>59</v>
      </c>
      <c r="C375" s="67" t="s">
        <v>60</v>
      </c>
      <c r="D375" s="36" t="s">
        <v>62</v>
      </c>
      <c r="E375" s="101">
        <v>2</v>
      </c>
      <c r="F375" s="37">
        <v>2</v>
      </c>
      <c r="G375" s="37">
        <v>1</v>
      </c>
      <c r="H375" s="37">
        <v>0</v>
      </c>
      <c r="I375" s="37"/>
      <c r="J375" s="101"/>
      <c r="K375" s="39"/>
      <c r="L375" s="50"/>
    </row>
    <row r="376" spans="1:12" ht="21" x14ac:dyDescent="0.35">
      <c r="A376" s="125"/>
      <c r="B376" s="126" t="s">
        <v>59</v>
      </c>
      <c r="C376" s="67" t="s">
        <v>60</v>
      </c>
      <c r="D376" s="41" t="s">
        <v>63</v>
      </c>
      <c r="E376" s="71"/>
      <c r="F376" s="37"/>
      <c r="G376" s="37"/>
      <c r="H376" s="37"/>
      <c r="I376" s="37"/>
      <c r="J376" s="71"/>
      <c r="K376" s="39"/>
      <c r="L376" s="50"/>
    </row>
    <row r="377" spans="1:12" x14ac:dyDescent="0.35">
      <c r="A377" s="121">
        <v>2</v>
      </c>
      <c r="B377" s="122" t="s">
        <v>26</v>
      </c>
      <c r="C377" s="77" t="s">
        <v>64</v>
      </c>
      <c r="D377" s="23" t="s">
        <v>15</v>
      </c>
      <c r="E377" s="57">
        <v>9</v>
      </c>
      <c r="F377" s="57">
        <v>0</v>
      </c>
      <c r="G377" s="57">
        <v>0</v>
      </c>
      <c r="H377" s="57">
        <v>0</v>
      </c>
      <c r="I377" s="57">
        <v>116271635</v>
      </c>
      <c r="J377" s="57">
        <v>0</v>
      </c>
      <c r="K377" s="65">
        <v>0</v>
      </c>
      <c r="L377" s="127">
        <v>0</v>
      </c>
    </row>
    <row r="378" spans="1:12" x14ac:dyDescent="0.35">
      <c r="A378" s="123"/>
      <c r="B378" s="124" t="s">
        <v>26</v>
      </c>
      <c r="C378" s="77" t="s">
        <v>64</v>
      </c>
      <c r="D378" s="23" t="s">
        <v>16</v>
      </c>
      <c r="E378" s="57">
        <v>0</v>
      </c>
      <c r="F378" s="57">
        <v>0</v>
      </c>
      <c r="G378" s="57">
        <v>0</v>
      </c>
      <c r="H378" s="57">
        <v>0</v>
      </c>
      <c r="I378" s="57">
        <v>0</v>
      </c>
      <c r="J378" s="57">
        <v>0</v>
      </c>
      <c r="K378" s="57">
        <v>0</v>
      </c>
      <c r="L378" s="57">
        <v>0</v>
      </c>
    </row>
    <row r="379" spans="1:12" x14ac:dyDescent="0.35">
      <c r="A379" s="123"/>
      <c r="B379" s="124" t="s">
        <v>26</v>
      </c>
      <c r="C379" s="77" t="s">
        <v>64</v>
      </c>
      <c r="D379" s="23" t="s">
        <v>17</v>
      </c>
      <c r="E379" s="57">
        <v>18</v>
      </c>
      <c r="F379" s="57">
        <v>4</v>
      </c>
      <c r="G379" s="57">
        <v>0</v>
      </c>
      <c r="H379" s="57">
        <v>0</v>
      </c>
      <c r="I379" s="57">
        <v>100495982</v>
      </c>
      <c r="J379" s="103">
        <v>19432507</v>
      </c>
      <c r="K379" s="65">
        <v>0</v>
      </c>
      <c r="L379" s="127">
        <v>0</v>
      </c>
    </row>
    <row r="380" spans="1:12" ht="11" thickBot="1" x14ac:dyDescent="0.4">
      <c r="A380" s="123"/>
      <c r="B380" s="124" t="s">
        <v>26</v>
      </c>
      <c r="C380" s="77" t="s">
        <v>64</v>
      </c>
      <c r="D380" s="24" t="s">
        <v>18</v>
      </c>
      <c r="E380" s="78">
        <v>28</v>
      </c>
      <c r="F380" s="78">
        <v>5</v>
      </c>
      <c r="G380" s="78">
        <v>0</v>
      </c>
      <c r="H380" s="78">
        <v>0</v>
      </c>
      <c r="I380" s="57">
        <v>101373251</v>
      </c>
      <c r="J380" s="103">
        <v>12398790</v>
      </c>
      <c r="K380" s="65">
        <v>0</v>
      </c>
      <c r="L380" s="127">
        <v>0</v>
      </c>
    </row>
    <row r="381" spans="1:12" s="29" customFormat="1" ht="11.5" thickTop="1" thickBot="1" x14ac:dyDescent="0.4">
      <c r="A381" s="123"/>
      <c r="B381" s="124" t="s">
        <v>26</v>
      </c>
      <c r="C381" s="27" t="s">
        <v>64</v>
      </c>
      <c r="D381" s="27" t="s">
        <v>19</v>
      </c>
      <c r="E381" s="62">
        <f>SUM(E377:E380)</f>
        <v>55</v>
      </c>
      <c r="F381" s="62">
        <f t="shared" ref="F381:L381" si="78">SUM(F377:F380)</f>
        <v>9</v>
      </c>
      <c r="G381" s="62">
        <f t="shared" si="78"/>
        <v>0</v>
      </c>
      <c r="H381" s="62">
        <f t="shared" si="78"/>
        <v>0</v>
      </c>
      <c r="I381" s="62">
        <f t="shared" si="78"/>
        <v>318140868</v>
      </c>
      <c r="J381" s="62">
        <f t="shared" si="78"/>
        <v>31831297</v>
      </c>
      <c r="K381" s="62">
        <f t="shared" si="78"/>
        <v>0</v>
      </c>
      <c r="L381" s="62">
        <f t="shared" si="78"/>
        <v>0</v>
      </c>
    </row>
    <row r="382" spans="1:12" ht="11" thickTop="1" x14ac:dyDescent="0.35">
      <c r="A382" s="123"/>
      <c r="B382" s="124" t="s">
        <v>26</v>
      </c>
      <c r="C382" s="77" t="s">
        <v>64</v>
      </c>
      <c r="D382" s="19" t="s">
        <v>20</v>
      </c>
      <c r="E382" s="80">
        <v>0</v>
      </c>
      <c r="F382" s="80">
        <v>0</v>
      </c>
      <c r="G382" s="80">
        <v>0</v>
      </c>
      <c r="H382" s="80">
        <v>0</v>
      </c>
      <c r="I382" s="80">
        <v>0</v>
      </c>
      <c r="J382" s="80">
        <v>0</v>
      </c>
      <c r="K382" s="80">
        <v>0</v>
      </c>
      <c r="L382" s="80">
        <v>0</v>
      </c>
    </row>
    <row r="383" spans="1:12" x14ac:dyDescent="0.35">
      <c r="A383" s="125"/>
      <c r="B383" s="126" t="s">
        <v>26</v>
      </c>
      <c r="C383" s="77" t="s">
        <v>64</v>
      </c>
      <c r="D383" s="34" t="s">
        <v>21</v>
      </c>
      <c r="E383" s="57">
        <v>0</v>
      </c>
      <c r="F383" s="57">
        <v>0</v>
      </c>
      <c r="G383" s="57">
        <v>0</v>
      </c>
      <c r="H383" s="57">
        <v>0</v>
      </c>
      <c r="I383" s="57">
        <v>0</v>
      </c>
      <c r="J383" s="57">
        <v>0</v>
      </c>
      <c r="K383" s="57">
        <v>0</v>
      </c>
      <c r="L383" s="57">
        <v>0</v>
      </c>
    </row>
    <row r="384" spans="1:12" ht="21" x14ac:dyDescent="0.35">
      <c r="A384" s="121">
        <v>3</v>
      </c>
      <c r="B384" s="122" t="s">
        <v>13</v>
      </c>
      <c r="C384" s="67" t="s">
        <v>65</v>
      </c>
      <c r="D384" s="36" t="s">
        <v>15</v>
      </c>
      <c r="E384" s="68">
        <v>2</v>
      </c>
      <c r="F384" s="37">
        <v>0</v>
      </c>
      <c r="G384" s="37">
        <v>0</v>
      </c>
      <c r="H384" s="37">
        <v>0</v>
      </c>
      <c r="I384" s="37">
        <v>141986711</v>
      </c>
      <c r="J384" s="37">
        <v>0</v>
      </c>
      <c r="K384" s="39">
        <v>0</v>
      </c>
      <c r="L384" s="50">
        <v>0</v>
      </c>
    </row>
    <row r="385" spans="1:12" ht="21" x14ac:dyDescent="0.35">
      <c r="A385" s="123"/>
      <c r="B385" s="124" t="s">
        <v>13</v>
      </c>
      <c r="C385" s="67" t="s">
        <v>65</v>
      </c>
      <c r="D385" s="36" t="s">
        <v>16</v>
      </c>
      <c r="E385" s="101">
        <v>9</v>
      </c>
      <c r="F385" s="37">
        <v>6</v>
      </c>
      <c r="G385" s="37">
        <v>0</v>
      </c>
      <c r="H385" s="37">
        <v>0</v>
      </c>
      <c r="I385" s="37">
        <v>194855384</v>
      </c>
      <c r="J385" s="101">
        <v>153067285</v>
      </c>
      <c r="K385" s="39">
        <v>0</v>
      </c>
      <c r="L385" s="50">
        <v>0</v>
      </c>
    </row>
    <row r="386" spans="1:12" ht="21" x14ac:dyDescent="0.35">
      <c r="A386" s="123"/>
      <c r="B386" s="124" t="s">
        <v>13</v>
      </c>
      <c r="C386" s="67" t="s">
        <v>65</v>
      </c>
      <c r="D386" s="36" t="s">
        <v>17</v>
      </c>
      <c r="E386" s="101">
        <v>9</v>
      </c>
      <c r="F386" s="37">
        <v>9</v>
      </c>
      <c r="G386" s="37">
        <v>0</v>
      </c>
      <c r="H386" s="37">
        <v>0</v>
      </c>
      <c r="I386" s="37">
        <v>47971196</v>
      </c>
      <c r="J386" s="101">
        <v>53976249</v>
      </c>
      <c r="K386" s="39"/>
      <c r="L386" s="50"/>
    </row>
    <row r="387" spans="1:12" ht="21.5" thickBot="1" x14ac:dyDescent="0.4">
      <c r="A387" s="123"/>
      <c r="B387" s="124" t="s">
        <v>13</v>
      </c>
      <c r="C387" s="67" t="s">
        <v>65</v>
      </c>
      <c r="D387" s="41" t="s">
        <v>18</v>
      </c>
      <c r="E387" s="71">
        <v>5</v>
      </c>
      <c r="F387" s="37">
        <v>0</v>
      </c>
      <c r="G387" s="37">
        <v>0</v>
      </c>
      <c r="H387" s="37">
        <v>0</v>
      </c>
      <c r="I387" s="37">
        <v>16619309</v>
      </c>
      <c r="J387" s="71">
        <v>0</v>
      </c>
      <c r="K387" s="39">
        <v>0</v>
      </c>
      <c r="L387" s="50">
        <v>0</v>
      </c>
    </row>
    <row r="388" spans="1:12" s="29" customFormat="1" ht="11.5" thickTop="1" thickBot="1" x14ac:dyDescent="0.4">
      <c r="A388" s="123"/>
      <c r="B388" s="124" t="s">
        <v>13</v>
      </c>
      <c r="C388" s="27" t="s">
        <v>65</v>
      </c>
      <c r="D388" s="27" t="s">
        <v>19</v>
      </c>
      <c r="E388" s="62">
        <f>SUM(E384:E387)</f>
        <v>25</v>
      </c>
      <c r="F388" s="62">
        <f t="shared" ref="F388:L388" si="79">SUM(F384:F387)</f>
        <v>15</v>
      </c>
      <c r="G388" s="62">
        <f t="shared" si="79"/>
        <v>0</v>
      </c>
      <c r="H388" s="62">
        <f t="shared" si="79"/>
        <v>0</v>
      </c>
      <c r="I388" s="62">
        <f t="shared" si="79"/>
        <v>401432600</v>
      </c>
      <c r="J388" s="62">
        <f t="shared" si="79"/>
        <v>207043534</v>
      </c>
      <c r="K388" s="62">
        <f t="shared" si="79"/>
        <v>0</v>
      </c>
      <c r="L388" s="62">
        <f t="shared" si="79"/>
        <v>0</v>
      </c>
    </row>
    <row r="389" spans="1:12" ht="21.5" thickTop="1" x14ac:dyDescent="0.35">
      <c r="A389" s="123"/>
      <c r="B389" s="124" t="s">
        <v>13</v>
      </c>
      <c r="C389" s="67" t="s">
        <v>65</v>
      </c>
      <c r="D389" s="45" t="s">
        <v>20</v>
      </c>
      <c r="E389" s="101"/>
      <c r="F389" s="37"/>
      <c r="G389" s="37"/>
      <c r="H389" s="37"/>
      <c r="I389" s="37"/>
      <c r="J389" s="101"/>
      <c r="K389" s="39"/>
      <c r="L389" s="50"/>
    </row>
    <row r="390" spans="1:12" ht="21" x14ac:dyDescent="0.35">
      <c r="A390" s="125"/>
      <c r="B390" s="126" t="s">
        <v>13</v>
      </c>
      <c r="C390" s="67" t="s">
        <v>65</v>
      </c>
      <c r="D390" s="49" t="s">
        <v>21</v>
      </c>
      <c r="E390" s="71"/>
      <c r="F390" s="37"/>
      <c r="G390" s="37"/>
      <c r="H390" s="37"/>
      <c r="I390" s="37"/>
      <c r="J390" s="71"/>
      <c r="K390" s="39"/>
      <c r="L390" s="50"/>
    </row>
    <row r="391" spans="1:12" ht="21" x14ac:dyDescent="0.35">
      <c r="A391" s="121">
        <v>4</v>
      </c>
      <c r="B391" s="122" t="s">
        <v>13</v>
      </c>
      <c r="C391" s="18" t="s">
        <v>66</v>
      </c>
      <c r="D391" s="23" t="s">
        <v>15</v>
      </c>
      <c r="E391" s="57"/>
      <c r="F391" s="57"/>
      <c r="G391" s="57"/>
      <c r="H391" s="57"/>
      <c r="I391" s="57"/>
      <c r="J391" s="57"/>
      <c r="K391" s="65"/>
      <c r="L391" s="127"/>
    </row>
    <row r="392" spans="1:12" ht="21" x14ac:dyDescent="0.35">
      <c r="A392" s="123"/>
      <c r="B392" s="124" t="s">
        <v>13</v>
      </c>
      <c r="C392" s="18" t="s">
        <v>66</v>
      </c>
      <c r="D392" s="23" t="s">
        <v>16</v>
      </c>
      <c r="E392" s="57"/>
      <c r="F392" s="57"/>
      <c r="G392" s="57"/>
      <c r="H392" s="57"/>
      <c r="I392" s="57"/>
      <c r="J392" s="57"/>
      <c r="K392" s="65"/>
      <c r="L392" s="127"/>
    </row>
    <row r="393" spans="1:12" ht="21" x14ac:dyDescent="0.35">
      <c r="A393" s="123"/>
      <c r="B393" s="124" t="s">
        <v>13</v>
      </c>
      <c r="C393" s="18" t="s">
        <v>66</v>
      </c>
      <c r="D393" s="23" t="s">
        <v>17</v>
      </c>
      <c r="E393" s="57"/>
      <c r="F393" s="57"/>
      <c r="G393" s="57"/>
      <c r="H393" s="57"/>
      <c r="I393" s="57"/>
      <c r="J393" s="103"/>
      <c r="K393" s="65"/>
      <c r="L393" s="127"/>
    </row>
    <row r="394" spans="1:12" ht="21.5" thickBot="1" x14ac:dyDescent="0.4">
      <c r="A394" s="123"/>
      <c r="B394" s="124" t="s">
        <v>13</v>
      </c>
      <c r="C394" s="18" t="s">
        <v>66</v>
      </c>
      <c r="D394" s="24" t="s">
        <v>18</v>
      </c>
      <c r="E394" s="78"/>
      <c r="F394" s="78"/>
      <c r="G394" s="78"/>
      <c r="H394" s="78"/>
      <c r="I394" s="57"/>
      <c r="J394" s="103"/>
      <c r="K394" s="65"/>
      <c r="L394" s="127"/>
    </row>
    <row r="395" spans="1:12" s="29" customFormat="1" ht="22" thickTop="1" thickBot="1" x14ac:dyDescent="0.4">
      <c r="A395" s="123"/>
      <c r="B395" s="124" t="s">
        <v>13</v>
      </c>
      <c r="C395" s="73" t="s">
        <v>66</v>
      </c>
      <c r="D395" s="27" t="s">
        <v>19</v>
      </c>
      <c r="E395" s="62">
        <f>SUM(E391:E394)</f>
        <v>0</v>
      </c>
      <c r="F395" s="62">
        <f t="shared" ref="F395:L395" si="80">SUM(F391:F394)</f>
        <v>0</v>
      </c>
      <c r="G395" s="62">
        <f t="shared" si="80"/>
        <v>0</v>
      </c>
      <c r="H395" s="62">
        <f t="shared" si="80"/>
        <v>0</v>
      </c>
      <c r="I395" s="62">
        <f t="shared" si="80"/>
        <v>0</v>
      </c>
      <c r="J395" s="62">
        <f t="shared" si="80"/>
        <v>0</v>
      </c>
      <c r="K395" s="62">
        <f t="shared" si="80"/>
        <v>0</v>
      </c>
      <c r="L395" s="62">
        <f t="shared" si="80"/>
        <v>0</v>
      </c>
    </row>
    <row r="396" spans="1:12" ht="21.5" thickTop="1" x14ac:dyDescent="0.35">
      <c r="A396" s="123"/>
      <c r="B396" s="124" t="s">
        <v>13</v>
      </c>
      <c r="C396" s="22" t="s">
        <v>66</v>
      </c>
      <c r="D396" s="30" t="s">
        <v>20</v>
      </c>
      <c r="E396" s="80"/>
      <c r="F396" s="80"/>
      <c r="G396" s="80"/>
      <c r="H396" s="80"/>
      <c r="I396" s="80"/>
      <c r="J396" s="80"/>
      <c r="K396" s="81"/>
      <c r="L396" s="127"/>
    </row>
    <row r="397" spans="1:12" ht="21" x14ac:dyDescent="0.35">
      <c r="A397" s="125"/>
      <c r="B397" s="126" t="s">
        <v>13</v>
      </c>
      <c r="C397" s="18" t="s">
        <v>66</v>
      </c>
      <c r="D397" s="34" t="s">
        <v>21</v>
      </c>
      <c r="E397" s="57"/>
      <c r="F397" s="57"/>
      <c r="G397" s="57"/>
      <c r="H397" s="57"/>
      <c r="I397" s="57"/>
      <c r="J397" s="57"/>
      <c r="K397" s="65"/>
      <c r="L397" s="127"/>
    </row>
    <row r="398" spans="1:12" ht="31.5" x14ac:dyDescent="0.25">
      <c r="A398" s="121">
        <v>5</v>
      </c>
      <c r="B398" s="122" t="s">
        <v>59</v>
      </c>
      <c r="C398" s="84" t="s">
        <v>67</v>
      </c>
      <c r="D398" s="36" t="s">
        <v>15</v>
      </c>
      <c r="E398" s="68">
        <v>10</v>
      </c>
      <c r="F398" s="37">
        <v>15</v>
      </c>
      <c r="G398" s="37">
        <v>124</v>
      </c>
      <c r="H398" s="37">
        <v>6</v>
      </c>
      <c r="I398" s="37">
        <v>940073371</v>
      </c>
      <c r="J398" s="37">
        <v>1110187939</v>
      </c>
      <c r="K398" s="39">
        <v>29758784080</v>
      </c>
      <c r="L398" s="50">
        <v>921308596</v>
      </c>
    </row>
    <row r="399" spans="1:12" ht="31.5" x14ac:dyDescent="0.25">
      <c r="A399" s="123"/>
      <c r="B399" s="124" t="s">
        <v>59</v>
      </c>
      <c r="C399" s="84" t="s">
        <v>67</v>
      </c>
      <c r="D399" s="36" t="s">
        <v>16</v>
      </c>
      <c r="E399" s="101">
        <v>20</v>
      </c>
      <c r="F399" s="37">
        <v>3</v>
      </c>
      <c r="G399" s="37">
        <v>1</v>
      </c>
      <c r="H399" s="37">
        <v>0</v>
      </c>
      <c r="I399" s="37">
        <v>2093628184</v>
      </c>
      <c r="J399" s="101">
        <v>328363699</v>
      </c>
      <c r="K399" s="39">
        <v>95497069</v>
      </c>
      <c r="L399" s="50">
        <v>0</v>
      </c>
    </row>
    <row r="400" spans="1:12" ht="31.5" x14ac:dyDescent="0.25">
      <c r="A400" s="123"/>
      <c r="B400" s="124" t="s">
        <v>59</v>
      </c>
      <c r="C400" s="84" t="s">
        <v>67</v>
      </c>
      <c r="D400" s="36" t="s">
        <v>17</v>
      </c>
      <c r="E400" s="101">
        <v>0</v>
      </c>
      <c r="F400" s="101">
        <v>0</v>
      </c>
      <c r="G400" s="101">
        <v>0</v>
      </c>
      <c r="H400" s="101">
        <v>0</v>
      </c>
      <c r="I400" s="101">
        <v>0</v>
      </c>
      <c r="J400" s="101">
        <v>0</v>
      </c>
      <c r="K400" s="107">
        <v>0</v>
      </c>
      <c r="L400" s="127">
        <v>0</v>
      </c>
    </row>
    <row r="401" spans="1:12" ht="32" thickBot="1" x14ac:dyDescent="0.3">
      <c r="A401" s="123"/>
      <c r="B401" s="124" t="s">
        <v>59</v>
      </c>
      <c r="C401" s="86" t="s">
        <v>67</v>
      </c>
      <c r="D401" s="41" t="s">
        <v>18</v>
      </c>
      <c r="E401" s="71">
        <v>0</v>
      </c>
      <c r="F401" s="71">
        <v>0</v>
      </c>
      <c r="G401" s="71">
        <v>0</v>
      </c>
      <c r="H401" s="71">
        <v>0</v>
      </c>
      <c r="I401" s="71">
        <v>0</v>
      </c>
      <c r="J401" s="71">
        <v>0</v>
      </c>
      <c r="K401" s="72">
        <v>0</v>
      </c>
      <c r="L401" s="127">
        <v>0</v>
      </c>
    </row>
    <row r="402" spans="1:12" s="29" customFormat="1" ht="32.5" thickTop="1" thickBot="1" x14ac:dyDescent="0.3">
      <c r="A402" s="123"/>
      <c r="B402" s="124" t="s">
        <v>59</v>
      </c>
      <c r="C402" s="89" t="s">
        <v>67</v>
      </c>
      <c r="D402" s="27" t="s">
        <v>19</v>
      </c>
      <c r="E402" s="62">
        <f>SUM(E398:E401)</f>
        <v>30</v>
      </c>
      <c r="F402" s="62">
        <f t="shared" ref="F402:L402" si="81">SUM(F398:F401)</f>
        <v>18</v>
      </c>
      <c r="G402" s="62">
        <f t="shared" si="81"/>
        <v>125</v>
      </c>
      <c r="H402" s="62">
        <f t="shared" si="81"/>
        <v>6</v>
      </c>
      <c r="I402" s="62">
        <f t="shared" si="81"/>
        <v>3033701555</v>
      </c>
      <c r="J402" s="62">
        <f t="shared" si="81"/>
        <v>1438551638</v>
      </c>
      <c r="K402" s="62">
        <f t="shared" si="81"/>
        <v>29854281149</v>
      </c>
      <c r="L402" s="62">
        <f t="shared" si="81"/>
        <v>921308596</v>
      </c>
    </row>
    <row r="403" spans="1:12" ht="32" thickTop="1" x14ac:dyDescent="0.25">
      <c r="A403" s="123"/>
      <c r="B403" s="124" t="s">
        <v>59</v>
      </c>
      <c r="C403" s="91" t="s">
        <v>67</v>
      </c>
      <c r="D403" s="45" t="s">
        <v>20</v>
      </c>
      <c r="E403" s="101">
        <v>0</v>
      </c>
      <c r="F403" s="101">
        <v>0</v>
      </c>
      <c r="G403" s="101">
        <v>0</v>
      </c>
      <c r="H403" s="101">
        <v>0</v>
      </c>
      <c r="I403" s="101">
        <v>0</v>
      </c>
      <c r="J403" s="101">
        <v>0</v>
      </c>
      <c r="K403" s="107">
        <v>0</v>
      </c>
      <c r="L403" s="127">
        <v>0</v>
      </c>
    </row>
    <row r="404" spans="1:12" ht="31.5" x14ac:dyDescent="0.25">
      <c r="A404" s="125"/>
      <c r="B404" s="126" t="s">
        <v>59</v>
      </c>
      <c r="C404" s="84" t="s">
        <v>67</v>
      </c>
      <c r="D404" s="49" t="s">
        <v>21</v>
      </c>
      <c r="E404" s="71">
        <v>0</v>
      </c>
      <c r="F404" s="71">
        <v>0</v>
      </c>
      <c r="G404" s="71">
        <v>0</v>
      </c>
      <c r="H404" s="71">
        <v>0</v>
      </c>
      <c r="I404" s="71">
        <v>0</v>
      </c>
      <c r="J404" s="71">
        <v>0</v>
      </c>
      <c r="K404" s="72">
        <v>0</v>
      </c>
      <c r="L404" s="127">
        <v>0</v>
      </c>
    </row>
    <row r="405" spans="1:12" ht="21" x14ac:dyDescent="0.25">
      <c r="A405" s="121">
        <v>6</v>
      </c>
      <c r="B405" s="122" t="s">
        <v>68</v>
      </c>
      <c r="C405" s="95" t="s">
        <v>69</v>
      </c>
      <c r="D405" s="23" t="s">
        <v>15</v>
      </c>
      <c r="E405" s="57">
        <v>13</v>
      </c>
      <c r="F405" s="57">
        <v>11</v>
      </c>
      <c r="G405" s="57">
        <v>66</v>
      </c>
      <c r="H405" s="57">
        <v>17</v>
      </c>
      <c r="I405" s="57"/>
      <c r="J405" s="57"/>
      <c r="K405" s="65"/>
      <c r="L405" s="127"/>
    </row>
    <row r="406" spans="1:12" ht="21" x14ac:dyDescent="0.25">
      <c r="A406" s="123"/>
      <c r="B406" s="124" t="s">
        <v>68</v>
      </c>
      <c r="C406" s="95" t="s">
        <v>69</v>
      </c>
      <c r="D406" s="23" t="s">
        <v>16</v>
      </c>
      <c r="E406" s="57"/>
      <c r="F406" s="57"/>
      <c r="G406" s="57"/>
      <c r="H406" s="57"/>
      <c r="I406" s="57"/>
      <c r="J406" s="57"/>
      <c r="K406" s="65"/>
      <c r="L406" s="127"/>
    </row>
    <row r="407" spans="1:12" ht="21" x14ac:dyDescent="0.25">
      <c r="A407" s="123"/>
      <c r="B407" s="124" t="s">
        <v>68</v>
      </c>
      <c r="C407" s="95" t="s">
        <v>69</v>
      </c>
      <c r="D407" s="23" t="s">
        <v>17</v>
      </c>
      <c r="E407" s="57"/>
      <c r="F407" s="57">
        <v>1</v>
      </c>
      <c r="G407" s="57"/>
      <c r="H407" s="57"/>
      <c r="I407" s="57"/>
      <c r="J407" s="103"/>
      <c r="K407" s="65"/>
      <c r="L407" s="127"/>
    </row>
    <row r="408" spans="1:12" ht="21.5" thickBot="1" x14ac:dyDescent="0.3">
      <c r="A408" s="123"/>
      <c r="B408" s="124" t="s">
        <v>68</v>
      </c>
      <c r="C408" s="97" t="s">
        <v>69</v>
      </c>
      <c r="D408" s="24" t="s">
        <v>18</v>
      </c>
      <c r="E408" s="78"/>
      <c r="F408" s="78">
        <v>2</v>
      </c>
      <c r="G408" s="78"/>
      <c r="H408" s="78"/>
      <c r="I408" s="57"/>
      <c r="J408" s="103"/>
      <c r="K408" s="65"/>
      <c r="L408" s="127"/>
    </row>
    <row r="409" spans="1:12" s="29" customFormat="1" ht="22" thickTop="1" thickBot="1" x14ac:dyDescent="0.3">
      <c r="A409" s="123"/>
      <c r="B409" s="124" t="s">
        <v>68</v>
      </c>
      <c r="C409" s="89" t="s">
        <v>69</v>
      </c>
      <c r="D409" s="27" t="s">
        <v>19</v>
      </c>
      <c r="E409" s="62">
        <f>SUM(E405:E408)</f>
        <v>13</v>
      </c>
      <c r="F409" s="62">
        <f t="shared" ref="F409:L409" si="82">SUM(F405:F408)</f>
        <v>14</v>
      </c>
      <c r="G409" s="62">
        <f t="shared" si="82"/>
        <v>66</v>
      </c>
      <c r="H409" s="62">
        <f t="shared" si="82"/>
        <v>17</v>
      </c>
      <c r="I409" s="62">
        <f t="shared" si="82"/>
        <v>0</v>
      </c>
      <c r="J409" s="62">
        <f t="shared" si="82"/>
        <v>0</v>
      </c>
      <c r="K409" s="62">
        <f t="shared" si="82"/>
        <v>0</v>
      </c>
      <c r="L409" s="62">
        <f t="shared" si="82"/>
        <v>0</v>
      </c>
    </row>
    <row r="410" spans="1:12" ht="21.5" thickTop="1" x14ac:dyDescent="0.35">
      <c r="A410" s="123"/>
      <c r="B410" s="124" t="s">
        <v>68</v>
      </c>
      <c r="C410" s="33" t="s">
        <v>69</v>
      </c>
      <c r="D410" s="19" t="s">
        <v>20</v>
      </c>
      <c r="E410" s="80">
        <v>13</v>
      </c>
      <c r="F410" s="80">
        <v>14</v>
      </c>
      <c r="G410" s="80">
        <v>66</v>
      </c>
      <c r="H410" s="80">
        <v>17</v>
      </c>
      <c r="I410" s="80"/>
      <c r="J410" s="80"/>
      <c r="K410" s="81"/>
      <c r="L410" s="127"/>
    </row>
    <row r="411" spans="1:12" ht="21" x14ac:dyDescent="0.25">
      <c r="A411" s="125"/>
      <c r="B411" s="126" t="s">
        <v>68</v>
      </c>
      <c r="C411" s="95" t="s">
        <v>69</v>
      </c>
      <c r="D411" s="34" t="s">
        <v>21</v>
      </c>
      <c r="E411" s="57"/>
      <c r="F411" s="57"/>
      <c r="G411" s="57"/>
      <c r="H411" s="57"/>
      <c r="I411" s="57"/>
      <c r="J411" s="57"/>
      <c r="K411" s="65"/>
      <c r="L411" s="127"/>
    </row>
    <row r="413" spans="1:12" s="5" customFormat="1" ht="18.5" x14ac:dyDescent="0.35">
      <c r="A413" s="5" t="s">
        <v>70</v>
      </c>
      <c r="B413" s="5" t="s">
        <v>70</v>
      </c>
    </row>
    <row r="414" spans="1:12" s="6" customFormat="1" x14ac:dyDescent="0.25"/>
    <row r="415" spans="1:12" s="6" customFormat="1" x14ac:dyDescent="0.25">
      <c r="E415" s="9" t="s">
        <v>3</v>
      </c>
      <c r="F415" s="9"/>
      <c r="G415" s="9" t="s">
        <v>4</v>
      </c>
      <c r="H415" s="9"/>
    </row>
    <row r="416" spans="1:12" ht="21.5" thickBot="1" x14ac:dyDescent="0.4">
      <c r="A416" s="117" t="s">
        <v>7</v>
      </c>
      <c r="B416" s="117" t="s">
        <v>7</v>
      </c>
      <c r="C416" s="128" t="s">
        <v>9</v>
      </c>
      <c r="D416" s="128" t="s">
        <v>10</v>
      </c>
      <c r="E416" s="15" t="s">
        <v>11</v>
      </c>
      <c r="F416" s="15" t="s">
        <v>12</v>
      </c>
      <c r="G416" s="15" t="s">
        <v>11</v>
      </c>
      <c r="H416" s="15" t="s">
        <v>12</v>
      </c>
      <c r="I416" s="129" t="s">
        <v>52</v>
      </c>
      <c r="J416" s="129" t="s">
        <v>53</v>
      </c>
      <c r="K416" s="130" t="s">
        <v>54</v>
      </c>
    </row>
    <row r="417" spans="1:12" x14ac:dyDescent="0.35">
      <c r="A417" s="55">
        <v>1</v>
      </c>
      <c r="B417" s="55" t="s">
        <v>13</v>
      </c>
      <c r="C417" s="56" t="s">
        <v>71</v>
      </c>
      <c r="D417" s="19" t="s">
        <v>15</v>
      </c>
      <c r="E417" s="57">
        <v>0</v>
      </c>
      <c r="F417" s="57">
        <v>0</v>
      </c>
      <c r="G417" s="57">
        <v>0</v>
      </c>
      <c r="H417" s="57">
        <v>0</v>
      </c>
      <c r="I417" s="57">
        <v>0</v>
      </c>
      <c r="J417" s="57">
        <v>0</v>
      </c>
      <c r="K417" s="57">
        <v>0</v>
      </c>
      <c r="L417" s="7"/>
    </row>
    <row r="418" spans="1:12" x14ac:dyDescent="0.35">
      <c r="A418" s="55">
        <v>1</v>
      </c>
      <c r="B418" s="55" t="s">
        <v>13</v>
      </c>
      <c r="C418" s="56" t="s">
        <v>71</v>
      </c>
      <c r="D418" s="23" t="s">
        <v>16</v>
      </c>
      <c r="E418" s="57">
        <v>0</v>
      </c>
      <c r="F418" s="57">
        <v>0</v>
      </c>
      <c r="G418" s="57">
        <v>0</v>
      </c>
      <c r="H418" s="57">
        <v>0</v>
      </c>
      <c r="I418" s="57">
        <v>0</v>
      </c>
      <c r="J418" s="57">
        <v>0</v>
      </c>
      <c r="K418" s="57">
        <v>0</v>
      </c>
      <c r="L418" s="7"/>
    </row>
    <row r="419" spans="1:12" x14ac:dyDescent="0.35">
      <c r="A419" s="55">
        <v>1</v>
      </c>
      <c r="B419" s="55" t="s">
        <v>13</v>
      </c>
      <c r="C419" s="56" t="s">
        <v>71</v>
      </c>
      <c r="D419" s="23" t="s">
        <v>17</v>
      </c>
      <c r="E419" s="57">
        <v>0</v>
      </c>
      <c r="F419" s="57">
        <v>0</v>
      </c>
      <c r="G419" s="57">
        <v>0</v>
      </c>
      <c r="H419" s="57">
        <v>0</v>
      </c>
      <c r="I419" s="57">
        <v>0</v>
      </c>
      <c r="J419" s="57">
        <v>0</v>
      </c>
      <c r="K419" s="57">
        <v>0</v>
      </c>
      <c r="L419" s="7"/>
    </row>
    <row r="420" spans="1:12" ht="11" thickBot="1" x14ac:dyDescent="0.4">
      <c r="A420" s="58">
        <v>1</v>
      </c>
      <c r="B420" s="58" t="s">
        <v>13</v>
      </c>
      <c r="C420" s="59" t="s">
        <v>71</v>
      </c>
      <c r="D420" s="24" t="s">
        <v>18</v>
      </c>
      <c r="E420" s="57">
        <v>0</v>
      </c>
      <c r="F420" s="57">
        <v>0</v>
      </c>
      <c r="G420" s="57">
        <v>0</v>
      </c>
      <c r="H420" s="57">
        <v>0</v>
      </c>
      <c r="I420" s="57">
        <v>0</v>
      </c>
      <c r="J420" s="57">
        <v>0</v>
      </c>
      <c r="K420" s="57">
        <v>0</v>
      </c>
      <c r="L420" s="7"/>
    </row>
    <row r="421" spans="1:12" s="29" customFormat="1" ht="11.5" thickTop="1" thickBot="1" x14ac:dyDescent="0.4">
      <c r="A421" s="60">
        <v>1</v>
      </c>
      <c r="B421" s="60" t="s">
        <v>13</v>
      </c>
      <c r="C421" s="61" t="s">
        <v>71</v>
      </c>
      <c r="D421" s="27" t="s">
        <v>19</v>
      </c>
      <c r="E421" s="62">
        <f>SUM(E417:E420)</f>
        <v>0</v>
      </c>
      <c r="F421" s="62">
        <f t="shared" ref="F421:K421" si="83">SUM(F417:F420)</f>
        <v>0</v>
      </c>
      <c r="G421" s="62">
        <f t="shared" si="83"/>
        <v>0</v>
      </c>
      <c r="H421" s="62">
        <f t="shared" si="83"/>
        <v>0</v>
      </c>
      <c r="I421" s="62">
        <f t="shared" si="83"/>
        <v>0</v>
      </c>
      <c r="J421" s="62">
        <f t="shared" si="83"/>
        <v>0</v>
      </c>
      <c r="K421" s="62">
        <f t="shared" si="83"/>
        <v>0</v>
      </c>
      <c r="L421" s="7"/>
    </row>
    <row r="422" spans="1:12" ht="11" thickTop="1" x14ac:dyDescent="0.35">
      <c r="A422" s="63">
        <v>1</v>
      </c>
      <c r="B422" s="63" t="s">
        <v>13</v>
      </c>
      <c r="C422" s="64" t="s">
        <v>71</v>
      </c>
      <c r="D422" s="30" t="s">
        <v>20</v>
      </c>
      <c r="E422" s="57"/>
      <c r="F422" s="57"/>
      <c r="G422" s="57"/>
      <c r="H422" s="57"/>
      <c r="I422" s="57"/>
      <c r="J422" s="57"/>
      <c r="K422" s="65"/>
      <c r="L422" s="7"/>
    </row>
    <row r="423" spans="1:12" x14ac:dyDescent="0.35">
      <c r="A423" s="55">
        <v>1</v>
      </c>
      <c r="B423" s="55" t="s">
        <v>13</v>
      </c>
      <c r="C423" s="56" t="s">
        <v>71</v>
      </c>
      <c r="D423" s="34" t="s">
        <v>21</v>
      </c>
      <c r="E423" s="57"/>
      <c r="F423" s="57"/>
      <c r="G423" s="57"/>
      <c r="H423" s="57"/>
      <c r="I423" s="57"/>
      <c r="J423" s="57"/>
      <c r="K423" s="65"/>
      <c r="L423" s="7"/>
    </row>
    <row r="424" spans="1:12" x14ac:dyDescent="0.35">
      <c r="A424" s="55"/>
      <c r="B424" s="55" t="s">
        <v>13</v>
      </c>
      <c r="C424" s="56"/>
      <c r="D424" s="34" t="s">
        <v>55</v>
      </c>
      <c r="E424" s="57">
        <f>+E388+E421</f>
        <v>25</v>
      </c>
      <c r="F424" s="57">
        <f t="shared" ref="F424:H424" si="84">+F388+F421</f>
        <v>15</v>
      </c>
      <c r="G424" s="57">
        <f t="shared" si="84"/>
        <v>0</v>
      </c>
      <c r="H424" s="57">
        <f t="shared" si="84"/>
        <v>0</v>
      </c>
      <c r="I424" s="57">
        <f>+SUM(E424:H424)</f>
        <v>40</v>
      </c>
      <c r="J424" s="57">
        <f>+I388+J388+J421</f>
        <v>608476134</v>
      </c>
      <c r="K424" s="65">
        <f>+K388+L388+K421</f>
        <v>0</v>
      </c>
      <c r="L424" s="7"/>
    </row>
    <row r="425" spans="1:12" ht="31.5" x14ac:dyDescent="0.35">
      <c r="A425" s="66">
        <v>2</v>
      </c>
      <c r="B425" s="66" t="s">
        <v>26</v>
      </c>
      <c r="C425" s="131" t="s">
        <v>72</v>
      </c>
      <c r="D425" s="36" t="s">
        <v>15</v>
      </c>
      <c r="E425" s="68">
        <v>0</v>
      </c>
      <c r="F425" s="68">
        <v>0</v>
      </c>
      <c r="G425" s="68">
        <v>0</v>
      </c>
      <c r="H425" s="68">
        <v>0</v>
      </c>
      <c r="I425" s="68">
        <v>0</v>
      </c>
      <c r="J425" s="68">
        <v>0</v>
      </c>
      <c r="K425" s="69">
        <v>0</v>
      </c>
      <c r="L425" s="127"/>
    </row>
    <row r="426" spans="1:12" ht="31.5" x14ac:dyDescent="0.35">
      <c r="A426" s="66">
        <v>2</v>
      </c>
      <c r="B426" s="66" t="s">
        <v>26</v>
      </c>
      <c r="C426" s="131" t="s">
        <v>72</v>
      </c>
      <c r="D426" s="36" t="s">
        <v>16</v>
      </c>
      <c r="E426" s="68">
        <v>0</v>
      </c>
      <c r="F426" s="68">
        <v>0</v>
      </c>
      <c r="G426" s="68">
        <v>0</v>
      </c>
      <c r="H426" s="68">
        <v>0</v>
      </c>
      <c r="I426" s="68">
        <v>0</v>
      </c>
      <c r="J426" s="68">
        <v>0</v>
      </c>
      <c r="K426" s="69">
        <v>0</v>
      </c>
      <c r="L426" s="127"/>
    </row>
    <row r="427" spans="1:12" ht="31.5" x14ac:dyDescent="0.35">
      <c r="A427" s="66">
        <v>2</v>
      </c>
      <c r="B427" s="66" t="s">
        <v>26</v>
      </c>
      <c r="C427" s="131" t="s">
        <v>72</v>
      </c>
      <c r="D427" s="36" t="s">
        <v>17</v>
      </c>
      <c r="E427" s="68">
        <v>0</v>
      </c>
      <c r="F427" s="68">
        <v>0</v>
      </c>
      <c r="G427" s="68">
        <v>0</v>
      </c>
      <c r="H427" s="68">
        <v>0</v>
      </c>
      <c r="I427" s="68">
        <v>0</v>
      </c>
      <c r="J427" s="68">
        <v>0</v>
      </c>
      <c r="K427" s="69">
        <v>0</v>
      </c>
      <c r="L427" s="127"/>
    </row>
    <row r="428" spans="1:12" ht="32" thickBot="1" x14ac:dyDescent="0.3">
      <c r="A428" s="70">
        <v>2</v>
      </c>
      <c r="B428" s="70" t="s">
        <v>26</v>
      </c>
      <c r="C428" s="132" t="s">
        <v>72</v>
      </c>
      <c r="D428" s="41" t="s">
        <v>18</v>
      </c>
      <c r="E428" s="71">
        <v>25</v>
      </c>
      <c r="F428" s="71">
        <v>5</v>
      </c>
      <c r="G428" s="68">
        <v>0</v>
      </c>
      <c r="H428" s="68">
        <v>0</v>
      </c>
      <c r="I428" s="71">
        <v>30</v>
      </c>
      <c r="J428" s="133">
        <v>52705440</v>
      </c>
      <c r="K428" s="69">
        <v>0</v>
      </c>
    </row>
    <row r="429" spans="1:12" s="29" customFormat="1" ht="32.5" thickTop="1" thickBot="1" x14ac:dyDescent="0.4">
      <c r="A429" s="60">
        <v>2</v>
      </c>
      <c r="B429" s="60" t="s">
        <v>26</v>
      </c>
      <c r="C429" s="134" t="s">
        <v>72</v>
      </c>
      <c r="D429" s="27" t="s">
        <v>19</v>
      </c>
      <c r="E429" s="62">
        <f>SUM(E425:E428)</f>
        <v>25</v>
      </c>
      <c r="F429" s="62">
        <f t="shared" ref="F429:K429" si="85">SUM(F425:F428)</f>
        <v>5</v>
      </c>
      <c r="G429" s="62">
        <f t="shared" si="85"/>
        <v>0</v>
      </c>
      <c r="H429" s="62">
        <f t="shared" si="85"/>
        <v>0</v>
      </c>
      <c r="I429" s="62">
        <f t="shared" si="85"/>
        <v>30</v>
      </c>
      <c r="J429" s="62">
        <f t="shared" si="85"/>
        <v>52705440</v>
      </c>
      <c r="K429" s="62">
        <f t="shared" si="85"/>
        <v>0</v>
      </c>
      <c r="L429" s="135"/>
    </row>
    <row r="430" spans="1:12" ht="32" thickTop="1" x14ac:dyDescent="0.35">
      <c r="A430" s="74">
        <v>2</v>
      </c>
      <c r="B430" s="74" t="s">
        <v>26</v>
      </c>
      <c r="C430" s="136" t="s">
        <v>72</v>
      </c>
      <c r="D430" s="45" t="s">
        <v>20</v>
      </c>
      <c r="E430" s="75">
        <v>24</v>
      </c>
      <c r="F430" s="75">
        <v>6</v>
      </c>
      <c r="G430" s="75">
        <v>0</v>
      </c>
      <c r="H430" s="75">
        <v>0</v>
      </c>
      <c r="I430" s="75">
        <v>0</v>
      </c>
      <c r="J430" s="75">
        <v>0</v>
      </c>
      <c r="K430" s="76">
        <v>0</v>
      </c>
      <c r="L430" s="127"/>
    </row>
    <row r="431" spans="1:12" ht="31.5" x14ac:dyDescent="0.35">
      <c r="A431" s="66">
        <v>2</v>
      </c>
      <c r="B431" s="66" t="s">
        <v>26</v>
      </c>
      <c r="C431" s="131" t="s">
        <v>72</v>
      </c>
      <c r="D431" s="49" t="s">
        <v>21</v>
      </c>
      <c r="E431" s="68">
        <v>0</v>
      </c>
      <c r="F431" s="68">
        <v>0</v>
      </c>
      <c r="G431" s="68">
        <v>0</v>
      </c>
      <c r="H431" s="68">
        <v>0</v>
      </c>
      <c r="I431" s="68">
        <v>0</v>
      </c>
      <c r="J431" s="68">
        <v>0</v>
      </c>
      <c r="K431" s="69">
        <v>0</v>
      </c>
      <c r="L431" s="127"/>
    </row>
    <row r="432" spans="1:12" ht="31.5" x14ac:dyDescent="0.35">
      <c r="A432" s="66">
        <v>2</v>
      </c>
      <c r="B432" s="66" t="s">
        <v>26</v>
      </c>
      <c r="C432" s="131" t="s">
        <v>72</v>
      </c>
      <c r="D432" s="49" t="s">
        <v>55</v>
      </c>
      <c r="E432" s="68">
        <f>+E381+E429</f>
        <v>80</v>
      </c>
      <c r="F432" s="68">
        <f t="shared" ref="F432:H432" si="86">+F381+F429</f>
        <v>14</v>
      </c>
      <c r="G432" s="68">
        <f t="shared" si="86"/>
        <v>0</v>
      </c>
      <c r="H432" s="68">
        <f t="shared" si="86"/>
        <v>0</v>
      </c>
      <c r="I432" s="68">
        <f>+SUM(E432:H432)</f>
        <v>94</v>
      </c>
      <c r="J432" s="68">
        <f>+I381+J381+J429</f>
        <v>402677605</v>
      </c>
      <c r="K432" s="69"/>
      <c r="L432" s="127"/>
    </row>
    <row r="433" spans="1:12" ht="21" x14ac:dyDescent="0.35">
      <c r="A433" s="55">
        <v>3</v>
      </c>
      <c r="B433" s="55" t="s">
        <v>59</v>
      </c>
      <c r="C433" s="77" t="s">
        <v>73</v>
      </c>
      <c r="D433" s="23" t="s">
        <v>15</v>
      </c>
      <c r="E433" s="57">
        <v>0</v>
      </c>
      <c r="F433" s="57">
        <v>0</v>
      </c>
      <c r="G433" s="57">
        <v>0</v>
      </c>
      <c r="H433" s="57">
        <v>0</v>
      </c>
      <c r="I433" s="57">
        <f t="shared" ref="I433:I436" si="87">+SUM(E433:H433)</f>
        <v>0</v>
      </c>
      <c r="J433" s="57">
        <v>0</v>
      </c>
      <c r="K433" s="65">
        <v>0</v>
      </c>
      <c r="L433" s="127"/>
    </row>
    <row r="434" spans="1:12" ht="21" x14ac:dyDescent="0.35">
      <c r="A434" s="55">
        <v>3</v>
      </c>
      <c r="B434" s="55" t="s">
        <v>59</v>
      </c>
      <c r="C434" s="77" t="s">
        <v>73</v>
      </c>
      <c r="D434" s="23" t="s">
        <v>16</v>
      </c>
      <c r="E434" s="57">
        <v>0</v>
      </c>
      <c r="F434" s="57">
        <v>0</v>
      </c>
      <c r="G434" s="57">
        <v>0</v>
      </c>
      <c r="H434" s="57">
        <v>0</v>
      </c>
      <c r="I434" s="57">
        <f t="shared" si="87"/>
        <v>0</v>
      </c>
      <c r="J434" s="57">
        <v>0</v>
      </c>
      <c r="K434" s="65">
        <v>0</v>
      </c>
      <c r="L434" s="127"/>
    </row>
    <row r="435" spans="1:12" ht="21" x14ac:dyDescent="0.35">
      <c r="A435" s="55">
        <v>3</v>
      </c>
      <c r="B435" s="55" t="s">
        <v>59</v>
      </c>
      <c r="C435" s="77" t="s">
        <v>73</v>
      </c>
      <c r="D435" s="23" t="s">
        <v>17</v>
      </c>
      <c r="E435" s="57">
        <v>0</v>
      </c>
      <c r="F435" s="57">
        <v>2</v>
      </c>
      <c r="G435" s="57">
        <v>0</v>
      </c>
      <c r="H435" s="57">
        <v>0</v>
      </c>
      <c r="I435" s="57">
        <f t="shared" si="87"/>
        <v>2</v>
      </c>
      <c r="J435" s="57">
        <v>43437616</v>
      </c>
      <c r="K435" s="65">
        <v>0</v>
      </c>
      <c r="L435" s="127"/>
    </row>
    <row r="436" spans="1:12" ht="21.5" thickBot="1" x14ac:dyDescent="0.4">
      <c r="A436" s="58">
        <v>3</v>
      </c>
      <c r="B436" s="58" t="s">
        <v>59</v>
      </c>
      <c r="C436" s="18" t="s">
        <v>73</v>
      </c>
      <c r="D436" s="24" t="s">
        <v>18</v>
      </c>
      <c r="E436" s="78">
        <v>2</v>
      </c>
      <c r="F436" s="78">
        <v>4</v>
      </c>
      <c r="G436" s="78">
        <v>1</v>
      </c>
      <c r="H436" s="78">
        <v>0</v>
      </c>
      <c r="I436" s="78">
        <f t="shared" si="87"/>
        <v>7</v>
      </c>
      <c r="J436" s="78">
        <v>29580980</v>
      </c>
      <c r="K436" s="79"/>
      <c r="L436" s="127"/>
    </row>
    <row r="437" spans="1:12" s="29" customFormat="1" ht="22" thickTop="1" thickBot="1" x14ac:dyDescent="0.4">
      <c r="A437" s="60">
        <v>3</v>
      </c>
      <c r="B437" s="60" t="s">
        <v>59</v>
      </c>
      <c r="C437" s="73" t="s">
        <v>73</v>
      </c>
      <c r="D437" s="27" t="s">
        <v>19</v>
      </c>
      <c r="E437" s="62">
        <f>SUM(E433:E436)</f>
        <v>2</v>
      </c>
      <c r="F437" s="62">
        <f t="shared" ref="F437:K437" si="88">SUM(F433:F436)</f>
        <v>6</v>
      </c>
      <c r="G437" s="62">
        <f t="shared" si="88"/>
        <v>1</v>
      </c>
      <c r="H437" s="62">
        <f t="shared" si="88"/>
        <v>0</v>
      </c>
      <c r="I437" s="62">
        <f t="shared" si="88"/>
        <v>9</v>
      </c>
      <c r="J437" s="62">
        <f t="shared" si="88"/>
        <v>73018596</v>
      </c>
      <c r="K437" s="62">
        <f t="shared" si="88"/>
        <v>0</v>
      </c>
      <c r="L437" s="135"/>
    </row>
    <row r="438" spans="1:12" ht="21.5" thickTop="1" x14ac:dyDescent="0.35">
      <c r="A438" s="63">
        <v>3</v>
      </c>
      <c r="B438" s="63" t="s">
        <v>59</v>
      </c>
      <c r="C438" s="33" t="s">
        <v>73</v>
      </c>
      <c r="D438" s="30" t="s">
        <v>20</v>
      </c>
      <c r="E438" s="80">
        <v>2</v>
      </c>
      <c r="F438" s="80">
        <v>6</v>
      </c>
      <c r="G438" s="80">
        <v>1</v>
      </c>
      <c r="H438" s="80">
        <v>0</v>
      </c>
      <c r="I438" s="80">
        <f>+SUM(E438:H438)</f>
        <v>9</v>
      </c>
      <c r="K438" s="81"/>
    </row>
    <row r="439" spans="1:12" ht="21" x14ac:dyDescent="0.35">
      <c r="A439" s="55">
        <v>3</v>
      </c>
      <c r="B439" s="55" t="s">
        <v>59</v>
      </c>
      <c r="C439" s="77" t="s">
        <v>73</v>
      </c>
      <c r="D439" s="34" t="s">
        <v>21</v>
      </c>
      <c r="E439" s="57"/>
      <c r="F439" s="57"/>
      <c r="G439" s="57"/>
      <c r="H439" s="57"/>
      <c r="I439" s="57"/>
      <c r="J439" s="57"/>
      <c r="K439" s="65"/>
    </row>
    <row r="440" spans="1:12" ht="21" x14ac:dyDescent="0.35">
      <c r="A440" s="55">
        <v>3</v>
      </c>
      <c r="B440" s="55" t="s">
        <v>59</v>
      </c>
      <c r="C440" s="77" t="s">
        <v>73</v>
      </c>
      <c r="D440" s="34" t="s">
        <v>55</v>
      </c>
      <c r="E440" s="57"/>
      <c r="F440" s="57"/>
      <c r="G440" s="57"/>
      <c r="H440" s="57"/>
      <c r="I440" s="57"/>
      <c r="J440" s="80">
        <f>+I374+J374+J437</f>
        <v>931278885</v>
      </c>
      <c r="K440" s="65">
        <f>+K374+L374+K437</f>
        <v>197045253</v>
      </c>
    </row>
    <row r="441" spans="1:12" ht="21" x14ac:dyDescent="0.35">
      <c r="A441" s="66">
        <v>5</v>
      </c>
      <c r="B441" s="66" t="s">
        <v>13</v>
      </c>
      <c r="C441" s="131" t="s">
        <v>66</v>
      </c>
      <c r="D441" s="36" t="s">
        <v>15</v>
      </c>
      <c r="E441" s="68"/>
      <c r="F441" s="68"/>
      <c r="G441" s="68"/>
      <c r="H441" s="68"/>
      <c r="I441" s="68"/>
      <c r="J441" s="68"/>
      <c r="K441" s="69"/>
      <c r="L441" s="127"/>
    </row>
    <row r="442" spans="1:12" ht="21" x14ac:dyDescent="0.35">
      <c r="A442" s="66">
        <v>5</v>
      </c>
      <c r="B442" s="66" t="s">
        <v>13</v>
      </c>
      <c r="C442" s="131" t="s">
        <v>66</v>
      </c>
      <c r="D442" s="36" t="s">
        <v>16</v>
      </c>
      <c r="E442" s="68">
        <v>1</v>
      </c>
      <c r="F442" s="68"/>
      <c r="G442" s="68"/>
      <c r="H442" s="68"/>
      <c r="I442" s="68">
        <v>1</v>
      </c>
      <c r="J442" s="68">
        <v>36490598</v>
      </c>
      <c r="K442" s="69"/>
      <c r="L442" s="127"/>
    </row>
    <row r="443" spans="1:12" ht="21" x14ac:dyDescent="0.35">
      <c r="A443" s="66">
        <v>5</v>
      </c>
      <c r="B443" s="66" t="s">
        <v>13</v>
      </c>
      <c r="C443" s="131" t="s">
        <v>66</v>
      </c>
      <c r="D443" s="36" t="s">
        <v>17</v>
      </c>
      <c r="E443" s="68"/>
      <c r="F443" s="68">
        <v>1</v>
      </c>
      <c r="G443" s="68"/>
      <c r="H443" s="68"/>
      <c r="I443" s="68">
        <v>1</v>
      </c>
      <c r="J443" s="68">
        <v>2227023</v>
      </c>
      <c r="K443" s="69"/>
      <c r="L443" s="127"/>
    </row>
    <row r="444" spans="1:12" ht="21.5" thickBot="1" x14ac:dyDescent="0.3">
      <c r="A444" s="70">
        <v>5</v>
      </c>
      <c r="B444" s="70" t="s">
        <v>13</v>
      </c>
      <c r="C444" s="132" t="s">
        <v>66</v>
      </c>
      <c r="D444" s="41" t="s">
        <v>18</v>
      </c>
      <c r="E444" s="71"/>
      <c r="F444" s="71"/>
      <c r="G444" s="68"/>
      <c r="H444" s="68"/>
      <c r="I444" s="71"/>
      <c r="J444" s="133"/>
      <c r="K444" s="69"/>
    </row>
    <row r="445" spans="1:12" s="29" customFormat="1" ht="22" thickTop="1" thickBot="1" x14ac:dyDescent="0.4">
      <c r="A445" s="60">
        <v>5</v>
      </c>
      <c r="B445" s="60" t="s">
        <v>13</v>
      </c>
      <c r="C445" s="134" t="s">
        <v>66</v>
      </c>
      <c r="D445" s="27" t="s">
        <v>19</v>
      </c>
      <c r="E445" s="62">
        <f>SUM(E441:E444)</f>
        <v>1</v>
      </c>
      <c r="F445" s="62">
        <f t="shared" ref="F445:K445" si="89">SUM(F441:F444)</f>
        <v>1</v>
      </c>
      <c r="G445" s="62">
        <f t="shared" si="89"/>
        <v>0</v>
      </c>
      <c r="H445" s="62">
        <f t="shared" si="89"/>
        <v>0</v>
      </c>
      <c r="I445" s="62">
        <f t="shared" si="89"/>
        <v>2</v>
      </c>
      <c r="J445" s="62">
        <f t="shared" si="89"/>
        <v>38717621</v>
      </c>
      <c r="K445" s="62">
        <f t="shared" si="89"/>
        <v>0</v>
      </c>
      <c r="L445" s="135"/>
    </row>
    <row r="446" spans="1:12" ht="21.5" thickTop="1" x14ac:dyDescent="0.35">
      <c r="A446" s="74">
        <v>5</v>
      </c>
      <c r="B446" s="74" t="s">
        <v>13</v>
      </c>
      <c r="C446" s="136" t="s">
        <v>66</v>
      </c>
      <c r="D446" s="45" t="s">
        <v>20</v>
      </c>
      <c r="E446" s="75"/>
      <c r="F446" s="75"/>
      <c r="G446" s="75"/>
      <c r="H446" s="75"/>
      <c r="I446" s="75"/>
      <c r="J446" s="75"/>
      <c r="K446" s="76"/>
      <c r="L446" s="127"/>
    </row>
    <row r="447" spans="1:12" ht="21" x14ac:dyDescent="0.35">
      <c r="A447" s="66">
        <v>5</v>
      </c>
      <c r="B447" s="66" t="s">
        <v>13</v>
      </c>
      <c r="C447" s="131" t="s">
        <v>66</v>
      </c>
      <c r="D447" s="49" t="s">
        <v>21</v>
      </c>
      <c r="E447" s="68"/>
      <c r="F447" s="68"/>
      <c r="G447" s="68"/>
      <c r="H447" s="68"/>
      <c r="I447" s="68"/>
      <c r="J447" s="68"/>
      <c r="K447" s="69"/>
      <c r="L447" s="127"/>
    </row>
    <row r="448" spans="1:12" ht="21" x14ac:dyDescent="0.35">
      <c r="A448" s="66">
        <v>5</v>
      </c>
      <c r="B448" s="66" t="s">
        <v>13</v>
      </c>
      <c r="C448" s="131" t="s">
        <v>66</v>
      </c>
      <c r="D448" s="49" t="s">
        <v>55</v>
      </c>
      <c r="E448" s="68">
        <v>1</v>
      </c>
      <c r="F448" s="68">
        <v>1</v>
      </c>
      <c r="G448" s="68"/>
      <c r="H448" s="68"/>
      <c r="I448" s="68">
        <v>2</v>
      </c>
      <c r="J448" s="68">
        <v>38717621</v>
      </c>
      <c r="K448" s="69"/>
      <c r="L448" s="127"/>
    </row>
    <row r="449" spans="1:12" ht="31.5" x14ac:dyDescent="0.35">
      <c r="A449" s="55">
        <v>6</v>
      </c>
      <c r="B449" s="55" t="s">
        <v>59</v>
      </c>
      <c r="C449" s="77" t="s">
        <v>67</v>
      </c>
      <c r="D449" s="23" t="s">
        <v>15</v>
      </c>
      <c r="E449" s="57">
        <v>1</v>
      </c>
      <c r="F449" s="57">
        <v>1</v>
      </c>
      <c r="G449" s="57">
        <v>5</v>
      </c>
      <c r="H449" s="57">
        <v>0</v>
      </c>
      <c r="I449" s="57">
        <v>0</v>
      </c>
      <c r="J449" s="57">
        <v>41110996</v>
      </c>
      <c r="K449" s="65">
        <v>804940988</v>
      </c>
      <c r="L449" s="127"/>
    </row>
    <row r="450" spans="1:12" ht="31.5" x14ac:dyDescent="0.35">
      <c r="A450" s="55">
        <v>6</v>
      </c>
      <c r="B450" s="55" t="s">
        <v>59</v>
      </c>
      <c r="C450" s="77" t="s">
        <v>67</v>
      </c>
      <c r="D450" s="23" t="s">
        <v>16</v>
      </c>
      <c r="E450" s="57">
        <v>7</v>
      </c>
      <c r="F450" s="57">
        <v>0</v>
      </c>
      <c r="G450" s="57">
        <v>0</v>
      </c>
      <c r="H450" s="57">
        <v>0</v>
      </c>
      <c r="I450" s="57">
        <v>0</v>
      </c>
      <c r="J450" s="57">
        <v>42843600</v>
      </c>
      <c r="K450" s="65">
        <v>0</v>
      </c>
      <c r="L450" s="127"/>
    </row>
    <row r="451" spans="1:12" ht="31.5" x14ac:dyDescent="0.35">
      <c r="A451" s="55">
        <v>6</v>
      </c>
      <c r="B451" s="55" t="s">
        <v>59</v>
      </c>
      <c r="C451" s="77" t="s">
        <v>67</v>
      </c>
      <c r="D451" s="23" t="s">
        <v>17</v>
      </c>
      <c r="E451" s="57">
        <v>0</v>
      </c>
      <c r="F451" s="57">
        <v>0</v>
      </c>
      <c r="G451" s="57">
        <v>0</v>
      </c>
      <c r="H451" s="57">
        <v>0</v>
      </c>
      <c r="I451" s="57">
        <v>0</v>
      </c>
      <c r="J451" s="57">
        <v>0</v>
      </c>
      <c r="K451" s="65">
        <v>0</v>
      </c>
      <c r="L451" s="127"/>
    </row>
    <row r="452" spans="1:12" ht="32" thickBot="1" x14ac:dyDescent="0.4">
      <c r="A452" s="58">
        <v>6</v>
      </c>
      <c r="B452" s="58" t="s">
        <v>59</v>
      </c>
      <c r="C452" s="18" t="s">
        <v>67</v>
      </c>
      <c r="D452" s="24" t="s">
        <v>18</v>
      </c>
      <c r="E452" s="78">
        <v>0</v>
      </c>
      <c r="F452" s="78">
        <v>0</v>
      </c>
      <c r="G452" s="78">
        <v>0</v>
      </c>
      <c r="H452" s="78">
        <v>0</v>
      </c>
      <c r="I452" s="78">
        <v>0</v>
      </c>
      <c r="J452" s="78">
        <v>0</v>
      </c>
      <c r="K452" s="79">
        <v>0</v>
      </c>
      <c r="L452" s="127"/>
    </row>
    <row r="453" spans="1:12" s="29" customFormat="1" ht="32.5" thickTop="1" thickBot="1" x14ac:dyDescent="0.4">
      <c r="A453" s="60">
        <v>6</v>
      </c>
      <c r="B453" s="60" t="s">
        <v>59</v>
      </c>
      <c r="C453" s="73" t="s">
        <v>67</v>
      </c>
      <c r="D453" s="27" t="s">
        <v>19</v>
      </c>
      <c r="E453" s="62">
        <f>SUM(E449:E452)</f>
        <v>8</v>
      </c>
      <c r="F453" s="62">
        <f t="shared" ref="F453:K453" si="90">SUM(F449:F452)</f>
        <v>1</v>
      </c>
      <c r="G453" s="62">
        <f t="shared" si="90"/>
        <v>5</v>
      </c>
      <c r="H453" s="62">
        <f t="shared" si="90"/>
        <v>0</v>
      </c>
      <c r="I453" s="62">
        <f t="shared" si="90"/>
        <v>0</v>
      </c>
      <c r="J453" s="62">
        <f t="shared" si="90"/>
        <v>83954596</v>
      </c>
      <c r="K453" s="62">
        <f t="shared" si="90"/>
        <v>804940988</v>
      </c>
      <c r="L453" s="135"/>
    </row>
    <row r="454" spans="1:12" ht="32" thickTop="1" x14ac:dyDescent="0.35">
      <c r="A454" s="63">
        <v>6</v>
      </c>
      <c r="B454" s="63" t="s">
        <v>59</v>
      </c>
      <c r="C454" s="33" t="s">
        <v>67</v>
      </c>
      <c r="D454" s="30" t="s">
        <v>20</v>
      </c>
      <c r="E454" s="80"/>
      <c r="F454" s="80"/>
      <c r="G454" s="80"/>
      <c r="H454" s="80"/>
      <c r="I454" s="80"/>
      <c r="K454" s="81"/>
    </row>
    <row r="455" spans="1:12" ht="31.5" x14ac:dyDescent="0.35">
      <c r="A455" s="55">
        <v>6</v>
      </c>
      <c r="B455" s="55" t="s">
        <v>59</v>
      </c>
      <c r="C455" s="77" t="s">
        <v>67</v>
      </c>
      <c r="D455" s="34" t="s">
        <v>21</v>
      </c>
      <c r="E455" s="57"/>
      <c r="F455" s="57"/>
      <c r="G455" s="57"/>
      <c r="H455" s="57"/>
      <c r="I455" s="57"/>
      <c r="J455" s="57"/>
      <c r="K455" s="65"/>
    </row>
    <row r="456" spans="1:12" ht="21" x14ac:dyDescent="0.35">
      <c r="A456" s="55">
        <v>7</v>
      </c>
      <c r="B456" s="55" t="s">
        <v>68</v>
      </c>
      <c r="C456" s="77" t="s">
        <v>69</v>
      </c>
      <c r="D456" s="34" t="s">
        <v>15</v>
      </c>
      <c r="E456" s="57"/>
      <c r="F456" s="57"/>
      <c r="G456" s="57">
        <v>12</v>
      </c>
      <c r="H456" s="57"/>
      <c r="I456" s="57"/>
      <c r="J456" s="80"/>
      <c r="K456" s="65"/>
    </row>
    <row r="457" spans="1:12" ht="21" x14ac:dyDescent="0.35">
      <c r="A457" s="66">
        <v>7</v>
      </c>
      <c r="B457" s="66" t="s">
        <v>68</v>
      </c>
      <c r="C457" s="131" t="s">
        <v>69</v>
      </c>
      <c r="D457" s="36" t="s">
        <v>16</v>
      </c>
      <c r="E457" s="68"/>
      <c r="F457" s="68"/>
      <c r="G457" s="68"/>
      <c r="H457" s="68"/>
      <c r="I457" s="68"/>
      <c r="J457" s="68"/>
      <c r="K457" s="69"/>
      <c r="L457" s="127"/>
    </row>
    <row r="458" spans="1:12" ht="21" x14ac:dyDescent="0.35">
      <c r="A458" s="66">
        <v>7</v>
      </c>
      <c r="B458" s="66" t="s">
        <v>68</v>
      </c>
      <c r="C458" s="131" t="s">
        <v>69</v>
      </c>
      <c r="D458" s="36" t="s">
        <v>17</v>
      </c>
      <c r="E458" s="68"/>
      <c r="F458" s="68"/>
      <c r="G458" s="68"/>
      <c r="H458" s="68"/>
      <c r="I458" s="68"/>
      <c r="J458" s="68"/>
      <c r="K458" s="69"/>
      <c r="L458" s="127"/>
    </row>
    <row r="459" spans="1:12" ht="21" x14ac:dyDescent="0.35">
      <c r="A459" s="66">
        <v>7</v>
      </c>
      <c r="B459" s="66" t="s">
        <v>68</v>
      </c>
      <c r="C459" s="131" t="s">
        <v>69</v>
      </c>
      <c r="D459" s="36" t="s">
        <v>18</v>
      </c>
      <c r="E459" s="68"/>
      <c r="F459" s="68"/>
      <c r="G459" s="68"/>
      <c r="H459" s="68"/>
      <c r="I459" s="68"/>
      <c r="J459" s="68"/>
      <c r="K459" s="69"/>
      <c r="L459" s="127"/>
    </row>
    <row r="460" spans="1:12" ht="21.5" thickBot="1" x14ac:dyDescent="0.3">
      <c r="A460" s="70">
        <v>7</v>
      </c>
      <c r="B460" s="70" t="s">
        <v>68</v>
      </c>
      <c r="C460" s="132" t="s">
        <v>69</v>
      </c>
      <c r="D460" s="41" t="s">
        <v>19</v>
      </c>
      <c r="E460" s="71">
        <v>0</v>
      </c>
      <c r="F460" s="71">
        <v>0</v>
      </c>
      <c r="G460" s="68">
        <v>12</v>
      </c>
      <c r="H460" s="68">
        <v>0</v>
      </c>
      <c r="I460" s="71">
        <v>0</v>
      </c>
      <c r="J460" s="133">
        <v>0</v>
      </c>
      <c r="K460" s="69">
        <v>0</v>
      </c>
    </row>
    <row r="461" spans="1:12" s="29" customFormat="1" ht="22" thickTop="1" thickBot="1" x14ac:dyDescent="0.4">
      <c r="A461" s="60">
        <v>7</v>
      </c>
      <c r="B461" s="60" t="s">
        <v>68</v>
      </c>
      <c r="C461" s="134" t="s">
        <v>69</v>
      </c>
      <c r="D461" s="27" t="s">
        <v>20</v>
      </c>
      <c r="E461" s="62">
        <f>SUM(E457:E460)</f>
        <v>0</v>
      </c>
      <c r="F461" s="62">
        <f t="shared" ref="F461:K461" si="91">SUM(F457:F460)</f>
        <v>0</v>
      </c>
      <c r="G461" s="62">
        <f t="shared" si="91"/>
        <v>12</v>
      </c>
      <c r="H461" s="62">
        <f t="shared" si="91"/>
        <v>0</v>
      </c>
      <c r="I461" s="62">
        <f t="shared" si="91"/>
        <v>0</v>
      </c>
      <c r="J461" s="62">
        <f t="shared" si="91"/>
        <v>0</v>
      </c>
      <c r="K461" s="62">
        <f t="shared" si="91"/>
        <v>0</v>
      </c>
      <c r="L461" s="135"/>
    </row>
    <row r="462" spans="1:12" ht="21.5" thickTop="1" x14ac:dyDescent="0.35">
      <c r="A462" s="74">
        <v>7</v>
      </c>
      <c r="B462" s="74" t="s">
        <v>68</v>
      </c>
      <c r="C462" s="136" t="s">
        <v>69</v>
      </c>
      <c r="D462" s="45" t="s">
        <v>21</v>
      </c>
      <c r="E462" s="75"/>
      <c r="F462" s="75"/>
      <c r="G462" s="75">
        <v>12</v>
      </c>
      <c r="H462" s="75"/>
      <c r="I462" s="75"/>
      <c r="J462" s="75"/>
      <c r="K462" s="76"/>
      <c r="L462" s="127"/>
    </row>
    <row r="464" spans="1:12" ht="19" customHeight="1" x14ac:dyDescent="0.35">
      <c r="D464" s="8"/>
      <c r="E464" s="9" t="s">
        <v>3</v>
      </c>
      <c r="F464" s="9"/>
      <c r="G464" s="10" t="s">
        <v>4</v>
      </c>
      <c r="H464" s="11"/>
      <c r="I464" s="12" t="s">
        <v>5</v>
      </c>
      <c r="J464" s="12"/>
      <c r="K464" s="12" t="s">
        <v>6</v>
      </c>
      <c r="L464" s="12"/>
    </row>
    <row r="465" spans="3:12" ht="11" thickBot="1" x14ac:dyDescent="0.4">
      <c r="D465" s="14" t="s">
        <v>10</v>
      </c>
      <c r="E465" s="15" t="s">
        <v>11</v>
      </c>
      <c r="F465" s="15" t="s">
        <v>12</v>
      </c>
      <c r="G465" s="15" t="s">
        <v>11</v>
      </c>
      <c r="H465" s="15" t="s">
        <v>12</v>
      </c>
      <c r="I465" s="16" t="s">
        <v>11</v>
      </c>
      <c r="J465" s="16" t="s">
        <v>12</v>
      </c>
      <c r="K465" s="17" t="s">
        <v>11</v>
      </c>
      <c r="L465" s="17" t="s">
        <v>12</v>
      </c>
    </row>
    <row r="466" spans="3:12" x14ac:dyDescent="0.35">
      <c r="C466" s="137" t="s">
        <v>74</v>
      </c>
      <c r="D466" s="138" t="s">
        <v>15</v>
      </c>
      <c r="E466" s="139">
        <f>+E9+E16+E23+E30+E37+E44+E51+E58+E65+E72+E79+E86+E93+E100+E107+E114+E121+E128+E135+E142+E149+E156+E163+E170</f>
        <v>420</v>
      </c>
      <c r="F466" s="139">
        <f t="shared" ref="F466:L466" si="92">+F9+F16+F23+F30+F37+F44+F51+F58+F65+F72+F79+F86+F93+F100+F107+F114+F121+F128+F135+F142+F149+F156+F163+F170</f>
        <v>38</v>
      </c>
      <c r="G466" s="139">
        <f t="shared" si="92"/>
        <v>143</v>
      </c>
      <c r="H466" s="139">
        <f t="shared" si="92"/>
        <v>10</v>
      </c>
      <c r="I466" s="139">
        <f>+I9+I16+I23+I30+I37+I44+I51+I58+I65+I72+I79+I86+I93+I100+I107+I114+I121+I128+I135+I142+I149+I156+I163+I170</f>
        <v>19092158837</v>
      </c>
      <c r="J466" s="139">
        <f t="shared" si="92"/>
        <v>1741490499</v>
      </c>
      <c r="K466" s="139">
        <f t="shared" si="92"/>
        <v>14801891212</v>
      </c>
      <c r="L466" s="139">
        <f t="shared" si="92"/>
        <v>474772746</v>
      </c>
    </row>
    <row r="467" spans="3:12" x14ac:dyDescent="0.35">
      <c r="C467" s="140"/>
      <c r="D467" s="141" t="s">
        <v>16</v>
      </c>
      <c r="E467" s="142">
        <f t="shared" ref="E467:L472" si="93">+E10+E17+E24+E31+E38+E45+E52+E59+E66+E73+E80+E87+E94+E101+E108+E115+E122+E129+E136+E143+E150+E157+E164+E171</f>
        <v>1083</v>
      </c>
      <c r="F467" s="142">
        <f t="shared" si="93"/>
        <v>175</v>
      </c>
      <c r="G467" s="142">
        <f t="shared" si="93"/>
        <v>86</v>
      </c>
      <c r="H467" s="142">
        <f t="shared" si="93"/>
        <v>3</v>
      </c>
      <c r="I467" s="142">
        <f>+I10+I17+I24+I31+I38+I45+I52+I59+I66+I73+I80+I87+I94+I101+I108+I115+I122+I129+I136+I143+I150+I157+I164+I171</f>
        <v>19820553518</v>
      </c>
      <c r="J467" s="142">
        <f t="shared" si="93"/>
        <v>2973571244</v>
      </c>
      <c r="K467" s="142">
        <f t="shared" si="93"/>
        <v>2688595382</v>
      </c>
      <c r="L467" s="142">
        <f t="shared" si="93"/>
        <v>49575793</v>
      </c>
    </row>
    <row r="468" spans="3:12" x14ac:dyDescent="0.35">
      <c r="C468" s="140"/>
      <c r="D468" s="138" t="s">
        <v>17</v>
      </c>
      <c r="E468" s="139">
        <f t="shared" si="93"/>
        <v>3351</v>
      </c>
      <c r="F468" s="139">
        <f t="shared" si="93"/>
        <v>282</v>
      </c>
      <c r="G468" s="139">
        <f t="shared" si="93"/>
        <v>18</v>
      </c>
      <c r="H468" s="139">
        <f t="shared" si="93"/>
        <v>2</v>
      </c>
      <c r="I468" s="139">
        <f t="shared" si="93"/>
        <v>40447576878</v>
      </c>
      <c r="J468" s="139">
        <f t="shared" si="93"/>
        <v>2587542578</v>
      </c>
      <c r="K468" s="139">
        <f t="shared" si="93"/>
        <v>158369564</v>
      </c>
      <c r="L468" s="139">
        <f t="shared" si="93"/>
        <v>15561917</v>
      </c>
    </row>
    <row r="469" spans="3:12" ht="11" thickBot="1" x14ac:dyDescent="0.4">
      <c r="C469" s="140"/>
      <c r="D469" s="141" t="s">
        <v>18</v>
      </c>
      <c r="E469" s="142">
        <f t="shared" si="93"/>
        <v>2923</v>
      </c>
      <c r="F469" s="142">
        <f t="shared" si="93"/>
        <v>192</v>
      </c>
      <c r="G469" s="142">
        <f t="shared" si="93"/>
        <v>6</v>
      </c>
      <c r="H469" s="142">
        <f t="shared" si="93"/>
        <v>4</v>
      </c>
      <c r="I469" s="142">
        <f t="shared" si="93"/>
        <v>22284504218</v>
      </c>
      <c r="J469" s="142">
        <f t="shared" si="93"/>
        <v>1425457075</v>
      </c>
      <c r="K469" s="142">
        <f t="shared" si="93"/>
        <v>9969157</v>
      </c>
      <c r="L469" s="142">
        <f t="shared" si="93"/>
        <v>2600000</v>
      </c>
    </row>
    <row r="470" spans="3:12" ht="11.5" thickTop="1" thickBot="1" x14ac:dyDescent="0.4">
      <c r="C470" s="140"/>
      <c r="D470" s="143" t="s">
        <v>19</v>
      </c>
      <c r="E470" s="144">
        <f t="shared" si="93"/>
        <v>7777</v>
      </c>
      <c r="F470" s="144">
        <f t="shared" si="93"/>
        <v>687</v>
      </c>
      <c r="G470" s="144">
        <f t="shared" si="93"/>
        <v>253</v>
      </c>
      <c r="H470" s="144">
        <f t="shared" si="93"/>
        <v>19</v>
      </c>
      <c r="I470" s="144">
        <f t="shared" si="93"/>
        <v>101644793451</v>
      </c>
      <c r="J470" s="144">
        <f t="shared" si="93"/>
        <v>8728061396</v>
      </c>
      <c r="K470" s="144">
        <f t="shared" si="93"/>
        <v>17658825315</v>
      </c>
      <c r="L470" s="144">
        <f t="shared" si="93"/>
        <v>542510456</v>
      </c>
    </row>
    <row r="471" spans="3:12" ht="11" thickTop="1" x14ac:dyDescent="0.35">
      <c r="C471" s="140"/>
      <c r="D471" s="138" t="s">
        <v>20</v>
      </c>
      <c r="E471" s="139">
        <f t="shared" si="93"/>
        <v>5143</v>
      </c>
      <c r="F471" s="139">
        <f t="shared" si="93"/>
        <v>507</v>
      </c>
      <c r="G471" s="139">
        <f t="shared" si="93"/>
        <v>207</v>
      </c>
      <c r="H471" s="139">
        <f t="shared" si="93"/>
        <v>58</v>
      </c>
      <c r="I471" s="139">
        <f t="shared" si="93"/>
        <v>79451900390</v>
      </c>
      <c r="J471" s="139">
        <f t="shared" si="93"/>
        <v>8735474551</v>
      </c>
      <c r="K471" s="139">
        <f t="shared" si="93"/>
        <v>15229402630</v>
      </c>
      <c r="L471" s="139">
        <f t="shared" si="93"/>
        <v>506631147</v>
      </c>
    </row>
    <row r="472" spans="3:12" x14ac:dyDescent="0.35">
      <c r="C472" s="145"/>
      <c r="D472" s="141" t="s">
        <v>21</v>
      </c>
      <c r="E472" s="142">
        <f t="shared" si="93"/>
        <v>1061</v>
      </c>
      <c r="F472" s="142">
        <f t="shared" si="93"/>
        <v>242</v>
      </c>
      <c r="G472" s="142">
        <f t="shared" si="93"/>
        <v>0</v>
      </c>
      <c r="H472" s="142">
        <f t="shared" si="93"/>
        <v>15</v>
      </c>
      <c r="I472" s="142">
        <f t="shared" si="93"/>
        <v>492934041</v>
      </c>
      <c r="J472" s="142">
        <f t="shared" si="93"/>
        <v>26137745</v>
      </c>
      <c r="K472" s="142">
        <f t="shared" si="93"/>
        <v>0</v>
      </c>
      <c r="L472" s="142">
        <f t="shared" si="93"/>
        <v>0</v>
      </c>
    </row>
    <row r="474" spans="3:12" x14ac:dyDescent="0.35">
      <c r="D474" s="8"/>
      <c r="E474" s="9" t="s">
        <v>3</v>
      </c>
      <c r="F474" s="9"/>
      <c r="G474" s="10" t="s">
        <v>4</v>
      </c>
      <c r="H474" s="11"/>
      <c r="I474" s="12" t="s">
        <v>5</v>
      </c>
      <c r="J474" s="12"/>
      <c r="K474" s="12" t="s">
        <v>6</v>
      </c>
      <c r="L474" s="12"/>
    </row>
    <row r="475" spans="3:12" ht="11" thickBot="1" x14ac:dyDescent="0.4">
      <c r="D475" s="14" t="s">
        <v>10</v>
      </c>
      <c r="E475" s="15" t="s">
        <v>11</v>
      </c>
      <c r="F475" s="15" t="s">
        <v>12</v>
      </c>
      <c r="G475" s="15" t="s">
        <v>11</v>
      </c>
      <c r="H475" s="15" t="s">
        <v>12</v>
      </c>
      <c r="I475" s="16" t="s">
        <v>11</v>
      </c>
      <c r="J475" s="16" t="s">
        <v>12</v>
      </c>
      <c r="K475" s="17" t="s">
        <v>11</v>
      </c>
      <c r="L475" s="17" t="s">
        <v>12</v>
      </c>
    </row>
    <row r="476" spans="3:12" x14ac:dyDescent="0.35">
      <c r="C476" s="137" t="s">
        <v>75</v>
      </c>
      <c r="D476" s="138" t="s">
        <v>15</v>
      </c>
      <c r="E476" s="139">
        <f>+E370+E377+E384+E391+E398+E405</f>
        <v>36</v>
      </c>
      <c r="F476" s="139">
        <f t="shared" ref="F476:L476" si="94">+F370+F377+F384+F391+F398+F405</f>
        <v>28</v>
      </c>
      <c r="G476" s="139">
        <f t="shared" si="94"/>
        <v>191</v>
      </c>
      <c r="H476" s="139">
        <f t="shared" si="94"/>
        <v>23</v>
      </c>
      <c r="I476" s="139">
        <f t="shared" si="94"/>
        <v>1458490445</v>
      </c>
      <c r="J476" s="139">
        <f t="shared" si="94"/>
        <v>1708289500</v>
      </c>
      <c r="K476" s="139">
        <f t="shared" si="94"/>
        <v>29955829333</v>
      </c>
      <c r="L476" s="139">
        <f t="shared" si="94"/>
        <v>921308596</v>
      </c>
    </row>
    <row r="477" spans="3:12" x14ac:dyDescent="0.35">
      <c r="C477" s="140"/>
      <c r="D477" s="141" t="s">
        <v>16</v>
      </c>
      <c r="E477" s="142">
        <f t="shared" ref="E477:L482" si="95">+E371+E378+E385+E392+E399+E406</f>
        <v>29</v>
      </c>
      <c r="F477" s="142">
        <f t="shared" si="95"/>
        <v>9</v>
      </c>
      <c r="G477" s="142">
        <f t="shared" si="95"/>
        <v>1</v>
      </c>
      <c r="H477" s="142">
        <f t="shared" si="95"/>
        <v>0</v>
      </c>
      <c r="I477" s="142">
        <f t="shared" si="95"/>
        <v>2288483568</v>
      </c>
      <c r="J477" s="142">
        <f t="shared" si="95"/>
        <v>481430984</v>
      </c>
      <c r="K477" s="142">
        <f t="shared" si="95"/>
        <v>95497069</v>
      </c>
      <c r="L477" s="142">
        <f t="shared" si="95"/>
        <v>0</v>
      </c>
    </row>
    <row r="478" spans="3:12" x14ac:dyDescent="0.35">
      <c r="C478" s="140"/>
      <c r="D478" s="138" t="s">
        <v>17</v>
      </c>
      <c r="E478" s="139">
        <f t="shared" si="95"/>
        <v>27</v>
      </c>
      <c r="F478" s="139">
        <f t="shared" si="95"/>
        <v>14</v>
      </c>
      <c r="G478" s="139">
        <f t="shared" si="95"/>
        <v>0</v>
      </c>
      <c r="H478" s="139">
        <f t="shared" si="95"/>
        <v>0</v>
      </c>
      <c r="I478" s="139">
        <f t="shared" si="95"/>
        <v>148467178</v>
      </c>
      <c r="J478" s="139">
        <f t="shared" si="95"/>
        <v>73408756</v>
      </c>
      <c r="K478" s="139">
        <f t="shared" si="95"/>
        <v>0</v>
      </c>
      <c r="L478" s="139">
        <f t="shared" si="95"/>
        <v>0</v>
      </c>
    </row>
    <row r="479" spans="3:12" ht="11" thickBot="1" x14ac:dyDescent="0.4">
      <c r="C479" s="140"/>
      <c r="D479" s="141" t="s">
        <v>18</v>
      </c>
      <c r="E479" s="142">
        <f t="shared" si="95"/>
        <v>33</v>
      </c>
      <c r="F479" s="142">
        <f t="shared" si="95"/>
        <v>7</v>
      </c>
      <c r="G479" s="142">
        <f t="shared" si="95"/>
        <v>0</v>
      </c>
      <c r="H479" s="142">
        <f t="shared" si="95"/>
        <v>0</v>
      </c>
      <c r="I479" s="142">
        <f t="shared" si="95"/>
        <v>117992560</v>
      </c>
      <c r="J479" s="142">
        <f t="shared" si="95"/>
        <v>12398790</v>
      </c>
      <c r="K479" s="142">
        <f t="shared" si="95"/>
        <v>0</v>
      </c>
      <c r="L479" s="142">
        <f t="shared" si="95"/>
        <v>0</v>
      </c>
    </row>
    <row r="480" spans="3:12" ht="11.5" thickTop="1" thickBot="1" x14ac:dyDescent="0.4">
      <c r="C480" s="140"/>
      <c r="D480" s="143" t="s">
        <v>19</v>
      </c>
      <c r="E480" s="144">
        <f t="shared" si="95"/>
        <v>125</v>
      </c>
      <c r="F480" s="144">
        <f t="shared" si="95"/>
        <v>58</v>
      </c>
      <c r="G480" s="144">
        <f t="shared" si="95"/>
        <v>192</v>
      </c>
      <c r="H480" s="144">
        <f t="shared" si="95"/>
        <v>23</v>
      </c>
      <c r="I480" s="144">
        <f t="shared" si="95"/>
        <v>4013433751</v>
      </c>
      <c r="J480" s="144">
        <f t="shared" si="95"/>
        <v>2275528030</v>
      </c>
      <c r="K480" s="144">
        <f t="shared" si="95"/>
        <v>30051326402</v>
      </c>
      <c r="L480" s="144">
        <f t="shared" si="95"/>
        <v>921308596</v>
      </c>
    </row>
    <row r="481" spans="3:12" ht="11" thickTop="1" x14ac:dyDescent="0.35">
      <c r="C481" s="140"/>
      <c r="D481" s="138" t="s">
        <v>20</v>
      </c>
      <c r="E481" s="139">
        <f t="shared" si="95"/>
        <v>15</v>
      </c>
      <c r="F481" s="139">
        <f t="shared" si="95"/>
        <v>16</v>
      </c>
      <c r="G481" s="139">
        <f t="shared" si="95"/>
        <v>67</v>
      </c>
      <c r="H481" s="139">
        <f t="shared" si="95"/>
        <v>17</v>
      </c>
      <c r="I481" s="139">
        <f t="shared" si="95"/>
        <v>0</v>
      </c>
      <c r="J481" s="139">
        <f t="shared" si="95"/>
        <v>0</v>
      </c>
      <c r="K481" s="139">
        <f t="shared" si="95"/>
        <v>0</v>
      </c>
      <c r="L481" s="139">
        <f t="shared" si="95"/>
        <v>0</v>
      </c>
    </row>
    <row r="482" spans="3:12" x14ac:dyDescent="0.35">
      <c r="C482" s="145"/>
      <c r="D482" s="141" t="s">
        <v>21</v>
      </c>
      <c r="E482" s="142">
        <f t="shared" si="95"/>
        <v>0</v>
      </c>
      <c r="F482" s="142">
        <f t="shared" si="95"/>
        <v>0</v>
      </c>
      <c r="G482" s="142">
        <f t="shared" si="95"/>
        <v>0</v>
      </c>
      <c r="H482" s="142">
        <f t="shared" si="95"/>
        <v>0</v>
      </c>
      <c r="I482" s="142">
        <f t="shared" si="95"/>
        <v>0</v>
      </c>
      <c r="J482" s="142">
        <f t="shared" si="95"/>
        <v>0</v>
      </c>
      <c r="K482" s="142">
        <f t="shared" si="95"/>
        <v>0</v>
      </c>
      <c r="L482" s="142">
        <f t="shared" si="95"/>
        <v>0</v>
      </c>
    </row>
    <row r="483" spans="3:12" x14ac:dyDescent="0.35">
      <c r="C483" s="7"/>
      <c r="D483" s="146"/>
      <c r="E483" s="142"/>
      <c r="F483" s="142"/>
      <c r="G483" s="142"/>
      <c r="H483" s="142"/>
      <c r="I483" s="142"/>
      <c r="J483" s="142"/>
      <c r="K483" s="142"/>
      <c r="L483" s="142"/>
    </row>
    <row r="484" spans="3:12" x14ac:dyDescent="0.35">
      <c r="E484" s="142"/>
      <c r="F484" s="142"/>
      <c r="G484" s="142"/>
      <c r="H484" s="142"/>
      <c r="I484" s="142"/>
      <c r="J484" s="142"/>
      <c r="K484" s="142"/>
      <c r="L484" s="142"/>
    </row>
    <row r="485" spans="3:12" x14ac:dyDescent="0.25">
      <c r="E485" s="6"/>
      <c r="F485" s="6"/>
      <c r="G485" s="6"/>
      <c r="H485" s="6"/>
      <c r="I485" s="6"/>
      <c r="J485" s="6"/>
      <c r="K485" s="6"/>
    </row>
    <row r="486" spans="3:12" x14ac:dyDescent="0.25">
      <c r="D486" s="6"/>
      <c r="E486" s="9" t="s">
        <v>3</v>
      </c>
      <c r="F486" s="9"/>
      <c r="G486" s="9" t="s">
        <v>4</v>
      </c>
      <c r="H486" s="9"/>
      <c r="I486" s="6"/>
      <c r="J486" s="6"/>
      <c r="K486" s="6"/>
    </row>
    <row r="487" spans="3:12" ht="21.5" thickBot="1" x14ac:dyDescent="0.4">
      <c r="D487" s="14" t="s">
        <v>10</v>
      </c>
      <c r="E487" s="15" t="s">
        <v>11</v>
      </c>
      <c r="F487" s="15" t="s">
        <v>12</v>
      </c>
      <c r="G487" s="15" t="s">
        <v>11</v>
      </c>
      <c r="H487" s="15" t="s">
        <v>12</v>
      </c>
      <c r="I487" s="16" t="s">
        <v>52</v>
      </c>
      <c r="J487" s="16" t="s">
        <v>53</v>
      </c>
      <c r="K487" s="17" t="s">
        <v>54</v>
      </c>
    </row>
    <row r="488" spans="3:12" x14ac:dyDescent="0.35">
      <c r="C488" s="137" t="s">
        <v>74</v>
      </c>
      <c r="D488" s="138" t="s">
        <v>15</v>
      </c>
      <c r="E488" s="139">
        <f t="shared" ref="E488:K494" si="96">+E182+E189+E197+E205+E212+E220+E228+E235+E243+E251+E259+E267+E275+E283+E290+E297+E305+E312+E320+E327+E335+E343+E350+E357</f>
        <v>6</v>
      </c>
      <c r="F488" s="139">
        <f t="shared" si="96"/>
        <v>0</v>
      </c>
      <c r="G488" s="139">
        <f t="shared" si="96"/>
        <v>51</v>
      </c>
      <c r="H488" s="139">
        <f t="shared" si="96"/>
        <v>0</v>
      </c>
      <c r="I488" s="139">
        <f t="shared" si="96"/>
        <v>57</v>
      </c>
      <c r="J488" s="139">
        <f t="shared" si="96"/>
        <v>17916636</v>
      </c>
      <c r="K488" s="139">
        <f t="shared" si="96"/>
        <v>114576613</v>
      </c>
    </row>
    <row r="489" spans="3:12" x14ac:dyDescent="0.35">
      <c r="C489" s="140"/>
      <c r="D489" s="141" t="s">
        <v>16</v>
      </c>
      <c r="E489" s="142">
        <f t="shared" si="96"/>
        <v>157</v>
      </c>
      <c r="F489" s="142">
        <f t="shared" si="96"/>
        <v>12</v>
      </c>
      <c r="G489" s="142">
        <f t="shared" si="96"/>
        <v>4</v>
      </c>
      <c r="H489" s="142">
        <f t="shared" si="96"/>
        <v>0</v>
      </c>
      <c r="I489" s="142">
        <f t="shared" si="96"/>
        <v>172</v>
      </c>
      <c r="J489" s="142">
        <f t="shared" si="96"/>
        <v>15512018128</v>
      </c>
      <c r="K489" s="142">
        <f t="shared" si="96"/>
        <v>490552437</v>
      </c>
    </row>
    <row r="490" spans="3:12" x14ac:dyDescent="0.35">
      <c r="C490" s="140"/>
      <c r="D490" s="138" t="s">
        <v>17</v>
      </c>
      <c r="E490" s="139">
        <f t="shared" si="96"/>
        <v>537</v>
      </c>
      <c r="F490" s="139">
        <f t="shared" si="96"/>
        <v>53</v>
      </c>
      <c r="G490" s="139">
        <f t="shared" si="96"/>
        <v>0</v>
      </c>
      <c r="H490" s="139">
        <f t="shared" si="96"/>
        <v>0</v>
      </c>
      <c r="I490" s="139">
        <f t="shared" si="96"/>
        <v>590</v>
      </c>
      <c r="J490" s="139">
        <f t="shared" si="96"/>
        <v>4086001941</v>
      </c>
      <c r="K490" s="139">
        <f t="shared" si="96"/>
        <v>289741492</v>
      </c>
    </row>
    <row r="491" spans="3:12" ht="11" thickBot="1" x14ac:dyDescent="0.4">
      <c r="C491" s="140"/>
      <c r="D491" s="141" t="s">
        <v>18</v>
      </c>
      <c r="E491" s="142">
        <f t="shared" si="96"/>
        <v>1286</v>
      </c>
      <c r="F491" s="142">
        <f t="shared" si="96"/>
        <v>87</v>
      </c>
      <c r="G491" s="142">
        <f t="shared" si="96"/>
        <v>0</v>
      </c>
      <c r="H491" s="142">
        <f t="shared" si="96"/>
        <v>0</v>
      </c>
      <c r="I491" s="142">
        <f t="shared" si="96"/>
        <v>1349</v>
      </c>
      <c r="J491" s="142">
        <f t="shared" si="96"/>
        <v>4608730145</v>
      </c>
      <c r="K491" s="142">
        <f t="shared" si="96"/>
        <v>1189639254</v>
      </c>
    </row>
    <row r="492" spans="3:12" ht="11.5" thickTop="1" thickBot="1" x14ac:dyDescent="0.4">
      <c r="C492" s="140"/>
      <c r="D492" s="143" t="s">
        <v>19</v>
      </c>
      <c r="E492" s="144">
        <f t="shared" si="96"/>
        <v>1986</v>
      </c>
      <c r="F492" s="144">
        <f t="shared" si="96"/>
        <v>152</v>
      </c>
      <c r="G492" s="144">
        <f t="shared" si="96"/>
        <v>55</v>
      </c>
      <c r="H492" s="144">
        <f t="shared" si="96"/>
        <v>0</v>
      </c>
      <c r="I492" s="144">
        <f t="shared" si="96"/>
        <v>2168</v>
      </c>
      <c r="J492" s="144">
        <f t="shared" si="96"/>
        <v>24224666850</v>
      </c>
      <c r="K492" s="144">
        <f t="shared" si="96"/>
        <v>2084509796</v>
      </c>
    </row>
    <row r="493" spans="3:12" ht="11" thickTop="1" x14ac:dyDescent="0.35">
      <c r="C493" s="140"/>
      <c r="D493" s="138" t="s">
        <v>20</v>
      </c>
      <c r="E493" s="139">
        <f t="shared" si="96"/>
        <v>250</v>
      </c>
      <c r="F493" s="139">
        <f t="shared" si="96"/>
        <v>37</v>
      </c>
      <c r="G493" s="139">
        <f t="shared" si="96"/>
        <v>0</v>
      </c>
      <c r="H493" s="139">
        <f t="shared" si="96"/>
        <v>0</v>
      </c>
      <c r="I493" s="139">
        <f t="shared" si="96"/>
        <v>287</v>
      </c>
      <c r="J493" s="139">
        <f t="shared" si="96"/>
        <v>1404966236</v>
      </c>
      <c r="K493" s="139">
        <f t="shared" si="96"/>
        <v>0</v>
      </c>
    </row>
    <row r="494" spans="3:12" x14ac:dyDescent="0.35">
      <c r="C494" s="145"/>
      <c r="D494" s="141" t="s">
        <v>21</v>
      </c>
      <c r="E494" s="142">
        <f t="shared" si="96"/>
        <v>636</v>
      </c>
      <c r="F494" s="142">
        <f t="shared" si="96"/>
        <v>83</v>
      </c>
      <c r="G494" s="142">
        <f t="shared" si="96"/>
        <v>51</v>
      </c>
      <c r="H494" s="142">
        <f t="shared" si="96"/>
        <v>0</v>
      </c>
      <c r="I494" s="142">
        <f t="shared" si="96"/>
        <v>770</v>
      </c>
      <c r="J494" s="142">
        <f t="shared" si="96"/>
        <v>16725950916</v>
      </c>
      <c r="K494" s="142">
        <f t="shared" si="96"/>
        <v>809549129</v>
      </c>
    </row>
    <row r="498" spans="3:11" x14ac:dyDescent="0.25">
      <c r="D498" s="6"/>
      <c r="E498" s="9" t="s">
        <v>3</v>
      </c>
      <c r="F498" s="9"/>
      <c r="G498" s="9" t="s">
        <v>4</v>
      </c>
      <c r="H498" s="9"/>
      <c r="I498" s="6"/>
      <c r="J498" s="6"/>
      <c r="K498" s="6"/>
    </row>
    <row r="499" spans="3:11" ht="21.5" thickBot="1" x14ac:dyDescent="0.4">
      <c r="D499" s="14" t="s">
        <v>10</v>
      </c>
      <c r="E499" s="15" t="s">
        <v>11</v>
      </c>
      <c r="F499" s="15" t="s">
        <v>12</v>
      </c>
      <c r="G499" s="15" t="s">
        <v>11</v>
      </c>
      <c r="H499" s="15" t="s">
        <v>12</v>
      </c>
      <c r="I499" s="16" t="s">
        <v>52</v>
      </c>
      <c r="J499" s="16" t="s">
        <v>53</v>
      </c>
      <c r="K499" s="17" t="s">
        <v>54</v>
      </c>
    </row>
    <row r="500" spans="3:11" x14ac:dyDescent="0.35">
      <c r="C500" s="137" t="s">
        <v>75</v>
      </c>
      <c r="D500" s="138" t="s">
        <v>15</v>
      </c>
      <c r="E500" s="139">
        <f>+E417+E425+E433+E441+E449+E457</f>
        <v>1</v>
      </c>
      <c r="F500" s="139">
        <f t="shared" ref="F500:K500" si="97">+F417+F425+F433+F441+F449+F457</f>
        <v>1</v>
      </c>
      <c r="G500" s="139">
        <f t="shared" si="97"/>
        <v>5</v>
      </c>
      <c r="H500" s="139">
        <f t="shared" si="97"/>
        <v>0</v>
      </c>
      <c r="I500" s="139">
        <f t="shared" si="97"/>
        <v>0</v>
      </c>
      <c r="J500" s="139">
        <f t="shared" si="97"/>
        <v>41110996</v>
      </c>
      <c r="K500" s="139">
        <f t="shared" si="97"/>
        <v>804940988</v>
      </c>
    </row>
    <row r="501" spans="3:11" x14ac:dyDescent="0.35">
      <c r="C501" s="140"/>
      <c r="D501" s="141" t="s">
        <v>16</v>
      </c>
      <c r="E501" s="142">
        <f t="shared" ref="E501:K506" si="98">+E418+E426+E434+E442+E450+E458</f>
        <v>8</v>
      </c>
      <c r="F501" s="142">
        <f t="shared" si="98"/>
        <v>0</v>
      </c>
      <c r="G501" s="142">
        <f t="shared" si="98"/>
        <v>0</v>
      </c>
      <c r="H501" s="142">
        <f t="shared" si="98"/>
        <v>0</v>
      </c>
      <c r="I501" s="142">
        <f t="shared" si="98"/>
        <v>1</v>
      </c>
      <c r="J501" s="142">
        <f t="shared" si="98"/>
        <v>79334198</v>
      </c>
      <c r="K501" s="142">
        <f t="shared" si="98"/>
        <v>0</v>
      </c>
    </row>
    <row r="502" spans="3:11" x14ac:dyDescent="0.35">
      <c r="C502" s="140"/>
      <c r="D502" s="138" t="s">
        <v>17</v>
      </c>
      <c r="E502" s="139">
        <f t="shared" si="98"/>
        <v>0</v>
      </c>
      <c r="F502" s="139">
        <f t="shared" si="98"/>
        <v>3</v>
      </c>
      <c r="G502" s="139">
        <f t="shared" si="98"/>
        <v>0</v>
      </c>
      <c r="H502" s="139">
        <f t="shared" si="98"/>
        <v>0</v>
      </c>
      <c r="I502" s="139">
        <f t="shared" si="98"/>
        <v>3</v>
      </c>
      <c r="J502" s="139">
        <f t="shared" si="98"/>
        <v>45664639</v>
      </c>
      <c r="K502" s="139">
        <f t="shared" si="98"/>
        <v>0</v>
      </c>
    </row>
    <row r="503" spans="3:11" ht="11" thickBot="1" x14ac:dyDescent="0.4">
      <c r="C503" s="140"/>
      <c r="D503" s="141" t="s">
        <v>18</v>
      </c>
      <c r="E503" s="142">
        <f t="shared" si="98"/>
        <v>27</v>
      </c>
      <c r="F503" s="142">
        <f t="shared" si="98"/>
        <v>9</v>
      </c>
      <c r="G503" s="142">
        <f t="shared" si="98"/>
        <v>13</v>
      </c>
      <c r="H503" s="142">
        <f t="shared" si="98"/>
        <v>0</v>
      </c>
      <c r="I503" s="142">
        <f t="shared" si="98"/>
        <v>37</v>
      </c>
      <c r="J503" s="142">
        <f t="shared" si="98"/>
        <v>82286420</v>
      </c>
      <c r="K503" s="142">
        <f t="shared" si="98"/>
        <v>0</v>
      </c>
    </row>
    <row r="504" spans="3:11" ht="11.5" thickTop="1" thickBot="1" x14ac:dyDescent="0.4">
      <c r="C504" s="140"/>
      <c r="D504" s="143" t="s">
        <v>19</v>
      </c>
      <c r="E504" s="144">
        <f t="shared" si="98"/>
        <v>36</v>
      </c>
      <c r="F504" s="144">
        <f t="shared" si="98"/>
        <v>13</v>
      </c>
      <c r="G504" s="144">
        <f t="shared" si="98"/>
        <v>18</v>
      </c>
      <c r="H504" s="144">
        <f t="shared" si="98"/>
        <v>0</v>
      </c>
      <c r="I504" s="144">
        <f t="shared" si="98"/>
        <v>41</v>
      </c>
      <c r="J504" s="144">
        <f t="shared" si="98"/>
        <v>248396253</v>
      </c>
      <c r="K504" s="144">
        <f t="shared" si="98"/>
        <v>804940988</v>
      </c>
    </row>
    <row r="505" spans="3:11" ht="11" thickTop="1" x14ac:dyDescent="0.35">
      <c r="C505" s="140"/>
      <c r="D505" s="138" t="s">
        <v>20</v>
      </c>
      <c r="E505" s="139">
        <f t="shared" si="98"/>
        <v>26</v>
      </c>
      <c r="F505" s="139">
        <f t="shared" si="98"/>
        <v>12</v>
      </c>
      <c r="G505" s="139">
        <f t="shared" si="98"/>
        <v>13</v>
      </c>
      <c r="H505" s="139">
        <f t="shared" si="98"/>
        <v>0</v>
      </c>
      <c r="I505" s="139">
        <f t="shared" si="98"/>
        <v>9</v>
      </c>
      <c r="J505" s="139">
        <f t="shared" si="98"/>
        <v>0</v>
      </c>
      <c r="K505" s="139">
        <f t="shared" si="98"/>
        <v>0</v>
      </c>
    </row>
    <row r="506" spans="3:11" x14ac:dyDescent="0.35">
      <c r="C506" s="145"/>
      <c r="D506" s="141" t="s">
        <v>21</v>
      </c>
      <c r="E506" s="142">
        <f t="shared" si="98"/>
        <v>0</v>
      </c>
      <c r="F506" s="142">
        <f t="shared" si="98"/>
        <v>0</v>
      </c>
      <c r="G506" s="142">
        <f t="shared" si="98"/>
        <v>0</v>
      </c>
      <c r="H506" s="142">
        <f t="shared" si="98"/>
        <v>0</v>
      </c>
      <c r="I506" s="142">
        <f t="shared" si="98"/>
        <v>0</v>
      </c>
      <c r="J506" s="142">
        <f t="shared" si="98"/>
        <v>0</v>
      </c>
      <c r="K506" s="142">
        <f t="shared" si="98"/>
        <v>0</v>
      </c>
    </row>
    <row r="509" spans="3:11" ht="11" thickBot="1" x14ac:dyDescent="0.4"/>
    <row r="510" spans="3:11" ht="25.4" customHeight="1" x14ac:dyDescent="0.35">
      <c r="C510" s="147" t="s">
        <v>76</v>
      </c>
      <c r="D510" s="148" t="s">
        <v>10</v>
      </c>
      <c r="E510" s="149" t="s">
        <v>3</v>
      </c>
      <c r="F510" s="149"/>
      <c r="G510" s="149" t="s">
        <v>4</v>
      </c>
      <c r="H510" s="149"/>
      <c r="I510" s="150" t="s">
        <v>77</v>
      </c>
      <c r="J510" s="150" t="s">
        <v>78</v>
      </c>
      <c r="K510" s="150" t="s">
        <v>79</v>
      </c>
    </row>
    <row r="511" spans="3:11" x14ac:dyDescent="0.35">
      <c r="C511" s="151"/>
      <c r="D511" s="148"/>
      <c r="E511" s="152" t="s">
        <v>11</v>
      </c>
      <c r="F511" s="152" t="s">
        <v>12</v>
      </c>
      <c r="G511" s="152" t="s">
        <v>11</v>
      </c>
      <c r="H511" s="152" t="s">
        <v>12</v>
      </c>
      <c r="I511" s="153"/>
      <c r="J511" s="153"/>
      <c r="K511" s="153"/>
    </row>
    <row r="512" spans="3:11" x14ac:dyDescent="0.35">
      <c r="C512" s="151"/>
      <c r="D512" s="154" t="s">
        <v>15</v>
      </c>
      <c r="E512" s="139">
        <f>+E466</f>
        <v>420</v>
      </c>
      <c r="F512" s="139">
        <f t="shared" ref="F512:H512" si="99">+F466</f>
        <v>38</v>
      </c>
      <c r="G512" s="139">
        <f t="shared" si="99"/>
        <v>143</v>
      </c>
      <c r="H512" s="139">
        <f t="shared" si="99"/>
        <v>10</v>
      </c>
      <c r="I512" s="155">
        <f>SUM(E512:H512)</f>
        <v>611</v>
      </c>
      <c r="J512" s="156">
        <f>+I512/$I$522</f>
        <v>5.590630432793485E-2</v>
      </c>
      <c r="K512" s="155">
        <f>+K466+L466+I466+J466</f>
        <v>36110313294</v>
      </c>
    </row>
    <row r="513" spans="3:11" x14ac:dyDescent="0.35">
      <c r="C513" s="151"/>
      <c r="D513" s="146" t="s">
        <v>16</v>
      </c>
      <c r="E513" s="142">
        <f t="shared" ref="E513:H515" si="100">+E467</f>
        <v>1083</v>
      </c>
      <c r="F513" s="142">
        <f t="shared" si="100"/>
        <v>175</v>
      </c>
      <c r="G513" s="142">
        <f t="shared" si="100"/>
        <v>86</v>
      </c>
      <c r="H513" s="142">
        <f t="shared" si="100"/>
        <v>3</v>
      </c>
      <c r="I513" s="157">
        <f t="shared" ref="I513:I520" si="101">SUM(E513:H513)</f>
        <v>1347</v>
      </c>
      <c r="J513" s="158">
        <f t="shared" ref="J513:J521" si="102">+I513/$I$522</f>
        <v>0.12325006862475982</v>
      </c>
      <c r="K513" s="157">
        <f t="shared" ref="K513:K515" si="103">+K467+L467+I467+J467</f>
        <v>25532295937</v>
      </c>
    </row>
    <row r="514" spans="3:11" x14ac:dyDescent="0.35">
      <c r="C514" s="151"/>
      <c r="D514" s="154" t="s">
        <v>17</v>
      </c>
      <c r="E514" s="139">
        <f t="shared" si="100"/>
        <v>3351</v>
      </c>
      <c r="F514" s="139">
        <f t="shared" si="100"/>
        <v>282</v>
      </c>
      <c r="G514" s="139">
        <f t="shared" si="100"/>
        <v>18</v>
      </c>
      <c r="H514" s="139">
        <f t="shared" si="100"/>
        <v>2</v>
      </c>
      <c r="I514" s="155">
        <f t="shared" si="101"/>
        <v>3653</v>
      </c>
      <c r="J514" s="156">
        <f t="shared" si="102"/>
        <v>0.33424833013084454</v>
      </c>
      <c r="K514" s="155">
        <f t="shared" si="103"/>
        <v>43209050937</v>
      </c>
    </row>
    <row r="515" spans="3:11" x14ac:dyDescent="0.35">
      <c r="C515" s="151"/>
      <c r="D515" s="146" t="s">
        <v>18</v>
      </c>
      <c r="E515" s="142">
        <f t="shared" si="100"/>
        <v>2923</v>
      </c>
      <c r="F515" s="142">
        <f t="shared" si="100"/>
        <v>192</v>
      </c>
      <c r="G515" s="142">
        <f t="shared" si="100"/>
        <v>6</v>
      </c>
      <c r="H515" s="142">
        <f t="shared" si="100"/>
        <v>4</v>
      </c>
      <c r="I515" s="157">
        <f t="shared" si="101"/>
        <v>3125</v>
      </c>
      <c r="J515" s="158">
        <f t="shared" si="102"/>
        <v>0.28593649922225273</v>
      </c>
      <c r="K515" s="157">
        <f t="shared" si="103"/>
        <v>23722530450</v>
      </c>
    </row>
    <row r="516" spans="3:11" x14ac:dyDescent="0.35">
      <c r="C516" s="151"/>
      <c r="D516" s="159" t="s">
        <v>80</v>
      </c>
      <c r="E516" s="144">
        <f>SUM(E512:E515)</f>
        <v>7777</v>
      </c>
      <c r="F516" s="144">
        <f t="shared" ref="F516:K516" si="104">SUM(F512:F515)</f>
        <v>687</v>
      </c>
      <c r="G516" s="144">
        <f t="shared" si="104"/>
        <v>253</v>
      </c>
      <c r="H516" s="144">
        <f t="shared" si="104"/>
        <v>19</v>
      </c>
      <c r="I516" s="160">
        <f t="shared" si="104"/>
        <v>8736</v>
      </c>
      <c r="J516" s="161">
        <f t="shared" si="102"/>
        <v>0.79934120230579198</v>
      </c>
      <c r="K516" s="160">
        <f t="shared" si="104"/>
        <v>128574190618</v>
      </c>
    </row>
    <row r="517" spans="3:11" x14ac:dyDescent="0.35">
      <c r="C517" s="151"/>
      <c r="D517" s="154" t="s">
        <v>15</v>
      </c>
      <c r="E517" s="139">
        <f>+E488</f>
        <v>6</v>
      </c>
      <c r="F517" s="139">
        <f t="shared" ref="F517:H517" si="105">+F488</f>
        <v>0</v>
      </c>
      <c r="G517" s="139">
        <f t="shared" si="105"/>
        <v>51</v>
      </c>
      <c r="H517" s="139">
        <f t="shared" si="105"/>
        <v>0</v>
      </c>
      <c r="I517" s="155">
        <f t="shared" si="101"/>
        <v>57</v>
      </c>
      <c r="J517" s="156">
        <f t="shared" si="102"/>
        <v>5.2154817458138899E-3</v>
      </c>
      <c r="K517" s="155">
        <f>+J488+K488</f>
        <v>132493249</v>
      </c>
    </row>
    <row r="518" spans="3:11" x14ac:dyDescent="0.35">
      <c r="C518" s="151"/>
      <c r="D518" s="146" t="s">
        <v>16</v>
      </c>
      <c r="E518" s="142">
        <f t="shared" ref="E518:H520" si="106">+E489</f>
        <v>157</v>
      </c>
      <c r="F518" s="142">
        <f t="shared" si="106"/>
        <v>12</v>
      </c>
      <c r="G518" s="142">
        <f t="shared" si="106"/>
        <v>4</v>
      </c>
      <c r="H518" s="142">
        <f t="shared" si="106"/>
        <v>0</v>
      </c>
      <c r="I518" s="157">
        <f t="shared" si="101"/>
        <v>173</v>
      </c>
      <c r="J518" s="158">
        <f t="shared" si="102"/>
        <v>1.5829444596943909E-2</v>
      </c>
      <c r="K518" s="157">
        <f t="shared" ref="K518:K520" si="107">+J489+K489</f>
        <v>16002570565</v>
      </c>
    </row>
    <row r="519" spans="3:11" x14ac:dyDescent="0.35">
      <c r="C519" s="151"/>
      <c r="D519" s="154" t="s">
        <v>17</v>
      </c>
      <c r="E519" s="139">
        <f t="shared" si="106"/>
        <v>537</v>
      </c>
      <c r="F519" s="139">
        <f t="shared" si="106"/>
        <v>53</v>
      </c>
      <c r="G519" s="139">
        <f t="shared" si="106"/>
        <v>0</v>
      </c>
      <c r="H519" s="139">
        <f t="shared" si="106"/>
        <v>0</v>
      </c>
      <c r="I519" s="155">
        <f t="shared" si="101"/>
        <v>590</v>
      </c>
      <c r="J519" s="156">
        <f t="shared" si="102"/>
        <v>5.3984811053161316E-2</v>
      </c>
      <c r="K519" s="155">
        <f t="shared" si="107"/>
        <v>4375743433</v>
      </c>
    </row>
    <row r="520" spans="3:11" x14ac:dyDescent="0.35">
      <c r="C520" s="151"/>
      <c r="D520" s="146" t="s">
        <v>18</v>
      </c>
      <c r="E520" s="142">
        <f t="shared" si="106"/>
        <v>1286</v>
      </c>
      <c r="F520" s="142">
        <f t="shared" si="106"/>
        <v>87</v>
      </c>
      <c r="G520" s="142">
        <f t="shared" si="106"/>
        <v>0</v>
      </c>
      <c r="H520" s="142">
        <f t="shared" si="106"/>
        <v>0</v>
      </c>
      <c r="I520" s="157">
        <f t="shared" si="101"/>
        <v>1373</v>
      </c>
      <c r="J520" s="158">
        <f t="shared" si="102"/>
        <v>0.12562906029828896</v>
      </c>
      <c r="K520" s="157">
        <f t="shared" si="107"/>
        <v>5798369399</v>
      </c>
    </row>
    <row r="521" spans="3:11" ht="11" thickBot="1" x14ac:dyDescent="0.4">
      <c r="C521" s="151"/>
      <c r="D521" s="159" t="s">
        <v>81</v>
      </c>
      <c r="E521" s="144">
        <f>SUM(E517:E520)</f>
        <v>1986</v>
      </c>
      <c r="F521" s="144">
        <f t="shared" ref="F521:K521" si="108">SUM(F517:F520)</f>
        <v>152</v>
      </c>
      <c r="G521" s="144">
        <f t="shared" si="108"/>
        <v>55</v>
      </c>
      <c r="H521" s="144">
        <f t="shared" si="108"/>
        <v>0</v>
      </c>
      <c r="I521" s="162">
        <f t="shared" si="108"/>
        <v>2193</v>
      </c>
      <c r="J521" s="163">
        <f t="shared" si="102"/>
        <v>0.20065879769420808</v>
      </c>
      <c r="K521" s="162">
        <f t="shared" si="108"/>
        <v>26309176646</v>
      </c>
    </row>
    <row r="522" spans="3:11" ht="11" thickBot="1" x14ac:dyDescent="0.4">
      <c r="C522" s="164"/>
      <c r="D522" s="165" t="s">
        <v>82</v>
      </c>
      <c r="E522" s="166">
        <f>+E516+E521</f>
        <v>9763</v>
      </c>
      <c r="F522" s="166">
        <f t="shared" ref="F522:K522" si="109">+F516+F521</f>
        <v>839</v>
      </c>
      <c r="G522" s="166">
        <f t="shared" si="109"/>
        <v>308</v>
      </c>
      <c r="H522" s="166">
        <f t="shared" si="109"/>
        <v>19</v>
      </c>
      <c r="I522" s="166">
        <f t="shared" si="109"/>
        <v>10929</v>
      </c>
      <c r="J522" s="167">
        <f>+J516+J521</f>
        <v>1</v>
      </c>
      <c r="K522" s="166">
        <f t="shared" si="109"/>
        <v>154883367264</v>
      </c>
    </row>
    <row r="523" spans="3:11" ht="11" thickBot="1" x14ac:dyDescent="0.4"/>
    <row r="524" spans="3:11" ht="25.4" customHeight="1" x14ac:dyDescent="0.35">
      <c r="C524" s="147" t="s">
        <v>83</v>
      </c>
      <c r="D524" s="148" t="s">
        <v>10</v>
      </c>
      <c r="E524" s="149" t="s">
        <v>3</v>
      </c>
      <c r="F524" s="149"/>
      <c r="G524" s="149" t="s">
        <v>4</v>
      </c>
      <c r="H524" s="149"/>
      <c r="I524" s="150" t="s">
        <v>77</v>
      </c>
      <c r="J524" s="150" t="s">
        <v>78</v>
      </c>
      <c r="K524" s="150" t="s">
        <v>79</v>
      </c>
    </row>
    <row r="525" spans="3:11" x14ac:dyDescent="0.35">
      <c r="C525" s="151"/>
      <c r="D525" s="148"/>
      <c r="E525" s="152" t="s">
        <v>11</v>
      </c>
      <c r="F525" s="152" t="s">
        <v>12</v>
      </c>
      <c r="G525" s="152" t="s">
        <v>11</v>
      </c>
      <c r="H525" s="152" t="s">
        <v>12</v>
      </c>
      <c r="I525" s="153"/>
      <c r="J525" s="153"/>
      <c r="K525" s="153"/>
    </row>
    <row r="526" spans="3:11" x14ac:dyDescent="0.35">
      <c r="C526" s="151"/>
      <c r="D526" s="154" t="s">
        <v>15</v>
      </c>
      <c r="E526" s="139">
        <f>+E476</f>
        <v>36</v>
      </c>
      <c r="F526" s="139">
        <f t="shared" ref="F526:H526" si="110">+F476</f>
        <v>28</v>
      </c>
      <c r="G526" s="139">
        <f t="shared" si="110"/>
        <v>191</v>
      </c>
      <c r="H526" s="139">
        <f t="shared" si="110"/>
        <v>23</v>
      </c>
      <c r="I526" s="155">
        <f>SUM(E526:H526)</f>
        <v>278</v>
      </c>
      <c r="J526" s="156">
        <f>+I526/$I$536</f>
        <v>0.59784946236559144</v>
      </c>
      <c r="K526" s="155">
        <f>+K476+L476+I476+J476</f>
        <v>34043917874</v>
      </c>
    </row>
    <row r="527" spans="3:11" x14ac:dyDescent="0.35">
      <c r="C527" s="151"/>
      <c r="D527" s="146" t="s">
        <v>16</v>
      </c>
      <c r="E527" s="142">
        <f t="shared" ref="E527:H529" si="111">+E477</f>
        <v>29</v>
      </c>
      <c r="F527" s="142">
        <f t="shared" si="111"/>
        <v>9</v>
      </c>
      <c r="G527" s="142">
        <f t="shared" si="111"/>
        <v>1</v>
      </c>
      <c r="H527" s="142">
        <f t="shared" si="111"/>
        <v>0</v>
      </c>
      <c r="I527" s="157">
        <f t="shared" ref="I527:I529" si="112">SUM(E527:H527)</f>
        <v>39</v>
      </c>
      <c r="J527" s="158">
        <f t="shared" ref="J527:J535" si="113">+I527/$I$536</f>
        <v>8.387096774193549E-2</v>
      </c>
      <c r="K527" s="157">
        <f t="shared" ref="K527:K529" si="114">+K477+L477+I477+J477</f>
        <v>2865411621</v>
      </c>
    </row>
    <row r="528" spans="3:11" x14ac:dyDescent="0.35">
      <c r="C528" s="151"/>
      <c r="D528" s="154" t="s">
        <v>17</v>
      </c>
      <c r="E528" s="139">
        <f t="shared" si="111"/>
        <v>27</v>
      </c>
      <c r="F528" s="139">
        <f t="shared" si="111"/>
        <v>14</v>
      </c>
      <c r="G528" s="139">
        <f t="shared" si="111"/>
        <v>0</v>
      </c>
      <c r="H528" s="139">
        <f t="shared" si="111"/>
        <v>0</v>
      </c>
      <c r="I528" s="155">
        <f t="shared" si="112"/>
        <v>41</v>
      </c>
      <c r="J528" s="156">
        <f t="shared" si="113"/>
        <v>8.8172043010752682E-2</v>
      </c>
      <c r="K528" s="155">
        <f t="shared" si="114"/>
        <v>221875934</v>
      </c>
    </row>
    <row r="529" spans="3:11" x14ac:dyDescent="0.35">
      <c r="C529" s="151"/>
      <c r="D529" s="146" t="s">
        <v>18</v>
      </c>
      <c r="E529" s="142">
        <f t="shared" si="111"/>
        <v>33</v>
      </c>
      <c r="F529" s="142">
        <f t="shared" si="111"/>
        <v>7</v>
      </c>
      <c r="G529" s="142">
        <f t="shared" si="111"/>
        <v>0</v>
      </c>
      <c r="H529" s="142">
        <f t="shared" si="111"/>
        <v>0</v>
      </c>
      <c r="I529" s="157">
        <f t="shared" si="112"/>
        <v>40</v>
      </c>
      <c r="J529" s="158">
        <f t="shared" si="113"/>
        <v>8.6021505376344093E-2</v>
      </c>
      <c r="K529" s="157">
        <f t="shared" si="114"/>
        <v>130391350</v>
      </c>
    </row>
    <row r="530" spans="3:11" x14ac:dyDescent="0.35">
      <c r="C530" s="151"/>
      <c r="D530" s="159" t="s">
        <v>84</v>
      </c>
      <c r="E530" s="144">
        <f>SUM(E526:E529)</f>
        <v>125</v>
      </c>
      <c r="F530" s="144">
        <f t="shared" ref="F530:I530" si="115">SUM(F526:F529)</f>
        <v>58</v>
      </c>
      <c r="G530" s="144">
        <f t="shared" si="115"/>
        <v>192</v>
      </c>
      <c r="H530" s="144">
        <f t="shared" si="115"/>
        <v>23</v>
      </c>
      <c r="I530" s="160">
        <f t="shared" si="115"/>
        <v>398</v>
      </c>
      <c r="J530" s="161">
        <f t="shared" si="113"/>
        <v>0.8559139784946237</v>
      </c>
      <c r="K530" s="160">
        <f>SUM(K526:K529)</f>
        <v>37261596779</v>
      </c>
    </row>
    <row r="531" spans="3:11" x14ac:dyDescent="0.35">
      <c r="C531" s="151"/>
      <c r="D531" s="154" t="s">
        <v>15</v>
      </c>
      <c r="E531" s="139">
        <f>+E500</f>
        <v>1</v>
      </c>
      <c r="F531" s="139">
        <f t="shared" ref="F531:H531" si="116">+F500</f>
        <v>1</v>
      </c>
      <c r="G531" s="139">
        <f t="shared" si="116"/>
        <v>5</v>
      </c>
      <c r="H531" s="139">
        <f t="shared" si="116"/>
        <v>0</v>
      </c>
      <c r="I531" s="155">
        <f t="shared" ref="I531:I534" si="117">SUM(E531:H531)</f>
        <v>7</v>
      </c>
      <c r="J531" s="156">
        <f t="shared" si="113"/>
        <v>1.5053763440860216E-2</v>
      </c>
      <c r="K531" s="155">
        <f>+J500+K500</f>
        <v>846051984</v>
      </c>
    </row>
    <row r="532" spans="3:11" x14ac:dyDescent="0.35">
      <c r="C532" s="151"/>
      <c r="D532" s="146" t="s">
        <v>16</v>
      </c>
      <c r="E532" s="142">
        <f t="shared" ref="E532:H534" si="118">+E501</f>
        <v>8</v>
      </c>
      <c r="F532" s="142">
        <f t="shared" si="118"/>
        <v>0</v>
      </c>
      <c r="G532" s="142">
        <f t="shared" si="118"/>
        <v>0</v>
      </c>
      <c r="H532" s="142">
        <f t="shared" si="118"/>
        <v>0</v>
      </c>
      <c r="I532" s="157">
        <f t="shared" si="117"/>
        <v>8</v>
      </c>
      <c r="J532" s="158">
        <f t="shared" si="113"/>
        <v>1.7204301075268817E-2</v>
      </c>
      <c r="K532" s="157">
        <f>+J501+K501</f>
        <v>79334198</v>
      </c>
    </row>
    <row r="533" spans="3:11" x14ac:dyDescent="0.35">
      <c r="C533" s="151"/>
      <c r="D533" s="154" t="s">
        <v>17</v>
      </c>
      <c r="E533" s="139">
        <f t="shared" si="118"/>
        <v>0</v>
      </c>
      <c r="F533" s="139">
        <f t="shared" si="118"/>
        <v>3</v>
      </c>
      <c r="G533" s="139">
        <f t="shared" si="118"/>
        <v>0</v>
      </c>
      <c r="H533" s="139">
        <f t="shared" si="118"/>
        <v>0</v>
      </c>
      <c r="I533" s="155">
        <f t="shared" si="117"/>
        <v>3</v>
      </c>
      <c r="J533" s="156">
        <f t="shared" si="113"/>
        <v>6.4516129032258064E-3</v>
      </c>
      <c r="K533" s="155">
        <f>+J502+K502</f>
        <v>45664639</v>
      </c>
    </row>
    <row r="534" spans="3:11" x14ac:dyDescent="0.35">
      <c r="C534" s="151"/>
      <c r="D534" s="146" t="s">
        <v>18</v>
      </c>
      <c r="E534" s="142">
        <f t="shared" si="118"/>
        <v>27</v>
      </c>
      <c r="F534" s="142">
        <f t="shared" si="118"/>
        <v>9</v>
      </c>
      <c r="G534" s="142">
        <f t="shared" si="118"/>
        <v>13</v>
      </c>
      <c r="H534" s="142">
        <f t="shared" si="118"/>
        <v>0</v>
      </c>
      <c r="I534" s="157">
        <f t="shared" si="117"/>
        <v>49</v>
      </c>
      <c r="J534" s="158">
        <f t="shared" si="113"/>
        <v>0.10537634408602151</v>
      </c>
      <c r="K534" s="157">
        <f>+J503+K503</f>
        <v>82286420</v>
      </c>
    </row>
    <row r="535" spans="3:11" ht="11" thickBot="1" x14ac:dyDescent="0.4">
      <c r="C535" s="151"/>
      <c r="D535" s="159" t="s">
        <v>81</v>
      </c>
      <c r="E535" s="144">
        <f>SUM(E531:E534)</f>
        <v>36</v>
      </c>
      <c r="F535" s="144">
        <f t="shared" ref="F535:I535" si="119">SUM(F531:F534)</f>
        <v>13</v>
      </c>
      <c r="G535" s="144">
        <f t="shared" si="119"/>
        <v>18</v>
      </c>
      <c r="H535" s="144">
        <f t="shared" si="119"/>
        <v>0</v>
      </c>
      <c r="I535" s="162">
        <f t="shared" si="119"/>
        <v>67</v>
      </c>
      <c r="J535" s="163">
        <f t="shared" si="113"/>
        <v>0.14408602150537633</v>
      </c>
      <c r="K535" s="162">
        <f t="shared" ref="K535" si="120">SUM(K531:K534)</f>
        <v>1053337241</v>
      </c>
    </row>
    <row r="536" spans="3:11" ht="11" thickBot="1" x14ac:dyDescent="0.4">
      <c r="C536" s="164"/>
      <c r="D536" s="165" t="s">
        <v>85</v>
      </c>
      <c r="E536" s="166">
        <f>+E530+E535</f>
        <v>161</v>
      </c>
      <c r="F536" s="166">
        <f t="shared" ref="F536:I536" si="121">+F530+F535</f>
        <v>71</v>
      </c>
      <c r="G536" s="166">
        <f t="shared" si="121"/>
        <v>210</v>
      </c>
      <c r="H536" s="166">
        <f t="shared" si="121"/>
        <v>23</v>
      </c>
      <c r="I536" s="166">
        <f t="shared" si="121"/>
        <v>465</v>
      </c>
      <c r="J536" s="167">
        <f>+J530+J535</f>
        <v>1</v>
      </c>
      <c r="K536" s="166">
        <f>+K530+K535</f>
        <v>38314934020</v>
      </c>
    </row>
    <row r="538" spans="3:11" x14ac:dyDescent="0.35">
      <c r="D538" s="168" t="s">
        <v>86</v>
      </c>
      <c r="E538" s="169">
        <f>+E522+E536</f>
        <v>9924</v>
      </c>
      <c r="F538" s="169">
        <f t="shared" ref="F538:I538" si="122">+F522+F536</f>
        <v>910</v>
      </c>
      <c r="G538" s="169">
        <f t="shared" si="122"/>
        <v>518</v>
      </c>
      <c r="H538" s="169">
        <f t="shared" si="122"/>
        <v>42</v>
      </c>
      <c r="I538" s="169">
        <f t="shared" si="122"/>
        <v>11394</v>
      </c>
      <c r="J538" s="169"/>
      <c r="K538" s="169">
        <f>+K522+K536</f>
        <v>193198301284</v>
      </c>
    </row>
    <row r="540" spans="3:11" x14ac:dyDescent="0.35">
      <c r="I540" s="170"/>
    </row>
    <row r="541" spans="3:11" x14ac:dyDescent="0.35">
      <c r="H541" s="171"/>
      <c r="I541" s="172"/>
    </row>
    <row r="542" spans="3:11" x14ac:dyDescent="0.35">
      <c r="H542" s="172"/>
    </row>
  </sheetData>
  <mergeCells count="52">
    <mergeCell ref="J510:J511"/>
    <mergeCell ref="K510:K511"/>
    <mergeCell ref="C524:C536"/>
    <mergeCell ref="D524:D525"/>
    <mergeCell ref="E524:F524"/>
    <mergeCell ref="G524:H524"/>
    <mergeCell ref="I524:I525"/>
    <mergeCell ref="J524:J525"/>
    <mergeCell ref="K524:K525"/>
    <mergeCell ref="C500:C506"/>
    <mergeCell ref="C510:C522"/>
    <mergeCell ref="D510:D511"/>
    <mergeCell ref="E510:F510"/>
    <mergeCell ref="G510:H510"/>
    <mergeCell ref="I510:I511"/>
    <mergeCell ref="C476:C482"/>
    <mergeCell ref="E486:F486"/>
    <mergeCell ref="G486:H486"/>
    <mergeCell ref="C488:C494"/>
    <mergeCell ref="E498:F498"/>
    <mergeCell ref="G498:H498"/>
    <mergeCell ref="I464:J464"/>
    <mergeCell ref="K464:L464"/>
    <mergeCell ref="C466:C472"/>
    <mergeCell ref="E474:F474"/>
    <mergeCell ref="G474:H474"/>
    <mergeCell ref="I474:J474"/>
    <mergeCell ref="K474:L474"/>
    <mergeCell ref="A398:A404"/>
    <mergeCell ref="A405:A411"/>
    <mergeCell ref="E415:F415"/>
    <mergeCell ref="G415:H415"/>
    <mergeCell ref="E464:F464"/>
    <mergeCell ref="G464:H464"/>
    <mergeCell ref="I368:J368"/>
    <mergeCell ref="K368:L368"/>
    <mergeCell ref="A370:A376"/>
    <mergeCell ref="A377:A383"/>
    <mergeCell ref="A384:A390"/>
    <mergeCell ref="A391:A397"/>
    <mergeCell ref="A350:A356"/>
    <mergeCell ref="C350:C356"/>
    <mergeCell ref="A357:A363"/>
    <mergeCell ref="C357:C363"/>
    <mergeCell ref="E368:F368"/>
    <mergeCell ref="G368:H368"/>
    <mergeCell ref="E7:F7"/>
    <mergeCell ref="G7:H7"/>
    <mergeCell ref="I7:J7"/>
    <mergeCell ref="K7:L7"/>
    <mergeCell ref="E180:F180"/>
    <mergeCell ref="G180:H180"/>
  </mergeCells>
  <conditionalFormatting sqref="A79:C79 A80:A85 C80:C85 D418:D462 C425:C462">
    <cfRule type="containsText" dxfId="62" priority="62" operator="containsText" text="Not">
      <formula>NOT(ISERROR(SEARCH("Not",A79)))</formula>
    </cfRule>
  </conditionalFormatting>
  <conditionalFormatting sqref="A86:C86 A87:A92 C87:C92 C182:D349 C364:D364">
    <cfRule type="containsText" dxfId="61" priority="61" operator="containsText" text="Not">
      <formula>NOT(ISERROR(SEARCH("Not",A86)))</formula>
    </cfRule>
  </conditionalFormatting>
  <conditionalFormatting sqref="A93:C93 A94:A99 C94:C99">
    <cfRule type="containsText" dxfId="60" priority="60" operator="containsText" text="Not">
      <formula>NOT(ISERROR(SEARCH("Not",A93)))</formula>
    </cfRule>
  </conditionalFormatting>
  <conditionalFormatting sqref="A100:C100 A101:A106 C101:C106">
    <cfRule type="containsText" dxfId="59" priority="59" operator="containsText" text="Not">
      <formula>NOT(ISERROR(SEARCH("Not",A100)))</formula>
    </cfRule>
  </conditionalFormatting>
  <conditionalFormatting sqref="A107:C107 A108:A113 C108:C113">
    <cfRule type="containsText" dxfId="58" priority="58" operator="containsText" text="Not">
      <formula>NOT(ISERROR(SEARCH("Not",A107)))</formula>
    </cfRule>
  </conditionalFormatting>
  <conditionalFormatting sqref="A114:C114 A115:A120 C115:C120">
    <cfRule type="containsText" dxfId="57" priority="57" operator="containsText" text="Not">
      <formula>NOT(ISERROR(SEARCH("Not",A114)))</formula>
    </cfRule>
  </conditionalFormatting>
  <conditionalFormatting sqref="A121:C121 A122:A127 C122:C127">
    <cfRule type="containsText" dxfId="56" priority="56" operator="containsText" text="Not">
      <formula>NOT(ISERROR(SEARCH("Not",A121)))</formula>
    </cfRule>
  </conditionalFormatting>
  <conditionalFormatting sqref="A128:C128 A129:A134 C129:C134">
    <cfRule type="containsText" dxfId="55" priority="55" operator="containsText" text="Not">
      <formula>NOT(ISERROR(SEARCH("Not",A128)))</formula>
    </cfRule>
  </conditionalFormatting>
  <conditionalFormatting sqref="A135:C135 A136:A141 C136:C141">
    <cfRule type="containsText" dxfId="54" priority="54" operator="containsText" text="Not">
      <formula>NOT(ISERROR(SEARCH("Not",A135)))</formula>
    </cfRule>
  </conditionalFormatting>
  <conditionalFormatting sqref="A142:C142 A143:A148 C143:C148">
    <cfRule type="containsText" dxfId="53" priority="53" operator="containsText" text="Not">
      <formula>NOT(ISERROR(SEARCH("Not",A142)))</formula>
    </cfRule>
  </conditionalFormatting>
  <conditionalFormatting sqref="A149:C149 A150:A155 C150:C155">
    <cfRule type="containsText" dxfId="52" priority="52" operator="containsText" text="Not">
      <formula>NOT(ISERROR(SEARCH("Not",A149)))</formula>
    </cfRule>
  </conditionalFormatting>
  <conditionalFormatting sqref="A156:C156 A157:A162 C157:C162">
    <cfRule type="containsText" dxfId="51" priority="51" operator="containsText" text="Not">
      <formula>NOT(ISERROR(SEARCH("Not",A156)))</formula>
    </cfRule>
  </conditionalFormatting>
  <conditionalFormatting sqref="A163:C163 A164:A169 C164:C169">
    <cfRule type="containsText" dxfId="50" priority="46" operator="containsText" text="Not">
      <formula>NOT(ISERROR(SEARCH("Not",A163)))</formula>
    </cfRule>
  </conditionalFormatting>
  <conditionalFormatting sqref="A170:C170 A171:A176 C171:C176">
    <cfRule type="containsText" dxfId="49" priority="44" operator="containsText" text="Not">
      <formula>NOT(ISERROR(SEARCH("Not",A170)))</formula>
    </cfRule>
  </conditionalFormatting>
  <conditionalFormatting sqref="A350:C350">
    <cfRule type="containsText" dxfId="48" priority="45" operator="containsText" text="Not">
      <formula>NOT(ISERROR(SEARCH("Not",A350)))</formula>
    </cfRule>
  </conditionalFormatting>
  <conditionalFormatting sqref="A357:C357">
    <cfRule type="containsText" dxfId="47" priority="42" operator="containsText" text="Not">
      <formula>NOT(ISERROR(SEARCH("Not",A357)))</formula>
    </cfRule>
  </conditionalFormatting>
  <conditionalFormatting sqref="A9:D9 A10:A15 C10:C15 A16:C16 A17:A22 C17:C22 A23:C23 A24:A29 C24:C29 A30:C30 A31:A36 C31:C36 A37:C37 A38:A43 C38:C43 A44:C44 A45:A50 C45:C50 A51:C51 A52:A57 C52:C57 A58:C58 A59:A64 C59:C64 A65:C65 A66:A71 C66:C71 A72:C72 A73:A78 C73:C78">
    <cfRule type="containsText" dxfId="46" priority="63" operator="containsText" text="Not">
      <formula>NOT(ISERROR(SEARCH("Not",A9)))</formula>
    </cfRule>
  </conditionalFormatting>
  <conditionalFormatting sqref="C370:D411">
    <cfRule type="containsText" dxfId="45" priority="48" operator="containsText" text="Not">
      <formula>NOT(ISERROR(SEARCH("Not",C370)))</formula>
    </cfRule>
  </conditionalFormatting>
  <conditionalFormatting sqref="C417:D417">
    <cfRule type="containsText" dxfId="44" priority="47" operator="containsText" text="Not">
      <formula>NOT(ISERROR(SEARCH("Not",C417)))</formula>
    </cfRule>
  </conditionalFormatting>
  <conditionalFormatting sqref="D10:D176">
    <cfRule type="containsText" dxfId="43" priority="50" operator="containsText" text="Not">
      <formula>NOT(ISERROR(SEARCH("Not",D10)))</formula>
    </cfRule>
  </conditionalFormatting>
  <conditionalFormatting sqref="D350:D363">
    <cfRule type="containsText" dxfId="42" priority="43" operator="containsText" text="Not">
      <formula>NOT(ISERROR(SEARCH("Not",D350)))</formula>
    </cfRule>
  </conditionalFormatting>
  <conditionalFormatting sqref="D466:D472">
    <cfRule type="containsText" dxfId="41" priority="6" operator="containsText" text="Not">
      <formula>NOT(ISERROR(SEARCH("Not",D466)))</formula>
    </cfRule>
  </conditionalFormatting>
  <conditionalFormatting sqref="D476:D483">
    <cfRule type="containsText" dxfId="40" priority="5" operator="containsText" text="Not">
      <formula>NOT(ISERROR(SEARCH("Not",D476)))</formula>
    </cfRule>
  </conditionalFormatting>
  <conditionalFormatting sqref="D488:D494">
    <cfRule type="containsText" dxfId="39" priority="4" operator="containsText" text="Not">
      <formula>NOT(ISERROR(SEARCH("Not",D488)))</formula>
    </cfRule>
  </conditionalFormatting>
  <conditionalFormatting sqref="D500:D506">
    <cfRule type="containsText" dxfId="38" priority="3" operator="containsText" text="Not">
      <formula>NOT(ISERROR(SEARCH("Not",D500)))</formula>
    </cfRule>
  </conditionalFormatting>
  <conditionalFormatting sqref="D512:D521">
    <cfRule type="containsText" dxfId="37" priority="2" operator="containsText" text="Not">
      <formula>NOT(ISERROR(SEARCH("Not",D512)))</formula>
    </cfRule>
  </conditionalFormatting>
  <conditionalFormatting sqref="D526:D535">
    <cfRule type="containsText" dxfId="36" priority="1" operator="containsText" text="Not">
      <formula>NOT(ISERROR(SEARCH("Not",D526)))</formula>
    </cfRule>
  </conditionalFormatting>
  <conditionalFormatting sqref="E421:K421">
    <cfRule type="containsText" dxfId="35" priority="12" operator="containsText" text="Not">
      <formula>NOT(ISERROR(SEARCH("Not",E421)))</formula>
    </cfRule>
  </conditionalFormatting>
  <conditionalFormatting sqref="E429:K429">
    <cfRule type="containsText" dxfId="34" priority="11" operator="containsText" text="Not">
      <formula>NOT(ISERROR(SEARCH("Not",E429)))</formula>
    </cfRule>
  </conditionalFormatting>
  <conditionalFormatting sqref="E437:K437">
    <cfRule type="containsText" dxfId="33" priority="10" operator="containsText" text="Not">
      <formula>NOT(ISERROR(SEARCH("Not",E437)))</formula>
    </cfRule>
  </conditionalFormatting>
  <conditionalFormatting sqref="E445:K445">
    <cfRule type="containsText" dxfId="32" priority="9" operator="containsText" text="Not">
      <formula>NOT(ISERROR(SEARCH("Not",E445)))</formula>
    </cfRule>
  </conditionalFormatting>
  <conditionalFormatting sqref="E453:K453">
    <cfRule type="containsText" dxfId="31" priority="8" operator="containsText" text="Not">
      <formula>NOT(ISERROR(SEARCH("Not",E453)))</formula>
    </cfRule>
  </conditionalFormatting>
  <conditionalFormatting sqref="E461:K461">
    <cfRule type="containsText" dxfId="30" priority="7" operator="containsText" text="Not">
      <formula>NOT(ISERROR(SEARCH("Not",E461)))</formula>
    </cfRule>
  </conditionalFormatting>
  <conditionalFormatting sqref="E186:L186">
    <cfRule type="containsText" dxfId="29" priority="49" operator="containsText" text="Not">
      <formula>NOT(ISERROR(SEARCH("Not",E186)))</formula>
    </cfRule>
  </conditionalFormatting>
  <conditionalFormatting sqref="E193:L193">
    <cfRule type="containsText" dxfId="28" priority="41" operator="containsText" text="Not">
      <formula>NOT(ISERROR(SEARCH("Not",E193)))</formula>
    </cfRule>
  </conditionalFormatting>
  <conditionalFormatting sqref="E201:L201">
    <cfRule type="containsText" dxfId="27" priority="40" operator="containsText" text="Not">
      <formula>NOT(ISERROR(SEARCH("Not",E201)))</formula>
    </cfRule>
  </conditionalFormatting>
  <conditionalFormatting sqref="E209:L209">
    <cfRule type="containsText" dxfId="26" priority="39" operator="containsText" text="Not">
      <formula>NOT(ISERROR(SEARCH("Not",E209)))</formula>
    </cfRule>
  </conditionalFormatting>
  <conditionalFormatting sqref="E216:L216">
    <cfRule type="containsText" dxfId="25" priority="38" operator="containsText" text="Not">
      <formula>NOT(ISERROR(SEARCH("Not",E216)))</formula>
    </cfRule>
  </conditionalFormatting>
  <conditionalFormatting sqref="E224:L224">
    <cfRule type="containsText" dxfId="24" priority="37" operator="containsText" text="Not">
      <formula>NOT(ISERROR(SEARCH("Not",E224)))</formula>
    </cfRule>
  </conditionalFormatting>
  <conditionalFormatting sqref="E232:L232">
    <cfRule type="containsText" dxfId="23" priority="36" operator="containsText" text="Not">
      <formula>NOT(ISERROR(SEARCH("Not",E232)))</formula>
    </cfRule>
  </conditionalFormatting>
  <conditionalFormatting sqref="E239:L239">
    <cfRule type="containsText" dxfId="22" priority="35" operator="containsText" text="Not">
      <formula>NOT(ISERROR(SEARCH("Not",E239)))</formula>
    </cfRule>
  </conditionalFormatting>
  <conditionalFormatting sqref="E247:L247">
    <cfRule type="containsText" dxfId="21" priority="34" operator="containsText" text="Not">
      <formula>NOT(ISERROR(SEARCH("Not",E247)))</formula>
    </cfRule>
  </conditionalFormatting>
  <conditionalFormatting sqref="E255:L255">
    <cfRule type="containsText" dxfId="20" priority="33" operator="containsText" text="Not">
      <formula>NOT(ISERROR(SEARCH("Not",E255)))</formula>
    </cfRule>
  </conditionalFormatting>
  <conditionalFormatting sqref="E263:L263">
    <cfRule type="containsText" dxfId="19" priority="32" operator="containsText" text="Not">
      <formula>NOT(ISERROR(SEARCH("Not",E263)))</formula>
    </cfRule>
  </conditionalFormatting>
  <conditionalFormatting sqref="E271:L271">
    <cfRule type="containsText" dxfId="18" priority="31" operator="containsText" text="Not">
      <formula>NOT(ISERROR(SEARCH("Not",E271)))</formula>
    </cfRule>
  </conditionalFormatting>
  <conditionalFormatting sqref="E279:L279">
    <cfRule type="containsText" dxfId="17" priority="30" operator="containsText" text="Not">
      <formula>NOT(ISERROR(SEARCH("Not",E279)))</formula>
    </cfRule>
  </conditionalFormatting>
  <conditionalFormatting sqref="E287:L287">
    <cfRule type="containsText" dxfId="16" priority="29" operator="containsText" text="Not">
      <formula>NOT(ISERROR(SEARCH("Not",E287)))</formula>
    </cfRule>
  </conditionalFormatting>
  <conditionalFormatting sqref="E294:L294">
    <cfRule type="containsText" dxfId="15" priority="28" operator="containsText" text="Not">
      <formula>NOT(ISERROR(SEARCH("Not",E294)))</formula>
    </cfRule>
  </conditionalFormatting>
  <conditionalFormatting sqref="E301:L301">
    <cfRule type="containsText" dxfId="14" priority="27" operator="containsText" text="Not">
      <formula>NOT(ISERROR(SEARCH("Not",E301)))</formula>
    </cfRule>
  </conditionalFormatting>
  <conditionalFormatting sqref="E309:L309">
    <cfRule type="containsText" dxfId="13" priority="26" operator="containsText" text="Not">
      <formula>NOT(ISERROR(SEARCH("Not",E309)))</formula>
    </cfRule>
  </conditionalFormatting>
  <conditionalFormatting sqref="E316:L316">
    <cfRule type="containsText" dxfId="12" priority="25" operator="containsText" text="Not">
      <formula>NOT(ISERROR(SEARCH("Not",E316)))</formula>
    </cfRule>
  </conditionalFormatting>
  <conditionalFormatting sqref="E324:L324">
    <cfRule type="containsText" dxfId="11" priority="24" operator="containsText" text="Not">
      <formula>NOT(ISERROR(SEARCH("Not",E324)))</formula>
    </cfRule>
  </conditionalFormatting>
  <conditionalFormatting sqref="E331:L331">
    <cfRule type="containsText" dxfId="10" priority="23" operator="containsText" text="Not">
      <formula>NOT(ISERROR(SEARCH("Not",E331)))</formula>
    </cfRule>
  </conditionalFormatting>
  <conditionalFormatting sqref="E339:L339">
    <cfRule type="containsText" dxfId="9" priority="22" operator="containsText" text="Not">
      <formula>NOT(ISERROR(SEARCH("Not",E339)))</formula>
    </cfRule>
  </conditionalFormatting>
  <conditionalFormatting sqref="E347:L347">
    <cfRule type="containsText" dxfId="8" priority="21" operator="containsText" text="Not">
      <formula>NOT(ISERROR(SEARCH("Not",E347)))</formula>
    </cfRule>
  </conditionalFormatting>
  <conditionalFormatting sqref="E354:L354">
    <cfRule type="containsText" dxfId="7" priority="20" operator="containsText" text="Not">
      <formula>NOT(ISERROR(SEARCH("Not",E354)))</formula>
    </cfRule>
  </conditionalFormatting>
  <conditionalFormatting sqref="E361:L361">
    <cfRule type="containsText" dxfId="6" priority="19" operator="containsText" text="Not">
      <formula>NOT(ISERROR(SEARCH("Not",E361)))</formula>
    </cfRule>
  </conditionalFormatting>
  <conditionalFormatting sqref="E374:L374">
    <cfRule type="containsText" dxfId="5" priority="18" operator="containsText" text="Not">
      <formula>NOT(ISERROR(SEARCH("Not",E374)))</formula>
    </cfRule>
  </conditionalFormatting>
  <conditionalFormatting sqref="E381:L381">
    <cfRule type="containsText" dxfId="4" priority="17" operator="containsText" text="Not">
      <formula>NOT(ISERROR(SEARCH("Not",E381)))</formula>
    </cfRule>
  </conditionalFormatting>
  <conditionalFormatting sqref="E388:L388">
    <cfRule type="containsText" dxfId="3" priority="16" operator="containsText" text="Not">
      <formula>NOT(ISERROR(SEARCH("Not",E388)))</formula>
    </cfRule>
  </conditionalFormatting>
  <conditionalFormatting sqref="E395:L395">
    <cfRule type="containsText" dxfId="2" priority="15" operator="containsText" text="Not">
      <formula>NOT(ISERROR(SEARCH("Not",E395)))</formula>
    </cfRule>
  </conditionalFormatting>
  <conditionalFormatting sqref="E402:L402">
    <cfRule type="containsText" dxfId="1" priority="14" operator="containsText" text="Not">
      <formula>NOT(ISERROR(SEARCH("Not",E402)))</formula>
    </cfRule>
  </conditionalFormatting>
  <conditionalFormatting sqref="E409:L409">
    <cfRule type="containsText" dxfId="0" priority="13" operator="containsText" text="Not">
      <formula>NOT(ISERROR(SEARCH("Not",E409)))</formula>
    </cfRule>
  </conditionalFormatting>
  <hyperlinks>
    <hyperlink ref="A1" location="Sommaire!A1" display="Sommaire!A1" xr:uid="{5E4B1295-017E-46CF-96CB-22DE5C0621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2026-07-15T09:59:07Z</dcterms:created>
  <dcterms:modified xsi:type="dcterms:W3CDTF">2026-07-15T09:59:27Z</dcterms:modified>
</cp:coreProperties>
</file>